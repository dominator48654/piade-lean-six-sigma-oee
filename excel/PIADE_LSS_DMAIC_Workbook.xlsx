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3.xml.rels" ContentType="application/vnd.openxmlformats-package.relationships+xml"/>
  <Override PartName="/xl/worksheets/_rels/sheet16.xml.rels" ContentType="application/vnd.openxmlformats-package.relationships+xml"/>
  <Override PartName="/xl/worksheets/_rels/sheet7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D1_Charter" sheetId="3" state="visible" r:id="rId5"/>
    <sheet name="D2_SIPOC" sheetId="4" state="visible" r:id="rId6"/>
    <sheet name="D3_VOC_CTQ" sheetId="5" state="visible" r:id="rId7"/>
    <sheet name="M1_DataQuality" sheetId="6" state="visible" r:id="rId8"/>
    <sheet name="M2_OEE" sheetId="7" state="visible" r:id="rId9"/>
    <sheet name="M3_LossTree" sheetId="8" state="visible" r:id="rId10"/>
    <sheet name="M4_Pareto" sheetId="9" state="visible" r:id="rId11"/>
    <sheet name="M5_Reliability" sheetId="10" state="visible" r:id="rId12"/>
    <sheet name="M6_Sigma" sheetId="11" state="visible" r:id="rId13"/>
    <sheet name="A1_RCA" sheetId="12" state="visible" r:id="rId14"/>
    <sheet name="A2_FMEA" sheetId="13" state="visible" r:id="rId15"/>
    <sheet name="A3_Hypothesis" sheetId="14" state="visible" r:id="rId16"/>
    <sheet name="I1_Solutions" sheetId="15" state="visible" r:id="rId17"/>
    <sheet name="I2_OEE_Scenario" sheetId="16" state="visible" r:id="rId18"/>
    <sheet name="I3_SMED" sheetId="17" state="visible" r:id="rId19"/>
    <sheet name="I4_PokaYoke" sheetId="18" state="visible" r:id="rId20"/>
    <sheet name="I5_5S_Audit" sheetId="19" state="visible" r:id="rId21"/>
    <sheet name="I6_Kaizen" sheetId="20" state="visible" r:id="rId22"/>
    <sheet name="I7_Kanban" sheetId="21" state="visible" r:id="rId23"/>
    <sheet name="I8_Inventory" sheetId="22" state="visible" r:id="rId24"/>
    <sheet name="C1_XbarR_s1" sheetId="23" state="visible" r:id="rId25"/>
    <sheet name="C2_Capability" sheetId="24" state="visible" r:id="rId26"/>
    <sheet name="C3_ControlPlan" sheetId="25" state="visible" r:id="rId27"/>
    <sheet name="C4_OCAP" sheetId="26" state="visible" r:id="rId28"/>
    <sheet name="Data_Daily" sheetId="27" state="visible" r:id="rId29"/>
    <sheet name="Data_Shift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<sst xmlns="http://schemas.openxmlformats.org/spreadsheetml/2006/main" count="16209" uniqueCount="1064">
  <si>
    <t xml:space="preserve">PIADE Packaging OEE - Lean Six Sigma DMAIC Workbook</t>
  </si>
  <si>
    <t xml:space="preserve">Data: PIADE (Kaggle) 5 packaging machines, 429,394 state intervals, Jan 2020 - Dec 2021. Heavy lifting in PostgreSQL (sql/ folder); this workbook = analysis + decisions.</t>
  </si>
  <si>
    <t xml:space="preserve">Phase</t>
  </si>
  <si>
    <t xml:space="preserve">Question it answers</t>
  </si>
  <si>
    <t xml:space="preserve">Tabs in this workbook</t>
  </si>
  <si>
    <t xml:space="preserve">PostgreSQL views</t>
  </si>
  <si>
    <t xml:space="preserve">Tools used</t>
  </si>
  <si>
    <t xml:space="preserve">Tollgate deliverable</t>
  </si>
  <si>
    <t xml:space="preserve">DEFINE</t>
  </si>
  <si>
    <t xml:space="preserve">What problem, for whom, how big, what goal?</t>
  </si>
  <si>
    <t xml:space="preserve">D1_Charter, D2_SIPOC, D3_VOC_CTQ</t>
  </si>
  <si>
    <t xml:space="preserve">v_oee_summary (baseline)</t>
  </si>
  <si>
    <t xml:space="preserve">Project charter, SIPOC, VOC-&gt;CTQ tree</t>
  </si>
  <si>
    <t xml:space="preserve">Signed charter with SMART goal</t>
  </si>
  <si>
    <t xml:space="preserve">MEASURE</t>
  </si>
  <si>
    <t xml:space="preserve">How good is the process today, and can we trust the data?</t>
  </si>
  <si>
    <t xml:space="preserve">Inputs, M1_DataQuality, M2_OEE, M3_LossTree, M4_Pareto, M5_Reliability, M6_Sigma</t>
  </si>
  <si>
    <t xml:space="preserve">v_data_quality, v_daily_machine, v_oee_summary, v_loss_tree, v_pareto_alarm, v_reliability</t>
  </si>
  <si>
    <t xml:space="preserve">Data collection plan, MSA (integrity checks), OEE, loss tree, Pareto, MTBF/MTTR, DPMO/sigma</t>
  </si>
  <si>
    <t xml:space="preserve">Validated baseline: OEE 51.7%, loss tree, vital few</t>
  </si>
  <si>
    <t xml:space="preserve">ANALYZE</t>
  </si>
  <si>
    <t xml:space="preserve">Which causes actually drive the losses?</t>
  </si>
  <si>
    <t xml:space="preserve">A1_RCA, A2_FMEA, A3_Hypothesis</t>
  </si>
  <si>
    <t xml:space="preserve">v_shift_state_share, v_alarm_shift_crosstab, v_fmea_inputs, v_hourly_profile</t>
  </si>
  <si>
    <t xml:space="preserve">Fishbone (6M), 5 Whys, data-driven FMEA, ANOVA, Welch t, chi-square, regression</t>
  </si>
  <si>
    <t xml:space="preserve">Verified root causes (data vs hypothesis)</t>
  </si>
  <si>
    <t xml:space="preserve">IMPROVE</t>
  </si>
  <si>
    <t xml:space="preserve">What do we change, and what is it worth?</t>
  </si>
  <si>
    <t xml:space="preserve">I1_Solutions, I2_OEE_Scenario, I3_SMED, I4_PokaYoke, I5_5S_Audit, I6_Kaizen, I7_Kanban, I8_Inventory</t>
  </si>
  <si>
    <t xml:space="preserve">v_smed_baseline, v_kanban, v_material_demand, v_inventory_policy</t>
  </si>
  <si>
    <t xml:space="preserve">Solution matrix, SMED, Poka-Yoke, 5S, Kaizen/PDCA, Kanban, VSM future state, SS/ROP/EOQ</t>
  </si>
  <si>
    <t xml:space="preserve">Prioritised plan + projected OEE bridge</t>
  </si>
  <si>
    <t xml:space="preserve">CONTROL</t>
  </si>
  <si>
    <t xml:space="preserve">How do we hold the gain?</t>
  </si>
  <si>
    <t xml:space="preserve">C1_XbarR_s1, C2_Capability, C3_ControlPlan, C4_OCAP</t>
  </si>
  <si>
    <t xml:space="preserve">v_xbar_r_subgroups, v_xbar_r_limits, v_xbar_r_chart, v_capability</t>
  </si>
  <si>
    <t xml:space="preserve">X-bar &amp; R chart, Cpk/Ppk, control plan, OCAP, Power BI cockpit</t>
  </si>
  <si>
    <t xml:space="preserve">Control plan handed to process owner</t>
  </si>
  <si>
    <t xml:space="preserve">Colour code</t>
  </si>
  <si>
    <t xml:space="preserve">Blue text = hard-coded input / SQL extract value</t>
  </si>
  <si>
    <t xml:space="preserve">Black text = formula on this sheet</t>
  </si>
  <si>
    <t xml:space="preserve">Green text = formula linking another sheet</t>
  </si>
  <si>
    <t xml:space="preserve">Yellow fill = assumption / cell you may edit (everything recalculates)</t>
  </si>
  <si>
    <t xml:space="preserve">Refresh cycle</t>
  </si>
  <si>
    <t xml:space="preserve">1) run sql/01 + sql/02 in PostgreSQL  2) run sql/03_export.sql  3) paste the CSVs into the Data_* tabs  4) all tabs recalculate</t>
  </si>
  <si>
    <t xml:space="preserve">Inputs &amp; assumptions (edit yellow cells only)</t>
  </si>
  <si>
    <t xml:space="preserve">Every hard-coded assumption lives here and is referenced by formulas elsewhere.</t>
  </si>
  <si>
    <t xml:space="preserve">Parameter</t>
  </si>
  <si>
    <t xml:space="preserve">Value</t>
  </si>
  <si>
    <t xml:space="preserve">Unit</t>
  </si>
  <si>
    <t xml:space="preserve">Source / note</t>
  </si>
  <si>
    <t xml:space="preserve">OEE target (project goal)</t>
  </si>
  <si>
    <t xml:space="preserve">fraction</t>
  </si>
  <si>
    <t xml:space="preserve">Project goal; world-class benchmark is 0.85</t>
  </si>
  <si>
    <t xml:space="preserve">Quality LSL (daily good / total)</t>
  </si>
  <si>
    <t xml:space="preserve">Assumed customer requirement</t>
  </si>
  <si>
    <t xml:space="preserve">Contribution per good pack</t>
  </si>
  <si>
    <t xml:space="preserve">INR</t>
  </si>
  <si>
    <t xml:space="preserve">ASSUMPTION - replace with finance data</t>
  </si>
  <si>
    <t xml:space="preserve">Study period</t>
  </si>
  <si>
    <t xml:space="preserve">years</t>
  </si>
  <si>
    <t xml:space="preserve">Jan 2020 - Dec 2021 (731 days)</t>
  </si>
  <si>
    <t xml:space="preserve">Packaging blank unit cost</t>
  </si>
  <si>
    <t xml:space="preserve">ASSUMPTION</t>
  </si>
  <si>
    <t xml:space="preserve">Ordering cost per PO</t>
  </si>
  <si>
    <t xml:space="preserve">Annual holding rate</t>
  </si>
  <si>
    <t xml:space="preserve">ASSUMPTION (capital + storage + obsolescence)</t>
  </si>
  <si>
    <t xml:space="preserve">Supplier lead time</t>
  </si>
  <si>
    <t xml:space="preserve">days</t>
  </si>
  <si>
    <t xml:space="preserve">Lead-time standard deviation</t>
  </si>
  <si>
    <t xml:space="preserve">Target cycle service level</t>
  </si>
  <si>
    <t xml:space="preserve">Policy choice</t>
  </si>
  <si>
    <t xml:space="preserve">Kanban container quantity</t>
  </si>
  <si>
    <t xml:space="preserve">blanks/bin</t>
  </si>
  <si>
    <t xml:space="preserve">Kanban replenishment lead time</t>
  </si>
  <si>
    <t xml:space="preserve">hours</t>
  </si>
  <si>
    <t xml:space="preserve">ASSUMPTION (one shift)</t>
  </si>
  <si>
    <t xml:space="preserve">Kanban safety factor (alpha)</t>
  </si>
  <si>
    <t xml:space="preserve">SMED target reduction in changeover time</t>
  </si>
  <si>
    <t xml:space="preserve">Typical first SMED pass: 30-50%</t>
  </si>
  <si>
    <t xml:space="preserve">Spare-kit lead time</t>
  </si>
  <si>
    <t xml:space="preserve">Spare-kit service level</t>
  </si>
  <si>
    <t xml:space="preserve">Spare-kit unit cost</t>
  </si>
  <si>
    <t xml:space="preserve">Spare-kit ordering cost</t>
  </si>
  <si>
    <t xml:space="preserve">Spare-kit holding rate</t>
  </si>
  <si>
    <t xml:space="preserve">D1 - Project charter</t>
  </si>
  <si>
    <t xml:space="preserve">DEFINE. Baseline numbers are live formulas from the Measure tabs.</t>
  </si>
  <si>
    <t xml:space="preserve">Element</t>
  </si>
  <si>
    <t xml:space="preserve">Content</t>
  </si>
  <si>
    <t xml:space="preserve">Project title</t>
  </si>
  <si>
    <t xml:space="preserve">Raise OEE of the packaging-machine fleet (PIADE s_1..s_5) through Lean Six Sigma</t>
  </si>
  <si>
    <t xml:space="preserve">Problem statement</t>
  </si>
  <si>
    <t xml:space="preserve">Business case</t>
  </si>
  <si>
    <t xml:space="preserve">Goal (SMART)</t>
  </si>
  <si>
    <t xml:space="preserve">Primary metric (Y)</t>
  </si>
  <si>
    <t xml:space="preserve">OEE = Availability x Performance x Quality (TPM definition; idle counts as availability loss)</t>
  </si>
  <si>
    <t xml:space="preserve">Secondary metrics</t>
  </si>
  <si>
    <t xml:space="preserve">Alarm downtime hours (vital-few codes), idle share by shift, changeover minutes, material stock-outs, safety-stock value</t>
  </si>
  <si>
    <t xml:space="preserve">In scope</t>
  </si>
  <si>
    <t xml:space="preserve">Machines s_1..s_5; alarm stops, idle, speed loss, changeovers; line-side packaging-material supply</t>
  </si>
  <si>
    <t xml:space="preserve">Out of scope</t>
  </si>
  <si>
    <t xml:space="preserve">Upstream filling / downstream palletising; capex machine redesign; product-mix planning</t>
  </si>
  <si>
    <t xml:space="preserve">Pilot</t>
  </si>
  <si>
    <t xml:space="preserve">s_1 (33% of fleet volume, largest single loss A_065, only machine that degraded in 2021)</t>
  </si>
  <si>
    <t xml:space="preserve">Team (fill in)</t>
  </si>
  <si>
    <t xml:space="preserve">Sponsor: Plant head | Champion: Packaging manager | Black/Green Belt: &lt;you&gt; | Members: shift leads, maintenance, stores, quality</t>
  </si>
  <si>
    <t xml:space="preserve">Timeline</t>
  </si>
  <si>
    <t xml:space="preserve">Define wk 1-2 | Measure wk 3-5 | Analyze wk 6-8 | Improve wk 9-16 (pilot s_1) | Control wk 17-24</t>
  </si>
  <si>
    <t xml:space="preserve">Honesty note</t>
  </si>
  <si>
    <t xml:space="preserve">Retrospective study on a public dataset: Improve results are PROJECTIONS using assumed reduction rates, not measured outcomes.</t>
  </si>
  <si>
    <t xml:space="preserve">D2 - SIPOC</t>
  </si>
  <si>
    <t xml:space="preserve">DEFINE. High-level map of the packaging process.</t>
  </si>
  <si>
    <t xml:space="preserve">Suppliers</t>
  </si>
  <si>
    <t xml:space="preserve">Inputs</t>
  </si>
  <si>
    <t xml:space="preserve">Process (high level)</t>
  </si>
  <si>
    <t xml:space="preserve">Outputs</t>
  </si>
  <si>
    <t xml:space="preserve">Customers</t>
  </si>
  <si>
    <t xml:space="preserve">Film / carton suppliers</t>
  </si>
  <si>
    <t xml:space="preserve">Carton blanks, film, glue</t>
  </si>
  <si>
    <t xml:space="preserve">1. Receive &amp; store packaging material</t>
  </si>
  <si>
    <t xml:space="preserve">Packed units (po)</t>
  </si>
  <si>
    <t xml:space="preserve">Distribution centre</t>
  </si>
  <si>
    <t xml:space="preserve">Upstream filling line</t>
  </si>
  <si>
    <t xml:space="preserve">Product units to pack (pi)</t>
  </si>
  <si>
    <t xml:space="preserve">2. Stage material line-side (Kanban)</t>
  </si>
  <si>
    <t xml:space="preserve">Rejects (pi - po)</t>
  </si>
  <si>
    <t xml:space="preserve">Sales / key accounts</t>
  </si>
  <si>
    <t xml:space="preserve">Maintenance</t>
  </si>
  <si>
    <t xml:space="preserve">Machine availability, spares</t>
  </si>
  <si>
    <t xml:space="preserve">3. Changeover / set-up (SMED)</t>
  </si>
  <si>
    <t xml:space="preserve">Alarm &amp; state logs</t>
  </si>
  <si>
    <t xml:space="preserve">Quality / QA</t>
  </si>
  <si>
    <t xml:space="preserve">Planning (S&amp;OP)</t>
  </si>
  <si>
    <t xml:space="preserve">Schedule, set speed</t>
  </si>
  <si>
    <t xml:space="preserve">4. Run &amp; pack at rated speed</t>
  </si>
  <si>
    <t xml:space="preserve">OEE, downtime data</t>
  </si>
  <si>
    <t xml:space="preserve">Plant management</t>
  </si>
  <si>
    <t xml:space="preserve">Operators (3 shifts)</t>
  </si>
  <si>
    <t xml:space="preserve">Skills, standard work</t>
  </si>
  <si>
    <t xml:space="preserve">5. Stop recovery / restart</t>
  </si>
  <si>
    <t xml:space="preserve">Changeover records</t>
  </si>
  <si>
    <t xml:space="preserve">Finance (COPQ)</t>
  </si>
  <si>
    <t xml:space="preserve">IT / MES</t>
  </si>
  <si>
    <t xml:space="preserve">State + counter logging</t>
  </si>
  <si>
    <t xml:space="preserve">6. Record, review, improve</t>
  </si>
  <si>
    <t xml:space="preserve">Dashboards</t>
  </si>
  <si>
    <t xml:space="preserve">Continuous-improvement team</t>
  </si>
  <si>
    <t xml:space="preserve">D3 - Voice of customer -&gt; CTQ tree</t>
  </si>
  <si>
    <t xml:space="preserve">DEFINE. Translate vague needs into measurable CTQs with specs.</t>
  </si>
  <si>
    <t xml:space="preserve">Voice of customer / business</t>
  </si>
  <si>
    <t xml:space="preserve">Driver</t>
  </si>
  <si>
    <t xml:space="preserve">CTQ (measurable)</t>
  </si>
  <si>
    <t xml:space="preserve">Operational definition</t>
  </si>
  <si>
    <t xml:space="preserve">Target / spec</t>
  </si>
  <si>
    <t xml:space="preserve">Baseline (live)</t>
  </si>
  <si>
    <t xml:space="preserve">'We never ship full orders on time'</t>
  </si>
  <si>
    <t xml:space="preserve">Capacity</t>
  </si>
  <si>
    <t xml:space="preserve">OEE (fleet)</t>
  </si>
  <si>
    <t xml:space="preserve">Run/PPT x Output/Ideal x Good/Output</t>
  </si>
  <si>
    <t xml:space="preserve">'The line keeps stopping'</t>
  </si>
  <si>
    <t xml:space="preserve">Availability</t>
  </si>
  <si>
    <t xml:space="preserve">Alarm downtime share</t>
  </si>
  <si>
    <t xml:space="preserve">Downtime h / planned h</t>
  </si>
  <si>
    <t xml:space="preserve">&lt;= 6%</t>
  </si>
  <si>
    <t xml:space="preserve">'Nobody is at the machine at night'</t>
  </si>
  <si>
    <t xml:space="preserve">Idle share</t>
  </si>
  <si>
    <t xml:space="preserve">Idle h / planned h</t>
  </si>
  <si>
    <t xml:space="preserve">&lt;= 20%</t>
  </si>
  <si>
    <t xml:space="preserve">'It runs slow'</t>
  </si>
  <si>
    <t xml:space="preserve">Performance</t>
  </si>
  <si>
    <t xml:space="preserve">Performance rate</t>
  </si>
  <si>
    <t xml:space="preserve">Units in / ideal units at rated speed</t>
  </si>
  <si>
    <t xml:space="preserve">&gt;= 88%</t>
  </si>
  <si>
    <t xml:space="preserve">'Too many damaged packs'</t>
  </si>
  <si>
    <t xml:space="preserve">Quality</t>
  </si>
  <si>
    <t xml:space="preserve">Quality rate</t>
  </si>
  <si>
    <t xml:space="preserve">Units out / units in</t>
  </si>
  <si>
    <t xml:space="preserve">'Changeovers take forever'</t>
  </si>
  <si>
    <t xml:space="preserve">Flexibility</t>
  </si>
  <si>
    <t xml:space="preserve">Mean changeover minutes</t>
  </si>
  <si>
    <t xml:space="preserve">Planned stop 10 min - 4 h</t>
  </si>
  <si>
    <t xml:space="preserve">-40% vs baseline</t>
  </si>
  <si>
    <t xml:space="preserve">'We run out of cartons'</t>
  </si>
  <si>
    <t xml:space="preserve">Supply</t>
  </si>
  <si>
    <t xml:space="preserve">Cycle service level</t>
  </si>
  <si>
    <t xml:space="preserve">Order cycles without stock-out</t>
  </si>
  <si>
    <t xml:space="preserve">see I8_Inventory</t>
  </si>
  <si>
    <t xml:space="preserve">M1 - Data collection plan &amp; data integrity (MSA substitute)</t>
  </si>
  <si>
    <t xml:space="preserve">MEASURE. Machine logs cannot be re-measured, so a Gage R&amp;R is replaced by integrity checks (results from v_data_quality).</t>
  </si>
  <si>
    <t xml:space="preserve">Integrity check</t>
  </si>
  <si>
    <t xml:space="preserve">Result</t>
  </si>
  <si>
    <t xml:space="preserve">Interpretation</t>
  </si>
  <si>
    <t xml:space="preserve">rows loaded</t>
  </si>
  <si>
    <t xml:space="preserve">Complete load</t>
  </si>
  <si>
    <t xml:space="preserve">null cells in key columns</t>
  </si>
  <si>
    <t xml:space="preserve">OK</t>
  </si>
  <si>
    <t xml:space="preserve">duplicate rows</t>
  </si>
  <si>
    <t xml:space="preserve">elapsed vs (end-start) mismatch &gt; 1 %</t>
  </si>
  <si>
    <t xml:space="preserve">negative counter deltas (pi)</t>
  </si>
  <si>
    <t xml:space="preserve">Counter resets -&gt; excluded</t>
  </si>
  <si>
    <t xml:space="preserve">counter deltas rejected as glitch</t>
  </si>
  <si>
    <t xml:space="preserve">Counter delta &gt; 3x theoretical -&gt; excluded (0.6%)</t>
  </si>
  <si>
    <t xml:space="preserve">alarm on non-downtime row</t>
  </si>
  <si>
    <t xml:space="preserve">downtime row without alarm</t>
  </si>
  <si>
    <t xml:space="preserve">idle rows with a reason code</t>
  </si>
  <si>
    <t xml:space="preserve">GAP: idle is never explained -&gt; Control-phase fix</t>
  </si>
  <si>
    <t xml:space="preserve">Metric</t>
  </si>
  <si>
    <t xml:space="preserve">Source field(s)</t>
  </si>
  <si>
    <t xml:space="preserve">SQL view</t>
  </si>
  <si>
    <t xml:space="preserve">Frequency</t>
  </si>
  <si>
    <t xml:space="preserve">Planned production time</t>
  </si>
  <si>
    <t xml:space="preserve">Logged time minus scheduled_downtime</t>
  </si>
  <si>
    <t xml:space="preserve">type, elapsed (ms)</t>
  </si>
  <si>
    <t xml:space="preserve">v_daily_machine</t>
  </si>
  <si>
    <t xml:space="preserve">Daily / shift</t>
  </si>
  <si>
    <t xml:space="preserve">h</t>
  </si>
  <si>
    <t xml:space="preserve">Run time</t>
  </si>
  <si>
    <t xml:space="preserve">Time in production + performance_loss</t>
  </si>
  <si>
    <t xml:space="preserve">type, elapsed</t>
  </si>
  <si>
    <t xml:space="preserve">Units in / out</t>
  </si>
  <si>
    <t xml:space="preserve">Delta of cumulative counters pi / po (read at interval end)</t>
  </si>
  <si>
    <t xml:space="preserve">pi, po</t>
  </si>
  <si>
    <t xml:space="preserve">f_interval (LAG)</t>
  </si>
  <si>
    <t xml:space="preserve">Per interval</t>
  </si>
  <si>
    <t xml:space="preserve">packs</t>
  </si>
  <si>
    <t xml:space="preserve">Ideal units</t>
  </si>
  <si>
    <t xml:space="preserve">Rated speed x run time</t>
  </si>
  <si>
    <t xml:space="preserve">speed, elapsed</t>
  </si>
  <si>
    <t xml:space="preserve">Daily</t>
  </si>
  <si>
    <t xml:space="preserve">Stop event</t>
  </si>
  <si>
    <t xml:space="preserve">Consecutive downtime rows, same alarm, same machine</t>
  </si>
  <si>
    <t xml:space="preserve">alarm, type</t>
  </si>
  <si>
    <t xml:space="preserve">f_downtime_event</t>
  </si>
  <si>
    <t xml:space="preserve">Per event</t>
  </si>
  <si>
    <t xml:space="preserve">count, min</t>
  </si>
  <si>
    <t xml:space="preserve">Shift</t>
  </si>
  <si>
    <t xml:space="preserve">A 06-14, B 14-22, C 22-06 (UTC, assumed)</t>
  </si>
  <si>
    <t xml:space="preserve">interval_start</t>
  </si>
  <si>
    <t xml:space="preserve">f_interval</t>
  </si>
  <si>
    <t xml:space="preserve">-</t>
  </si>
  <si>
    <t xml:space="preserve">Production day</t>
  </si>
  <si>
    <t xml:space="preserve">06:00 to 06:00 (keeps a night shift in one day)</t>
  </si>
  <si>
    <t xml:space="preserve">date</t>
  </si>
  <si>
    <t xml:space="preserve">M2 - Baseline OEE by machine</t>
  </si>
  <si>
    <t xml:space="preserve">MEASURE. SUMIF over Data_Daily (SQL extract of v_daily_machine). OEE = A x P x Q.</t>
  </si>
  <si>
    <t xml:space="preserve">Machine</t>
  </si>
  <si>
    <t xml:space="preserve">Logged h</t>
  </si>
  <si>
    <t xml:space="preserve">Scheduled h</t>
  </si>
  <si>
    <t xml:space="preserve">Planned h</t>
  </si>
  <si>
    <t xml:space="preserve">Run h</t>
  </si>
  <si>
    <t xml:space="preserve">Alarm downtime h</t>
  </si>
  <si>
    <t xml:space="preserve">Idle h</t>
  </si>
  <si>
    <t xml:space="preserve">Perf-loss state h</t>
  </si>
  <si>
    <t xml:space="preserve">Units in</t>
  </si>
  <si>
    <t xml:space="preserve">Units out</t>
  </si>
  <si>
    <t xml:space="preserve">OEE</t>
  </si>
  <si>
    <t xml:space="preserve">Gap to target (pts)</t>
  </si>
  <si>
    <t xml:space="preserve">Utilization (run/logged)</t>
  </si>
  <si>
    <t xml:space="preserve">s_1</t>
  </si>
  <si>
    <t xml:space="preserve">s_2</t>
  </si>
  <si>
    <t xml:space="preserve">s_3</t>
  </si>
  <si>
    <t xml:space="preserve">s_4</t>
  </si>
  <si>
    <t xml:space="preserve">s_5</t>
  </si>
  <si>
    <t xml:space="preserve">Fleet</t>
  </si>
  <si>
    <t xml:space="preserve">M3 - Downtime / OEE loss tree (fleet)</t>
  </si>
  <si>
    <t xml:space="preserve">MEASURE. Parents are formulas; leaves come from M2 or v_loss_tree. Checks must read 0.</t>
  </si>
  <si>
    <t xml:space="preserve">Node</t>
  </si>
  <si>
    <t xml:space="preserve">Loss category</t>
  </si>
  <si>
    <t xml:space="preserve">Hours</t>
  </si>
  <si>
    <t xml:space="preserve">% of planned time</t>
  </si>
  <si>
    <t xml:space="preserve">Source</t>
  </si>
  <si>
    <t xml:space="preserve">0</t>
  </si>
  <si>
    <t xml:space="preserve">Logged time</t>
  </si>
  <si>
    <t xml:space="preserve">M2</t>
  </si>
  <si>
    <t xml:space="preserve">1</t>
  </si>
  <si>
    <t xml:space="preserve">  Scheduled downtime (planned, outside OEE)</t>
  </si>
  <si>
    <t xml:space="preserve">1.1</t>
  </si>
  <si>
    <t xml:space="preserve">    Changeover / cleaning-like (10 min - 4 h)</t>
  </si>
  <si>
    <t xml:space="preserve">v_loss_tree</t>
  </si>
  <si>
    <t xml:space="preserve">1.2</t>
  </si>
  <si>
    <t xml:space="preserve">    Long shutdowns (&gt; 4 h)</t>
  </si>
  <si>
    <t xml:space="preserve">1.3</t>
  </si>
  <si>
    <t xml:space="preserve">    Short planned stops (&lt; 10 min)</t>
  </si>
  <si>
    <t xml:space="preserve">residual</t>
  </si>
  <si>
    <t xml:space="preserve">2</t>
  </si>
  <si>
    <t xml:space="preserve">  Planned production time (PPT)</t>
  </si>
  <si>
    <t xml:space="preserve">2.1</t>
  </si>
  <si>
    <t xml:space="preserve">    Availability loss: alarm downtime</t>
  </si>
  <si>
    <t xml:space="preserve">2.1.1</t>
  </si>
  <si>
    <t xml:space="preserve">      Alarm A_065</t>
  </si>
  <si>
    <t xml:space="preserve">M4</t>
  </si>
  <si>
    <t xml:space="preserve">2.1.2</t>
  </si>
  <si>
    <t xml:space="preserve">      Alarm A_101</t>
  </si>
  <si>
    <t xml:space="preserve">2.1.3</t>
  </si>
  <si>
    <t xml:space="preserve">      Alarm A_006</t>
  </si>
  <si>
    <t xml:space="preserve">2.1.4</t>
  </si>
  <si>
    <t xml:space="preserve">      Alarm A_001</t>
  </si>
  <si>
    <t xml:space="preserve">2.1.5</t>
  </si>
  <si>
    <t xml:space="preserve">      Alarm A_066</t>
  </si>
  <si>
    <t xml:space="preserve">2.1.6</t>
  </si>
  <si>
    <t xml:space="preserve">      Other alarms</t>
  </si>
  <si>
    <t xml:space="preserve">2.2</t>
  </si>
  <si>
    <t xml:space="preserve">    Availability loss: idle (no reason code)</t>
  </si>
  <si>
    <t xml:space="preserve">3</t>
  </si>
  <si>
    <t xml:space="preserve">    Run time</t>
  </si>
  <si>
    <t xml:space="preserve">3.1</t>
  </si>
  <si>
    <t xml:space="preserve">      Performance loss: reduced speed / minor stops</t>
  </si>
  <si>
    <t xml:space="preserve">3.2</t>
  </si>
  <si>
    <t xml:space="preserve">      Performance loss: sub-rated running</t>
  </si>
  <si>
    <t xml:space="preserve">4</t>
  </si>
  <si>
    <t xml:space="preserve">      Net run time</t>
  </si>
  <si>
    <t xml:space="preserve">Run x P</t>
  </si>
  <si>
    <t xml:space="preserve">4.1</t>
  </si>
  <si>
    <t xml:space="preserve">        Quality loss: rejects</t>
  </si>
  <si>
    <t xml:space="preserve">5</t>
  </si>
  <si>
    <t xml:space="preserve">        Fully productive time (= OEE x PPT)</t>
  </si>
  <si>
    <t xml:space="preserve">Net x Q</t>
  </si>
  <si>
    <t xml:space="preserve">Check: PPT - (downtime + idle + run) =</t>
  </si>
  <si>
    <t xml:space="preserve">Check: fully productive / PPT - OEE =</t>
  </si>
  <si>
    <t xml:space="preserve">M4 - Pareto of alarm downtime (fleet)</t>
  </si>
  <si>
    <t xml:space="preserve">MEASURE. From v_pareto_alarm. Share, cumulative % and ABC class are formulas.</t>
  </si>
  <si>
    <t xml:space="preserve">Alarm</t>
  </si>
  <si>
    <t xml:space="preserve">Stops</t>
  </si>
  <si>
    <t xml:space="preserve">Downtime h</t>
  </si>
  <si>
    <t xml:space="preserve">MTTR min</t>
  </si>
  <si>
    <t xml:space="preserve">Machines</t>
  </si>
  <si>
    <t xml:space="preserve">Share</t>
  </si>
  <si>
    <t xml:space="preserve">Cumulative %</t>
  </si>
  <si>
    <t xml:space="preserve">Class</t>
  </si>
  <si>
    <t xml:space="preserve">Rank</t>
  </si>
  <si>
    <t xml:space="preserve">Vital few (class A codes)</t>
  </si>
  <si>
    <t xml:space="preserve">A_065</t>
  </si>
  <si>
    <t xml:space="preserve">Total alarm codes</t>
  </si>
  <si>
    <t xml:space="preserve">A_101</t>
  </si>
  <si>
    <t xml:space="preserve">Class A share of downtime</t>
  </si>
  <si>
    <t xml:space="preserve">A_006</t>
  </si>
  <si>
    <t xml:space="preserve">A_001</t>
  </si>
  <si>
    <t xml:space="preserve">A_066</t>
  </si>
  <si>
    <t xml:space="preserve">A_005</t>
  </si>
  <si>
    <t xml:space="preserve">A_020</t>
  </si>
  <si>
    <t xml:space="preserve">A_010</t>
  </si>
  <si>
    <t xml:space="preserve">A_016</t>
  </si>
  <si>
    <t xml:space="preserve">A_003</t>
  </si>
  <si>
    <t xml:space="preserve">A_067</t>
  </si>
  <si>
    <t xml:space="preserve">A_017</t>
  </si>
  <si>
    <t xml:space="preserve">A_012</t>
  </si>
  <si>
    <t xml:space="preserve">A_011</t>
  </si>
  <si>
    <t xml:space="preserve">A_004</t>
  </si>
  <si>
    <t xml:space="preserve">A_068</t>
  </si>
  <si>
    <t xml:space="preserve">A_045</t>
  </si>
  <si>
    <t xml:space="preserve">A_002</t>
  </si>
  <si>
    <t xml:space="preserve">A_064</t>
  </si>
  <si>
    <t xml:space="preserve">A_008</t>
  </si>
  <si>
    <t xml:space="preserve">A_083</t>
  </si>
  <si>
    <t xml:space="preserve">A_025</t>
  </si>
  <si>
    <t xml:space="preserve">A_021</t>
  </si>
  <si>
    <t xml:space="preserve">A_035</t>
  </si>
  <si>
    <t xml:space="preserve">A_013</t>
  </si>
  <si>
    <t xml:space="preserve">A_087</t>
  </si>
  <si>
    <t xml:space="preserve">A_092</t>
  </si>
  <si>
    <t xml:space="preserve">A_031</t>
  </si>
  <si>
    <t xml:space="preserve">A_023</t>
  </si>
  <si>
    <t xml:space="preserve">A_071</t>
  </si>
  <si>
    <t xml:space="preserve">A_024</t>
  </si>
  <si>
    <t xml:space="preserve">A_070</t>
  </si>
  <si>
    <t xml:space="preserve">A_043</t>
  </si>
  <si>
    <t xml:space="preserve">A_029</t>
  </si>
  <si>
    <t xml:space="preserve">A_014</t>
  </si>
  <si>
    <t xml:space="preserve">A_069</t>
  </si>
  <si>
    <t xml:space="preserve">A_077</t>
  </si>
  <si>
    <t xml:space="preserve">A_030</t>
  </si>
  <si>
    <t xml:space="preserve">A_042</t>
  </si>
  <si>
    <t xml:space="preserve">A_009</t>
  </si>
  <si>
    <t xml:space="preserve">A_095</t>
  </si>
  <si>
    <t xml:space="preserve">A_027</t>
  </si>
  <si>
    <t xml:space="preserve">A_022</t>
  </si>
  <si>
    <t xml:space="preserve">A_062</t>
  </si>
  <si>
    <t xml:space="preserve">A_032</t>
  </si>
  <si>
    <t xml:space="preserve">A_034</t>
  </si>
  <si>
    <t xml:space="preserve">A_102</t>
  </si>
  <si>
    <t xml:space="preserve">A_094</t>
  </si>
  <si>
    <t xml:space="preserve">A_074</t>
  </si>
  <si>
    <t xml:space="preserve">A_040</t>
  </si>
  <si>
    <t xml:space="preserve">A_091</t>
  </si>
  <si>
    <t xml:space="preserve">A_076</t>
  </si>
  <si>
    <t xml:space="preserve">A_096</t>
  </si>
  <si>
    <t xml:space="preserve">A_079</t>
  </si>
  <si>
    <t xml:space="preserve">A_036</t>
  </si>
  <si>
    <t xml:space="preserve">A_073</t>
  </si>
  <si>
    <t xml:space="preserve">A_028</t>
  </si>
  <si>
    <t xml:space="preserve">A_018</t>
  </si>
  <si>
    <t xml:space="preserve">A_026</t>
  </si>
  <si>
    <t xml:space="preserve">A_037</t>
  </si>
  <si>
    <t xml:space="preserve">A_049</t>
  </si>
  <si>
    <t xml:space="preserve">A_038</t>
  </si>
  <si>
    <t xml:space="preserve">A_084</t>
  </si>
  <si>
    <t xml:space="preserve">A_039</t>
  </si>
  <si>
    <t xml:space="preserve">A_056</t>
  </si>
  <si>
    <t xml:space="preserve">A_104</t>
  </si>
  <si>
    <t xml:space="preserve">A_085</t>
  </si>
  <si>
    <t xml:space="preserve">A_100</t>
  </si>
  <si>
    <t xml:space="preserve">A_082</t>
  </si>
  <si>
    <t xml:space="preserve">A_053</t>
  </si>
  <si>
    <t xml:space="preserve">A_051</t>
  </si>
  <si>
    <t xml:space="preserve">A_112</t>
  </si>
  <si>
    <t xml:space="preserve">A_108</t>
  </si>
  <si>
    <t xml:space="preserve">A_113</t>
  </si>
  <si>
    <t xml:space="preserve">A_041</t>
  </si>
  <si>
    <t xml:space="preserve">A_090</t>
  </si>
  <si>
    <t xml:space="preserve">A_044</t>
  </si>
  <si>
    <t xml:space="preserve">A_055</t>
  </si>
  <si>
    <t xml:space="preserve">A_007</t>
  </si>
  <si>
    <t xml:space="preserve">A_054</t>
  </si>
  <si>
    <t xml:space="preserve">A_098</t>
  </si>
  <si>
    <t xml:space="preserve">A_097</t>
  </si>
  <si>
    <t xml:space="preserve">A_116</t>
  </si>
  <si>
    <t xml:space="preserve">A_058</t>
  </si>
  <si>
    <t xml:space="preserve">A_081</t>
  </si>
  <si>
    <t xml:space="preserve">A_057</t>
  </si>
  <si>
    <t xml:space="preserve">A_105</t>
  </si>
  <si>
    <t xml:space="preserve">A_128</t>
  </si>
  <si>
    <t xml:space="preserve">A_086</t>
  </si>
  <si>
    <t xml:space="preserve">A_125</t>
  </si>
  <si>
    <t xml:space="preserve">A_078</t>
  </si>
  <si>
    <t xml:space="preserve">A_046</t>
  </si>
  <si>
    <t xml:space="preserve">A_063</t>
  </si>
  <si>
    <t xml:space="preserve">A_088</t>
  </si>
  <si>
    <t xml:space="preserve">A_048</t>
  </si>
  <si>
    <t xml:space="preserve">A_114</t>
  </si>
  <si>
    <t xml:space="preserve">A_015</t>
  </si>
  <si>
    <t xml:space="preserve">A_033</t>
  </si>
  <si>
    <t xml:space="preserve">A_050</t>
  </si>
  <si>
    <t xml:space="preserve">A_120</t>
  </si>
  <si>
    <t xml:space="preserve">A_080</t>
  </si>
  <si>
    <t xml:space="preserve">A_115</t>
  </si>
  <si>
    <t xml:space="preserve">A_122</t>
  </si>
  <si>
    <t xml:space="preserve">A_117</t>
  </si>
  <si>
    <t xml:space="preserve">A_099</t>
  </si>
  <si>
    <t xml:space="preserve">A_059</t>
  </si>
  <si>
    <t xml:space="preserve">A_111</t>
  </si>
  <si>
    <t xml:space="preserve">A_126</t>
  </si>
  <si>
    <t xml:space="preserve">A_072</t>
  </si>
  <si>
    <t xml:space="preserve">A_124</t>
  </si>
  <si>
    <t xml:space="preserve">A_118</t>
  </si>
  <si>
    <t xml:space="preserve">A_119</t>
  </si>
  <si>
    <t xml:space="preserve">A_089</t>
  </si>
  <si>
    <t xml:space="preserve">A_121</t>
  </si>
  <si>
    <t xml:space="preserve">A_132</t>
  </si>
  <si>
    <t xml:space="preserve">A_019</t>
  </si>
  <si>
    <t xml:space="preserve">A_109</t>
  </si>
  <si>
    <t xml:space="preserve">A_052</t>
  </si>
  <si>
    <t xml:space="preserve">A_061</t>
  </si>
  <si>
    <t xml:space="preserve">A_123</t>
  </si>
  <si>
    <t xml:space="preserve">A_093</t>
  </si>
  <si>
    <t xml:space="preserve">A_103</t>
  </si>
  <si>
    <t xml:space="preserve">A_127</t>
  </si>
  <si>
    <t xml:space="preserve">A_131</t>
  </si>
  <si>
    <t xml:space="preserve">A_130</t>
  </si>
  <si>
    <t xml:space="preserve">A_075</t>
  </si>
  <si>
    <t xml:space="preserve">A_106</t>
  </si>
  <si>
    <t xml:space="preserve">A_129</t>
  </si>
  <si>
    <t xml:space="preserve">A_047</t>
  </si>
  <si>
    <t xml:space="preserve">A_110</t>
  </si>
  <si>
    <t xml:space="preserve">A_060</t>
  </si>
  <si>
    <t xml:space="preserve">A_107</t>
  </si>
  <si>
    <t xml:space="preserve">M5 - Reliability: MTBF / MTTR</t>
  </si>
  <si>
    <t xml:space="preserve">MEASURE. Stops/downtime from v_reliability; run hours linked from M2.</t>
  </si>
  <si>
    <t xml:space="preserve">Alarm stops</t>
  </si>
  <si>
    <t xml:space="preserve">MTBF (run-min)</t>
  </si>
  <si>
    <t xml:space="preserve">MTTR (min)</t>
  </si>
  <si>
    <t xml:space="preserve">Inherent availability</t>
  </si>
  <si>
    <t xml:space="preserve">Stops per run-hour</t>
  </si>
  <si>
    <t xml:space="preserve">Reading: MTTR of 1-4 min and MTBF of 6-26 run-minutes = MINOR STOPS, not breakdowns. That points to Kaizen, autonomous maintenance and Poka-Yoke rather than spare parts or big repairs.</t>
  </si>
  <si>
    <t xml:space="preserve">M6 - Six Sigma baseline: DPMO and sigma level</t>
  </si>
  <si>
    <t xml:space="preserve">MEASURE. Sigma (short-term) = NORMSINV(yield) + 1.5 shift.</t>
  </si>
  <si>
    <t xml:space="preserve">Scope</t>
  </si>
  <si>
    <t xml:space="preserve">Opportunities (units in)</t>
  </si>
  <si>
    <t xml:space="preserve">Defects</t>
  </si>
  <si>
    <t xml:space="preserve">DPMO</t>
  </si>
  <si>
    <t xml:space="preserve">Yield</t>
  </si>
  <si>
    <t xml:space="preserve">Sigma level (ST)</t>
  </si>
  <si>
    <t xml:space="preserve">s_1 - package rejects</t>
  </si>
  <si>
    <t xml:space="preserve">s_2 - package rejects</t>
  </si>
  <si>
    <t xml:space="preserve">s_3 - package rejects</t>
  </si>
  <si>
    <t xml:space="preserve">s_4 - package rejects</t>
  </si>
  <si>
    <t xml:space="preserve">s_5 - package rejects</t>
  </si>
  <si>
    <t xml:space="preserve">Fleet - package rejects</t>
  </si>
  <si>
    <t xml:space="preserve">s_1 - days below OEE target (X-bar subgroups)</t>
  </si>
  <si>
    <t xml:space="preserve">Reading: package quality is already ~4 sigma, so quality is NOT the problem. Measured against the OEE target, s_1 is only a ~1.6-sigma process: time loss, not defects, is the defect that matters.</t>
  </si>
  <si>
    <t xml:space="preserve">A1 - Root cause analysis: Fishbone (6M) + 5 Whys</t>
  </si>
  <si>
    <t xml:space="preserve">ANALYZE. [data] = verified in PIADE; [hyp.] = must be verified at the gemba before acting.</t>
  </si>
  <si>
    <t xml:space="preserve">6M category</t>
  </si>
  <si>
    <t xml:space="preserve">Potential cause</t>
  </si>
  <si>
    <t xml:space="preserve">Evidence</t>
  </si>
  <si>
    <t xml:space="preserve">Status</t>
  </si>
  <si>
    <t xml:space="preserve">A_065 micro-stops on s_1</t>
  </si>
  <si>
    <t xml:space="preserve">858 h, 18,864 stops, MTTR 2.7 min (M4)</t>
  </si>
  <si>
    <t xml:space="preserve">[data]</t>
  </si>
  <si>
    <t xml:space="preserve">A_101 repeat stops on s_2/s_3/s_5</t>
  </si>
  <si>
    <t xml:space="preserve">515 h; 70% recur within 30 min (A2)</t>
  </si>
  <si>
    <t xml:space="preserve">A_001 / A_006 long stops</t>
  </si>
  <si>
    <t xml:space="preserve">MTTR 5-6 min, highest RPN (A2)</t>
  </si>
  <si>
    <t xml:space="preserve">Reduced-speed running on s_4</t>
  </si>
  <si>
    <t xml:space="preserve">21% of s_4 logged time in performance_loss state</t>
  </si>
  <si>
    <t xml:space="preserve">Method</t>
  </si>
  <si>
    <t xml:space="preserve">Changeovers not standardised</t>
  </si>
  <si>
    <t xml:space="preserve">Mean 37-68 min, P90 up to 167 min (I3)</t>
  </si>
  <si>
    <t xml:space="preserve">Start-of-day restarts</t>
  </si>
  <si>
    <t xml:space="preserve">Shift A alarm-downtime share highest (A3)</t>
  </si>
  <si>
    <t xml:space="preserve">Measurement</t>
  </si>
  <si>
    <t xml:space="preserve">Idle has no reason code</t>
  </si>
  <si>
    <t xml:space="preserve">27% of PPT unexplained (M1, M3)</t>
  </si>
  <si>
    <t xml:space="preserve">Alarm codes anonymised, no hierarchy</t>
  </si>
  <si>
    <t xml:space="preserve">132 codes, no family / component map</t>
  </si>
  <si>
    <t xml:space="preserve">People</t>
  </si>
  <si>
    <t xml:space="preserve">Night and weekend under-staffing</t>
  </si>
  <si>
    <t xml:space="preserve">Idle share C shift and weekends significantly higher (A3)</t>
  </si>
  <si>
    <t xml:space="preserve">Recovery skill varies by operator</t>
  </si>
  <si>
    <t xml:space="preserve">Not in data - verify with MTTR by crew</t>
  </si>
  <si>
    <t xml:space="preserve">[hyp.]</t>
  </si>
  <si>
    <t xml:space="preserve">Material</t>
  </si>
  <si>
    <t xml:space="preserve">Line starvation behind idle</t>
  </si>
  <si>
    <t xml:space="preserve">Not coded - verify with reason codes</t>
  </si>
  <si>
    <t xml:space="preserve">Blank / film variation causes jams</t>
  </si>
  <si>
    <t xml:space="preserve">Not in data - verify with supplier lot tracing</t>
  </si>
  <si>
    <t xml:space="preserve">Environment</t>
  </si>
  <si>
    <t xml:space="preserve">s_1 degraded in 2021</t>
  </si>
  <si>
    <t xml:space="preserve">s_1 OEE 67.8% -&gt; 62.7%; all other machines improved (A3)</t>
  </si>
  <si>
    <t xml:space="preserve">5 Whys - A_065 on s_1</t>
  </si>
  <si>
    <t xml:space="preserve">Why?</t>
  </si>
  <si>
    <t xml:space="preserve">Answer</t>
  </si>
  <si>
    <t xml:space="preserve">Evidence / status</t>
  </si>
  <si>
    <t xml:space="preserve">1. Why is s_1 OEE below target?</t>
  </si>
  <si>
    <t xml:space="preserve">Availability loss from frequent alarm stops</t>
  </si>
  <si>
    <t xml:space="preserve">A_065 = 62% of s_1 alarm downtime [data]</t>
  </si>
  <si>
    <t xml:space="preserve">2. Why so much A_065 downtime?</t>
  </si>
  <si>
    <t xml:space="preserve">Very frequent short stops (~2 per run-hour), not long ones</t>
  </si>
  <si>
    <t xml:space="preserve">Median 1.3 min, 18.9k events [data]</t>
  </si>
  <si>
    <t xml:space="preserve">3. Why so frequent?</t>
  </si>
  <si>
    <t xml:space="preserve">Stops cluster: 81% recur within 30 min of the previous one</t>
  </si>
  <si>
    <t xml:space="preserve">Repeat rate [data]</t>
  </si>
  <si>
    <t xml:space="preserve">4. Why do they recur?</t>
  </si>
  <si>
    <t xml:space="preserve">Operator clears the jam but the trigger condition is not removed</t>
  </si>
  <si>
    <t xml:space="preserve">[hyp.] - observe 20 stops at the gemba</t>
  </si>
  <si>
    <t xml:space="preserve">5. Why is the trigger not removed?</t>
  </si>
  <si>
    <t xml:space="preserve">No standard for root-cause fixing of micro-stops; no CIL routine</t>
  </si>
  <si>
    <t xml:space="preserve">[hyp.] -&gt; Kaizen + CIL + Poka-Yoke</t>
  </si>
  <si>
    <t xml:space="preserve">5 Whys - Idle time</t>
  </si>
  <si>
    <t xml:space="preserve">1. Why is availability only 64%?</t>
  </si>
  <si>
    <t xml:space="preserve">27% of planned time is idle</t>
  </si>
  <si>
    <t xml:space="preserve">M3 [data]</t>
  </si>
  <si>
    <t xml:space="preserve">2. Why is the machine idle?</t>
  </si>
  <si>
    <t xml:space="preserve">Unknown - idle rows carry no reason code</t>
  </si>
  <si>
    <t xml:space="preserve">M1 [data]</t>
  </si>
  <si>
    <t xml:space="preserve">3. When is it idle?</t>
  </si>
  <si>
    <t xml:space="preserve">Night shift (C) and weekends</t>
  </si>
  <si>
    <t xml:space="preserve">A3 ANOVA / t-test [data]</t>
  </si>
  <si>
    <t xml:space="preserve">4. Why then?</t>
  </si>
  <si>
    <t xml:space="preserve">Likely thin staffing / no material staged / no orders</t>
  </si>
  <si>
    <t xml:space="preserve">5. Why can't we tell?</t>
  </si>
  <si>
    <t xml:space="preserve">The data system never asks the operator why</t>
  </si>
  <si>
    <t xml:space="preserve">Root cause = measurement gap -&gt; Poka-Yoke on data entry</t>
  </si>
  <si>
    <t xml:space="preserve">A2 - Data-driven FMEA (top 10 failure modes by downtime)</t>
  </si>
  <si>
    <t xml:space="preserve">ANALYZE. S from MTTR, O from stops per 1,000 run-hours, D from 'repeat within 30 min' (a failure that recurs announces itself -&gt; easier to detect). Scales at right.</t>
  </si>
  <si>
    <t xml:space="preserve">Failure mode</t>
  </si>
  <si>
    <t xml:space="preserve">Effect</t>
  </si>
  <si>
    <t xml:space="preserve">Stops / 1000 run-h</t>
  </si>
  <si>
    <t xml:space="preserve">Repeat &lt;= 30 min</t>
  </si>
  <si>
    <t xml:space="preserve">S</t>
  </si>
  <si>
    <t xml:space="preserve">O</t>
  </si>
  <si>
    <t xml:space="preserve">D</t>
  </si>
  <si>
    <t xml:space="preserve">RPN</t>
  </si>
  <si>
    <t xml:space="preserve">Priority</t>
  </si>
  <si>
    <t xml:space="preserve">Recommended action</t>
  </si>
  <si>
    <t xml:space="preserve">MTTR &gt;= (min)</t>
  </si>
  <si>
    <t xml:space="preserve">Stops/1000h &gt;=</t>
  </si>
  <si>
    <t xml:space="preserve">Machine stop, lost output</t>
  </si>
  <si>
    <t xml:space="preserve">s_2, s_3, s_5</t>
  </si>
  <si>
    <t xml:space="preserve">s_1, s_2, s_3, s_4</t>
  </si>
  <si>
    <t xml:space="preserve">s_1, s_5</t>
  </si>
  <si>
    <t xml:space="preserve">s_1, s_2, s_3, s_4, s_5</t>
  </si>
  <si>
    <t xml:space="preserve">Reading: Pareto ranks by impact (A_065 first); FMEA ranks by risk (A_001 / A_006 first - long, unpredictable stops). Use both: Kaizen for the frequent ones, Poka-Yoke for the risky ones.</t>
  </si>
  <si>
    <t xml:space="preserve">A3 - Hypothesis tests (Excel-native formulas, alpha = 0.05)</t>
  </si>
  <si>
    <t xml:space="preserve">ANALYZE. Data_Shift = v_shift_state_share (machine x day x shift, planned &gt;= 1 h); Data_Daily = v_daily_machine. Large n makes ANOVA / Welch robust to non-normality.</t>
  </si>
  <si>
    <t xml:space="preserve">H1: Mean IDLE share is equal across shifts A, B, C  (one-way ANOVA)</t>
  </si>
  <si>
    <t xml:space="preserve">H2: Mean ALARM-DOWNTIME share is equal across shifts (one-way ANOVA)</t>
  </si>
  <si>
    <t xml:space="preserve">n</t>
  </si>
  <si>
    <t xml:space="preserve">Mean idle share</t>
  </si>
  <si>
    <t xml:space="preserve">SS within</t>
  </si>
  <si>
    <t xml:space="preserve">Mean downtime share</t>
  </si>
  <si>
    <t xml:space="preserve">A</t>
  </si>
  <si>
    <t xml:space="preserve">B</t>
  </si>
  <si>
    <t xml:space="preserve">C</t>
  </si>
  <si>
    <t xml:space="preserve">Grand mean</t>
  </si>
  <si>
    <t xml:space="preserve">SS between</t>
  </si>
  <si>
    <t xml:space="preserve">df between / within</t>
  </si>
  <si>
    <t xml:space="preserve">df between</t>
  </si>
  <si>
    <t xml:space="preserve">df within</t>
  </si>
  <si>
    <t xml:space="preserve">F statistic</t>
  </si>
  <si>
    <t xml:space="preserve">p-value</t>
  </si>
  <si>
    <t xml:space="preserve">Decision</t>
  </si>
  <si>
    <t xml:space="preserve">H3: Weekend idle share &lt;= weekday idle share  (Welch two-sample t, one-tailed)</t>
  </si>
  <si>
    <t xml:space="preserve">H4: Top-alarm mix is independent of shift  (chi-square test of independence)</t>
  </si>
  <si>
    <t xml:space="preserve">Group</t>
  </si>
  <si>
    <t xml:space="preserve">Mean</t>
  </si>
  <si>
    <t xml:space="preserve">Variance</t>
  </si>
  <si>
    <t xml:space="preserve">Alarm group</t>
  </si>
  <si>
    <t xml:space="preserve">Shift A</t>
  </si>
  <si>
    <t xml:space="preserve">Shift B</t>
  </si>
  <si>
    <t xml:space="preserve">Shift C</t>
  </si>
  <si>
    <t xml:space="preserve">Row total</t>
  </si>
  <si>
    <t xml:space="preserve">Weekend</t>
  </si>
  <si>
    <t xml:space="preserve">Weekday</t>
  </si>
  <si>
    <t xml:space="preserve">t statistic</t>
  </si>
  <si>
    <t xml:space="preserve">Welch df</t>
  </si>
  <si>
    <t xml:space="preserve">p-value (one-tailed)</t>
  </si>
  <si>
    <t xml:space="preserve">other</t>
  </si>
  <si>
    <t xml:space="preserve">Column total</t>
  </si>
  <si>
    <t xml:space="preserve">Expected</t>
  </si>
  <si>
    <t xml:space="preserve">Chi-square</t>
  </si>
  <si>
    <t xml:space="preserve">Cramer's V (effect size)</t>
  </si>
  <si>
    <t xml:space="preserve">H5: Daily OEE is equal in 2020 and 2021 - tested PER MACHINE (Welch t, two-tailed). Stratify first: the pooled fleet 'decline' is a mix effect.</t>
  </si>
  <si>
    <t xml:space="preserve">n 2020</t>
  </si>
  <si>
    <t xml:space="preserve">Mean 2020</t>
  </si>
  <si>
    <t xml:space="preserve">Var 2020</t>
  </si>
  <si>
    <t xml:space="preserve">n 2021</t>
  </si>
  <si>
    <t xml:space="preserve">Mean 2021</t>
  </si>
  <si>
    <t xml:space="preserve">Var 2021</t>
  </si>
  <si>
    <t xml:space="preserve">Change (pts)</t>
  </si>
  <si>
    <t xml:space="preserve">t</t>
  </si>
  <si>
    <t xml:space="preserve">df</t>
  </si>
  <si>
    <t xml:space="preserve">H6: Simple regression - daily OEE vs alarm stops per run-hour (fleet, valid days)</t>
  </si>
  <si>
    <t xml:space="preserve">Reading: stops explain only part of OEE variance (see R-squared) - idle and speed loss matter more. Do not over-claim a weak regression.</t>
  </si>
  <si>
    <t xml:space="preserve">mean x (stops/run-h)</t>
  </si>
  <si>
    <t xml:space="preserve">mean y (OEE)</t>
  </si>
  <si>
    <t xml:space="preserve">Sxy</t>
  </si>
  <si>
    <t xml:space="preserve">Sxx</t>
  </si>
  <si>
    <t xml:space="preserve">Syy</t>
  </si>
  <si>
    <t xml:space="preserve">Slope (OEE per extra stop/run-h)</t>
  </si>
  <si>
    <t xml:space="preserve">Intercept</t>
  </si>
  <si>
    <t xml:space="preserve">R-squared</t>
  </si>
  <si>
    <t xml:space="preserve">t (slope)</t>
  </si>
  <si>
    <t xml:space="preserve">I1 - Solution selection matrix</t>
  </si>
  <si>
    <t xml:space="preserve">IMPROVE. Priority = Impact x (6 - Effort). Scores are team judgement (yellow).</t>
  </si>
  <si>
    <t xml:space="preserve">Root cause (from Analyze)</t>
  </si>
  <si>
    <t xml:space="preserve">Countermeasure</t>
  </si>
  <si>
    <t xml:space="preserve">Lean tool</t>
  </si>
  <si>
    <t xml:space="preserve">Impact 1-5</t>
  </si>
  <si>
    <t xml:space="preserve">Effort 1-5</t>
  </si>
  <si>
    <t xml:space="preserve">Owner</t>
  </si>
  <si>
    <t xml:space="preserve">Wave</t>
  </si>
  <si>
    <t xml:space="preserve">Mandatory reason-code pop-up after 3 min idle; weekly idle Pareto</t>
  </si>
  <si>
    <t xml:space="preserve">Poka-Yoke (data) + visual mgmt</t>
  </si>
  <si>
    <t xml:space="preserve">Shift leads + IT</t>
  </si>
  <si>
    <t xml:space="preserve">Night / weekend idle</t>
  </si>
  <si>
    <t xml:space="preserve">Staffing &amp; handover standard work; pre-staged material before night shift</t>
  </si>
  <si>
    <t xml:space="preserve">Standard work + Kanban</t>
  </si>
  <si>
    <t xml:space="preserve">Production mgr</t>
  </si>
  <si>
    <t xml:space="preserve">A_065 micro-stops (s_1)</t>
  </si>
  <si>
    <t xml:space="preserve">5-day Kaizen blitz: observe 20 stops, fix trigger, CIL standard</t>
  </si>
  <si>
    <t xml:space="preserve">Kaizen + 5 Whys + CIL</t>
  </si>
  <si>
    <t xml:space="preserve">Maint. + operators</t>
  </si>
  <si>
    <t xml:space="preserve">Error-proof the setup step, standard repair kit at the machine</t>
  </si>
  <si>
    <t xml:space="preserve">Poka-Yoke + 5S</t>
  </si>
  <si>
    <t xml:space="preserve">A_101 repeat stops (s_2/3/5)</t>
  </si>
  <si>
    <t xml:space="preserve">Horizontal expansion of the s_1 Kaizen method</t>
  </si>
  <si>
    <t xml:space="preserve">Kaizen (Yokoten)</t>
  </si>
  <si>
    <t xml:space="preserve">CI engineer</t>
  </si>
  <si>
    <t xml:space="preserve">Long changeovers</t>
  </si>
  <si>
    <t xml:space="preserve">SMED: separate internal/external, pre-kitting, quick clamps</t>
  </si>
  <si>
    <t xml:space="preserve">SMED</t>
  </si>
  <si>
    <t xml:space="preserve">Setup techs</t>
  </si>
  <si>
    <t xml:space="preserve">Speed loss (s_4)</t>
  </si>
  <si>
    <t xml:space="preserve">Rated-speed standard + CIL; review speed set-points</t>
  </si>
  <si>
    <t xml:space="preserve">5S / TPM</t>
  </si>
  <si>
    <t xml:space="preserve">Process eng.</t>
  </si>
  <si>
    <t xml:space="preserve">Material starvation risk</t>
  </si>
  <si>
    <t xml:space="preserve">Two-bin Kanban line-side; ROP/EOQ for supplier orders</t>
  </si>
  <si>
    <t xml:space="preserve">Kanban + inventory policy</t>
  </si>
  <si>
    <t xml:space="preserve">Stores / planning</t>
  </si>
  <si>
    <t xml:space="preserve">I2 - Projected OEE bridge by Lean lever (edit the yellow reduction rates)</t>
  </si>
  <si>
    <t xml:space="preserve">IMPROVE. Recovered hours become run time at the current performance rate. These are PROJECTIONS - validate in the s_1 pilot.</t>
  </si>
  <si>
    <t xml:space="preserve">Planned production time (h)</t>
  </si>
  <si>
    <t xml:space="preserve">Run time (h)</t>
  </si>
  <si>
    <t xml:space="preserve">Idle (h)</t>
  </si>
  <si>
    <t xml:space="preserve">A_001 + A_006 downtime (h)</t>
  </si>
  <si>
    <t xml:space="preserve">A_065 + A_101 + A_066 downtime (h)</t>
  </si>
  <si>
    <t xml:space="preserve">Other alarm downtime (h)</t>
  </si>
  <si>
    <t xml:space="preserve">Baseline OEE</t>
  </si>
  <si>
    <t xml:space="preserve">Lever</t>
  </si>
  <si>
    <t xml:space="preserve">Loss bucket (h)</t>
  </si>
  <si>
    <t xml:space="preserve">Assumed reduction</t>
  </si>
  <si>
    <t xml:space="preserve">Hours recovered</t>
  </si>
  <si>
    <t xml:space="preserve">Run time after (h)</t>
  </si>
  <si>
    <t xml:space="preserve">Performance after</t>
  </si>
  <si>
    <t xml:space="preserve">OEE after</t>
  </si>
  <si>
    <t xml:space="preserve">Delta (pts)</t>
  </si>
  <si>
    <t xml:space="preserve">Baseline</t>
  </si>
  <si>
    <t xml:space="preserve">Poka-Yoke + autonomous maintenance (A_001, A_006)</t>
  </si>
  <si>
    <t xml:space="preserve">Poka-Yoke / TPM</t>
  </si>
  <si>
    <t xml:space="preserve">Kaizen blitz on micro-stops (A_065, A_101, A_066)</t>
  </si>
  <si>
    <t xml:space="preserve">Kaizen / 5 Whys</t>
  </si>
  <si>
    <t xml:space="preserve">5S + visual management (other alarms)</t>
  </si>
  <si>
    <t xml:space="preserve">5S</t>
  </si>
  <si>
    <t xml:space="preserve">Idle recovery: reason codes + Kanban + night/weekend standard work</t>
  </si>
  <si>
    <t xml:space="preserve">Poka-Yoke (data) / Kanban / Std work</t>
  </si>
  <si>
    <t xml:space="preserve">CIL routine + rated-speed standard</t>
  </si>
  <si>
    <t xml:space="preserve">PROJECTED OEE</t>
  </si>
  <si>
    <t xml:space="preserve">Ideal packs per run-hour</t>
  </si>
  <si>
    <t xml:space="preserve">Blunt reading: the idle lever is worth more than all alarm levers combined. Classic 'fix the top alarm' Six Sigma would miss most of the prize.</t>
  </si>
  <si>
    <t xml:space="preserve">Extra good packs per year</t>
  </si>
  <si>
    <t xml:space="preserve">Contribution gain (INR / year)</t>
  </si>
  <si>
    <t xml:space="preserve">Contribution gain (INR lakh / year)</t>
  </si>
  <si>
    <t xml:space="preserve">COPQ of rejects (INR / year)</t>
  </si>
  <si>
    <t xml:space="preserve">Packs lost vs ideal per year (all losses)</t>
  </si>
  <si>
    <t xml:space="preserve">I3 - SMED: changeover reduction</t>
  </si>
  <si>
    <t xml:space="preserve">IMPROVE. Baseline from v_smed_baseline (planned stops 10 min - 4 h used as changeover proxy - ASSUMPTION).</t>
  </si>
  <si>
    <t xml:space="preserve">Events</t>
  </si>
  <si>
    <t xml:space="preserve">Mean min</t>
  </si>
  <si>
    <t xml:space="preserve">Median min</t>
  </si>
  <si>
    <t xml:space="preserve">P90 min</t>
  </si>
  <si>
    <t xml:space="preserve">Events / year</t>
  </si>
  <si>
    <t xml:space="preserve">Target mean min</t>
  </si>
  <si>
    <t xml:space="preserve">Hours released / year</t>
  </si>
  <si>
    <t xml:space="preserve">SMED study template (TEMPLATE EXAMPLE - replace with a timed video study of one real changeover)</t>
  </si>
  <si>
    <t xml:space="preserve">#</t>
  </si>
  <si>
    <t xml:space="preserve">Current min</t>
  </si>
  <si>
    <t xml:space="preserve">Internal / External (now)</t>
  </si>
  <si>
    <t xml:space="preserve">Can it be external?</t>
  </si>
  <si>
    <t xml:space="preserve">Improvement idea</t>
  </si>
  <si>
    <t xml:space="preserve">Future min</t>
  </si>
  <si>
    <t xml:space="preserve">Future type</t>
  </si>
  <si>
    <t xml:space="preserve">Stop machine, clear line</t>
  </si>
  <si>
    <t xml:space="preserve">Internal</t>
  </si>
  <si>
    <t xml:space="preserve">No</t>
  </si>
  <si>
    <t xml:space="preserve">Standard stop sequence</t>
  </si>
  <si>
    <t xml:space="preserve">Fetch new film reel / blanks from store</t>
  </si>
  <si>
    <t xml:space="preserve">Yes</t>
  </si>
  <si>
    <t xml:space="preserve">Pre-kit on trolley before stop (Kanban)</t>
  </si>
  <si>
    <t xml:space="preserve">External</t>
  </si>
  <si>
    <t xml:space="preserve">Fetch tools and change parts</t>
  </si>
  <si>
    <t xml:space="preserve">Shadow board at machine (5S)</t>
  </si>
  <si>
    <t xml:space="preserve">Remove old format parts</t>
  </si>
  <si>
    <t xml:space="preserve">Quick-release clamps</t>
  </si>
  <si>
    <t xml:space="preserve">Fit new format parts</t>
  </si>
  <si>
    <t xml:space="preserve">Colour-coded, keyed parts (Poka-Yoke)</t>
  </si>
  <si>
    <t xml:space="preserve">Adjust guides by trial and error</t>
  </si>
  <si>
    <t xml:space="preserve">Fixed-position stops, no adjustment</t>
  </si>
  <si>
    <t xml:space="preserve">First-off quality check</t>
  </si>
  <si>
    <t xml:space="preserve">Go/no-go gauge</t>
  </si>
  <si>
    <t xml:space="preserve">Paperwork / log entry</t>
  </si>
  <si>
    <t xml:space="preserve">Do while running</t>
  </si>
  <si>
    <t xml:space="preserve">Total internal (machine stopped) minutes</t>
  </si>
  <si>
    <t xml:space="preserve">Reduction</t>
  </si>
  <si>
    <t xml:space="preserve">I4 - Poka-Yoke (error-proofing) plan</t>
  </si>
  <si>
    <t xml:space="preserve">IMPROVE. Alarm codes are anonymised, so devices are proposals to validate with maintenance.</t>
  </si>
  <si>
    <t xml:space="preserve">Failure mode / error</t>
  </si>
  <si>
    <t xml:space="preserve">Poka-Yoke device</t>
  </si>
  <si>
    <t xml:space="preserve">Type</t>
  </si>
  <si>
    <t xml:space="preserve">Function</t>
  </si>
  <si>
    <t xml:space="preserve">Verification</t>
  </si>
  <si>
    <t xml:space="preserve">Idle with no reason (data error)</t>
  </si>
  <si>
    <t xml:space="preserve">HMI forces a reason-code choice after 3 min idle; cannot restart without it</t>
  </si>
  <si>
    <t xml:space="preserve">Motion-step</t>
  </si>
  <si>
    <t xml:space="preserve">Control (prevent)</t>
  </si>
  <si>
    <t xml:space="preserve">% idle minutes coded &gt;= 95%</t>
  </si>
  <si>
    <t xml:space="preserve">Keyed / colour-coded change parts that fit only one way</t>
  </si>
  <si>
    <t xml:space="preserve">Contact</t>
  </si>
  <si>
    <t xml:space="preserve">Control</t>
  </si>
  <si>
    <t xml:space="preserve">Stop count per 1,000 run-h</t>
  </si>
  <si>
    <t xml:space="preserve">A_065 jam at infeed (hyp.)</t>
  </si>
  <si>
    <t xml:space="preserve">Photo-eye detects mis-fed blank and diverts it before the jam</t>
  </si>
  <si>
    <t xml:space="preserve">Contact (sensor)</t>
  </si>
  <si>
    <t xml:space="preserve">Warning + divert</t>
  </si>
  <si>
    <t xml:space="preserve">A_065 stops per run-h</t>
  </si>
  <si>
    <t xml:space="preserve">Wrong material staged</t>
  </si>
  <si>
    <t xml:space="preserve">Barcode scan of film / blank lot vs work order before start</t>
  </si>
  <si>
    <t xml:space="preserve">Fixed-value</t>
  </si>
  <si>
    <t xml:space="preserve">Wrong-material incidents = 0</t>
  </si>
  <si>
    <t xml:space="preserve">Changeover step skipped</t>
  </si>
  <si>
    <t xml:space="preserve">Checklist on HMI with interlock until all steps confirmed</t>
  </si>
  <si>
    <t xml:space="preserve">First-off pass rate</t>
  </si>
  <si>
    <t xml:space="preserve">Speed set below rated</t>
  </si>
  <si>
    <t xml:space="preserve">Speed set-point locked to recipe; override needs supervisor PIN</t>
  </si>
  <si>
    <t xml:space="preserve">I5 - 5S audit (score 0-4, yellow cells)</t>
  </si>
  <si>
    <t xml:space="preserve">IMPROVE / CONTROL. Audit weekly in the pilot, monthly after.</t>
  </si>
  <si>
    <t xml:space="preserve">Audit question</t>
  </si>
  <si>
    <t xml:space="preserve">Score (0-4)</t>
  </si>
  <si>
    <t xml:space="preserve">Sort</t>
  </si>
  <si>
    <t xml:space="preserve">Only items needed for the current format are at the machine</t>
  </si>
  <si>
    <t xml:space="preserve">Red-tag area exists and is cleared weekly</t>
  </si>
  <si>
    <t xml:space="preserve">Set in order</t>
  </si>
  <si>
    <t xml:space="preserve">Shadow board for changeover tools; every tool has a home</t>
  </si>
  <si>
    <t xml:space="preserve">Kanban bins labelled with qty and location</t>
  </si>
  <si>
    <t xml:space="preserve">Shine</t>
  </si>
  <si>
    <t xml:space="preserve">Cleaning = inspection: CIL checklist done every shift</t>
  </si>
  <si>
    <t xml:space="preserve">Sources of dust / glue / film scrap identified and contained</t>
  </si>
  <si>
    <t xml:space="preserve">Standardise</t>
  </si>
  <si>
    <t xml:space="preserve">One-point lessons posted for top 3 alarms</t>
  </si>
  <si>
    <t xml:space="preserve">Changeover standard (SMED) displayed and followed</t>
  </si>
  <si>
    <t xml:space="preserve">Sustain</t>
  </si>
  <si>
    <t xml:space="preserve">Audit done on schedule with actions tracked</t>
  </si>
  <si>
    <t xml:space="preserve">Shift handover includes OEE and idle reasons</t>
  </si>
  <si>
    <t xml:space="preserve">Score %</t>
  </si>
  <si>
    <t xml:space="preserve">Overall 5S score</t>
  </si>
  <si>
    <t xml:space="preserve">Example scores shown - replace with your own audit.</t>
  </si>
  <si>
    <t xml:space="preserve">I6 - Kaizen event (5-day blitz on A_065, s_1) + PDCA tracker</t>
  </si>
  <si>
    <t xml:space="preserve">IMPROVE.</t>
  </si>
  <si>
    <t xml:space="preserve">Day</t>
  </si>
  <si>
    <t xml:space="preserve">Activity</t>
  </si>
  <si>
    <t xml:space="preserve">Output</t>
  </si>
  <si>
    <t xml:space="preserve">Day 1</t>
  </si>
  <si>
    <t xml:space="preserve">Train team; review Pareto/FMEA; walk the line; set target (-30% A_065 hours)</t>
  </si>
  <si>
    <t xml:space="preserve">Kaizen charter</t>
  </si>
  <si>
    <t xml:space="preserve">Day 2</t>
  </si>
  <si>
    <t xml:space="preserve">Observe and video 20+ A_065 stops; 5 Whys on each; tag triggers</t>
  </si>
  <si>
    <t xml:space="preserve">Cause list with evidence</t>
  </si>
  <si>
    <t xml:space="preserve">Day 3</t>
  </si>
  <si>
    <t xml:space="preserve">Try fixes on the machine (adjust, clean, guide, sensor); SMED on recovery</t>
  </si>
  <si>
    <t xml:space="preserve">Tested countermeasures</t>
  </si>
  <si>
    <t xml:space="preserve">Day 4</t>
  </si>
  <si>
    <t xml:space="preserve">Standardise: one-point lessons, CIL sheet, Poka-Yoke proposals</t>
  </si>
  <si>
    <t xml:space="preserve">Standard work</t>
  </si>
  <si>
    <t xml:space="preserve">Day 5</t>
  </si>
  <si>
    <t xml:space="preserve">Report-out; compare stops/run-h before vs after on the X-bar/R chart</t>
  </si>
  <si>
    <t xml:space="preserve">30-day action list</t>
  </si>
  <si>
    <t xml:space="preserve">PDCA</t>
  </si>
  <si>
    <t xml:space="preserve">Action</t>
  </si>
  <si>
    <t xml:space="preserve">Due</t>
  </si>
  <si>
    <t xml:space="preserve">Metric before</t>
  </si>
  <si>
    <t xml:space="preserve">Metric after</t>
  </si>
  <si>
    <t xml:space="preserve">Plan</t>
  </si>
  <si>
    <t xml:space="preserve">Baseline A_065 stops/run-h on s_1</t>
  </si>
  <si>
    <t xml:space="preserve">CI eng.</t>
  </si>
  <si>
    <t xml:space="preserve">Wk 9</t>
  </si>
  <si>
    <t xml:space="preserve">Open</t>
  </si>
  <si>
    <t xml:space="preserve">Do</t>
  </si>
  <si>
    <t xml:space="preserve">Kaizen countermeasures implemented</t>
  </si>
  <si>
    <t xml:space="preserve">Maint.</t>
  </si>
  <si>
    <t xml:space="preserve">Wk 10</t>
  </si>
  <si>
    <t xml:space="preserve">Check</t>
  </si>
  <si>
    <t xml:space="preserve">30-day X-bar/R review, t-test before vs after</t>
  </si>
  <si>
    <t xml:space="preserve">BB/GB</t>
  </si>
  <si>
    <t xml:space="preserve">Wk 14</t>
  </si>
  <si>
    <t xml:space="preserve">Act</t>
  </si>
  <si>
    <t xml:space="preserve">Standardise + roll out to s_2/s_3/s_5 (A_101)</t>
  </si>
  <si>
    <t xml:space="preserve">Prod. mgr</t>
  </si>
  <si>
    <t xml:space="preserve">Wk 16</t>
  </si>
  <si>
    <t xml:space="preserve">I7 - Kanban sizing for line-side packaging material</t>
  </si>
  <si>
    <t xml:space="preserve">IMPROVE. N = ROUNDUP( D x L x (1 + alpha) / C ).</t>
  </si>
  <si>
    <t xml:space="preserve">Avg draw (blanks/h, planned time)</t>
  </si>
  <si>
    <t xml:space="preserve">Rated draw (blanks/h)</t>
  </si>
  <si>
    <t xml:space="preserve">Kanbans - average</t>
  </si>
  <si>
    <t xml:space="preserve">Kanbans - peak (rated speed)</t>
  </si>
  <si>
    <t xml:space="preserve">Max line-side stock</t>
  </si>
  <si>
    <t xml:space="preserve">Hours of cover at avg draw</t>
  </si>
  <si>
    <t xml:space="preserve">Size on the PEAK (rated-speed) draw: sizing on the average starves the machine whenever it runs well.</t>
  </si>
  <si>
    <t xml:space="preserve">I8 - Inventory optimisation: Safety Stock, Reorder Point, EOQ (service-level based)</t>
  </si>
  <si>
    <t xml:space="preserve">IMPROVE. Daily demand stats from v_inventory_policy (Phase I = 2020). SS = z x SQRT(L x sd_d^2 + d^2 x sd_L^2); ROP = d x L + SS; EOQ = SQRT(2DS/H).</t>
  </si>
  <si>
    <t xml:space="preserve">Mean daily demand</t>
  </si>
  <si>
    <t xml:space="preserve">SD daily demand</t>
  </si>
  <si>
    <t xml:space="preserve">Training days</t>
  </si>
  <si>
    <t xml:space="preserve">z</t>
  </si>
  <si>
    <t xml:space="preserve">Sigma LTD</t>
  </si>
  <si>
    <t xml:space="preserve">Safety stock</t>
  </si>
  <si>
    <t xml:space="preserve">Reorder point</t>
  </si>
  <si>
    <t xml:space="preserve">Annual demand</t>
  </si>
  <si>
    <t xml:space="preserve">Holding cost / unit / yr</t>
  </si>
  <si>
    <t xml:space="preserve">EOQ</t>
  </si>
  <si>
    <t xml:space="preserve">Orders / year</t>
  </si>
  <si>
    <t xml:space="preserve">Avg inventory</t>
  </si>
  <si>
    <t xml:space="preserve">Days of cover</t>
  </si>
  <si>
    <t xml:space="preserve">Total annual cost (INR)</t>
  </si>
  <si>
    <t xml:space="preserve">Safety stock by service level (sensitivity)</t>
  </si>
  <si>
    <t xml:space="preserve">Service level</t>
  </si>
  <si>
    <t xml:space="preserve">Out-of-sample backtest of the (ROP, EOQ) policy on real 2021 consumption (Python simulation, 100 runs, random lead times)</t>
  </si>
  <si>
    <t xml:space="preserve">Target CSL</t>
  </si>
  <si>
    <t xml:space="preserve">Static policy CSL</t>
  </si>
  <si>
    <t xml:space="preserve">Static fill rate</t>
  </si>
  <si>
    <t xml:space="preserve">Adaptive CSL (monthly re-fit)</t>
  </si>
  <si>
    <t xml:space="preserve">Adaptive fill rate</t>
  </si>
  <si>
    <t xml:space="preserve">2020 mean demand</t>
  </si>
  <si>
    <t xml:space="preserve">2021 mean demand</t>
  </si>
  <si>
    <t xml:space="preserve">Reading: a policy fitted once breaks when demand shifts (s_2, s_4 volume ~2.7x in 2021). Control-phase rule: re-fit ROP/EOQ monthly and use the larger of normal and empirical safety stock.</t>
  </si>
  <si>
    <t xml:space="preserve">Spare kits for high-risk failure modes (ASSUMPTION: a stop &gt;= 30 min consumes one kit). Poisson demand -&gt; exact reorder point.</t>
  </si>
  <si>
    <t xml:space="preserve">Kit events / week</t>
  </si>
  <si>
    <t xml:space="preserve">Lead time (weeks)</t>
  </si>
  <si>
    <t xml:space="preserve">Mean lead-time demand</t>
  </si>
  <si>
    <t xml:space="preserve">Reorder point (Poisson)</t>
  </si>
  <si>
    <t xml:space="preserve">Achieved service level</t>
  </si>
  <si>
    <t xml:space="preserve">EOQ (kits)</t>
  </si>
  <si>
    <t xml:space="preserve">P(X&lt;=0)</t>
  </si>
  <si>
    <t xml:space="preserve">P(X&lt;=1)</t>
  </si>
  <si>
    <t xml:space="preserve">P(X&lt;=2)</t>
  </si>
  <si>
    <t xml:space="preserve">P(X&lt;=3)</t>
  </si>
  <si>
    <t xml:space="preserve">P(X&lt;=4)</t>
  </si>
  <si>
    <t xml:space="preserve">P(X&lt;=5)</t>
  </si>
  <si>
    <t xml:space="preserve">P(X&lt;=6)</t>
  </si>
  <si>
    <t xml:space="preserve">P(X&lt;=7)</t>
  </si>
  <si>
    <t xml:space="preserve">P(X&lt;=8)</t>
  </si>
  <si>
    <t xml:space="preserve">P(X&lt;=9)</t>
  </si>
  <si>
    <t xml:space="preserve">P(X&lt;=10)</t>
  </si>
  <si>
    <t xml:space="preserve">P(X&lt;=11)</t>
  </si>
  <si>
    <t xml:space="preserve">P(X&lt;=12)</t>
  </si>
  <si>
    <t xml:space="preserve">P(X&lt;=13)</t>
  </si>
  <si>
    <t xml:space="preserve">P(X&lt;=14)</t>
  </si>
  <si>
    <t xml:space="preserve">P(X&lt;=15)</t>
  </si>
  <si>
    <t xml:space="preserve">C1 - X-bar &amp; R chart: daily OEE of pilot machine s_1 (subgroup = 3 shifts of one production day)</t>
  </si>
  <si>
    <t xml:space="preserve">CONTROL. Data from v_xbar_r_subgroups. Phase I (2020) sets limits; points with assignable causes are removed once; Phase II (2021) is monitored.</t>
  </si>
  <si>
    <t xml:space="preserve">Pass 1: all Phase I</t>
  </si>
  <si>
    <t xml:space="preserve">Revised limits (assignable causes removed)</t>
  </si>
  <si>
    <t xml:space="preserve">Phase II (2021) monitoring</t>
  </si>
  <si>
    <t xml:space="preserve">A2</t>
  </si>
  <si>
    <t xml:space="preserve">D3</t>
  </si>
  <si>
    <t xml:space="preserve">D4</t>
  </si>
  <si>
    <t xml:space="preserve">d2</t>
  </si>
  <si>
    <t xml:space="preserve">Subgroup size n</t>
  </si>
  <si>
    <t xml:space="preserve">X-double-bar</t>
  </si>
  <si>
    <t xml:space="preserve">X-double-bar (CL)</t>
  </si>
  <si>
    <t xml:space="preserve">Subgroups</t>
  </si>
  <si>
    <t xml:space="preserve">R-bar</t>
  </si>
  <si>
    <t xml:space="preserve">X beyond limits</t>
  </si>
  <si>
    <t xml:space="preserve">UCL X</t>
  </si>
  <si>
    <t xml:space="preserve">R beyond UCL</t>
  </si>
  <si>
    <t xml:space="preserve">LCL X</t>
  </si>
  <si>
    <t xml:space="preserve">8-in-a-row one side</t>
  </si>
  <si>
    <t xml:space="preserve">UCL R</t>
  </si>
  <si>
    <t xml:space="preserve">Mean X-bar Phase II</t>
  </si>
  <si>
    <t xml:space="preserve">LCL R</t>
  </si>
  <si>
    <t xml:space="preserve">Mean R Phase II</t>
  </si>
  <si>
    <t xml:space="preserve">Sigma within = R-bar / d2</t>
  </si>
  <si>
    <t xml:space="preserve">Shift in mean (pts)</t>
  </si>
  <si>
    <t xml:space="preserve">Phase I subgroups kept</t>
  </si>
  <si>
    <t xml:space="preserve">Phase I subgroups removed</t>
  </si>
  <si>
    <t xml:space="preserve">OEE shift A</t>
  </si>
  <si>
    <t xml:space="preserve">OEE shift B</t>
  </si>
  <si>
    <t xml:space="preserve">OEE shift C</t>
  </si>
  <si>
    <t xml:space="preserve">X-bar</t>
  </si>
  <si>
    <t xml:space="preserve">R</t>
  </si>
  <si>
    <t xml:space="preserve">Pass-1 flag (1 = removed)</t>
  </si>
  <si>
    <t xml:space="preserve">CL</t>
  </si>
  <si>
    <t xml:space="preserve">X out</t>
  </si>
  <si>
    <t xml:space="preserve">R out</t>
  </si>
  <si>
    <t xml:space="preserve">Side</t>
  </si>
  <si>
    <t xml:space="preserve">8-in-a-row</t>
  </si>
  <si>
    <t xml:space="preserve">Phase I</t>
  </si>
  <si>
    <t xml:space="preserve">Phase II</t>
  </si>
  <si>
    <t xml:space="preserve">C2 - Process capability of s_1 against the OEE target (one-sided, LSL only)</t>
  </si>
  <si>
    <t xml:space="preserve">CONTROL. Cpk uses within-subgroup sigma (R-bar/d2); Ppk uses overall sigma. OEE is bounded and skewed - treat indices as indicative.</t>
  </si>
  <si>
    <t xml:space="preserve">LSL (OEE target)</t>
  </si>
  <si>
    <t xml:space="preserve">Mean of all shift OEE values</t>
  </si>
  <si>
    <t xml:space="preserve">Overall sigma (all shifts)</t>
  </si>
  <si>
    <t xml:space="preserve">Within sigma = R-bar / d2</t>
  </si>
  <si>
    <t xml:space="preserve">Cpk (lower)</t>
  </si>
  <si>
    <t xml:space="preserve">Ppk (lower)</t>
  </si>
  <si>
    <t xml:space="preserve">% of shifts below LSL</t>
  </si>
  <si>
    <t xml:space="preserve">% of days (X-bar) below LSL</t>
  </si>
  <si>
    <t xml:space="preserve">Z-bench (overall)</t>
  </si>
  <si>
    <t xml:space="preserve">Verdict</t>
  </si>
  <si>
    <t xml:space="preserve">C3 - Control plan</t>
  </si>
  <si>
    <t xml:space="preserve">CONTROL. Hand this to the process owner at the Control tollgate.</t>
  </si>
  <si>
    <t xml:space="preserve">Metric (CTQ)</t>
  </si>
  <si>
    <t xml:space="preserve">Spec / target</t>
  </si>
  <si>
    <t xml:space="preserve">Measurement (source)</t>
  </si>
  <si>
    <t xml:space="preserve">Sample / frequency</t>
  </si>
  <si>
    <t xml:space="preserve">Control method</t>
  </si>
  <si>
    <t xml:space="preserve">Reaction plan</t>
  </si>
  <si>
    <t xml:space="preserve">Daily OEE, s_1 (shift subgroups)</t>
  </si>
  <si>
    <t xml:space="preserve">CL / limits from C1; target &gt;= 65%</t>
  </si>
  <si>
    <t xml:space="preserve">v_xbar_r_chart (PostgreSQL) -&gt; Power BI</t>
  </si>
  <si>
    <t xml:space="preserve">3 shifts / day, reviewed daily</t>
  </si>
  <si>
    <t xml:space="preserve">X-bar &amp; R chart</t>
  </si>
  <si>
    <t xml:space="preserve">OCAP rules 1-3 (C4)</t>
  </si>
  <si>
    <t xml:space="preserve">Shift lead</t>
  </si>
  <si>
    <t xml:space="preserve">Idle share by shift</t>
  </si>
  <si>
    <t xml:space="preserve">&lt;= 20% of planned time</t>
  </si>
  <si>
    <t xml:space="preserve">v_shift_state_share</t>
  </si>
  <si>
    <t xml:space="preserve">Every shift</t>
  </si>
  <si>
    <t xml:space="preserve">Run chart + idle-reason Pareto</t>
  </si>
  <si>
    <t xml:space="preserve">Escalate if &gt; 25% two shifts running</t>
  </si>
  <si>
    <t xml:space="preserve">% idle minutes with reason code</t>
  </si>
  <si>
    <t xml:space="preserve">&gt;= 95%</t>
  </si>
  <si>
    <t xml:space="preserve">HMI reason codes (new)</t>
  </si>
  <si>
    <t xml:space="preserve">Poka-Yoke interlock + audit</t>
  </si>
  <si>
    <t xml:space="preserve">Fix HMI / retrain</t>
  </si>
  <si>
    <t xml:space="preserve">IT + shift lead</t>
  </si>
  <si>
    <t xml:space="preserve">A_065 stops per run-hour</t>
  </si>
  <si>
    <t xml:space="preserve">-30% vs baseline</t>
  </si>
  <si>
    <t xml:space="preserve">v_pareto_alarm_machine</t>
  </si>
  <si>
    <t xml:space="preserve">Weekly</t>
  </si>
  <si>
    <t xml:space="preserve">Pareto + trend</t>
  </si>
  <si>
    <t xml:space="preserve">Re-open Kaizen</t>
  </si>
  <si>
    <t xml:space="preserve">Changeover minutes</t>
  </si>
  <si>
    <t xml:space="preserve">Target from I3</t>
  </si>
  <si>
    <t xml:space="preserve">v_smed_baseline</t>
  </si>
  <si>
    <t xml:space="preserve">Every changeover</t>
  </si>
  <si>
    <t xml:space="preserve">SMED standard + timing log</t>
  </si>
  <si>
    <t xml:space="preserve">Review with setup tech</t>
  </si>
  <si>
    <t xml:space="preserve">Setup lead</t>
  </si>
  <si>
    <t xml:space="preserve">Package quality</t>
  </si>
  <si>
    <t xml:space="preserve">&gt;= 99.5%</t>
  </si>
  <si>
    <t xml:space="preserve">v_daily_machine (po/pi)</t>
  </si>
  <si>
    <t xml:space="preserve">Trend vs LSL</t>
  </si>
  <si>
    <t xml:space="preserve">Quality hold if &lt; 99.0%</t>
  </si>
  <si>
    <t xml:space="preserve">QA</t>
  </si>
  <si>
    <t xml:space="preserve">Material service level / SS</t>
  </si>
  <si>
    <t xml:space="preserve">&gt;= 98% CSL</t>
  </si>
  <si>
    <t xml:space="preserve">v_inventory_policy</t>
  </si>
  <si>
    <t xml:space="preserve">Monthly re-fit</t>
  </si>
  <si>
    <t xml:space="preserve">ROP/EOQ refresh + Kanban audit</t>
  </si>
  <si>
    <t xml:space="preserve">Re-size SS if demand shifts &gt; 20%</t>
  </si>
  <si>
    <t xml:space="preserve">5S audit score</t>
  </si>
  <si>
    <t xml:space="preserve">&gt;= 80%</t>
  </si>
  <si>
    <t xml:space="preserve">I5_5S_Audit</t>
  </si>
  <si>
    <t xml:space="preserve">Weekly (pilot), monthly</t>
  </si>
  <si>
    <t xml:space="preserve">Audit + actions</t>
  </si>
  <si>
    <t xml:space="preserve">Supervisor walk</t>
  </si>
  <si>
    <t xml:space="preserve">Area owner</t>
  </si>
  <si>
    <t xml:space="preserve">C4 - Out-of-control action plan (OCAP) for the X-bar &amp; R chart</t>
  </si>
  <si>
    <t xml:space="preserve">CONTROL.</t>
  </si>
  <si>
    <t xml:space="preserve">Signal</t>
  </si>
  <si>
    <t xml:space="preserve">Meaning</t>
  </si>
  <si>
    <t xml:space="preserve">First response (within the shift)</t>
  </si>
  <si>
    <t xml:space="preserve">Escalation</t>
  </si>
  <si>
    <t xml:space="preserve">X-bar below LCL (1 point)</t>
  </si>
  <si>
    <t xml:space="preserve">A day far worse than normal - special cause</t>
  </si>
  <si>
    <t xml:space="preserve">Check idle reasons and top alarms for that day; log the cause</t>
  </si>
  <si>
    <t xml:space="preserve">Production mgr same day</t>
  </si>
  <si>
    <t xml:space="preserve">X-bar above UCL</t>
  </si>
  <si>
    <t xml:space="preserve">Unusually good day</t>
  </si>
  <si>
    <t xml:space="preserve">Find out what was different; capture it as standard</t>
  </si>
  <si>
    <t xml:space="preserve">R above UCL</t>
  </si>
  <si>
    <t xml:space="preserve">One shift much worse than the others</t>
  </si>
  <si>
    <t xml:space="preserve">Compare shifts: staffing, material, changeover</t>
  </si>
  <si>
    <t xml:space="preserve">Shift leads meeting</t>
  </si>
  <si>
    <t xml:space="preserve">8 X-bar points in a row one side of CL</t>
  </si>
  <si>
    <t xml:space="preserve">Sustained shift in the mean</t>
  </si>
  <si>
    <t xml:space="preserve">If below: re-open RCA; if above: re-compute limits after 25 subgroups</t>
  </si>
  <si>
    <t xml:space="preserve">BB/GB + sponsor</t>
  </si>
  <si>
    <t xml:space="preserve">Limits exceed 0-100%</t>
  </si>
  <si>
    <t xml:space="preserve">Natural bounds of OEE</t>
  </si>
  <si>
    <t xml:space="preserve">Read limits as 0% / 100%</t>
  </si>
  <si>
    <t xml:space="preserve">equipment_id</t>
  </si>
  <si>
    <t xml:space="preserve">prod_date</t>
  </si>
  <si>
    <t xml:space="preserve">logged_s</t>
  </si>
  <si>
    <t xml:space="preserve">scheduled_downtime_s</t>
  </si>
  <si>
    <t xml:space="preserve">planned_s</t>
  </si>
  <si>
    <t xml:space="preserve">run_s</t>
  </si>
  <si>
    <t xml:space="preserve">production_s</t>
  </si>
  <si>
    <t xml:space="preserve">performance_loss_s</t>
  </si>
  <si>
    <t xml:space="preserve">downtime_s</t>
  </si>
  <si>
    <t xml:space="preserve">idle_s</t>
  </si>
  <si>
    <t xml:space="preserve">ideal_run_units</t>
  </si>
  <si>
    <t xml:space="preserve">units_in</t>
  </si>
  <si>
    <t xml:space="preserve">units_out</t>
  </si>
  <si>
    <t xml:space="preserve">downtime_rows</t>
  </si>
  <si>
    <t xml:space="preserve">year</t>
  </si>
  <si>
    <t xml:space="preserve">valid_day (planned&gt;=4h)</t>
  </si>
  <si>
    <t xml:space="preserve">oee_daily</t>
  </si>
  <si>
    <t xml:space="preserve">stops_per_run_h</t>
  </si>
  <si>
    <t xml:space="preserve">shift</t>
  </si>
  <si>
    <t xml:space="preserve">idle_share</t>
  </si>
  <si>
    <t xml:space="preserve">downtime_share</t>
  </si>
  <si>
    <t xml:space="preserve">is_weekend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</si>
</sst>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"/>
    <numFmt numFmtId="166" formatCode="0.00"/>
    <numFmt numFmtId="167" formatCode="#,##0"/>
    <numFmt numFmtId="168" formatCode="0.0%"/>
    <numFmt numFmtId="169" formatCode="0.0"/>
    <numFmt numFmtId="170" formatCode="0%"/>
    <numFmt numFmtId="171" formatCode="0.0000"/>
    <numFmt numFmtId="172" formatCode="#,##0.0"/>
    <numFmt numFmtId="173" formatCode="0.000%"/>
    <numFmt numFmtId="174" formatCode="General"/>
    <numFmt numFmtId="175" formatCode="0.0E+00"/>
    <numFmt numFmtId="176" formatCode="0.000"/>
    <numFmt numFmtId="177" formatCode="\+0.0;\-0.0"/>
    <numFmt numFmtId="178" formatCode="\+0.0"/>
    <numFmt numFmtId="179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00FF"/>
      <name val="Arial"/>
      <family val="0"/>
      <charset val="1"/>
    </font>
    <font>
      <sz val="9.5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.5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DE6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DE6F0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9C46A"/>
      <rgbColor rgb="FF4F81BD"/>
      <rgbColor rgb="FF33CCCC"/>
      <rgbColor rgb="FF99CC00"/>
      <rgbColor rgb="FFFFCC00"/>
      <rgbColor rgb="FFFF9900"/>
      <rgbColor rgb="FFFF6600"/>
      <rgbColor rgb="FF6D597A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by machine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M2_OEE!O4</c:f>
              <c:strCache>
                <c:ptCount val="1"/>
                <c:pt idx="0">
                  <c:v>OEE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M2_OEE!$A$5:$A$10</c:f>
              <c:strCache>
                <c:ptCount val="6"/>
                <c:pt idx="0">
                  <c:v>s_1</c:v>
                </c:pt>
                <c:pt idx="1">
                  <c:v>s_2</c:v>
                </c:pt>
                <c:pt idx="2">
                  <c:v>s_3</c:v>
                </c:pt>
                <c:pt idx="3">
                  <c:v>s_4</c:v>
                </c:pt>
                <c:pt idx="4">
                  <c:v>s_5</c:v>
                </c:pt>
                <c:pt idx="5">
                  <c:v>Fleet</c:v>
                </c:pt>
              </c:strCache>
            </c:strRef>
          </c:cat>
          <c:val>
            <c:numRef>
              <c:f>M2_OEE!$O$5:$O$10</c:f>
              <c:numCache>
                <c:formatCode>0.0%</c:formatCode>
                <c:ptCount val="6"/>
                <c:pt idx="0">
                  <c:v>0.65219912834257</c:v>
                </c:pt>
                <c:pt idx="1">
                  <c:v>0.322313080298809</c:v>
                </c:pt>
                <c:pt idx="2">
                  <c:v>0.441612052416158</c:v>
                </c:pt>
                <c:pt idx="3">
                  <c:v>0.448049569037016</c:v>
                </c:pt>
                <c:pt idx="4">
                  <c:v>0.553163156195647</c:v>
                </c:pt>
                <c:pt idx="5">
                  <c:v>0.517365055617048</c:v>
                </c:pt>
              </c:numCache>
            </c:numRef>
          </c:val>
        </c:ser>
        <c:gapWidth val="150"/>
        <c:overlap val="0"/>
        <c:axId val="45836943"/>
        <c:axId val="50451324"/>
      </c:barChart>
      <c:catAx>
        <c:axId val="458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51324"/>
        <c:crosses val="autoZero"/>
        <c:auto val="1"/>
        <c:lblAlgn val="ctr"/>
        <c:lblOffset val="100"/>
        <c:noMultiLvlLbl val="0"/>
      </c:catAx>
      <c:valAx>
        <c:axId val="50451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36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- top 15 alarm codes by downtime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M4_Pareto!C4</c:f>
              <c:strCache>
                <c:ptCount val="1"/>
                <c:pt idx="0">
                  <c:v>Downtime 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M4_Pareto!$A$5:$A$19</c:f>
              <c:strCache>
                <c:ptCount val="15"/>
                <c:pt idx="0">
                  <c:v>A_065</c:v>
                </c:pt>
                <c:pt idx="1">
                  <c:v>A_101</c:v>
                </c:pt>
                <c:pt idx="2">
                  <c:v>A_006</c:v>
                </c:pt>
                <c:pt idx="3">
                  <c:v>A_001</c:v>
                </c:pt>
                <c:pt idx="4">
                  <c:v>A_066</c:v>
                </c:pt>
                <c:pt idx="5">
                  <c:v>A_005</c:v>
                </c:pt>
                <c:pt idx="6">
                  <c:v>A_020</c:v>
                </c:pt>
                <c:pt idx="7">
                  <c:v>A_010</c:v>
                </c:pt>
                <c:pt idx="8">
                  <c:v>A_016</c:v>
                </c:pt>
                <c:pt idx="9">
                  <c:v>A_003</c:v>
                </c:pt>
                <c:pt idx="10">
                  <c:v>A_067</c:v>
                </c:pt>
                <c:pt idx="11">
                  <c:v>A_017</c:v>
                </c:pt>
                <c:pt idx="12">
                  <c:v>A_012</c:v>
                </c:pt>
                <c:pt idx="13">
                  <c:v>A_011</c:v>
                </c:pt>
                <c:pt idx="14">
                  <c:v>A_004</c:v>
                </c:pt>
              </c:strCache>
            </c:strRef>
          </c:cat>
          <c:val>
            <c:numRef>
              <c:f>M4_Pareto!$C$5:$C$19</c:f>
              <c:numCache>
                <c:formatCode>#,##0.0</c:formatCode>
                <c:ptCount val="15"/>
                <c:pt idx="0">
                  <c:v>857.929073611111</c:v>
                </c:pt>
                <c:pt idx="1">
                  <c:v>515.188519166667</c:v>
                </c:pt>
                <c:pt idx="2">
                  <c:v>411.227759444445</c:v>
                </c:pt>
                <c:pt idx="3">
                  <c:v>387.568953333333</c:v>
                </c:pt>
                <c:pt idx="4">
                  <c:v>153.422508333333</c:v>
                </c:pt>
                <c:pt idx="5">
                  <c:v>131.560959166667</c:v>
                </c:pt>
                <c:pt idx="6">
                  <c:v>111.136628611111</c:v>
                </c:pt>
                <c:pt idx="7">
                  <c:v>90.5524969444444</c:v>
                </c:pt>
                <c:pt idx="8">
                  <c:v>53.2434366666667</c:v>
                </c:pt>
                <c:pt idx="9">
                  <c:v>42.1321227777778</c:v>
                </c:pt>
                <c:pt idx="10">
                  <c:v>40.9469633333333</c:v>
                </c:pt>
                <c:pt idx="11">
                  <c:v>37.1911452777778</c:v>
                </c:pt>
                <c:pt idx="12">
                  <c:v>36.3385002777778</c:v>
                </c:pt>
                <c:pt idx="13">
                  <c:v>36.1074988888889</c:v>
                </c:pt>
                <c:pt idx="14">
                  <c:v>32.0532122222222</c:v>
                </c:pt>
              </c:numCache>
            </c:numRef>
          </c:val>
        </c:ser>
        <c:gapWidth val="150"/>
        <c:overlap val="0"/>
        <c:axId val="70908838"/>
        <c:axId val="53455998"/>
      </c:barChart>
      <c:lineChart>
        <c:grouping val="standard"/>
        <c:varyColors val="0"/>
        <c:ser>
          <c:idx val="1"/>
          <c:order val="1"/>
          <c:tx>
            <c:strRef>
              <c:f>M4_Pareto!G4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M4_Pareto!$A$5:$A$19</c:f>
              <c:strCache>
                <c:ptCount val="15"/>
                <c:pt idx="0">
                  <c:v>A_065</c:v>
                </c:pt>
                <c:pt idx="1">
                  <c:v>A_101</c:v>
                </c:pt>
                <c:pt idx="2">
                  <c:v>A_006</c:v>
                </c:pt>
                <c:pt idx="3">
                  <c:v>A_001</c:v>
                </c:pt>
                <c:pt idx="4">
                  <c:v>A_066</c:v>
                </c:pt>
                <c:pt idx="5">
                  <c:v>A_005</c:v>
                </c:pt>
                <c:pt idx="6">
                  <c:v>A_020</c:v>
                </c:pt>
                <c:pt idx="7">
                  <c:v>A_010</c:v>
                </c:pt>
                <c:pt idx="8">
                  <c:v>A_016</c:v>
                </c:pt>
                <c:pt idx="9">
                  <c:v>A_003</c:v>
                </c:pt>
                <c:pt idx="10">
                  <c:v>A_067</c:v>
                </c:pt>
                <c:pt idx="11">
                  <c:v>A_017</c:v>
                </c:pt>
                <c:pt idx="12">
                  <c:v>A_012</c:v>
                </c:pt>
                <c:pt idx="13">
                  <c:v>A_011</c:v>
                </c:pt>
                <c:pt idx="14">
                  <c:v>A_004</c:v>
                </c:pt>
              </c:strCache>
            </c:strRef>
          </c:cat>
          <c:val>
            <c:numRef>
              <c:f>M4_Pareto!$G$5:$G$19</c:f>
              <c:numCache>
                <c:formatCode>0.0%</c:formatCode>
                <c:ptCount val="15"/>
                <c:pt idx="0">
                  <c:v>0.27258027119406</c:v>
                </c:pt>
                <c:pt idx="1">
                  <c:v>0.436265394580112</c:v>
                </c:pt>
                <c:pt idx="2">
                  <c:v>0.566920220998435</c:v>
                </c:pt>
                <c:pt idx="3">
                  <c:v>0.690058197849287</c:v>
                </c:pt>
                <c:pt idx="4">
                  <c:v>0.738803426581014</c:v>
                </c:pt>
                <c:pt idx="5">
                  <c:v>0.780602828222992</c:v>
                </c:pt>
                <c:pt idx="6">
                  <c:v>0.81591303427406</c:v>
                </c:pt>
                <c:pt idx="7">
                  <c:v>0.844683272902905</c:v>
                </c:pt>
                <c:pt idx="8">
                  <c:v>0.861599718390429</c:v>
                </c:pt>
                <c:pt idx="9">
                  <c:v>0.874985889585687</c:v>
                </c:pt>
                <c:pt idx="10">
                  <c:v>0.887995513240233</c:v>
                </c:pt>
                <c:pt idx="11">
                  <c:v>0.899811842558884</c:v>
                </c:pt>
                <c:pt idx="12">
                  <c:v>0.911357270456333</c:v>
                </c:pt>
                <c:pt idx="13">
                  <c:v>0.922829304849392</c:v>
                </c:pt>
                <c:pt idx="14">
                  <c:v>0.933013215791353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727712"/>
        <c:axId val="91014139"/>
      </c:lineChart>
      <c:catAx>
        <c:axId val="70908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55998"/>
        <c:crosses val="autoZero"/>
        <c:auto val="1"/>
        <c:lblAlgn val="ctr"/>
        <c:lblOffset val="100"/>
        <c:noMultiLvlLbl val="0"/>
      </c:catAx>
      <c:valAx>
        <c:axId val="53455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08838"/>
        <c:crosses val="autoZero"/>
        <c:crossBetween val="between"/>
      </c:valAx>
      <c:catAx>
        <c:axId val="74727712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14139"/>
        <c:crosses val="autoZero"/>
        <c:auto val="1"/>
        <c:lblAlgn val="ctr"/>
        <c:lblOffset val="100"/>
        <c:noMultiLvlLbl val="0"/>
      </c:catAx>
      <c:valAx>
        <c:axId val="91014139"/>
        <c:scaling>
          <c:orientation val="minMax"/>
          <c:max val="1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27712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OEE after each lever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I2_OEE_Scenario!H15</c:f>
              <c:strCache>
                <c:ptCount val="1"/>
                <c:pt idx="0">
                  <c:v>OEE after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I2_OEE_Scenario!$A$16:$A$21</c:f>
              <c:strCache>
                <c:ptCount val="6"/>
                <c:pt idx="0">
                  <c:v>Baseline</c:v>
                </c:pt>
                <c:pt idx="1">
                  <c:v>Poka-Yoke + autonomous maintenance (A_001, A_006)</c:v>
                </c:pt>
                <c:pt idx="2">
                  <c:v>Kaizen blitz on micro-stops (A_065, A_101, A_066)</c:v>
                </c:pt>
                <c:pt idx="3">
                  <c:v>5S + visual management (other alarms)</c:v>
                </c:pt>
                <c:pt idx="4">
                  <c:v>Idle recovery: reason codes + Kanban + night/weekend standard work</c:v>
                </c:pt>
                <c:pt idx="5">
                  <c:v>CIL routine + rated-speed standard</c:v>
                </c:pt>
              </c:strCache>
            </c:strRef>
          </c:cat>
          <c:val>
            <c:numRef>
              <c:f>I2_OEE_Scenario!$H$16:$H$21</c:f>
              <c:numCache>
                <c:formatCode>0.0%</c:formatCode>
                <c:ptCount val="6"/>
                <c:pt idx="0">
                  <c:v>0.517365055617048</c:v>
                </c:pt>
                <c:pt idx="1">
                  <c:v>0.52420077152089</c:v>
                </c:pt>
                <c:pt idx="2">
                  <c:v>0.533998315389152</c:v>
                </c:pt>
                <c:pt idx="3">
                  <c:v>0.535757098092946</c:v>
                </c:pt>
                <c:pt idx="4">
                  <c:v>0.590664071294396</c:v>
                </c:pt>
                <c:pt idx="5">
                  <c:v>0.618802136213156</c:v>
                </c:pt>
              </c:numCache>
            </c:numRef>
          </c:val>
        </c:ser>
        <c:gapWidth val="150"/>
        <c:overlap val="0"/>
        <c:axId val="92018559"/>
        <c:axId val="47411620"/>
      </c:barChart>
      <c:catAx>
        <c:axId val="9201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411620"/>
        <c:crosses val="autoZero"/>
        <c:auto val="1"/>
        <c:lblAlgn val="ctr"/>
        <c:lblOffset val="100"/>
        <c:noMultiLvlLbl val="0"/>
      </c:catAx>
      <c:valAx>
        <c:axId val="47411620"/>
        <c:scaling>
          <c:orientation val="minMax"/>
          <c:min val="0.4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18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X-bar chart - daily mean OEE of 3 shifts (s_1)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C1_XbarR_s1!F15</c:f>
              <c:strCache>
                <c:ptCount val="1"/>
                <c:pt idx="0">
                  <c:v>X-bar</c:v>
                </c:pt>
              </c:strCache>
            </c:strRef>
          </c:tx>
          <c:spPr>
            <a:solidFill>
              <a:srgbClr val="1f3a5f"/>
            </a:solidFill>
            <a:ln w="118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C1_XbarR_s1!$F$16:$F$494</c:f>
              <c:numCache>
                <c:formatCode>0.0%</c:formatCode>
                <c:ptCount val="479"/>
                <c:pt idx="0">
                  <c:v>0.645764128810294</c:v>
                </c:pt>
                <c:pt idx="1">
                  <c:v>0.649275209931292</c:v>
                </c:pt>
                <c:pt idx="2">
                  <c:v>0.234323971232958</c:v>
                </c:pt>
                <c:pt idx="3">
                  <c:v>0.699452575536042</c:v>
                </c:pt>
                <c:pt idx="4">
                  <c:v>0.800102155588206</c:v>
                </c:pt>
                <c:pt idx="5">
                  <c:v>0.711732039278882</c:v>
                </c:pt>
                <c:pt idx="6">
                  <c:v>0.714781748539983</c:v>
                </c:pt>
                <c:pt idx="7">
                  <c:v>0.253230833634418</c:v>
                </c:pt>
                <c:pt idx="8">
                  <c:v>0.801894047834958</c:v>
                </c:pt>
                <c:pt idx="9">
                  <c:v>0.674010249378392</c:v>
                </c:pt>
                <c:pt idx="10">
                  <c:v>0.697292901520808</c:v>
                </c:pt>
                <c:pt idx="11">
                  <c:v>0.777076910085243</c:v>
                </c:pt>
                <c:pt idx="12">
                  <c:v>0</c:v>
                </c:pt>
                <c:pt idx="13">
                  <c:v>0.1317217673401</c:v>
                </c:pt>
                <c:pt idx="14">
                  <c:v>0.826980451268812</c:v>
                </c:pt>
                <c:pt idx="15">
                  <c:v>0.491355309690235</c:v>
                </c:pt>
                <c:pt idx="16">
                  <c:v>0.752115140308114</c:v>
                </c:pt>
                <c:pt idx="17">
                  <c:v>0.719896022473378</c:v>
                </c:pt>
                <c:pt idx="18">
                  <c:v>0.663184901173593</c:v>
                </c:pt>
                <c:pt idx="19">
                  <c:v>0.605076667891282</c:v>
                </c:pt>
                <c:pt idx="20">
                  <c:v>0.566317795851262</c:v>
                </c:pt>
                <c:pt idx="21">
                  <c:v>0.461395601520309</c:v>
                </c:pt>
                <c:pt idx="22">
                  <c:v>0.555130661989403</c:v>
                </c:pt>
                <c:pt idx="23">
                  <c:v>0.732602702706084</c:v>
                </c:pt>
                <c:pt idx="24">
                  <c:v>0.329308947008315</c:v>
                </c:pt>
                <c:pt idx="25">
                  <c:v>0.82302007411194</c:v>
                </c:pt>
                <c:pt idx="26">
                  <c:v>0.599965745488172</c:v>
                </c:pt>
                <c:pt idx="27">
                  <c:v>0</c:v>
                </c:pt>
                <c:pt idx="28">
                  <c:v>0.542358346815266</c:v>
                </c:pt>
                <c:pt idx="29">
                  <c:v>0.500921255159167</c:v>
                </c:pt>
                <c:pt idx="30">
                  <c:v>0.566332886297669</c:v>
                </c:pt>
                <c:pt idx="31">
                  <c:v>0.850962962598445</c:v>
                </c:pt>
                <c:pt idx="32">
                  <c:v>0.848778791224824</c:v>
                </c:pt>
                <c:pt idx="33">
                  <c:v>0.68592801787521</c:v>
                </c:pt>
                <c:pt idx="34">
                  <c:v>0.766111382429995</c:v>
                </c:pt>
                <c:pt idx="35">
                  <c:v>0.317996271050965</c:v>
                </c:pt>
                <c:pt idx="36">
                  <c:v>0</c:v>
                </c:pt>
                <c:pt idx="37">
                  <c:v>0.73396342914779</c:v>
                </c:pt>
                <c:pt idx="38">
                  <c:v>0.252464301331968</c:v>
                </c:pt>
                <c:pt idx="39">
                  <c:v>0.705151089926335</c:v>
                </c:pt>
                <c:pt idx="40">
                  <c:v>0.466389913674226</c:v>
                </c:pt>
                <c:pt idx="41">
                  <c:v>0.721189937374131</c:v>
                </c:pt>
                <c:pt idx="42">
                  <c:v>0.540638278339842</c:v>
                </c:pt>
                <c:pt idx="43">
                  <c:v>0.816777705987076</c:v>
                </c:pt>
                <c:pt idx="44">
                  <c:v>0.812824100733845</c:v>
                </c:pt>
                <c:pt idx="45">
                  <c:v>0.710570195577268</c:v>
                </c:pt>
                <c:pt idx="46">
                  <c:v>0.793661844893385</c:v>
                </c:pt>
                <c:pt idx="47">
                  <c:v>0.717544825996321</c:v>
                </c:pt>
                <c:pt idx="48">
                  <c:v>0.542777441475931</c:v>
                </c:pt>
                <c:pt idx="49">
                  <c:v>0.734270904986256</c:v>
                </c:pt>
                <c:pt idx="50">
                  <c:v>0.807972838361115</c:v>
                </c:pt>
                <c:pt idx="51">
                  <c:v>0.834833335809865</c:v>
                </c:pt>
                <c:pt idx="52">
                  <c:v>0</c:v>
                </c:pt>
                <c:pt idx="53">
                  <c:v>0.480435971782276</c:v>
                </c:pt>
                <c:pt idx="54">
                  <c:v>0.50915220568061</c:v>
                </c:pt>
                <c:pt idx="55">
                  <c:v>0.501797699543134</c:v>
                </c:pt>
                <c:pt idx="56">
                  <c:v>0.839629456625387</c:v>
                </c:pt>
                <c:pt idx="57">
                  <c:v>0.58640906037776</c:v>
                </c:pt>
                <c:pt idx="58">
                  <c:v>0.434321336715941</c:v>
                </c:pt>
                <c:pt idx="59">
                  <c:v>0.55413688518128</c:v>
                </c:pt>
                <c:pt idx="60">
                  <c:v>0.26524114998276</c:v>
                </c:pt>
                <c:pt idx="61">
                  <c:v>0.749437143993756</c:v>
                </c:pt>
                <c:pt idx="62">
                  <c:v>0</c:v>
                </c:pt>
                <c:pt idx="63">
                  <c:v>0.240125218897598</c:v>
                </c:pt>
                <c:pt idx="64">
                  <c:v>0.553276947434756</c:v>
                </c:pt>
                <c:pt idx="65">
                  <c:v>0</c:v>
                </c:pt>
                <c:pt idx="66">
                  <c:v>0.753274996036846</c:v>
                </c:pt>
                <c:pt idx="67">
                  <c:v>0.378073879983953</c:v>
                </c:pt>
                <c:pt idx="68">
                  <c:v>0.546120243518326</c:v>
                </c:pt>
                <c:pt idx="69">
                  <c:v>0.672986976114664</c:v>
                </c:pt>
                <c:pt idx="70">
                  <c:v>0.846760155984645</c:v>
                </c:pt>
                <c:pt idx="71">
                  <c:v>0.766550965486107</c:v>
                </c:pt>
                <c:pt idx="72">
                  <c:v>0.470859357418256</c:v>
                </c:pt>
                <c:pt idx="73">
                  <c:v>0.233822122778411</c:v>
                </c:pt>
                <c:pt idx="74">
                  <c:v>0.194104630945816</c:v>
                </c:pt>
                <c:pt idx="75">
                  <c:v>0</c:v>
                </c:pt>
                <c:pt idx="76">
                  <c:v>0.679418685670969</c:v>
                </c:pt>
                <c:pt idx="77">
                  <c:v>0.384338155256057</c:v>
                </c:pt>
                <c:pt idx="78">
                  <c:v>0.546113994040151</c:v>
                </c:pt>
                <c:pt idx="79">
                  <c:v>0.548007712721484</c:v>
                </c:pt>
                <c:pt idx="80">
                  <c:v>0.743429561370279</c:v>
                </c:pt>
                <c:pt idx="81">
                  <c:v>0.262634807075342</c:v>
                </c:pt>
                <c:pt idx="82">
                  <c:v>0.513082645983466</c:v>
                </c:pt>
                <c:pt idx="83">
                  <c:v>0.658665883641827</c:v>
                </c:pt>
                <c:pt idx="84">
                  <c:v>0.578857015952425</c:v>
                </c:pt>
                <c:pt idx="85">
                  <c:v>0.506121071626258</c:v>
                </c:pt>
                <c:pt idx="86">
                  <c:v>0.309179601781631</c:v>
                </c:pt>
                <c:pt idx="87">
                  <c:v>0.808816422248155</c:v>
                </c:pt>
                <c:pt idx="88">
                  <c:v>0.864918931894903</c:v>
                </c:pt>
                <c:pt idx="89">
                  <c:v>0.704748572310085</c:v>
                </c:pt>
                <c:pt idx="90">
                  <c:v>0</c:v>
                </c:pt>
                <c:pt idx="91">
                  <c:v>0.713898909179184</c:v>
                </c:pt>
                <c:pt idx="92">
                  <c:v>0.756971548174277</c:v>
                </c:pt>
                <c:pt idx="93">
                  <c:v>0.728023984999087</c:v>
                </c:pt>
                <c:pt idx="94">
                  <c:v>0</c:v>
                </c:pt>
                <c:pt idx="95">
                  <c:v>0.235632146356329</c:v>
                </c:pt>
                <c:pt idx="96">
                  <c:v>0.676369601347056</c:v>
                </c:pt>
                <c:pt idx="97">
                  <c:v>0.480584872538006</c:v>
                </c:pt>
                <c:pt idx="98">
                  <c:v>0.54301927529341</c:v>
                </c:pt>
                <c:pt idx="99">
                  <c:v>0.71018184029252</c:v>
                </c:pt>
                <c:pt idx="100">
                  <c:v>0.370316016234755</c:v>
                </c:pt>
                <c:pt idx="101">
                  <c:v>0.465228656067507</c:v>
                </c:pt>
                <c:pt idx="102">
                  <c:v>0</c:v>
                </c:pt>
                <c:pt idx="103">
                  <c:v>0.506741924666787</c:v>
                </c:pt>
                <c:pt idx="104">
                  <c:v>0.39426912777964</c:v>
                </c:pt>
                <c:pt idx="105">
                  <c:v>0.487452184940498</c:v>
                </c:pt>
                <c:pt idx="106">
                  <c:v>0.735183198791475</c:v>
                </c:pt>
                <c:pt idx="107">
                  <c:v>0.792789771160722</c:v>
                </c:pt>
                <c:pt idx="108">
                  <c:v>0.669760188214396</c:v>
                </c:pt>
                <c:pt idx="109">
                  <c:v>0.444171209944417</c:v>
                </c:pt>
                <c:pt idx="110">
                  <c:v>0.338681958255708</c:v>
                </c:pt>
                <c:pt idx="111">
                  <c:v>0.77701181864561</c:v>
                </c:pt>
                <c:pt idx="112">
                  <c:v>0.0669348044440275</c:v>
                </c:pt>
                <c:pt idx="113">
                  <c:v>0.430533417772609</c:v>
                </c:pt>
                <c:pt idx="114">
                  <c:v>0.795703119364473</c:v>
                </c:pt>
                <c:pt idx="115">
                  <c:v>0.498080485161298</c:v>
                </c:pt>
                <c:pt idx="116">
                  <c:v>0.504593751015622</c:v>
                </c:pt>
                <c:pt idx="117">
                  <c:v>0.277714367344119</c:v>
                </c:pt>
                <c:pt idx="118">
                  <c:v>0.702977184737669</c:v>
                </c:pt>
                <c:pt idx="119">
                  <c:v>0.555963124224487</c:v>
                </c:pt>
                <c:pt idx="120">
                  <c:v>0.52405315477898</c:v>
                </c:pt>
                <c:pt idx="121">
                  <c:v>0.616266787842342</c:v>
                </c:pt>
                <c:pt idx="122">
                  <c:v>0.592728526429853</c:v>
                </c:pt>
                <c:pt idx="123">
                  <c:v>0.730753865913578</c:v>
                </c:pt>
                <c:pt idx="124">
                  <c:v>0.772283840457513</c:v>
                </c:pt>
                <c:pt idx="125">
                  <c:v>0.6436707224939</c:v>
                </c:pt>
                <c:pt idx="126">
                  <c:v>0.714322667516664</c:v>
                </c:pt>
                <c:pt idx="127">
                  <c:v>0.698869418480111</c:v>
                </c:pt>
                <c:pt idx="128">
                  <c:v>0.720041135284624</c:v>
                </c:pt>
                <c:pt idx="129">
                  <c:v>0.692667793600112</c:v>
                </c:pt>
                <c:pt idx="130">
                  <c:v>0.285702380347594</c:v>
                </c:pt>
                <c:pt idx="131">
                  <c:v>0.674756121368463</c:v>
                </c:pt>
                <c:pt idx="132">
                  <c:v>0.635232088188347</c:v>
                </c:pt>
                <c:pt idx="133">
                  <c:v>0.672992952868778</c:v>
                </c:pt>
                <c:pt idx="134">
                  <c:v>0.565408655391281</c:v>
                </c:pt>
                <c:pt idx="135">
                  <c:v>0.667178473513066</c:v>
                </c:pt>
                <c:pt idx="136">
                  <c:v>0.543668240427435</c:v>
                </c:pt>
                <c:pt idx="137">
                  <c:v>0.70016799259655</c:v>
                </c:pt>
                <c:pt idx="138">
                  <c:v>0.737562539349209</c:v>
                </c:pt>
                <c:pt idx="139">
                  <c:v>0.671914212822478</c:v>
                </c:pt>
                <c:pt idx="140">
                  <c:v>0.518574183263319</c:v>
                </c:pt>
                <c:pt idx="141">
                  <c:v>0.596741925827611</c:v>
                </c:pt>
                <c:pt idx="142">
                  <c:v>0.514970859119012</c:v>
                </c:pt>
                <c:pt idx="143">
                  <c:v>0.537512944978975</c:v>
                </c:pt>
                <c:pt idx="144">
                  <c:v>0.606488591559251</c:v>
                </c:pt>
                <c:pt idx="145">
                  <c:v>0.581139871759207</c:v>
                </c:pt>
                <c:pt idx="146">
                  <c:v>0.751361140143164</c:v>
                </c:pt>
                <c:pt idx="147">
                  <c:v>0.780005061627491</c:v>
                </c:pt>
                <c:pt idx="148">
                  <c:v>0.657539156264455</c:v>
                </c:pt>
                <c:pt idx="149">
                  <c:v>0.688628241915369</c:v>
                </c:pt>
                <c:pt idx="150">
                  <c:v>0.755917793411284</c:v>
                </c:pt>
                <c:pt idx="151">
                  <c:v>0.69704362914562</c:v>
                </c:pt>
                <c:pt idx="152">
                  <c:v>0.73796580497477</c:v>
                </c:pt>
                <c:pt idx="153">
                  <c:v>0.663313758702859</c:v>
                </c:pt>
                <c:pt idx="154">
                  <c:v>0.791676875563573</c:v>
                </c:pt>
                <c:pt idx="155">
                  <c:v>0.726728081194798</c:v>
                </c:pt>
                <c:pt idx="156">
                  <c:v>0.763869685347167</c:v>
                </c:pt>
                <c:pt idx="157">
                  <c:v>0.704350058105907</c:v>
                </c:pt>
                <c:pt idx="158">
                  <c:v>0.645194201152382</c:v>
                </c:pt>
                <c:pt idx="159">
                  <c:v>0.698804494918717</c:v>
                </c:pt>
                <c:pt idx="160">
                  <c:v>0.621604802744845</c:v>
                </c:pt>
                <c:pt idx="161">
                  <c:v>0.652080267975526</c:v>
                </c:pt>
                <c:pt idx="162">
                  <c:v>0.495033395479424</c:v>
                </c:pt>
                <c:pt idx="163">
                  <c:v>0.814943850292509</c:v>
                </c:pt>
                <c:pt idx="164">
                  <c:v>0.760242021713434</c:v>
                </c:pt>
                <c:pt idx="165">
                  <c:v>0.716576219980213</c:v>
                </c:pt>
                <c:pt idx="166">
                  <c:v>0.761576640852194</c:v>
                </c:pt>
                <c:pt idx="167">
                  <c:v>0.70534457242587</c:v>
                </c:pt>
                <c:pt idx="168">
                  <c:v>0.772247812939737</c:v>
                </c:pt>
                <c:pt idx="169">
                  <c:v>0.730611746132301</c:v>
                </c:pt>
                <c:pt idx="170">
                  <c:v>0.674254555075931</c:v>
                </c:pt>
                <c:pt idx="171">
                  <c:v>0.677561988924642</c:v>
                </c:pt>
                <c:pt idx="172">
                  <c:v>0.619175825287039</c:v>
                </c:pt>
                <c:pt idx="173">
                  <c:v>0.72953322522045</c:v>
                </c:pt>
                <c:pt idx="174">
                  <c:v>0.679295016673792</c:v>
                </c:pt>
                <c:pt idx="175">
                  <c:v>0.672543384913669</c:v>
                </c:pt>
                <c:pt idx="176">
                  <c:v>0.675314654553954</c:v>
                </c:pt>
                <c:pt idx="177">
                  <c:v>0.68827546234968</c:v>
                </c:pt>
                <c:pt idx="178">
                  <c:v>0.714520510446989</c:v>
                </c:pt>
                <c:pt idx="179">
                  <c:v>0.756656997097871</c:v>
                </c:pt>
                <c:pt idx="180">
                  <c:v>0.532628574681177</c:v>
                </c:pt>
                <c:pt idx="181">
                  <c:v>0.6016653305671</c:v>
                </c:pt>
                <c:pt idx="182">
                  <c:v>0.472303226839568</c:v>
                </c:pt>
                <c:pt idx="183">
                  <c:v>0.772428234487869</c:v>
                </c:pt>
                <c:pt idx="184">
                  <c:v>0.867357649870475</c:v>
                </c:pt>
                <c:pt idx="185">
                  <c:v>0.743277426708434</c:v>
                </c:pt>
                <c:pt idx="186">
                  <c:v>0.763493452169031</c:v>
                </c:pt>
                <c:pt idx="187">
                  <c:v>0.732857556129127</c:v>
                </c:pt>
                <c:pt idx="188">
                  <c:v>0.673345963344739</c:v>
                </c:pt>
                <c:pt idx="189">
                  <c:v>0.629328846028691</c:v>
                </c:pt>
                <c:pt idx="190">
                  <c:v>0.657909492656847</c:v>
                </c:pt>
                <c:pt idx="191">
                  <c:v>0.742151864716183</c:v>
                </c:pt>
                <c:pt idx="192">
                  <c:v>0.68789296742616</c:v>
                </c:pt>
                <c:pt idx="193">
                  <c:v>0.637679872120962</c:v>
                </c:pt>
                <c:pt idx="194">
                  <c:v>0.715535543013318</c:v>
                </c:pt>
                <c:pt idx="195">
                  <c:v>0.744487054077206</c:v>
                </c:pt>
                <c:pt idx="196">
                  <c:v>0.682189953090372</c:v>
                </c:pt>
                <c:pt idx="197">
                  <c:v>0.725049477144753</c:v>
                </c:pt>
                <c:pt idx="198">
                  <c:v>0.678555208521802</c:v>
                </c:pt>
                <c:pt idx="199">
                  <c:v>0.767991485339338</c:v>
                </c:pt>
                <c:pt idx="200">
                  <c:v>0.51754268971269</c:v>
                </c:pt>
                <c:pt idx="201">
                  <c:v>0.72565047996986</c:v>
                </c:pt>
                <c:pt idx="202">
                  <c:v>0.548974522113342</c:v>
                </c:pt>
                <c:pt idx="203">
                  <c:v>0.783804686884373</c:v>
                </c:pt>
                <c:pt idx="204">
                  <c:v>0.749224684512185</c:v>
                </c:pt>
                <c:pt idx="205">
                  <c:v>0.653806333077574</c:v>
                </c:pt>
                <c:pt idx="206">
                  <c:v>0.722035981706586</c:v>
                </c:pt>
                <c:pt idx="207">
                  <c:v>0.698409753184798</c:v>
                </c:pt>
                <c:pt idx="208">
                  <c:v>0.651402047731709</c:v>
                </c:pt>
                <c:pt idx="209">
                  <c:v>0.784659769808856</c:v>
                </c:pt>
                <c:pt idx="210">
                  <c:v>0.384161538593688</c:v>
                </c:pt>
                <c:pt idx="211">
                  <c:v>0.613248750812475</c:v>
                </c:pt>
                <c:pt idx="212">
                  <c:v>0.799280079235692</c:v>
                </c:pt>
                <c:pt idx="213">
                  <c:v>0.663227308270578</c:v>
                </c:pt>
                <c:pt idx="214">
                  <c:v>0.731219677023365</c:v>
                </c:pt>
                <c:pt idx="215">
                  <c:v>0.773052686694295</c:v>
                </c:pt>
                <c:pt idx="216">
                  <c:v>0.313442404963985</c:v>
                </c:pt>
                <c:pt idx="217">
                  <c:v>0.748671994576492</c:v>
                </c:pt>
                <c:pt idx="218">
                  <c:v>0.787049812715578</c:v>
                </c:pt>
                <c:pt idx="219">
                  <c:v>0.58006718982189</c:v>
                </c:pt>
                <c:pt idx="220">
                  <c:v>0.795838388020499</c:v>
                </c:pt>
                <c:pt idx="221">
                  <c:v>0.645286764612391</c:v>
                </c:pt>
                <c:pt idx="222">
                  <c:v>0.746259379326747</c:v>
                </c:pt>
                <c:pt idx="223">
                  <c:v>0.78029664142295</c:v>
                </c:pt>
                <c:pt idx="224">
                  <c:v>0.455399608197378</c:v>
                </c:pt>
                <c:pt idx="225">
                  <c:v>0.649164488739755</c:v>
                </c:pt>
                <c:pt idx="226">
                  <c:v>0.70973158678177</c:v>
                </c:pt>
                <c:pt idx="227">
                  <c:v>0.857457662921511</c:v>
                </c:pt>
                <c:pt idx="228">
                  <c:v>0.789821328394262</c:v>
                </c:pt>
                <c:pt idx="229">
                  <c:v>0.776661246048903</c:v>
                </c:pt>
                <c:pt idx="230">
                  <c:v>0.692794396544756</c:v>
                </c:pt>
                <c:pt idx="231">
                  <c:v>0.826101128700269</c:v>
                </c:pt>
                <c:pt idx="232">
                  <c:v>0.544905482951974</c:v>
                </c:pt>
                <c:pt idx="233">
                  <c:v>0.807922394628484</c:v>
                </c:pt>
                <c:pt idx="234">
                  <c:v>0.753792250095882</c:v>
                </c:pt>
                <c:pt idx="235">
                  <c:v>0.582573993238906</c:v>
                </c:pt>
                <c:pt idx="236">
                  <c:v>0.523392739382707</c:v>
                </c:pt>
                <c:pt idx="237">
                  <c:v>0.70588525913114</c:v>
                </c:pt>
                <c:pt idx="238">
                  <c:v>0.813524153499822</c:v>
                </c:pt>
                <c:pt idx="239">
                  <c:v>0.804720646523246</c:v>
                </c:pt>
                <c:pt idx="240">
                  <c:v>0.67158714150641</c:v>
                </c:pt>
                <c:pt idx="241">
                  <c:v>0.684660005985441</c:v>
                </c:pt>
                <c:pt idx="242">
                  <c:v>0.789713296584303</c:v>
                </c:pt>
                <c:pt idx="243">
                  <c:v>0.737376952036226</c:v>
                </c:pt>
                <c:pt idx="244">
                  <c:v>0.57449751117749</c:v>
                </c:pt>
                <c:pt idx="245">
                  <c:v>0.801251526265132</c:v>
                </c:pt>
                <c:pt idx="246">
                  <c:v>0.695168154355184</c:v>
                </c:pt>
                <c:pt idx="247">
                  <c:v>0.462836918555075</c:v>
                </c:pt>
                <c:pt idx="248">
                  <c:v>0.786352389223012</c:v>
                </c:pt>
                <c:pt idx="249">
                  <c:v>0.707548178686703</c:v>
                </c:pt>
                <c:pt idx="250">
                  <c:v>0.810191284640591</c:v>
                </c:pt>
                <c:pt idx="251">
                  <c:v>0.814270470413632</c:v>
                </c:pt>
                <c:pt idx="252">
                  <c:v>0.660712442811165</c:v>
                </c:pt>
                <c:pt idx="253">
                  <c:v>0.72093468448298</c:v>
                </c:pt>
                <c:pt idx="254">
                  <c:v>0.725106831387417</c:v>
                </c:pt>
                <c:pt idx="255">
                  <c:v>0.719677952180382</c:v>
                </c:pt>
                <c:pt idx="256">
                  <c:v>0.831789100947787</c:v>
                </c:pt>
                <c:pt idx="257">
                  <c:v>0.724872656289226</c:v>
                </c:pt>
                <c:pt idx="258">
                  <c:v>0.721660322815123</c:v>
                </c:pt>
                <c:pt idx="259">
                  <c:v>0.885133190722319</c:v>
                </c:pt>
                <c:pt idx="260">
                  <c:v>0.745433568039695</c:v>
                </c:pt>
                <c:pt idx="261">
                  <c:v>0.66589659635597</c:v>
                </c:pt>
                <c:pt idx="262">
                  <c:v>0.726246068534406</c:v>
                </c:pt>
                <c:pt idx="263">
                  <c:v>0.725091892556939</c:v>
                </c:pt>
                <c:pt idx="264">
                  <c:v>0.806909293605879</c:v>
                </c:pt>
                <c:pt idx="265">
                  <c:v>0.781767712543222</c:v>
                </c:pt>
                <c:pt idx="266">
                  <c:v>0.728789582899313</c:v>
                </c:pt>
                <c:pt idx="267">
                  <c:v>0.289202151927489</c:v>
                </c:pt>
                <c:pt idx="268">
                  <c:v>0.754636763701331</c:v>
                </c:pt>
                <c:pt idx="269">
                  <c:v>0.834328338505747</c:v>
                </c:pt>
                <c:pt idx="270">
                  <c:v>0.640420434144698</c:v>
                </c:pt>
                <c:pt idx="271">
                  <c:v>0.597793035499244</c:v>
                </c:pt>
                <c:pt idx="272">
                  <c:v>0.731388636818119</c:v>
                </c:pt>
                <c:pt idx="273">
                  <c:v>0.81673327193078</c:v>
                </c:pt>
                <c:pt idx="274">
                  <c:v>0.780082734094369</c:v>
                </c:pt>
                <c:pt idx="275">
                  <c:v>0.769440041244462</c:v>
                </c:pt>
                <c:pt idx="276">
                  <c:v>0.709557601050263</c:v>
                </c:pt>
                <c:pt idx="277">
                  <c:v>0.430235412791382</c:v>
                </c:pt>
                <c:pt idx="278">
                  <c:v>0.728003851964451</c:v>
                </c:pt>
                <c:pt idx="279">
                  <c:v>0.423050983658225</c:v>
                </c:pt>
                <c:pt idx="280">
                  <c:v>0.715043034906019</c:v>
                </c:pt>
                <c:pt idx="281">
                  <c:v>0.616904979614986</c:v>
                </c:pt>
                <c:pt idx="282">
                  <c:v>0.697714970221503</c:v>
                </c:pt>
                <c:pt idx="283">
                  <c:v>0.688314241267016</c:v>
                </c:pt>
                <c:pt idx="284">
                  <c:v>0.695722206567995</c:v>
                </c:pt>
                <c:pt idx="285">
                  <c:v>0.725138064306807</c:v>
                </c:pt>
                <c:pt idx="286">
                  <c:v>0.608504123728578</c:v>
                </c:pt>
                <c:pt idx="287">
                  <c:v>0.459587222641914</c:v>
                </c:pt>
                <c:pt idx="288">
                  <c:v>0.218017689383534</c:v>
                </c:pt>
                <c:pt idx="289">
                  <c:v>0.534148513234572</c:v>
                </c:pt>
                <c:pt idx="290">
                  <c:v>0.624155335824413</c:v>
                </c:pt>
                <c:pt idx="291">
                  <c:v>0.354021448630377</c:v>
                </c:pt>
                <c:pt idx="292">
                  <c:v>0.553681110366759</c:v>
                </c:pt>
                <c:pt idx="293">
                  <c:v>0.739711341475546</c:v>
                </c:pt>
                <c:pt idx="294">
                  <c:v>0.548465857752972</c:v>
                </c:pt>
                <c:pt idx="295">
                  <c:v>0.711014200393545</c:v>
                </c:pt>
                <c:pt idx="296">
                  <c:v>0.655042896836135</c:v>
                </c:pt>
                <c:pt idx="297">
                  <c:v>0.763172718691965</c:v>
                </c:pt>
                <c:pt idx="298">
                  <c:v>0.638991511141397</c:v>
                </c:pt>
                <c:pt idx="299">
                  <c:v>0.801932399771503</c:v>
                </c:pt>
                <c:pt idx="300">
                  <c:v>0.79348405433609</c:v>
                </c:pt>
                <c:pt idx="301">
                  <c:v>0.764062934130988</c:v>
                </c:pt>
                <c:pt idx="302">
                  <c:v>0.712765888371557</c:v>
                </c:pt>
                <c:pt idx="303">
                  <c:v>0.775028617055922</c:v>
                </c:pt>
                <c:pt idx="304">
                  <c:v>0.59792110130282</c:v>
                </c:pt>
                <c:pt idx="305">
                  <c:v>0.608624298274712</c:v>
                </c:pt>
                <c:pt idx="306">
                  <c:v>0.657908945723466</c:v>
                </c:pt>
                <c:pt idx="307">
                  <c:v>0.42522955773424</c:v>
                </c:pt>
                <c:pt idx="308">
                  <c:v>0.691492304618341</c:v>
                </c:pt>
                <c:pt idx="309">
                  <c:v>0.700467293115898</c:v>
                </c:pt>
                <c:pt idx="310">
                  <c:v>0.698305512779306</c:v>
                </c:pt>
                <c:pt idx="311">
                  <c:v>0.804501299029998</c:v>
                </c:pt>
                <c:pt idx="312">
                  <c:v>0.669315785230188</c:v>
                </c:pt>
                <c:pt idx="313">
                  <c:v>0.52327149842288</c:v>
                </c:pt>
                <c:pt idx="314">
                  <c:v>0.808916753691285</c:v>
                </c:pt>
                <c:pt idx="315">
                  <c:v>0.624597219921459</c:v>
                </c:pt>
                <c:pt idx="316">
                  <c:v>0.553026731702297</c:v>
                </c:pt>
                <c:pt idx="317">
                  <c:v>0.517155478222227</c:v>
                </c:pt>
                <c:pt idx="318">
                  <c:v>0.782463616049903</c:v>
                </c:pt>
                <c:pt idx="319">
                  <c:v>0.720565230445388</c:v>
                </c:pt>
                <c:pt idx="320">
                  <c:v>0.579449279082244</c:v>
                </c:pt>
                <c:pt idx="321">
                  <c:v>0.710678208983017</c:v>
                </c:pt>
                <c:pt idx="322">
                  <c:v>0.647706218498763</c:v>
                </c:pt>
                <c:pt idx="323">
                  <c:v>0.71492926586708</c:v>
                </c:pt>
                <c:pt idx="324">
                  <c:v>0.574809091291944</c:v>
                </c:pt>
                <c:pt idx="325">
                  <c:v>0.517045176180598</c:v>
                </c:pt>
                <c:pt idx="326">
                  <c:v>0.631589022645209</c:v>
                </c:pt>
                <c:pt idx="327">
                  <c:v>0.370268520577312</c:v>
                </c:pt>
                <c:pt idx="328">
                  <c:v>0.56277462966217</c:v>
                </c:pt>
                <c:pt idx="329">
                  <c:v>0.665727339759101</c:v>
                </c:pt>
                <c:pt idx="330">
                  <c:v>0.634775996305325</c:v>
                </c:pt>
                <c:pt idx="331">
                  <c:v>0.564726040080073</c:v>
                </c:pt>
                <c:pt idx="332">
                  <c:v>0.282525062065314</c:v>
                </c:pt>
                <c:pt idx="333">
                  <c:v>0.635073939292856</c:v>
                </c:pt>
                <c:pt idx="334">
                  <c:v>0.630805959403655</c:v>
                </c:pt>
                <c:pt idx="335">
                  <c:v>0.658307521409776</c:v>
                </c:pt>
                <c:pt idx="336">
                  <c:v>0.592908474021293</c:v>
                </c:pt>
                <c:pt idx="337">
                  <c:v>0.813216715031656</c:v>
                </c:pt>
                <c:pt idx="338">
                  <c:v>0.562338481626323</c:v>
                </c:pt>
                <c:pt idx="339">
                  <c:v>0.603951738504166</c:v>
                </c:pt>
                <c:pt idx="340">
                  <c:v>0.606419610859159</c:v>
                </c:pt>
                <c:pt idx="341">
                  <c:v>0.500750929232582</c:v>
                </c:pt>
                <c:pt idx="342">
                  <c:v>0.540363327487719</c:v>
                </c:pt>
                <c:pt idx="343">
                  <c:v>0.682314549320101</c:v>
                </c:pt>
                <c:pt idx="344">
                  <c:v>0.829000170381666</c:v>
                </c:pt>
                <c:pt idx="345">
                  <c:v>0.533945035022624</c:v>
                </c:pt>
                <c:pt idx="346">
                  <c:v>0.430965260347657</c:v>
                </c:pt>
                <c:pt idx="347">
                  <c:v>0.121019848788565</c:v>
                </c:pt>
                <c:pt idx="348">
                  <c:v>0.652931341103201</c:v>
                </c:pt>
                <c:pt idx="349">
                  <c:v>0.525177877706688</c:v>
                </c:pt>
                <c:pt idx="350">
                  <c:v>0.483877501881446</c:v>
                </c:pt>
                <c:pt idx="351">
                  <c:v>0.512982772805821</c:v>
                </c:pt>
                <c:pt idx="352">
                  <c:v>0.512941320666236</c:v>
                </c:pt>
                <c:pt idx="353">
                  <c:v>0.640633496886903</c:v>
                </c:pt>
                <c:pt idx="354">
                  <c:v>0.390337099574419</c:v>
                </c:pt>
                <c:pt idx="355">
                  <c:v>0.560308560512419</c:v>
                </c:pt>
                <c:pt idx="356">
                  <c:v>0.647004061165419</c:v>
                </c:pt>
                <c:pt idx="357">
                  <c:v>0.524077869626152</c:v>
                </c:pt>
                <c:pt idx="358">
                  <c:v>0.601058644189859</c:v>
                </c:pt>
                <c:pt idx="359">
                  <c:v>0.744246822921975</c:v>
                </c:pt>
                <c:pt idx="360">
                  <c:v>0.556988322646349</c:v>
                </c:pt>
                <c:pt idx="361">
                  <c:v>0.57811846194973</c:v>
                </c:pt>
                <c:pt idx="362">
                  <c:v>0.699301032171264</c:v>
                </c:pt>
                <c:pt idx="363">
                  <c:v>0.744958615708402</c:v>
                </c:pt>
                <c:pt idx="364">
                  <c:v>0.666457265885057</c:v>
                </c:pt>
                <c:pt idx="365">
                  <c:v>0.779038959960894</c:v>
                </c:pt>
                <c:pt idx="366">
                  <c:v>0.814881877348078</c:v>
                </c:pt>
                <c:pt idx="367">
                  <c:v>0.682121822525743</c:v>
                </c:pt>
                <c:pt idx="368">
                  <c:v>0.500989633013425</c:v>
                </c:pt>
                <c:pt idx="369">
                  <c:v>0.635877112568595</c:v>
                </c:pt>
                <c:pt idx="370">
                  <c:v>0.683935763624564</c:v>
                </c:pt>
                <c:pt idx="371">
                  <c:v>0.743742096416869</c:v>
                </c:pt>
                <c:pt idx="372">
                  <c:v>0.663947438579527</c:v>
                </c:pt>
                <c:pt idx="373">
                  <c:v>0.669764357756344</c:v>
                </c:pt>
                <c:pt idx="374">
                  <c:v>0.589612871408013</c:v>
                </c:pt>
                <c:pt idx="375">
                  <c:v>0.702893354372201</c:v>
                </c:pt>
                <c:pt idx="376">
                  <c:v>0.761189801348665</c:v>
                </c:pt>
                <c:pt idx="377">
                  <c:v>0.640442709652399</c:v>
                </c:pt>
                <c:pt idx="378">
                  <c:v>0.725967491983574</c:v>
                </c:pt>
                <c:pt idx="379">
                  <c:v>0.697917868678297</c:v>
                </c:pt>
                <c:pt idx="380">
                  <c:v>0.577978793176595</c:v>
                </c:pt>
                <c:pt idx="381">
                  <c:v>0.71581013087384</c:v>
                </c:pt>
                <c:pt idx="382">
                  <c:v>0.684946560709333</c:v>
                </c:pt>
                <c:pt idx="383">
                  <c:v>0.745252525692422</c:v>
                </c:pt>
                <c:pt idx="384">
                  <c:v>0.659319181623091</c:v>
                </c:pt>
                <c:pt idx="385">
                  <c:v>0.728790482963586</c:v>
                </c:pt>
                <c:pt idx="386">
                  <c:v>0.62524753729292</c:v>
                </c:pt>
                <c:pt idx="387">
                  <c:v>0.635997801229615</c:v>
                </c:pt>
                <c:pt idx="388">
                  <c:v>0.591238695595211</c:v>
                </c:pt>
                <c:pt idx="389">
                  <c:v>0.405037584124878</c:v>
                </c:pt>
                <c:pt idx="390">
                  <c:v>0.58051548719642</c:v>
                </c:pt>
                <c:pt idx="391">
                  <c:v>0.710170543739339</c:v>
                </c:pt>
                <c:pt idx="392">
                  <c:v>0.445126498641799</c:v>
                </c:pt>
                <c:pt idx="393">
                  <c:v>0.768841469286378</c:v>
                </c:pt>
                <c:pt idx="394">
                  <c:v>0.637766624238716</c:v>
                </c:pt>
                <c:pt idx="395">
                  <c:v>0.606820489358923</c:v>
                </c:pt>
                <c:pt idx="396">
                  <c:v>0.463700867415503</c:v>
                </c:pt>
                <c:pt idx="397">
                  <c:v>0.527965199487752</c:v>
                </c:pt>
                <c:pt idx="398">
                  <c:v>0.562762504257137</c:v>
                </c:pt>
                <c:pt idx="399">
                  <c:v>0.699070489467751</c:v>
                </c:pt>
                <c:pt idx="400">
                  <c:v>0.740137989414839</c:v>
                </c:pt>
                <c:pt idx="401">
                  <c:v>0.709059785374628</c:v>
                </c:pt>
                <c:pt idx="402">
                  <c:v>0.704574253637913</c:v>
                </c:pt>
                <c:pt idx="403">
                  <c:v>0.466269216404019</c:v>
                </c:pt>
                <c:pt idx="404">
                  <c:v>0.644882471386313</c:v>
                </c:pt>
                <c:pt idx="405">
                  <c:v>0.628646728264302</c:v>
                </c:pt>
                <c:pt idx="406">
                  <c:v>0.708644132309611</c:v>
                </c:pt>
                <c:pt idx="407">
                  <c:v>0.633676977073234</c:v>
                </c:pt>
                <c:pt idx="408">
                  <c:v>0.729324693134633</c:v>
                </c:pt>
                <c:pt idx="409">
                  <c:v>0.688230570912449</c:v>
                </c:pt>
                <c:pt idx="410">
                  <c:v>0.495811214161453</c:v>
                </c:pt>
                <c:pt idx="411">
                  <c:v>0.66944645955944</c:v>
                </c:pt>
                <c:pt idx="412">
                  <c:v>0.631448396041906</c:v>
                </c:pt>
                <c:pt idx="413">
                  <c:v>0.39376075027577</c:v>
                </c:pt>
                <c:pt idx="414">
                  <c:v>0.670035767185513</c:v>
                </c:pt>
                <c:pt idx="415">
                  <c:v>0.710668176587818</c:v>
                </c:pt>
                <c:pt idx="416">
                  <c:v>0.5417529671629</c:v>
                </c:pt>
                <c:pt idx="417">
                  <c:v>0.441056941946915</c:v>
                </c:pt>
                <c:pt idx="418">
                  <c:v>0.569049258650542</c:v>
                </c:pt>
                <c:pt idx="419">
                  <c:v>0.682429656493873</c:v>
                </c:pt>
                <c:pt idx="420">
                  <c:v>0.476547368344174</c:v>
                </c:pt>
                <c:pt idx="421">
                  <c:v>0.607046234432677</c:v>
                </c:pt>
                <c:pt idx="422">
                  <c:v>0.573488021546925</c:v>
                </c:pt>
                <c:pt idx="423">
                  <c:v>0.629371137899306</c:v>
                </c:pt>
                <c:pt idx="424">
                  <c:v>0.627419527285942</c:v>
                </c:pt>
                <c:pt idx="425">
                  <c:v>0.566935600393957</c:v>
                </c:pt>
                <c:pt idx="426">
                  <c:v>0.658254348237744</c:v>
                </c:pt>
                <c:pt idx="427">
                  <c:v>0.671092278074019</c:v>
                </c:pt>
                <c:pt idx="428">
                  <c:v>0.526860898550855</c:v>
                </c:pt>
                <c:pt idx="429">
                  <c:v>0.703974305148547</c:v>
                </c:pt>
                <c:pt idx="430">
                  <c:v>0.713296807625569</c:v>
                </c:pt>
                <c:pt idx="431">
                  <c:v>0.697359271350206</c:v>
                </c:pt>
                <c:pt idx="432">
                  <c:v>0</c:v>
                </c:pt>
                <c:pt idx="433">
                  <c:v>0.573474571403869</c:v>
                </c:pt>
                <c:pt idx="434">
                  <c:v>0.634282151502066</c:v>
                </c:pt>
                <c:pt idx="435">
                  <c:v>0.702011727200871</c:v>
                </c:pt>
                <c:pt idx="436">
                  <c:v>0.563595857908489</c:v>
                </c:pt>
                <c:pt idx="437">
                  <c:v>0.683983713197048</c:v>
                </c:pt>
                <c:pt idx="438">
                  <c:v>0.696814703728289</c:v>
                </c:pt>
                <c:pt idx="439">
                  <c:v>0.746189372497906</c:v>
                </c:pt>
                <c:pt idx="440">
                  <c:v>0.622119375489151</c:v>
                </c:pt>
                <c:pt idx="441">
                  <c:v>0.294341877182324</c:v>
                </c:pt>
                <c:pt idx="442">
                  <c:v>0.593221181908482</c:v>
                </c:pt>
                <c:pt idx="443">
                  <c:v>0.699453371595621</c:v>
                </c:pt>
                <c:pt idx="444">
                  <c:v>0.545702033786038</c:v>
                </c:pt>
                <c:pt idx="445">
                  <c:v>0.694451473866506</c:v>
                </c:pt>
                <c:pt idx="446">
                  <c:v>0.718174459357381</c:v>
                </c:pt>
                <c:pt idx="447">
                  <c:v>0.711623665763126</c:v>
                </c:pt>
                <c:pt idx="448">
                  <c:v>0.63611182449682</c:v>
                </c:pt>
                <c:pt idx="449">
                  <c:v>0.530411747401726</c:v>
                </c:pt>
                <c:pt idx="450">
                  <c:v>0.42938625313408</c:v>
                </c:pt>
                <c:pt idx="451">
                  <c:v>0.663284821256733</c:v>
                </c:pt>
                <c:pt idx="452">
                  <c:v>0.644106501590003</c:v>
                </c:pt>
                <c:pt idx="453">
                  <c:v>0.486336487402452</c:v>
                </c:pt>
                <c:pt idx="454">
                  <c:v>0.670445521900347</c:v>
                </c:pt>
                <c:pt idx="455">
                  <c:v>0.702938256702086</c:v>
                </c:pt>
                <c:pt idx="456">
                  <c:v>0.78529841910671</c:v>
                </c:pt>
                <c:pt idx="457">
                  <c:v>0.571762618291003</c:v>
                </c:pt>
                <c:pt idx="458">
                  <c:v>0.689291335450819</c:v>
                </c:pt>
                <c:pt idx="459">
                  <c:v>0.671732144973556</c:v>
                </c:pt>
                <c:pt idx="460">
                  <c:v>0.638892145778311</c:v>
                </c:pt>
                <c:pt idx="461">
                  <c:v>0.538672751546925</c:v>
                </c:pt>
                <c:pt idx="462">
                  <c:v>0.571730702282369</c:v>
                </c:pt>
                <c:pt idx="463">
                  <c:v>0.503303802490565</c:v>
                </c:pt>
                <c:pt idx="464">
                  <c:v>0.446431239783048</c:v>
                </c:pt>
                <c:pt idx="465">
                  <c:v>0.6033679694196</c:v>
                </c:pt>
                <c:pt idx="466">
                  <c:v>0.682694656678378</c:v>
                </c:pt>
                <c:pt idx="467">
                  <c:v>0.687944808378777</c:v>
                </c:pt>
                <c:pt idx="468">
                  <c:v>0.722224563030993</c:v>
                </c:pt>
                <c:pt idx="469">
                  <c:v>0.499634282939585</c:v>
                </c:pt>
                <c:pt idx="470">
                  <c:v>0.64164237512231</c:v>
                </c:pt>
                <c:pt idx="471">
                  <c:v>0.615868559899825</c:v>
                </c:pt>
                <c:pt idx="472">
                  <c:v>0.529159138743336</c:v>
                </c:pt>
                <c:pt idx="473">
                  <c:v>0.641495604467147</c:v>
                </c:pt>
                <c:pt idx="474">
                  <c:v>0.473020807479401</c:v>
                </c:pt>
                <c:pt idx="475">
                  <c:v>0.6339342019656</c:v>
                </c:pt>
                <c:pt idx="476">
                  <c:v>0.514954678047971</c:v>
                </c:pt>
                <c:pt idx="477">
                  <c:v>0.661910797205023</c:v>
                </c:pt>
                <c:pt idx="478">
                  <c:v>0.703542770118332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C1_XbarR_s1!I15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2a9d8f"/>
            </a:solidFill>
            <a:ln w="1512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C1_XbarR_s1!$I$16:$I$494</c:f>
              <c:numCache>
                <c:formatCode>0.0%</c:formatCode>
                <c:ptCount val="479"/>
                <c:pt idx="0">
                  <c:v>0.67278149898986</c:v>
                </c:pt>
                <c:pt idx="1">
                  <c:v>0.67278149898986</c:v>
                </c:pt>
                <c:pt idx="2">
                  <c:v>0.67278149898986</c:v>
                </c:pt>
                <c:pt idx="3">
                  <c:v>0.67278149898986</c:v>
                </c:pt>
                <c:pt idx="4">
                  <c:v>0.67278149898986</c:v>
                </c:pt>
                <c:pt idx="5">
                  <c:v>0.67278149898986</c:v>
                </c:pt>
                <c:pt idx="6">
                  <c:v>0.67278149898986</c:v>
                </c:pt>
                <c:pt idx="7">
                  <c:v>0.67278149898986</c:v>
                </c:pt>
                <c:pt idx="8">
                  <c:v>0.67278149898986</c:v>
                </c:pt>
                <c:pt idx="9">
                  <c:v>0.67278149898986</c:v>
                </c:pt>
                <c:pt idx="10">
                  <c:v>0.67278149898986</c:v>
                </c:pt>
                <c:pt idx="11">
                  <c:v>0.67278149898986</c:v>
                </c:pt>
                <c:pt idx="12">
                  <c:v>0.67278149898986</c:v>
                </c:pt>
                <c:pt idx="13">
                  <c:v>0.67278149898986</c:v>
                </c:pt>
                <c:pt idx="14">
                  <c:v>0.67278149898986</c:v>
                </c:pt>
                <c:pt idx="15">
                  <c:v>0.67278149898986</c:v>
                </c:pt>
                <c:pt idx="16">
                  <c:v>0.67278149898986</c:v>
                </c:pt>
                <c:pt idx="17">
                  <c:v>0.67278149898986</c:v>
                </c:pt>
                <c:pt idx="18">
                  <c:v>0.67278149898986</c:v>
                </c:pt>
                <c:pt idx="19">
                  <c:v>0.67278149898986</c:v>
                </c:pt>
                <c:pt idx="20">
                  <c:v>0.67278149898986</c:v>
                </c:pt>
                <c:pt idx="21">
                  <c:v>0.67278149898986</c:v>
                </c:pt>
                <c:pt idx="22">
                  <c:v>0.67278149898986</c:v>
                </c:pt>
                <c:pt idx="23">
                  <c:v>0.67278149898986</c:v>
                </c:pt>
                <c:pt idx="24">
                  <c:v>0.67278149898986</c:v>
                </c:pt>
                <c:pt idx="25">
                  <c:v>0.67278149898986</c:v>
                </c:pt>
                <c:pt idx="26">
                  <c:v>0.67278149898986</c:v>
                </c:pt>
                <c:pt idx="27">
                  <c:v>0.67278149898986</c:v>
                </c:pt>
                <c:pt idx="28">
                  <c:v>0.67278149898986</c:v>
                </c:pt>
                <c:pt idx="29">
                  <c:v>0.67278149898986</c:v>
                </c:pt>
                <c:pt idx="30">
                  <c:v>0.67278149898986</c:v>
                </c:pt>
                <c:pt idx="31">
                  <c:v>0.67278149898986</c:v>
                </c:pt>
                <c:pt idx="32">
                  <c:v>0.67278149898986</c:v>
                </c:pt>
                <c:pt idx="33">
                  <c:v>0.67278149898986</c:v>
                </c:pt>
                <c:pt idx="34">
                  <c:v>0.67278149898986</c:v>
                </c:pt>
                <c:pt idx="35">
                  <c:v>0.67278149898986</c:v>
                </c:pt>
                <c:pt idx="36">
                  <c:v>0.67278149898986</c:v>
                </c:pt>
                <c:pt idx="37">
                  <c:v>0.67278149898986</c:v>
                </c:pt>
                <c:pt idx="38">
                  <c:v>0.67278149898986</c:v>
                </c:pt>
                <c:pt idx="39">
                  <c:v>0.67278149898986</c:v>
                </c:pt>
                <c:pt idx="40">
                  <c:v>0.67278149898986</c:v>
                </c:pt>
                <c:pt idx="41">
                  <c:v>0.67278149898986</c:v>
                </c:pt>
                <c:pt idx="42">
                  <c:v>0.67278149898986</c:v>
                </c:pt>
                <c:pt idx="43">
                  <c:v>0.67278149898986</c:v>
                </c:pt>
                <c:pt idx="44">
                  <c:v>0.67278149898986</c:v>
                </c:pt>
                <c:pt idx="45">
                  <c:v>0.67278149898986</c:v>
                </c:pt>
                <c:pt idx="46">
                  <c:v>0.67278149898986</c:v>
                </c:pt>
                <c:pt idx="47">
                  <c:v>0.67278149898986</c:v>
                </c:pt>
                <c:pt idx="48">
                  <c:v>0.67278149898986</c:v>
                </c:pt>
                <c:pt idx="49">
                  <c:v>0.67278149898986</c:v>
                </c:pt>
                <c:pt idx="50">
                  <c:v>0.67278149898986</c:v>
                </c:pt>
                <c:pt idx="51">
                  <c:v>0.67278149898986</c:v>
                </c:pt>
                <c:pt idx="52">
                  <c:v>0.67278149898986</c:v>
                </c:pt>
                <c:pt idx="53">
                  <c:v>0.67278149898986</c:v>
                </c:pt>
                <c:pt idx="54">
                  <c:v>0.67278149898986</c:v>
                </c:pt>
                <c:pt idx="55">
                  <c:v>0.67278149898986</c:v>
                </c:pt>
                <c:pt idx="56">
                  <c:v>0.67278149898986</c:v>
                </c:pt>
                <c:pt idx="57">
                  <c:v>0.67278149898986</c:v>
                </c:pt>
                <c:pt idx="58">
                  <c:v>0.67278149898986</c:v>
                </c:pt>
                <c:pt idx="59">
                  <c:v>0.67278149898986</c:v>
                </c:pt>
                <c:pt idx="60">
                  <c:v>0.67278149898986</c:v>
                </c:pt>
                <c:pt idx="61">
                  <c:v>0.67278149898986</c:v>
                </c:pt>
                <c:pt idx="62">
                  <c:v>0.67278149898986</c:v>
                </c:pt>
                <c:pt idx="63">
                  <c:v>0.67278149898986</c:v>
                </c:pt>
                <c:pt idx="64">
                  <c:v>0.67278149898986</c:v>
                </c:pt>
                <c:pt idx="65">
                  <c:v>0.67278149898986</c:v>
                </c:pt>
                <c:pt idx="66">
                  <c:v>0.67278149898986</c:v>
                </c:pt>
                <c:pt idx="67">
                  <c:v>0.67278149898986</c:v>
                </c:pt>
                <c:pt idx="68">
                  <c:v>0.67278149898986</c:v>
                </c:pt>
                <c:pt idx="69">
                  <c:v>0.67278149898986</c:v>
                </c:pt>
                <c:pt idx="70">
                  <c:v>0.67278149898986</c:v>
                </c:pt>
                <c:pt idx="71">
                  <c:v>0.67278149898986</c:v>
                </c:pt>
                <c:pt idx="72">
                  <c:v>0.67278149898986</c:v>
                </c:pt>
                <c:pt idx="73">
                  <c:v>0.67278149898986</c:v>
                </c:pt>
                <c:pt idx="74">
                  <c:v>0.67278149898986</c:v>
                </c:pt>
                <c:pt idx="75">
                  <c:v>0.67278149898986</c:v>
                </c:pt>
                <c:pt idx="76">
                  <c:v>0.67278149898986</c:v>
                </c:pt>
                <c:pt idx="77">
                  <c:v>0.67278149898986</c:v>
                </c:pt>
                <c:pt idx="78">
                  <c:v>0.67278149898986</c:v>
                </c:pt>
                <c:pt idx="79">
                  <c:v>0.67278149898986</c:v>
                </c:pt>
                <c:pt idx="80">
                  <c:v>0.67278149898986</c:v>
                </c:pt>
                <c:pt idx="81">
                  <c:v>0.67278149898986</c:v>
                </c:pt>
                <c:pt idx="82">
                  <c:v>0.67278149898986</c:v>
                </c:pt>
                <c:pt idx="83">
                  <c:v>0.67278149898986</c:v>
                </c:pt>
                <c:pt idx="84">
                  <c:v>0.67278149898986</c:v>
                </c:pt>
                <c:pt idx="85">
                  <c:v>0.67278149898986</c:v>
                </c:pt>
                <c:pt idx="86">
                  <c:v>0.67278149898986</c:v>
                </c:pt>
                <c:pt idx="87">
                  <c:v>0.67278149898986</c:v>
                </c:pt>
                <c:pt idx="88">
                  <c:v>0.67278149898986</c:v>
                </c:pt>
                <c:pt idx="89">
                  <c:v>0.67278149898986</c:v>
                </c:pt>
                <c:pt idx="90">
                  <c:v>0.67278149898986</c:v>
                </c:pt>
                <c:pt idx="91">
                  <c:v>0.67278149898986</c:v>
                </c:pt>
                <c:pt idx="92">
                  <c:v>0.67278149898986</c:v>
                </c:pt>
                <c:pt idx="93">
                  <c:v>0.67278149898986</c:v>
                </c:pt>
                <c:pt idx="94">
                  <c:v>0.67278149898986</c:v>
                </c:pt>
                <c:pt idx="95">
                  <c:v>0.67278149898986</c:v>
                </c:pt>
                <c:pt idx="96">
                  <c:v>0.67278149898986</c:v>
                </c:pt>
                <c:pt idx="97">
                  <c:v>0.67278149898986</c:v>
                </c:pt>
                <c:pt idx="98">
                  <c:v>0.67278149898986</c:v>
                </c:pt>
                <c:pt idx="99">
                  <c:v>0.67278149898986</c:v>
                </c:pt>
                <c:pt idx="100">
                  <c:v>0.67278149898986</c:v>
                </c:pt>
                <c:pt idx="101">
                  <c:v>0.67278149898986</c:v>
                </c:pt>
                <c:pt idx="102">
                  <c:v>0.67278149898986</c:v>
                </c:pt>
                <c:pt idx="103">
                  <c:v>0.67278149898986</c:v>
                </c:pt>
                <c:pt idx="104">
                  <c:v>0.67278149898986</c:v>
                </c:pt>
                <c:pt idx="105">
                  <c:v>0.67278149898986</c:v>
                </c:pt>
                <c:pt idx="106">
                  <c:v>0.67278149898986</c:v>
                </c:pt>
                <c:pt idx="107">
                  <c:v>0.67278149898986</c:v>
                </c:pt>
                <c:pt idx="108">
                  <c:v>0.67278149898986</c:v>
                </c:pt>
                <c:pt idx="109">
                  <c:v>0.67278149898986</c:v>
                </c:pt>
                <c:pt idx="110">
                  <c:v>0.67278149898986</c:v>
                </c:pt>
                <c:pt idx="111">
                  <c:v>0.67278149898986</c:v>
                </c:pt>
                <c:pt idx="112">
                  <c:v>0.67278149898986</c:v>
                </c:pt>
                <c:pt idx="113">
                  <c:v>0.67278149898986</c:v>
                </c:pt>
                <c:pt idx="114">
                  <c:v>0.67278149898986</c:v>
                </c:pt>
                <c:pt idx="115">
                  <c:v>0.67278149898986</c:v>
                </c:pt>
                <c:pt idx="116">
                  <c:v>0.67278149898986</c:v>
                </c:pt>
                <c:pt idx="117">
                  <c:v>0.67278149898986</c:v>
                </c:pt>
                <c:pt idx="118">
                  <c:v>0.67278149898986</c:v>
                </c:pt>
                <c:pt idx="119">
                  <c:v>0.67278149898986</c:v>
                </c:pt>
                <c:pt idx="120">
                  <c:v>0.67278149898986</c:v>
                </c:pt>
                <c:pt idx="121">
                  <c:v>0.67278149898986</c:v>
                </c:pt>
                <c:pt idx="122">
                  <c:v>0.67278149898986</c:v>
                </c:pt>
                <c:pt idx="123">
                  <c:v>0.67278149898986</c:v>
                </c:pt>
                <c:pt idx="124">
                  <c:v>0.67278149898986</c:v>
                </c:pt>
                <c:pt idx="125">
                  <c:v>0.67278149898986</c:v>
                </c:pt>
                <c:pt idx="126">
                  <c:v>0.67278149898986</c:v>
                </c:pt>
                <c:pt idx="127">
                  <c:v>0.67278149898986</c:v>
                </c:pt>
                <c:pt idx="128">
                  <c:v>0.67278149898986</c:v>
                </c:pt>
                <c:pt idx="129">
                  <c:v>0.67278149898986</c:v>
                </c:pt>
                <c:pt idx="130">
                  <c:v>0.67278149898986</c:v>
                </c:pt>
                <c:pt idx="131">
                  <c:v>0.67278149898986</c:v>
                </c:pt>
                <c:pt idx="132">
                  <c:v>0.67278149898986</c:v>
                </c:pt>
                <c:pt idx="133">
                  <c:v>0.67278149898986</c:v>
                </c:pt>
                <c:pt idx="134">
                  <c:v>0.67278149898986</c:v>
                </c:pt>
                <c:pt idx="135">
                  <c:v>0.67278149898986</c:v>
                </c:pt>
                <c:pt idx="136">
                  <c:v>0.67278149898986</c:v>
                </c:pt>
                <c:pt idx="137">
                  <c:v>0.67278149898986</c:v>
                </c:pt>
                <c:pt idx="138">
                  <c:v>0.67278149898986</c:v>
                </c:pt>
                <c:pt idx="139">
                  <c:v>0.67278149898986</c:v>
                </c:pt>
                <c:pt idx="140">
                  <c:v>0.67278149898986</c:v>
                </c:pt>
                <c:pt idx="141">
                  <c:v>0.67278149898986</c:v>
                </c:pt>
                <c:pt idx="142">
                  <c:v>0.67278149898986</c:v>
                </c:pt>
                <c:pt idx="143">
                  <c:v>0.67278149898986</c:v>
                </c:pt>
                <c:pt idx="144">
                  <c:v>0.67278149898986</c:v>
                </c:pt>
                <c:pt idx="145">
                  <c:v>0.67278149898986</c:v>
                </c:pt>
                <c:pt idx="146">
                  <c:v>0.67278149898986</c:v>
                </c:pt>
                <c:pt idx="147">
                  <c:v>0.67278149898986</c:v>
                </c:pt>
                <c:pt idx="148">
                  <c:v>0.67278149898986</c:v>
                </c:pt>
                <c:pt idx="149">
                  <c:v>0.67278149898986</c:v>
                </c:pt>
                <c:pt idx="150">
                  <c:v>0.67278149898986</c:v>
                </c:pt>
                <c:pt idx="151">
                  <c:v>0.67278149898986</c:v>
                </c:pt>
                <c:pt idx="152">
                  <c:v>0.67278149898986</c:v>
                </c:pt>
                <c:pt idx="153">
                  <c:v>0.67278149898986</c:v>
                </c:pt>
                <c:pt idx="154">
                  <c:v>0.67278149898986</c:v>
                </c:pt>
                <c:pt idx="155">
                  <c:v>0.67278149898986</c:v>
                </c:pt>
                <c:pt idx="156">
                  <c:v>0.67278149898986</c:v>
                </c:pt>
                <c:pt idx="157">
                  <c:v>0.67278149898986</c:v>
                </c:pt>
                <c:pt idx="158">
                  <c:v>0.67278149898986</c:v>
                </c:pt>
                <c:pt idx="159">
                  <c:v>0.67278149898986</c:v>
                </c:pt>
                <c:pt idx="160">
                  <c:v>0.67278149898986</c:v>
                </c:pt>
                <c:pt idx="161">
                  <c:v>0.67278149898986</c:v>
                </c:pt>
                <c:pt idx="162">
                  <c:v>0.67278149898986</c:v>
                </c:pt>
                <c:pt idx="163">
                  <c:v>0.67278149898986</c:v>
                </c:pt>
                <c:pt idx="164">
                  <c:v>0.67278149898986</c:v>
                </c:pt>
                <c:pt idx="165">
                  <c:v>0.67278149898986</c:v>
                </c:pt>
                <c:pt idx="166">
                  <c:v>0.67278149898986</c:v>
                </c:pt>
                <c:pt idx="167">
                  <c:v>0.67278149898986</c:v>
                </c:pt>
                <c:pt idx="168">
                  <c:v>0.67278149898986</c:v>
                </c:pt>
                <c:pt idx="169">
                  <c:v>0.67278149898986</c:v>
                </c:pt>
                <c:pt idx="170">
                  <c:v>0.67278149898986</c:v>
                </c:pt>
                <c:pt idx="171">
                  <c:v>0.67278149898986</c:v>
                </c:pt>
                <c:pt idx="172">
                  <c:v>0.67278149898986</c:v>
                </c:pt>
                <c:pt idx="173">
                  <c:v>0.67278149898986</c:v>
                </c:pt>
                <c:pt idx="174">
                  <c:v>0.67278149898986</c:v>
                </c:pt>
                <c:pt idx="175">
                  <c:v>0.67278149898986</c:v>
                </c:pt>
                <c:pt idx="176">
                  <c:v>0.67278149898986</c:v>
                </c:pt>
                <c:pt idx="177">
                  <c:v>0.67278149898986</c:v>
                </c:pt>
                <c:pt idx="178">
                  <c:v>0.67278149898986</c:v>
                </c:pt>
                <c:pt idx="179">
                  <c:v>0.67278149898986</c:v>
                </c:pt>
                <c:pt idx="180">
                  <c:v>0.67278149898986</c:v>
                </c:pt>
                <c:pt idx="181">
                  <c:v>0.67278149898986</c:v>
                </c:pt>
                <c:pt idx="182">
                  <c:v>0.67278149898986</c:v>
                </c:pt>
                <c:pt idx="183">
                  <c:v>0.67278149898986</c:v>
                </c:pt>
                <c:pt idx="184">
                  <c:v>0.67278149898986</c:v>
                </c:pt>
                <c:pt idx="185">
                  <c:v>0.67278149898986</c:v>
                </c:pt>
                <c:pt idx="186">
                  <c:v>0.67278149898986</c:v>
                </c:pt>
                <c:pt idx="187">
                  <c:v>0.67278149898986</c:v>
                </c:pt>
                <c:pt idx="188">
                  <c:v>0.67278149898986</c:v>
                </c:pt>
                <c:pt idx="189">
                  <c:v>0.67278149898986</c:v>
                </c:pt>
                <c:pt idx="190">
                  <c:v>0.67278149898986</c:v>
                </c:pt>
                <c:pt idx="191">
                  <c:v>0.67278149898986</c:v>
                </c:pt>
                <c:pt idx="192">
                  <c:v>0.67278149898986</c:v>
                </c:pt>
                <c:pt idx="193">
                  <c:v>0.67278149898986</c:v>
                </c:pt>
                <c:pt idx="194">
                  <c:v>0.67278149898986</c:v>
                </c:pt>
                <c:pt idx="195">
                  <c:v>0.67278149898986</c:v>
                </c:pt>
                <c:pt idx="196">
                  <c:v>0.67278149898986</c:v>
                </c:pt>
                <c:pt idx="197">
                  <c:v>0.67278149898986</c:v>
                </c:pt>
                <c:pt idx="198">
                  <c:v>0.67278149898986</c:v>
                </c:pt>
                <c:pt idx="199">
                  <c:v>0.67278149898986</c:v>
                </c:pt>
                <c:pt idx="200">
                  <c:v>0.67278149898986</c:v>
                </c:pt>
                <c:pt idx="201">
                  <c:v>0.67278149898986</c:v>
                </c:pt>
                <c:pt idx="202">
                  <c:v>0.67278149898986</c:v>
                </c:pt>
                <c:pt idx="203">
                  <c:v>0.67278149898986</c:v>
                </c:pt>
                <c:pt idx="204">
                  <c:v>0.67278149898986</c:v>
                </c:pt>
                <c:pt idx="205">
                  <c:v>0.67278149898986</c:v>
                </c:pt>
                <c:pt idx="206">
                  <c:v>0.67278149898986</c:v>
                </c:pt>
                <c:pt idx="207">
                  <c:v>0.67278149898986</c:v>
                </c:pt>
                <c:pt idx="208">
                  <c:v>0.67278149898986</c:v>
                </c:pt>
                <c:pt idx="209">
                  <c:v>0.67278149898986</c:v>
                </c:pt>
                <c:pt idx="210">
                  <c:v>0.67278149898986</c:v>
                </c:pt>
                <c:pt idx="211">
                  <c:v>0.67278149898986</c:v>
                </c:pt>
                <c:pt idx="212">
                  <c:v>0.67278149898986</c:v>
                </c:pt>
                <c:pt idx="213">
                  <c:v>0.67278149898986</c:v>
                </c:pt>
                <c:pt idx="214">
                  <c:v>0.67278149898986</c:v>
                </c:pt>
                <c:pt idx="215">
                  <c:v>0.67278149898986</c:v>
                </c:pt>
                <c:pt idx="216">
                  <c:v>0.67278149898986</c:v>
                </c:pt>
                <c:pt idx="217">
                  <c:v>0.67278149898986</c:v>
                </c:pt>
                <c:pt idx="218">
                  <c:v>0.67278149898986</c:v>
                </c:pt>
                <c:pt idx="219">
                  <c:v>0.67278149898986</c:v>
                </c:pt>
                <c:pt idx="220">
                  <c:v>0.67278149898986</c:v>
                </c:pt>
                <c:pt idx="221">
                  <c:v>0.67278149898986</c:v>
                </c:pt>
                <c:pt idx="222">
                  <c:v>0.67278149898986</c:v>
                </c:pt>
                <c:pt idx="223">
                  <c:v>0.67278149898986</c:v>
                </c:pt>
                <c:pt idx="224">
                  <c:v>0.67278149898986</c:v>
                </c:pt>
                <c:pt idx="225">
                  <c:v>0.67278149898986</c:v>
                </c:pt>
                <c:pt idx="226">
                  <c:v>0.67278149898986</c:v>
                </c:pt>
                <c:pt idx="227">
                  <c:v>0.67278149898986</c:v>
                </c:pt>
                <c:pt idx="228">
                  <c:v>0.67278149898986</c:v>
                </c:pt>
                <c:pt idx="229">
                  <c:v>0.67278149898986</c:v>
                </c:pt>
                <c:pt idx="230">
                  <c:v>0.67278149898986</c:v>
                </c:pt>
                <c:pt idx="231">
                  <c:v>0.67278149898986</c:v>
                </c:pt>
                <c:pt idx="232">
                  <c:v>0.67278149898986</c:v>
                </c:pt>
                <c:pt idx="233">
                  <c:v>0.67278149898986</c:v>
                </c:pt>
                <c:pt idx="234">
                  <c:v>0.67278149898986</c:v>
                </c:pt>
                <c:pt idx="235">
                  <c:v>0.67278149898986</c:v>
                </c:pt>
                <c:pt idx="236">
                  <c:v>0.67278149898986</c:v>
                </c:pt>
                <c:pt idx="237">
                  <c:v>0.67278149898986</c:v>
                </c:pt>
                <c:pt idx="238">
                  <c:v>0.67278149898986</c:v>
                </c:pt>
                <c:pt idx="239">
                  <c:v>0.67278149898986</c:v>
                </c:pt>
                <c:pt idx="240">
                  <c:v>0.67278149898986</c:v>
                </c:pt>
                <c:pt idx="241">
                  <c:v>0.67278149898986</c:v>
                </c:pt>
                <c:pt idx="242">
                  <c:v>0.67278149898986</c:v>
                </c:pt>
                <c:pt idx="243">
                  <c:v>0.67278149898986</c:v>
                </c:pt>
                <c:pt idx="244">
                  <c:v>0.67278149898986</c:v>
                </c:pt>
                <c:pt idx="245">
                  <c:v>0.67278149898986</c:v>
                </c:pt>
                <c:pt idx="246">
                  <c:v>0.67278149898986</c:v>
                </c:pt>
                <c:pt idx="247">
                  <c:v>0.67278149898986</c:v>
                </c:pt>
                <c:pt idx="248">
                  <c:v>0.67278149898986</c:v>
                </c:pt>
                <c:pt idx="249">
                  <c:v>0.67278149898986</c:v>
                </c:pt>
                <c:pt idx="250">
                  <c:v>0.67278149898986</c:v>
                </c:pt>
                <c:pt idx="251">
                  <c:v>0.67278149898986</c:v>
                </c:pt>
                <c:pt idx="252">
                  <c:v>0.67278149898986</c:v>
                </c:pt>
                <c:pt idx="253">
                  <c:v>0.67278149898986</c:v>
                </c:pt>
                <c:pt idx="254">
                  <c:v>0.67278149898986</c:v>
                </c:pt>
                <c:pt idx="255">
                  <c:v>0.67278149898986</c:v>
                </c:pt>
                <c:pt idx="256">
                  <c:v>0.67278149898986</c:v>
                </c:pt>
                <c:pt idx="257">
                  <c:v>0.67278149898986</c:v>
                </c:pt>
                <c:pt idx="258">
                  <c:v>0.67278149898986</c:v>
                </c:pt>
                <c:pt idx="259">
                  <c:v>0.67278149898986</c:v>
                </c:pt>
                <c:pt idx="260">
                  <c:v>0.67278149898986</c:v>
                </c:pt>
                <c:pt idx="261">
                  <c:v>0.67278149898986</c:v>
                </c:pt>
                <c:pt idx="262">
                  <c:v>0.67278149898986</c:v>
                </c:pt>
                <c:pt idx="263">
                  <c:v>0.67278149898986</c:v>
                </c:pt>
                <c:pt idx="264">
                  <c:v>0.67278149898986</c:v>
                </c:pt>
                <c:pt idx="265">
                  <c:v>0.67278149898986</c:v>
                </c:pt>
                <c:pt idx="266">
                  <c:v>0.67278149898986</c:v>
                </c:pt>
                <c:pt idx="267">
                  <c:v>0.67278149898986</c:v>
                </c:pt>
                <c:pt idx="268">
                  <c:v>0.67278149898986</c:v>
                </c:pt>
                <c:pt idx="269">
                  <c:v>0.67278149898986</c:v>
                </c:pt>
                <c:pt idx="270">
                  <c:v>0.67278149898986</c:v>
                </c:pt>
                <c:pt idx="271">
                  <c:v>0.67278149898986</c:v>
                </c:pt>
                <c:pt idx="272">
                  <c:v>0.67278149898986</c:v>
                </c:pt>
                <c:pt idx="273">
                  <c:v>0.67278149898986</c:v>
                </c:pt>
                <c:pt idx="274">
                  <c:v>0.67278149898986</c:v>
                </c:pt>
                <c:pt idx="275">
                  <c:v>0.67278149898986</c:v>
                </c:pt>
                <c:pt idx="276">
                  <c:v>0.67278149898986</c:v>
                </c:pt>
                <c:pt idx="277">
                  <c:v>0.67278149898986</c:v>
                </c:pt>
                <c:pt idx="278">
                  <c:v>0.67278149898986</c:v>
                </c:pt>
                <c:pt idx="279">
                  <c:v>0.67278149898986</c:v>
                </c:pt>
                <c:pt idx="280">
                  <c:v>0.67278149898986</c:v>
                </c:pt>
                <c:pt idx="281">
                  <c:v>0.67278149898986</c:v>
                </c:pt>
                <c:pt idx="282">
                  <c:v>0.67278149898986</c:v>
                </c:pt>
                <c:pt idx="283">
                  <c:v>0.67278149898986</c:v>
                </c:pt>
                <c:pt idx="284">
                  <c:v>0.67278149898986</c:v>
                </c:pt>
                <c:pt idx="285">
                  <c:v>0.67278149898986</c:v>
                </c:pt>
                <c:pt idx="286">
                  <c:v>0.67278149898986</c:v>
                </c:pt>
                <c:pt idx="287">
                  <c:v>0.67278149898986</c:v>
                </c:pt>
                <c:pt idx="288">
                  <c:v>0.67278149898986</c:v>
                </c:pt>
                <c:pt idx="289">
                  <c:v>0.67278149898986</c:v>
                </c:pt>
                <c:pt idx="290">
                  <c:v>0.67278149898986</c:v>
                </c:pt>
                <c:pt idx="291">
                  <c:v>0.67278149898986</c:v>
                </c:pt>
                <c:pt idx="292">
                  <c:v>0.67278149898986</c:v>
                </c:pt>
                <c:pt idx="293">
                  <c:v>0.67278149898986</c:v>
                </c:pt>
                <c:pt idx="294">
                  <c:v>0.67278149898986</c:v>
                </c:pt>
                <c:pt idx="295">
                  <c:v>0.67278149898986</c:v>
                </c:pt>
                <c:pt idx="296">
                  <c:v>0.67278149898986</c:v>
                </c:pt>
                <c:pt idx="297">
                  <c:v>0.67278149898986</c:v>
                </c:pt>
                <c:pt idx="298">
                  <c:v>0.67278149898986</c:v>
                </c:pt>
                <c:pt idx="299">
                  <c:v>0.67278149898986</c:v>
                </c:pt>
                <c:pt idx="300">
                  <c:v>0.67278149898986</c:v>
                </c:pt>
                <c:pt idx="301">
                  <c:v>0.67278149898986</c:v>
                </c:pt>
                <c:pt idx="302">
                  <c:v>0.67278149898986</c:v>
                </c:pt>
                <c:pt idx="303">
                  <c:v>0.67278149898986</c:v>
                </c:pt>
                <c:pt idx="304">
                  <c:v>0.67278149898986</c:v>
                </c:pt>
                <c:pt idx="305">
                  <c:v>0.67278149898986</c:v>
                </c:pt>
                <c:pt idx="306">
                  <c:v>0.67278149898986</c:v>
                </c:pt>
                <c:pt idx="307">
                  <c:v>0.67278149898986</c:v>
                </c:pt>
                <c:pt idx="308">
                  <c:v>0.67278149898986</c:v>
                </c:pt>
                <c:pt idx="309">
                  <c:v>0.67278149898986</c:v>
                </c:pt>
                <c:pt idx="310">
                  <c:v>0.67278149898986</c:v>
                </c:pt>
                <c:pt idx="311">
                  <c:v>0.67278149898986</c:v>
                </c:pt>
                <c:pt idx="312">
                  <c:v>0.67278149898986</c:v>
                </c:pt>
                <c:pt idx="313">
                  <c:v>0.67278149898986</c:v>
                </c:pt>
                <c:pt idx="314">
                  <c:v>0.67278149898986</c:v>
                </c:pt>
                <c:pt idx="315">
                  <c:v>0.67278149898986</c:v>
                </c:pt>
                <c:pt idx="316">
                  <c:v>0.67278149898986</c:v>
                </c:pt>
                <c:pt idx="317">
                  <c:v>0.67278149898986</c:v>
                </c:pt>
                <c:pt idx="318">
                  <c:v>0.67278149898986</c:v>
                </c:pt>
                <c:pt idx="319">
                  <c:v>0.67278149898986</c:v>
                </c:pt>
                <c:pt idx="320">
                  <c:v>0.67278149898986</c:v>
                </c:pt>
                <c:pt idx="321">
                  <c:v>0.67278149898986</c:v>
                </c:pt>
                <c:pt idx="322">
                  <c:v>0.67278149898986</c:v>
                </c:pt>
                <c:pt idx="323">
                  <c:v>0.67278149898986</c:v>
                </c:pt>
                <c:pt idx="324">
                  <c:v>0.67278149898986</c:v>
                </c:pt>
                <c:pt idx="325">
                  <c:v>0.67278149898986</c:v>
                </c:pt>
                <c:pt idx="326">
                  <c:v>0.67278149898986</c:v>
                </c:pt>
                <c:pt idx="327">
                  <c:v>0.67278149898986</c:v>
                </c:pt>
                <c:pt idx="328">
                  <c:v>0.67278149898986</c:v>
                </c:pt>
                <c:pt idx="329">
                  <c:v>0.67278149898986</c:v>
                </c:pt>
                <c:pt idx="330">
                  <c:v>0.67278149898986</c:v>
                </c:pt>
                <c:pt idx="331">
                  <c:v>0.67278149898986</c:v>
                </c:pt>
                <c:pt idx="332">
                  <c:v>0.67278149898986</c:v>
                </c:pt>
                <c:pt idx="333">
                  <c:v>0.67278149898986</c:v>
                </c:pt>
                <c:pt idx="334">
                  <c:v>0.67278149898986</c:v>
                </c:pt>
                <c:pt idx="335">
                  <c:v>0.67278149898986</c:v>
                </c:pt>
                <c:pt idx="336">
                  <c:v>0.67278149898986</c:v>
                </c:pt>
                <c:pt idx="337">
                  <c:v>0.67278149898986</c:v>
                </c:pt>
                <c:pt idx="338">
                  <c:v>0.67278149898986</c:v>
                </c:pt>
                <c:pt idx="339">
                  <c:v>0.67278149898986</c:v>
                </c:pt>
                <c:pt idx="340">
                  <c:v>0.67278149898986</c:v>
                </c:pt>
                <c:pt idx="341">
                  <c:v>0.67278149898986</c:v>
                </c:pt>
                <c:pt idx="342">
                  <c:v>0.67278149898986</c:v>
                </c:pt>
                <c:pt idx="343">
                  <c:v>0.67278149898986</c:v>
                </c:pt>
                <c:pt idx="344">
                  <c:v>0.67278149898986</c:v>
                </c:pt>
                <c:pt idx="345">
                  <c:v>0.67278149898986</c:v>
                </c:pt>
                <c:pt idx="346">
                  <c:v>0.67278149898986</c:v>
                </c:pt>
                <c:pt idx="347">
                  <c:v>0.67278149898986</c:v>
                </c:pt>
                <c:pt idx="348">
                  <c:v>0.67278149898986</c:v>
                </c:pt>
                <c:pt idx="349">
                  <c:v>0.67278149898986</c:v>
                </c:pt>
                <c:pt idx="350">
                  <c:v>0.67278149898986</c:v>
                </c:pt>
                <c:pt idx="351">
                  <c:v>0.67278149898986</c:v>
                </c:pt>
                <c:pt idx="352">
                  <c:v>0.67278149898986</c:v>
                </c:pt>
                <c:pt idx="353">
                  <c:v>0.67278149898986</c:v>
                </c:pt>
                <c:pt idx="354">
                  <c:v>0.67278149898986</c:v>
                </c:pt>
                <c:pt idx="355">
                  <c:v>0.67278149898986</c:v>
                </c:pt>
                <c:pt idx="356">
                  <c:v>0.67278149898986</c:v>
                </c:pt>
                <c:pt idx="357">
                  <c:v>0.67278149898986</c:v>
                </c:pt>
                <c:pt idx="358">
                  <c:v>0.67278149898986</c:v>
                </c:pt>
                <c:pt idx="359">
                  <c:v>0.67278149898986</c:v>
                </c:pt>
                <c:pt idx="360">
                  <c:v>0.67278149898986</c:v>
                </c:pt>
                <c:pt idx="361">
                  <c:v>0.67278149898986</c:v>
                </c:pt>
                <c:pt idx="362">
                  <c:v>0.67278149898986</c:v>
                </c:pt>
                <c:pt idx="363">
                  <c:v>0.67278149898986</c:v>
                </c:pt>
                <c:pt idx="364">
                  <c:v>0.67278149898986</c:v>
                </c:pt>
                <c:pt idx="365">
                  <c:v>0.67278149898986</c:v>
                </c:pt>
                <c:pt idx="366">
                  <c:v>0.67278149898986</c:v>
                </c:pt>
                <c:pt idx="367">
                  <c:v>0.67278149898986</c:v>
                </c:pt>
                <c:pt idx="368">
                  <c:v>0.67278149898986</c:v>
                </c:pt>
                <c:pt idx="369">
                  <c:v>0.67278149898986</c:v>
                </c:pt>
                <c:pt idx="370">
                  <c:v>0.67278149898986</c:v>
                </c:pt>
                <c:pt idx="371">
                  <c:v>0.67278149898986</c:v>
                </c:pt>
                <c:pt idx="372">
                  <c:v>0.67278149898986</c:v>
                </c:pt>
                <c:pt idx="373">
                  <c:v>0.67278149898986</c:v>
                </c:pt>
                <c:pt idx="374">
                  <c:v>0.67278149898986</c:v>
                </c:pt>
                <c:pt idx="375">
                  <c:v>0.67278149898986</c:v>
                </c:pt>
                <c:pt idx="376">
                  <c:v>0.67278149898986</c:v>
                </c:pt>
                <c:pt idx="377">
                  <c:v>0.67278149898986</c:v>
                </c:pt>
                <c:pt idx="378">
                  <c:v>0.67278149898986</c:v>
                </c:pt>
                <c:pt idx="379">
                  <c:v>0.67278149898986</c:v>
                </c:pt>
                <c:pt idx="380">
                  <c:v>0.67278149898986</c:v>
                </c:pt>
                <c:pt idx="381">
                  <c:v>0.67278149898986</c:v>
                </c:pt>
                <c:pt idx="382">
                  <c:v>0.67278149898986</c:v>
                </c:pt>
                <c:pt idx="383">
                  <c:v>0.67278149898986</c:v>
                </c:pt>
                <c:pt idx="384">
                  <c:v>0.67278149898986</c:v>
                </c:pt>
                <c:pt idx="385">
                  <c:v>0.67278149898986</c:v>
                </c:pt>
                <c:pt idx="386">
                  <c:v>0.67278149898986</c:v>
                </c:pt>
                <c:pt idx="387">
                  <c:v>0.67278149898986</c:v>
                </c:pt>
                <c:pt idx="388">
                  <c:v>0.67278149898986</c:v>
                </c:pt>
                <c:pt idx="389">
                  <c:v>0.67278149898986</c:v>
                </c:pt>
                <c:pt idx="390">
                  <c:v>0.67278149898986</c:v>
                </c:pt>
                <c:pt idx="391">
                  <c:v>0.67278149898986</c:v>
                </c:pt>
                <c:pt idx="392">
                  <c:v>0.67278149898986</c:v>
                </c:pt>
                <c:pt idx="393">
                  <c:v>0.67278149898986</c:v>
                </c:pt>
                <c:pt idx="394">
                  <c:v>0.67278149898986</c:v>
                </c:pt>
                <c:pt idx="395">
                  <c:v>0.67278149898986</c:v>
                </c:pt>
                <c:pt idx="396">
                  <c:v>0.67278149898986</c:v>
                </c:pt>
                <c:pt idx="397">
                  <c:v>0.67278149898986</c:v>
                </c:pt>
                <c:pt idx="398">
                  <c:v>0.67278149898986</c:v>
                </c:pt>
                <c:pt idx="399">
                  <c:v>0.67278149898986</c:v>
                </c:pt>
                <c:pt idx="400">
                  <c:v>0.67278149898986</c:v>
                </c:pt>
                <c:pt idx="401">
                  <c:v>0.67278149898986</c:v>
                </c:pt>
                <c:pt idx="402">
                  <c:v>0.67278149898986</c:v>
                </c:pt>
                <c:pt idx="403">
                  <c:v>0.67278149898986</c:v>
                </c:pt>
                <c:pt idx="404">
                  <c:v>0.67278149898986</c:v>
                </c:pt>
                <c:pt idx="405">
                  <c:v>0.67278149898986</c:v>
                </c:pt>
                <c:pt idx="406">
                  <c:v>0.67278149898986</c:v>
                </c:pt>
                <c:pt idx="407">
                  <c:v>0.67278149898986</c:v>
                </c:pt>
                <c:pt idx="408">
                  <c:v>0.67278149898986</c:v>
                </c:pt>
                <c:pt idx="409">
                  <c:v>0.67278149898986</c:v>
                </c:pt>
                <c:pt idx="410">
                  <c:v>0.67278149898986</c:v>
                </c:pt>
                <c:pt idx="411">
                  <c:v>0.67278149898986</c:v>
                </c:pt>
                <c:pt idx="412">
                  <c:v>0.67278149898986</c:v>
                </c:pt>
                <c:pt idx="413">
                  <c:v>0.67278149898986</c:v>
                </c:pt>
                <c:pt idx="414">
                  <c:v>0.67278149898986</c:v>
                </c:pt>
                <c:pt idx="415">
                  <c:v>0.67278149898986</c:v>
                </c:pt>
                <c:pt idx="416">
                  <c:v>0.67278149898986</c:v>
                </c:pt>
                <c:pt idx="417">
                  <c:v>0.67278149898986</c:v>
                </c:pt>
                <c:pt idx="418">
                  <c:v>0.67278149898986</c:v>
                </c:pt>
                <c:pt idx="419">
                  <c:v>0.67278149898986</c:v>
                </c:pt>
                <c:pt idx="420">
                  <c:v>0.67278149898986</c:v>
                </c:pt>
                <c:pt idx="421">
                  <c:v>0.67278149898986</c:v>
                </c:pt>
                <c:pt idx="422">
                  <c:v>0.67278149898986</c:v>
                </c:pt>
                <c:pt idx="423">
                  <c:v>0.67278149898986</c:v>
                </c:pt>
                <c:pt idx="424">
                  <c:v>0.67278149898986</c:v>
                </c:pt>
                <c:pt idx="425">
                  <c:v>0.67278149898986</c:v>
                </c:pt>
                <c:pt idx="426">
                  <c:v>0.67278149898986</c:v>
                </c:pt>
                <c:pt idx="427">
                  <c:v>0.67278149898986</c:v>
                </c:pt>
                <c:pt idx="428">
                  <c:v>0.67278149898986</c:v>
                </c:pt>
                <c:pt idx="429">
                  <c:v>0.67278149898986</c:v>
                </c:pt>
                <c:pt idx="430">
                  <c:v>0.67278149898986</c:v>
                </c:pt>
                <c:pt idx="431">
                  <c:v>0.67278149898986</c:v>
                </c:pt>
                <c:pt idx="432">
                  <c:v>0.67278149898986</c:v>
                </c:pt>
                <c:pt idx="433">
                  <c:v>0.67278149898986</c:v>
                </c:pt>
                <c:pt idx="434">
                  <c:v>0.67278149898986</c:v>
                </c:pt>
                <c:pt idx="435">
                  <c:v>0.67278149898986</c:v>
                </c:pt>
                <c:pt idx="436">
                  <c:v>0.67278149898986</c:v>
                </c:pt>
                <c:pt idx="437">
                  <c:v>0.67278149898986</c:v>
                </c:pt>
                <c:pt idx="438">
                  <c:v>0.67278149898986</c:v>
                </c:pt>
                <c:pt idx="439">
                  <c:v>0.67278149898986</c:v>
                </c:pt>
                <c:pt idx="440">
                  <c:v>0.67278149898986</c:v>
                </c:pt>
                <c:pt idx="441">
                  <c:v>0.67278149898986</c:v>
                </c:pt>
                <c:pt idx="442">
                  <c:v>0.67278149898986</c:v>
                </c:pt>
                <c:pt idx="443">
                  <c:v>0.67278149898986</c:v>
                </c:pt>
                <c:pt idx="444">
                  <c:v>0.67278149898986</c:v>
                </c:pt>
                <c:pt idx="445">
                  <c:v>0.67278149898986</c:v>
                </c:pt>
                <c:pt idx="446">
                  <c:v>0.67278149898986</c:v>
                </c:pt>
                <c:pt idx="447">
                  <c:v>0.67278149898986</c:v>
                </c:pt>
                <c:pt idx="448">
                  <c:v>0.67278149898986</c:v>
                </c:pt>
                <c:pt idx="449">
                  <c:v>0.67278149898986</c:v>
                </c:pt>
                <c:pt idx="450">
                  <c:v>0.67278149898986</c:v>
                </c:pt>
                <c:pt idx="451">
                  <c:v>0.67278149898986</c:v>
                </c:pt>
                <c:pt idx="452">
                  <c:v>0.67278149898986</c:v>
                </c:pt>
                <c:pt idx="453">
                  <c:v>0.67278149898986</c:v>
                </c:pt>
                <c:pt idx="454">
                  <c:v>0.67278149898986</c:v>
                </c:pt>
                <c:pt idx="455">
                  <c:v>0.67278149898986</c:v>
                </c:pt>
                <c:pt idx="456">
                  <c:v>0.67278149898986</c:v>
                </c:pt>
                <c:pt idx="457">
                  <c:v>0.67278149898986</c:v>
                </c:pt>
                <c:pt idx="458">
                  <c:v>0.67278149898986</c:v>
                </c:pt>
                <c:pt idx="459">
                  <c:v>0.67278149898986</c:v>
                </c:pt>
                <c:pt idx="460">
                  <c:v>0.67278149898986</c:v>
                </c:pt>
                <c:pt idx="461">
                  <c:v>0.67278149898986</c:v>
                </c:pt>
                <c:pt idx="462">
                  <c:v>0.67278149898986</c:v>
                </c:pt>
                <c:pt idx="463">
                  <c:v>0.67278149898986</c:v>
                </c:pt>
                <c:pt idx="464">
                  <c:v>0.67278149898986</c:v>
                </c:pt>
                <c:pt idx="465">
                  <c:v>0.67278149898986</c:v>
                </c:pt>
                <c:pt idx="466">
                  <c:v>0.67278149898986</c:v>
                </c:pt>
                <c:pt idx="467">
                  <c:v>0.67278149898986</c:v>
                </c:pt>
                <c:pt idx="468">
                  <c:v>0.67278149898986</c:v>
                </c:pt>
                <c:pt idx="469">
                  <c:v>0.67278149898986</c:v>
                </c:pt>
                <c:pt idx="470">
                  <c:v>0.67278149898986</c:v>
                </c:pt>
                <c:pt idx="471">
                  <c:v>0.67278149898986</c:v>
                </c:pt>
                <c:pt idx="472">
                  <c:v>0.67278149898986</c:v>
                </c:pt>
                <c:pt idx="473">
                  <c:v>0.67278149898986</c:v>
                </c:pt>
                <c:pt idx="474">
                  <c:v>0.67278149898986</c:v>
                </c:pt>
                <c:pt idx="475">
                  <c:v>0.67278149898986</c:v>
                </c:pt>
                <c:pt idx="476">
                  <c:v>0.67278149898986</c:v>
                </c:pt>
                <c:pt idx="477">
                  <c:v>0.67278149898986</c:v>
                </c:pt>
                <c:pt idx="478">
                  <c:v>0.67278149898986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C1_XbarR_s1!J15</c:f>
              <c:strCache>
                <c:ptCount val="1"/>
                <c:pt idx="0">
                  <c:v>UCL X</c:v>
                </c:pt>
              </c:strCache>
            </c:strRef>
          </c:tx>
          <c:spPr>
            <a:solidFill>
              <a:srgbClr val="e76f51"/>
            </a:solidFill>
            <a:ln w="1512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C1_XbarR_s1!$J$16:$J$494</c:f>
              <c:numCache>
                <c:formatCode>0.0%</c:formatCode>
                <c:ptCount val="479"/>
                <c:pt idx="0">
                  <c:v>0.959137233677579</c:v>
                </c:pt>
                <c:pt idx="1">
                  <c:v>0.959137233677579</c:v>
                </c:pt>
                <c:pt idx="2">
                  <c:v>0.959137233677579</c:v>
                </c:pt>
                <c:pt idx="3">
                  <c:v>0.959137233677579</c:v>
                </c:pt>
                <c:pt idx="4">
                  <c:v>0.959137233677579</c:v>
                </c:pt>
                <c:pt idx="5">
                  <c:v>0.959137233677579</c:v>
                </c:pt>
                <c:pt idx="6">
                  <c:v>0.959137233677579</c:v>
                </c:pt>
                <c:pt idx="7">
                  <c:v>0.959137233677579</c:v>
                </c:pt>
                <c:pt idx="8">
                  <c:v>0.959137233677579</c:v>
                </c:pt>
                <c:pt idx="9">
                  <c:v>0.959137233677579</c:v>
                </c:pt>
                <c:pt idx="10">
                  <c:v>0.959137233677579</c:v>
                </c:pt>
                <c:pt idx="11">
                  <c:v>0.959137233677579</c:v>
                </c:pt>
                <c:pt idx="12">
                  <c:v>0.959137233677579</c:v>
                </c:pt>
                <c:pt idx="13">
                  <c:v>0.959137233677579</c:v>
                </c:pt>
                <c:pt idx="14">
                  <c:v>0.959137233677579</c:v>
                </c:pt>
                <c:pt idx="15">
                  <c:v>0.959137233677579</c:v>
                </c:pt>
                <c:pt idx="16">
                  <c:v>0.959137233677579</c:v>
                </c:pt>
                <c:pt idx="17">
                  <c:v>0.959137233677579</c:v>
                </c:pt>
                <c:pt idx="18">
                  <c:v>0.959137233677579</c:v>
                </c:pt>
                <c:pt idx="19">
                  <c:v>0.959137233677579</c:v>
                </c:pt>
                <c:pt idx="20">
                  <c:v>0.959137233677579</c:v>
                </c:pt>
                <c:pt idx="21">
                  <c:v>0.959137233677579</c:v>
                </c:pt>
                <c:pt idx="22">
                  <c:v>0.959137233677579</c:v>
                </c:pt>
                <c:pt idx="23">
                  <c:v>0.959137233677579</c:v>
                </c:pt>
                <c:pt idx="24">
                  <c:v>0.959137233677579</c:v>
                </c:pt>
                <c:pt idx="25">
                  <c:v>0.959137233677579</c:v>
                </c:pt>
                <c:pt idx="26">
                  <c:v>0.959137233677579</c:v>
                </c:pt>
                <c:pt idx="27">
                  <c:v>0.959137233677579</c:v>
                </c:pt>
                <c:pt idx="28">
                  <c:v>0.959137233677579</c:v>
                </c:pt>
                <c:pt idx="29">
                  <c:v>0.959137233677579</c:v>
                </c:pt>
                <c:pt idx="30">
                  <c:v>0.959137233677579</c:v>
                </c:pt>
                <c:pt idx="31">
                  <c:v>0.959137233677579</c:v>
                </c:pt>
                <c:pt idx="32">
                  <c:v>0.959137233677579</c:v>
                </c:pt>
                <c:pt idx="33">
                  <c:v>0.959137233677579</c:v>
                </c:pt>
                <c:pt idx="34">
                  <c:v>0.959137233677579</c:v>
                </c:pt>
                <c:pt idx="35">
                  <c:v>0.959137233677579</c:v>
                </c:pt>
                <c:pt idx="36">
                  <c:v>0.959137233677579</c:v>
                </c:pt>
                <c:pt idx="37">
                  <c:v>0.959137233677579</c:v>
                </c:pt>
                <c:pt idx="38">
                  <c:v>0.959137233677579</c:v>
                </c:pt>
                <c:pt idx="39">
                  <c:v>0.959137233677579</c:v>
                </c:pt>
                <c:pt idx="40">
                  <c:v>0.959137233677579</c:v>
                </c:pt>
                <c:pt idx="41">
                  <c:v>0.959137233677579</c:v>
                </c:pt>
                <c:pt idx="42">
                  <c:v>0.959137233677579</c:v>
                </c:pt>
                <c:pt idx="43">
                  <c:v>0.959137233677579</c:v>
                </c:pt>
                <c:pt idx="44">
                  <c:v>0.959137233677579</c:v>
                </c:pt>
                <c:pt idx="45">
                  <c:v>0.959137233677579</c:v>
                </c:pt>
                <c:pt idx="46">
                  <c:v>0.959137233677579</c:v>
                </c:pt>
                <c:pt idx="47">
                  <c:v>0.959137233677579</c:v>
                </c:pt>
                <c:pt idx="48">
                  <c:v>0.959137233677579</c:v>
                </c:pt>
                <c:pt idx="49">
                  <c:v>0.959137233677579</c:v>
                </c:pt>
                <c:pt idx="50">
                  <c:v>0.959137233677579</c:v>
                </c:pt>
                <c:pt idx="51">
                  <c:v>0.959137233677579</c:v>
                </c:pt>
                <c:pt idx="52">
                  <c:v>0.959137233677579</c:v>
                </c:pt>
                <c:pt idx="53">
                  <c:v>0.959137233677579</c:v>
                </c:pt>
                <c:pt idx="54">
                  <c:v>0.959137233677579</c:v>
                </c:pt>
                <c:pt idx="55">
                  <c:v>0.959137233677579</c:v>
                </c:pt>
                <c:pt idx="56">
                  <c:v>0.959137233677579</c:v>
                </c:pt>
                <c:pt idx="57">
                  <c:v>0.959137233677579</c:v>
                </c:pt>
                <c:pt idx="58">
                  <c:v>0.959137233677579</c:v>
                </c:pt>
                <c:pt idx="59">
                  <c:v>0.959137233677579</c:v>
                </c:pt>
                <c:pt idx="60">
                  <c:v>0.959137233677579</c:v>
                </c:pt>
                <c:pt idx="61">
                  <c:v>0.959137233677579</c:v>
                </c:pt>
                <c:pt idx="62">
                  <c:v>0.959137233677579</c:v>
                </c:pt>
                <c:pt idx="63">
                  <c:v>0.959137233677579</c:v>
                </c:pt>
                <c:pt idx="64">
                  <c:v>0.959137233677579</c:v>
                </c:pt>
                <c:pt idx="65">
                  <c:v>0.959137233677579</c:v>
                </c:pt>
                <c:pt idx="66">
                  <c:v>0.959137233677579</c:v>
                </c:pt>
                <c:pt idx="67">
                  <c:v>0.959137233677579</c:v>
                </c:pt>
                <c:pt idx="68">
                  <c:v>0.959137233677579</c:v>
                </c:pt>
                <c:pt idx="69">
                  <c:v>0.959137233677579</c:v>
                </c:pt>
                <c:pt idx="70">
                  <c:v>0.959137233677579</c:v>
                </c:pt>
                <c:pt idx="71">
                  <c:v>0.959137233677579</c:v>
                </c:pt>
                <c:pt idx="72">
                  <c:v>0.959137233677579</c:v>
                </c:pt>
                <c:pt idx="73">
                  <c:v>0.959137233677579</c:v>
                </c:pt>
                <c:pt idx="74">
                  <c:v>0.959137233677579</c:v>
                </c:pt>
                <c:pt idx="75">
                  <c:v>0.959137233677579</c:v>
                </c:pt>
                <c:pt idx="76">
                  <c:v>0.959137233677579</c:v>
                </c:pt>
                <c:pt idx="77">
                  <c:v>0.959137233677579</c:v>
                </c:pt>
                <c:pt idx="78">
                  <c:v>0.959137233677579</c:v>
                </c:pt>
                <c:pt idx="79">
                  <c:v>0.959137233677579</c:v>
                </c:pt>
                <c:pt idx="80">
                  <c:v>0.959137233677579</c:v>
                </c:pt>
                <c:pt idx="81">
                  <c:v>0.959137233677579</c:v>
                </c:pt>
                <c:pt idx="82">
                  <c:v>0.959137233677579</c:v>
                </c:pt>
                <c:pt idx="83">
                  <c:v>0.959137233677579</c:v>
                </c:pt>
                <c:pt idx="84">
                  <c:v>0.959137233677579</c:v>
                </c:pt>
                <c:pt idx="85">
                  <c:v>0.959137233677579</c:v>
                </c:pt>
                <c:pt idx="86">
                  <c:v>0.959137233677579</c:v>
                </c:pt>
                <c:pt idx="87">
                  <c:v>0.959137233677579</c:v>
                </c:pt>
                <c:pt idx="88">
                  <c:v>0.959137233677579</c:v>
                </c:pt>
                <c:pt idx="89">
                  <c:v>0.959137233677579</c:v>
                </c:pt>
                <c:pt idx="90">
                  <c:v>0.959137233677579</c:v>
                </c:pt>
                <c:pt idx="91">
                  <c:v>0.959137233677579</c:v>
                </c:pt>
                <c:pt idx="92">
                  <c:v>0.959137233677579</c:v>
                </c:pt>
                <c:pt idx="93">
                  <c:v>0.959137233677579</c:v>
                </c:pt>
                <c:pt idx="94">
                  <c:v>0.959137233677579</c:v>
                </c:pt>
                <c:pt idx="95">
                  <c:v>0.959137233677579</c:v>
                </c:pt>
                <c:pt idx="96">
                  <c:v>0.959137233677579</c:v>
                </c:pt>
                <c:pt idx="97">
                  <c:v>0.959137233677579</c:v>
                </c:pt>
                <c:pt idx="98">
                  <c:v>0.959137233677579</c:v>
                </c:pt>
                <c:pt idx="99">
                  <c:v>0.959137233677579</c:v>
                </c:pt>
                <c:pt idx="100">
                  <c:v>0.959137233677579</c:v>
                </c:pt>
                <c:pt idx="101">
                  <c:v>0.959137233677579</c:v>
                </c:pt>
                <c:pt idx="102">
                  <c:v>0.959137233677579</c:v>
                </c:pt>
                <c:pt idx="103">
                  <c:v>0.959137233677579</c:v>
                </c:pt>
                <c:pt idx="104">
                  <c:v>0.959137233677579</c:v>
                </c:pt>
                <c:pt idx="105">
                  <c:v>0.959137233677579</c:v>
                </c:pt>
                <c:pt idx="106">
                  <c:v>0.959137233677579</c:v>
                </c:pt>
                <c:pt idx="107">
                  <c:v>0.959137233677579</c:v>
                </c:pt>
                <c:pt idx="108">
                  <c:v>0.959137233677579</c:v>
                </c:pt>
                <c:pt idx="109">
                  <c:v>0.959137233677579</c:v>
                </c:pt>
                <c:pt idx="110">
                  <c:v>0.959137233677579</c:v>
                </c:pt>
                <c:pt idx="111">
                  <c:v>0.959137233677579</c:v>
                </c:pt>
                <c:pt idx="112">
                  <c:v>0.959137233677579</c:v>
                </c:pt>
                <c:pt idx="113">
                  <c:v>0.959137233677579</c:v>
                </c:pt>
                <c:pt idx="114">
                  <c:v>0.959137233677579</c:v>
                </c:pt>
                <c:pt idx="115">
                  <c:v>0.959137233677579</c:v>
                </c:pt>
                <c:pt idx="116">
                  <c:v>0.959137233677579</c:v>
                </c:pt>
                <c:pt idx="117">
                  <c:v>0.959137233677579</c:v>
                </c:pt>
                <c:pt idx="118">
                  <c:v>0.959137233677579</c:v>
                </c:pt>
                <c:pt idx="119">
                  <c:v>0.959137233677579</c:v>
                </c:pt>
                <c:pt idx="120">
                  <c:v>0.959137233677579</c:v>
                </c:pt>
                <c:pt idx="121">
                  <c:v>0.959137233677579</c:v>
                </c:pt>
                <c:pt idx="122">
                  <c:v>0.959137233677579</c:v>
                </c:pt>
                <c:pt idx="123">
                  <c:v>0.959137233677579</c:v>
                </c:pt>
                <c:pt idx="124">
                  <c:v>0.959137233677579</c:v>
                </c:pt>
                <c:pt idx="125">
                  <c:v>0.959137233677579</c:v>
                </c:pt>
                <c:pt idx="126">
                  <c:v>0.959137233677579</c:v>
                </c:pt>
                <c:pt idx="127">
                  <c:v>0.959137233677579</c:v>
                </c:pt>
                <c:pt idx="128">
                  <c:v>0.959137233677579</c:v>
                </c:pt>
                <c:pt idx="129">
                  <c:v>0.959137233677579</c:v>
                </c:pt>
                <c:pt idx="130">
                  <c:v>0.959137233677579</c:v>
                </c:pt>
                <c:pt idx="131">
                  <c:v>0.959137233677579</c:v>
                </c:pt>
                <c:pt idx="132">
                  <c:v>0.959137233677579</c:v>
                </c:pt>
                <c:pt idx="133">
                  <c:v>0.959137233677579</c:v>
                </c:pt>
                <c:pt idx="134">
                  <c:v>0.959137233677579</c:v>
                </c:pt>
                <c:pt idx="135">
                  <c:v>0.959137233677579</c:v>
                </c:pt>
                <c:pt idx="136">
                  <c:v>0.959137233677579</c:v>
                </c:pt>
                <c:pt idx="137">
                  <c:v>0.959137233677579</c:v>
                </c:pt>
                <c:pt idx="138">
                  <c:v>0.959137233677579</c:v>
                </c:pt>
                <c:pt idx="139">
                  <c:v>0.959137233677579</c:v>
                </c:pt>
                <c:pt idx="140">
                  <c:v>0.959137233677579</c:v>
                </c:pt>
                <c:pt idx="141">
                  <c:v>0.959137233677579</c:v>
                </c:pt>
                <c:pt idx="142">
                  <c:v>0.959137233677579</c:v>
                </c:pt>
                <c:pt idx="143">
                  <c:v>0.959137233677579</c:v>
                </c:pt>
                <c:pt idx="144">
                  <c:v>0.959137233677579</c:v>
                </c:pt>
                <c:pt idx="145">
                  <c:v>0.959137233677579</c:v>
                </c:pt>
                <c:pt idx="146">
                  <c:v>0.959137233677579</c:v>
                </c:pt>
                <c:pt idx="147">
                  <c:v>0.959137233677579</c:v>
                </c:pt>
                <c:pt idx="148">
                  <c:v>0.959137233677579</c:v>
                </c:pt>
                <c:pt idx="149">
                  <c:v>0.959137233677579</c:v>
                </c:pt>
                <c:pt idx="150">
                  <c:v>0.959137233677579</c:v>
                </c:pt>
                <c:pt idx="151">
                  <c:v>0.959137233677579</c:v>
                </c:pt>
                <c:pt idx="152">
                  <c:v>0.959137233677579</c:v>
                </c:pt>
                <c:pt idx="153">
                  <c:v>0.959137233677579</c:v>
                </c:pt>
                <c:pt idx="154">
                  <c:v>0.959137233677579</c:v>
                </c:pt>
                <c:pt idx="155">
                  <c:v>0.959137233677579</c:v>
                </c:pt>
                <c:pt idx="156">
                  <c:v>0.959137233677579</c:v>
                </c:pt>
                <c:pt idx="157">
                  <c:v>0.959137233677579</c:v>
                </c:pt>
                <c:pt idx="158">
                  <c:v>0.959137233677579</c:v>
                </c:pt>
                <c:pt idx="159">
                  <c:v>0.959137233677579</c:v>
                </c:pt>
                <c:pt idx="160">
                  <c:v>0.959137233677579</c:v>
                </c:pt>
                <c:pt idx="161">
                  <c:v>0.959137233677579</c:v>
                </c:pt>
                <c:pt idx="162">
                  <c:v>0.959137233677579</c:v>
                </c:pt>
                <c:pt idx="163">
                  <c:v>0.959137233677579</c:v>
                </c:pt>
                <c:pt idx="164">
                  <c:v>0.959137233677579</c:v>
                </c:pt>
                <c:pt idx="165">
                  <c:v>0.959137233677579</c:v>
                </c:pt>
                <c:pt idx="166">
                  <c:v>0.959137233677579</c:v>
                </c:pt>
                <c:pt idx="167">
                  <c:v>0.959137233677579</c:v>
                </c:pt>
                <c:pt idx="168">
                  <c:v>0.959137233677579</c:v>
                </c:pt>
                <c:pt idx="169">
                  <c:v>0.959137233677579</c:v>
                </c:pt>
                <c:pt idx="170">
                  <c:v>0.959137233677579</c:v>
                </c:pt>
                <c:pt idx="171">
                  <c:v>0.959137233677579</c:v>
                </c:pt>
                <c:pt idx="172">
                  <c:v>0.959137233677579</c:v>
                </c:pt>
                <c:pt idx="173">
                  <c:v>0.959137233677579</c:v>
                </c:pt>
                <c:pt idx="174">
                  <c:v>0.959137233677579</c:v>
                </c:pt>
                <c:pt idx="175">
                  <c:v>0.959137233677579</c:v>
                </c:pt>
                <c:pt idx="176">
                  <c:v>0.959137233677579</c:v>
                </c:pt>
                <c:pt idx="177">
                  <c:v>0.959137233677579</c:v>
                </c:pt>
                <c:pt idx="178">
                  <c:v>0.959137233677579</c:v>
                </c:pt>
                <c:pt idx="179">
                  <c:v>0.959137233677579</c:v>
                </c:pt>
                <c:pt idx="180">
                  <c:v>0.959137233677579</c:v>
                </c:pt>
                <c:pt idx="181">
                  <c:v>0.959137233677579</c:v>
                </c:pt>
                <c:pt idx="182">
                  <c:v>0.959137233677579</c:v>
                </c:pt>
                <c:pt idx="183">
                  <c:v>0.959137233677579</c:v>
                </c:pt>
                <c:pt idx="184">
                  <c:v>0.959137233677579</c:v>
                </c:pt>
                <c:pt idx="185">
                  <c:v>0.959137233677579</c:v>
                </c:pt>
                <c:pt idx="186">
                  <c:v>0.959137233677579</c:v>
                </c:pt>
                <c:pt idx="187">
                  <c:v>0.959137233677579</c:v>
                </c:pt>
                <c:pt idx="188">
                  <c:v>0.959137233677579</c:v>
                </c:pt>
                <c:pt idx="189">
                  <c:v>0.959137233677579</c:v>
                </c:pt>
                <c:pt idx="190">
                  <c:v>0.959137233677579</c:v>
                </c:pt>
                <c:pt idx="191">
                  <c:v>0.959137233677579</c:v>
                </c:pt>
                <c:pt idx="192">
                  <c:v>0.959137233677579</c:v>
                </c:pt>
                <c:pt idx="193">
                  <c:v>0.959137233677579</c:v>
                </c:pt>
                <c:pt idx="194">
                  <c:v>0.959137233677579</c:v>
                </c:pt>
                <c:pt idx="195">
                  <c:v>0.959137233677579</c:v>
                </c:pt>
                <c:pt idx="196">
                  <c:v>0.959137233677579</c:v>
                </c:pt>
                <c:pt idx="197">
                  <c:v>0.959137233677579</c:v>
                </c:pt>
                <c:pt idx="198">
                  <c:v>0.959137233677579</c:v>
                </c:pt>
                <c:pt idx="199">
                  <c:v>0.959137233677579</c:v>
                </c:pt>
                <c:pt idx="200">
                  <c:v>0.959137233677579</c:v>
                </c:pt>
                <c:pt idx="201">
                  <c:v>0.959137233677579</c:v>
                </c:pt>
                <c:pt idx="202">
                  <c:v>0.959137233677579</c:v>
                </c:pt>
                <c:pt idx="203">
                  <c:v>0.959137233677579</c:v>
                </c:pt>
                <c:pt idx="204">
                  <c:v>0.959137233677579</c:v>
                </c:pt>
                <c:pt idx="205">
                  <c:v>0.959137233677579</c:v>
                </c:pt>
                <c:pt idx="206">
                  <c:v>0.959137233677579</c:v>
                </c:pt>
                <c:pt idx="207">
                  <c:v>0.959137233677579</c:v>
                </c:pt>
                <c:pt idx="208">
                  <c:v>0.959137233677579</c:v>
                </c:pt>
                <c:pt idx="209">
                  <c:v>0.959137233677579</c:v>
                </c:pt>
                <c:pt idx="210">
                  <c:v>0.959137233677579</c:v>
                </c:pt>
                <c:pt idx="211">
                  <c:v>0.959137233677579</c:v>
                </c:pt>
                <c:pt idx="212">
                  <c:v>0.959137233677579</c:v>
                </c:pt>
                <c:pt idx="213">
                  <c:v>0.959137233677579</c:v>
                </c:pt>
                <c:pt idx="214">
                  <c:v>0.959137233677579</c:v>
                </c:pt>
                <c:pt idx="215">
                  <c:v>0.959137233677579</c:v>
                </c:pt>
                <c:pt idx="216">
                  <c:v>0.959137233677579</c:v>
                </c:pt>
                <c:pt idx="217">
                  <c:v>0.959137233677579</c:v>
                </c:pt>
                <c:pt idx="218">
                  <c:v>0.959137233677579</c:v>
                </c:pt>
                <c:pt idx="219">
                  <c:v>0.959137233677579</c:v>
                </c:pt>
                <c:pt idx="220">
                  <c:v>0.959137233677579</c:v>
                </c:pt>
                <c:pt idx="221">
                  <c:v>0.959137233677579</c:v>
                </c:pt>
                <c:pt idx="222">
                  <c:v>0.959137233677579</c:v>
                </c:pt>
                <c:pt idx="223">
                  <c:v>0.959137233677579</c:v>
                </c:pt>
                <c:pt idx="224">
                  <c:v>0.959137233677579</c:v>
                </c:pt>
                <c:pt idx="225">
                  <c:v>0.959137233677579</c:v>
                </c:pt>
                <c:pt idx="226">
                  <c:v>0.959137233677579</c:v>
                </c:pt>
                <c:pt idx="227">
                  <c:v>0.959137233677579</c:v>
                </c:pt>
                <c:pt idx="228">
                  <c:v>0.959137233677579</c:v>
                </c:pt>
                <c:pt idx="229">
                  <c:v>0.959137233677579</c:v>
                </c:pt>
                <c:pt idx="230">
                  <c:v>0.959137233677579</c:v>
                </c:pt>
                <c:pt idx="231">
                  <c:v>0.959137233677579</c:v>
                </c:pt>
                <c:pt idx="232">
                  <c:v>0.959137233677579</c:v>
                </c:pt>
                <c:pt idx="233">
                  <c:v>0.959137233677579</c:v>
                </c:pt>
                <c:pt idx="234">
                  <c:v>0.959137233677579</c:v>
                </c:pt>
                <c:pt idx="235">
                  <c:v>0.959137233677579</c:v>
                </c:pt>
                <c:pt idx="236">
                  <c:v>0.959137233677579</c:v>
                </c:pt>
                <c:pt idx="237">
                  <c:v>0.959137233677579</c:v>
                </c:pt>
                <c:pt idx="238">
                  <c:v>0.959137233677579</c:v>
                </c:pt>
                <c:pt idx="239">
                  <c:v>0.959137233677579</c:v>
                </c:pt>
                <c:pt idx="240">
                  <c:v>0.959137233677579</c:v>
                </c:pt>
                <c:pt idx="241">
                  <c:v>0.959137233677579</c:v>
                </c:pt>
                <c:pt idx="242">
                  <c:v>0.959137233677579</c:v>
                </c:pt>
                <c:pt idx="243">
                  <c:v>0.959137233677579</c:v>
                </c:pt>
                <c:pt idx="244">
                  <c:v>0.959137233677579</c:v>
                </c:pt>
                <c:pt idx="245">
                  <c:v>0.959137233677579</c:v>
                </c:pt>
                <c:pt idx="246">
                  <c:v>0.959137233677579</c:v>
                </c:pt>
                <c:pt idx="247">
                  <c:v>0.959137233677579</c:v>
                </c:pt>
                <c:pt idx="248">
                  <c:v>0.959137233677579</c:v>
                </c:pt>
                <c:pt idx="249">
                  <c:v>0.959137233677579</c:v>
                </c:pt>
                <c:pt idx="250">
                  <c:v>0.959137233677579</c:v>
                </c:pt>
                <c:pt idx="251">
                  <c:v>0.959137233677579</c:v>
                </c:pt>
                <c:pt idx="252">
                  <c:v>0.959137233677579</c:v>
                </c:pt>
                <c:pt idx="253">
                  <c:v>0.959137233677579</c:v>
                </c:pt>
                <c:pt idx="254">
                  <c:v>0.959137233677579</c:v>
                </c:pt>
                <c:pt idx="255">
                  <c:v>0.959137233677579</c:v>
                </c:pt>
                <c:pt idx="256">
                  <c:v>0.959137233677579</c:v>
                </c:pt>
                <c:pt idx="257">
                  <c:v>0.959137233677579</c:v>
                </c:pt>
                <c:pt idx="258">
                  <c:v>0.959137233677579</c:v>
                </c:pt>
                <c:pt idx="259">
                  <c:v>0.959137233677579</c:v>
                </c:pt>
                <c:pt idx="260">
                  <c:v>0.959137233677579</c:v>
                </c:pt>
                <c:pt idx="261">
                  <c:v>0.959137233677579</c:v>
                </c:pt>
                <c:pt idx="262">
                  <c:v>0.959137233677579</c:v>
                </c:pt>
                <c:pt idx="263">
                  <c:v>0.959137233677579</c:v>
                </c:pt>
                <c:pt idx="264">
                  <c:v>0.959137233677579</c:v>
                </c:pt>
                <c:pt idx="265">
                  <c:v>0.959137233677579</c:v>
                </c:pt>
                <c:pt idx="266">
                  <c:v>0.959137233677579</c:v>
                </c:pt>
                <c:pt idx="267">
                  <c:v>0.959137233677579</c:v>
                </c:pt>
                <c:pt idx="268">
                  <c:v>0.959137233677579</c:v>
                </c:pt>
                <c:pt idx="269">
                  <c:v>0.959137233677579</c:v>
                </c:pt>
                <c:pt idx="270">
                  <c:v>0.959137233677579</c:v>
                </c:pt>
                <c:pt idx="271">
                  <c:v>0.959137233677579</c:v>
                </c:pt>
                <c:pt idx="272">
                  <c:v>0.959137233677579</c:v>
                </c:pt>
                <c:pt idx="273">
                  <c:v>0.959137233677579</c:v>
                </c:pt>
                <c:pt idx="274">
                  <c:v>0.959137233677579</c:v>
                </c:pt>
                <c:pt idx="275">
                  <c:v>0.959137233677579</c:v>
                </c:pt>
                <c:pt idx="276">
                  <c:v>0.959137233677579</c:v>
                </c:pt>
                <c:pt idx="277">
                  <c:v>0.959137233677579</c:v>
                </c:pt>
                <c:pt idx="278">
                  <c:v>0.959137233677579</c:v>
                </c:pt>
                <c:pt idx="279">
                  <c:v>0.959137233677579</c:v>
                </c:pt>
                <c:pt idx="280">
                  <c:v>0.959137233677579</c:v>
                </c:pt>
                <c:pt idx="281">
                  <c:v>0.959137233677579</c:v>
                </c:pt>
                <c:pt idx="282">
                  <c:v>0.959137233677579</c:v>
                </c:pt>
                <c:pt idx="283">
                  <c:v>0.959137233677579</c:v>
                </c:pt>
                <c:pt idx="284">
                  <c:v>0.959137233677579</c:v>
                </c:pt>
                <c:pt idx="285">
                  <c:v>0.959137233677579</c:v>
                </c:pt>
                <c:pt idx="286">
                  <c:v>0.959137233677579</c:v>
                </c:pt>
                <c:pt idx="287">
                  <c:v>0.959137233677579</c:v>
                </c:pt>
                <c:pt idx="288">
                  <c:v>0.959137233677579</c:v>
                </c:pt>
                <c:pt idx="289">
                  <c:v>0.959137233677579</c:v>
                </c:pt>
                <c:pt idx="290">
                  <c:v>0.959137233677579</c:v>
                </c:pt>
                <c:pt idx="291">
                  <c:v>0.959137233677579</c:v>
                </c:pt>
                <c:pt idx="292">
                  <c:v>0.959137233677579</c:v>
                </c:pt>
                <c:pt idx="293">
                  <c:v>0.959137233677579</c:v>
                </c:pt>
                <c:pt idx="294">
                  <c:v>0.959137233677579</c:v>
                </c:pt>
                <c:pt idx="295">
                  <c:v>0.959137233677579</c:v>
                </c:pt>
                <c:pt idx="296">
                  <c:v>0.959137233677579</c:v>
                </c:pt>
                <c:pt idx="297">
                  <c:v>0.959137233677579</c:v>
                </c:pt>
                <c:pt idx="298">
                  <c:v>0.959137233677579</c:v>
                </c:pt>
                <c:pt idx="299">
                  <c:v>0.959137233677579</c:v>
                </c:pt>
                <c:pt idx="300">
                  <c:v>0.959137233677579</c:v>
                </c:pt>
                <c:pt idx="301">
                  <c:v>0.959137233677579</c:v>
                </c:pt>
                <c:pt idx="302">
                  <c:v>0.959137233677579</c:v>
                </c:pt>
                <c:pt idx="303">
                  <c:v>0.959137233677579</c:v>
                </c:pt>
                <c:pt idx="304">
                  <c:v>0.959137233677579</c:v>
                </c:pt>
                <c:pt idx="305">
                  <c:v>0.959137233677579</c:v>
                </c:pt>
                <c:pt idx="306">
                  <c:v>0.959137233677579</c:v>
                </c:pt>
                <c:pt idx="307">
                  <c:v>0.959137233677579</c:v>
                </c:pt>
                <c:pt idx="308">
                  <c:v>0.959137233677579</c:v>
                </c:pt>
                <c:pt idx="309">
                  <c:v>0.959137233677579</c:v>
                </c:pt>
                <c:pt idx="310">
                  <c:v>0.959137233677579</c:v>
                </c:pt>
                <c:pt idx="311">
                  <c:v>0.959137233677579</c:v>
                </c:pt>
                <c:pt idx="312">
                  <c:v>0.959137233677579</c:v>
                </c:pt>
                <c:pt idx="313">
                  <c:v>0.959137233677579</c:v>
                </c:pt>
                <c:pt idx="314">
                  <c:v>0.959137233677579</c:v>
                </c:pt>
                <c:pt idx="315">
                  <c:v>0.959137233677579</c:v>
                </c:pt>
                <c:pt idx="316">
                  <c:v>0.959137233677579</c:v>
                </c:pt>
                <c:pt idx="317">
                  <c:v>0.959137233677579</c:v>
                </c:pt>
                <c:pt idx="318">
                  <c:v>0.959137233677579</c:v>
                </c:pt>
                <c:pt idx="319">
                  <c:v>0.959137233677579</c:v>
                </c:pt>
                <c:pt idx="320">
                  <c:v>0.959137233677579</c:v>
                </c:pt>
                <c:pt idx="321">
                  <c:v>0.959137233677579</c:v>
                </c:pt>
                <c:pt idx="322">
                  <c:v>0.959137233677579</c:v>
                </c:pt>
                <c:pt idx="323">
                  <c:v>0.959137233677579</c:v>
                </c:pt>
                <c:pt idx="324">
                  <c:v>0.959137233677579</c:v>
                </c:pt>
                <c:pt idx="325">
                  <c:v>0.959137233677579</c:v>
                </c:pt>
                <c:pt idx="326">
                  <c:v>0.959137233677579</c:v>
                </c:pt>
                <c:pt idx="327">
                  <c:v>0.959137233677579</c:v>
                </c:pt>
                <c:pt idx="328">
                  <c:v>0.959137233677579</c:v>
                </c:pt>
                <c:pt idx="329">
                  <c:v>0.959137233677579</c:v>
                </c:pt>
                <c:pt idx="330">
                  <c:v>0.959137233677579</c:v>
                </c:pt>
                <c:pt idx="331">
                  <c:v>0.959137233677579</c:v>
                </c:pt>
                <c:pt idx="332">
                  <c:v>0.959137233677579</c:v>
                </c:pt>
                <c:pt idx="333">
                  <c:v>0.959137233677579</c:v>
                </c:pt>
                <c:pt idx="334">
                  <c:v>0.959137233677579</c:v>
                </c:pt>
                <c:pt idx="335">
                  <c:v>0.959137233677579</c:v>
                </c:pt>
                <c:pt idx="336">
                  <c:v>0.959137233677579</c:v>
                </c:pt>
                <c:pt idx="337">
                  <c:v>0.959137233677579</c:v>
                </c:pt>
                <c:pt idx="338">
                  <c:v>0.959137233677579</c:v>
                </c:pt>
                <c:pt idx="339">
                  <c:v>0.959137233677579</c:v>
                </c:pt>
                <c:pt idx="340">
                  <c:v>0.959137233677579</c:v>
                </c:pt>
                <c:pt idx="341">
                  <c:v>0.959137233677579</c:v>
                </c:pt>
                <c:pt idx="342">
                  <c:v>0.959137233677579</c:v>
                </c:pt>
                <c:pt idx="343">
                  <c:v>0.959137233677579</c:v>
                </c:pt>
                <c:pt idx="344">
                  <c:v>0.959137233677579</c:v>
                </c:pt>
                <c:pt idx="345">
                  <c:v>0.959137233677579</c:v>
                </c:pt>
                <c:pt idx="346">
                  <c:v>0.959137233677579</c:v>
                </c:pt>
                <c:pt idx="347">
                  <c:v>0.959137233677579</c:v>
                </c:pt>
                <c:pt idx="348">
                  <c:v>0.959137233677579</c:v>
                </c:pt>
                <c:pt idx="349">
                  <c:v>0.959137233677579</c:v>
                </c:pt>
                <c:pt idx="350">
                  <c:v>0.959137233677579</c:v>
                </c:pt>
                <c:pt idx="351">
                  <c:v>0.959137233677579</c:v>
                </c:pt>
                <c:pt idx="352">
                  <c:v>0.959137233677579</c:v>
                </c:pt>
                <c:pt idx="353">
                  <c:v>0.959137233677579</c:v>
                </c:pt>
                <c:pt idx="354">
                  <c:v>0.959137233677579</c:v>
                </c:pt>
                <c:pt idx="355">
                  <c:v>0.959137233677579</c:v>
                </c:pt>
                <c:pt idx="356">
                  <c:v>0.959137233677579</c:v>
                </c:pt>
                <c:pt idx="357">
                  <c:v>0.959137233677579</c:v>
                </c:pt>
                <c:pt idx="358">
                  <c:v>0.959137233677579</c:v>
                </c:pt>
                <c:pt idx="359">
                  <c:v>0.959137233677579</c:v>
                </c:pt>
                <c:pt idx="360">
                  <c:v>0.959137233677579</c:v>
                </c:pt>
                <c:pt idx="361">
                  <c:v>0.959137233677579</c:v>
                </c:pt>
                <c:pt idx="362">
                  <c:v>0.959137233677579</c:v>
                </c:pt>
                <c:pt idx="363">
                  <c:v>0.959137233677579</c:v>
                </c:pt>
                <c:pt idx="364">
                  <c:v>0.959137233677579</c:v>
                </c:pt>
                <c:pt idx="365">
                  <c:v>0.959137233677579</c:v>
                </c:pt>
                <c:pt idx="366">
                  <c:v>0.959137233677579</c:v>
                </c:pt>
                <c:pt idx="367">
                  <c:v>0.959137233677579</c:v>
                </c:pt>
                <c:pt idx="368">
                  <c:v>0.959137233677579</c:v>
                </c:pt>
                <c:pt idx="369">
                  <c:v>0.959137233677579</c:v>
                </c:pt>
                <c:pt idx="370">
                  <c:v>0.959137233677579</c:v>
                </c:pt>
                <c:pt idx="371">
                  <c:v>0.959137233677579</c:v>
                </c:pt>
                <c:pt idx="372">
                  <c:v>0.959137233677579</c:v>
                </c:pt>
                <c:pt idx="373">
                  <c:v>0.959137233677579</c:v>
                </c:pt>
                <c:pt idx="374">
                  <c:v>0.959137233677579</c:v>
                </c:pt>
                <c:pt idx="375">
                  <c:v>0.959137233677579</c:v>
                </c:pt>
                <c:pt idx="376">
                  <c:v>0.959137233677579</c:v>
                </c:pt>
                <c:pt idx="377">
                  <c:v>0.959137233677579</c:v>
                </c:pt>
                <c:pt idx="378">
                  <c:v>0.959137233677579</c:v>
                </c:pt>
                <c:pt idx="379">
                  <c:v>0.959137233677579</c:v>
                </c:pt>
                <c:pt idx="380">
                  <c:v>0.959137233677579</c:v>
                </c:pt>
                <c:pt idx="381">
                  <c:v>0.959137233677579</c:v>
                </c:pt>
                <c:pt idx="382">
                  <c:v>0.959137233677579</c:v>
                </c:pt>
                <c:pt idx="383">
                  <c:v>0.959137233677579</c:v>
                </c:pt>
                <c:pt idx="384">
                  <c:v>0.959137233677579</c:v>
                </c:pt>
                <c:pt idx="385">
                  <c:v>0.959137233677579</c:v>
                </c:pt>
                <c:pt idx="386">
                  <c:v>0.959137233677579</c:v>
                </c:pt>
                <c:pt idx="387">
                  <c:v>0.959137233677579</c:v>
                </c:pt>
                <c:pt idx="388">
                  <c:v>0.959137233677579</c:v>
                </c:pt>
                <c:pt idx="389">
                  <c:v>0.959137233677579</c:v>
                </c:pt>
                <c:pt idx="390">
                  <c:v>0.959137233677579</c:v>
                </c:pt>
                <c:pt idx="391">
                  <c:v>0.959137233677579</c:v>
                </c:pt>
                <c:pt idx="392">
                  <c:v>0.959137233677579</c:v>
                </c:pt>
                <c:pt idx="393">
                  <c:v>0.959137233677579</c:v>
                </c:pt>
                <c:pt idx="394">
                  <c:v>0.959137233677579</c:v>
                </c:pt>
                <c:pt idx="395">
                  <c:v>0.959137233677579</c:v>
                </c:pt>
                <c:pt idx="396">
                  <c:v>0.959137233677579</c:v>
                </c:pt>
                <c:pt idx="397">
                  <c:v>0.959137233677579</c:v>
                </c:pt>
                <c:pt idx="398">
                  <c:v>0.959137233677579</c:v>
                </c:pt>
                <c:pt idx="399">
                  <c:v>0.959137233677579</c:v>
                </c:pt>
                <c:pt idx="400">
                  <c:v>0.959137233677579</c:v>
                </c:pt>
                <c:pt idx="401">
                  <c:v>0.959137233677579</c:v>
                </c:pt>
                <c:pt idx="402">
                  <c:v>0.959137233677579</c:v>
                </c:pt>
                <c:pt idx="403">
                  <c:v>0.959137233677579</c:v>
                </c:pt>
                <c:pt idx="404">
                  <c:v>0.959137233677579</c:v>
                </c:pt>
                <c:pt idx="405">
                  <c:v>0.959137233677579</c:v>
                </c:pt>
                <c:pt idx="406">
                  <c:v>0.959137233677579</c:v>
                </c:pt>
                <c:pt idx="407">
                  <c:v>0.959137233677579</c:v>
                </c:pt>
                <c:pt idx="408">
                  <c:v>0.959137233677579</c:v>
                </c:pt>
                <c:pt idx="409">
                  <c:v>0.959137233677579</c:v>
                </c:pt>
                <c:pt idx="410">
                  <c:v>0.959137233677579</c:v>
                </c:pt>
                <c:pt idx="411">
                  <c:v>0.959137233677579</c:v>
                </c:pt>
                <c:pt idx="412">
                  <c:v>0.959137233677579</c:v>
                </c:pt>
                <c:pt idx="413">
                  <c:v>0.959137233677579</c:v>
                </c:pt>
                <c:pt idx="414">
                  <c:v>0.959137233677579</c:v>
                </c:pt>
                <c:pt idx="415">
                  <c:v>0.959137233677579</c:v>
                </c:pt>
                <c:pt idx="416">
                  <c:v>0.959137233677579</c:v>
                </c:pt>
                <c:pt idx="417">
                  <c:v>0.959137233677579</c:v>
                </c:pt>
                <c:pt idx="418">
                  <c:v>0.959137233677579</c:v>
                </c:pt>
                <c:pt idx="419">
                  <c:v>0.959137233677579</c:v>
                </c:pt>
                <c:pt idx="420">
                  <c:v>0.959137233677579</c:v>
                </c:pt>
                <c:pt idx="421">
                  <c:v>0.959137233677579</c:v>
                </c:pt>
                <c:pt idx="422">
                  <c:v>0.959137233677579</c:v>
                </c:pt>
                <c:pt idx="423">
                  <c:v>0.959137233677579</c:v>
                </c:pt>
                <c:pt idx="424">
                  <c:v>0.959137233677579</c:v>
                </c:pt>
                <c:pt idx="425">
                  <c:v>0.959137233677579</c:v>
                </c:pt>
                <c:pt idx="426">
                  <c:v>0.959137233677579</c:v>
                </c:pt>
                <c:pt idx="427">
                  <c:v>0.959137233677579</c:v>
                </c:pt>
                <c:pt idx="428">
                  <c:v>0.959137233677579</c:v>
                </c:pt>
                <c:pt idx="429">
                  <c:v>0.959137233677579</c:v>
                </c:pt>
                <c:pt idx="430">
                  <c:v>0.959137233677579</c:v>
                </c:pt>
                <c:pt idx="431">
                  <c:v>0.959137233677579</c:v>
                </c:pt>
                <c:pt idx="432">
                  <c:v>0.959137233677579</c:v>
                </c:pt>
                <c:pt idx="433">
                  <c:v>0.959137233677579</c:v>
                </c:pt>
                <c:pt idx="434">
                  <c:v>0.959137233677579</c:v>
                </c:pt>
                <c:pt idx="435">
                  <c:v>0.959137233677579</c:v>
                </c:pt>
                <c:pt idx="436">
                  <c:v>0.959137233677579</c:v>
                </c:pt>
                <c:pt idx="437">
                  <c:v>0.959137233677579</c:v>
                </c:pt>
                <c:pt idx="438">
                  <c:v>0.959137233677579</c:v>
                </c:pt>
                <c:pt idx="439">
                  <c:v>0.959137233677579</c:v>
                </c:pt>
                <c:pt idx="440">
                  <c:v>0.959137233677579</c:v>
                </c:pt>
                <c:pt idx="441">
                  <c:v>0.959137233677579</c:v>
                </c:pt>
                <c:pt idx="442">
                  <c:v>0.959137233677579</c:v>
                </c:pt>
                <c:pt idx="443">
                  <c:v>0.959137233677579</c:v>
                </c:pt>
                <c:pt idx="444">
                  <c:v>0.959137233677579</c:v>
                </c:pt>
                <c:pt idx="445">
                  <c:v>0.959137233677579</c:v>
                </c:pt>
                <c:pt idx="446">
                  <c:v>0.959137233677579</c:v>
                </c:pt>
                <c:pt idx="447">
                  <c:v>0.959137233677579</c:v>
                </c:pt>
                <c:pt idx="448">
                  <c:v>0.959137233677579</c:v>
                </c:pt>
                <c:pt idx="449">
                  <c:v>0.959137233677579</c:v>
                </c:pt>
                <c:pt idx="450">
                  <c:v>0.959137233677579</c:v>
                </c:pt>
                <c:pt idx="451">
                  <c:v>0.959137233677579</c:v>
                </c:pt>
                <c:pt idx="452">
                  <c:v>0.959137233677579</c:v>
                </c:pt>
                <c:pt idx="453">
                  <c:v>0.959137233677579</c:v>
                </c:pt>
                <c:pt idx="454">
                  <c:v>0.959137233677579</c:v>
                </c:pt>
                <c:pt idx="455">
                  <c:v>0.959137233677579</c:v>
                </c:pt>
                <c:pt idx="456">
                  <c:v>0.959137233677579</c:v>
                </c:pt>
                <c:pt idx="457">
                  <c:v>0.959137233677579</c:v>
                </c:pt>
                <c:pt idx="458">
                  <c:v>0.959137233677579</c:v>
                </c:pt>
                <c:pt idx="459">
                  <c:v>0.959137233677579</c:v>
                </c:pt>
                <c:pt idx="460">
                  <c:v>0.959137233677579</c:v>
                </c:pt>
                <c:pt idx="461">
                  <c:v>0.959137233677579</c:v>
                </c:pt>
                <c:pt idx="462">
                  <c:v>0.959137233677579</c:v>
                </c:pt>
                <c:pt idx="463">
                  <c:v>0.959137233677579</c:v>
                </c:pt>
                <c:pt idx="464">
                  <c:v>0.959137233677579</c:v>
                </c:pt>
                <c:pt idx="465">
                  <c:v>0.959137233677579</c:v>
                </c:pt>
                <c:pt idx="466">
                  <c:v>0.959137233677579</c:v>
                </c:pt>
                <c:pt idx="467">
                  <c:v>0.959137233677579</c:v>
                </c:pt>
                <c:pt idx="468">
                  <c:v>0.959137233677579</c:v>
                </c:pt>
                <c:pt idx="469">
                  <c:v>0.959137233677579</c:v>
                </c:pt>
                <c:pt idx="470">
                  <c:v>0.959137233677579</c:v>
                </c:pt>
                <c:pt idx="471">
                  <c:v>0.959137233677579</c:v>
                </c:pt>
                <c:pt idx="472">
                  <c:v>0.959137233677579</c:v>
                </c:pt>
                <c:pt idx="473">
                  <c:v>0.959137233677579</c:v>
                </c:pt>
                <c:pt idx="474">
                  <c:v>0.959137233677579</c:v>
                </c:pt>
                <c:pt idx="475">
                  <c:v>0.959137233677579</c:v>
                </c:pt>
                <c:pt idx="476">
                  <c:v>0.959137233677579</c:v>
                </c:pt>
                <c:pt idx="477">
                  <c:v>0.959137233677579</c:v>
                </c:pt>
                <c:pt idx="478">
                  <c:v>0.959137233677579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C1_XbarR_s1!K15</c:f>
              <c:strCache>
                <c:ptCount val="1"/>
                <c:pt idx="0">
                  <c:v>LCL X</c:v>
                </c:pt>
              </c:strCache>
            </c:strRef>
          </c:tx>
          <c:spPr>
            <a:solidFill>
              <a:srgbClr val="e76f51"/>
            </a:solidFill>
            <a:ln w="1512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C1_XbarR_s1!$K$16:$K$494</c:f>
              <c:numCache>
                <c:formatCode>0.0%</c:formatCode>
                <c:ptCount val="479"/>
                <c:pt idx="0">
                  <c:v>0.386425764302142</c:v>
                </c:pt>
                <c:pt idx="1">
                  <c:v>0.386425764302142</c:v>
                </c:pt>
                <c:pt idx="2">
                  <c:v>0.386425764302142</c:v>
                </c:pt>
                <c:pt idx="3">
                  <c:v>0.386425764302142</c:v>
                </c:pt>
                <c:pt idx="4">
                  <c:v>0.386425764302142</c:v>
                </c:pt>
                <c:pt idx="5">
                  <c:v>0.386425764302142</c:v>
                </c:pt>
                <c:pt idx="6">
                  <c:v>0.386425764302142</c:v>
                </c:pt>
                <c:pt idx="7">
                  <c:v>0.386425764302142</c:v>
                </c:pt>
                <c:pt idx="8">
                  <c:v>0.386425764302142</c:v>
                </c:pt>
                <c:pt idx="9">
                  <c:v>0.386425764302142</c:v>
                </c:pt>
                <c:pt idx="10">
                  <c:v>0.386425764302142</c:v>
                </c:pt>
                <c:pt idx="11">
                  <c:v>0.386425764302142</c:v>
                </c:pt>
                <c:pt idx="12">
                  <c:v>0.386425764302142</c:v>
                </c:pt>
                <c:pt idx="13">
                  <c:v>0.386425764302142</c:v>
                </c:pt>
                <c:pt idx="14">
                  <c:v>0.386425764302142</c:v>
                </c:pt>
                <c:pt idx="15">
                  <c:v>0.386425764302142</c:v>
                </c:pt>
                <c:pt idx="16">
                  <c:v>0.386425764302142</c:v>
                </c:pt>
                <c:pt idx="17">
                  <c:v>0.386425764302142</c:v>
                </c:pt>
                <c:pt idx="18">
                  <c:v>0.386425764302142</c:v>
                </c:pt>
                <c:pt idx="19">
                  <c:v>0.386425764302142</c:v>
                </c:pt>
                <c:pt idx="20">
                  <c:v>0.386425764302142</c:v>
                </c:pt>
                <c:pt idx="21">
                  <c:v>0.386425764302142</c:v>
                </c:pt>
                <c:pt idx="22">
                  <c:v>0.386425764302142</c:v>
                </c:pt>
                <c:pt idx="23">
                  <c:v>0.386425764302142</c:v>
                </c:pt>
                <c:pt idx="24">
                  <c:v>0.386425764302142</c:v>
                </c:pt>
                <c:pt idx="25">
                  <c:v>0.386425764302142</c:v>
                </c:pt>
                <c:pt idx="26">
                  <c:v>0.386425764302142</c:v>
                </c:pt>
                <c:pt idx="27">
                  <c:v>0.386425764302142</c:v>
                </c:pt>
                <c:pt idx="28">
                  <c:v>0.386425764302142</c:v>
                </c:pt>
                <c:pt idx="29">
                  <c:v>0.386425764302142</c:v>
                </c:pt>
                <c:pt idx="30">
                  <c:v>0.386425764302142</c:v>
                </c:pt>
                <c:pt idx="31">
                  <c:v>0.386425764302142</c:v>
                </c:pt>
                <c:pt idx="32">
                  <c:v>0.386425764302142</c:v>
                </c:pt>
                <c:pt idx="33">
                  <c:v>0.386425764302142</c:v>
                </c:pt>
                <c:pt idx="34">
                  <c:v>0.386425764302142</c:v>
                </c:pt>
                <c:pt idx="35">
                  <c:v>0.386425764302142</c:v>
                </c:pt>
                <c:pt idx="36">
                  <c:v>0.386425764302142</c:v>
                </c:pt>
                <c:pt idx="37">
                  <c:v>0.386425764302142</c:v>
                </c:pt>
                <c:pt idx="38">
                  <c:v>0.386425764302142</c:v>
                </c:pt>
                <c:pt idx="39">
                  <c:v>0.386425764302142</c:v>
                </c:pt>
                <c:pt idx="40">
                  <c:v>0.386425764302142</c:v>
                </c:pt>
                <c:pt idx="41">
                  <c:v>0.386425764302142</c:v>
                </c:pt>
                <c:pt idx="42">
                  <c:v>0.386425764302142</c:v>
                </c:pt>
                <c:pt idx="43">
                  <c:v>0.386425764302142</c:v>
                </c:pt>
                <c:pt idx="44">
                  <c:v>0.386425764302142</c:v>
                </c:pt>
                <c:pt idx="45">
                  <c:v>0.386425764302142</c:v>
                </c:pt>
                <c:pt idx="46">
                  <c:v>0.386425764302142</c:v>
                </c:pt>
                <c:pt idx="47">
                  <c:v>0.386425764302142</c:v>
                </c:pt>
                <c:pt idx="48">
                  <c:v>0.386425764302142</c:v>
                </c:pt>
                <c:pt idx="49">
                  <c:v>0.386425764302142</c:v>
                </c:pt>
                <c:pt idx="50">
                  <c:v>0.386425764302142</c:v>
                </c:pt>
                <c:pt idx="51">
                  <c:v>0.386425764302142</c:v>
                </c:pt>
                <c:pt idx="52">
                  <c:v>0.386425764302142</c:v>
                </c:pt>
                <c:pt idx="53">
                  <c:v>0.386425764302142</c:v>
                </c:pt>
                <c:pt idx="54">
                  <c:v>0.386425764302142</c:v>
                </c:pt>
                <c:pt idx="55">
                  <c:v>0.386425764302142</c:v>
                </c:pt>
                <c:pt idx="56">
                  <c:v>0.386425764302142</c:v>
                </c:pt>
                <c:pt idx="57">
                  <c:v>0.386425764302142</c:v>
                </c:pt>
                <c:pt idx="58">
                  <c:v>0.386425764302142</c:v>
                </c:pt>
                <c:pt idx="59">
                  <c:v>0.386425764302142</c:v>
                </c:pt>
                <c:pt idx="60">
                  <c:v>0.386425764302142</c:v>
                </c:pt>
                <c:pt idx="61">
                  <c:v>0.386425764302142</c:v>
                </c:pt>
                <c:pt idx="62">
                  <c:v>0.386425764302142</c:v>
                </c:pt>
                <c:pt idx="63">
                  <c:v>0.386425764302142</c:v>
                </c:pt>
                <c:pt idx="64">
                  <c:v>0.386425764302142</c:v>
                </c:pt>
                <c:pt idx="65">
                  <c:v>0.386425764302142</c:v>
                </c:pt>
                <c:pt idx="66">
                  <c:v>0.386425764302142</c:v>
                </c:pt>
                <c:pt idx="67">
                  <c:v>0.386425764302142</c:v>
                </c:pt>
                <c:pt idx="68">
                  <c:v>0.386425764302142</c:v>
                </c:pt>
                <c:pt idx="69">
                  <c:v>0.386425764302142</c:v>
                </c:pt>
                <c:pt idx="70">
                  <c:v>0.386425764302142</c:v>
                </c:pt>
                <c:pt idx="71">
                  <c:v>0.386425764302142</c:v>
                </c:pt>
                <c:pt idx="72">
                  <c:v>0.386425764302142</c:v>
                </c:pt>
                <c:pt idx="73">
                  <c:v>0.386425764302142</c:v>
                </c:pt>
                <c:pt idx="74">
                  <c:v>0.386425764302142</c:v>
                </c:pt>
                <c:pt idx="75">
                  <c:v>0.386425764302142</c:v>
                </c:pt>
                <c:pt idx="76">
                  <c:v>0.386425764302142</c:v>
                </c:pt>
                <c:pt idx="77">
                  <c:v>0.386425764302142</c:v>
                </c:pt>
                <c:pt idx="78">
                  <c:v>0.386425764302142</c:v>
                </c:pt>
                <c:pt idx="79">
                  <c:v>0.386425764302142</c:v>
                </c:pt>
                <c:pt idx="80">
                  <c:v>0.386425764302142</c:v>
                </c:pt>
                <c:pt idx="81">
                  <c:v>0.386425764302142</c:v>
                </c:pt>
                <c:pt idx="82">
                  <c:v>0.386425764302142</c:v>
                </c:pt>
                <c:pt idx="83">
                  <c:v>0.386425764302142</c:v>
                </c:pt>
                <c:pt idx="84">
                  <c:v>0.386425764302142</c:v>
                </c:pt>
                <c:pt idx="85">
                  <c:v>0.386425764302142</c:v>
                </c:pt>
                <c:pt idx="86">
                  <c:v>0.386425764302142</c:v>
                </c:pt>
                <c:pt idx="87">
                  <c:v>0.386425764302142</c:v>
                </c:pt>
                <c:pt idx="88">
                  <c:v>0.386425764302142</c:v>
                </c:pt>
                <c:pt idx="89">
                  <c:v>0.386425764302142</c:v>
                </c:pt>
                <c:pt idx="90">
                  <c:v>0.386425764302142</c:v>
                </c:pt>
                <c:pt idx="91">
                  <c:v>0.386425764302142</c:v>
                </c:pt>
                <c:pt idx="92">
                  <c:v>0.386425764302142</c:v>
                </c:pt>
                <c:pt idx="93">
                  <c:v>0.386425764302142</c:v>
                </c:pt>
                <c:pt idx="94">
                  <c:v>0.386425764302142</c:v>
                </c:pt>
                <c:pt idx="95">
                  <c:v>0.386425764302142</c:v>
                </c:pt>
                <c:pt idx="96">
                  <c:v>0.386425764302142</c:v>
                </c:pt>
                <c:pt idx="97">
                  <c:v>0.386425764302142</c:v>
                </c:pt>
                <c:pt idx="98">
                  <c:v>0.386425764302142</c:v>
                </c:pt>
                <c:pt idx="99">
                  <c:v>0.386425764302142</c:v>
                </c:pt>
                <c:pt idx="100">
                  <c:v>0.386425764302142</c:v>
                </c:pt>
                <c:pt idx="101">
                  <c:v>0.386425764302142</c:v>
                </c:pt>
                <c:pt idx="102">
                  <c:v>0.386425764302142</c:v>
                </c:pt>
                <c:pt idx="103">
                  <c:v>0.386425764302142</c:v>
                </c:pt>
                <c:pt idx="104">
                  <c:v>0.386425764302142</c:v>
                </c:pt>
                <c:pt idx="105">
                  <c:v>0.386425764302142</c:v>
                </c:pt>
                <c:pt idx="106">
                  <c:v>0.386425764302142</c:v>
                </c:pt>
                <c:pt idx="107">
                  <c:v>0.386425764302142</c:v>
                </c:pt>
                <c:pt idx="108">
                  <c:v>0.386425764302142</c:v>
                </c:pt>
                <c:pt idx="109">
                  <c:v>0.386425764302142</c:v>
                </c:pt>
                <c:pt idx="110">
                  <c:v>0.386425764302142</c:v>
                </c:pt>
                <c:pt idx="111">
                  <c:v>0.386425764302142</c:v>
                </c:pt>
                <c:pt idx="112">
                  <c:v>0.386425764302142</c:v>
                </c:pt>
                <c:pt idx="113">
                  <c:v>0.386425764302142</c:v>
                </c:pt>
                <c:pt idx="114">
                  <c:v>0.386425764302142</c:v>
                </c:pt>
                <c:pt idx="115">
                  <c:v>0.386425764302142</c:v>
                </c:pt>
                <c:pt idx="116">
                  <c:v>0.386425764302142</c:v>
                </c:pt>
                <c:pt idx="117">
                  <c:v>0.386425764302142</c:v>
                </c:pt>
                <c:pt idx="118">
                  <c:v>0.386425764302142</c:v>
                </c:pt>
                <c:pt idx="119">
                  <c:v>0.386425764302142</c:v>
                </c:pt>
                <c:pt idx="120">
                  <c:v>0.386425764302142</c:v>
                </c:pt>
                <c:pt idx="121">
                  <c:v>0.386425764302142</c:v>
                </c:pt>
                <c:pt idx="122">
                  <c:v>0.386425764302142</c:v>
                </c:pt>
                <c:pt idx="123">
                  <c:v>0.386425764302142</c:v>
                </c:pt>
                <c:pt idx="124">
                  <c:v>0.386425764302142</c:v>
                </c:pt>
                <c:pt idx="125">
                  <c:v>0.386425764302142</c:v>
                </c:pt>
                <c:pt idx="126">
                  <c:v>0.386425764302142</c:v>
                </c:pt>
                <c:pt idx="127">
                  <c:v>0.386425764302142</c:v>
                </c:pt>
                <c:pt idx="128">
                  <c:v>0.386425764302142</c:v>
                </c:pt>
                <c:pt idx="129">
                  <c:v>0.386425764302142</c:v>
                </c:pt>
                <c:pt idx="130">
                  <c:v>0.386425764302142</c:v>
                </c:pt>
                <c:pt idx="131">
                  <c:v>0.386425764302142</c:v>
                </c:pt>
                <c:pt idx="132">
                  <c:v>0.386425764302142</c:v>
                </c:pt>
                <c:pt idx="133">
                  <c:v>0.386425764302142</c:v>
                </c:pt>
                <c:pt idx="134">
                  <c:v>0.386425764302142</c:v>
                </c:pt>
                <c:pt idx="135">
                  <c:v>0.386425764302142</c:v>
                </c:pt>
                <c:pt idx="136">
                  <c:v>0.386425764302142</c:v>
                </c:pt>
                <c:pt idx="137">
                  <c:v>0.386425764302142</c:v>
                </c:pt>
                <c:pt idx="138">
                  <c:v>0.386425764302142</c:v>
                </c:pt>
                <c:pt idx="139">
                  <c:v>0.386425764302142</c:v>
                </c:pt>
                <c:pt idx="140">
                  <c:v>0.386425764302142</c:v>
                </c:pt>
                <c:pt idx="141">
                  <c:v>0.386425764302142</c:v>
                </c:pt>
                <c:pt idx="142">
                  <c:v>0.386425764302142</c:v>
                </c:pt>
                <c:pt idx="143">
                  <c:v>0.386425764302142</c:v>
                </c:pt>
                <c:pt idx="144">
                  <c:v>0.386425764302142</c:v>
                </c:pt>
                <c:pt idx="145">
                  <c:v>0.386425764302142</c:v>
                </c:pt>
                <c:pt idx="146">
                  <c:v>0.386425764302142</c:v>
                </c:pt>
                <c:pt idx="147">
                  <c:v>0.386425764302142</c:v>
                </c:pt>
                <c:pt idx="148">
                  <c:v>0.386425764302142</c:v>
                </c:pt>
                <c:pt idx="149">
                  <c:v>0.386425764302142</c:v>
                </c:pt>
                <c:pt idx="150">
                  <c:v>0.386425764302142</c:v>
                </c:pt>
                <c:pt idx="151">
                  <c:v>0.386425764302142</c:v>
                </c:pt>
                <c:pt idx="152">
                  <c:v>0.386425764302142</c:v>
                </c:pt>
                <c:pt idx="153">
                  <c:v>0.386425764302142</c:v>
                </c:pt>
                <c:pt idx="154">
                  <c:v>0.386425764302142</c:v>
                </c:pt>
                <c:pt idx="155">
                  <c:v>0.386425764302142</c:v>
                </c:pt>
                <c:pt idx="156">
                  <c:v>0.386425764302142</c:v>
                </c:pt>
                <c:pt idx="157">
                  <c:v>0.386425764302142</c:v>
                </c:pt>
                <c:pt idx="158">
                  <c:v>0.386425764302142</c:v>
                </c:pt>
                <c:pt idx="159">
                  <c:v>0.386425764302142</c:v>
                </c:pt>
                <c:pt idx="160">
                  <c:v>0.386425764302142</c:v>
                </c:pt>
                <c:pt idx="161">
                  <c:v>0.386425764302142</c:v>
                </c:pt>
                <c:pt idx="162">
                  <c:v>0.386425764302142</c:v>
                </c:pt>
                <c:pt idx="163">
                  <c:v>0.386425764302142</c:v>
                </c:pt>
                <c:pt idx="164">
                  <c:v>0.386425764302142</c:v>
                </c:pt>
                <c:pt idx="165">
                  <c:v>0.386425764302142</c:v>
                </c:pt>
                <c:pt idx="166">
                  <c:v>0.386425764302142</c:v>
                </c:pt>
                <c:pt idx="167">
                  <c:v>0.386425764302142</c:v>
                </c:pt>
                <c:pt idx="168">
                  <c:v>0.386425764302142</c:v>
                </c:pt>
                <c:pt idx="169">
                  <c:v>0.386425764302142</c:v>
                </c:pt>
                <c:pt idx="170">
                  <c:v>0.386425764302142</c:v>
                </c:pt>
                <c:pt idx="171">
                  <c:v>0.386425764302142</c:v>
                </c:pt>
                <c:pt idx="172">
                  <c:v>0.386425764302142</c:v>
                </c:pt>
                <c:pt idx="173">
                  <c:v>0.386425764302142</c:v>
                </c:pt>
                <c:pt idx="174">
                  <c:v>0.386425764302142</c:v>
                </c:pt>
                <c:pt idx="175">
                  <c:v>0.386425764302142</c:v>
                </c:pt>
                <c:pt idx="176">
                  <c:v>0.386425764302142</c:v>
                </c:pt>
                <c:pt idx="177">
                  <c:v>0.386425764302142</c:v>
                </c:pt>
                <c:pt idx="178">
                  <c:v>0.386425764302142</c:v>
                </c:pt>
                <c:pt idx="179">
                  <c:v>0.386425764302142</c:v>
                </c:pt>
                <c:pt idx="180">
                  <c:v>0.386425764302142</c:v>
                </c:pt>
                <c:pt idx="181">
                  <c:v>0.386425764302142</c:v>
                </c:pt>
                <c:pt idx="182">
                  <c:v>0.386425764302142</c:v>
                </c:pt>
                <c:pt idx="183">
                  <c:v>0.386425764302142</c:v>
                </c:pt>
                <c:pt idx="184">
                  <c:v>0.386425764302142</c:v>
                </c:pt>
                <c:pt idx="185">
                  <c:v>0.386425764302142</c:v>
                </c:pt>
                <c:pt idx="186">
                  <c:v>0.386425764302142</c:v>
                </c:pt>
                <c:pt idx="187">
                  <c:v>0.386425764302142</c:v>
                </c:pt>
                <c:pt idx="188">
                  <c:v>0.386425764302142</c:v>
                </c:pt>
                <c:pt idx="189">
                  <c:v>0.386425764302142</c:v>
                </c:pt>
                <c:pt idx="190">
                  <c:v>0.386425764302142</c:v>
                </c:pt>
                <c:pt idx="191">
                  <c:v>0.386425764302142</c:v>
                </c:pt>
                <c:pt idx="192">
                  <c:v>0.386425764302142</c:v>
                </c:pt>
                <c:pt idx="193">
                  <c:v>0.386425764302142</c:v>
                </c:pt>
                <c:pt idx="194">
                  <c:v>0.386425764302142</c:v>
                </c:pt>
                <c:pt idx="195">
                  <c:v>0.386425764302142</c:v>
                </c:pt>
                <c:pt idx="196">
                  <c:v>0.386425764302142</c:v>
                </c:pt>
                <c:pt idx="197">
                  <c:v>0.386425764302142</c:v>
                </c:pt>
                <c:pt idx="198">
                  <c:v>0.386425764302142</c:v>
                </c:pt>
                <c:pt idx="199">
                  <c:v>0.386425764302142</c:v>
                </c:pt>
                <c:pt idx="200">
                  <c:v>0.386425764302142</c:v>
                </c:pt>
                <c:pt idx="201">
                  <c:v>0.386425764302142</c:v>
                </c:pt>
                <c:pt idx="202">
                  <c:v>0.386425764302142</c:v>
                </c:pt>
                <c:pt idx="203">
                  <c:v>0.386425764302142</c:v>
                </c:pt>
                <c:pt idx="204">
                  <c:v>0.386425764302142</c:v>
                </c:pt>
                <c:pt idx="205">
                  <c:v>0.386425764302142</c:v>
                </c:pt>
                <c:pt idx="206">
                  <c:v>0.386425764302142</c:v>
                </c:pt>
                <c:pt idx="207">
                  <c:v>0.386425764302142</c:v>
                </c:pt>
                <c:pt idx="208">
                  <c:v>0.386425764302142</c:v>
                </c:pt>
                <c:pt idx="209">
                  <c:v>0.386425764302142</c:v>
                </c:pt>
                <c:pt idx="210">
                  <c:v>0.386425764302142</c:v>
                </c:pt>
                <c:pt idx="211">
                  <c:v>0.386425764302142</c:v>
                </c:pt>
                <c:pt idx="212">
                  <c:v>0.386425764302142</c:v>
                </c:pt>
                <c:pt idx="213">
                  <c:v>0.386425764302142</c:v>
                </c:pt>
                <c:pt idx="214">
                  <c:v>0.386425764302142</c:v>
                </c:pt>
                <c:pt idx="215">
                  <c:v>0.386425764302142</c:v>
                </c:pt>
                <c:pt idx="216">
                  <c:v>0.386425764302142</c:v>
                </c:pt>
                <c:pt idx="217">
                  <c:v>0.386425764302142</c:v>
                </c:pt>
                <c:pt idx="218">
                  <c:v>0.386425764302142</c:v>
                </c:pt>
                <c:pt idx="219">
                  <c:v>0.386425764302142</c:v>
                </c:pt>
                <c:pt idx="220">
                  <c:v>0.386425764302142</c:v>
                </c:pt>
                <c:pt idx="221">
                  <c:v>0.386425764302142</c:v>
                </c:pt>
                <c:pt idx="222">
                  <c:v>0.386425764302142</c:v>
                </c:pt>
                <c:pt idx="223">
                  <c:v>0.386425764302142</c:v>
                </c:pt>
                <c:pt idx="224">
                  <c:v>0.386425764302142</c:v>
                </c:pt>
                <c:pt idx="225">
                  <c:v>0.386425764302142</c:v>
                </c:pt>
                <c:pt idx="226">
                  <c:v>0.386425764302142</c:v>
                </c:pt>
                <c:pt idx="227">
                  <c:v>0.386425764302142</c:v>
                </c:pt>
                <c:pt idx="228">
                  <c:v>0.386425764302142</c:v>
                </c:pt>
                <c:pt idx="229">
                  <c:v>0.386425764302142</c:v>
                </c:pt>
                <c:pt idx="230">
                  <c:v>0.386425764302142</c:v>
                </c:pt>
                <c:pt idx="231">
                  <c:v>0.386425764302142</c:v>
                </c:pt>
                <c:pt idx="232">
                  <c:v>0.386425764302142</c:v>
                </c:pt>
                <c:pt idx="233">
                  <c:v>0.386425764302142</c:v>
                </c:pt>
                <c:pt idx="234">
                  <c:v>0.386425764302142</c:v>
                </c:pt>
                <c:pt idx="235">
                  <c:v>0.386425764302142</c:v>
                </c:pt>
                <c:pt idx="236">
                  <c:v>0.386425764302142</c:v>
                </c:pt>
                <c:pt idx="237">
                  <c:v>0.386425764302142</c:v>
                </c:pt>
                <c:pt idx="238">
                  <c:v>0.386425764302142</c:v>
                </c:pt>
                <c:pt idx="239">
                  <c:v>0.386425764302142</c:v>
                </c:pt>
                <c:pt idx="240">
                  <c:v>0.386425764302142</c:v>
                </c:pt>
                <c:pt idx="241">
                  <c:v>0.386425764302142</c:v>
                </c:pt>
                <c:pt idx="242">
                  <c:v>0.386425764302142</c:v>
                </c:pt>
                <c:pt idx="243">
                  <c:v>0.386425764302142</c:v>
                </c:pt>
                <c:pt idx="244">
                  <c:v>0.386425764302142</c:v>
                </c:pt>
                <c:pt idx="245">
                  <c:v>0.386425764302142</c:v>
                </c:pt>
                <c:pt idx="246">
                  <c:v>0.386425764302142</c:v>
                </c:pt>
                <c:pt idx="247">
                  <c:v>0.386425764302142</c:v>
                </c:pt>
                <c:pt idx="248">
                  <c:v>0.386425764302142</c:v>
                </c:pt>
                <c:pt idx="249">
                  <c:v>0.386425764302142</c:v>
                </c:pt>
                <c:pt idx="250">
                  <c:v>0.386425764302142</c:v>
                </c:pt>
                <c:pt idx="251">
                  <c:v>0.386425764302142</c:v>
                </c:pt>
                <c:pt idx="252">
                  <c:v>0.386425764302142</c:v>
                </c:pt>
                <c:pt idx="253">
                  <c:v>0.386425764302142</c:v>
                </c:pt>
                <c:pt idx="254">
                  <c:v>0.386425764302142</c:v>
                </c:pt>
                <c:pt idx="255">
                  <c:v>0.386425764302142</c:v>
                </c:pt>
                <c:pt idx="256">
                  <c:v>0.386425764302142</c:v>
                </c:pt>
                <c:pt idx="257">
                  <c:v>0.386425764302142</c:v>
                </c:pt>
                <c:pt idx="258">
                  <c:v>0.386425764302142</c:v>
                </c:pt>
                <c:pt idx="259">
                  <c:v>0.386425764302142</c:v>
                </c:pt>
                <c:pt idx="260">
                  <c:v>0.386425764302142</c:v>
                </c:pt>
                <c:pt idx="261">
                  <c:v>0.386425764302142</c:v>
                </c:pt>
                <c:pt idx="262">
                  <c:v>0.386425764302142</c:v>
                </c:pt>
                <c:pt idx="263">
                  <c:v>0.386425764302142</c:v>
                </c:pt>
                <c:pt idx="264">
                  <c:v>0.386425764302142</c:v>
                </c:pt>
                <c:pt idx="265">
                  <c:v>0.386425764302142</c:v>
                </c:pt>
                <c:pt idx="266">
                  <c:v>0.386425764302142</c:v>
                </c:pt>
                <c:pt idx="267">
                  <c:v>0.386425764302142</c:v>
                </c:pt>
                <c:pt idx="268">
                  <c:v>0.386425764302142</c:v>
                </c:pt>
                <c:pt idx="269">
                  <c:v>0.386425764302142</c:v>
                </c:pt>
                <c:pt idx="270">
                  <c:v>0.386425764302142</c:v>
                </c:pt>
                <c:pt idx="271">
                  <c:v>0.386425764302142</c:v>
                </c:pt>
                <c:pt idx="272">
                  <c:v>0.386425764302142</c:v>
                </c:pt>
                <c:pt idx="273">
                  <c:v>0.386425764302142</c:v>
                </c:pt>
                <c:pt idx="274">
                  <c:v>0.386425764302142</c:v>
                </c:pt>
                <c:pt idx="275">
                  <c:v>0.386425764302142</c:v>
                </c:pt>
                <c:pt idx="276">
                  <c:v>0.386425764302142</c:v>
                </c:pt>
                <c:pt idx="277">
                  <c:v>0.386425764302142</c:v>
                </c:pt>
                <c:pt idx="278">
                  <c:v>0.386425764302142</c:v>
                </c:pt>
                <c:pt idx="279">
                  <c:v>0.386425764302142</c:v>
                </c:pt>
                <c:pt idx="280">
                  <c:v>0.386425764302142</c:v>
                </c:pt>
                <c:pt idx="281">
                  <c:v>0.386425764302142</c:v>
                </c:pt>
                <c:pt idx="282">
                  <c:v>0.386425764302142</c:v>
                </c:pt>
                <c:pt idx="283">
                  <c:v>0.386425764302142</c:v>
                </c:pt>
                <c:pt idx="284">
                  <c:v>0.386425764302142</c:v>
                </c:pt>
                <c:pt idx="285">
                  <c:v>0.386425764302142</c:v>
                </c:pt>
                <c:pt idx="286">
                  <c:v>0.386425764302142</c:v>
                </c:pt>
                <c:pt idx="287">
                  <c:v>0.386425764302142</c:v>
                </c:pt>
                <c:pt idx="288">
                  <c:v>0.386425764302142</c:v>
                </c:pt>
                <c:pt idx="289">
                  <c:v>0.386425764302142</c:v>
                </c:pt>
                <c:pt idx="290">
                  <c:v>0.386425764302142</c:v>
                </c:pt>
                <c:pt idx="291">
                  <c:v>0.386425764302142</c:v>
                </c:pt>
                <c:pt idx="292">
                  <c:v>0.386425764302142</c:v>
                </c:pt>
                <c:pt idx="293">
                  <c:v>0.386425764302142</c:v>
                </c:pt>
                <c:pt idx="294">
                  <c:v>0.386425764302142</c:v>
                </c:pt>
                <c:pt idx="295">
                  <c:v>0.386425764302142</c:v>
                </c:pt>
                <c:pt idx="296">
                  <c:v>0.386425764302142</c:v>
                </c:pt>
                <c:pt idx="297">
                  <c:v>0.386425764302142</c:v>
                </c:pt>
                <c:pt idx="298">
                  <c:v>0.386425764302142</c:v>
                </c:pt>
                <c:pt idx="299">
                  <c:v>0.386425764302142</c:v>
                </c:pt>
                <c:pt idx="300">
                  <c:v>0.386425764302142</c:v>
                </c:pt>
                <c:pt idx="301">
                  <c:v>0.386425764302142</c:v>
                </c:pt>
                <c:pt idx="302">
                  <c:v>0.386425764302142</c:v>
                </c:pt>
                <c:pt idx="303">
                  <c:v>0.386425764302142</c:v>
                </c:pt>
                <c:pt idx="304">
                  <c:v>0.386425764302142</c:v>
                </c:pt>
                <c:pt idx="305">
                  <c:v>0.386425764302142</c:v>
                </c:pt>
                <c:pt idx="306">
                  <c:v>0.386425764302142</c:v>
                </c:pt>
                <c:pt idx="307">
                  <c:v>0.386425764302142</c:v>
                </c:pt>
                <c:pt idx="308">
                  <c:v>0.386425764302142</c:v>
                </c:pt>
                <c:pt idx="309">
                  <c:v>0.386425764302142</c:v>
                </c:pt>
                <c:pt idx="310">
                  <c:v>0.386425764302142</c:v>
                </c:pt>
                <c:pt idx="311">
                  <c:v>0.386425764302142</c:v>
                </c:pt>
                <c:pt idx="312">
                  <c:v>0.386425764302142</c:v>
                </c:pt>
                <c:pt idx="313">
                  <c:v>0.386425764302142</c:v>
                </c:pt>
                <c:pt idx="314">
                  <c:v>0.386425764302142</c:v>
                </c:pt>
                <c:pt idx="315">
                  <c:v>0.386425764302142</c:v>
                </c:pt>
                <c:pt idx="316">
                  <c:v>0.386425764302142</c:v>
                </c:pt>
                <c:pt idx="317">
                  <c:v>0.386425764302142</c:v>
                </c:pt>
                <c:pt idx="318">
                  <c:v>0.386425764302142</c:v>
                </c:pt>
                <c:pt idx="319">
                  <c:v>0.386425764302142</c:v>
                </c:pt>
                <c:pt idx="320">
                  <c:v>0.386425764302142</c:v>
                </c:pt>
                <c:pt idx="321">
                  <c:v>0.386425764302142</c:v>
                </c:pt>
                <c:pt idx="322">
                  <c:v>0.386425764302142</c:v>
                </c:pt>
                <c:pt idx="323">
                  <c:v>0.386425764302142</c:v>
                </c:pt>
                <c:pt idx="324">
                  <c:v>0.386425764302142</c:v>
                </c:pt>
                <c:pt idx="325">
                  <c:v>0.386425764302142</c:v>
                </c:pt>
                <c:pt idx="326">
                  <c:v>0.386425764302142</c:v>
                </c:pt>
                <c:pt idx="327">
                  <c:v>0.386425764302142</c:v>
                </c:pt>
                <c:pt idx="328">
                  <c:v>0.386425764302142</c:v>
                </c:pt>
                <c:pt idx="329">
                  <c:v>0.386425764302142</c:v>
                </c:pt>
                <c:pt idx="330">
                  <c:v>0.386425764302142</c:v>
                </c:pt>
                <c:pt idx="331">
                  <c:v>0.386425764302142</c:v>
                </c:pt>
                <c:pt idx="332">
                  <c:v>0.386425764302142</c:v>
                </c:pt>
                <c:pt idx="333">
                  <c:v>0.386425764302142</c:v>
                </c:pt>
                <c:pt idx="334">
                  <c:v>0.386425764302142</c:v>
                </c:pt>
                <c:pt idx="335">
                  <c:v>0.386425764302142</c:v>
                </c:pt>
                <c:pt idx="336">
                  <c:v>0.386425764302142</c:v>
                </c:pt>
                <c:pt idx="337">
                  <c:v>0.386425764302142</c:v>
                </c:pt>
                <c:pt idx="338">
                  <c:v>0.386425764302142</c:v>
                </c:pt>
                <c:pt idx="339">
                  <c:v>0.386425764302142</c:v>
                </c:pt>
                <c:pt idx="340">
                  <c:v>0.386425764302142</c:v>
                </c:pt>
                <c:pt idx="341">
                  <c:v>0.386425764302142</c:v>
                </c:pt>
                <c:pt idx="342">
                  <c:v>0.386425764302142</c:v>
                </c:pt>
                <c:pt idx="343">
                  <c:v>0.386425764302142</c:v>
                </c:pt>
                <c:pt idx="344">
                  <c:v>0.386425764302142</c:v>
                </c:pt>
                <c:pt idx="345">
                  <c:v>0.386425764302142</c:v>
                </c:pt>
                <c:pt idx="346">
                  <c:v>0.386425764302142</c:v>
                </c:pt>
                <c:pt idx="347">
                  <c:v>0.386425764302142</c:v>
                </c:pt>
                <c:pt idx="348">
                  <c:v>0.386425764302142</c:v>
                </c:pt>
                <c:pt idx="349">
                  <c:v>0.386425764302142</c:v>
                </c:pt>
                <c:pt idx="350">
                  <c:v>0.386425764302142</c:v>
                </c:pt>
                <c:pt idx="351">
                  <c:v>0.386425764302142</c:v>
                </c:pt>
                <c:pt idx="352">
                  <c:v>0.386425764302142</c:v>
                </c:pt>
                <c:pt idx="353">
                  <c:v>0.386425764302142</c:v>
                </c:pt>
                <c:pt idx="354">
                  <c:v>0.386425764302142</c:v>
                </c:pt>
                <c:pt idx="355">
                  <c:v>0.386425764302142</c:v>
                </c:pt>
                <c:pt idx="356">
                  <c:v>0.386425764302142</c:v>
                </c:pt>
                <c:pt idx="357">
                  <c:v>0.386425764302142</c:v>
                </c:pt>
                <c:pt idx="358">
                  <c:v>0.386425764302142</c:v>
                </c:pt>
                <c:pt idx="359">
                  <c:v>0.386425764302142</c:v>
                </c:pt>
                <c:pt idx="360">
                  <c:v>0.386425764302142</c:v>
                </c:pt>
                <c:pt idx="361">
                  <c:v>0.386425764302142</c:v>
                </c:pt>
                <c:pt idx="362">
                  <c:v>0.386425764302142</c:v>
                </c:pt>
                <c:pt idx="363">
                  <c:v>0.386425764302142</c:v>
                </c:pt>
                <c:pt idx="364">
                  <c:v>0.386425764302142</c:v>
                </c:pt>
                <c:pt idx="365">
                  <c:v>0.386425764302142</c:v>
                </c:pt>
                <c:pt idx="366">
                  <c:v>0.386425764302142</c:v>
                </c:pt>
                <c:pt idx="367">
                  <c:v>0.386425764302142</c:v>
                </c:pt>
                <c:pt idx="368">
                  <c:v>0.386425764302142</c:v>
                </c:pt>
                <c:pt idx="369">
                  <c:v>0.386425764302142</c:v>
                </c:pt>
                <c:pt idx="370">
                  <c:v>0.386425764302142</c:v>
                </c:pt>
                <c:pt idx="371">
                  <c:v>0.386425764302142</c:v>
                </c:pt>
                <c:pt idx="372">
                  <c:v>0.386425764302142</c:v>
                </c:pt>
                <c:pt idx="373">
                  <c:v>0.386425764302142</c:v>
                </c:pt>
                <c:pt idx="374">
                  <c:v>0.386425764302142</c:v>
                </c:pt>
                <c:pt idx="375">
                  <c:v>0.386425764302142</c:v>
                </c:pt>
                <c:pt idx="376">
                  <c:v>0.386425764302142</c:v>
                </c:pt>
                <c:pt idx="377">
                  <c:v>0.386425764302142</c:v>
                </c:pt>
                <c:pt idx="378">
                  <c:v>0.386425764302142</c:v>
                </c:pt>
                <c:pt idx="379">
                  <c:v>0.386425764302142</c:v>
                </c:pt>
                <c:pt idx="380">
                  <c:v>0.386425764302142</c:v>
                </c:pt>
                <c:pt idx="381">
                  <c:v>0.386425764302142</c:v>
                </c:pt>
                <c:pt idx="382">
                  <c:v>0.386425764302142</c:v>
                </c:pt>
                <c:pt idx="383">
                  <c:v>0.386425764302142</c:v>
                </c:pt>
                <c:pt idx="384">
                  <c:v>0.386425764302142</c:v>
                </c:pt>
                <c:pt idx="385">
                  <c:v>0.386425764302142</c:v>
                </c:pt>
                <c:pt idx="386">
                  <c:v>0.386425764302142</c:v>
                </c:pt>
                <c:pt idx="387">
                  <c:v>0.386425764302142</c:v>
                </c:pt>
                <c:pt idx="388">
                  <c:v>0.386425764302142</c:v>
                </c:pt>
                <c:pt idx="389">
                  <c:v>0.386425764302142</c:v>
                </c:pt>
                <c:pt idx="390">
                  <c:v>0.386425764302142</c:v>
                </c:pt>
                <c:pt idx="391">
                  <c:v>0.386425764302142</c:v>
                </c:pt>
                <c:pt idx="392">
                  <c:v>0.386425764302142</c:v>
                </c:pt>
                <c:pt idx="393">
                  <c:v>0.386425764302142</c:v>
                </c:pt>
                <c:pt idx="394">
                  <c:v>0.386425764302142</c:v>
                </c:pt>
                <c:pt idx="395">
                  <c:v>0.386425764302142</c:v>
                </c:pt>
                <c:pt idx="396">
                  <c:v>0.386425764302142</c:v>
                </c:pt>
                <c:pt idx="397">
                  <c:v>0.386425764302142</c:v>
                </c:pt>
                <c:pt idx="398">
                  <c:v>0.386425764302142</c:v>
                </c:pt>
                <c:pt idx="399">
                  <c:v>0.386425764302142</c:v>
                </c:pt>
                <c:pt idx="400">
                  <c:v>0.386425764302142</c:v>
                </c:pt>
                <c:pt idx="401">
                  <c:v>0.386425764302142</c:v>
                </c:pt>
                <c:pt idx="402">
                  <c:v>0.386425764302142</c:v>
                </c:pt>
                <c:pt idx="403">
                  <c:v>0.386425764302142</c:v>
                </c:pt>
                <c:pt idx="404">
                  <c:v>0.386425764302142</c:v>
                </c:pt>
                <c:pt idx="405">
                  <c:v>0.386425764302142</c:v>
                </c:pt>
                <c:pt idx="406">
                  <c:v>0.386425764302142</c:v>
                </c:pt>
                <c:pt idx="407">
                  <c:v>0.386425764302142</c:v>
                </c:pt>
                <c:pt idx="408">
                  <c:v>0.386425764302142</c:v>
                </c:pt>
                <c:pt idx="409">
                  <c:v>0.386425764302142</c:v>
                </c:pt>
                <c:pt idx="410">
                  <c:v>0.386425764302142</c:v>
                </c:pt>
                <c:pt idx="411">
                  <c:v>0.386425764302142</c:v>
                </c:pt>
                <c:pt idx="412">
                  <c:v>0.386425764302142</c:v>
                </c:pt>
                <c:pt idx="413">
                  <c:v>0.386425764302142</c:v>
                </c:pt>
                <c:pt idx="414">
                  <c:v>0.386425764302142</c:v>
                </c:pt>
                <c:pt idx="415">
                  <c:v>0.386425764302142</c:v>
                </c:pt>
                <c:pt idx="416">
                  <c:v>0.386425764302142</c:v>
                </c:pt>
                <c:pt idx="417">
                  <c:v>0.386425764302142</c:v>
                </c:pt>
                <c:pt idx="418">
                  <c:v>0.386425764302142</c:v>
                </c:pt>
                <c:pt idx="419">
                  <c:v>0.386425764302142</c:v>
                </c:pt>
                <c:pt idx="420">
                  <c:v>0.386425764302142</c:v>
                </c:pt>
                <c:pt idx="421">
                  <c:v>0.386425764302142</c:v>
                </c:pt>
                <c:pt idx="422">
                  <c:v>0.386425764302142</c:v>
                </c:pt>
                <c:pt idx="423">
                  <c:v>0.386425764302142</c:v>
                </c:pt>
                <c:pt idx="424">
                  <c:v>0.386425764302142</c:v>
                </c:pt>
                <c:pt idx="425">
                  <c:v>0.386425764302142</c:v>
                </c:pt>
                <c:pt idx="426">
                  <c:v>0.386425764302142</c:v>
                </c:pt>
                <c:pt idx="427">
                  <c:v>0.386425764302142</c:v>
                </c:pt>
                <c:pt idx="428">
                  <c:v>0.386425764302142</c:v>
                </c:pt>
                <c:pt idx="429">
                  <c:v>0.386425764302142</c:v>
                </c:pt>
                <c:pt idx="430">
                  <c:v>0.386425764302142</c:v>
                </c:pt>
                <c:pt idx="431">
                  <c:v>0.386425764302142</c:v>
                </c:pt>
                <c:pt idx="432">
                  <c:v>0.386425764302142</c:v>
                </c:pt>
                <c:pt idx="433">
                  <c:v>0.386425764302142</c:v>
                </c:pt>
                <c:pt idx="434">
                  <c:v>0.386425764302142</c:v>
                </c:pt>
                <c:pt idx="435">
                  <c:v>0.386425764302142</c:v>
                </c:pt>
                <c:pt idx="436">
                  <c:v>0.386425764302142</c:v>
                </c:pt>
                <c:pt idx="437">
                  <c:v>0.386425764302142</c:v>
                </c:pt>
                <c:pt idx="438">
                  <c:v>0.386425764302142</c:v>
                </c:pt>
                <c:pt idx="439">
                  <c:v>0.386425764302142</c:v>
                </c:pt>
                <c:pt idx="440">
                  <c:v>0.386425764302142</c:v>
                </c:pt>
                <c:pt idx="441">
                  <c:v>0.386425764302142</c:v>
                </c:pt>
                <c:pt idx="442">
                  <c:v>0.386425764302142</c:v>
                </c:pt>
                <c:pt idx="443">
                  <c:v>0.386425764302142</c:v>
                </c:pt>
                <c:pt idx="444">
                  <c:v>0.386425764302142</c:v>
                </c:pt>
                <c:pt idx="445">
                  <c:v>0.386425764302142</c:v>
                </c:pt>
                <c:pt idx="446">
                  <c:v>0.386425764302142</c:v>
                </c:pt>
                <c:pt idx="447">
                  <c:v>0.386425764302142</c:v>
                </c:pt>
                <c:pt idx="448">
                  <c:v>0.386425764302142</c:v>
                </c:pt>
                <c:pt idx="449">
                  <c:v>0.386425764302142</c:v>
                </c:pt>
                <c:pt idx="450">
                  <c:v>0.386425764302142</c:v>
                </c:pt>
                <c:pt idx="451">
                  <c:v>0.386425764302142</c:v>
                </c:pt>
                <c:pt idx="452">
                  <c:v>0.386425764302142</c:v>
                </c:pt>
                <c:pt idx="453">
                  <c:v>0.386425764302142</c:v>
                </c:pt>
                <c:pt idx="454">
                  <c:v>0.386425764302142</c:v>
                </c:pt>
                <c:pt idx="455">
                  <c:v>0.386425764302142</c:v>
                </c:pt>
                <c:pt idx="456">
                  <c:v>0.386425764302142</c:v>
                </c:pt>
                <c:pt idx="457">
                  <c:v>0.386425764302142</c:v>
                </c:pt>
                <c:pt idx="458">
                  <c:v>0.386425764302142</c:v>
                </c:pt>
                <c:pt idx="459">
                  <c:v>0.386425764302142</c:v>
                </c:pt>
                <c:pt idx="460">
                  <c:v>0.386425764302142</c:v>
                </c:pt>
                <c:pt idx="461">
                  <c:v>0.386425764302142</c:v>
                </c:pt>
                <c:pt idx="462">
                  <c:v>0.386425764302142</c:v>
                </c:pt>
                <c:pt idx="463">
                  <c:v>0.386425764302142</c:v>
                </c:pt>
                <c:pt idx="464">
                  <c:v>0.386425764302142</c:v>
                </c:pt>
                <c:pt idx="465">
                  <c:v>0.386425764302142</c:v>
                </c:pt>
                <c:pt idx="466">
                  <c:v>0.386425764302142</c:v>
                </c:pt>
                <c:pt idx="467">
                  <c:v>0.386425764302142</c:v>
                </c:pt>
                <c:pt idx="468">
                  <c:v>0.386425764302142</c:v>
                </c:pt>
                <c:pt idx="469">
                  <c:v>0.386425764302142</c:v>
                </c:pt>
                <c:pt idx="470">
                  <c:v>0.386425764302142</c:v>
                </c:pt>
                <c:pt idx="471">
                  <c:v>0.386425764302142</c:v>
                </c:pt>
                <c:pt idx="472">
                  <c:v>0.386425764302142</c:v>
                </c:pt>
                <c:pt idx="473">
                  <c:v>0.386425764302142</c:v>
                </c:pt>
                <c:pt idx="474">
                  <c:v>0.386425764302142</c:v>
                </c:pt>
                <c:pt idx="475">
                  <c:v>0.386425764302142</c:v>
                </c:pt>
                <c:pt idx="476">
                  <c:v>0.386425764302142</c:v>
                </c:pt>
                <c:pt idx="477">
                  <c:v>0.386425764302142</c:v>
                </c:pt>
                <c:pt idx="478">
                  <c:v>0.386425764302142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474889"/>
        <c:axId val="1241535"/>
      </c:lineChart>
      <c:catAx>
        <c:axId val="3547488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1535"/>
        <c:crosses val="autoZero"/>
        <c:auto val="1"/>
        <c:lblAlgn val="ctr"/>
        <c:lblOffset val="100"/>
        <c:noMultiLvlLbl val="0"/>
      </c:catAx>
      <c:valAx>
        <c:axId val="1241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74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 chart - shift-to-shift range (s_1)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C1_XbarR_s1!G15</c:f>
              <c:strCache>
                <c:ptCount val="1"/>
                <c:pt idx="0">
                  <c:v>R</c:v>
                </c:pt>
              </c:strCache>
            </c:strRef>
          </c:tx>
          <c:spPr>
            <a:solidFill>
              <a:srgbClr val="1f3a5f"/>
            </a:solidFill>
            <a:ln w="118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C1_XbarR_s1!$G$16:$G$494</c:f>
              <c:numCache>
                <c:formatCode>0.0%</c:formatCode>
                <c:ptCount val="479"/>
                <c:pt idx="0">
                  <c:v>0.111192941782733</c:v>
                </c:pt>
                <c:pt idx="1">
                  <c:v>0.230162001337816</c:v>
                </c:pt>
                <c:pt idx="2">
                  <c:v>0.702971913698875</c:v>
                </c:pt>
                <c:pt idx="3">
                  <c:v>0.242138084115404</c:v>
                </c:pt>
                <c:pt idx="4">
                  <c:v>0.244407857725204</c:v>
                </c:pt>
                <c:pt idx="5">
                  <c:v>0.113334596738777</c:v>
                </c:pt>
                <c:pt idx="6">
                  <c:v>0.0499400628643966</c:v>
                </c:pt>
                <c:pt idx="7">
                  <c:v>0.727507401357997</c:v>
                </c:pt>
                <c:pt idx="8">
                  <c:v>0.187374115628545</c:v>
                </c:pt>
                <c:pt idx="9">
                  <c:v>0.179887783705779</c:v>
                </c:pt>
                <c:pt idx="10">
                  <c:v>0.118497823880128</c:v>
                </c:pt>
                <c:pt idx="11">
                  <c:v>0.026805212874514</c:v>
                </c:pt>
                <c:pt idx="12">
                  <c:v>0</c:v>
                </c:pt>
                <c:pt idx="13">
                  <c:v>0.3951653020203</c:v>
                </c:pt>
                <c:pt idx="14">
                  <c:v>0.176188934669894</c:v>
                </c:pt>
                <c:pt idx="15">
                  <c:v>0.8929537851311</c:v>
                </c:pt>
                <c:pt idx="16">
                  <c:v>0.198512478264133</c:v>
                </c:pt>
                <c:pt idx="17">
                  <c:v>0.191156452789608</c:v>
                </c:pt>
                <c:pt idx="18">
                  <c:v>0.0119588107462318</c:v>
                </c:pt>
                <c:pt idx="19">
                  <c:v>0.80082141636094</c:v>
                </c:pt>
                <c:pt idx="20">
                  <c:v>0.908096989040369</c:v>
                </c:pt>
                <c:pt idx="21">
                  <c:v>0.762931416869326</c:v>
                </c:pt>
                <c:pt idx="22">
                  <c:v>0.309471965097152</c:v>
                </c:pt>
                <c:pt idx="23">
                  <c:v>0.336389925221263</c:v>
                </c:pt>
                <c:pt idx="24">
                  <c:v>0.514613634154904</c:v>
                </c:pt>
                <c:pt idx="25">
                  <c:v>0.128685150086149</c:v>
                </c:pt>
                <c:pt idx="26">
                  <c:v>0.400522713261005</c:v>
                </c:pt>
                <c:pt idx="27">
                  <c:v>0</c:v>
                </c:pt>
                <c:pt idx="28">
                  <c:v>0.826719194174809</c:v>
                </c:pt>
                <c:pt idx="29">
                  <c:v>0.864897790015147</c:v>
                </c:pt>
                <c:pt idx="30">
                  <c:v>0.886238450096596</c:v>
                </c:pt>
                <c:pt idx="31">
                  <c:v>0.189594540326399</c:v>
                </c:pt>
                <c:pt idx="32">
                  <c:v>0.145649544459331</c:v>
                </c:pt>
                <c:pt idx="33">
                  <c:v>0.0743517582638142</c:v>
                </c:pt>
                <c:pt idx="34">
                  <c:v>0.117657570930811</c:v>
                </c:pt>
                <c:pt idx="35">
                  <c:v>0.550884602865835</c:v>
                </c:pt>
                <c:pt idx="36">
                  <c:v>0</c:v>
                </c:pt>
                <c:pt idx="37">
                  <c:v>0.102133827894103</c:v>
                </c:pt>
                <c:pt idx="38">
                  <c:v>0.757392903995904</c:v>
                </c:pt>
                <c:pt idx="39">
                  <c:v>0.55654428238373</c:v>
                </c:pt>
                <c:pt idx="40">
                  <c:v>0.703171406977327</c:v>
                </c:pt>
                <c:pt idx="41">
                  <c:v>0.243695347299736</c:v>
                </c:pt>
                <c:pt idx="42">
                  <c:v>0.362477925518975</c:v>
                </c:pt>
                <c:pt idx="43">
                  <c:v>0.191898200097194</c:v>
                </c:pt>
                <c:pt idx="44">
                  <c:v>0.283785005451894</c:v>
                </c:pt>
                <c:pt idx="45">
                  <c:v>0.24515528261113</c:v>
                </c:pt>
                <c:pt idx="46">
                  <c:v>0.135054650354103</c:v>
                </c:pt>
                <c:pt idx="47">
                  <c:v>0.212484170093757</c:v>
                </c:pt>
                <c:pt idx="48">
                  <c:v>0.0961763451545501</c:v>
                </c:pt>
                <c:pt idx="49">
                  <c:v>0.154785224462381</c:v>
                </c:pt>
                <c:pt idx="50">
                  <c:v>0.122810634554342</c:v>
                </c:pt>
                <c:pt idx="51">
                  <c:v>0.223789174980631</c:v>
                </c:pt>
                <c:pt idx="52">
                  <c:v>0</c:v>
                </c:pt>
                <c:pt idx="53">
                  <c:v>0.88191452596869</c:v>
                </c:pt>
                <c:pt idx="54">
                  <c:v>0.850745667964936</c:v>
                </c:pt>
                <c:pt idx="55">
                  <c:v>0.822092668993072</c:v>
                </c:pt>
                <c:pt idx="56">
                  <c:v>0.166300223397299</c:v>
                </c:pt>
                <c:pt idx="57">
                  <c:v>0.90593073679706</c:v>
                </c:pt>
                <c:pt idx="58">
                  <c:v>0.625659771430688</c:v>
                </c:pt>
                <c:pt idx="59">
                  <c:v>0.862640611886654</c:v>
                </c:pt>
                <c:pt idx="60">
                  <c:v>0.795723449948279</c:v>
                </c:pt>
                <c:pt idx="61">
                  <c:v>0.182485787129889</c:v>
                </c:pt>
                <c:pt idx="62">
                  <c:v>0</c:v>
                </c:pt>
                <c:pt idx="63">
                  <c:v>0.720375656692794</c:v>
                </c:pt>
                <c:pt idx="64">
                  <c:v>0.859822559946321</c:v>
                </c:pt>
                <c:pt idx="65">
                  <c:v>0</c:v>
                </c:pt>
                <c:pt idx="66">
                  <c:v>0.112541679844763</c:v>
                </c:pt>
                <c:pt idx="67">
                  <c:v>0.664291380249376</c:v>
                </c:pt>
                <c:pt idx="68">
                  <c:v>0.897169927690873</c:v>
                </c:pt>
                <c:pt idx="69">
                  <c:v>0.34107743325868</c:v>
                </c:pt>
                <c:pt idx="70">
                  <c:v>0.126074784581872</c:v>
                </c:pt>
                <c:pt idx="71">
                  <c:v>0.146200151667422</c:v>
                </c:pt>
                <c:pt idx="72">
                  <c:v>0.832074747110537</c:v>
                </c:pt>
                <c:pt idx="73">
                  <c:v>0.695461881109696</c:v>
                </c:pt>
                <c:pt idx="74">
                  <c:v>0.582313892837447</c:v>
                </c:pt>
                <c:pt idx="75">
                  <c:v>0</c:v>
                </c:pt>
                <c:pt idx="76">
                  <c:v>0.428869174114293</c:v>
                </c:pt>
                <c:pt idx="77">
                  <c:v>0.604286579166887</c:v>
                </c:pt>
                <c:pt idx="78">
                  <c:v>0.880606175126653</c:v>
                </c:pt>
                <c:pt idx="79">
                  <c:v>0.888390645690602</c:v>
                </c:pt>
                <c:pt idx="80">
                  <c:v>0.0412785823482318</c:v>
                </c:pt>
                <c:pt idx="81">
                  <c:v>0.595417146121145</c:v>
                </c:pt>
                <c:pt idx="82">
                  <c:v>0.541541228148563</c:v>
                </c:pt>
                <c:pt idx="83">
                  <c:v>0.366700685673486</c:v>
                </c:pt>
                <c:pt idx="84">
                  <c:v>0.784837719499629</c:v>
                </c:pt>
                <c:pt idx="85">
                  <c:v>0.760920512287592</c:v>
                </c:pt>
                <c:pt idx="86">
                  <c:v>0.927538805344894</c:v>
                </c:pt>
                <c:pt idx="87">
                  <c:v>0.131466556982954</c:v>
                </c:pt>
                <c:pt idx="88">
                  <c:v>0.150402791841397</c:v>
                </c:pt>
                <c:pt idx="89">
                  <c:v>0.295754406613294</c:v>
                </c:pt>
                <c:pt idx="90">
                  <c:v>0</c:v>
                </c:pt>
                <c:pt idx="91">
                  <c:v>0.3044035211992</c:v>
                </c:pt>
                <c:pt idx="92">
                  <c:v>0.117927847035511</c:v>
                </c:pt>
                <c:pt idx="93">
                  <c:v>0.147284580745152</c:v>
                </c:pt>
                <c:pt idx="94">
                  <c:v>0</c:v>
                </c:pt>
                <c:pt idx="95">
                  <c:v>0.706896439068986</c:v>
                </c:pt>
                <c:pt idx="96">
                  <c:v>0.149724473218133</c:v>
                </c:pt>
                <c:pt idx="97">
                  <c:v>0.811077868191415</c:v>
                </c:pt>
                <c:pt idx="98">
                  <c:v>0.821919615504463</c:v>
                </c:pt>
                <c:pt idx="99">
                  <c:v>0.213131947756262</c:v>
                </c:pt>
                <c:pt idx="100">
                  <c:v>0.635442914328713</c:v>
                </c:pt>
                <c:pt idx="101">
                  <c:v>0.746445571797089</c:v>
                </c:pt>
                <c:pt idx="102">
                  <c:v>0</c:v>
                </c:pt>
                <c:pt idx="103">
                  <c:v>0.788261537935574</c:v>
                </c:pt>
                <c:pt idx="104">
                  <c:v>0.905783195291277</c:v>
                </c:pt>
                <c:pt idx="105">
                  <c:v>0.918466590275566</c:v>
                </c:pt>
                <c:pt idx="106">
                  <c:v>0.484052450275535</c:v>
                </c:pt>
                <c:pt idx="107">
                  <c:v>0.210471476011926</c:v>
                </c:pt>
                <c:pt idx="108">
                  <c:v>0.0584439692540897</c:v>
                </c:pt>
                <c:pt idx="109">
                  <c:v>0.802334480682516</c:v>
                </c:pt>
                <c:pt idx="110">
                  <c:v>0.629129048496782</c:v>
                </c:pt>
                <c:pt idx="111">
                  <c:v>0.105376268717981</c:v>
                </c:pt>
                <c:pt idx="112">
                  <c:v>0.200804413332083</c:v>
                </c:pt>
                <c:pt idx="113">
                  <c:v>0.679519706883338</c:v>
                </c:pt>
                <c:pt idx="114">
                  <c:v>0.185102608818777</c:v>
                </c:pt>
                <c:pt idx="115">
                  <c:v>0.787796122888191</c:v>
                </c:pt>
                <c:pt idx="116">
                  <c:v>0.959706561871271</c:v>
                </c:pt>
                <c:pt idx="117">
                  <c:v>0.833143102032356</c:v>
                </c:pt>
                <c:pt idx="118">
                  <c:v>0.170653900073845</c:v>
                </c:pt>
                <c:pt idx="119">
                  <c:v>0.548847807078787</c:v>
                </c:pt>
                <c:pt idx="120">
                  <c:v>0.253302170774459</c:v>
                </c:pt>
                <c:pt idx="121">
                  <c:v>0.334609270216484</c:v>
                </c:pt>
                <c:pt idx="122">
                  <c:v>0.604845621263365</c:v>
                </c:pt>
                <c:pt idx="123">
                  <c:v>0.0905862999733355</c:v>
                </c:pt>
                <c:pt idx="124">
                  <c:v>0.222905727812187</c:v>
                </c:pt>
                <c:pt idx="125">
                  <c:v>0.108782394473251</c:v>
                </c:pt>
                <c:pt idx="126">
                  <c:v>0.176383497410757</c:v>
                </c:pt>
                <c:pt idx="127">
                  <c:v>0.106319682995682</c:v>
                </c:pt>
                <c:pt idx="128">
                  <c:v>0.285117771890902</c:v>
                </c:pt>
                <c:pt idx="129">
                  <c:v>0.40320178813117</c:v>
                </c:pt>
                <c:pt idx="130">
                  <c:v>0.753617343920591</c:v>
                </c:pt>
                <c:pt idx="131">
                  <c:v>0.377089577707679</c:v>
                </c:pt>
                <c:pt idx="132">
                  <c:v>0.187838234918638</c:v>
                </c:pt>
                <c:pt idx="133">
                  <c:v>0.109223056589423</c:v>
                </c:pt>
                <c:pt idx="134">
                  <c:v>0.0615152893391167</c:v>
                </c:pt>
                <c:pt idx="135">
                  <c:v>0.0842668521542848</c:v>
                </c:pt>
                <c:pt idx="136">
                  <c:v>0.447931690789312</c:v>
                </c:pt>
                <c:pt idx="137">
                  <c:v>0.210977987899218</c:v>
                </c:pt>
                <c:pt idx="138">
                  <c:v>0.14307968146011</c:v>
                </c:pt>
                <c:pt idx="139">
                  <c:v>0.121260209750021</c:v>
                </c:pt>
                <c:pt idx="140">
                  <c:v>0.469198275180268</c:v>
                </c:pt>
                <c:pt idx="141">
                  <c:v>0.656980974038308</c:v>
                </c:pt>
                <c:pt idx="142">
                  <c:v>0.780059614843053</c:v>
                </c:pt>
                <c:pt idx="143">
                  <c:v>0.198350074500996</c:v>
                </c:pt>
                <c:pt idx="144">
                  <c:v>0.195004592866028</c:v>
                </c:pt>
                <c:pt idx="145">
                  <c:v>0.260855163251607</c:v>
                </c:pt>
                <c:pt idx="146">
                  <c:v>0.0523546114038836</c:v>
                </c:pt>
                <c:pt idx="147">
                  <c:v>0.0809386592557541</c:v>
                </c:pt>
                <c:pt idx="148">
                  <c:v>0.173364750165554</c:v>
                </c:pt>
                <c:pt idx="149">
                  <c:v>0.162729439916918</c:v>
                </c:pt>
                <c:pt idx="150">
                  <c:v>0.111155582148864</c:v>
                </c:pt>
                <c:pt idx="151">
                  <c:v>0.146784209776187</c:v>
                </c:pt>
                <c:pt idx="152">
                  <c:v>0.142177840439435</c:v>
                </c:pt>
                <c:pt idx="153">
                  <c:v>0.290596028401089</c:v>
                </c:pt>
                <c:pt idx="154">
                  <c:v>0.179609880862691</c:v>
                </c:pt>
                <c:pt idx="155">
                  <c:v>0.0953276859214339</c:v>
                </c:pt>
                <c:pt idx="156">
                  <c:v>0.107677882252246</c:v>
                </c:pt>
                <c:pt idx="157">
                  <c:v>0.157908046688248</c:v>
                </c:pt>
                <c:pt idx="158">
                  <c:v>0.183893033240666</c:v>
                </c:pt>
                <c:pt idx="159">
                  <c:v>0.147614976840409</c:v>
                </c:pt>
                <c:pt idx="160">
                  <c:v>0.233325287475752</c:v>
                </c:pt>
                <c:pt idx="161">
                  <c:v>0.153351964108195</c:v>
                </c:pt>
                <c:pt idx="162">
                  <c:v>0.739721857847647</c:v>
                </c:pt>
                <c:pt idx="163">
                  <c:v>0.177253513515919</c:v>
                </c:pt>
                <c:pt idx="164">
                  <c:v>0.233591314535659</c:v>
                </c:pt>
                <c:pt idx="165">
                  <c:v>0.0989702703389673</c:v>
                </c:pt>
                <c:pt idx="166">
                  <c:v>0.185059131301262</c:v>
                </c:pt>
                <c:pt idx="167">
                  <c:v>0.234294295283946</c:v>
                </c:pt>
                <c:pt idx="168">
                  <c:v>0.22769133796396</c:v>
                </c:pt>
                <c:pt idx="169">
                  <c:v>0.078158051630719</c:v>
                </c:pt>
                <c:pt idx="170">
                  <c:v>0.227434366440151</c:v>
                </c:pt>
                <c:pt idx="171">
                  <c:v>0.0654832051517655</c:v>
                </c:pt>
                <c:pt idx="172">
                  <c:v>0.196067734842311</c:v>
                </c:pt>
                <c:pt idx="173">
                  <c:v>0.0699619521077063</c:v>
                </c:pt>
                <c:pt idx="174">
                  <c:v>0.0984325289762436</c:v>
                </c:pt>
                <c:pt idx="175">
                  <c:v>0.220616483314458</c:v>
                </c:pt>
                <c:pt idx="176">
                  <c:v>0.293447127917821</c:v>
                </c:pt>
                <c:pt idx="177">
                  <c:v>0.0953464168715453</c:v>
                </c:pt>
                <c:pt idx="178">
                  <c:v>0.181650860802003</c:v>
                </c:pt>
                <c:pt idx="179">
                  <c:v>0.160208482855047</c:v>
                </c:pt>
                <c:pt idx="180">
                  <c:v>0.367375398958046</c:v>
                </c:pt>
                <c:pt idx="181">
                  <c:v>0.668619643781676</c:v>
                </c:pt>
                <c:pt idx="182">
                  <c:v>0.759433156310185</c:v>
                </c:pt>
                <c:pt idx="183">
                  <c:v>0.168651900036955</c:v>
                </c:pt>
                <c:pt idx="184">
                  <c:v>0.139788088436005</c:v>
                </c:pt>
                <c:pt idx="185">
                  <c:v>0.111769724780174</c:v>
                </c:pt>
                <c:pt idx="186">
                  <c:v>0.12073619471282</c:v>
                </c:pt>
                <c:pt idx="187">
                  <c:v>0.290881581402727</c:v>
                </c:pt>
                <c:pt idx="188">
                  <c:v>0.114975457187677</c:v>
                </c:pt>
                <c:pt idx="189">
                  <c:v>0.193422232731388</c:v>
                </c:pt>
                <c:pt idx="190">
                  <c:v>0.179628600499532</c:v>
                </c:pt>
                <c:pt idx="191">
                  <c:v>0.0509762642296855</c:v>
                </c:pt>
                <c:pt idx="192">
                  <c:v>0.144300810537396</c:v>
                </c:pt>
                <c:pt idx="193">
                  <c:v>0.088012381757422</c:v>
                </c:pt>
                <c:pt idx="194">
                  <c:v>0.162629647148576</c:v>
                </c:pt>
                <c:pt idx="195">
                  <c:v>0.0737495252445418</c:v>
                </c:pt>
                <c:pt idx="196">
                  <c:v>0.21795830028777</c:v>
                </c:pt>
                <c:pt idx="197">
                  <c:v>0.496419021516622</c:v>
                </c:pt>
                <c:pt idx="198">
                  <c:v>0.107876651157692</c:v>
                </c:pt>
                <c:pt idx="199">
                  <c:v>0.234360332964283</c:v>
                </c:pt>
                <c:pt idx="200">
                  <c:v>0.391547517570252</c:v>
                </c:pt>
                <c:pt idx="201">
                  <c:v>0.111113355352783</c:v>
                </c:pt>
                <c:pt idx="202">
                  <c:v>0.793841839784449</c:v>
                </c:pt>
                <c:pt idx="203">
                  <c:v>0.253657169752789</c:v>
                </c:pt>
                <c:pt idx="204">
                  <c:v>0.140896096827677</c:v>
                </c:pt>
                <c:pt idx="205">
                  <c:v>0.363646206937233</c:v>
                </c:pt>
                <c:pt idx="206">
                  <c:v>0.0361953455482642</c:v>
                </c:pt>
                <c:pt idx="207">
                  <c:v>0.206726216974458</c:v>
                </c:pt>
                <c:pt idx="208">
                  <c:v>0.223783912863226</c:v>
                </c:pt>
                <c:pt idx="209">
                  <c:v>0.0760848671692521</c:v>
                </c:pt>
                <c:pt idx="210">
                  <c:v>0.647927940471729</c:v>
                </c:pt>
                <c:pt idx="211">
                  <c:v>0.392425006338911</c:v>
                </c:pt>
                <c:pt idx="212">
                  <c:v>0.209170053336756</c:v>
                </c:pt>
                <c:pt idx="213">
                  <c:v>0.210132956262262</c:v>
                </c:pt>
                <c:pt idx="214">
                  <c:v>0.231956256841371</c:v>
                </c:pt>
                <c:pt idx="215">
                  <c:v>0.14261312051873</c:v>
                </c:pt>
                <c:pt idx="216">
                  <c:v>0.7837698329981</c:v>
                </c:pt>
                <c:pt idx="217">
                  <c:v>0.147932930896256</c:v>
                </c:pt>
                <c:pt idx="218">
                  <c:v>0.0598039611580621</c:v>
                </c:pt>
                <c:pt idx="219">
                  <c:v>0.254337013817558</c:v>
                </c:pt>
                <c:pt idx="220">
                  <c:v>0.0973465793563146</c:v>
                </c:pt>
                <c:pt idx="221">
                  <c:v>0.420006837424124</c:v>
                </c:pt>
                <c:pt idx="222">
                  <c:v>0.209402738106913</c:v>
                </c:pt>
                <c:pt idx="223">
                  <c:v>0.299351053911791</c:v>
                </c:pt>
                <c:pt idx="224">
                  <c:v>0.719663438181574</c:v>
                </c:pt>
                <c:pt idx="225">
                  <c:v>0.258316503587176</c:v>
                </c:pt>
                <c:pt idx="226">
                  <c:v>0.347669206831996</c:v>
                </c:pt>
                <c:pt idx="227">
                  <c:v>0.0988767633889925</c:v>
                </c:pt>
                <c:pt idx="228">
                  <c:v>0.337344511751679</c:v>
                </c:pt>
                <c:pt idx="229">
                  <c:v>0.21883719126059</c:v>
                </c:pt>
                <c:pt idx="230">
                  <c:v>0.0849091453974086</c:v>
                </c:pt>
                <c:pt idx="231">
                  <c:v>0.167999588099524</c:v>
                </c:pt>
                <c:pt idx="232">
                  <c:v>0.14859078701801</c:v>
                </c:pt>
                <c:pt idx="233">
                  <c:v>0.178795528769802</c:v>
                </c:pt>
                <c:pt idx="234">
                  <c:v>0.101679476863422</c:v>
                </c:pt>
                <c:pt idx="235">
                  <c:v>0.117670719248033</c:v>
                </c:pt>
                <c:pt idx="236">
                  <c:v>0.701053804613915</c:v>
                </c:pt>
                <c:pt idx="237">
                  <c:v>0.0423861088490904</c:v>
                </c:pt>
                <c:pt idx="238">
                  <c:v>0.118249663599183</c:v>
                </c:pt>
                <c:pt idx="239">
                  <c:v>0.210488272526579</c:v>
                </c:pt>
                <c:pt idx="240">
                  <c:v>0.0292995855875406</c:v>
                </c:pt>
                <c:pt idx="241">
                  <c:v>0.384222290361676</c:v>
                </c:pt>
                <c:pt idx="242">
                  <c:v>0.190205502748318</c:v>
                </c:pt>
                <c:pt idx="243">
                  <c:v>0.183887417232585</c:v>
                </c:pt>
                <c:pt idx="244">
                  <c:v>0.946619431778476</c:v>
                </c:pt>
                <c:pt idx="245">
                  <c:v>0.0508268325474341</c:v>
                </c:pt>
                <c:pt idx="246">
                  <c:v>0.0918481282700397</c:v>
                </c:pt>
                <c:pt idx="247">
                  <c:v>0.804802054001896</c:v>
                </c:pt>
                <c:pt idx="248">
                  <c:v>0.0814213457514511</c:v>
                </c:pt>
                <c:pt idx="249">
                  <c:v>0.264394411442449</c:v>
                </c:pt>
                <c:pt idx="250">
                  <c:v>0.184170631929929</c:v>
                </c:pt>
                <c:pt idx="251">
                  <c:v>0.213098558341296</c:v>
                </c:pt>
                <c:pt idx="252">
                  <c:v>0.081472463183323</c:v>
                </c:pt>
                <c:pt idx="253">
                  <c:v>0.315529794026694</c:v>
                </c:pt>
                <c:pt idx="254">
                  <c:v>0.297746158284617</c:v>
                </c:pt>
                <c:pt idx="255">
                  <c:v>0.120624539216559</c:v>
                </c:pt>
                <c:pt idx="256">
                  <c:v>0.133264124295426</c:v>
                </c:pt>
                <c:pt idx="257">
                  <c:v>0.132748842613461</c:v>
                </c:pt>
                <c:pt idx="258">
                  <c:v>0.117024742187374</c:v>
                </c:pt>
                <c:pt idx="259">
                  <c:v>0.15678156088429</c:v>
                </c:pt>
                <c:pt idx="260">
                  <c:v>0.11849504454732</c:v>
                </c:pt>
                <c:pt idx="261">
                  <c:v>0.235936528555027</c:v>
                </c:pt>
                <c:pt idx="262">
                  <c:v>0.18728520867973</c:v>
                </c:pt>
                <c:pt idx="263">
                  <c:v>0.152591060746179</c:v>
                </c:pt>
                <c:pt idx="264">
                  <c:v>0.152468786807088</c:v>
                </c:pt>
                <c:pt idx="265">
                  <c:v>0.269924454733161</c:v>
                </c:pt>
                <c:pt idx="266">
                  <c:v>0.376507822710888</c:v>
                </c:pt>
                <c:pt idx="267">
                  <c:v>0.712956331312169</c:v>
                </c:pt>
                <c:pt idx="268">
                  <c:v>0.23701769469067</c:v>
                </c:pt>
                <c:pt idx="269">
                  <c:v>0.24547070262445</c:v>
                </c:pt>
                <c:pt idx="270">
                  <c:v>0.296095430809612</c:v>
                </c:pt>
                <c:pt idx="271">
                  <c:v>0.4851174469298</c:v>
                </c:pt>
                <c:pt idx="272">
                  <c:v>0.213715750549695</c:v>
                </c:pt>
                <c:pt idx="273">
                  <c:v>0.212730057148881</c:v>
                </c:pt>
                <c:pt idx="274">
                  <c:v>0.186352742570395</c:v>
                </c:pt>
                <c:pt idx="275">
                  <c:v>0.129898629552932</c:v>
                </c:pt>
                <c:pt idx="276">
                  <c:v>0.309637441700699</c:v>
                </c:pt>
                <c:pt idx="277">
                  <c:v>0.444232712231744</c:v>
                </c:pt>
                <c:pt idx="278">
                  <c:v>0.302290404344376</c:v>
                </c:pt>
                <c:pt idx="279">
                  <c:v>0.448687294011879</c:v>
                </c:pt>
                <c:pt idx="280">
                  <c:v>0.0780228539776292</c:v>
                </c:pt>
                <c:pt idx="281">
                  <c:v>0.243243161735619</c:v>
                </c:pt>
                <c:pt idx="282">
                  <c:v>0.363377154963117</c:v>
                </c:pt>
                <c:pt idx="283">
                  <c:v>0.267005655807053</c:v>
                </c:pt>
                <c:pt idx="284">
                  <c:v>0.508796930130505</c:v>
                </c:pt>
                <c:pt idx="285">
                  <c:v>0.28844416686996</c:v>
                </c:pt>
                <c:pt idx="286">
                  <c:v>0.243703570397117</c:v>
                </c:pt>
                <c:pt idx="287">
                  <c:v>0.754303955442224</c:v>
                </c:pt>
                <c:pt idx="288">
                  <c:v>0.398127417451887</c:v>
                </c:pt>
                <c:pt idx="289">
                  <c:v>0.339758953690819</c:v>
                </c:pt>
                <c:pt idx="290">
                  <c:v>0.175617021181518</c:v>
                </c:pt>
                <c:pt idx="291">
                  <c:v>0.705391390389611</c:v>
                </c:pt>
                <c:pt idx="292">
                  <c:v>0.521191512294096</c:v>
                </c:pt>
                <c:pt idx="293">
                  <c:v>0.302925874679061</c:v>
                </c:pt>
                <c:pt idx="294">
                  <c:v>0.706793558229043</c:v>
                </c:pt>
                <c:pt idx="295">
                  <c:v>0.11775110762121</c:v>
                </c:pt>
                <c:pt idx="296">
                  <c:v>0.226393715696583</c:v>
                </c:pt>
                <c:pt idx="297">
                  <c:v>0.229620589770148</c:v>
                </c:pt>
                <c:pt idx="298">
                  <c:v>0.200467726551024</c:v>
                </c:pt>
                <c:pt idx="299">
                  <c:v>0.118974694745502</c:v>
                </c:pt>
                <c:pt idx="300">
                  <c:v>0.165456299241461</c:v>
                </c:pt>
                <c:pt idx="301">
                  <c:v>0.135870770774606</c:v>
                </c:pt>
                <c:pt idx="302">
                  <c:v>0.406238163769389</c:v>
                </c:pt>
                <c:pt idx="303">
                  <c:v>0.184207421842598</c:v>
                </c:pt>
                <c:pt idx="304">
                  <c:v>0.166847814266126</c:v>
                </c:pt>
                <c:pt idx="305">
                  <c:v>0.0981507891839432</c:v>
                </c:pt>
                <c:pt idx="306">
                  <c:v>0.251550755862865</c:v>
                </c:pt>
                <c:pt idx="307">
                  <c:v>0.792186507210216</c:v>
                </c:pt>
                <c:pt idx="308">
                  <c:v>0.0857066989751897</c:v>
                </c:pt>
                <c:pt idx="309">
                  <c:v>0.0947391120633172</c:v>
                </c:pt>
                <c:pt idx="310">
                  <c:v>0.228242204721729</c:v>
                </c:pt>
                <c:pt idx="311">
                  <c:v>0.0537156664773054</c:v>
                </c:pt>
                <c:pt idx="312">
                  <c:v>0.210579154220034</c:v>
                </c:pt>
                <c:pt idx="313">
                  <c:v>0.453335120149461</c:v>
                </c:pt>
                <c:pt idx="314">
                  <c:v>0.0361445071038103</c:v>
                </c:pt>
                <c:pt idx="315">
                  <c:v>0.325090043254325</c:v>
                </c:pt>
                <c:pt idx="316">
                  <c:v>0.370301125401923</c:v>
                </c:pt>
                <c:pt idx="317">
                  <c:v>0.436997435266284</c:v>
                </c:pt>
                <c:pt idx="318">
                  <c:v>0.107066001451443</c:v>
                </c:pt>
                <c:pt idx="319">
                  <c:v>0.1149600623066</c:v>
                </c:pt>
                <c:pt idx="320">
                  <c:v>0.383725517545961</c:v>
                </c:pt>
                <c:pt idx="321">
                  <c:v>0.370857489471872</c:v>
                </c:pt>
                <c:pt idx="322">
                  <c:v>0.118907384593408</c:v>
                </c:pt>
                <c:pt idx="323">
                  <c:v>0.151517942696459</c:v>
                </c:pt>
                <c:pt idx="324">
                  <c:v>0.284903794750593</c:v>
                </c:pt>
                <c:pt idx="325">
                  <c:v>0.466142094318582</c:v>
                </c:pt>
                <c:pt idx="326">
                  <c:v>0.214237880284196</c:v>
                </c:pt>
                <c:pt idx="327">
                  <c:v>0.185910658101302</c:v>
                </c:pt>
                <c:pt idx="328">
                  <c:v>0.0320692969950805</c:v>
                </c:pt>
                <c:pt idx="329">
                  <c:v>0.410314204862439</c:v>
                </c:pt>
                <c:pt idx="330">
                  <c:v>0.277169481519549</c:v>
                </c:pt>
                <c:pt idx="331">
                  <c:v>0.507472966619907</c:v>
                </c:pt>
                <c:pt idx="332">
                  <c:v>0.440392706718877</c:v>
                </c:pt>
                <c:pt idx="333">
                  <c:v>0.315172559720019</c:v>
                </c:pt>
                <c:pt idx="334">
                  <c:v>0.235239112771892</c:v>
                </c:pt>
                <c:pt idx="335">
                  <c:v>0.109800117052672</c:v>
                </c:pt>
                <c:pt idx="336">
                  <c:v>0.17752868882433</c:v>
                </c:pt>
                <c:pt idx="337">
                  <c:v>0.17563728451677</c:v>
                </c:pt>
                <c:pt idx="338">
                  <c:v>0.362437038547629</c:v>
                </c:pt>
                <c:pt idx="339">
                  <c:v>0.31717606411934</c:v>
                </c:pt>
                <c:pt idx="340">
                  <c:v>0.237646523048713</c:v>
                </c:pt>
                <c:pt idx="341">
                  <c:v>0.434738162698664</c:v>
                </c:pt>
                <c:pt idx="342">
                  <c:v>0.467864717466617</c:v>
                </c:pt>
                <c:pt idx="343">
                  <c:v>0.122047292714577</c:v>
                </c:pt>
                <c:pt idx="344">
                  <c:v>0.184109605513263</c:v>
                </c:pt>
                <c:pt idx="345">
                  <c:v>0.752429636303537</c:v>
                </c:pt>
                <c:pt idx="346">
                  <c:v>0.391271838578329</c:v>
                </c:pt>
                <c:pt idx="347">
                  <c:v>0.343272136497561</c:v>
                </c:pt>
                <c:pt idx="348">
                  <c:v>0.240473003093308</c:v>
                </c:pt>
                <c:pt idx="349">
                  <c:v>0.363303625825809</c:v>
                </c:pt>
                <c:pt idx="350">
                  <c:v>0.707960450286972</c:v>
                </c:pt>
                <c:pt idx="351">
                  <c:v>0.505275215724497</c:v>
                </c:pt>
                <c:pt idx="352">
                  <c:v>0.533093605444508</c:v>
                </c:pt>
                <c:pt idx="353">
                  <c:v>0.453487991102212</c:v>
                </c:pt>
                <c:pt idx="354">
                  <c:v>0.594971742581849</c:v>
                </c:pt>
                <c:pt idx="355">
                  <c:v>0.309227107814158</c:v>
                </c:pt>
                <c:pt idx="356">
                  <c:v>0.151846155629758</c:v>
                </c:pt>
                <c:pt idx="357">
                  <c:v>0.225838541898687</c:v>
                </c:pt>
                <c:pt idx="358">
                  <c:v>0.0991368679792011</c:v>
                </c:pt>
                <c:pt idx="359">
                  <c:v>0.163156897386358</c:v>
                </c:pt>
                <c:pt idx="360">
                  <c:v>0.301211866437911</c:v>
                </c:pt>
                <c:pt idx="361">
                  <c:v>0.322335054115352</c:v>
                </c:pt>
                <c:pt idx="362">
                  <c:v>0.0704500998314087</c:v>
                </c:pt>
                <c:pt idx="363">
                  <c:v>0.156493858832276</c:v>
                </c:pt>
                <c:pt idx="364">
                  <c:v>0.11254525379205</c:v>
                </c:pt>
                <c:pt idx="365">
                  <c:v>0.164675900366766</c:v>
                </c:pt>
                <c:pt idx="366">
                  <c:v>0.156738119904476</c:v>
                </c:pt>
                <c:pt idx="367">
                  <c:v>0.0865492895395875</c:v>
                </c:pt>
                <c:pt idx="368">
                  <c:v>0.719993005822103</c:v>
                </c:pt>
                <c:pt idx="369">
                  <c:v>0.344714478084969</c:v>
                </c:pt>
                <c:pt idx="370">
                  <c:v>0.0659151657564949</c:v>
                </c:pt>
                <c:pt idx="371">
                  <c:v>0.205280438400717</c:v>
                </c:pt>
                <c:pt idx="372">
                  <c:v>0.310532864000295</c:v>
                </c:pt>
                <c:pt idx="373">
                  <c:v>0.0605573763877516</c:v>
                </c:pt>
                <c:pt idx="374">
                  <c:v>0.329482447053992</c:v>
                </c:pt>
                <c:pt idx="375">
                  <c:v>0.135749539798281</c:v>
                </c:pt>
                <c:pt idx="376">
                  <c:v>0.260825831382518</c:v>
                </c:pt>
                <c:pt idx="377">
                  <c:v>0.355005996714539</c:v>
                </c:pt>
                <c:pt idx="378">
                  <c:v>0.214311587207105</c:v>
                </c:pt>
                <c:pt idx="379">
                  <c:v>0.14628246046859</c:v>
                </c:pt>
                <c:pt idx="380">
                  <c:v>0.665733760681792</c:v>
                </c:pt>
                <c:pt idx="381">
                  <c:v>0.171308940609774</c:v>
                </c:pt>
                <c:pt idx="382">
                  <c:v>0.0896263816285673</c:v>
                </c:pt>
                <c:pt idx="383">
                  <c:v>0.285186685153067</c:v>
                </c:pt>
                <c:pt idx="384">
                  <c:v>0.264272342532574</c:v>
                </c:pt>
                <c:pt idx="385">
                  <c:v>0.103445461948743</c:v>
                </c:pt>
                <c:pt idx="386">
                  <c:v>0.154399217446304</c:v>
                </c:pt>
                <c:pt idx="387">
                  <c:v>0.0420999237773125</c:v>
                </c:pt>
                <c:pt idx="388">
                  <c:v>0.485971106394321</c:v>
                </c:pt>
                <c:pt idx="389">
                  <c:v>0.613580448769282</c:v>
                </c:pt>
                <c:pt idx="390">
                  <c:v>0.413768055977828</c:v>
                </c:pt>
                <c:pt idx="391">
                  <c:v>0.299672571638629</c:v>
                </c:pt>
                <c:pt idx="392">
                  <c:v>0.708293136375168</c:v>
                </c:pt>
                <c:pt idx="393">
                  <c:v>0.0767172580542854</c:v>
                </c:pt>
                <c:pt idx="394">
                  <c:v>0.201221427064804</c:v>
                </c:pt>
                <c:pt idx="395">
                  <c:v>0.126744895639028</c:v>
                </c:pt>
                <c:pt idx="396">
                  <c:v>0.574234958116469</c:v>
                </c:pt>
                <c:pt idx="397">
                  <c:v>0.202699369760377</c:v>
                </c:pt>
                <c:pt idx="398">
                  <c:v>0.327990124568961</c:v>
                </c:pt>
                <c:pt idx="399">
                  <c:v>0.512756014202969</c:v>
                </c:pt>
                <c:pt idx="400">
                  <c:v>0.359222091130056</c:v>
                </c:pt>
                <c:pt idx="401">
                  <c:v>0.2956134966379</c:v>
                </c:pt>
                <c:pt idx="402">
                  <c:v>0.0804503280085711</c:v>
                </c:pt>
                <c:pt idx="403">
                  <c:v>0.418381229061365</c:v>
                </c:pt>
                <c:pt idx="404">
                  <c:v>0.244827893663216</c:v>
                </c:pt>
                <c:pt idx="405">
                  <c:v>0.329611710501533</c:v>
                </c:pt>
                <c:pt idx="406">
                  <c:v>0.147433496554401</c:v>
                </c:pt>
                <c:pt idx="407">
                  <c:v>0.0325984843834821</c:v>
                </c:pt>
                <c:pt idx="408">
                  <c:v>0.274722785678952</c:v>
                </c:pt>
                <c:pt idx="409">
                  <c:v>0.182549453107086</c:v>
                </c:pt>
                <c:pt idx="410">
                  <c:v>0.659149291001103</c:v>
                </c:pt>
                <c:pt idx="411">
                  <c:v>0.404475625775166</c:v>
                </c:pt>
                <c:pt idx="412">
                  <c:v>0.359730082883408</c:v>
                </c:pt>
                <c:pt idx="413">
                  <c:v>0.701771036470009</c:v>
                </c:pt>
                <c:pt idx="414">
                  <c:v>0.389390007543131</c:v>
                </c:pt>
                <c:pt idx="415">
                  <c:v>0.199666348436063</c:v>
                </c:pt>
                <c:pt idx="416">
                  <c:v>0.466964746824948</c:v>
                </c:pt>
                <c:pt idx="417">
                  <c:v>0.592600808350366</c:v>
                </c:pt>
                <c:pt idx="418">
                  <c:v>0.301858246469853</c:v>
                </c:pt>
                <c:pt idx="419">
                  <c:v>0.118616277922646</c:v>
                </c:pt>
                <c:pt idx="420">
                  <c:v>0.379102221667589</c:v>
                </c:pt>
                <c:pt idx="421">
                  <c:v>0.163187794012314</c:v>
                </c:pt>
                <c:pt idx="422">
                  <c:v>0.164399763068863</c:v>
                </c:pt>
                <c:pt idx="423">
                  <c:v>0.128396971276971</c:v>
                </c:pt>
                <c:pt idx="424">
                  <c:v>0.393632464886707</c:v>
                </c:pt>
                <c:pt idx="425">
                  <c:v>0.144258069181538</c:v>
                </c:pt>
                <c:pt idx="426">
                  <c:v>0.228555581618104</c:v>
                </c:pt>
                <c:pt idx="427">
                  <c:v>0.180598718696932</c:v>
                </c:pt>
                <c:pt idx="428">
                  <c:v>0.422314482512434</c:v>
                </c:pt>
                <c:pt idx="429">
                  <c:v>0.132492968875085</c:v>
                </c:pt>
                <c:pt idx="430">
                  <c:v>0.413851019492412</c:v>
                </c:pt>
                <c:pt idx="431">
                  <c:v>0.0284495257981251</c:v>
                </c:pt>
                <c:pt idx="432">
                  <c:v>0</c:v>
                </c:pt>
                <c:pt idx="433">
                  <c:v>0.607011316799892</c:v>
                </c:pt>
                <c:pt idx="434">
                  <c:v>0.37674336592506</c:v>
                </c:pt>
                <c:pt idx="435">
                  <c:v>0.190354035670658</c:v>
                </c:pt>
                <c:pt idx="436">
                  <c:v>0.432394315628291</c:v>
                </c:pt>
                <c:pt idx="437">
                  <c:v>0.308643877717541</c:v>
                </c:pt>
                <c:pt idx="438">
                  <c:v>0.0511400899460065</c:v>
                </c:pt>
                <c:pt idx="439">
                  <c:v>0.246086479166277</c:v>
                </c:pt>
                <c:pt idx="440">
                  <c:v>0.250091698847518</c:v>
                </c:pt>
                <c:pt idx="441">
                  <c:v>0.412404039261866</c:v>
                </c:pt>
                <c:pt idx="442">
                  <c:v>0.225652894292574</c:v>
                </c:pt>
                <c:pt idx="443">
                  <c:v>0.173635073997516</c:v>
                </c:pt>
                <c:pt idx="444">
                  <c:v>0.331246721801697</c:v>
                </c:pt>
                <c:pt idx="445">
                  <c:v>0.228086261033371</c:v>
                </c:pt>
                <c:pt idx="446">
                  <c:v>0.0391219242230073</c:v>
                </c:pt>
                <c:pt idx="447">
                  <c:v>0.0798121354897508</c:v>
                </c:pt>
                <c:pt idx="448">
                  <c:v>0.308037274522233</c:v>
                </c:pt>
                <c:pt idx="449">
                  <c:v>0.261937101178003</c:v>
                </c:pt>
                <c:pt idx="450">
                  <c:v>0.655371965767517</c:v>
                </c:pt>
                <c:pt idx="451">
                  <c:v>0.144935653276591</c:v>
                </c:pt>
                <c:pt idx="452">
                  <c:v>0.16148453385631</c:v>
                </c:pt>
                <c:pt idx="453">
                  <c:v>0.791611103074821</c:v>
                </c:pt>
                <c:pt idx="454">
                  <c:v>0.0813934584997968</c:v>
                </c:pt>
                <c:pt idx="455">
                  <c:v>0.352296899778929</c:v>
                </c:pt>
                <c:pt idx="456">
                  <c:v>0.230750416866889</c:v>
                </c:pt>
                <c:pt idx="457">
                  <c:v>0.265723583755265</c:v>
                </c:pt>
                <c:pt idx="458">
                  <c:v>0.101221894837819</c:v>
                </c:pt>
                <c:pt idx="459">
                  <c:v>0.0736120578142941</c:v>
                </c:pt>
                <c:pt idx="460">
                  <c:v>0.263197659662578</c:v>
                </c:pt>
                <c:pt idx="461">
                  <c:v>0.812644949385762</c:v>
                </c:pt>
                <c:pt idx="462">
                  <c:v>0.488853113568987</c:v>
                </c:pt>
                <c:pt idx="463">
                  <c:v>0.19136871429618</c:v>
                </c:pt>
                <c:pt idx="464">
                  <c:v>0.716232628659101</c:v>
                </c:pt>
                <c:pt idx="465">
                  <c:v>0.530838735962085</c:v>
                </c:pt>
                <c:pt idx="466">
                  <c:v>0.0823290407954489</c:v>
                </c:pt>
                <c:pt idx="467">
                  <c:v>0.0865493143282148</c:v>
                </c:pt>
                <c:pt idx="468">
                  <c:v>0.146171248670836</c:v>
                </c:pt>
                <c:pt idx="469">
                  <c:v>0.696911922722352</c:v>
                </c:pt>
                <c:pt idx="470">
                  <c:v>0.0919348123971716</c:v>
                </c:pt>
                <c:pt idx="471">
                  <c:v>0.279470673591822</c:v>
                </c:pt>
                <c:pt idx="472">
                  <c:v>0.675859903718446</c:v>
                </c:pt>
                <c:pt idx="473">
                  <c:v>0.232362433394548</c:v>
                </c:pt>
                <c:pt idx="474">
                  <c:v>0.779260534749294</c:v>
                </c:pt>
                <c:pt idx="475">
                  <c:v>0.202942544510517</c:v>
                </c:pt>
                <c:pt idx="476">
                  <c:v>0.700719254132768</c:v>
                </c:pt>
                <c:pt idx="477">
                  <c:v>0.283420972212449</c:v>
                </c:pt>
                <c:pt idx="478">
                  <c:v>0.0546529407086263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C1_XbarR_s1!L15</c:f>
              <c:strCache>
                <c:ptCount val="1"/>
                <c:pt idx="0">
                  <c:v>R-bar</c:v>
                </c:pt>
              </c:strCache>
            </c:strRef>
          </c:tx>
          <c:spPr>
            <a:solidFill>
              <a:srgbClr val="2a9d8f"/>
            </a:solidFill>
            <a:ln w="1512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C1_XbarR_s1!$L$16:$L$494</c:f>
              <c:numCache>
                <c:formatCode>0.0%</c:formatCode>
                <c:ptCount val="479"/>
                <c:pt idx="0">
                  <c:v>0.279917629215756</c:v>
                </c:pt>
                <c:pt idx="1">
                  <c:v>0.279917629215756</c:v>
                </c:pt>
                <c:pt idx="2">
                  <c:v>0.279917629215756</c:v>
                </c:pt>
                <c:pt idx="3">
                  <c:v>0.279917629215756</c:v>
                </c:pt>
                <c:pt idx="4">
                  <c:v>0.279917629215756</c:v>
                </c:pt>
                <c:pt idx="5">
                  <c:v>0.279917629215756</c:v>
                </c:pt>
                <c:pt idx="6">
                  <c:v>0.279917629215756</c:v>
                </c:pt>
                <c:pt idx="7">
                  <c:v>0.279917629215756</c:v>
                </c:pt>
                <c:pt idx="8">
                  <c:v>0.279917629215756</c:v>
                </c:pt>
                <c:pt idx="9">
                  <c:v>0.279917629215756</c:v>
                </c:pt>
                <c:pt idx="10">
                  <c:v>0.279917629215756</c:v>
                </c:pt>
                <c:pt idx="11">
                  <c:v>0.279917629215756</c:v>
                </c:pt>
                <c:pt idx="12">
                  <c:v>0.279917629215756</c:v>
                </c:pt>
                <c:pt idx="13">
                  <c:v>0.279917629215756</c:v>
                </c:pt>
                <c:pt idx="14">
                  <c:v>0.279917629215756</c:v>
                </c:pt>
                <c:pt idx="15">
                  <c:v>0.279917629215756</c:v>
                </c:pt>
                <c:pt idx="16">
                  <c:v>0.279917629215756</c:v>
                </c:pt>
                <c:pt idx="17">
                  <c:v>0.279917629215756</c:v>
                </c:pt>
                <c:pt idx="18">
                  <c:v>0.279917629215756</c:v>
                </c:pt>
                <c:pt idx="19">
                  <c:v>0.279917629215756</c:v>
                </c:pt>
                <c:pt idx="20">
                  <c:v>0.279917629215756</c:v>
                </c:pt>
                <c:pt idx="21">
                  <c:v>0.279917629215756</c:v>
                </c:pt>
                <c:pt idx="22">
                  <c:v>0.279917629215756</c:v>
                </c:pt>
                <c:pt idx="23">
                  <c:v>0.279917629215756</c:v>
                </c:pt>
                <c:pt idx="24">
                  <c:v>0.279917629215756</c:v>
                </c:pt>
                <c:pt idx="25">
                  <c:v>0.279917629215756</c:v>
                </c:pt>
                <c:pt idx="26">
                  <c:v>0.279917629215756</c:v>
                </c:pt>
                <c:pt idx="27">
                  <c:v>0.279917629215756</c:v>
                </c:pt>
                <c:pt idx="28">
                  <c:v>0.279917629215756</c:v>
                </c:pt>
                <c:pt idx="29">
                  <c:v>0.279917629215756</c:v>
                </c:pt>
                <c:pt idx="30">
                  <c:v>0.279917629215756</c:v>
                </c:pt>
                <c:pt idx="31">
                  <c:v>0.279917629215756</c:v>
                </c:pt>
                <c:pt idx="32">
                  <c:v>0.279917629215756</c:v>
                </c:pt>
                <c:pt idx="33">
                  <c:v>0.279917629215756</c:v>
                </c:pt>
                <c:pt idx="34">
                  <c:v>0.279917629215756</c:v>
                </c:pt>
                <c:pt idx="35">
                  <c:v>0.279917629215756</c:v>
                </c:pt>
                <c:pt idx="36">
                  <c:v>0.279917629215756</c:v>
                </c:pt>
                <c:pt idx="37">
                  <c:v>0.279917629215756</c:v>
                </c:pt>
                <c:pt idx="38">
                  <c:v>0.279917629215756</c:v>
                </c:pt>
                <c:pt idx="39">
                  <c:v>0.279917629215756</c:v>
                </c:pt>
                <c:pt idx="40">
                  <c:v>0.279917629215756</c:v>
                </c:pt>
                <c:pt idx="41">
                  <c:v>0.279917629215756</c:v>
                </c:pt>
                <c:pt idx="42">
                  <c:v>0.279917629215756</c:v>
                </c:pt>
                <c:pt idx="43">
                  <c:v>0.279917629215756</c:v>
                </c:pt>
                <c:pt idx="44">
                  <c:v>0.279917629215756</c:v>
                </c:pt>
                <c:pt idx="45">
                  <c:v>0.279917629215756</c:v>
                </c:pt>
                <c:pt idx="46">
                  <c:v>0.279917629215756</c:v>
                </c:pt>
                <c:pt idx="47">
                  <c:v>0.279917629215756</c:v>
                </c:pt>
                <c:pt idx="48">
                  <c:v>0.279917629215756</c:v>
                </c:pt>
                <c:pt idx="49">
                  <c:v>0.279917629215756</c:v>
                </c:pt>
                <c:pt idx="50">
                  <c:v>0.279917629215756</c:v>
                </c:pt>
                <c:pt idx="51">
                  <c:v>0.279917629215756</c:v>
                </c:pt>
                <c:pt idx="52">
                  <c:v>0.279917629215756</c:v>
                </c:pt>
                <c:pt idx="53">
                  <c:v>0.279917629215756</c:v>
                </c:pt>
                <c:pt idx="54">
                  <c:v>0.279917629215756</c:v>
                </c:pt>
                <c:pt idx="55">
                  <c:v>0.279917629215756</c:v>
                </c:pt>
                <c:pt idx="56">
                  <c:v>0.279917629215756</c:v>
                </c:pt>
                <c:pt idx="57">
                  <c:v>0.279917629215756</c:v>
                </c:pt>
                <c:pt idx="58">
                  <c:v>0.279917629215756</c:v>
                </c:pt>
                <c:pt idx="59">
                  <c:v>0.279917629215756</c:v>
                </c:pt>
                <c:pt idx="60">
                  <c:v>0.279917629215756</c:v>
                </c:pt>
                <c:pt idx="61">
                  <c:v>0.279917629215756</c:v>
                </c:pt>
                <c:pt idx="62">
                  <c:v>0.279917629215756</c:v>
                </c:pt>
                <c:pt idx="63">
                  <c:v>0.279917629215756</c:v>
                </c:pt>
                <c:pt idx="64">
                  <c:v>0.279917629215756</c:v>
                </c:pt>
                <c:pt idx="65">
                  <c:v>0.279917629215756</c:v>
                </c:pt>
                <c:pt idx="66">
                  <c:v>0.279917629215756</c:v>
                </c:pt>
                <c:pt idx="67">
                  <c:v>0.279917629215756</c:v>
                </c:pt>
                <c:pt idx="68">
                  <c:v>0.279917629215756</c:v>
                </c:pt>
                <c:pt idx="69">
                  <c:v>0.279917629215756</c:v>
                </c:pt>
                <c:pt idx="70">
                  <c:v>0.279917629215756</c:v>
                </c:pt>
                <c:pt idx="71">
                  <c:v>0.279917629215756</c:v>
                </c:pt>
                <c:pt idx="72">
                  <c:v>0.279917629215756</c:v>
                </c:pt>
                <c:pt idx="73">
                  <c:v>0.279917629215756</c:v>
                </c:pt>
                <c:pt idx="74">
                  <c:v>0.279917629215756</c:v>
                </c:pt>
                <c:pt idx="75">
                  <c:v>0.279917629215756</c:v>
                </c:pt>
                <c:pt idx="76">
                  <c:v>0.279917629215756</c:v>
                </c:pt>
                <c:pt idx="77">
                  <c:v>0.279917629215756</c:v>
                </c:pt>
                <c:pt idx="78">
                  <c:v>0.279917629215756</c:v>
                </c:pt>
                <c:pt idx="79">
                  <c:v>0.279917629215756</c:v>
                </c:pt>
                <c:pt idx="80">
                  <c:v>0.279917629215756</c:v>
                </c:pt>
                <c:pt idx="81">
                  <c:v>0.279917629215756</c:v>
                </c:pt>
                <c:pt idx="82">
                  <c:v>0.279917629215756</c:v>
                </c:pt>
                <c:pt idx="83">
                  <c:v>0.279917629215756</c:v>
                </c:pt>
                <c:pt idx="84">
                  <c:v>0.279917629215756</c:v>
                </c:pt>
                <c:pt idx="85">
                  <c:v>0.279917629215756</c:v>
                </c:pt>
                <c:pt idx="86">
                  <c:v>0.279917629215756</c:v>
                </c:pt>
                <c:pt idx="87">
                  <c:v>0.279917629215756</c:v>
                </c:pt>
                <c:pt idx="88">
                  <c:v>0.279917629215756</c:v>
                </c:pt>
                <c:pt idx="89">
                  <c:v>0.279917629215756</c:v>
                </c:pt>
                <c:pt idx="90">
                  <c:v>0.279917629215756</c:v>
                </c:pt>
                <c:pt idx="91">
                  <c:v>0.279917629215756</c:v>
                </c:pt>
                <c:pt idx="92">
                  <c:v>0.279917629215756</c:v>
                </c:pt>
                <c:pt idx="93">
                  <c:v>0.279917629215756</c:v>
                </c:pt>
                <c:pt idx="94">
                  <c:v>0.279917629215756</c:v>
                </c:pt>
                <c:pt idx="95">
                  <c:v>0.279917629215756</c:v>
                </c:pt>
                <c:pt idx="96">
                  <c:v>0.279917629215756</c:v>
                </c:pt>
                <c:pt idx="97">
                  <c:v>0.279917629215756</c:v>
                </c:pt>
                <c:pt idx="98">
                  <c:v>0.279917629215756</c:v>
                </c:pt>
                <c:pt idx="99">
                  <c:v>0.279917629215756</c:v>
                </c:pt>
                <c:pt idx="100">
                  <c:v>0.279917629215756</c:v>
                </c:pt>
                <c:pt idx="101">
                  <c:v>0.279917629215756</c:v>
                </c:pt>
                <c:pt idx="102">
                  <c:v>0.279917629215756</c:v>
                </c:pt>
                <c:pt idx="103">
                  <c:v>0.279917629215756</c:v>
                </c:pt>
                <c:pt idx="104">
                  <c:v>0.279917629215756</c:v>
                </c:pt>
                <c:pt idx="105">
                  <c:v>0.279917629215756</c:v>
                </c:pt>
                <c:pt idx="106">
                  <c:v>0.279917629215756</c:v>
                </c:pt>
                <c:pt idx="107">
                  <c:v>0.279917629215756</c:v>
                </c:pt>
                <c:pt idx="108">
                  <c:v>0.279917629215756</c:v>
                </c:pt>
                <c:pt idx="109">
                  <c:v>0.279917629215756</c:v>
                </c:pt>
                <c:pt idx="110">
                  <c:v>0.279917629215756</c:v>
                </c:pt>
                <c:pt idx="111">
                  <c:v>0.279917629215756</c:v>
                </c:pt>
                <c:pt idx="112">
                  <c:v>0.279917629215756</c:v>
                </c:pt>
                <c:pt idx="113">
                  <c:v>0.279917629215756</c:v>
                </c:pt>
                <c:pt idx="114">
                  <c:v>0.279917629215756</c:v>
                </c:pt>
                <c:pt idx="115">
                  <c:v>0.279917629215756</c:v>
                </c:pt>
                <c:pt idx="116">
                  <c:v>0.279917629215756</c:v>
                </c:pt>
                <c:pt idx="117">
                  <c:v>0.279917629215756</c:v>
                </c:pt>
                <c:pt idx="118">
                  <c:v>0.279917629215756</c:v>
                </c:pt>
                <c:pt idx="119">
                  <c:v>0.279917629215756</c:v>
                </c:pt>
                <c:pt idx="120">
                  <c:v>0.279917629215756</c:v>
                </c:pt>
                <c:pt idx="121">
                  <c:v>0.279917629215756</c:v>
                </c:pt>
                <c:pt idx="122">
                  <c:v>0.279917629215756</c:v>
                </c:pt>
                <c:pt idx="123">
                  <c:v>0.279917629215756</c:v>
                </c:pt>
                <c:pt idx="124">
                  <c:v>0.279917629215756</c:v>
                </c:pt>
                <c:pt idx="125">
                  <c:v>0.279917629215756</c:v>
                </c:pt>
                <c:pt idx="126">
                  <c:v>0.279917629215756</c:v>
                </c:pt>
                <c:pt idx="127">
                  <c:v>0.279917629215756</c:v>
                </c:pt>
                <c:pt idx="128">
                  <c:v>0.279917629215756</c:v>
                </c:pt>
                <c:pt idx="129">
                  <c:v>0.279917629215756</c:v>
                </c:pt>
                <c:pt idx="130">
                  <c:v>0.279917629215756</c:v>
                </c:pt>
                <c:pt idx="131">
                  <c:v>0.279917629215756</c:v>
                </c:pt>
                <c:pt idx="132">
                  <c:v>0.279917629215756</c:v>
                </c:pt>
                <c:pt idx="133">
                  <c:v>0.279917629215756</c:v>
                </c:pt>
                <c:pt idx="134">
                  <c:v>0.279917629215756</c:v>
                </c:pt>
                <c:pt idx="135">
                  <c:v>0.279917629215756</c:v>
                </c:pt>
                <c:pt idx="136">
                  <c:v>0.279917629215756</c:v>
                </c:pt>
                <c:pt idx="137">
                  <c:v>0.279917629215756</c:v>
                </c:pt>
                <c:pt idx="138">
                  <c:v>0.279917629215756</c:v>
                </c:pt>
                <c:pt idx="139">
                  <c:v>0.279917629215756</c:v>
                </c:pt>
                <c:pt idx="140">
                  <c:v>0.279917629215756</c:v>
                </c:pt>
                <c:pt idx="141">
                  <c:v>0.279917629215756</c:v>
                </c:pt>
                <c:pt idx="142">
                  <c:v>0.279917629215756</c:v>
                </c:pt>
                <c:pt idx="143">
                  <c:v>0.279917629215756</c:v>
                </c:pt>
                <c:pt idx="144">
                  <c:v>0.279917629215756</c:v>
                </c:pt>
                <c:pt idx="145">
                  <c:v>0.279917629215756</c:v>
                </c:pt>
                <c:pt idx="146">
                  <c:v>0.279917629215756</c:v>
                </c:pt>
                <c:pt idx="147">
                  <c:v>0.279917629215756</c:v>
                </c:pt>
                <c:pt idx="148">
                  <c:v>0.279917629215756</c:v>
                </c:pt>
                <c:pt idx="149">
                  <c:v>0.279917629215756</c:v>
                </c:pt>
                <c:pt idx="150">
                  <c:v>0.279917629215756</c:v>
                </c:pt>
                <c:pt idx="151">
                  <c:v>0.279917629215756</c:v>
                </c:pt>
                <c:pt idx="152">
                  <c:v>0.279917629215756</c:v>
                </c:pt>
                <c:pt idx="153">
                  <c:v>0.279917629215756</c:v>
                </c:pt>
                <c:pt idx="154">
                  <c:v>0.279917629215756</c:v>
                </c:pt>
                <c:pt idx="155">
                  <c:v>0.279917629215756</c:v>
                </c:pt>
                <c:pt idx="156">
                  <c:v>0.279917629215756</c:v>
                </c:pt>
                <c:pt idx="157">
                  <c:v>0.279917629215756</c:v>
                </c:pt>
                <c:pt idx="158">
                  <c:v>0.279917629215756</c:v>
                </c:pt>
                <c:pt idx="159">
                  <c:v>0.279917629215756</c:v>
                </c:pt>
                <c:pt idx="160">
                  <c:v>0.279917629215756</c:v>
                </c:pt>
                <c:pt idx="161">
                  <c:v>0.279917629215756</c:v>
                </c:pt>
                <c:pt idx="162">
                  <c:v>0.279917629215756</c:v>
                </c:pt>
                <c:pt idx="163">
                  <c:v>0.279917629215756</c:v>
                </c:pt>
                <c:pt idx="164">
                  <c:v>0.279917629215756</c:v>
                </c:pt>
                <c:pt idx="165">
                  <c:v>0.279917629215756</c:v>
                </c:pt>
                <c:pt idx="166">
                  <c:v>0.279917629215756</c:v>
                </c:pt>
                <c:pt idx="167">
                  <c:v>0.279917629215756</c:v>
                </c:pt>
                <c:pt idx="168">
                  <c:v>0.279917629215756</c:v>
                </c:pt>
                <c:pt idx="169">
                  <c:v>0.279917629215756</c:v>
                </c:pt>
                <c:pt idx="170">
                  <c:v>0.279917629215756</c:v>
                </c:pt>
                <c:pt idx="171">
                  <c:v>0.279917629215756</c:v>
                </c:pt>
                <c:pt idx="172">
                  <c:v>0.279917629215756</c:v>
                </c:pt>
                <c:pt idx="173">
                  <c:v>0.279917629215756</c:v>
                </c:pt>
                <c:pt idx="174">
                  <c:v>0.279917629215756</c:v>
                </c:pt>
                <c:pt idx="175">
                  <c:v>0.279917629215756</c:v>
                </c:pt>
                <c:pt idx="176">
                  <c:v>0.279917629215756</c:v>
                </c:pt>
                <c:pt idx="177">
                  <c:v>0.279917629215756</c:v>
                </c:pt>
                <c:pt idx="178">
                  <c:v>0.279917629215756</c:v>
                </c:pt>
                <c:pt idx="179">
                  <c:v>0.279917629215756</c:v>
                </c:pt>
                <c:pt idx="180">
                  <c:v>0.279917629215756</c:v>
                </c:pt>
                <c:pt idx="181">
                  <c:v>0.279917629215756</c:v>
                </c:pt>
                <c:pt idx="182">
                  <c:v>0.279917629215756</c:v>
                </c:pt>
                <c:pt idx="183">
                  <c:v>0.279917629215756</c:v>
                </c:pt>
                <c:pt idx="184">
                  <c:v>0.279917629215756</c:v>
                </c:pt>
                <c:pt idx="185">
                  <c:v>0.279917629215756</c:v>
                </c:pt>
                <c:pt idx="186">
                  <c:v>0.279917629215756</c:v>
                </c:pt>
                <c:pt idx="187">
                  <c:v>0.279917629215756</c:v>
                </c:pt>
                <c:pt idx="188">
                  <c:v>0.279917629215756</c:v>
                </c:pt>
                <c:pt idx="189">
                  <c:v>0.279917629215756</c:v>
                </c:pt>
                <c:pt idx="190">
                  <c:v>0.279917629215756</c:v>
                </c:pt>
                <c:pt idx="191">
                  <c:v>0.279917629215756</c:v>
                </c:pt>
                <c:pt idx="192">
                  <c:v>0.279917629215756</c:v>
                </c:pt>
                <c:pt idx="193">
                  <c:v>0.279917629215756</c:v>
                </c:pt>
                <c:pt idx="194">
                  <c:v>0.279917629215756</c:v>
                </c:pt>
                <c:pt idx="195">
                  <c:v>0.279917629215756</c:v>
                </c:pt>
                <c:pt idx="196">
                  <c:v>0.279917629215756</c:v>
                </c:pt>
                <c:pt idx="197">
                  <c:v>0.279917629215756</c:v>
                </c:pt>
                <c:pt idx="198">
                  <c:v>0.279917629215756</c:v>
                </c:pt>
                <c:pt idx="199">
                  <c:v>0.279917629215756</c:v>
                </c:pt>
                <c:pt idx="200">
                  <c:v>0.279917629215756</c:v>
                </c:pt>
                <c:pt idx="201">
                  <c:v>0.279917629215756</c:v>
                </c:pt>
                <c:pt idx="202">
                  <c:v>0.279917629215756</c:v>
                </c:pt>
                <c:pt idx="203">
                  <c:v>0.279917629215756</c:v>
                </c:pt>
                <c:pt idx="204">
                  <c:v>0.279917629215756</c:v>
                </c:pt>
                <c:pt idx="205">
                  <c:v>0.279917629215756</c:v>
                </c:pt>
                <c:pt idx="206">
                  <c:v>0.279917629215756</c:v>
                </c:pt>
                <c:pt idx="207">
                  <c:v>0.279917629215756</c:v>
                </c:pt>
                <c:pt idx="208">
                  <c:v>0.279917629215756</c:v>
                </c:pt>
                <c:pt idx="209">
                  <c:v>0.279917629215756</c:v>
                </c:pt>
                <c:pt idx="210">
                  <c:v>0.279917629215756</c:v>
                </c:pt>
                <c:pt idx="211">
                  <c:v>0.279917629215756</c:v>
                </c:pt>
                <c:pt idx="212">
                  <c:v>0.279917629215756</c:v>
                </c:pt>
                <c:pt idx="213">
                  <c:v>0.279917629215756</c:v>
                </c:pt>
                <c:pt idx="214">
                  <c:v>0.279917629215756</c:v>
                </c:pt>
                <c:pt idx="215">
                  <c:v>0.279917629215756</c:v>
                </c:pt>
                <c:pt idx="216">
                  <c:v>0.279917629215756</c:v>
                </c:pt>
                <c:pt idx="217">
                  <c:v>0.279917629215756</c:v>
                </c:pt>
                <c:pt idx="218">
                  <c:v>0.279917629215756</c:v>
                </c:pt>
                <c:pt idx="219">
                  <c:v>0.279917629215756</c:v>
                </c:pt>
                <c:pt idx="220">
                  <c:v>0.279917629215756</c:v>
                </c:pt>
                <c:pt idx="221">
                  <c:v>0.279917629215756</c:v>
                </c:pt>
                <c:pt idx="222">
                  <c:v>0.279917629215756</c:v>
                </c:pt>
                <c:pt idx="223">
                  <c:v>0.279917629215756</c:v>
                </c:pt>
                <c:pt idx="224">
                  <c:v>0.279917629215756</c:v>
                </c:pt>
                <c:pt idx="225">
                  <c:v>0.279917629215756</c:v>
                </c:pt>
                <c:pt idx="226">
                  <c:v>0.279917629215756</c:v>
                </c:pt>
                <c:pt idx="227">
                  <c:v>0.279917629215756</c:v>
                </c:pt>
                <c:pt idx="228">
                  <c:v>0.279917629215756</c:v>
                </c:pt>
                <c:pt idx="229">
                  <c:v>0.279917629215756</c:v>
                </c:pt>
                <c:pt idx="230">
                  <c:v>0.279917629215756</c:v>
                </c:pt>
                <c:pt idx="231">
                  <c:v>0.279917629215756</c:v>
                </c:pt>
                <c:pt idx="232">
                  <c:v>0.279917629215756</c:v>
                </c:pt>
                <c:pt idx="233">
                  <c:v>0.279917629215756</c:v>
                </c:pt>
                <c:pt idx="234">
                  <c:v>0.279917629215756</c:v>
                </c:pt>
                <c:pt idx="235">
                  <c:v>0.279917629215756</c:v>
                </c:pt>
                <c:pt idx="236">
                  <c:v>0.279917629215756</c:v>
                </c:pt>
                <c:pt idx="237">
                  <c:v>0.279917629215756</c:v>
                </c:pt>
                <c:pt idx="238">
                  <c:v>0.279917629215756</c:v>
                </c:pt>
                <c:pt idx="239">
                  <c:v>0.279917629215756</c:v>
                </c:pt>
                <c:pt idx="240">
                  <c:v>0.279917629215756</c:v>
                </c:pt>
                <c:pt idx="241">
                  <c:v>0.279917629215756</c:v>
                </c:pt>
                <c:pt idx="242">
                  <c:v>0.279917629215756</c:v>
                </c:pt>
                <c:pt idx="243">
                  <c:v>0.279917629215756</c:v>
                </c:pt>
                <c:pt idx="244">
                  <c:v>0.279917629215756</c:v>
                </c:pt>
                <c:pt idx="245">
                  <c:v>0.279917629215756</c:v>
                </c:pt>
                <c:pt idx="246">
                  <c:v>0.279917629215756</c:v>
                </c:pt>
                <c:pt idx="247">
                  <c:v>0.279917629215756</c:v>
                </c:pt>
                <c:pt idx="248">
                  <c:v>0.279917629215756</c:v>
                </c:pt>
                <c:pt idx="249">
                  <c:v>0.279917629215756</c:v>
                </c:pt>
                <c:pt idx="250">
                  <c:v>0.279917629215756</c:v>
                </c:pt>
                <c:pt idx="251">
                  <c:v>0.279917629215756</c:v>
                </c:pt>
                <c:pt idx="252">
                  <c:v>0.279917629215756</c:v>
                </c:pt>
                <c:pt idx="253">
                  <c:v>0.279917629215756</c:v>
                </c:pt>
                <c:pt idx="254">
                  <c:v>0.279917629215756</c:v>
                </c:pt>
                <c:pt idx="255">
                  <c:v>0.279917629215756</c:v>
                </c:pt>
                <c:pt idx="256">
                  <c:v>0.279917629215756</c:v>
                </c:pt>
                <c:pt idx="257">
                  <c:v>0.279917629215756</c:v>
                </c:pt>
                <c:pt idx="258">
                  <c:v>0.279917629215756</c:v>
                </c:pt>
                <c:pt idx="259">
                  <c:v>0.279917629215756</c:v>
                </c:pt>
                <c:pt idx="260">
                  <c:v>0.279917629215756</c:v>
                </c:pt>
                <c:pt idx="261">
                  <c:v>0.279917629215756</c:v>
                </c:pt>
                <c:pt idx="262">
                  <c:v>0.279917629215756</c:v>
                </c:pt>
                <c:pt idx="263">
                  <c:v>0.279917629215756</c:v>
                </c:pt>
                <c:pt idx="264">
                  <c:v>0.279917629215756</c:v>
                </c:pt>
                <c:pt idx="265">
                  <c:v>0.279917629215756</c:v>
                </c:pt>
                <c:pt idx="266">
                  <c:v>0.279917629215756</c:v>
                </c:pt>
                <c:pt idx="267">
                  <c:v>0.279917629215756</c:v>
                </c:pt>
                <c:pt idx="268">
                  <c:v>0.279917629215756</c:v>
                </c:pt>
                <c:pt idx="269">
                  <c:v>0.279917629215756</c:v>
                </c:pt>
                <c:pt idx="270">
                  <c:v>0.279917629215756</c:v>
                </c:pt>
                <c:pt idx="271">
                  <c:v>0.279917629215756</c:v>
                </c:pt>
                <c:pt idx="272">
                  <c:v>0.279917629215756</c:v>
                </c:pt>
                <c:pt idx="273">
                  <c:v>0.279917629215756</c:v>
                </c:pt>
                <c:pt idx="274">
                  <c:v>0.279917629215756</c:v>
                </c:pt>
                <c:pt idx="275">
                  <c:v>0.279917629215756</c:v>
                </c:pt>
                <c:pt idx="276">
                  <c:v>0.279917629215756</c:v>
                </c:pt>
                <c:pt idx="277">
                  <c:v>0.279917629215756</c:v>
                </c:pt>
                <c:pt idx="278">
                  <c:v>0.279917629215756</c:v>
                </c:pt>
                <c:pt idx="279">
                  <c:v>0.279917629215756</c:v>
                </c:pt>
                <c:pt idx="280">
                  <c:v>0.279917629215756</c:v>
                </c:pt>
                <c:pt idx="281">
                  <c:v>0.279917629215756</c:v>
                </c:pt>
                <c:pt idx="282">
                  <c:v>0.279917629215756</c:v>
                </c:pt>
                <c:pt idx="283">
                  <c:v>0.279917629215756</c:v>
                </c:pt>
                <c:pt idx="284">
                  <c:v>0.279917629215756</c:v>
                </c:pt>
                <c:pt idx="285">
                  <c:v>0.279917629215756</c:v>
                </c:pt>
                <c:pt idx="286">
                  <c:v>0.279917629215756</c:v>
                </c:pt>
                <c:pt idx="287">
                  <c:v>0.279917629215756</c:v>
                </c:pt>
                <c:pt idx="288">
                  <c:v>0.279917629215756</c:v>
                </c:pt>
                <c:pt idx="289">
                  <c:v>0.279917629215756</c:v>
                </c:pt>
                <c:pt idx="290">
                  <c:v>0.279917629215756</c:v>
                </c:pt>
                <c:pt idx="291">
                  <c:v>0.279917629215756</c:v>
                </c:pt>
                <c:pt idx="292">
                  <c:v>0.279917629215756</c:v>
                </c:pt>
                <c:pt idx="293">
                  <c:v>0.279917629215756</c:v>
                </c:pt>
                <c:pt idx="294">
                  <c:v>0.279917629215756</c:v>
                </c:pt>
                <c:pt idx="295">
                  <c:v>0.279917629215756</c:v>
                </c:pt>
                <c:pt idx="296">
                  <c:v>0.279917629215756</c:v>
                </c:pt>
                <c:pt idx="297">
                  <c:v>0.279917629215756</c:v>
                </c:pt>
                <c:pt idx="298">
                  <c:v>0.279917629215756</c:v>
                </c:pt>
                <c:pt idx="299">
                  <c:v>0.279917629215756</c:v>
                </c:pt>
                <c:pt idx="300">
                  <c:v>0.279917629215756</c:v>
                </c:pt>
                <c:pt idx="301">
                  <c:v>0.279917629215756</c:v>
                </c:pt>
                <c:pt idx="302">
                  <c:v>0.279917629215756</c:v>
                </c:pt>
                <c:pt idx="303">
                  <c:v>0.279917629215756</c:v>
                </c:pt>
                <c:pt idx="304">
                  <c:v>0.279917629215756</c:v>
                </c:pt>
                <c:pt idx="305">
                  <c:v>0.279917629215756</c:v>
                </c:pt>
                <c:pt idx="306">
                  <c:v>0.279917629215756</c:v>
                </c:pt>
                <c:pt idx="307">
                  <c:v>0.279917629215756</c:v>
                </c:pt>
                <c:pt idx="308">
                  <c:v>0.279917629215756</c:v>
                </c:pt>
                <c:pt idx="309">
                  <c:v>0.279917629215756</c:v>
                </c:pt>
                <c:pt idx="310">
                  <c:v>0.279917629215756</c:v>
                </c:pt>
                <c:pt idx="311">
                  <c:v>0.279917629215756</c:v>
                </c:pt>
                <c:pt idx="312">
                  <c:v>0.279917629215756</c:v>
                </c:pt>
                <c:pt idx="313">
                  <c:v>0.279917629215756</c:v>
                </c:pt>
                <c:pt idx="314">
                  <c:v>0.279917629215756</c:v>
                </c:pt>
                <c:pt idx="315">
                  <c:v>0.279917629215756</c:v>
                </c:pt>
                <c:pt idx="316">
                  <c:v>0.279917629215756</c:v>
                </c:pt>
                <c:pt idx="317">
                  <c:v>0.279917629215756</c:v>
                </c:pt>
                <c:pt idx="318">
                  <c:v>0.279917629215756</c:v>
                </c:pt>
                <c:pt idx="319">
                  <c:v>0.279917629215756</c:v>
                </c:pt>
                <c:pt idx="320">
                  <c:v>0.279917629215756</c:v>
                </c:pt>
                <c:pt idx="321">
                  <c:v>0.279917629215756</c:v>
                </c:pt>
                <c:pt idx="322">
                  <c:v>0.279917629215756</c:v>
                </c:pt>
                <c:pt idx="323">
                  <c:v>0.279917629215756</c:v>
                </c:pt>
                <c:pt idx="324">
                  <c:v>0.279917629215756</c:v>
                </c:pt>
                <c:pt idx="325">
                  <c:v>0.279917629215756</c:v>
                </c:pt>
                <c:pt idx="326">
                  <c:v>0.279917629215756</c:v>
                </c:pt>
                <c:pt idx="327">
                  <c:v>0.279917629215756</c:v>
                </c:pt>
                <c:pt idx="328">
                  <c:v>0.279917629215756</c:v>
                </c:pt>
                <c:pt idx="329">
                  <c:v>0.279917629215756</c:v>
                </c:pt>
                <c:pt idx="330">
                  <c:v>0.279917629215756</c:v>
                </c:pt>
                <c:pt idx="331">
                  <c:v>0.279917629215756</c:v>
                </c:pt>
                <c:pt idx="332">
                  <c:v>0.279917629215756</c:v>
                </c:pt>
                <c:pt idx="333">
                  <c:v>0.279917629215756</c:v>
                </c:pt>
                <c:pt idx="334">
                  <c:v>0.279917629215756</c:v>
                </c:pt>
                <c:pt idx="335">
                  <c:v>0.279917629215756</c:v>
                </c:pt>
                <c:pt idx="336">
                  <c:v>0.279917629215756</c:v>
                </c:pt>
                <c:pt idx="337">
                  <c:v>0.279917629215756</c:v>
                </c:pt>
                <c:pt idx="338">
                  <c:v>0.279917629215756</c:v>
                </c:pt>
                <c:pt idx="339">
                  <c:v>0.279917629215756</c:v>
                </c:pt>
                <c:pt idx="340">
                  <c:v>0.279917629215756</c:v>
                </c:pt>
                <c:pt idx="341">
                  <c:v>0.279917629215756</c:v>
                </c:pt>
                <c:pt idx="342">
                  <c:v>0.279917629215756</c:v>
                </c:pt>
                <c:pt idx="343">
                  <c:v>0.279917629215756</c:v>
                </c:pt>
                <c:pt idx="344">
                  <c:v>0.279917629215756</c:v>
                </c:pt>
                <c:pt idx="345">
                  <c:v>0.279917629215756</c:v>
                </c:pt>
                <c:pt idx="346">
                  <c:v>0.279917629215756</c:v>
                </c:pt>
                <c:pt idx="347">
                  <c:v>0.279917629215756</c:v>
                </c:pt>
                <c:pt idx="348">
                  <c:v>0.279917629215756</c:v>
                </c:pt>
                <c:pt idx="349">
                  <c:v>0.279917629215756</c:v>
                </c:pt>
                <c:pt idx="350">
                  <c:v>0.279917629215756</c:v>
                </c:pt>
                <c:pt idx="351">
                  <c:v>0.279917629215756</c:v>
                </c:pt>
                <c:pt idx="352">
                  <c:v>0.279917629215756</c:v>
                </c:pt>
                <c:pt idx="353">
                  <c:v>0.279917629215756</c:v>
                </c:pt>
                <c:pt idx="354">
                  <c:v>0.279917629215756</c:v>
                </c:pt>
                <c:pt idx="355">
                  <c:v>0.279917629215756</c:v>
                </c:pt>
                <c:pt idx="356">
                  <c:v>0.279917629215756</c:v>
                </c:pt>
                <c:pt idx="357">
                  <c:v>0.279917629215756</c:v>
                </c:pt>
                <c:pt idx="358">
                  <c:v>0.279917629215756</c:v>
                </c:pt>
                <c:pt idx="359">
                  <c:v>0.279917629215756</c:v>
                </c:pt>
                <c:pt idx="360">
                  <c:v>0.279917629215756</c:v>
                </c:pt>
                <c:pt idx="361">
                  <c:v>0.279917629215756</c:v>
                </c:pt>
                <c:pt idx="362">
                  <c:v>0.279917629215756</c:v>
                </c:pt>
                <c:pt idx="363">
                  <c:v>0.279917629215756</c:v>
                </c:pt>
                <c:pt idx="364">
                  <c:v>0.279917629215756</c:v>
                </c:pt>
                <c:pt idx="365">
                  <c:v>0.279917629215756</c:v>
                </c:pt>
                <c:pt idx="366">
                  <c:v>0.279917629215756</c:v>
                </c:pt>
                <c:pt idx="367">
                  <c:v>0.279917629215756</c:v>
                </c:pt>
                <c:pt idx="368">
                  <c:v>0.279917629215756</c:v>
                </c:pt>
                <c:pt idx="369">
                  <c:v>0.279917629215756</c:v>
                </c:pt>
                <c:pt idx="370">
                  <c:v>0.279917629215756</c:v>
                </c:pt>
                <c:pt idx="371">
                  <c:v>0.279917629215756</c:v>
                </c:pt>
                <c:pt idx="372">
                  <c:v>0.279917629215756</c:v>
                </c:pt>
                <c:pt idx="373">
                  <c:v>0.279917629215756</c:v>
                </c:pt>
                <c:pt idx="374">
                  <c:v>0.279917629215756</c:v>
                </c:pt>
                <c:pt idx="375">
                  <c:v>0.279917629215756</c:v>
                </c:pt>
                <c:pt idx="376">
                  <c:v>0.279917629215756</c:v>
                </c:pt>
                <c:pt idx="377">
                  <c:v>0.279917629215756</c:v>
                </c:pt>
                <c:pt idx="378">
                  <c:v>0.279917629215756</c:v>
                </c:pt>
                <c:pt idx="379">
                  <c:v>0.279917629215756</c:v>
                </c:pt>
                <c:pt idx="380">
                  <c:v>0.279917629215756</c:v>
                </c:pt>
                <c:pt idx="381">
                  <c:v>0.279917629215756</c:v>
                </c:pt>
                <c:pt idx="382">
                  <c:v>0.279917629215756</c:v>
                </c:pt>
                <c:pt idx="383">
                  <c:v>0.279917629215756</c:v>
                </c:pt>
                <c:pt idx="384">
                  <c:v>0.279917629215756</c:v>
                </c:pt>
                <c:pt idx="385">
                  <c:v>0.279917629215756</c:v>
                </c:pt>
                <c:pt idx="386">
                  <c:v>0.279917629215756</c:v>
                </c:pt>
                <c:pt idx="387">
                  <c:v>0.279917629215756</c:v>
                </c:pt>
                <c:pt idx="388">
                  <c:v>0.279917629215756</c:v>
                </c:pt>
                <c:pt idx="389">
                  <c:v>0.279917629215756</c:v>
                </c:pt>
                <c:pt idx="390">
                  <c:v>0.279917629215756</c:v>
                </c:pt>
                <c:pt idx="391">
                  <c:v>0.279917629215756</c:v>
                </c:pt>
                <c:pt idx="392">
                  <c:v>0.279917629215756</c:v>
                </c:pt>
                <c:pt idx="393">
                  <c:v>0.279917629215756</c:v>
                </c:pt>
                <c:pt idx="394">
                  <c:v>0.279917629215756</c:v>
                </c:pt>
                <c:pt idx="395">
                  <c:v>0.279917629215756</c:v>
                </c:pt>
                <c:pt idx="396">
                  <c:v>0.279917629215756</c:v>
                </c:pt>
                <c:pt idx="397">
                  <c:v>0.279917629215756</c:v>
                </c:pt>
                <c:pt idx="398">
                  <c:v>0.279917629215756</c:v>
                </c:pt>
                <c:pt idx="399">
                  <c:v>0.279917629215756</c:v>
                </c:pt>
                <c:pt idx="400">
                  <c:v>0.279917629215756</c:v>
                </c:pt>
                <c:pt idx="401">
                  <c:v>0.279917629215756</c:v>
                </c:pt>
                <c:pt idx="402">
                  <c:v>0.279917629215756</c:v>
                </c:pt>
                <c:pt idx="403">
                  <c:v>0.279917629215756</c:v>
                </c:pt>
                <c:pt idx="404">
                  <c:v>0.279917629215756</c:v>
                </c:pt>
                <c:pt idx="405">
                  <c:v>0.279917629215756</c:v>
                </c:pt>
                <c:pt idx="406">
                  <c:v>0.279917629215756</c:v>
                </c:pt>
                <c:pt idx="407">
                  <c:v>0.279917629215756</c:v>
                </c:pt>
                <c:pt idx="408">
                  <c:v>0.279917629215756</c:v>
                </c:pt>
                <c:pt idx="409">
                  <c:v>0.279917629215756</c:v>
                </c:pt>
                <c:pt idx="410">
                  <c:v>0.279917629215756</c:v>
                </c:pt>
                <c:pt idx="411">
                  <c:v>0.279917629215756</c:v>
                </c:pt>
                <c:pt idx="412">
                  <c:v>0.279917629215756</c:v>
                </c:pt>
                <c:pt idx="413">
                  <c:v>0.279917629215756</c:v>
                </c:pt>
                <c:pt idx="414">
                  <c:v>0.279917629215756</c:v>
                </c:pt>
                <c:pt idx="415">
                  <c:v>0.279917629215756</c:v>
                </c:pt>
                <c:pt idx="416">
                  <c:v>0.279917629215756</c:v>
                </c:pt>
                <c:pt idx="417">
                  <c:v>0.279917629215756</c:v>
                </c:pt>
                <c:pt idx="418">
                  <c:v>0.279917629215756</c:v>
                </c:pt>
                <c:pt idx="419">
                  <c:v>0.279917629215756</c:v>
                </c:pt>
                <c:pt idx="420">
                  <c:v>0.279917629215756</c:v>
                </c:pt>
                <c:pt idx="421">
                  <c:v>0.279917629215756</c:v>
                </c:pt>
                <c:pt idx="422">
                  <c:v>0.279917629215756</c:v>
                </c:pt>
                <c:pt idx="423">
                  <c:v>0.279917629215756</c:v>
                </c:pt>
                <c:pt idx="424">
                  <c:v>0.279917629215756</c:v>
                </c:pt>
                <c:pt idx="425">
                  <c:v>0.279917629215756</c:v>
                </c:pt>
                <c:pt idx="426">
                  <c:v>0.279917629215756</c:v>
                </c:pt>
                <c:pt idx="427">
                  <c:v>0.279917629215756</c:v>
                </c:pt>
                <c:pt idx="428">
                  <c:v>0.279917629215756</c:v>
                </c:pt>
                <c:pt idx="429">
                  <c:v>0.279917629215756</c:v>
                </c:pt>
                <c:pt idx="430">
                  <c:v>0.279917629215756</c:v>
                </c:pt>
                <c:pt idx="431">
                  <c:v>0.279917629215756</c:v>
                </c:pt>
                <c:pt idx="432">
                  <c:v>0.279917629215756</c:v>
                </c:pt>
                <c:pt idx="433">
                  <c:v>0.279917629215756</c:v>
                </c:pt>
                <c:pt idx="434">
                  <c:v>0.279917629215756</c:v>
                </c:pt>
                <c:pt idx="435">
                  <c:v>0.279917629215756</c:v>
                </c:pt>
                <c:pt idx="436">
                  <c:v>0.279917629215756</c:v>
                </c:pt>
                <c:pt idx="437">
                  <c:v>0.279917629215756</c:v>
                </c:pt>
                <c:pt idx="438">
                  <c:v>0.279917629215756</c:v>
                </c:pt>
                <c:pt idx="439">
                  <c:v>0.279917629215756</c:v>
                </c:pt>
                <c:pt idx="440">
                  <c:v>0.279917629215756</c:v>
                </c:pt>
                <c:pt idx="441">
                  <c:v>0.279917629215756</c:v>
                </c:pt>
                <c:pt idx="442">
                  <c:v>0.279917629215756</c:v>
                </c:pt>
                <c:pt idx="443">
                  <c:v>0.279917629215756</c:v>
                </c:pt>
                <c:pt idx="444">
                  <c:v>0.279917629215756</c:v>
                </c:pt>
                <c:pt idx="445">
                  <c:v>0.279917629215756</c:v>
                </c:pt>
                <c:pt idx="446">
                  <c:v>0.279917629215756</c:v>
                </c:pt>
                <c:pt idx="447">
                  <c:v>0.279917629215756</c:v>
                </c:pt>
                <c:pt idx="448">
                  <c:v>0.279917629215756</c:v>
                </c:pt>
                <c:pt idx="449">
                  <c:v>0.279917629215756</c:v>
                </c:pt>
                <c:pt idx="450">
                  <c:v>0.279917629215756</c:v>
                </c:pt>
                <c:pt idx="451">
                  <c:v>0.279917629215756</c:v>
                </c:pt>
                <c:pt idx="452">
                  <c:v>0.279917629215756</c:v>
                </c:pt>
                <c:pt idx="453">
                  <c:v>0.279917629215756</c:v>
                </c:pt>
                <c:pt idx="454">
                  <c:v>0.279917629215756</c:v>
                </c:pt>
                <c:pt idx="455">
                  <c:v>0.279917629215756</c:v>
                </c:pt>
                <c:pt idx="456">
                  <c:v>0.279917629215756</c:v>
                </c:pt>
                <c:pt idx="457">
                  <c:v>0.279917629215756</c:v>
                </c:pt>
                <c:pt idx="458">
                  <c:v>0.279917629215756</c:v>
                </c:pt>
                <c:pt idx="459">
                  <c:v>0.279917629215756</c:v>
                </c:pt>
                <c:pt idx="460">
                  <c:v>0.279917629215756</c:v>
                </c:pt>
                <c:pt idx="461">
                  <c:v>0.279917629215756</c:v>
                </c:pt>
                <c:pt idx="462">
                  <c:v>0.279917629215756</c:v>
                </c:pt>
                <c:pt idx="463">
                  <c:v>0.279917629215756</c:v>
                </c:pt>
                <c:pt idx="464">
                  <c:v>0.279917629215756</c:v>
                </c:pt>
                <c:pt idx="465">
                  <c:v>0.279917629215756</c:v>
                </c:pt>
                <c:pt idx="466">
                  <c:v>0.279917629215756</c:v>
                </c:pt>
                <c:pt idx="467">
                  <c:v>0.279917629215756</c:v>
                </c:pt>
                <c:pt idx="468">
                  <c:v>0.279917629215756</c:v>
                </c:pt>
                <c:pt idx="469">
                  <c:v>0.279917629215756</c:v>
                </c:pt>
                <c:pt idx="470">
                  <c:v>0.279917629215756</c:v>
                </c:pt>
                <c:pt idx="471">
                  <c:v>0.279917629215756</c:v>
                </c:pt>
                <c:pt idx="472">
                  <c:v>0.279917629215756</c:v>
                </c:pt>
                <c:pt idx="473">
                  <c:v>0.279917629215756</c:v>
                </c:pt>
                <c:pt idx="474">
                  <c:v>0.279917629215756</c:v>
                </c:pt>
                <c:pt idx="475">
                  <c:v>0.279917629215756</c:v>
                </c:pt>
                <c:pt idx="476">
                  <c:v>0.279917629215756</c:v>
                </c:pt>
                <c:pt idx="477">
                  <c:v>0.279917629215756</c:v>
                </c:pt>
                <c:pt idx="478">
                  <c:v>0.279917629215756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C1_XbarR_s1!M15</c:f>
              <c:strCache>
                <c:ptCount val="1"/>
                <c:pt idx="0">
                  <c:v>UCL R</c:v>
                </c:pt>
              </c:strCache>
            </c:strRef>
          </c:tx>
          <c:spPr>
            <a:solidFill>
              <a:srgbClr val="e76f51"/>
            </a:solidFill>
            <a:ln w="1512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C1_XbarR_s1!$A$16:$A$494</c:f>
              <c:strCache>
                <c:ptCount val="479"/>
                <c:pt idx="0">
                  <c:v>2020-01-02</c:v>
                </c:pt>
                <c:pt idx="1">
                  <c:v>2020-01-03</c:v>
                </c:pt>
                <c:pt idx="2">
                  <c:v>2020-01-06</c:v>
                </c:pt>
                <c:pt idx="3">
                  <c:v>2020-01-07</c:v>
                </c:pt>
                <c:pt idx="4">
                  <c:v>2020-01-08</c:v>
                </c:pt>
                <c:pt idx="5">
                  <c:v>2020-01-09</c:v>
                </c:pt>
                <c:pt idx="6">
                  <c:v>2020-01-10</c:v>
                </c:pt>
                <c:pt idx="7">
                  <c:v>2020-01-13</c:v>
                </c:pt>
                <c:pt idx="8">
                  <c:v>2020-01-14</c:v>
                </c:pt>
                <c:pt idx="9">
                  <c:v>2020-01-15</c:v>
                </c:pt>
                <c:pt idx="10">
                  <c:v>2020-01-16</c:v>
                </c:pt>
                <c:pt idx="11">
                  <c:v>2020-01-17</c:v>
                </c:pt>
                <c:pt idx="12">
                  <c:v>2020-01-20</c:v>
                </c:pt>
                <c:pt idx="13">
                  <c:v>2020-01-21</c:v>
                </c:pt>
                <c:pt idx="14">
                  <c:v>2020-01-22</c:v>
                </c:pt>
                <c:pt idx="15">
                  <c:v>2020-01-23</c:v>
                </c:pt>
                <c:pt idx="16">
                  <c:v>2020-01-24</c:v>
                </c:pt>
                <c:pt idx="17">
                  <c:v>2020-01-27</c:v>
                </c:pt>
                <c:pt idx="18">
                  <c:v>2020-01-28</c:v>
                </c:pt>
                <c:pt idx="19">
                  <c:v>2020-01-29</c:v>
                </c:pt>
                <c:pt idx="20">
                  <c:v>2020-01-30</c:v>
                </c:pt>
                <c:pt idx="21">
                  <c:v>2020-01-31</c:v>
                </c:pt>
                <c:pt idx="22">
                  <c:v>2020-02-03</c:v>
                </c:pt>
                <c:pt idx="23">
                  <c:v>2020-02-04</c:v>
                </c:pt>
                <c:pt idx="24">
                  <c:v>2020-02-05</c:v>
                </c:pt>
                <c:pt idx="25">
                  <c:v>2020-02-06</c:v>
                </c:pt>
                <c:pt idx="26">
                  <c:v>2020-02-07</c:v>
                </c:pt>
                <c:pt idx="27">
                  <c:v>2020-02-10</c:v>
                </c:pt>
                <c:pt idx="28">
                  <c:v>2020-02-11</c:v>
                </c:pt>
                <c:pt idx="29">
                  <c:v>2020-02-12</c:v>
                </c:pt>
                <c:pt idx="30">
                  <c:v>2020-02-13</c:v>
                </c:pt>
                <c:pt idx="31">
                  <c:v>2020-02-14</c:v>
                </c:pt>
                <c:pt idx="32">
                  <c:v>2020-02-17</c:v>
                </c:pt>
                <c:pt idx="33">
                  <c:v>2020-02-18</c:v>
                </c:pt>
                <c:pt idx="34">
                  <c:v>2020-02-19</c:v>
                </c:pt>
                <c:pt idx="35">
                  <c:v>2020-02-20</c:v>
                </c:pt>
                <c:pt idx="36">
                  <c:v>2020-02-21</c:v>
                </c:pt>
                <c:pt idx="37">
                  <c:v>2020-02-24</c:v>
                </c:pt>
                <c:pt idx="38">
                  <c:v>2020-02-25</c:v>
                </c:pt>
                <c:pt idx="39">
                  <c:v>2020-02-26</c:v>
                </c:pt>
                <c:pt idx="40">
                  <c:v>2020-02-27</c:v>
                </c:pt>
                <c:pt idx="41">
                  <c:v>2020-02-28</c:v>
                </c:pt>
                <c:pt idx="42">
                  <c:v>2020-03-02</c:v>
                </c:pt>
                <c:pt idx="43">
                  <c:v>2020-03-03</c:v>
                </c:pt>
                <c:pt idx="44">
                  <c:v>2020-03-04</c:v>
                </c:pt>
                <c:pt idx="45">
                  <c:v>2020-03-05</c:v>
                </c:pt>
                <c:pt idx="46">
                  <c:v>2020-03-06</c:v>
                </c:pt>
                <c:pt idx="47">
                  <c:v>2020-03-09</c:v>
                </c:pt>
                <c:pt idx="48">
                  <c:v>2020-03-17</c:v>
                </c:pt>
                <c:pt idx="49">
                  <c:v>2020-03-18</c:v>
                </c:pt>
                <c:pt idx="50">
                  <c:v>2020-03-19</c:v>
                </c:pt>
                <c:pt idx="51">
                  <c:v>2020-03-20</c:v>
                </c:pt>
                <c:pt idx="52">
                  <c:v>2020-03-23</c:v>
                </c:pt>
                <c:pt idx="53">
                  <c:v>2020-03-24</c:v>
                </c:pt>
                <c:pt idx="54">
                  <c:v>2020-03-26</c:v>
                </c:pt>
                <c:pt idx="55">
                  <c:v>2020-03-27</c:v>
                </c:pt>
                <c:pt idx="56">
                  <c:v>2020-03-30</c:v>
                </c:pt>
                <c:pt idx="57">
                  <c:v>2020-03-31</c:v>
                </c:pt>
                <c:pt idx="58">
                  <c:v>2020-04-01</c:v>
                </c:pt>
                <c:pt idx="59">
                  <c:v>2020-04-02</c:v>
                </c:pt>
                <c:pt idx="60">
                  <c:v>2020-04-03</c:v>
                </c:pt>
                <c:pt idx="61">
                  <c:v>2020-04-06</c:v>
                </c:pt>
                <c:pt idx="62">
                  <c:v>2020-04-07</c:v>
                </c:pt>
                <c:pt idx="63">
                  <c:v>2020-04-08</c:v>
                </c:pt>
                <c:pt idx="64">
                  <c:v>2020-04-09</c:v>
                </c:pt>
                <c:pt idx="65">
                  <c:v>2020-04-10</c:v>
                </c:pt>
                <c:pt idx="66">
                  <c:v>2020-04-13</c:v>
                </c:pt>
                <c:pt idx="67">
                  <c:v>2020-04-14</c:v>
                </c:pt>
                <c:pt idx="68">
                  <c:v>2020-04-15</c:v>
                </c:pt>
                <c:pt idx="69">
                  <c:v>2020-04-16</c:v>
                </c:pt>
                <c:pt idx="70">
                  <c:v>2020-04-17</c:v>
                </c:pt>
                <c:pt idx="71">
                  <c:v>2020-04-20</c:v>
                </c:pt>
                <c:pt idx="72">
                  <c:v>2020-04-21</c:v>
                </c:pt>
                <c:pt idx="73">
                  <c:v>2020-04-22</c:v>
                </c:pt>
                <c:pt idx="74">
                  <c:v>2020-04-23</c:v>
                </c:pt>
                <c:pt idx="75">
                  <c:v>2020-04-24</c:v>
                </c:pt>
                <c:pt idx="76">
                  <c:v>2020-04-27</c:v>
                </c:pt>
                <c:pt idx="77">
                  <c:v>2020-04-28</c:v>
                </c:pt>
                <c:pt idx="78">
                  <c:v>2020-04-29</c:v>
                </c:pt>
                <c:pt idx="79">
                  <c:v>2020-04-30</c:v>
                </c:pt>
                <c:pt idx="80">
                  <c:v>2020-05-01</c:v>
                </c:pt>
                <c:pt idx="81">
                  <c:v>2020-05-03</c:v>
                </c:pt>
                <c:pt idx="82">
                  <c:v>2020-05-04</c:v>
                </c:pt>
                <c:pt idx="83">
                  <c:v>2020-05-05</c:v>
                </c:pt>
                <c:pt idx="84">
                  <c:v>2020-05-06</c:v>
                </c:pt>
                <c:pt idx="85">
                  <c:v>2020-05-07</c:v>
                </c:pt>
                <c:pt idx="86">
                  <c:v>2020-05-08</c:v>
                </c:pt>
                <c:pt idx="87">
                  <c:v>2020-05-11</c:v>
                </c:pt>
                <c:pt idx="88">
                  <c:v>2020-05-12</c:v>
                </c:pt>
                <c:pt idx="89">
                  <c:v>2020-05-13</c:v>
                </c:pt>
                <c:pt idx="90">
                  <c:v>2020-05-14</c:v>
                </c:pt>
                <c:pt idx="91">
                  <c:v>2020-05-15</c:v>
                </c:pt>
                <c:pt idx="92">
                  <c:v>2020-05-18</c:v>
                </c:pt>
                <c:pt idx="93">
                  <c:v>2020-05-19</c:v>
                </c:pt>
                <c:pt idx="94">
                  <c:v>2020-05-20</c:v>
                </c:pt>
                <c:pt idx="95">
                  <c:v>2020-05-21</c:v>
                </c:pt>
                <c:pt idx="96">
                  <c:v>2020-05-22</c:v>
                </c:pt>
                <c:pt idx="97">
                  <c:v>2020-05-25</c:v>
                </c:pt>
                <c:pt idx="98">
                  <c:v>2020-05-26</c:v>
                </c:pt>
                <c:pt idx="99">
                  <c:v>2020-05-27</c:v>
                </c:pt>
                <c:pt idx="100">
                  <c:v>2020-05-28</c:v>
                </c:pt>
                <c:pt idx="101">
                  <c:v>2020-05-29</c:v>
                </c:pt>
                <c:pt idx="102">
                  <c:v>2020-06-01</c:v>
                </c:pt>
                <c:pt idx="103">
                  <c:v>2020-06-02</c:v>
                </c:pt>
                <c:pt idx="104">
                  <c:v>2020-06-03</c:v>
                </c:pt>
                <c:pt idx="105">
                  <c:v>2020-06-04</c:v>
                </c:pt>
                <c:pt idx="106">
                  <c:v>2020-06-05</c:v>
                </c:pt>
                <c:pt idx="107">
                  <c:v>2020-06-08</c:v>
                </c:pt>
                <c:pt idx="108">
                  <c:v>2020-06-09</c:v>
                </c:pt>
                <c:pt idx="109">
                  <c:v>2020-06-10</c:v>
                </c:pt>
                <c:pt idx="110">
                  <c:v>2020-06-11</c:v>
                </c:pt>
                <c:pt idx="111">
                  <c:v>2020-06-12</c:v>
                </c:pt>
                <c:pt idx="112">
                  <c:v>2020-06-14</c:v>
                </c:pt>
                <c:pt idx="113">
                  <c:v>2020-06-15</c:v>
                </c:pt>
                <c:pt idx="114">
                  <c:v>2020-06-16</c:v>
                </c:pt>
                <c:pt idx="115">
                  <c:v>2020-06-17</c:v>
                </c:pt>
                <c:pt idx="116">
                  <c:v>2020-06-18</c:v>
                </c:pt>
                <c:pt idx="117">
                  <c:v>2020-06-19</c:v>
                </c:pt>
                <c:pt idx="118">
                  <c:v>2020-06-24</c:v>
                </c:pt>
                <c:pt idx="119">
                  <c:v>2020-06-25</c:v>
                </c:pt>
                <c:pt idx="120">
                  <c:v>2020-06-29</c:v>
                </c:pt>
                <c:pt idx="121">
                  <c:v>2020-06-30</c:v>
                </c:pt>
                <c:pt idx="122">
                  <c:v>2020-07-01</c:v>
                </c:pt>
                <c:pt idx="123">
                  <c:v>2020-07-02</c:v>
                </c:pt>
                <c:pt idx="124">
                  <c:v>2020-07-03</c:v>
                </c:pt>
                <c:pt idx="125">
                  <c:v>2020-07-06</c:v>
                </c:pt>
                <c:pt idx="126">
                  <c:v>2020-07-07</c:v>
                </c:pt>
                <c:pt idx="127">
                  <c:v>2020-07-08</c:v>
                </c:pt>
                <c:pt idx="128">
                  <c:v>2020-07-09</c:v>
                </c:pt>
                <c:pt idx="129">
                  <c:v>2020-07-10</c:v>
                </c:pt>
                <c:pt idx="130">
                  <c:v>2020-07-12</c:v>
                </c:pt>
                <c:pt idx="131">
                  <c:v>2020-07-13</c:v>
                </c:pt>
                <c:pt idx="132">
                  <c:v>2020-07-14</c:v>
                </c:pt>
                <c:pt idx="133">
                  <c:v>2020-07-15</c:v>
                </c:pt>
                <c:pt idx="134">
                  <c:v>2020-07-16</c:v>
                </c:pt>
                <c:pt idx="135">
                  <c:v>2020-07-17</c:v>
                </c:pt>
                <c:pt idx="136">
                  <c:v>2020-07-21</c:v>
                </c:pt>
                <c:pt idx="137">
                  <c:v>2020-07-22</c:v>
                </c:pt>
                <c:pt idx="138">
                  <c:v>2020-07-23</c:v>
                </c:pt>
                <c:pt idx="139">
                  <c:v>2020-07-24</c:v>
                </c:pt>
                <c:pt idx="140">
                  <c:v>2020-07-27</c:v>
                </c:pt>
                <c:pt idx="141">
                  <c:v>2020-07-28</c:v>
                </c:pt>
                <c:pt idx="142">
                  <c:v>2020-07-29</c:v>
                </c:pt>
                <c:pt idx="143">
                  <c:v>2020-07-30</c:v>
                </c:pt>
                <c:pt idx="144">
                  <c:v>2020-07-31</c:v>
                </c:pt>
                <c:pt idx="145">
                  <c:v>2020-08-03</c:v>
                </c:pt>
                <c:pt idx="146">
                  <c:v>2020-08-04</c:v>
                </c:pt>
                <c:pt idx="147">
                  <c:v>2020-08-05</c:v>
                </c:pt>
                <c:pt idx="148">
                  <c:v>2020-08-06</c:v>
                </c:pt>
                <c:pt idx="149">
                  <c:v>2020-08-07</c:v>
                </c:pt>
                <c:pt idx="150">
                  <c:v>2020-08-10</c:v>
                </c:pt>
                <c:pt idx="151">
                  <c:v>2020-08-11</c:v>
                </c:pt>
                <c:pt idx="152">
                  <c:v>2020-08-12</c:v>
                </c:pt>
                <c:pt idx="153">
                  <c:v>2020-08-13</c:v>
                </c:pt>
                <c:pt idx="154">
                  <c:v>2020-08-14</c:v>
                </c:pt>
                <c:pt idx="155">
                  <c:v>2020-08-17</c:v>
                </c:pt>
                <c:pt idx="156">
                  <c:v>2020-08-18</c:v>
                </c:pt>
                <c:pt idx="157">
                  <c:v>2020-08-19</c:v>
                </c:pt>
                <c:pt idx="158">
                  <c:v>2020-08-20</c:v>
                </c:pt>
                <c:pt idx="159">
                  <c:v>2020-08-21</c:v>
                </c:pt>
                <c:pt idx="160">
                  <c:v>2020-08-24</c:v>
                </c:pt>
                <c:pt idx="161">
                  <c:v>2020-08-25</c:v>
                </c:pt>
                <c:pt idx="162">
                  <c:v>2020-08-26</c:v>
                </c:pt>
                <c:pt idx="163">
                  <c:v>2020-08-27</c:v>
                </c:pt>
                <c:pt idx="164">
                  <c:v>2020-08-28</c:v>
                </c:pt>
                <c:pt idx="165">
                  <c:v>2020-08-31</c:v>
                </c:pt>
                <c:pt idx="166">
                  <c:v>2020-09-01</c:v>
                </c:pt>
                <c:pt idx="167">
                  <c:v>2020-09-02</c:v>
                </c:pt>
                <c:pt idx="168">
                  <c:v>2020-09-03</c:v>
                </c:pt>
                <c:pt idx="169">
                  <c:v>2020-09-04</c:v>
                </c:pt>
                <c:pt idx="170">
                  <c:v>2020-09-07</c:v>
                </c:pt>
                <c:pt idx="171">
                  <c:v>2020-09-08</c:v>
                </c:pt>
                <c:pt idx="172">
                  <c:v>2020-09-09</c:v>
                </c:pt>
                <c:pt idx="173">
                  <c:v>2020-09-10</c:v>
                </c:pt>
                <c:pt idx="174">
                  <c:v>2020-09-11</c:v>
                </c:pt>
                <c:pt idx="175">
                  <c:v>2020-09-14</c:v>
                </c:pt>
                <c:pt idx="176">
                  <c:v>2020-09-15</c:v>
                </c:pt>
                <c:pt idx="177">
                  <c:v>2020-09-16</c:v>
                </c:pt>
                <c:pt idx="178">
                  <c:v>2020-09-17</c:v>
                </c:pt>
                <c:pt idx="179">
                  <c:v>2020-09-18</c:v>
                </c:pt>
                <c:pt idx="180">
                  <c:v>2020-09-21</c:v>
                </c:pt>
                <c:pt idx="181">
                  <c:v>2020-09-22</c:v>
                </c:pt>
                <c:pt idx="182">
                  <c:v>2020-09-23</c:v>
                </c:pt>
                <c:pt idx="183">
                  <c:v>2020-09-24</c:v>
                </c:pt>
                <c:pt idx="184">
                  <c:v>2020-09-25</c:v>
                </c:pt>
                <c:pt idx="185">
                  <c:v>2020-09-28</c:v>
                </c:pt>
                <c:pt idx="186">
                  <c:v>2020-09-29</c:v>
                </c:pt>
                <c:pt idx="187">
                  <c:v>2020-09-30</c:v>
                </c:pt>
                <c:pt idx="188">
                  <c:v>2020-10-01</c:v>
                </c:pt>
                <c:pt idx="189">
                  <c:v>2020-10-02</c:v>
                </c:pt>
                <c:pt idx="190">
                  <c:v>2020-10-05</c:v>
                </c:pt>
                <c:pt idx="191">
                  <c:v>2020-10-06</c:v>
                </c:pt>
                <c:pt idx="192">
                  <c:v>2020-10-07</c:v>
                </c:pt>
                <c:pt idx="193">
                  <c:v>2020-10-08</c:v>
                </c:pt>
                <c:pt idx="194">
                  <c:v>2020-10-09</c:v>
                </c:pt>
                <c:pt idx="195">
                  <c:v>2020-10-12</c:v>
                </c:pt>
                <c:pt idx="196">
                  <c:v>2020-10-13</c:v>
                </c:pt>
                <c:pt idx="197">
                  <c:v>2020-10-14</c:v>
                </c:pt>
                <c:pt idx="198">
                  <c:v>2020-10-15</c:v>
                </c:pt>
                <c:pt idx="199">
                  <c:v>2020-10-16</c:v>
                </c:pt>
                <c:pt idx="200">
                  <c:v>2020-10-19</c:v>
                </c:pt>
                <c:pt idx="201">
                  <c:v>2020-10-20</c:v>
                </c:pt>
                <c:pt idx="202">
                  <c:v>2020-10-21</c:v>
                </c:pt>
                <c:pt idx="203">
                  <c:v>2020-10-22</c:v>
                </c:pt>
                <c:pt idx="204">
                  <c:v>2020-10-23</c:v>
                </c:pt>
                <c:pt idx="205">
                  <c:v>2020-10-26</c:v>
                </c:pt>
                <c:pt idx="206">
                  <c:v>2020-10-27</c:v>
                </c:pt>
                <c:pt idx="207">
                  <c:v>2020-10-28</c:v>
                </c:pt>
                <c:pt idx="208">
                  <c:v>2020-10-29</c:v>
                </c:pt>
                <c:pt idx="209">
                  <c:v>2020-10-30</c:v>
                </c:pt>
                <c:pt idx="210">
                  <c:v>2020-11-01</c:v>
                </c:pt>
                <c:pt idx="211">
                  <c:v>2020-11-02</c:v>
                </c:pt>
                <c:pt idx="212">
                  <c:v>2020-11-03</c:v>
                </c:pt>
                <c:pt idx="213">
                  <c:v>2020-11-04</c:v>
                </c:pt>
                <c:pt idx="214">
                  <c:v>2020-11-05</c:v>
                </c:pt>
                <c:pt idx="215">
                  <c:v>2020-11-06</c:v>
                </c:pt>
                <c:pt idx="216">
                  <c:v>2020-11-08</c:v>
                </c:pt>
                <c:pt idx="217">
                  <c:v>2020-11-09</c:v>
                </c:pt>
                <c:pt idx="218">
                  <c:v>2020-11-10</c:v>
                </c:pt>
                <c:pt idx="219">
                  <c:v>2020-11-11</c:v>
                </c:pt>
                <c:pt idx="220">
                  <c:v>2020-11-12</c:v>
                </c:pt>
                <c:pt idx="221">
                  <c:v>2020-11-13</c:v>
                </c:pt>
                <c:pt idx="222">
                  <c:v>2020-11-16</c:v>
                </c:pt>
                <c:pt idx="223">
                  <c:v>2020-11-17</c:v>
                </c:pt>
                <c:pt idx="224">
                  <c:v>2020-11-18</c:v>
                </c:pt>
                <c:pt idx="225">
                  <c:v>2020-11-19</c:v>
                </c:pt>
                <c:pt idx="226">
                  <c:v>2020-11-20</c:v>
                </c:pt>
                <c:pt idx="227">
                  <c:v>2020-11-23</c:v>
                </c:pt>
                <c:pt idx="228">
                  <c:v>2020-11-24</c:v>
                </c:pt>
                <c:pt idx="229">
                  <c:v>2020-11-25</c:v>
                </c:pt>
                <c:pt idx="230">
                  <c:v>2020-11-26</c:v>
                </c:pt>
                <c:pt idx="231">
                  <c:v>2020-11-27</c:v>
                </c:pt>
                <c:pt idx="232">
                  <c:v>2020-11-30</c:v>
                </c:pt>
                <c:pt idx="233">
                  <c:v>2020-12-01</c:v>
                </c:pt>
                <c:pt idx="234">
                  <c:v>2020-12-02</c:v>
                </c:pt>
                <c:pt idx="235">
                  <c:v>2020-12-03</c:v>
                </c:pt>
                <c:pt idx="236">
                  <c:v>2020-12-04</c:v>
                </c:pt>
                <c:pt idx="237">
                  <c:v>2020-12-07</c:v>
                </c:pt>
                <c:pt idx="238">
                  <c:v>2020-12-08</c:v>
                </c:pt>
                <c:pt idx="239">
                  <c:v>2020-12-09</c:v>
                </c:pt>
                <c:pt idx="240">
                  <c:v>2020-12-10</c:v>
                </c:pt>
                <c:pt idx="241">
                  <c:v>2020-12-11</c:v>
                </c:pt>
                <c:pt idx="242">
                  <c:v>2020-12-14</c:v>
                </c:pt>
                <c:pt idx="243">
                  <c:v>2020-12-15</c:v>
                </c:pt>
                <c:pt idx="244">
                  <c:v>2020-12-16</c:v>
                </c:pt>
                <c:pt idx="245">
                  <c:v>2020-12-17</c:v>
                </c:pt>
                <c:pt idx="246">
                  <c:v>2020-12-18</c:v>
                </c:pt>
                <c:pt idx="247">
                  <c:v>2020-12-20</c:v>
                </c:pt>
                <c:pt idx="248">
                  <c:v>2020-12-21</c:v>
                </c:pt>
                <c:pt idx="249">
                  <c:v>2020-12-22</c:v>
                </c:pt>
                <c:pt idx="250">
                  <c:v>2020-12-23</c:v>
                </c:pt>
                <c:pt idx="251">
                  <c:v>2020-12-27</c:v>
                </c:pt>
                <c:pt idx="252">
                  <c:v>2020-12-28</c:v>
                </c:pt>
                <c:pt idx="253">
                  <c:v>2020-12-29</c:v>
                </c:pt>
                <c:pt idx="254">
                  <c:v>2020-12-30</c:v>
                </c:pt>
                <c:pt idx="255">
                  <c:v>2021-01-04</c:v>
                </c:pt>
                <c:pt idx="256">
                  <c:v>2021-01-05</c:v>
                </c:pt>
                <c:pt idx="257">
                  <c:v>2021-01-06</c:v>
                </c:pt>
                <c:pt idx="258">
                  <c:v>2021-01-07</c:v>
                </c:pt>
                <c:pt idx="259">
                  <c:v>2021-01-08</c:v>
                </c:pt>
                <c:pt idx="260">
                  <c:v>2021-01-11</c:v>
                </c:pt>
                <c:pt idx="261">
                  <c:v>2021-01-12</c:v>
                </c:pt>
                <c:pt idx="262">
                  <c:v>2021-01-13</c:v>
                </c:pt>
                <c:pt idx="263">
                  <c:v>2021-01-14</c:v>
                </c:pt>
                <c:pt idx="264">
                  <c:v>2021-01-15</c:v>
                </c:pt>
                <c:pt idx="265">
                  <c:v>2021-01-18</c:v>
                </c:pt>
                <c:pt idx="266">
                  <c:v>2021-01-19</c:v>
                </c:pt>
                <c:pt idx="267">
                  <c:v>2021-01-20</c:v>
                </c:pt>
                <c:pt idx="268">
                  <c:v>2021-01-21</c:v>
                </c:pt>
                <c:pt idx="269">
                  <c:v>2021-01-22</c:v>
                </c:pt>
                <c:pt idx="270">
                  <c:v>2021-01-25</c:v>
                </c:pt>
                <c:pt idx="271">
                  <c:v>2021-01-26</c:v>
                </c:pt>
                <c:pt idx="272">
                  <c:v>2021-01-28</c:v>
                </c:pt>
                <c:pt idx="273">
                  <c:v>2021-01-29</c:v>
                </c:pt>
                <c:pt idx="274">
                  <c:v>2021-02-01</c:v>
                </c:pt>
                <c:pt idx="275">
                  <c:v>2021-02-02</c:v>
                </c:pt>
                <c:pt idx="276">
                  <c:v>2021-02-03</c:v>
                </c:pt>
                <c:pt idx="277">
                  <c:v>2021-02-04</c:v>
                </c:pt>
                <c:pt idx="278">
                  <c:v>2021-02-05</c:v>
                </c:pt>
                <c:pt idx="279">
                  <c:v>2021-02-08</c:v>
                </c:pt>
                <c:pt idx="280">
                  <c:v>2021-02-09</c:v>
                </c:pt>
                <c:pt idx="281">
                  <c:v>2021-02-10</c:v>
                </c:pt>
                <c:pt idx="282">
                  <c:v>2021-02-11</c:v>
                </c:pt>
                <c:pt idx="283">
                  <c:v>2021-02-12</c:v>
                </c:pt>
                <c:pt idx="284">
                  <c:v>2021-02-14</c:v>
                </c:pt>
                <c:pt idx="285">
                  <c:v>2021-02-15</c:v>
                </c:pt>
                <c:pt idx="286">
                  <c:v>2021-02-16</c:v>
                </c:pt>
                <c:pt idx="287">
                  <c:v>2021-02-17</c:v>
                </c:pt>
                <c:pt idx="288">
                  <c:v>2021-03-17</c:v>
                </c:pt>
                <c:pt idx="289">
                  <c:v>2021-03-18</c:v>
                </c:pt>
                <c:pt idx="290">
                  <c:v>2021-03-19</c:v>
                </c:pt>
                <c:pt idx="291">
                  <c:v>2021-03-21</c:v>
                </c:pt>
                <c:pt idx="292">
                  <c:v>2021-03-22</c:v>
                </c:pt>
                <c:pt idx="293">
                  <c:v>2021-03-23</c:v>
                </c:pt>
                <c:pt idx="294">
                  <c:v>2021-03-24</c:v>
                </c:pt>
                <c:pt idx="295">
                  <c:v>2021-03-25</c:v>
                </c:pt>
                <c:pt idx="296">
                  <c:v>2021-04-15</c:v>
                </c:pt>
                <c:pt idx="297">
                  <c:v>2021-04-16</c:v>
                </c:pt>
                <c:pt idx="298">
                  <c:v>2021-04-19</c:v>
                </c:pt>
                <c:pt idx="299">
                  <c:v>2021-04-20</c:v>
                </c:pt>
                <c:pt idx="300">
                  <c:v>2021-04-21</c:v>
                </c:pt>
                <c:pt idx="301">
                  <c:v>2021-04-22</c:v>
                </c:pt>
                <c:pt idx="302">
                  <c:v>2021-04-23</c:v>
                </c:pt>
                <c:pt idx="303">
                  <c:v>2021-04-26</c:v>
                </c:pt>
                <c:pt idx="304">
                  <c:v>2021-04-28</c:v>
                </c:pt>
                <c:pt idx="305">
                  <c:v>2021-04-29</c:v>
                </c:pt>
                <c:pt idx="306">
                  <c:v>2021-04-30</c:v>
                </c:pt>
                <c:pt idx="307">
                  <c:v>2021-05-02</c:v>
                </c:pt>
                <c:pt idx="308">
                  <c:v>2021-05-03</c:v>
                </c:pt>
                <c:pt idx="309">
                  <c:v>2021-05-04</c:v>
                </c:pt>
                <c:pt idx="310">
                  <c:v>2021-05-05</c:v>
                </c:pt>
                <c:pt idx="311">
                  <c:v>2021-05-06</c:v>
                </c:pt>
                <c:pt idx="312">
                  <c:v>2021-05-07</c:v>
                </c:pt>
                <c:pt idx="313">
                  <c:v>2021-05-10</c:v>
                </c:pt>
                <c:pt idx="314">
                  <c:v>2021-05-16</c:v>
                </c:pt>
                <c:pt idx="315">
                  <c:v>2021-05-17</c:v>
                </c:pt>
                <c:pt idx="316">
                  <c:v>2021-05-18</c:v>
                </c:pt>
                <c:pt idx="317">
                  <c:v>2021-05-19</c:v>
                </c:pt>
                <c:pt idx="318">
                  <c:v>2021-05-20</c:v>
                </c:pt>
                <c:pt idx="319">
                  <c:v>2021-05-21</c:v>
                </c:pt>
                <c:pt idx="320">
                  <c:v>2021-05-24</c:v>
                </c:pt>
                <c:pt idx="321">
                  <c:v>2021-05-25</c:v>
                </c:pt>
                <c:pt idx="322">
                  <c:v>2021-05-26</c:v>
                </c:pt>
                <c:pt idx="323">
                  <c:v>2021-05-27</c:v>
                </c:pt>
                <c:pt idx="324">
                  <c:v>2021-05-28</c:v>
                </c:pt>
                <c:pt idx="325">
                  <c:v>2021-05-31</c:v>
                </c:pt>
                <c:pt idx="326">
                  <c:v>2021-06-01</c:v>
                </c:pt>
                <c:pt idx="327">
                  <c:v>2021-06-02</c:v>
                </c:pt>
                <c:pt idx="328">
                  <c:v>2021-06-03</c:v>
                </c:pt>
                <c:pt idx="329">
                  <c:v>2021-06-04</c:v>
                </c:pt>
                <c:pt idx="330">
                  <c:v>2021-06-06</c:v>
                </c:pt>
                <c:pt idx="331">
                  <c:v>2021-06-07</c:v>
                </c:pt>
                <c:pt idx="332">
                  <c:v>2021-06-08</c:v>
                </c:pt>
                <c:pt idx="333">
                  <c:v>2021-06-10</c:v>
                </c:pt>
                <c:pt idx="334">
                  <c:v>2021-06-11</c:v>
                </c:pt>
                <c:pt idx="335">
                  <c:v>2021-06-14</c:v>
                </c:pt>
                <c:pt idx="336">
                  <c:v>2021-06-15</c:v>
                </c:pt>
                <c:pt idx="337">
                  <c:v>2021-06-16</c:v>
                </c:pt>
                <c:pt idx="338">
                  <c:v>2021-06-17</c:v>
                </c:pt>
                <c:pt idx="339">
                  <c:v>2021-06-18</c:v>
                </c:pt>
                <c:pt idx="340">
                  <c:v>2021-06-21</c:v>
                </c:pt>
                <c:pt idx="341">
                  <c:v>2021-06-22</c:v>
                </c:pt>
                <c:pt idx="342">
                  <c:v>2021-06-27</c:v>
                </c:pt>
                <c:pt idx="343">
                  <c:v>2021-06-28</c:v>
                </c:pt>
                <c:pt idx="344">
                  <c:v>2021-06-29</c:v>
                </c:pt>
                <c:pt idx="345">
                  <c:v>2021-06-30</c:v>
                </c:pt>
                <c:pt idx="346">
                  <c:v>2021-07-01</c:v>
                </c:pt>
                <c:pt idx="347">
                  <c:v>2021-07-02</c:v>
                </c:pt>
                <c:pt idx="348">
                  <c:v>2021-07-05</c:v>
                </c:pt>
                <c:pt idx="349">
                  <c:v>2021-07-06</c:v>
                </c:pt>
                <c:pt idx="350">
                  <c:v>2021-07-07</c:v>
                </c:pt>
                <c:pt idx="351">
                  <c:v>2021-07-08</c:v>
                </c:pt>
                <c:pt idx="352">
                  <c:v>2021-07-11</c:v>
                </c:pt>
                <c:pt idx="353">
                  <c:v>2021-07-12</c:v>
                </c:pt>
                <c:pt idx="354">
                  <c:v>2021-07-13</c:v>
                </c:pt>
                <c:pt idx="355">
                  <c:v>2021-07-14</c:v>
                </c:pt>
                <c:pt idx="356">
                  <c:v>2021-07-16</c:v>
                </c:pt>
                <c:pt idx="357">
                  <c:v>2021-07-25</c:v>
                </c:pt>
                <c:pt idx="358">
                  <c:v>2021-07-26</c:v>
                </c:pt>
                <c:pt idx="359">
                  <c:v>2021-07-27</c:v>
                </c:pt>
                <c:pt idx="360">
                  <c:v>2021-07-28</c:v>
                </c:pt>
                <c:pt idx="361">
                  <c:v>2021-07-29</c:v>
                </c:pt>
                <c:pt idx="362">
                  <c:v>2021-07-30</c:v>
                </c:pt>
                <c:pt idx="363">
                  <c:v>2021-08-02</c:v>
                </c:pt>
                <c:pt idx="364">
                  <c:v>2021-08-03</c:v>
                </c:pt>
                <c:pt idx="365">
                  <c:v>2021-08-04</c:v>
                </c:pt>
                <c:pt idx="366">
                  <c:v>2021-08-05</c:v>
                </c:pt>
                <c:pt idx="367">
                  <c:v>2021-08-06</c:v>
                </c:pt>
                <c:pt idx="368">
                  <c:v>2021-08-08</c:v>
                </c:pt>
                <c:pt idx="369">
                  <c:v>2021-08-09</c:v>
                </c:pt>
                <c:pt idx="370">
                  <c:v>2021-08-10</c:v>
                </c:pt>
                <c:pt idx="371">
                  <c:v>2021-08-11</c:v>
                </c:pt>
                <c:pt idx="372">
                  <c:v>2021-08-12</c:v>
                </c:pt>
                <c:pt idx="373">
                  <c:v>2021-08-13</c:v>
                </c:pt>
                <c:pt idx="374">
                  <c:v>2021-08-15</c:v>
                </c:pt>
                <c:pt idx="375">
                  <c:v>2021-08-16</c:v>
                </c:pt>
                <c:pt idx="376">
                  <c:v>2021-08-17</c:v>
                </c:pt>
                <c:pt idx="377">
                  <c:v>2021-08-18</c:v>
                </c:pt>
                <c:pt idx="378">
                  <c:v>2021-08-19</c:v>
                </c:pt>
                <c:pt idx="379">
                  <c:v>2021-08-20</c:v>
                </c:pt>
                <c:pt idx="380">
                  <c:v>2021-08-22</c:v>
                </c:pt>
                <c:pt idx="381">
                  <c:v>2021-08-23</c:v>
                </c:pt>
                <c:pt idx="382">
                  <c:v>2021-08-24</c:v>
                </c:pt>
                <c:pt idx="383">
                  <c:v>2021-08-25</c:v>
                </c:pt>
                <c:pt idx="384">
                  <c:v>2021-08-26</c:v>
                </c:pt>
                <c:pt idx="385">
                  <c:v>2021-08-27</c:v>
                </c:pt>
                <c:pt idx="386">
                  <c:v>2021-08-29</c:v>
                </c:pt>
                <c:pt idx="387">
                  <c:v>2021-08-30</c:v>
                </c:pt>
                <c:pt idx="388">
                  <c:v>2021-08-31</c:v>
                </c:pt>
                <c:pt idx="389">
                  <c:v>2021-09-01</c:v>
                </c:pt>
                <c:pt idx="390">
                  <c:v>2021-09-02</c:v>
                </c:pt>
                <c:pt idx="391">
                  <c:v>2021-09-03</c:v>
                </c:pt>
                <c:pt idx="392">
                  <c:v>2021-09-04</c:v>
                </c:pt>
                <c:pt idx="393">
                  <c:v>2021-09-06</c:v>
                </c:pt>
                <c:pt idx="394">
                  <c:v>2021-09-07</c:v>
                </c:pt>
                <c:pt idx="395">
                  <c:v>2021-09-08</c:v>
                </c:pt>
                <c:pt idx="396">
                  <c:v>2021-09-09</c:v>
                </c:pt>
                <c:pt idx="397">
                  <c:v>2021-09-10</c:v>
                </c:pt>
                <c:pt idx="398">
                  <c:v>2021-09-13</c:v>
                </c:pt>
                <c:pt idx="399">
                  <c:v>2021-09-14</c:v>
                </c:pt>
                <c:pt idx="400">
                  <c:v>2021-09-15</c:v>
                </c:pt>
                <c:pt idx="401">
                  <c:v>2021-09-16</c:v>
                </c:pt>
                <c:pt idx="402">
                  <c:v>2021-09-17</c:v>
                </c:pt>
                <c:pt idx="403">
                  <c:v>2021-09-19</c:v>
                </c:pt>
                <c:pt idx="404">
                  <c:v>2021-09-20</c:v>
                </c:pt>
                <c:pt idx="405">
                  <c:v>2021-09-21</c:v>
                </c:pt>
                <c:pt idx="406">
                  <c:v>2021-09-22</c:v>
                </c:pt>
                <c:pt idx="407">
                  <c:v>2021-09-23</c:v>
                </c:pt>
                <c:pt idx="408">
                  <c:v>2021-09-24</c:v>
                </c:pt>
                <c:pt idx="409">
                  <c:v>2021-09-27</c:v>
                </c:pt>
                <c:pt idx="410">
                  <c:v>2021-09-28</c:v>
                </c:pt>
                <c:pt idx="411">
                  <c:v>2021-09-30</c:v>
                </c:pt>
                <c:pt idx="412">
                  <c:v>2021-10-01</c:v>
                </c:pt>
                <c:pt idx="413">
                  <c:v>2021-10-02</c:v>
                </c:pt>
                <c:pt idx="414">
                  <c:v>2021-10-03</c:v>
                </c:pt>
                <c:pt idx="415">
                  <c:v>2021-10-04</c:v>
                </c:pt>
                <c:pt idx="416">
                  <c:v>2021-10-05</c:v>
                </c:pt>
                <c:pt idx="417">
                  <c:v>2021-10-06</c:v>
                </c:pt>
                <c:pt idx="418">
                  <c:v>2021-10-07</c:v>
                </c:pt>
                <c:pt idx="419">
                  <c:v>2021-10-08</c:v>
                </c:pt>
                <c:pt idx="420">
                  <c:v>2021-10-17</c:v>
                </c:pt>
                <c:pt idx="421">
                  <c:v>2021-10-18</c:v>
                </c:pt>
                <c:pt idx="422">
                  <c:v>2021-10-19</c:v>
                </c:pt>
                <c:pt idx="423">
                  <c:v>2021-10-20</c:v>
                </c:pt>
                <c:pt idx="424">
                  <c:v>2021-10-21</c:v>
                </c:pt>
                <c:pt idx="425">
                  <c:v>2021-10-22</c:v>
                </c:pt>
                <c:pt idx="426">
                  <c:v>2021-10-24</c:v>
                </c:pt>
                <c:pt idx="427">
                  <c:v>2021-10-25</c:v>
                </c:pt>
                <c:pt idx="428">
                  <c:v>2021-10-26</c:v>
                </c:pt>
                <c:pt idx="429">
                  <c:v>2021-10-27</c:v>
                </c:pt>
                <c:pt idx="430">
                  <c:v>2021-10-28</c:v>
                </c:pt>
                <c:pt idx="431">
                  <c:v>2021-10-29</c:v>
                </c:pt>
                <c:pt idx="432">
                  <c:v>2021-10-31</c:v>
                </c:pt>
                <c:pt idx="433">
                  <c:v>2021-11-01</c:v>
                </c:pt>
                <c:pt idx="434">
                  <c:v>2021-11-02</c:v>
                </c:pt>
                <c:pt idx="435">
                  <c:v>2021-11-03</c:v>
                </c:pt>
                <c:pt idx="436">
                  <c:v>2021-11-04</c:v>
                </c:pt>
                <c:pt idx="437">
                  <c:v>2021-11-05</c:v>
                </c:pt>
                <c:pt idx="438">
                  <c:v>2021-11-08</c:v>
                </c:pt>
                <c:pt idx="439">
                  <c:v>2021-11-09</c:v>
                </c:pt>
                <c:pt idx="440">
                  <c:v>2021-11-10</c:v>
                </c:pt>
                <c:pt idx="441">
                  <c:v>2021-11-11</c:v>
                </c:pt>
                <c:pt idx="442">
                  <c:v>2021-11-12</c:v>
                </c:pt>
                <c:pt idx="443">
                  <c:v>2021-11-15</c:v>
                </c:pt>
                <c:pt idx="444">
                  <c:v>2021-11-16</c:v>
                </c:pt>
                <c:pt idx="445">
                  <c:v>2021-11-17</c:v>
                </c:pt>
                <c:pt idx="446">
                  <c:v>2021-11-18</c:v>
                </c:pt>
                <c:pt idx="447">
                  <c:v>2021-11-19</c:v>
                </c:pt>
                <c:pt idx="448">
                  <c:v>2021-11-22</c:v>
                </c:pt>
                <c:pt idx="449">
                  <c:v>2021-11-23</c:v>
                </c:pt>
                <c:pt idx="450">
                  <c:v>2021-11-24</c:v>
                </c:pt>
                <c:pt idx="451">
                  <c:v>2021-11-25</c:v>
                </c:pt>
                <c:pt idx="452">
                  <c:v>2021-11-26</c:v>
                </c:pt>
                <c:pt idx="453">
                  <c:v>2021-11-28</c:v>
                </c:pt>
                <c:pt idx="454">
                  <c:v>2021-11-29</c:v>
                </c:pt>
                <c:pt idx="455">
                  <c:v>2021-11-30</c:v>
                </c:pt>
                <c:pt idx="456">
                  <c:v>2021-12-01</c:v>
                </c:pt>
                <c:pt idx="457">
                  <c:v>2021-12-02</c:v>
                </c:pt>
                <c:pt idx="458">
                  <c:v>2021-12-03</c:v>
                </c:pt>
                <c:pt idx="459">
                  <c:v>2021-12-06</c:v>
                </c:pt>
                <c:pt idx="460">
                  <c:v>2021-12-07</c:v>
                </c:pt>
                <c:pt idx="461">
                  <c:v>2021-12-08</c:v>
                </c:pt>
                <c:pt idx="462">
                  <c:v>2021-12-09</c:v>
                </c:pt>
                <c:pt idx="463">
                  <c:v>2021-12-10</c:v>
                </c:pt>
                <c:pt idx="464">
                  <c:v>2021-12-11</c:v>
                </c:pt>
                <c:pt idx="465">
                  <c:v>2021-12-14</c:v>
                </c:pt>
                <c:pt idx="466">
                  <c:v>2021-12-15</c:v>
                </c:pt>
                <c:pt idx="467">
                  <c:v>2021-12-16</c:v>
                </c:pt>
                <c:pt idx="468">
                  <c:v>2021-12-17</c:v>
                </c:pt>
                <c:pt idx="469">
                  <c:v>2021-12-19</c:v>
                </c:pt>
                <c:pt idx="470">
                  <c:v>2021-12-20</c:v>
                </c:pt>
                <c:pt idx="471">
                  <c:v>2021-12-21</c:v>
                </c:pt>
                <c:pt idx="472">
                  <c:v>2021-12-22</c:v>
                </c:pt>
                <c:pt idx="473">
                  <c:v>2021-12-23</c:v>
                </c:pt>
                <c:pt idx="474">
                  <c:v>2021-12-26</c:v>
                </c:pt>
                <c:pt idx="475">
                  <c:v>2021-12-27</c:v>
                </c:pt>
                <c:pt idx="476">
                  <c:v>2021-12-28</c:v>
                </c:pt>
                <c:pt idx="477">
                  <c:v>2021-12-29</c:v>
                </c:pt>
                <c:pt idx="478">
                  <c:v>2021-12-30</c:v>
                </c:pt>
              </c:strCache>
            </c:strRef>
          </c:cat>
          <c:val>
            <c:numRef>
              <c:f>C1_XbarR_s1!$M$16:$M$494</c:f>
              <c:numCache>
                <c:formatCode>0.0%</c:formatCode>
                <c:ptCount val="479"/>
                <c:pt idx="0">
                  <c:v>0.720507977601356</c:v>
                </c:pt>
                <c:pt idx="1">
                  <c:v>0.720507977601356</c:v>
                </c:pt>
                <c:pt idx="2">
                  <c:v>0.720507977601356</c:v>
                </c:pt>
                <c:pt idx="3">
                  <c:v>0.720507977601356</c:v>
                </c:pt>
                <c:pt idx="4">
                  <c:v>0.720507977601356</c:v>
                </c:pt>
                <c:pt idx="5">
                  <c:v>0.720507977601356</c:v>
                </c:pt>
                <c:pt idx="6">
                  <c:v>0.720507977601356</c:v>
                </c:pt>
                <c:pt idx="7">
                  <c:v>0.720507977601356</c:v>
                </c:pt>
                <c:pt idx="8">
                  <c:v>0.720507977601356</c:v>
                </c:pt>
                <c:pt idx="9">
                  <c:v>0.720507977601356</c:v>
                </c:pt>
                <c:pt idx="10">
                  <c:v>0.720507977601356</c:v>
                </c:pt>
                <c:pt idx="11">
                  <c:v>0.720507977601356</c:v>
                </c:pt>
                <c:pt idx="12">
                  <c:v>0.720507977601356</c:v>
                </c:pt>
                <c:pt idx="13">
                  <c:v>0.720507977601356</c:v>
                </c:pt>
                <c:pt idx="14">
                  <c:v>0.720507977601356</c:v>
                </c:pt>
                <c:pt idx="15">
                  <c:v>0.720507977601356</c:v>
                </c:pt>
                <c:pt idx="16">
                  <c:v>0.720507977601356</c:v>
                </c:pt>
                <c:pt idx="17">
                  <c:v>0.720507977601356</c:v>
                </c:pt>
                <c:pt idx="18">
                  <c:v>0.720507977601356</c:v>
                </c:pt>
                <c:pt idx="19">
                  <c:v>0.720507977601356</c:v>
                </c:pt>
                <c:pt idx="20">
                  <c:v>0.720507977601356</c:v>
                </c:pt>
                <c:pt idx="21">
                  <c:v>0.720507977601356</c:v>
                </c:pt>
                <c:pt idx="22">
                  <c:v>0.720507977601356</c:v>
                </c:pt>
                <c:pt idx="23">
                  <c:v>0.720507977601356</c:v>
                </c:pt>
                <c:pt idx="24">
                  <c:v>0.720507977601356</c:v>
                </c:pt>
                <c:pt idx="25">
                  <c:v>0.720507977601356</c:v>
                </c:pt>
                <c:pt idx="26">
                  <c:v>0.720507977601356</c:v>
                </c:pt>
                <c:pt idx="27">
                  <c:v>0.720507977601356</c:v>
                </c:pt>
                <c:pt idx="28">
                  <c:v>0.720507977601356</c:v>
                </c:pt>
                <c:pt idx="29">
                  <c:v>0.720507977601356</c:v>
                </c:pt>
                <c:pt idx="30">
                  <c:v>0.720507977601356</c:v>
                </c:pt>
                <c:pt idx="31">
                  <c:v>0.720507977601356</c:v>
                </c:pt>
                <c:pt idx="32">
                  <c:v>0.720507977601356</c:v>
                </c:pt>
                <c:pt idx="33">
                  <c:v>0.720507977601356</c:v>
                </c:pt>
                <c:pt idx="34">
                  <c:v>0.720507977601356</c:v>
                </c:pt>
                <c:pt idx="35">
                  <c:v>0.720507977601356</c:v>
                </c:pt>
                <c:pt idx="36">
                  <c:v>0.720507977601356</c:v>
                </c:pt>
                <c:pt idx="37">
                  <c:v>0.720507977601356</c:v>
                </c:pt>
                <c:pt idx="38">
                  <c:v>0.720507977601356</c:v>
                </c:pt>
                <c:pt idx="39">
                  <c:v>0.720507977601356</c:v>
                </c:pt>
                <c:pt idx="40">
                  <c:v>0.720507977601356</c:v>
                </c:pt>
                <c:pt idx="41">
                  <c:v>0.720507977601356</c:v>
                </c:pt>
                <c:pt idx="42">
                  <c:v>0.720507977601356</c:v>
                </c:pt>
                <c:pt idx="43">
                  <c:v>0.720507977601356</c:v>
                </c:pt>
                <c:pt idx="44">
                  <c:v>0.720507977601356</c:v>
                </c:pt>
                <c:pt idx="45">
                  <c:v>0.720507977601356</c:v>
                </c:pt>
                <c:pt idx="46">
                  <c:v>0.720507977601356</c:v>
                </c:pt>
                <c:pt idx="47">
                  <c:v>0.720507977601356</c:v>
                </c:pt>
                <c:pt idx="48">
                  <c:v>0.720507977601356</c:v>
                </c:pt>
                <c:pt idx="49">
                  <c:v>0.720507977601356</c:v>
                </c:pt>
                <c:pt idx="50">
                  <c:v>0.720507977601356</c:v>
                </c:pt>
                <c:pt idx="51">
                  <c:v>0.720507977601356</c:v>
                </c:pt>
                <c:pt idx="52">
                  <c:v>0.720507977601356</c:v>
                </c:pt>
                <c:pt idx="53">
                  <c:v>0.720507977601356</c:v>
                </c:pt>
                <c:pt idx="54">
                  <c:v>0.720507977601356</c:v>
                </c:pt>
                <c:pt idx="55">
                  <c:v>0.720507977601356</c:v>
                </c:pt>
                <c:pt idx="56">
                  <c:v>0.720507977601356</c:v>
                </c:pt>
                <c:pt idx="57">
                  <c:v>0.720507977601356</c:v>
                </c:pt>
                <c:pt idx="58">
                  <c:v>0.720507977601356</c:v>
                </c:pt>
                <c:pt idx="59">
                  <c:v>0.720507977601356</c:v>
                </c:pt>
                <c:pt idx="60">
                  <c:v>0.720507977601356</c:v>
                </c:pt>
                <c:pt idx="61">
                  <c:v>0.720507977601356</c:v>
                </c:pt>
                <c:pt idx="62">
                  <c:v>0.720507977601356</c:v>
                </c:pt>
                <c:pt idx="63">
                  <c:v>0.720507977601356</c:v>
                </c:pt>
                <c:pt idx="64">
                  <c:v>0.720507977601356</c:v>
                </c:pt>
                <c:pt idx="65">
                  <c:v>0.720507977601356</c:v>
                </c:pt>
                <c:pt idx="66">
                  <c:v>0.720507977601356</c:v>
                </c:pt>
                <c:pt idx="67">
                  <c:v>0.720507977601356</c:v>
                </c:pt>
                <c:pt idx="68">
                  <c:v>0.720507977601356</c:v>
                </c:pt>
                <c:pt idx="69">
                  <c:v>0.720507977601356</c:v>
                </c:pt>
                <c:pt idx="70">
                  <c:v>0.720507977601356</c:v>
                </c:pt>
                <c:pt idx="71">
                  <c:v>0.720507977601356</c:v>
                </c:pt>
                <c:pt idx="72">
                  <c:v>0.720507977601356</c:v>
                </c:pt>
                <c:pt idx="73">
                  <c:v>0.720507977601356</c:v>
                </c:pt>
                <c:pt idx="74">
                  <c:v>0.720507977601356</c:v>
                </c:pt>
                <c:pt idx="75">
                  <c:v>0.720507977601356</c:v>
                </c:pt>
                <c:pt idx="76">
                  <c:v>0.720507977601356</c:v>
                </c:pt>
                <c:pt idx="77">
                  <c:v>0.720507977601356</c:v>
                </c:pt>
                <c:pt idx="78">
                  <c:v>0.720507977601356</c:v>
                </c:pt>
                <c:pt idx="79">
                  <c:v>0.720507977601356</c:v>
                </c:pt>
                <c:pt idx="80">
                  <c:v>0.720507977601356</c:v>
                </c:pt>
                <c:pt idx="81">
                  <c:v>0.720507977601356</c:v>
                </c:pt>
                <c:pt idx="82">
                  <c:v>0.720507977601356</c:v>
                </c:pt>
                <c:pt idx="83">
                  <c:v>0.720507977601356</c:v>
                </c:pt>
                <c:pt idx="84">
                  <c:v>0.720507977601356</c:v>
                </c:pt>
                <c:pt idx="85">
                  <c:v>0.720507977601356</c:v>
                </c:pt>
                <c:pt idx="86">
                  <c:v>0.720507977601356</c:v>
                </c:pt>
                <c:pt idx="87">
                  <c:v>0.720507977601356</c:v>
                </c:pt>
                <c:pt idx="88">
                  <c:v>0.720507977601356</c:v>
                </c:pt>
                <c:pt idx="89">
                  <c:v>0.720507977601356</c:v>
                </c:pt>
                <c:pt idx="90">
                  <c:v>0.720507977601356</c:v>
                </c:pt>
                <c:pt idx="91">
                  <c:v>0.720507977601356</c:v>
                </c:pt>
                <c:pt idx="92">
                  <c:v>0.720507977601356</c:v>
                </c:pt>
                <c:pt idx="93">
                  <c:v>0.720507977601356</c:v>
                </c:pt>
                <c:pt idx="94">
                  <c:v>0.720507977601356</c:v>
                </c:pt>
                <c:pt idx="95">
                  <c:v>0.720507977601356</c:v>
                </c:pt>
                <c:pt idx="96">
                  <c:v>0.720507977601356</c:v>
                </c:pt>
                <c:pt idx="97">
                  <c:v>0.720507977601356</c:v>
                </c:pt>
                <c:pt idx="98">
                  <c:v>0.720507977601356</c:v>
                </c:pt>
                <c:pt idx="99">
                  <c:v>0.720507977601356</c:v>
                </c:pt>
                <c:pt idx="100">
                  <c:v>0.720507977601356</c:v>
                </c:pt>
                <c:pt idx="101">
                  <c:v>0.720507977601356</c:v>
                </c:pt>
                <c:pt idx="102">
                  <c:v>0.720507977601356</c:v>
                </c:pt>
                <c:pt idx="103">
                  <c:v>0.720507977601356</c:v>
                </c:pt>
                <c:pt idx="104">
                  <c:v>0.720507977601356</c:v>
                </c:pt>
                <c:pt idx="105">
                  <c:v>0.720507977601356</c:v>
                </c:pt>
                <c:pt idx="106">
                  <c:v>0.720507977601356</c:v>
                </c:pt>
                <c:pt idx="107">
                  <c:v>0.720507977601356</c:v>
                </c:pt>
                <c:pt idx="108">
                  <c:v>0.720507977601356</c:v>
                </c:pt>
                <c:pt idx="109">
                  <c:v>0.720507977601356</c:v>
                </c:pt>
                <c:pt idx="110">
                  <c:v>0.720507977601356</c:v>
                </c:pt>
                <c:pt idx="111">
                  <c:v>0.720507977601356</c:v>
                </c:pt>
                <c:pt idx="112">
                  <c:v>0.720507977601356</c:v>
                </c:pt>
                <c:pt idx="113">
                  <c:v>0.720507977601356</c:v>
                </c:pt>
                <c:pt idx="114">
                  <c:v>0.720507977601356</c:v>
                </c:pt>
                <c:pt idx="115">
                  <c:v>0.720507977601356</c:v>
                </c:pt>
                <c:pt idx="116">
                  <c:v>0.720507977601356</c:v>
                </c:pt>
                <c:pt idx="117">
                  <c:v>0.720507977601356</c:v>
                </c:pt>
                <c:pt idx="118">
                  <c:v>0.720507977601356</c:v>
                </c:pt>
                <c:pt idx="119">
                  <c:v>0.720507977601356</c:v>
                </c:pt>
                <c:pt idx="120">
                  <c:v>0.720507977601356</c:v>
                </c:pt>
                <c:pt idx="121">
                  <c:v>0.720507977601356</c:v>
                </c:pt>
                <c:pt idx="122">
                  <c:v>0.720507977601356</c:v>
                </c:pt>
                <c:pt idx="123">
                  <c:v>0.720507977601356</c:v>
                </c:pt>
                <c:pt idx="124">
                  <c:v>0.720507977601356</c:v>
                </c:pt>
                <c:pt idx="125">
                  <c:v>0.720507977601356</c:v>
                </c:pt>
                <c:pt idx="126">
                  <c:v>0.720507977601356</c:v>
                </c:pt>
                <c:pt idx="127">
                  <c:v>0.720507977601356</c:v>
                </c:pt>
                <c:pt idx="128">
                  <c:v>0.720507977601356</c:v>
                </c:pt>
                <c:pt idx="129">
                  <c:v>0.720507977601356</c:v>
                </c:pt>
                <c:pt idx="130">
                  <c:v>0.720507977601356</c:v>
                </c:pt>
                <c:pt idx="131">
                  <c:v>0.720507977601356</c:v>
                </c:pt>
                <c:pt idx="132">
                  <c:v>0.720507977601356</c:v>
                </c:pt>
                <c:pt idx="133">
                  <c:v>0.720507977601356</c:v>
                </c:pt>
                <c:pt idx="134">
                  <c:v>0.720507977601356</c:v>
                </c:pt>
                <c:pt idx="135">
                  <c:v>0.720507977601356</c:v>
                </c:pt>
                <c:pt idx="136">
                  <c:v>0.720507977601356</c:v>
                </c:pt>
                <c:pt idx="137">
                  <c:v>0.720507977601356</c:v>
                </c:pt>
                <c:pt idx="138">
                  <c:v>0.720507977601356</c:v>
                </c:pt>
                <c:pt idx="139">
                  <c:v>0.720507977601356</c:v>
                </c:pt>
                <c:pt idx="140">
                  <c:v>0.720507977601356</c:v>
                </c:pt>
                <c:pt idx="141">
                  <c:v>0.720507977601356</c:v>
                </c:pt>
                <c:pt idx="142">
                  <c:v>0.720507977601356</c:v>
                </c:pt>
                <c:pt idx="143">
                  <c:v>0.720507977601356</c:v>
                </c:pt>
                <c:pt idx="144">
                  <c:v>0.720507977601356</c:v>
                </c:pt>
                <c:pt idx="145">
                  <c:v>0.720507977601356</c:v>
                </c:pt>
                <c:pt idx="146">
                  <c:v>0.720507977601356</c:v>
                </c:pt>
                <c:pt idx="147">
                  <c:v>0.720507977601356</c:v>
                </c:pt>
                <c:pt idx="148">
                  <c:v>0.720507977601356</c:v>
                </c:pt>
                <c:pt idx="149">
                  <c:v>0.720507977601356</c:v>
                </c:pt>
                <c:pt idx="150">
                  <c:v>0.720507977601356</c:v>
                </c:pt>
                <c:pt idx="151">
                  <c:v>0.720507977601356</c:v>
                </c:pt>
                <c:pt idx="152">
                  <c:v>0.720507977601356</c:v>
                </c:pt>
                <c:pt idx="153">
                  <c:v>0.720507977601356</c:v>
                </c:pt>
                <c:pt idx="154">
                  <c:v>0.720507977601356</c:v>
                </c:pt>
                <c:pt idx="155">
                  <c:v>0.720507977601356</c:v>
                </c:pt>
                <c:pt idx="156">
                  <c:v>0.720507977601356</c:v>
                </c:pt>
                <c:pt idx="157">
                  <c:v>0.720507977601356</c:v>
                </c:pt>
                <c:pt idx="158">
                  <c:v>0.720507977601356</c:v>
                </c:pt>
                <c:pt idx="159">
                  <c:v>0.720507977601356</c:v>
                </c:pt>
                <c:pt idx="160">
                  <c:v>0.720507977601356</c:v>
                </c:pt>
                <c:pt idx="161">
                  <c:v>0.720507977601356</c:v>
                </c:pt>
                <c:pt idx="162">
                  <c:v>0.720507977601356</c:v>
                </c:pt>
                <c:pt idx="163">
                  <c:v>0.720507977601356</c:v>
                </c:pt>
                <c:pt idx="164">
                  <c:v>0.720507977601356</c:v>
                </c:pt>
                <c:pt idx="165">
                  <c:v>0.720507977601356</c:v>
                </c:pt>
                <c:pt idx="166">
                  <c:v>0.720507977601356</c:v>
                </c:pt>
                <c:pt idx="167">
                  <c:v>0.720507977601356</c:v>
                </c:pt>
                <c:pt idx="168">
                  <c:v>0.720507977601356</c:v>
                </c:pt>
                <c:pt idx="169">
                  <c:v>0.720507977601356</c:v>
                </c:pt>
                <c:pt idx="170">
                  <c:v>0.720507977601356</c:v>
                </c:pt>
                <c:pt idx="171">
                  <c:v>0.720507977601356</c:v>
                </c:pt>
                <c:pt idx="172">
                  <c:v>0.720507977601356</c:v>
                </c:pt>
                <c:pt idx="173">
                  <c:v>0.720507977601356</c:v>
                </c:pt>
                <c:pt idx="174">
                  <c:v>0.720507977601356</c:v>
                </c:pt>
                <c:pt idx="175">
                  <c:v>0.720507977601356</c:v>
                </c:pt>
                <c:pt idx="176">
                  <c:v>0.720507977601356</c:v>
                </c:pt>
                <c:pt idx="177">
                  <c:v>0.720507977601356</c:v>
                </c:pt>
                <c:pt idx="178">
                  <c:v>0.720507977601356</c:v>
                </c:pt>
                <c:pt idx="179">
                  <c:v>0.720507977601356</c:v>
                </c:pt>
                <c:pt idx="180">
                  <c:v>0.720507977601356</c:v>
                </c:pt>
                <c:pt idx="181">
                  <c:v>0.720507977601356</c:v>
                </c:pt>
                <c:pt idx="182">
                  <c:v>0.720507977601356</c:v>
                </c:pt>
                <c:pt idx="183">
                  <c:v>0.720507977601356</c:v>
                </c:pt>
                <c:pt idx="184">
                  <c:v>0.720507977601356</c:v>
                </c:pt>
                <c:pt idx="185">
                  <c:v>0.720507977601356</c:v>
                </c:pt>
                <c:pt idx="186">
                  <c:v>0.720507977601356</c:v>
                </c:pt>
                <c:pt idx="187">
                  <c:v>0.720507977601356</c:v>
                </c:pt>
                <c:pt idx="188">
                  <c:v>0.720507977601356</c:v>
                </c:pt>
                <c:pt idx="189">
                  <c:v>0.720507977601356</c:v>
                </c:pt>
                <c:pt idx="190">
                  <c:v>0.720507977601356</c:v>
                </c:pt>
                <c:pt idx="191">
                  <c:v>0.720507977601356</c:v>
                </c:pt>
                <c:pt idx="192">
                  <c:v>0.720507977601356</c:v>
                </c:pt>
                <c:pt idx="193">
                  <c:v>0.720507977601356</c:v>
                </c:pt>
                <c:pt idx="194">
                  <c:v>0.720507977601356</c:v>
                </c:pt>
                <c:pt idx="195">
                  <c:v>0.720507977601356</c:v>
                </c:pt>
                <c:pt idx="196">
                  <c:v>0.720507977601356</c:v>
                </c:pt>
                <c:pt idx="197">
                  <c:v>0.720507977601356</c:v>
                </c:pt>
                <c:pt idx="198">
                  <c:v>0.720507977601356</c:v>
                </c:pt>
                <c:pt idx="199">
                  <c:v>0.720507977601356</c:v>
                </c:pt>
                <c:pt idx="200">
                  <c:v>0.720507977601356</c:v>
                </c:pt>
                <c:pt idx="201">
                  <c:v>0.720507977601356</c:v>
                </c:pt>
                <c:pt idx="202">
                  <c:v>0.720507977601356</c:v>
                </c:pt>
                <c:pt idx="203">
                  <c:v>0.720507977601356</c:v>
                </c:pt>
                <c:pt idx="204">
                  <c:v>0.720507977601356</c:v>
                </c:pt>
                <c:pt idx="205">
                  <c:v>0.720507977601356</c:v>
                </c:pt>
                <c:pt idx="206">
                  <c:v>0.720507977601356</c:v>
                </c:pt>
                <c:pt idx="207">
                  <c:v>0.720507977601356</c:v>
                </c:pt>
                <c:pt idx="208">
                  <c:v>0.720507977601356</c:v>
                </c:pt>
                <c:pt idx="209">
                  <c:v>0.720507977601356</c:v>
                </c:pt>
                <c:pt idx="210">
                  <c:v>0.720507977601356</c:v>
                </c:pt>
                <c:pt idx="211">
                  <c:v>0.720507977601356</c:v>
                </c:pt>
                <c:pt idx="212">
                  <c:v>0.720507977601356</c:v>
                </c:pt>
                <c:pt idx="213">
                  <c:v>0.720507977601356</c:v>
                </c:pt>
                <c:pt idx="214">
                  <c:v>0.720507977601356</c:v>
                </c:pt>
                <c:pt idx="215">
                  <c:v>0.720507977601356</c:v>
                </c:pt>
                <c:pt idx="216">
                  <c:v>0.720507977601356</c:v>
                </c:pt>
                <c:pt idx="217">
                  <c:v>0.720507977601356</c:v>
                </c:pt>
                <c:pt idx="218">
                  <c:v>0.720507977601356</c:v>
                </c:pt>
                <c:pt idx="219">
                  <c:v>0.720507977601356</c:v>
                </c:pt>
                <c:pt idx="220">
                  <c:v>0.720507977601356</c:v>
                </c:pt>
                <c:pt idx="221">
                  <c:v>0.720507977601356</c:v>
                </c:pt>
                <c:pt idx="222">
                  <c:v>0.720507977601356</c:v>
                </c:pt>
                <c:pt idx="223">
                  <c:v>0.720507977601356</c:v>
                </c:pt>
                <c:pt idx="224">
                  <c:v>0.720507977601356</c:v>
                </c:pt>
                <c:pt idx="225">
                  <c:v>0.720507977601356</c:v>
                </c:pt>
                <c:pt idx="226">
                  <c:v>0.720507977601356</c:v>
                </c:pt>
                <c:pt idx="227">
                  <c:v>0.720507977601356</c:v>
                </c:pt>
                <c:pt idx="228">
                  <c:v>0.720507977601356</c:v>
                </c:pt>
                <c:pt idx="229">
                  <c:v>0.720507977601356</c:v>
                </c:pt>
                <c:pt idx="230">
                  <c:v>0.720507977601356</c:v>
                </c:pt>
                <c:pt idx="231">
                  <c:v>0.720507977601356</c:v>
                </c:pt>
                <c:pt idx="232">
                  <c:v>0.720507977601356</c:v>
                </c:pt>
                <c:pt idx="233">
                  <c:v>0.720507977601356</c:v>
                </c:pt>
                <c:pt idx="234">
                  <c:v>0.720507977601356</c:v>
                </c:pt>
                <c:pt idx="235">
                  <c:v>0.720507977601356</c:v>
                </c:pt>
                <c:pt idx="236">
                  <c:v>0.720507977601356</c:v>
                </c:pt>
                <c:pt idx="237">
                  <c:v>0.720507977601356</c:v>
                </c:pt>
                <c:pt idx="238">
                  <c:v>0.720507977601356</c:v>
                </c:pt>
                <c:pt idx="239">
                  <c:v>0.720507977601356</c:v>
                </c:pt>
                <c:pt idx="240">
                  <c:v>0.720507977601356</c:v>
                </c:pt>
                <c:pt idx="241">
                  <c:v>0.720507977601356</c:v>
                </c:pt>
                <c:pt idx="242">
                  <c:v>0.720507977601356</c:v>
                </c:pt>
                <c:pt idx="243">
                  <c:v>0.720507977601356</c:v>
                </c:pt>
                <c:pt idx="244">
                  <c:v>0.720507977601356</c:v>
                </c:pt>
                <c:pt idx="245">
                  <c:v>0.720507977601356</c:v>
                </c:pt>
                <c:pt idx="246">
                  <c:v>0.720507977601356</c:v>
                </c:pt>
                <c:pt idx="247">
                  <c:v>0.720507977601356</c:v>
                </c:pt>
                <c:pt idx="248">
                  <c:v>0.720507977601356</c:v>
                </c:pt>
                <c:pt idx="249">
                  <c:v>0.720507977601356</c:v>
                </c:pt>
                <c:pt idx="250">
                  <c:v>0.720507977601356</c:v>
                </c:pt>
                <c:pt idx="251">
                  <c:v>0.720507977601356</c:v>
                </c:pt>
                <c:pt idx="252">
                  <c:v>0.720507977601356</c:v>
                </c:pt>
                <c:pt idx="253">
                  <c:v>0.720507977601356</c:v>
                </c:pt>
                <c:pt idx="254">
                  <c:v>0.720507977601356</c:v>
                </c:pt>
                <c:pt idx="255">
                  <c:v>0.720507977601356</c:v>
                </c:pt>
                <c:pt idx="256">
                  <c:v>0.720507977601356</c:v>
                </c:pt>
                <c:pt idx="257">
                  <c:v>0.720507977601356</c:v>
                </c:pt>
                <c:pt idx="258">
                  <c:v>0.720507977601356</c:v>
                </c:pt>
                <c:pt idx="259">
                  <c:v>0.720507977601356</c:v>
                </c:pt>
                <c:pt idx="260">
                  <c:v>0.720507977601356</c:v>
                </c:pt>
                <c:pt idx="261">
                  <c:v>0.720507977601356</c:v>
                </c:pt>
                <c:pt idx="262">
                  <c:v>0.720507977601356</c:v>
                </c:pt>
                <c:pt idx="263">
                  <c:v>0.720507977601356</c:v>
                </c:pt>
                <c:pt idx="264">
                  <c:v>0.720507977601356</c:v>
                </c:pt>
                <c:pt idx="265">
                  <c:v>0.720507977601356</c:v>
                </c:pt>
                <c:pt idx="266">
                  <c:v>0.720507977601356</c:v>
                </c:pt>
                <c:pt idx="267">
                  <c:v>0.720507977601356</c:v>
                </c:pt>
                <c:pt idx="268">
                  <c:v>0.720507977601356</c:v>
                </c:pt>
                <c:pt idx="269">
                  <c:v>0.720507977601356</c:v>
                </c:pt>
                <c:pt idx="270">
                  <c:v>0.720507977601356</c:v>
                </c:pt>
                <c:pt idx="271">
                  <c:v>0.720507977601356</c:v>
                </c:pt>
                <c:pt idx="272">
                  <c:v>0.720507977601356</c:v>
                </c:pt>
                <c:pt idx="273">
                  <c:v>0.720507977601356</c:v>
                </c:pt>
                <c:pt idx="274">
                  <c:v>0.720507977601356</c:v>
                </c:pt>
                <c:pt idx="275">
                  <c:v>0.720507977601356</c:v>
                </c:pt>
                <c:pt idx="276">
                  <c:v>0.720507977601356</c:v>
                </c:pt>
                <c:pt idx="277">
                  <c:v>0.720507977601356</c:v>
                </c:pt>
                <c:pt idx="278">
                  <c:v>0.720507977601356</c:v>
                </c:pt>
                <c:pt idx="279">
                  <c:v>0.720507977601356</c:v>
                </c:pt>
                <c:pt idx="280">
                  <c:v>0.720507977601356</c:v>
                </c:pt>
                <c:pt idx="281">
                  <c:v>0.720507977601356</c:v>
                </c:pt>
                <c:pt idx="282">
                  <c:v>0.720507977601356</c:v>
                </c:pt>
                <c:pt idx="283">
                  <c:v>0.720507977601356</c:v>
                </c:pt>
                <c:pt idx="284">
                  <c:v>0.720507977601356</c:v>
                </c:pt>
                <c:pt idx="285">
                  <c:v>0.720507977601356</c:v>
                </c:pt>
                <c:pt idx="286">
                  <c:v>0.720507977601356</c:v>
                </c:pt>
                <c:pt idx="287">
                  <c:v>0.720507977601356</c:v>
                </c:pt>
                <c:pt idx="288">
                  <c:v>0.720507977601356</c:v>
                </c:pt>
                <c:pt idx="289">
                  <c:v>0.720507977601356</c:v>
                </c:pt>
                <c:pt idx="290">
                  <c:v>0.720507977601356</c:v>
                </c:pt>
                <c:pt idx="291">
                  <c:v>0.720507977601356</c:v>
                </c:pt>
                <c:pt idx="292">
                  <c:v>0.720507977601356</c:v>
                </c:pt>
                <c:pt idx="293">
                  <c:v>0.720507977601356</c:v>
                </c:pt>
                <c:pt idx="294">
                  <c:v>0.720507977601356</c:v>
                </c:pt>
                <c:pt idx="295">
                  <c:v>0.720507977601356</c:v>
                </c:pt>
                <c:pt idx="296">
                  <c:v>0.720507977601356</c:v>
                </c:pt>
                <c:pt idx="297">
                  <c:v>0.720507977601356</c:v>
                </c:pt>
                <c:pt idx="298">
                  <c:v>0.720507977601356</c:v>
                </c:pt>
                <c:pt idx="299">
                  <c:v>0.720507977601356</c:v>
                </c:pt>
                <c:pt idx="300">
                  <c:v>0.720507977601356</c:v>
                </c:pt>
                <c:pt idx="301">
                  <c:v>0.720507977601356</c:v>
                </c:pt>
                <c:pt idx="302">
                  <c:v>0.720507977601356</c:v>
                </c:pt>
                <c:pt idx="303">
                  <c:v>0.720507977601356</c:v>
                </c:pt>
                <c:pt idx="304">
                  <c:v>0.720507977601356</c:v>
                </c:pt>
                <c:pt idx="305">
                  <c:v>0.720507977601356</c:v>
                </c:pt>
                <c:pt idx="306">
                  <c:v>0.720507977601356</c:v>
                </c:pt>
                <c:pt idx="307">
                  <c:v>0.720507977601356</c:v>
                </c:pt>
                <c:pt idx="308">
                  <c:v>0.720507977601356</c:v>
                </c:pt>
                <c:pt idx="309">
                  <c:v>0.720507977601356</c:v>
                </c:pt>
                <c:pt idx="310">
                  <c:v>0.720507977601356</c:v>
                </c:pt>
                <c:pt idx="311">
                  <c:v>0.720507977601356</c:v>
                </c:pt>
                <c:pt idx="312">
                  <c:v>0.720507977601356</c:v>
                </c:pt>
                <c:pt idx="313">
                  <c:v>0.720507977601356</c:v>
                </c:pt>
                <c:pt idx="314">
                  <c:v>0.720507977601356</c:v>
                </c:pt>
                <c:pt idx="315">
                  <c:v>0.720507977601356</c:v>
                </c:pt>
                <c:pt idx="316">
                  <c:v>0.720507977601356</c:v>
                </c:pt>
                <c:pt idx="317">
                  <c:v>0.720507977601356</c:v>
                </c:pt>
                <c:pt idx="318">
                  <c:v>0.720507977601356</c:v>
                </c:pt>
                <c:pt idx="319">
                  <c:v>0.720507977601356</c:v>
                </c:pt>
                <c:pt idx="320">
                  <c:v>0.720507977601356</c:v>
                </c:pt>
                <c:pt idx="321">
                  <c:v>0.720507977601356</c:v>
                </c:pt>
                <c:pt idx="322">
                  <c:v>0.720507977601356</c:v>
                </c:pt>
                <c:pt idx="323">
                  <c:v>0.720507977601356</c:v>
                </c:pt>
                <c:pt idx="324">
                  <c:v>0.720507977601356</c:v>
                </c:pt>
                <c:pt idx="325">
                  <c:v>0.720507977601356</c:v>
                </c:pt>
                <c:pt idx="326">
                  <c:v>0.720507977601356</c:v>
                </c:pt>
                <c:pt idx="327">
                  <c:v>0.720507977601356</c:v>
                </c:pt>
                <c:pt idx="328">
                  <c:v>0.720507977601356</c:v>
                </c:pt>
                <c:pt idx="329">
                  <c:v>0.720507977601356</c:v>
                </c:pt>
                <c:pt idx="330">
                  <c:v>0.720507977601356</c:v>
                </c:pt>
                <c:pt idx="331">
                  <c:v>0.720507977601356</c:v>
                </c:pt>
                <c:pt idx="332">
                  <c:v>0.720507977601356</c:v>
                </c:pt>
                <c:pt idx="333">
                  <c:v>0.720507977601356</c:v>
                </c:pt>
                <c:pt idx="334">
                  <c:v>0.720507977601356</c:v>
                </c:pt>
                <c:pt idx="335">
                  <c:v>0.720507977601356</c:v>
                </c:pt>
                <c:pt idx="336">
                  <c:v>0.720507977601356</c:v>
                </c:pt>
                <c:pt idx="337">
                  <c:v>0.720507977601356</c:v>
                </c:pt>
                <c:pt idx="338">
                  <c:v>0.720507977601356</c:v>
                </c:pt>
                <c:pt idx="339">
                  <c:v>0.720507977601356</c:v>
                </c:pt>
                <c:pt idx="340">
                  <c:v>0.720507977601356</c:v>
                </c:pt>
                <c:pt idx="341">
                  <c:v>0.720507977601356</c:v>
                </c:pt>
                <c:pt idx="342">
                  <c:v>0.720507977601356</c:v>
                </c:pt>
                <c:pt idx="343">
                  <c:v>0.720507977601356</c:v>
                </c:pt>
                <c:pt idx="344">
                  <c:v>0.720507977601356</c:v>
                </c:pt>
                <c:pt idx="345">
                  <c:v>0.720507977601356</c:v>
                </c:pt>
                <c:pt idx="346">
                  <c:v>0.720507977601356</c:v>
                </c:pt>
                <c:pt idx="347">
                  <c:v>0.720507977601356</c:v>
                </c:pt>
                <c:pt idx="348">
                  <c:v>0.720507977601356</c:v>
                </c:pt>
                <c:pt idx="349">
                  <c:v>0.720507977601356</c:v>
                </c:pt>
                <c:pt idx="350">
                  <c:v>0.720507977601356</c:v>
                </c:pt>
                <c:pt idx="351">
                  <c:v>0.720507977601356</c:v>
                </c:pt>
                <c:pt idx="352">
                  <c:v>0.720507977601356</c:v>
                </c:pt>
                <c:pt idx="353">
                  <c:v>0.720507977601356</c:v>
                </c:pt>
                <c:pt idx="354">
                  <c:v>0.720507977601356</c:v>
                </c:pt>
                <c:pt idx="355">
                  <c:v>0.720507977601356</c:v>
                </c:pt>
                <c:pt idx="356">
                  <c:v>0.720507977601356</c:v>
                </c:pt>
                <c:pt idx="357">
                  <c:v>0.720507977601356</c:v>
                </c:pt>
                <c:pt idx="358">
                  <c:v>0.720507977601356</c:v>
                </c:pt>
                <c:pt idx="359">
                  <c:v>0.720507977601356</c:v>
                </c:pt>
                <c:pt idx="360">
                  <c:v>0.720507977601356</c:v>
                </c:pt>
                <c:pt idx="361">
                  <c:v>0.720507977601356</c:v>
                </c:pt>
                <c:pt idx="362">
                  <c:v>0.720507977601356</c:v>
                </c:pt>
                <c:pt idx="363">
                  <c:v>0.720507977601356</c:v>
                </c:pt>
                <c:pt idx="364">
                  <c:v>0.720507977601356</c:v>
                </c:pt>
                <c:pt idx="365">
                  <c:v>0.720507977601356</c:v>
                </c:pt>
                <c:pt idx="366">
                  <c:v>0.720507977601356</c:v>
                </c:pt>
                <c:pt idx="367">
                  <c:v>0.720507977601356</c:v>
                </c:pt>
                <c:pt idx="368">
                  <c:v>0.720507977601356</c:v>
                </c:pt>
                <c:pt idx="369">
                  <c:v>0.720507977601356</c:v>
                </c:pt>
                <c:pt idx="370">
                  <c:v>0.720507977601356</c:v>
                </c:pt>
                <c:pt idx="371">
                  <c:v>0.720507977601356</c:v>
                </c:pt>
                <c:pt idx="372">
                  <c:v>0.720507977601356</c:v>
                </c:pt>
                <c:pt idx="373">
                  <c:v>0.720507977601356</c:v>
                </c:pt>
                <c:pt idx="374">
                  <c:v>0.720507977601356</c:v>
                </c:pt>
                <c:pt idx="375">
                  <c:v>0.720507977601356</c:v>
                </c:pt>
                <c:pt idx="376">
                  <c:v>0.720507977601356</c:v>
                </c:pt>
                <c:pt idx="377">
                  <c:v>0.720507977601356</c:v>
                </c:pt>
                <c:pt idx="378">
                  <c:v>0.720507977601356</c:v>
                </c:pt>
                <c:pt idx="379">
                  <c:v>0.720507977601356</c:v>
                </c:pt>
                <c:pt idx="380">
                  <c:v>0.720507977601356</c:v>
                </c:pt>
                <c:pt idx="381">
                  <c:v>0.720507977601356</c:v>
                </c:pt>
                <c:pt idx="382">
                  <c:v>0.720507977601356</c:v>
                </c:pt>
                <c:pt idx="383">
                  <c:v>0.720507977601356</c:v>
                </c:pt>
                <c:pt idx="384">
                  <c:v>0.720507977601356</c:v>
                </c:pt>
                <c:pt idx="385">
                  <c:v>0.720507977601356</c:v>
                </c:pt>
                <c:pt idx="386">
                  <c:v>0.720507977601356</c:v>
                </c:pt>
                <c:pt idx="387">
                  <c:v>0.720507977601356</c:v>
                </c:pt>
                <c:pt idx="388">
                  <c:v>0.720507977601356</c:v>
                </c:pt>
                <c:pt idx="389">
                  <c:v>0.720507977601356</c:v>
                </c:pt>
                <c:pt idx="390">
                  <c:v>0.720507977601356</c:v>
                </c:pt>
                <c:pt idx="391">
                  <c:v>0.720507977601356</c:v>
                </c:pt>
                <c:pt idx="392">
                  <c:v>0.720507977601356</c:v>
                </c:pt>
                <c:pt idx="393">
                  <c:v>0.720507977601356</c:v>
                </c:pt>
                <c:pt idx="394">
                  <c:v>0.720507977601356</c:v>
                </c:pt>
                <c:pt idx="395">
                  <c:v>0.720507977601356</c:v>
                </c:pt>
                <c:pt idx="396">
                  <c:v>0.720507977601356</c:v>
                </c:pt>
                <c:pt idx="397">
                  <c:v>0.720507977601356</c:v>
                </c:pt>
                <c:pt idx="398">
                  <c:v>0.720507977601356</c:v>
                </c:pt>
                <c:pt idx="399">
                  <c:v>0.720507977601356</c:v>
                </c:pt>
                <c:pt idx="400">
                  <c:v>0.720507977601356</c:v>
                </c:pt>
                <c:pt idx="401">
                  <c:v>0.720507977601356</c:v>
                </c:pt>
                <c:pt idx="402">
                  <c:v>0.720507977601356</c:v>
                </c:pt>
                <c:pt idx="403">
                  <c:v>0.720507977601356</c:v>
                </c:pt>
                <c:pt idx="404">
                  <c:v>0.720507977601356</c:v>
                </c:pt>
                <c:pt idx="405">
                  <c:v>0.720507977601356</c:v>
                </c:pt>
                <c:pt idx="406">
                  <c:v>0.720507977601356</c:v>
                </c:pt>
                <c:pt idx="407">
                  <c:v>0.720507977601356</c:v>
                </c:pt>
                <c:pt idx="408">
                  <c:v>0.720507977601356</c:v>
                </c:pt>
                <c:pt idx="409">
                  <c:v>0.720507977601356</c:v>
                </c:pt>
                <c:pt idx="410">
                  <c:v>0.720507977601356</c:v>
                </c:pt>
                <c:pt idx="411">
                  <c:v>0.720507977601356</c:v>
                </c:pt>
                <c:pt idx="412">
                  <c:v>0.720507977601356</c:v>
                </c:pt>
                <c:pt idx="413">
                  <c:v>0.720507977601356</c:v>
                </c:pt>
                <c:pt idx="414">
                  <c:v>0.720507977601356</c:v>
                </c:pt>
                <c:pt idx="415">
                  <c:v>0.720507977601356</c:v>
                </c:pt>
                <c:pt idx="416">
                  <c:v>0.720507977601356</c:v>
                </c:pt>
                <c:pt idx="417">
                  <c:v>0.720507977601356</c:v>
                </c:pt>
                <c:pt idx="418">
                  <c:v>0.720507977601356</c:v>
                </c:pt>
                <c:pt idx="419">
                  <c:v>0.720507977601356</c:v>
                </c:pt>
                <c:pt idx="420">
                  <c:v>0.720507977601356</c:v>
                </c:pt>
                <c:pt idx="421">
                  <c:v>0.720507977601356</c:v>
                </c:pt>
                <c:pt idx="422">
                  <c:v>0.720507977601356</c:v>
                </c:pt>
                <c:pt idx="423">
                  <c:v>0.720507977601356</c:v>
                </c:pt>
                <c:pt idx="424">
                  <c:v>0.720507977601356</c:v>
                </c:pt>
                <c:pt idx="425">
                  <c:v>0.720507977601356</c:v>
                </c:pt>
                <c:pt idx="426">
                  <c:v>0.720507977601356</c:v>
                </c:pt>
                <c:pt idx="427">
                  <c:v>0.720507977601356</c:v>
                </c:pt>
                <c:pt idx="428">
                  <c:v>0.720507977601356</c:v>
                </c:pt>
                <c:pt idx="429">
                  <c:v>0.720507977601356</c:v>
                </c:pt>
                <c:pt idx="430">
                  <c:v>0.720507977601356</c:v>
                </c:pt>
                <c:pt idx="431">
                  <c:v>0.720507977601356</c:v>
                </c:pt>
                <c:pt idx="432">
                  <c:v>0.720507977601356</c:v>
                </c:pt>
                <c:pt idx="433">
                  <c:v>0.720507977601356</c:v>
                </c:pt>
                <c:pt idx="434">
                  <c:v>0.720507977601356</c:v>
                </c:pt>
                <c:pt idx="435">
                  <c:v>0.720507977601356</c:v>
                </c:pt>
                <c:pt idx="436">
                  <c:v>0.720507977601356</c:v>
                </c:pt>
                <c:pt idx="437">
                  <c:v>0.720507977601356</c:v>
                </c:pt>
                <c:pt idx="438">
                  <c:v>0.720507977601356</c:v>
                </c:pt>
                <c:pt idx="439">
                  <c:v>0.720507977601356</c:v>
                </c:pt>
                <c:pt idx="440">
                  <c:v>0.720507977601356</c:v>
                </c:pt>
                <c:pt idx="441">
                  <c:v>0.720507977601356</c:v>
                </c:pt>
                <c:pt idx="442">
                  <c:v>0.720507977601356</c:v>
                </c:pt>
                <c:pt idx="443">
                  <c:v>0.720507977601356</c:v>
                </c:pt>
                <c:pt idx="444">
                  <c:v>0.720507977601356</c:v>
                </c:pt>
                <c:pt idx="445">
                  <c:v>0.720507977601356</c:v>
                </c:pt>
                <c:pt idx="446">
                  <c:v>0.720507977601356</c:v>
                </c:pt>
                <c:pt idx="447">
                  <c:v>0.720507977601356</c:v>
                </c:pt>
                <c:pt idx="448">
                  <c:v>0.720507977601356</c:v>
                </c:pt>
                <c:pt idx="449">
                  <c:v>0.720507977601356</c:v>
                </c:pt>
                <c:pt idx="450">
                  <c:v>0.720507977601356</c:v>
                </c:pt>
                <c:pt idx="451">
                  <c:v>0.720507977601356</c:v>
                </c:pt>
                <c:pt idx="452">
                  <c:v>0.720507977601356</c:v>
                </c:pt>
                <c:pt idx="453">
                  <c:v>0.720507977601356</c:v>
                </c:pt>
                <c:pt idx="454">
                  <c:v>0.720507977601356</c:v>
                </c:pt>
                <c:pt idx="455">
                  <c:v>0.720507977601356</c:v>
                </c:pt>
                <c:pt idx="456">
                  <c:v>0.720507977601356</c:v>
                </c:pt>
                <c:pt idx="457">
                  <c:v>0.720507977601356</c:v>
                </c:pt>
                <c:pt idx="458">
                  <c:v>0.720507977601356</c:v>
                </c:pt>
                <c:pt idx="459">
                  <c:v>0.720507977601356</c:v>
                </c:pt>
                <c:pt idx="460">
                  <c:v>0.720507977601356</c:v>
                </c:pt>
                <c:pt idx="461">
                  <c:v>0.720507977601356</c:v>
                </c:pt>
                <c:pt idx="462">
                  <c:v>0.720507977601356</c:v>
                </c:pt>
                <c:pt idx="463">
                  <c:v>0.720507977601356</c:v>
                </c:pt>
                <c:pt idx="464">
                  <c:v>0.720507977601356</c:v>
                </c:pt>
                <c:pt idx="465">
                  <c:v>0.720507977601356</c:v>
                </c:pt>
                <c:pt idx="466">
                  <c:v>0.720507977601356</c:v>
                </c:pt>
                <c:pt idx="467">
                  <c:v>0.720507977601356</c:v>
                </c:pt>
                <c:pt idx="468">
                  <c:v>0.720507977601356</c:v>
                </c:pt>
                <c:pt idx="469">
                  <c:v>0.720507977601356</c:v>
                </c:pt>
                <c:pt idx="470">
                  <c:v>0.720507977601356</c:v>
                </c:pt>
                <c:pt idx="471">
                  <c:v>0.720507977601356</c:v>
                </c:pt>
                <c:pt idx="472">
                  <c:v>0.720507977601356</c:v>
                </c:pt>
                <c:pt idx="473">
                  <c:v>0.720507977601356</c:v>
                </c:pt>
                <c:pt idx="474">
                  <c:v>0.720507977601356</c:v>
                </c:pt>
                <c:pt idx="475">
                  <c:v>0.720507977601356</c:v>
                </c:pt>
                <c:pt idx="476">
                  <c:v>0.720507977601356</c:v>
                </c:pt>
                <c:pt idx="477">
                  <c:v>0.720507977601356</c:v>
                </c:pt>
                <c:pt idx="478">
                  <c:v>0.720507977601356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43143"/>
        <c:axId val="89205780"/>
      </c:lineChart>
      <c:catAx>
        <c:axId val="9674314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05780"/>
        <c:crosses val="autoZero"/>
        <c:auto val="1"/>
        <c:lblAlgn val="ctr"/>
        <c:lblOffset val="100"/>
        <c:noMultiLvlLbl val="0"/>
      </c:catAx>
      <c:valAx>
        <c:axId val="89205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43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48240</xdr:rowOff>
    </xdr:from>
    <xdr:to>
      <xdr:col>7</xdr:col>
      <xdr:colOff>684720</xdr:colOff>
      <xdr:row>25</xdr:row>
      <xdr:rowOff>81000</xdr:rowOff>
    </xdr:to>
    <xdr:graphicFrame>
      <xdr:nvGraphicFramePr>
        <xdr:cNvPr id="0" name="Chart 1"/>
        <xdr:cNvGraphicFramePr/>
      </xdr:nvGraphicFramePr>
      <xdr:xfrm>
        <a:off x="846000" y="228600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7</xdr:row>
      <xdr:rowOff>48240</xdr:rowOff>
    </xdr:from>
    <xdr:to>
      <xdr:col>19</xdr:col>
      <xdr:colOff>475200</xdr:colOff>
      <xdr:row>24</xdr:row>
      <xdr:rowOff>49320</xdr:rowOff>
    </xdr:to>
    <xdr:graphicFrame>
      <xdr:nvGraphicFramePr>
        <xdr:cNvPr id="1" name="Chart 1"/>
        <xdr:cNvGraphicFramePr/>
      </xdr:nvGraphicFramePr>
      <xdr:xfrm>
        <a:off x="6208560" y="1523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126360</xdr:rowOff>
    </xdr:from>
    <xdr:to>
      <xdr:col>4</xdr:col>
      <xdr:colOff>871200</xdr:colOff>
      <xdr:row>45</xdr:row>
      <xdr:rowOff>148320</xdr:rowOff>
    </xdr:to>
    <xdr:graphicFrame>
      <xdr:nvGraphicFramePr>
        <xdr:cNvPr id="2" name="Chart 1"/>
        <xdr:cNvGraphicFramePr/>
      </xdr:nvGraphicFramePr>
      <xdr:xfrm>
        <a:off x="0" y="609588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13</xdr:row>
      <xdr:rowOff>160560</xdr:rowOff>
    </xdr:from>
    <xdr:to>
      <xdr:col>35</xdr:col>
      <xdr:colOff>404280</xdr:colOff>
      <xdr:row>31</xdr:row>
      <xdr:rowOff>76680</xdr:rowOff>
    </xdr:to>
    <xdr:graphicFrame>
      <xdr:nvGraphicFramePr>
        <xdr:cNvPr id="3" name="Chart 1"/>
        <xdr:cNvGraphicFramePr/>
      </xdr:nvGraphicFramePr>
      <xdr:xfrm>
        <a:off x="14550480" y="266688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34</xdr:row>
      <xdr:rowOff>96480</xdr:rowOff>
    </xdr:from>
    <xdr:to>
      <xdr:col>35</xdr:col>
      <xdr:colOff>404280</xdr:colOff>
      <xdr:row>53</xdr:row>
      <xdr:rowOff>76680</xdr:rowOff>
    </xdr:to>
    <xdr:graphicFrame>
      <xdr:nvGraphicFramePr>
        <xdr:cNvPr id="4" name="Chart 2"/>
        <xdr:cNvGraphicFramePr/>
      </xdr:nvGraphicFramePr>
      <xdr:xfrm>
        <a:off x="14550480" y="685800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5" min="3" style="0" width="3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35.05" hidden="false" customHeight="false" outlineLevel="0" collapsed="false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customFormat="false" ht="35.0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s">
        <v>25</v>
      </c>
    </row>
    <row r="8" customFormat="false" ht="35.05" hidden="false" customHeight="false" outlineLevel="0" collapsed="false">
      <c r="A8" s="4" t="s">
        <v>26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</row>
    <row r="9" customFormat="false" ht="23.85" hidden="false" customHeight="false" outlineLevel="0" collapsed="false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37</v>
      </c>
    </row>
    <row r="11" customFormat="false" ht="15" hidden="false" customHeight="false" outlineLevel="0" collapsed="false">
      <c r="A11" s="5" t="s">
        <v>38</v>
      </c>
    </row>
    <row r="12" customFormat="false" ht="15" hidden="false" customHeight="false" outlineLevel="0" collapsed="false">
      <c r="A12" s="6" t="n">
        <v>1234</v>
      </c>
      <c r="B12" s="7" t="s">
        <v>39</v>
      </c>
    </row>
    <row r="13" customFormat="false" ht="15" hidden="false" customHeight="false" outlineLevel="0" collapsed="false">
      <c r="A13" s="7" t="n">
        <f aca="false">1+1</f>
        <v>2</v>
      </c>
      <c r="B13" s="7" t="s">
        <v>40</v>
      </c>
    </row>
    <row r="14" customFormat="false" ht="15" hidden="false" customHeight="false" outlineLevel="0" collapsed="false">
      <c r="A14" s="8" t="n">
        <f aca="false">Inputs!B5</f>
        <v>0.65</v>
      </c>
      <c r="B14" s="7" t="s">
        <v>41</v>
      </c>
    </row>
    <row r="15" customFormat="false" ht="15" hidden="false" customHeight="false" outlineLevel="0" collapsed="false">
      <c r="A15" s="9" t="n">
        <v>0.65</v>
      </c>
      <c r="B15" s="7" t="s">
        <v>42</v>
      </c>
    </row>
    <row r="17" customFormat="false" ht="30" hidden="false" customHeight="true" outlineLevel="0" collapsed="false">
      <c r="A17" s="5" t="s">
        <v>43</v>
      </c>
      <c r="B17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3" t="s">
        <v>47</v>
      </c>
      <c r="B4" s="3" t="s">
        <v>48</v>
      </c>
      <c r="C4" s="3" t="s">
        <v>49</v>
      </c>
      <c r="D4" s="3" t="s">
        <v>50</v>
      </c>
    </row>
    <row r="5" customFormat="false" ht="15" hidden="false" customHeight="false" outlineLevel="0" collapsed="false">
      <c r="A5" s="7" t="s">
        <v>51</v>
      </c>
      <c r="B5" s="10" t="n">
        <v>0.65</v>
      </c>
      <c r="C5" s="7" t="s">
        <v>52</v>
      </c>
      <c r="D5" s="7" t="s">
        <v>53</v>
      </c>
    </row>
    <row r="6" customFormat="false" ht="15" hidden="false" customHeight="false" outlineLevel="0" collapsed="false">
      <c r="A6" s="7" t="s">
        <v>54</v>
      </c>
      <c r="B6" s="10" t="n">
        <v>0.99</v>
      </c>
      <c r="C6" s="7" t="s">
        <v>52</v>
      </c>
      <c r="D6" s="7" t="s">
        <v>55</v>
      </c>
    </row>
    <row r="7" customFormat="false" ht="15" hidden="false" customHeight="false" outlineLevel="0" collapsed="false">
      <c r="A7" s="7" t="s">
        <v>56</v>
      </c>
      <c r="B7" s="10" t="n">
        <v>0.6</v>
      </c>
      <c r="C7" s="7" t="s">
        <v>57</v>
      </c>
      <c r="D7" s="7" t="s">
        <v>58</v>
      </c>
    </row>
    <row r="8" customFormat="false" ht="15" hidden="false" customHeight="false" outlineLevel="0" collapsed="false">
      <c r="A8" s="7" t="s">
        <v>59</v>
      </c>
      <c r="B8" s="10" t="n">
        <v>2</v>
      </c>
      <c r="C8" s="7" t="s">
        <v>60</v>
      </c>
      <c r="D8" s="7" t="s">
        <v>61</v>
      </c>
    </row>
    <row r="9" customFormat="false" ht="15" hidden="false" customHeight="false" outlineLevel="0" collapsed="false">
      <c r="A9" s="7" t="s">
        <v>62</v>
      </c>
      <c r="B9" s="10" t="n">
        <v>4</v>
      </c>
      <c r="C9" s="7" t="s">
        <v>57</v>
      </c>
      <c r="D9" s="7" t="s">
        <v>63</v>
      </c>
    </row>
    <row r="10" customFormat="false" ht="15" hidden="false" customHeight="false" outlineLevel="0" collapsed="false">
      <c r="A10" s="7" t="s">
        <v>64</v>
      </c>
      <c r="B10" s="11" t="n">
        <v>6000</v>
      </c>
      <c r="C10" s="7" t="s">
        <v>57</v>
      </c>
      <c r="D10" s="7" t="s">
        <v>63</v>
      </c>
    </row>
    <row r="11" customFormat="false" ht="15" hidden="false" customHeight="false" outlineLevel="0" collapsed="false">
      <c r="A11" s="7" t="s">
        <v>65</v>
      </c>
      <c r="B11" s="10" t="n">
        <v>0.24</v>
      </c>
      <c r="C11" s="7" t="s">
        <v>52</v>
      </c>
      <c r="D11" s="7" t="s">
        <v>66</v>
      </c>
    </row>
    <row r="12" customFormat="false" ht="15" hidden="false" customHeight="false" outlineLevel="0" collapsed="false">
      <c r="A12" s="7" t="s">
        <v>67</v>
      </c>
      <c r="B12" s="10" t="n">
        <v>7</v>
      </c>
      <c r="C12" s="7" t="s">
        <v>68</v>
      </c>
      <c r="D12" s="7" t="s">
        <v>63</v>
      </c>
    </row>
    <row r="13" customFormat="false" ht="15" hidden="false" customHeight="false" outlineLevel="0" collapsed="false">
      <c r="A13" s="7" t="s">
        <v>69</v>
      </c>
      <c r="B13" s="10" t="n">
        <v>1.5</v>
      </c>
      <c r="C13" s="7" t="s">
        <v>68</v>
      </c>
      <c r="D13" s="7" t="s">
        <v>63</v>
      </c>
    </row>
    <row r="14" customFormat="false" ht="15" hidden="false" customHeight="false" outlineLevel="0" collapsed="false">
      <c r="A14" s="7" t="s">
        <v>70</v>
      </c>
      <c r="B14" s="10" t="n">
        <v>0.98</v>
      </c>
      <c r="C14" s="7" t="s">
        <v>52</v>
      </c>
      <c r="D14" s="7" t="s">
        <v>71</v>
      </c>
    </row>
    <row r="15" customFormat="false" ht="15" hidden="false" customHeight="false" outlineLevel="0" collapsed="false">
      <c r="A15" s="7" t="s">
        <v>72</v>
      </c>
      <c r="B15" s="11" t="n">
        <v>2000</v>
      </c>
      <c r="C15" s="7" t="s">
        <v>73</v>
      </c>
      <c r="D15" s="7" t="s">
        <v>63</v>
      </c>
    </row>
    <row r="16" customFormat="false" ht="15" hidden="false" customHeight="false" outlineLevel="0" collapsed="false">
      <c r="A16" s="7" t="s">
        <v>74</v>
      </c>
      <c r="B16" s="10" t="n">
        <v>8</v>
      </c>
      <c r="C16" s="7" t="s">
        <v>75</v>
      </c>
      <c r="D16" s="7" t="s">
        <v>76</v>
      </c>
    </row>
    <row r="17" customFormat="false" ht="15" hidden="false" customHeight="false" outlineLevel="0" collapsed="false">
      <c r="A17" s="7" t="s">
        <v>77</v>
      </c>
      <c r="B17" s="10" t="n">
        <v>0.15</v>
      </c>
      <c r="C17" s="7" t="s">
        <v>52</v>
      </c>
      <c r="D17" s="7" t="s">
        <v>63</v>
      </c>
    </row>
    <row r="18" customFormat="false" ht="15" hidden="false" customHeight="false" outlineLevel="0" collapsed="false">
      <c r="A18" s="7" t="s">
        <v>78</v>
      </c>
      <c r="B18" s="10" t="n">
        <v>0.4</v>
      </c>
      <c r="C18" s="7" t="s">
        <v>52</v>
      </c>
      <c r="D18" s="7" t="s">
        <v>79</v>
      </c>
    </row>
    <row r="19" customFormat="false" ht="15" hidden="false" customHeight="false" outlineLevel="0" collapsed="false">
      <c r="A19" s="7" t="s">
        <v>80</v>
      </c>
      <c r="B19" s="11" t="n">
        <v>21</v>
      </c>
      <c r="C19" s="7" t="s">
        <v>68</v>
      </c>
      <c r="D19" s="7" t="s">
        <v>63</v>
      </c>
    </row>
    <row r="20" customFormat="false" ht="15" hidden="false" customHeight="false" outlineLevel="0" collapsed="false">
      <c r="A20" s="7" t="s">
        <v>81</v>
      </c>
      <c r="B20" s="10" t="n">
        <v>0.95</v>
      </c>
      <c r="C20" s="7" t="s">
        <v>52</v>
      </c>
      <c r="D20" s="7" t="s">
        <v>71</v>
      </c>
    </row>
    <row r="21" customFormat="false" ht="15" hidden="false" customHeight="false" outlineLevel="0" collapsed="false">
      <c r="A21" s="7" t="s">
        <v>82</v>
      </c>
      <c r="B21" s="11" t="n">
        <v>18000</v>
      </c>
      <c r="C21" s="7" t="s">
        <v>57</v>
      </c>
      <c r="D21" s="7" t="s">
        <v>63</v>
      </c>
    </row>
    <row r="22" customFormat="false" ht="15" hidden="false" customHeight="false" outlineLevel="0" collapsed="false">
      <c r="A22" s="7" t="s">
        <v>83</v>
      </c>
      <c r="B22" s="11" t="n">
        <v>2500</v>
      </c>
      <c r="C22" s="7" t="s">
        <v>57</v>
      </c>
      <c r="D22" s="7" t="s">
        <v>63</v>
      </c>
    </row>
    <row r="23" customFormat="false" ht="15" hidden="false" customHeight="false" outlineLevel="0" collapsed="false">
      <c r="A23" s="7" t="s">
        <v>84</v>
      </c>
      <c r="B23" s="10" t="n">
        <v>0.2</v>
      </c>
      <c r="C23" s="7" t="s">
        <v>52</v>
      </c>
      <c r="D23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3" t="s">
        <v>87</v>
      </c>
      <c r="B4" s="3" t="s">
        <v>88</v>
      </c>
    </row>
    <row r="5" customFormat="false" ht="43.5" hidden="false" customHeight="true" outlineLevel="0" collapsed="false">
      <c r="A5" s="5" t="s">
        <v>89</v>
      </c>
      <c r="B5" s="4" t="s">
        <v>90</v>
      </c>
    </row>
    <row r="6" customFormat="false" ht="43.5" hidden="false" customHeight="true" outlineLevel="0" collapsed="false">
      <c r="A6" s="5" t="s">
        <v>91</v>
      </c>
      <c r="B6" s="12" t="str">
        <f aca="false">"Between Jan-2020 and Dec-2021 the 5 packaging machines ran at a fleet OEE of "&amp;TEXT(M2_OEE!O10,"0.0%")&amp;" against a "&amp;TEXT(Inputs!B5,"0%")&amp;" target. "&amp;TEXT(M2_OEE!G10/M2_OEE!D10,"0%")&amp;" of planned time was idle with no reason code and "&amp;TEXT(M2_OEE!F10/M2_OEE!D10,"0.0%")&amp;" was lost to "&amp;TEXT(M5_Reliability!B10,"#,##0")&amp;" alarm stops. s_1, the highest-volume machine, is the only one whose OEE fell in 2021."</f>
        <v>Between Jan-2020 and Dec-2021 the 5 packaging machines ran at a fleet OEE of 51.7% against a 65% target. 27% of planned time was idle with no reason code and 8.4% was lost to 92,005 alarm stops. s_1, the highest-volume machine, is the only one whose OEE fell in 2021.</v>
      </c>
    </row>
    <row r="7" customFormat="false" ht="43.5" hidden="false" customHeight="true" outlineLevel="0" collapsed="false">
      <c r="A7" s="5" t="s">
        <v>92</v>
      </c>
      <c r="B7" s="12" t="str">
        <f aca="false">"Every OEE point is worth ~"&amp;TEXT(M2_OEE!D10/Inputs!B8*M2_OEE!I10/M2_OEE!E10*0.01,"#,##0")&amp;" good packs/year (~INR "&amp;TEXT(M2_OEE!D10/Inputs!B8*M2_OEE!I10/M2_OEE!E10*0.01*Inputs!B7/100000,"0.0")&amp;" lakh contribution at the assumed margin)."</f>
        <v>Every OEE point is worth ~919,720 good packs/year (~INR 5.5 lakh contribution at the assumed margin).</v>
      </c>
    </row>
    <row r="8" customFormat="false" ht="43.5" hidden="false" customHeight="true" outlineLevel="0" collapsed="false">
      <c r="A8" s="5" t="s">
        <v>93</v>
      </c>
      <c r="B8" s="12" t="str">
        <f aca="false">"Raise fleet OEE from "&amp;TEXT(M2_OEE!O10,"0.0%")&amp;" to &gt;= 60% (stretch "&amp;TEXT(Inputs!B5,"0%")&amp;") within 6 months of go-live, while holding quality &gt;= 99.5% and packaging-material service level &gt;= 98%."</f>
        <v>Raise fleet OEE from 51.7% to &gt;= 60% (stretch 65%) within 6 months of go-live, while holding quality &gt;= 99.5% and packaging-material service level &gt;= 98%.</v>
      </c>
    </row>
    <row r="9" customFormat="false" ht="43.5" hidden="false" customHeight="true" outlineLevel="0" collapsed="false">
      <c r="A9" s="5" t="s">
        <v>94</v>
      </c>
      <c r="B9" s="4" t="s">
        <v>95</v>
      </c>
    </row>
    <row r="10" customFormat="false" ht="43.5" hidden="false" customHeight="true" outlineLevel="0" collapsed="false">
      <c r="A10" s="5" t="s">
        <v>96</v>
      </c>
      <c r="B10" s="4" t="s">
        <v>97</v>
      </c>
    </row>
    <row r="11" customFormat="false" ht="43.5" hidden="false" customHeight="true" outlineLevel="0" collapsed="false">
      <c r="A11" s="5" t="s">
        <v>98</v>
      </c>
      <c r="B11" s="4" t="s">
        <v>99</v>
      </c>
    </row>
    <row r="12" customFormat="false" ht="43.5" hidden="false" customHeight="true" outlineLevel="0" collapsed="false">
      <c r="A12" s="5" t="s">
        <v>100</v>
      </c>
      <c r="B12" s="4" t="s">
        <v>101</v>
      </c>
    </row>
    <row r="13" customFormat="false" ht="43.5" hidden="false" customHeight="true" outlineLevel="0" collapsed="false">
      <c r="A13" s="5" t="s">
        <v>102</v>
      </c>
      <c r="B13" s="4" t="s">
        <v>103</v>
      </c>
    </row>
    <row r="14" customFormat="false" ht="43.5" hidden="false" customHeight="true" outlineLevel="0" collapsed="false">
      <c r="A14" s="5" t="s">
        <v>104</v>
      </c>
      <c r="B14" s="4" t="s">
        <v>105</v>
      </c>
    </row>
    <row r="15" customFormat="false" ht="43.5" hidden="false" customHeight="true" outlineLevel="0" collapsed="false">
      <c r="A15" s="5" t="s">
        <v>106</v>
      </c>
      <c r="B15" s="4" t="s">
        <v>107</v>
      </c>
    </row>
    <row r="16" customFormat="false" ht="43.5" hidden="false" customHeight="true" outlineLevel="0" collapsed="false">
      <c r="A16" s="5" t="s">
        <v>108</v>
      </c>
      <c r="B16" s="4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B4" s="3" t="s">
        <v>113</v>
      </c>
      <c r="C4" s="3" t="s">
        <v>114</v>
      </c>
      <c r="D4" s="3" t="s">
        <v>115</v>
      </c>
      <c r="E4" s="3" t="s">
        <v>116</v>
      </c>
    </row>
    <row r="5" customFormat="false" ht="15" hidden="false" customHeight="false" outlineLevel="0" collapsed="false">
      <c r="A5" s="4" t="s">
        <v>117</v>
      </c>
      <c r="B5" s="4" t="s">
        <v>118</v>
      </c>
      <c r="C5" s="4" t="s">
        <v>119</v>
      </c>
      <c r="D5" s="4" t="s">
        <v>120</v>
      </c>
      <c r="E5" s="4" t="s">
        <v>121</v>
      </c>
    </row>
    <row r="6" customFormat="false" ht="15" hidden="false" customHeight="false" outlineLevel="0" collapsed="false">
      <c r="A6" s="4" t="s">
        <v>122</v>
      </c>
      <c r="B6" s="4" t="s">
        <v>123</v>
      </c>
      <c r="C6" s="4" t="s">
        <v>124</v>
      </c>
      <c r="D6" s="4" t="s">
        <v>125</v>
      </c>
      <c r="E6" s="4" t="s">
        <v>126</v>
      </c>
    </row>
    <row r="7" customFormat="false" ht="15" hidden="false" customHeight="false" outlineLevel="0" collapsed="false">
      <c r="A7" s="4" t="s">
        <v>127</v>
      </c>
      <c r="B7" s="4" t="s">
        <v>128</v>
      </c>
      <c r="C7" s="4" t="s">
        <v>129</v>
      </c>
      <c r="D7" s="4" t="s">
        <v>130</v>
      </c>
      <c r="E7" s="4" t="s">
        <v>131</v>
      </c>
    </row>
    <row r="8" customFormat="false" ht="15" hidden="false" customHeight="false" outlineLevel="0" collapsed="false">
      <c r="A8" s="4" t="s">
        <v>132</v>
      </c>
      <c r="B8" s="4" t="s">
        <v>133</v>
      </c>
      <c r="C8" s="4" t="s">
        <v>134</v>
      </c>
      <c r="D8" s="4" t="s">
        <v>135</v>
      </c>
      <c r="E8" s="4" t="s">
        <v>136</v>
      </c>
    </row>
    <row r="9" customFormat="false" ht="15" hidden="false" customHeight="false" outlineLevel="0" collapsed="false">
      <c r="A9" s="4" t="s">
        <v>137</v>
      </c>
      <c r="B9" s="4" t="s">
        <v>138</v>
      </c>
      <c r="C9" s="4" t="s">
        <v>139</v>
      </c>
      <c r="D9" s="4" t="s">
        <v>140</v>
      </c>
      <c r="E9" s="4" t="s">
        <v>141</v>
      </c>
    </row>
    <row r="10" customFormat="false" ht="15" hidden="false" customHeight="false" outlineLevel="0" collapsed="false">
      <c r="A10" s="4" t="s">
        <v>142</v>
      </c>
      <c r="B10" s="4" t="s">
        <v>143</v>
      </c>
      <c r="C10" s="4" t="s">
        <v>144</v>
      </c>
      <c r="D10" s="4" t="s">
        <v>145</v>
      </c>
      <c r="E10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false" outlineLevel="0" collapsed="false">
      <c r="A4" s="3" t="s">
        <v>149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154</v>
      </c>
    </row>
    <row r="5" customFormat="false" ht="15" hidden="false" customHeight="false" outlineLevel="0" collapsed="false">
      <c r="A5" s="4" t="s">
        <v>155</v>
      </c>
      <c r="B5" s="4" t="s">
        <v>156</v>
      </c>
      <c r="C5" s="4" t="s">
        <v>157</v>
      </c>
      <c r="D5" s="4" t="s">
        <v>158</v>
      </c>
      <c r="E5" s="12" t="str">
        <f aca="false">"LSL "&amp;TEXT(Inputs!B5,"0%")</f>
        <v>LSL 65%</v>
      </c>
      <c r="F5" s="13" t="n">
        <f aca="false">M2_OEE!O10</f>
        <v>0.517365055617048</v>
      </c>
    </row>
    <row r="6" customFormat="false" ht="15" hidden="false" customHeight="false" outlineLevel="0" collapsed="false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163</v>
      </c>
      <c r="F6" s="13" t="n">
        <f aca="false">M2_OEE!F10/M2_OEE!D10</f>
        <v>0.083716532000907</v>
      </c>
    </row>
    <row r="7" customFormat="false" ht="15" hidden="false" customHeight="false" outlineLevel="0" collapsed="false">
      <c r="A7" s="4" t="s">
        <v>164</v>
      </c>
      <c r="B7" s="4" t="s">
        <v>160</v>
      </c>
      <c r="C7" s="4" t="s">
        <v>165</v>
      </c>
      <c r="D7" s="4" t="s">
        <v>166</v>
      </c>
      <c r="E7" s="4" t="s">
        <v>167</v>
      </c>
      <c r="F7" s="13" t="n">
        <f aca="false">M2_OEE!G10/M2_OEE!D10</f>
        <v>0.273057439314832</v>
      </c>
    </row>
    <row r="8" customFormat="false" ht="15" hidden="false" customHeight="false" outlineLevel="0" collapsed="false">
      <c r="A8" s="4" t="s">
        <v>168</v>
      </c>
      <c r="B8" s="4" t="s">
        <v>169</v>
      </c>
      <c r="C8" s="4" t="s">
        <v>170</v>
      </c>
      <c r="D8" s="4" t="s">
        <v>171</v>
      </c>
      <c r="E8" s="4" t="s">
        <v>172</v>
      </c>
      <c r="F8" s="13" t="n">
        <f aca="false">M2_OEE!M10</f>
        <v>0.807630438287118</v>
      </c>
    </row>
    <row r="9" customFormat="false" ht="15" hidden="false" customHeight="false" outlineLevel="0" collapsed="false">
      <c r="A9" s="4" t="s">
        <v>173</v>
      </c>
      <c r="B9" s="4" t="s">
        <v>174</v>
      </c>
      <c r="C9" s="4" t="s">
        <v>175</v>
      </c>
      <c r="D9" s="4" t="s">
        <v>176</v>
      </c>
      <c r="E9" s="12" t="str">
        <f aca="false">"&gt;= "&amp;TEXT(Inputs!B6,"0.0%")</f>
        <v>&gt;= 99.0%</v>
      </c>
      <c r="F9" s="13" t="n">
        <f aca="false">M2_OEE!N10</f>
        <v>0.995911628203549</v>
      </c>
    </row>
    <row r="10" customFormat="false" ht="15" hidden="false" customHeight="false" outlineLevel="0" collapsed="false">
      <c r="A10" s="4" t="s">
        <v>177</v>
      </c>
      <c r="B10" s="4" t="s">
        <v>178</v>
      </c>
      <c r="C10" s="4" t="s">
        <v>179</v>
      </c>
      <c r="D10" s="4" t="s">
        <v>180</v>
      </c>
      <c r="E10" s="4" t="s">
        <v>181</v>
      </c>
      <c r="F10" s="14" t="n">
        <f aca="false">I3_SMED!C10</f>
        <v>51.3684594097281</v>
      </c>
    </row>
    <row r="11" customFormat="false" ht="15" hidden="false" customHeight="false" outlineLevel="0" collapsed="false">
      <c r="A11" s="4" t="s">
        <v>182</v>
      </c>
      <c r="B11" s="4" t="s">
        <v>183</v>
      </c>
      <c r="C11" s="4" t="s">
        <v>184</v>
      </c>
      <c r="D11" s="4" t="s">
        <v>185</v>
      </c>
      <c r="E11" s="12" t="str">
        <f aca="false">"&gt;= "&amp;TEXT(Inputs!B14,"0%")</f>
        <v>&gt;= 98%</v>
      </c>
      <c r="F11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3" t="s">
        <v>189</v>
      </c>
      <c r="B4" s="3" t="s">
        <v>190</v>
      </c>
      <c r="C4" s="3" t="s">
        <v>191</v>
      </c>
    </row>
    <row r="5" customFormat="false" ht="15" hidden="false" customHeight="false" outlineLevel="0" collapsed="false">
      <c r="A5" s="7" t="s">
        <v>192</v>
      </c>
      <c r="B5" s="15" t="n">
        <v>429394</v>
      </c>
      <c r="C5" s="7" t="s">
        <v>193</v>
      </c>
    </row>
    <row r="6" customFormat="false" ht="15" hidden="false" customHeight="false" outlineLevel="0" collapsed="false">
      <c r="A6" s="7" t="s">
        <v>194</v>
      </c>
      <c r="B6" s="15" t="n">
        <v>0</v>
      </c>
      <c r="C6" s="7" t="s">
        <v>195</v>
      </c>
    </row>
    <row r="7" customFormat="false" ht="15" hidden="false" customHeight="false" outlineLevel="0" collapsed="false">
      <c r="A7" s="7" t="s">
        <v>196</v>
      </c>
      <c r="B7" s="15" t="n">
        <v>0</v>
      </c>
      <c r="C7" s="7" t="s">
        <v>195</v>
      </c>
    </row>
    <row r="8" customFormat="false" ht="15" hidden="false" customHeight="false" outlineLevel="0" collapsed="false">
      <c r="A8" s="7" t="s">
        <v>197</v>
      </c>
      <c r="B8" s="15" t="n">
        <v>0</v>
      </c>
      <c r="C8" s="7" t="s">
        <v>195</v>
      </c>
    </row>
    <row r="9" customFormat="false" ht="15" hidden="false" customHeight="false" outlineLevel="0" collapsed="false">
      <c r="A9" s="7" t="s">
        <v>198</v>
      </c>
      <c r="B9" s="15" t="n">
        <v>85</v>
      </c>
      <c r="C9" s="7" t="s">
        <v>199</v>
      </c>
    </row>
    <row r="10" customFormat="false" ht="15" hidden="false" customHeight="false" outlineLevel="0" collapsed="false">
      <c r="A10" s="7" t="s">
        <v>200</v>
      </c>
      <c r="B10" s="15" t="n">
        <v>2397</v>
      </c>
      <c r="C10" s="7" t="s">
        <v>201</v>
      </c>
    </row>
    <row r="11" customFormat="false" ht="15" hidden="false" customHeight="false" outlineLevel="0" collapsed="false">
      <c r="A11" s="7" t="s">
        <v>202</v>
      </c>
      <c r="B11" s="15" t="n">
        <v>0</v>
      </c>
      <c r="C11" s="7" t="s">
        <v>195</v>
      </c>
    </row>
    <row r="12" customFormat="false" ht="15" hidden="false" customHeight="false" outlineLevel="0" collapsed="false">
      <c r="A12" s="7" t="s">
        <v>203</v>
      </c>
      <c r="B12" s="15" t="n">
        <v>0</v>
      </c>
      <c r="C12" s="7" t="s">
        <v>195</v>
      </c>
    </row>
    <row r="13" customFormat="false" ht="15" hidden="false" customHeight="false" outlineLevel="0" collapsed="false">
      <c r="A13" s="7" t="s">
        <v>204</v>
      </c>
      <c r="B13" s="15" t="n">
        <v>0</v>
      </c>
      <c r="C13" s="7" t="s">
        <v>205</v>
      </c>
    </row>
    <row r="16" customFormat="false" ht="15" hidden="false" customHeight="false" outlineLevel="0" collapsed="false">
      <c r="A16" s="3" t="s">
        <v>206</v>
      </c>
      <c r="B16" s="3" t="s">
        <v>152</v>
      </c>
      <c r="C16" s="3" t="s">
        <v>207</v>
      </c>
      <c r="D16" s="3" t="s">
        <v>208</v>
      </c>
      <c r="E16" s="3" t="s">
        <v>209</v>
      </c>
      <c r="F16" s="3" t="s">
        <v>49</v>
      </c>
    </row>
    <row r="17" customFormat="false" ht="15" hidden="false" customHeight="false" outlineLevel="0" collapsed="false">
      <c r="A17" s="4" t="s">
        <v>210</v>
      </c>
      <c r="B17" s="4" t="s">
        <v>211</v>
      </c>
      <c r="C17" s="4" t="s">
        <v>212</v>
      </c>
      <c r="D17" s="4" t="s">
        <v>213</v>
      </c>
      <c r="E17" s="4" t="s">
        <v>214</v>
      </c>
      <c r="F17" s="4" t="s">
        <v>215</v>
      </c>
    </row>
    <row r="18" customFormat="false" ht="15" hidden="false" customHeight="false" outlineLevel="0" collapsed="false">
      <c r="A18" s="4" t="s">
        <v>216</v>
      </c>
      <c r="B18" s="4" t="s">
        <v>217</v>
      </c>
      <c r="C18" s="4" t="s">
        <v>218</v>
      </c>
      <c r="D18" s="4" t="s">
        <v>213</v>
      </c>
      <c r="E18" s="4" t="s">
        <v>214</v>
      </c>
      <c r="F18" s="4" t="s">
        <v>215</v>
      </c>
    </row>
    <row r="19" customFormat="false" ht="15" hidden="false" customHeight="false" outlineLevel="0" collapsed="false">
      <c r="A19" s="4" t="s">
        <v>219</v>
      </c>
      <c r="B19" s="4" t="s">
        <v>220</v>
      </c>
      <c r="C19" s="4" t="s">
        <v>221</v>
      </c>
      <c r="D19" s="4" t="s">
        <v>222</v>
      </c>
      <c r="E19" s="4" t="s">
        <v>223</v>
      </c>
      <c r="F19" s="4" t="s">
        <v>224</v>
      </c>
    </row>
    <row r="20" customFormat="false" ht="15" hidden="false" customHeight="false" outlineLevel="0" collapsed="false">
      <c r="A20" s="4" t="s">
        <v>225</v>
      </c>
      <c r="B20" s="4" t="s">
        <v>226</v>
      </c>
      <c r="C20" s="4" t="s">
        <v>227</v>
      </c>
      <c r="D20" s="4" t="s">
        <v>213</v>
      </c>
      <c r="E20" s="4" t="s">
        <v>228</v>
      </c>
      <c r="F20" s="4" t="s">
        <v>224</v>
      </c>
    </row>
    <row r="21" customFormat="false" ht="15" hidden="false" customHeight="false" outlineLevel="0" collapsed="false">
      <c r="A21" s="4" t="s">
        <v>229</v>
      </c>
      <c r="B21" s="4" t="s">
        <v>230</v>
      </c>
      <c r="C21" s="4" t="s">
        <v>231</v>
      </c>
      <c r="D21" s="4" t="s">
        <v>232</v>
      </c>
      <c r="E21" s="4" t="s">
        <v>233</v>
      </c>
      <c r="F21" s="4" t="s">
        <v>234</v>
      </c>
    </row>
    <row r="22" customFormat="false" ht="15" hidden="false" customHeight="false" outlineLevel="0" collapsed="false">
      <c r="A22" s="4" t="s">
        <v>235</v>
      </c>
      <c r="B22" s="4" t="s">
        <v>236</v>
      </c>
      <c r="C22" s="4" t="s">
        <v>237</v>
      </c>
      <c r="D22" s="4" t="s">
        <v>238</v>
      </c>
      <c r="E22" s="4" t="s">
        <v>223</v>
      </c>
      <c r="F22" s="4" t="s">
        <v>239</v>
      </c>
    </row>
    <row r="23" customFormat="false" ht="15" hidden="false" customHeight="false" outlineLevel="0" collapsed="false">
      <c r="A23" s="4" t="s">
        <v>240</v>
      </c>
      <c r="B23" s="4" t="s">
        <v>241</v>
      </c>
      <c r="C23" s="4" t="s">
        <v>237</v>
      </c>
      <c r="D23" s="4" t="s">
        <v>238</v>
      </c>
      <c r="E23" s="4" t="s">
        <v>223</v>
      </c>
      <c r="F23" s="4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Q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2"/>
  </cols>
  <sheetData>
    <row r="1" customFormat="false" ht="17.35" hidden="false" customHeight="false" outlineLevel="0" collapsed="false">
      <c r="A1" s="1" t="s">
        <v>243</v>
      </c>
    </row>
    <row r="2" customFormat="false" ht="15" hidden="false" customHeight="false" outlineLevel="0" collapsed="false">
      <c r="A2" s="2" t="s">
        <v>244</v>
      </c>
    </row>
    <row r="4" customFormat="false" ht="23.85" hidden="false" customHeight="false" outlineLevel="0" collapsed="false">
      <c r="A4" s="3" t="s">
        <v>245</v>
      </c>
      <c r="B4" s="3" t="s">
        <v>246</v>
      </c>
      <c r="C4" s="3" t="s">
        <v>247</v>
      </c>
      <c r="D4" s="3" t="s">
        <v>248</v>
      </c>
      <c r="E4" s="3" t="s">
        <v>249</v>
      </c>
      <c r="F4" s="3" t="s">
        <v>250</v>
      </c>
      <c r="G4" s="3" t="s">
        <v>251</v>
      </c>
      <c r="H4" s="3" t="s">
        <v>252</v>
      </c>
      <c r="I4" s="3" t="s">
        <v>225</v>
      </c>
      <c r="J4" s="3" t="s">
        <v>253</v>
      </c>
      <c r="K4" s="3" t="s">
        <v>254</v>
      </c>
      <c r="L4" s="3" t="s">
        <v>160</v>
      </c>
      <c r="M4" s="3" t="s">
        <v>169</v>
      </c>
      <c r="N4" s="3" t="s">
        <v>174</v>
      </c>
      <c r="O4" s="3" t="s">
        <v>255</v>
      </c>
      <c r="P4" s="3" t="s">
        <v>256</v>
      </c>
      <c r="Q4" s="3" t="s">
        <v>257</v>
      </c>
    </row>
    <row r="5" customFormat="false" ht="15" hidden="false" customHeight="false" outlineLevel="0" collapsed="false">
      <c r="A5" s="7" t="s">
        <v>258</v>
      </c>
      <c r="B5" s="16" t="n">
        <f aca="false">SUMIF(Data_Daily!$A$2:$A$2407,$A5,Data_Daily!$C$2:$C$2407)/3600</f>
        <v>13458.0959219444</v>
      </c>
      <c r="C5" s="16" t="n">
        <f aca="false">SUMIF(Data_Daily!$A$2:$A$2407,$A5,Data_Daily!$D$2:$D$2407)/3600</f>
        <v>1552.0647325</v>
      </c>
      <c r="D5" s="16" t="n">
        <f aca="false">SUMIF(Data_Daily!$A$2:$A$2407,$A5,Data_Daily!$E$2:$E$2407)/3600</f>
        <v>11906.0311894444</v>
      </c>
      <c r="E5" s="16" t="n">
        <f aca="false">SUMIF(Data_Daily!$A$2:$A$2407,$A5,Data_Daily!$F$2:$F$2407)/3600</f>
        <v>9245.54376805556</v>
      </c>
      <c r="F5" s="16" t="n">
        <f aca="false">SUMIF(Data_Daily!$A$2:$A$2407,$A5,Data_Daily!$I$2:$I$2407)/3600</f>
        <v>1393.35963944444</v>
      </c>
      <c r="G5" s="16" t="n">
        <f aca="false">SUMIF(Data_Daily!$A$2:$A$2407,$A5,Data_Daily!$J$2:$J$2407)/3600</f>
        <v>1267.12778194444</v>
      </c>
      <c r="H5" s="16" t="n">
        <f aca="false">SUMIF(Data_Daily!$A$2:$A$2407,$A5,Data_Daily!$H$2:$H$2407)/3600</f>
        <v>1540.73808611111</v>
      </c>
      <c r="I5" s="16" t="n">
        <f aca="false">SUMIF(Data_Daily!$A$2:$A$2407,$A5,Data_Daily!$K$2:$K$2407)</f>
        <v>37086521.9349025</v>
      </c>
      <c r="J5" s="16" t="n">
        <f aca="false">SUMIF(Data_Daily!$A$2:$A$2407,$A5,Data_Daily!$L$2:$L$2407)</f>
        <v>31286632</v>
      </c>
      <c r="K5" s="16" t="n">
        <f aca="false">SUMIF(Data_Daily!$A$2:$A$2407,$A5,Data_Daily!$M$2:$M$2407)</f>
        <v>31148051</v>
      </c>
      <c r="L5" s="17" t="n">
        <f aca="false">E5/D5</f>
        <v>0.776542881581933</v>
      </c>
      <c r="M5" s="17" t="n">
        <f aca="false">MIN(J5/I5,1)</f>
        <v>0.843611920657241</v>
      </c>
      <c r="N5" s="17" t="n">
        <f aca="false">K5/J5</f>
        <v>0.995570600248694</v>
      </c>
      <c r="O5" s="18" t="n">
        <f aca="false">L5*M5*N5</f>
        <v>0.65219912834257</v>
      </c>
      <c r="P5" s="19" t="n">
        <f aca="false">(O5-Inputs!$B$5)*100</f>
        <v>0.219912834256975</v>
      </c>
      <c r="Q5" s="17" t="n">
        <f aca="false">E5/B5</f>
        <v>0.686987507124243</v>
      </c>
    </row>
    <row r="6" customFormat="false" ht="15" hidden="false" customHeight="false" outlineLevel="0" collapsed="false">
      <c r="A6" s="7" t="s">
        <v>259</v>
      </c>
      <c r="B6" s="16" t="n">
        <f aca="false">SUMIF(Data_Daily!$A$2:$A$2407,$A6,Data_Daily!$C$2:$C$2407)/3600</f>
        <v>5532.47665194445</v>
      </c>
      <c r="C6" s="16" t="n">
        <f aca="false">SUMIF(Data_Daily!$A$2:$A$2407,$A6,Data_Daily!$D$2:$D$2407)/3600</f>
        <v>1369.12514</v>
      </c>
      <c r="D6" s="16" t="n">
        <f aca="false">SUMIF(Data_Daily!$A$2:$A$2407,$A6,Data_Daily!$E$2:$E$2407)/3600</f>
        <v>4163.35151194445</v>
      </c>
      <c r="E6" s="16" t="n">
        <f aca="false">SUMIF(Data_Daily!$A$2:$A$2407,$A6,Data_Daily!$F$2:$F$2407)/3600</f>
        <v>1719.76141416667</v>
      </c>
      <c r="F6" s="16" t="n">
        <f aca="false">SUMIF(Data_Daily!$A$2:$A$2407,$A6,Data_Daily!$I$2:$I$2407)/3600</f>
        <v>573.788718888889</v>
      </c>
      <c r="G6" s="16" t="n">
        <f aca="false">SUMIF(Data_Daily!$A$2:$A$2407,$A6,Data_Daily!$J$2:$J$2407)/3600</f>
        <v>1869.80137888889</v>
      </c>
      <c r="H6" s="16" t="n">
        <f aca="false">SUMIF(Data_Daily!$A$2:$A$2407,$A6,Data_Daily!$H$2:$H$2407)/3600</f>
        <v>363.363028888889</v>
      </c>
      <c r="I6" s="16" t="n">
        <f aca="false">SUMIF(Data_Daily!$A$2:$A$2407,$A6,Data_Daily!$K$2:$K$2407)</f>
        <v>10628003.3044433</v>
      </c>
      <c r="J6" s="16" t="n">
        <f aca="false">SUMIF(Data_Daily!$A$2:$A$2407,$A6,Data_Daily!$L$2:$L$2407)</f>
        <v>8337448</v>
      </c>
      <c r="K6" s="16" t="n">
        <f aca="false">SUMIF(Data_Daily!$A$2:$A$2407,$A6,Data_Daily!$M$2:$M$2407)</f>
        <v>8292863</v>
      </c>
      <c r="L6" s="17" t="n">
        <f aca="false">E6/D6</f>
        <v>0.413071394340055</v>
      </c>
      <c r="M6" s="17" t="n">
        <f aca="false">MIN(J6/I6,1)</f>
        <v>0.784479244235302</v>
      </c>
      <c r="N6" s="17" t="n">
        <f aca="false">K6/J6</f>
        <v>0.994652440411023</v>
      </c>
      <c r="O6" s="18" t="n">
        <f aca="false">L6*M6*N6</f>
        <v>0.322313080298809</v>
      </c>
      <c r="P6" s="19" t="n">
        <f aca="false">(O6-Inputs!$B$5)*100</f>
        <v>-32.7686919701191</v>
      </c>
      <c r="Q6" s="17" t="n">
        <f aca="false">E6/B6</f>
        <v>0.310848381721094</v>
      </c>
    </row>
    <row r="7" customFormat="false" ht="15" hidden="false" customHeight="false" outlineLevel="0" collapsed="false">
      <c r="A7" s="7" t="s">
        <v>260</v>
      </c>
      <c r="B7" s="16" t="n">
        <f aca="false">SUMIF(Data_Daily!$A$2:$A$2407,$A7,Data_Daily!$C$2:$C$2407)/3600</f>
        <v>7450.64061027778</v>
      </c>
      <c r="C7" s="16" t="n">
        <f aca="false">SUMIF(Data_Daily!$A$2:$A$2407,$A7,Data_Daily!$D$2:$D$2407)/3600</f>
        <v>690.684485</v>
      </c>
      <c r="D7" s="16" t="n">
        <f aca="false">SUMIF(Data_Daily!$A$2:$A$2407,$A7,Data_Daily!$E$2:$E$2407)/3600</f>
        <v>6759.95612527778</v>
      </c>
      <c r="E7" s="16" t="n">
        <f aca="false">SUMIF(Data_Daily!$A$2:$A$2407,$A7,Data_Daily!$F$2:$F$2407)/3600</f>
        <v>3326.63257027778</v>
      </c>
      <c r="F7" s="16" t="n">
        <f aca="false">SUMIF(Data_Daily!$A$2:$A$2407,$A7,Data_Daily!$I$2:$I$2407)/3600</f>
        <v>466.296932222222</v>
      </c>
      <c r="G7" s="16" t="n">
        <f aca="false">SUMIF(Data_Daily!$A$2:$A$2407,$A7,Data_Daily!$J$2:$J$2407)/3600</f>
        <v>2967.02662277778</v>
      </c>
      <c r="H7" s="16" t="n">
        <f aca="false">SUMIF(Data_Daily!$A$2:$A$2407,$A7,Data_Daily!$H$2:$H$2407)/3600</f>
        <v>305.303275833333</v>
      </c>
      <c r="I7" s="16" t="n">
        <f aca="false">SUMIF(Data_Daily!$A$2:$A$2407,$A7,Data_Daily!$K$2:$K$2407)</f>
        <v>13259060.9321067</v>
      </c>
      <c r="J7" s="16" t="n">
        <f aca="false">SUMIF(Data_Daily!$A$2:$A$2407,$A7,Data_Daily!$L$2:$L$2407)</f>
        <v>11927022</v>
      </c>
      <c r="K7" s="16" t="n">
        <f aca="false">SUMIF(Data_Daily!$A$2:$A$2407,$A7,Data_Daily!$M$2:$M$2407)</f>
        <v>11898514</v>
      </c>
      <c r="L7" s="17" t="n">
        <f aca="false">E7/D7</f>
        <v>0.492108603758295</v>
      </c>
      <c r="M7" s="17" t="n">
        <f aca="false">MIN(J7/I7,1)</f>
        <v>0.899537460539068</v>
      </c>
      <c r="N7" s="17" t="n">
        <f aca="false">K7/J7</f>
        <v>0.997609797315709</v>
      </c>
      <c r="O7" s="18" t="n">
        <f aca="false">L7*M7*N7</f>
        <v>0.441612052416158</v>
      </c>
      <c r="P7" s="19" t="n">
        <f aca="false">(O7-Inputs!$B$5)*100</f>
        <v>-20.8387947583842</v>
      </c>
      <c r="Q7" s="17" t="n">
        <f aca="false">E7/B7</f>
        <v>0.446489469065097</v>
      </c>
    </row>
    <row r="8" customFormat="false" ht="15" hidden="false" customHeight="false" outlineLevel="0" collapsed="false">
      <c r="A8" s="7" t="s">
        <v>261</v>
      </c>
      <c r="B8" s="16" t="n">
        <f aca="false">SUMIF(Data_Daily!$A$2:$A$2407,$A8,Data_Daily!$C$2:$C$2407)/3600</f>
        <v>7350.89108805556</v>
      </c>
      <c r="C8" s="16" t="n">
        <f aca="false">SUMIF(Data_Daily!$A$2:$A$2407,$A8,Data_Daily!$D$2:$D$2407)/3600</f>
        <v>1219.36289611111</v>
      </c>
      <c r="D8" s="16" t="n">
        <f aca="false">SUMIF(Data_Daily!$A$2:$A$2407,$A8,Data_Daily!$E$2:$E$2407)/3600</f>
        <v>6131.52819194444</v>
      </c>
      <c r="E8" s="16" t="n">
        <f aca="false">SUMIF(Data_Daily!$A$2:$A$2407,$A8,Data_Daily!$F$2:$F$2407)/3600</f>
        <v>4238.22055027778</v>
      </c>
      <c r="F8" s="16" t="n">
        <f aca="false">SUMIF(Data_Daily!$A$2:$A$2407,$A8,Data_Daily!$I$2:$I$2407)/3600</f>
        <v>358.383579444444</v>
      </c>
      <c r="G8" s="16" t="n">
        <f aca="false">SUMIF(Data_Daily!$A$2:$A$2407,$A8,Data_Daily!$J$2:$J$2407)/3600</f>
        <v>1534.92406222222</v>
      </c>
      <c r="H8" s="16" t="n">
        <f aca="false">SUMIF(Data_Daily!$A$2:$A$2407,$A8,Data_Daily!$H$2:$H$2407)/3600</f>
        <v>1540.10058305556</v>
      </c>
      <c r="I8" s="16" t="n">
        <f aca="false">SUMIF(Data_Daily!$A$2:$A$2407,$A8,Data_Daily!$K$2:$K$2407)</f>
        <v>23527931.5994753</v>
      </c>
      <c r="J8" s="16" t="n">
        <f aca="false">SUMIF(Data_Daily!$A$2:$A$2407,$A8,Data_Daily!$L$2:$L$2407)</f>
        <v>15357768</v>
      </c>
      <c r="K8" s="16" t="n">
        <f aca="false">SUMIF(Data_Daily!$A$2:$A$2407,$A8,Data_Daily!$M$2:$M$2407)</f>
        <v>15250883</v>
      </c>
      <c r="L8" s="17" t="n">
        <f aca="false">E8/D8</f>
        <v>0.691217656936801</v>
      </c>
      <c r="M8" s="17" t="n">
        <f aca="false">MIN(J8/I8,1)</f>
        <v>0.652746202319906</v>
      </c>
      <c r="N8" s="17" t="n">
        <f aca="false">K8/J8</f>
        <v>0.99304032981876</v>
      </c>
      <c r="O8" s="18" t="n">
        <f aca="false">L8*M8*N8</f>
        <v>0.448049569037016</v>
      </c>
      <c r="P8" s="19" t="n">
        <f aca="false">(O8-Inputs!$B$5)*100</f>
        <v>-20.1950430962984</v>
      </c>
      <c r="Q8" s="17" t="n">
        <f aca="false">E8/B8</f>
        <v>0.576558746349059</v>
      </c>
    </row>
    <row r="9" customFormat="false" ht="15" hidden="false" customHeight="false" outlineLevel="0" collapsed="false">
      <c r="A9" s="7" t="s">
        <v>262</v>
      </c>
      <c r="B9" s="16" t="n">
        <f aca="false">SUMIF(Data_Daily!$A$2:$A$2407,$A9,Data_Daily!$C$2:$C$2407)/3600</f>
        <v>10338.4495663889</v>
      </c>
      <c r="C9" s="16" t="n">
        <f aca="false">SUMIF(Data_Daily!$A$2:$A$2407,$A9,Data_Daily!$D$2:$D$2407)/3600</f>
        <v>1702.96199083333</v>
      </c>
      <c r="D9" s="16" t="n">
        <f aca="false">SUMIF(Data_Daily!$A$2:$A$2407,$A9,Data_Daily!$E$2:$E$2407)/3600</f>
        <v>8635.48757555556</v>
      </c>
      <c r="E9" s="16" t="n">
        <f aca="false">SUMIF(Data_Daily!$A$2:$A$2407,$A9,Data_Daily!$F$2:$F$2407)/3600</f>
        <v>5652.79555583333</v>
      </c>
      <c r="F9" s="16" t="n">
        <f aca="false">SUMIF(Data_Daily!$A$2:$A$2407,$A9,Data_Daily!$I$2:$I$2407)/3600</f>
        <v>355.6075525</v>
      </c>
      <c r="G9" s="16" t="n">
        <f aca="false">SUMIF(Data_Daily!$A$2:$A$2407,$A9,Data_Daily!$J$2:$J$2407)/3600</f>
        <v>2627.08446722222</v>
      </c>
      <c r="H9" s="16" t="n">
        <f aca="false">SUMIF(Data_Daily!$A$2:$A$2407,$A9,Data_Daily!$H$2:$H$2407)/3600</f>
        <v>1043.32752638889</v>
      </c>
      <c r="I9" s="16" t="n">
        <f aca="false">SUMIF(Data_Daily!$A$2:$A$2407,$A9,Data_Daily!$K$2:$K$2407)</f>
        <v>33816047.3801133</v>
      </c>
      <c r="J9" s="16" t="n">
        <f aca="false">SUMIF(Data_Daily!$A$2:$A$2407,$A9,Data_Daily!$L$2:$L$2407)</f>
        <v>28647997</v>
      </c>
      <c r="K9" s="16" t="n">
        <f aca="false">SUMIF(Data_Daily!$A$2:$A$2407,$A9,Data_Daily!$M$2:$M$2407)</f>
        <v>28575884</v>
      </c>
      <c r="L9" s="17" t="n">
        <f aca="false">E9/D9</f>
        <v>0.654600624038263</v>
      </c>
      <c r="M9" s="17" t="n">
        <f aca="false">MIN(J9/I9,1)</f>
        <v>0.847171660187802</v>
      </c>
      <c r="N9" s="17" t="n">
        <f aca="false">K9/J9</f>
        <v>0.997482790856198</v>
      </c>
      <c r="O9" s="18" t="n">
        <f aca="false">L9*M9*N9</f>
        <v>0.553163156195647</v>
      </c>
      <c r="P9" s="19" t="n">
        <f aca="false">(O9-Inputs!$B$5)*100</f>
        <v>-9.68368438043535</v>
      </c>
      <c r="Q9" s="17" t="n">
        <f aca="false">E9/B9</f>
        <v>0.546774012827902</v>
      </c>
    </row>
    <row r="10" customFormat="false" ht="15" hidden="false" customHeight="false" outlineLevel="0" collapsed="false">
      <c r="A10" s="5" t="s">
        <v>263</v>
      </c>
      <c r="B10" s="20" t="n">
        <f aca="false">SUM(B5:B9)</f>
        <v>44130.5538386111</v>
      </c>
      <c r="C10" s="20" t="n">
        <f aca="false">SUM(C5:C9)</f>
        <v>6534.19924444444</v>
      </c>
      <c r="D10" s="20" t="n">
        <f aca="false">SUM(D5:D9)</f>
        <v>37596.3545941667</v>
      </c>
      <c r="E10" s="20" t="n">
        <f aca="false">SUM(E5:E9)</f>
        <v>24182.9538586111</v>
      </c>
      <c r="F10" s="20" t="n">
        <f aca="false">SUM(F5:F9)</f>
        <v>3147.4364225</v>
      </c>
      <c r="G10" s="20" t="n">
        <f aca="false">SUM(G5:G9)</f>
        <v>10265.9643130556</v>
      </c>
      <c r="H10" s="20" t="n">
        <f aca="false">SUM(H5:H9)</f>
        <v>4792.83250027778</v>
      </c>
      <c r="I10" s="20" t="n">
        <f aca="false">SUM(I5:I9)</f>
        <v>118317565.151041</v>
      </c>
      <c r="J10" s="20" t="n">
        <f aca="false">SUM(J5:J9)</f>
        <v>95556867</v>
      </c>
      <c r="K10" s="20" t="n">
        <f aca="false">SUM(K5:K9)</f>
        <v>95166195</v>
      </c>
      <c r="L10" s="17" t="n">
        <f aca="false">E10/D10</f>
        <v>0.643226028684261</v>
      </c>
      <c r="M10" s="17" t="n">
        <f aca="false">MIN(J10/I10,1)</f>
        <v>0.807630438287118</v>
      </c>
      <c r="N10" s="17" t="n">
        <f aca="false">K10/J10</f>
        <v>0.995911628203549</v>
      </c>
      <c r="O10" s="18" t="n">
        <f aca="false">L10*M10*N10</f>
        <v>0.517365055617048</v>
      </c>
      <c r="P10" s="19" t="n">
        <f aca="false">(O10-Inputs!$B$5)*100</f>
        <v>-13.2634944382953</v>
      </c>
      <c r="Q10" s="17" t="n">
        <f aca="false">E10/B10</f>
        <v>0.547986638623437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3" t="s">
        <v>266</v>
      </c>
      <c r="B4" s="3" t="s">
        <v>267</v>
      </c>
      <c r="C4" s="3" t="s">
        <v>268</v>
      </c>
      <c r="D4" s="3" t="s">
        <v>269</v>
      </c>
      <c r="E4" s="3" t="s">
        <v>270</v>
      </c>
    </row>
    <row r="5" customFormat="false" ht="15" hidden="false" customHeight="false" outlineLevel="0" collapsed="false">
      <c r="A5" s="7" t="s">
        <v>271</v>
      </c>
      <c r="B5" s="5" t="s">
        <v>272</v>
      </c>
      <c r="C5" s="16" t="n">
        <f aca="false">M2_OEE!B10</f>
        <v>44130.5538386111</v>
      </c>
      <c r="D5" s="17" t="n">
        <f aca="false">C5/$C$10</f>
        <v>1.17379874498413</v>
      </c>
      <c r="E5" s="7" t="s">
        <v>273</v>
      </c>
    </row>
    <row r="6" customFormat="false" ht="15" hidden="false" customHeight="false" outlineLevel="0" collapsed="false">
      <c r="A6" s="7" t="s">
        <v>274</v>
      </c>
      <c r="B6" s="7" t="s">
        <v>275</v>
      </c>
      <c r="C6" s="16" t="n">
        <f aca="false">M2_OEE!C10</f>
        <v>6534.19924444444</v>
      </c>
      <c r="D6" s="17" t="n">
        <f aca="false">C6/$C$10</f>
        <v>0.173798744984129</v>
      </c>
      <c r="E6" s="7" t="s">
        <v>273</v>
      </c>
    </row>
    <row r="7" customFormat="false" ht="15" hidden="false" customHeight="false" outlineLevel="0" collapsed="false">
      <c r="A7" s="7" t="s">
        <v>276</v>
      </c>
      <c r="B7" s="7" t="s">
        <v>277</v>
      </c>
      <c r="C7" s="15" t="n">
        <v>5110.30557027778</v>
      </c>
      <c r="D7" s="17" t="n">
        <f aca="false">C7/$C$10</f>
        <v>0.135925560481619</v>
      </c>
      <c r="E7" s="7" t="s">
        <v>278</v>
      </c>
    </row>
    <row r="8" customFormat="false" ht="15" hidden="false" customHeight="false" outlineLevel="0" collapsed="false">
      <c r="A8" s="7" t="s">
        <v>279</v>
      </c>
      <c r="B8" s="7" t="s">
        <v>280</v>
      </c>
      <c r="C8" s="15" t="n">
        <v>617.288831388889</v>
      </c>
      <c r="D8" s="17" t="n">
        <f aca="false">C8/$C$10</f>
        <v>0.0164188479987543</v>
      </c>
      <c r="E8" s="7" t="s">
        <v>278</v>
      </c>
    </row>
    <row r="9" customFormat="false" ht="15" hidden="false" customHeight="false" outlineLevel="0" collapsed="false">
      <c r="A9" s="7" t="s">
        <v>281</v>
      </c>
      <c r="B9" s="7" t="s">
        <v>282</v>
      </c>
      <c r="C9" s="20" t="n">
        <f aca="false">C6-C7-C8</f>
        <v>806.604842777778</v>
      </c>
      <c r="D9" s="17" t="n">
        <f aca="false">C9/$C$10</f>
        <v>0.0214543365037558</v>
      </c>
      <c r="E9" s="7" t="s">
        <v>283</v>
      </c>
    </row>
    <row r="10" customFormat="false" ht="15" hidden="false" customHeight="false" outlineLevel="0" collapsed="false">
      <c r="A10" s="7" t="s">
        <v>284</v>
      </c>
      <c r="B10" s="5" t="s">
        <v>285</v>
      </c>
      <c r="C10" s="16" t="n">
        <f aca="false">M2_OEE!D10</f>
        <v>37596.3545941667</v>
      </c>
      <c r="D10" s="17" t="n">
        <f aca="false">C10/$C$10</f>
        <v>1</v>
      </c>
      <c r="E10" s="7" t="s">
        <v>273</v>
      </c>
    </row>
    <row r="11" customFormat="false" ht="15" hidden="false" customHeight="false" outlineLevel="0" collapsed="false">
      <c r="A11" s="7" t="s">
        <v>286</v>
      </c>
      <c r="B11" s="7" t="s">
        <v>287</v>
      </c>
      <c r="C11" s="16" t="n">
        <f aca="false">M2_OEE!F10</f>
        <v>3147.4364225</v>
      </c>
      <c r="D11" s="17" t="n">
        <f aca="false">C11/$C$10</f>
        <v>0.083716532000907</v>
      </c>
      <c r="E11" s="7" t="s">
        <v>273</v>
      </c>
    </row>
    <row r="12" customFormat="false" ht="15" hidden="false" customHeight="false" outlineLevel="0" collapsed="false">
      <c r="A12" s="7" t="s">
        <v>288</v>
      </c>
      <c r="B12" s="7" t="s">
        <v>289</v>
      </c>
      <c r="C12" s="16" t="n">
        <f aca="false">M4_Pareto!C5</f>
        <v>857.929073611111</v>
      </c>
      <c r="D12" s="17" t="n">
        <f aca="false">C12/$C$10</f>
        <v>0.0228194749962334</v>
      </c>
      <c r="E12" s="7" t="s">
        <v>290</v>
      </c>
    </row>
    <row r="13" customFormat="false" ht="15" hidden="false" customHeight="false" outlineLevel="0" collapsed="false">
      <c r="A13" s="7" t="s">
        <v>291</v>
      </c>
      <c r="B13" s="7" t="s">
        <v>292</v>
      </c>
      <c r="C13" s="16" t="n">
        <f aca="false">M4_Pareto!C6</f>
        <v>515.188519166667</v>
      </c>
      <c r="D13" s="17" t="n">
        <f aca="false">C13/$C$10</f>
        <v>0.0137031508700208</v>
      </c>
      <c r="E13" s="7" t="s">
        <v>290</v>
      </c>
    </row>
    <row r="14" customFormat="false" ht="15" hidden="false" customHeight="false" outlineLevel="0" collapsed="false">
      <c r="A14" s="7" t="s">
        <v>293</v>
      </c>
      <c r="B14" s="7" t="s">
        <v>294</v>
      </c>
      <c r="C14" s="16" t="n">
        <f aca="false">M4_Pareto!C7</f>
        <v>411.227759444445</v>
      </c>
      <c r="D14" s="17" t="n">
        <f aca="false">C14/$C$10</f>
        <v>0.0109379689569225</v>
      </c>
      <c r="E14" s="7" t="s">
        <v>290</v>
      </c>
    </row>
    <row r="15" customFormat="false" ht="15" hidden="false" customHeight="false" outlineLevel="0" collapsed="false">
      <c r="A15" s="7" t="s">
        <v>295</v>
      </c>
      <c r="B15" s="7" t="s">
        <v>296</v>
      </c>
      <c r="C15" s="16" t="n">
        <f aca="false">M4_Pareto!C8</f>
        <v>387.568953333333</v>
      </c>
      <c r="D15" s="17" t="n">
        <f aca="false">C15/$C$10</f>
        <v>0.0103086843795613</v>
      </c>
      <c r="E15" s="7" t="s">
        <v>290</v>
      </c>
    </row>
    <row r="16" customFormat="false" ht="15" hidden="false" customHeight="false" outlineLevel="0" collapsed="false">
      <c r="A16" s="7" t="s">
        <v>297</v>
      </c>
      <c r="B16" s="7" t="s">
        <v>298</v>
      </c>
      <c r="C16" s="16" t="n">
        <f aca="false">M4_Pareto!C9</f>
        <v>153.422508333333</v>
      </c>
      <c r="D16" s="17" t="n">
        <f aca="false">C16/$C$10</f>
        <v>0.00408078150101121</v>
      </c>
      <c r="E16" s="7" t="s">
        <v>290</v>
      </c>
    </row>
    <row r="17" customFormat="false" ht="15" hidden="false" customHeight="false" outlineLevel="0" collapsed="false">
      <c r="A17" s="7" t="s">
        <v>299</v>
      </c>
      <c r="B17" s="7" t="s">
        <v>300</v>
      </c>
      <c r="C17" s="20" t="n">
        <f aca="false">C11-SUM(C12:C16)</f>
        <v>822.099608611111</v>
      </c>
      <c r="D17" s="17" t="n">
        <f aca="false">C17/$C$10</f>
        <v>0.0218664712971578</v>
      </c>
      <c r="E17" s="7" t="s">
        <v>283</v>
      </c>
    </row>
    <row r="18" customFormat="false" ht="15" hidden="false" customHeight="false" outlineLevel="0" collapsed="false">
      <c r="A18" s="7" t="s">
        <v>301</v>
      </c>
      <c r="B18" s="7" t="s">
        <v>302</v>
      </c>
      <c r="C18" s="16" t="n">
        <f aca="false">M2_OEE!G10</f>
        <v>10265.9643130556</v>
      </c>
      <c r="D18" s="17" t="n">
        <f aca="false">C18/$C$10</f>
        <v>0.273057439314832</v>
      </c>
      <c r="E18" s="7" t="s">
        <v>273</v>
      </c>
    </row>
    <row r="19" customFormat="false" ht="15" hidden="false" customHeight="false" outlineLevel="0" collapsed="false">
      <c r="A19" s="7" t="s">
        <v>303</v>
      </c>
      <c r="B19" s="5" t="s">
        <v>304</v>
      </c>
      <c r="C19" s="16" t="n">
        <f aca="false">M2_OEE!E10</f>
        <v>24182.9538586111</v>
      </c>
      <c r="D19" s="17" t="n">
        <f aca="false">C19/$C$10</f>
        <v>0.643226028684261</v>
      </c>
      <c r="E19" s="7" t="s">
        <v>273</v>
      </c>
    </row>
    <row r="20" customFormat="false" ht="15" hidden="false" customHeight="false" outlineLevel="0" collapsed="false">
      <c r="A20" s="7" t="s">
        <v>305</v>
      </c>
      <c r="B20" s="7" t="s">
        <v>306</v>
      </c>
      <c r="C20" s="15" t="n">
        <v>4463.63608261398</v>
      </c>
      <c r="D20" s="17" t="n">
        <f aca="false">C20/$C$10</f>
        <v>0.11872523628412</v>
      </c>
      <c r="E20" s="7" t="s">
        <v>278</v>
      </c>
    </row>
    <row r="21" customFormat="false" ht="15" hidden="false" customHeight="false" outlineLevel="0" collapsed="false">
      <c r="A21" s="7" t="s">
        <v>307</v>
      </c>
      <c r="B21" s="7" t="s">
        <v>308</v>
      </c>
      <c r="C21" s="20" t="n">
        <f aca="false">C19-C22-C20</f>
        <v>188.428152089875</v>
      </c>
      <c r="D21" s="17" t="n">
        <f aca="false">C21/$C$10</f>
        <v>0.00501187293618916</v>
      </c>
      <c r="E21" s="7" t="s">
        <v>283</v>
      </c>
    </row>
    <row r="22" customFormat="false" ht="15" hidden="false" customHeight="false" outlineLevel="0" collapsed="false">
      <c r="A22" s="7" t="s">
        <v>309</v>
      </c>
      <c r="B22" s="5" t="s">
        <v>310</v>
      </c>
      <c r="C22" s="16" t="n">
        <f aca="false">C19*M2_OEE!M10</f>
        <v>19530.8896239073</v>
      </c>
      <c r="D22" s="17" t="n">
        <f aca="false">C22/$C$10</f>
        <v>0.519488919463953</v>
      </c>
      <c r="E22" s="7" t="s">
        <v>311</v>
      </c>
    </row>
    <row r="23" customFormat="false" ht="15" hidden="false" customHeight="false" outlineLevel="0" collapsed="false">
      <c r="A23" s="7" t="s">
        <v>312</v>
      </c>
      <c r="B23" s="7" t="s">
        <v>313</v>
      </c>
      <c r="C23" s="20" t="n">
        <f aca="false">C22-C24</f>
        <v>79.8495382979781</v>
      </c>
      <c r="D23" s="17" t="n">
        <f aca="false">C23/$C$10</f>
        <v>0.00212386384690518</v>
      </c>
      <c r="E23" s="7" t="s">
        <v>283</v>
      </c>
    </row>
    <row r="24" customFormat="false" ht="15" hidden="false" customHeight="false" outlineLevel="0" collapsed="false">
      <c r="A24" s="7" t="s">
        <v>314</v>
      </c>
      <c r="B24" s="5" t="s">
        <v>315</v>
      </c>
      <c r="C24" s="16" t="n">
        <f aca="false">C22*M2_OEE!N10</f>
        <v>19451.0400856093</v>
      </c>
      <c r="D24" s="17" t="n">
        <f aca="false">C24/$C$10</f>
        <v>0.517365055617048</v>
      </c>
      <c r="E24" s="7" t="s">
        <v>316</v>
      </c>
    </row>
    <row r="28" customFormat="false" ht="15" hidden="false" customHeight="false" outlineLevel="0" collapsed="false">
      <c r="B28" s="5" t="s">
        <v>317</v>
      </c>
      <c r="C28" s="21" t="n">
        <f aca="false">C10-C11-C18-C19</f>
        <v>0</v>
      </c>
    </row>
    <row r="29" customFormat="false" ht="15" hidden="false" customHeight="false" outlineLevel="0" collapsed="false">
      <c r="B29" s="5" t="s">
        <v>318</v>
      </c>
      <c r="C29" s="22" t="n">
        <f aca="false">C24/C10-M2_OEE!O10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11" style="0" width="26"/>
  </cols>
  <sheetData>
    <row r="1" customFormat="false" ht="17.35" hidden="false" customHeight="false" outlineLevel="0" collapsed="false">
      <c r="A1" s="1" t="s">
        <v>319</v>
      </c>
    </row>
    <row r="2" customFormat="false" ht="15" hidden="false" customHeight="false" outlineLevel="0" collapsed="false">
      <c r="A2" s="2" t="s">
        <v>320</v>
      </c>
    </row>
    <row r="4" customFormat="false" ht="23.85" hidden="false" customHeight="false" outlineLevel="0" collapsed="false">
      <c r="A4" s="3" t="s">
        <v>321</v>
      </c>
      <c r="B4" s="3" t="s">
        <v>322</v>
      </c>
      <c r="C4" s="3" t="s">
        <v>323</v>
      </c>
      <c r="D4" s="3" t="s">
        <v>324</v>
      </c>
      <c r="E4" s="3" t="s">
        <v>325</v>
      </c>
      <c r="F4" s="3" t="s">
        <v>326</v>
      </c>
      <c r="G4" s="3" t="s">
        <v>327</v>
      </c>
      <c r="H4" s="3" t="s">
        <v>328</v>
      </c>
      <c r="I4" s="3" t="s">
        <v>329</v>
      </c>
      <c r="K4" s="5" t="s">
        <v>330</v>
      </c>
      <c r="L4" s="7" t="n">
        <f aca="false">COUNTIF(H5:H136,"A")</f>
        <v>7</v>
      </c>
    </row>
    <row r="5" customFormat="false" ht="15" hidden="false" customHeight="false" outlineLevel="0" collapsed="false">
      <c r="A5" s="7" t="s">
        <v>331</v>
      </c>
      <c r="B5" s="15" t="n">
        <v>18864</v>
      </c>
      <c r="C5" s="23" t="n">
        <v>857.929073611111</v>
      </c>
      <c r="D5" s="24" t="n">
        <v>2.72878204074781</v>
      </c>
      <c r="E5" s="25" t="n">
        <v>1</v>
      </c>
      <c r="F5" s="17" t="n">
        <f aca="false">C5/SUM($C$5:$C$136)</f>
        <v>0.27258027119406</v>
      </c>
      <c r="G5" s="17" t="n">
        <f aca="false">SUM($C$5:C5)/SUM($C$5:$C$136)</f>
        <v>0.27258027119406</v>
      </c>
      <c r="H5" s="7" t="str">
        <f aca="false">IF(G5-F5&lt;0.8,"A",IF(G5-F5&lt;0.95,"B","C"))</f>
        <v>A</v>
      </c>
      <c r="I5" s="7" t="n">
        <f aca="false">RANK(C5,$C$5:$C$136)</f>
        <v>1</v>
      </c>
      <c r="K5" s="5" t="s">
        <v>332</v>
      </c>
      <c r="L5" s="7" t="n">
        <f aca="false">COUNTA(A5:A136)</f>
        <v>132</v>
      </c>
    </row>
    <row r="6" customFormat="false" ht="15" hidden="false" customHeight="false" outlineLevel="0" collapsed="false">
      <c r="A6" s="7" t="s">
        <v>333</v>
      </c>
      <c r="B6" s="15" t="n">
        <v>18399</v>
      </c>
      <c r="C6" s="23" t="n">
        <v>515.188519166667</v>
      </c>
      <c r="D6" s="24" t="n">
        <v>1.68005386977553</v>
      </c>
      <c r="E6" s="25" t="n">
        <v>3</v>
      </c>
      <c r="F6" s="17" t="n">
        <f aca="false">C6/SUM($C$5:$C$136)</f>
        <v>0.163685123386052</v>
      </c>
      <c r="G6" s="17" t="n">
        <f aca="false">SUM($C$5:C6)/SUM($C$5:$C$136)</f>
        <v>0.436265394580112</v>
      </c>
      <c r="H6" s="7" t="str">
        <f aca="false">IF(G6-F6&lt;0.8,"A",IF(G6-F6&lt;0.95,"B","C"))</f>
        <v>A</v>
      </c>
      <c r="I6" s="7" t="n">
        <f aca="false">RANK(C6,$C$5:$C$136)</f>
        <v>2</v>
      </c>
      <c r="K6" s="5" t="s">
        <v>334</v>
      </c>
      <c r="L6" s="17" t="n">
        <f aca="false">SUMIF(H5:H136,"A",C5:C136)/SUM(C5:C136)</f>
        <v>0.81591303427406</v>
      </c>
    </row>
    <row r="7" customFormat="false" ht="15" hidden="false" customHeight="false" outlineLevel="0" collapsed="false">
      <c r="A7" s="7" t="s">
        <v>335</v>
      </c>
      <c r="B7" s="15" t="n">
        <v>3922</v>
      </c>
      <c r="C7" s="23" t="n">
        <v>411.227759444445</v>
      </c>
      <c r="D7" s="24" t="n">
        <v>6.29109269930308</v>
      </c>
      <c r="E7" s="25" t="n">
        <v>4</v>
      </c>
      <c r="F7" s="17" t="n">
        <f aca="false">C7/SUM($C$5:$C$136)</f>
        <v>0.130654826418323</v>
      </c>
      <c r="G7" s="17" t="n">
        <f aca="false">SUM($C$5:C7)/SUM($C$5:$C$136)</f>
        <v>0.566920220998435</v>
      </c>
      <c r="H7" s="7" t="str">
        <f aca="false">IF(G7-F7&lt;0.8,"A",IF(G7-F7&lt;0.95,"B","C"))</f>
        <v>A</v>
      </c>
      <c r="I7" s="7" t="n">
        <f aca="false">RANK(C7,$C$5:$C$136)</f>
        <v>3</v>
      </c>
    </row>
    <row r="8" customFormat="false" ht="15" hidden="false" customHeight="false" outlineLevel="0" collapsed="false">
      <c r="A8" s="7" t="s">
        <v>336</v>
      </c>
      <c r="B8" s="15" t="n">
        <v>4401</v>
      </c>
      <c r="C8" s="23" t="n">
        <v>387.568953333333</v>
      </c>
      <c r="D8" s="24" t="n">
        <v>5.28383031129289</v>
      </c>
      <c r="E8" s="25" t="n">
        <v>4</v>
      </c>
      <c r="F8" s="17" t="n">
        <f aca="false">C8/SUM($C$5:$C$136)</f>
        <v>0.123137976850852</v>
      </c>
      <c r="G8" s="17" t="n">
        <f aca="false">SUM($C$5:C8)/SUM($C$5:$C$136)</f>
        <v>0.690058197849287</v>
      </c>
      <c r="H8" s="7" t="str">
        <f aca="false">IF(G8-F8&lt;0.8,"A",IF(G8-F8&lt;0.95,"B","C"))</f>
        <v>A</v>
      </c>
      <c r="I8" s="7" t="n">
        <f aca="false">RANK(C8,$C$5:$C$136)</f>
        <v>4</v>
      </c>
    </row>
    <row r="9" customFormat="false" ht="15" hidden="false" customHeight="false" outlineLevel="0" collapsed="false">
      <c r="A9" s="7" t="s">
        <v>337</v>
      </c>
      <c r="B9" s="15" t="n">
        <v>3375</v>
      </c>
      <c r="C9" s="23" t="n">
        <v>153.422508333333</v>
      </c>
      <c r="D9" s="24" t="n">
        <v>2.72751125925926</v>
      </c>
      <c r="E9" s="25" t="n">
        <v>2</v>
      </c>
      <c r="F9" s="17" t="n">
        <f aca="false">C9/SUM($C$5:$C$136)</f>
        <v>0.0487452287317277</v>
      </c>
      <c r="G9" s="17" t="n">
        <f aca="false">SUM($C$5:C9)/SUM($C$5:$C$136)</f>
        <v>0.738803426581014</v>
      </c>
      <c r="H9" s="7" t="str">
        <f aca="false">IF(G9-F9&lt;0.8,"A",IF(G9-F9&lt;0.95,"B","C"))</f>
        <v>A</v>
      </c>
      <c r="I9" s="7" t="n">
        <f aca="false">RANK(C9,$C$5:$C$136)</f>
        <v>5</v>
      </c>
    </row>
    <row r="10" customFormat="false" ht="15" hidden="false" customHeight="false" outlineLevel="0" collapsed="false">
      <c r="A10" s="7" t="s">
        <v>338</v>
      </c>
      <c r="B10" s="15" t="n">
        <v>12225</v>
      </c>
      <c r="C10" s="23" t="n">
        <v>131.560959166667</v>
      </c>
      <c r="D10" s="24" t="n">
        <v>0.645697959100204</v>
      </c>
      <c r="E10" s="25" t="n">
        <v>5</v>
      </c>
      <c r="F10" s="17" t="n">
        <f aca="false">C10/SUM($C$5:$C$136)</f>
        <v>0.0417994016419776</v>
      </c>
      <c r="G10" s="17" t="n">
        <f aca="false">SUM($C$5:C10)/SUM($C$5:$C$136)</f>
        <v>0.780602828222992</v>
      </c>
      <c r="H10" s="7" t="str">
        <f aca="false">IF(G10-F10&lt;0.8,"A",IF(G10-F10&lt;0.95,"B","C"))</f>
        <v>A</v>
      </c>
      <c r="I10" s="7" t="n">
        <f aca="false">RANK(C10,$C$5:$C$136)</f>
        <v>6</v>
      </c>
    </row>
    <row r="11" customFormat="false" ht="15" hidden="false" customHeight="false" outlineLevel="0" collapsed="false">
      <c r="A11" s="7" t="s">
        <v>339</v>
      </c>
      <c r="B11" s="15" t="n">
        <v>5098</v>
      </c>
      <c r="C11" s="23" t="n">
        <v>111.136628611111</v>
      </c>
      <c r="D11" s="24" t="n">
        <v>1.30800269059762</v>
      </c>
      <c r="E11" s="25" t="n">
        <v>5</v>
      </c>
      <c r="F11" s="17" t="n">
        <f aca="false">C11/SUM($C$5:$C$136)</f>
        <v>0.0353102060510679</v>
      </c>
      <c r="G11" s="17" t="n">
        <f aca="false">SUM($C$5:C11)/SUM($C$5:$C$136)</f>
        <v>0.81591303427406</v>
      </c>
      <c r="H11" s="7" t="str">
        <f aca="false">IF(G11-F11&lt;0.8,"A",IF(G11-F11&lt;0.95,"B","C"))</f>
        <v>A</v>
      </c>
      <c r="I11" s="7" t="n">
        <f aca="false">RANK(C11,$C$5:$C$136)</f>
        <v>7</v>
      </c>
    </row>
    <row r="12" customFormat="false" ht="15" hidden="false" customHeight="false" outlineLevel="0" collapsed="false">
      <c r="A12" s="7" t="s">
        <v>340</v>
      </c>
      <c r="B12" s="15" t="n">
        <v>9275</v>
      </c>
      <c r="C12" s="23" t="n">
        <v>90.5524969444444</v>
      </c>
      <c r="D12" s="24" t="n">
        <v>0.585784346810422</v>
      </c>
      <c r="E12" s="25" t="n">
        <v>5</v>
      </c>
      <c r="F12" s="17" t="n">
        <f aca="false">C12/SUM($C$5:$C$136)</f>
        <v>0.0287702386288454</v>
      </c>
      <c r="G12" s="17" t="n">
        <f aca="false">SUM($C$5:C12)/SUM($C$5:$C$136)</f>
        <v>0.844683272902905</v>
      </c>
      <c r="H12" s="7" t="str">
        <f aca="false">IF(G12-F12&lt;0.8,"A",IF(G12-F12&lt;0.95,"B","C"))</f>
        <v>B</v>
      </c>
      <c r="I12" s="7" t="n">
        <f aca="false">RANK(C12,$C$5:$C$136)</f>
        <v>8</v>
      </c>
    </row>
    <row r="13" customFormat="false" ht="15" hidden="false" customHeight="false" outlineLevel="0" collapsed="false">
      <c r="A13" s="7" t="s">
        <v>341</v>
      </c>
      <c r="B13" s="15" t="n">
        <v>1142</v>
      </c>
      <c r="C13" s="23" t="n">
        <v>53.2434366666667</v>
      </c>
      <c r="D13" s="24" t="n">
        <v>2.79737845884413</v>
      </c>
      <c r="E13" s="25" t="n">
        <v>5</v>
      </c>
      <c r="F13" s="17" t="n">
        <f aca="false">C13/SUM($C$5:$C$136)</f>
        <v>0.0169164454875233</v>
      </c>
      <c r="G13" s="17" t="n">
        <f aca="false">SUM($C$5:C13)/SUM($C$5:$C$136)</f>
        <v>0.861599718390429</v>
      </c>
      <c r="H13" s="7" t="str">
        <f aca="false">IF(G13-F13&lt;0.8,"A",IF(G13-F13&lt;0.95,"B","C"))</f>
        <v>B</v>
      </c>
      <c r="I13" s="7" t="n">
        <f aca="false">RANK(C13,$C$5:$C$136)</f>
        <v>9</v>
      </c>
    </row>
    <row r="14" customFormat="false" ht="15" hidden="false" customHeight="false" outlineLevel="0" collapsed="false">
      <c r="A14" s="7" t="s">
        <v>342</v>
      </c>
      <c r="B14" s="15" t="n">
        <v>2225</v>
      </c>
      <c r="C14" s="23" t="n">
        <v>42.1321227777778</v>
      </c>
      <c r="D14" s="24" t="n">
        <v>1.13614713108614</v>
      </c>
      <c r="E14" s="25" t="n">
        <v>5</v>
      </c>
      <c r="F14" s="17" t="n">
        <f aca="false">C14/SUM($C$5:$C$136)</f>
        <v>0.0133861711952588</v>
      </c>
      <c r="G14" s="17" t="n">
        <f aca="false">SUM($C$5:C14)/SUM($C$5:$C$136)</f>
        <v>0.874985889585687</v>
      </c>
      <c r="H14" s="7" t="str">
        <f aca="false">IF(G14-F14&lt;0.8,"A",IF(G14-F14&lt;0.95,"B","C"))</f>
        <v>B</v>
      </c>
      <c r="I14" s="7" t="n">
        <f aca="false">RANK(C14,$C$5:$C$136)</f>
        <v>10</v>
      </c>
    </row>
    <row r="15" customFormat="false" ht="15" hidden="false" customHeight="false" outlineLevel="0" collapsed="false">
      <c r="A15" s="7" t="s">
        <v>343</v>
      </c>
      <c r="B15" s="15" t="n">
        <v>831</v>
      </c>
      <c r="C15" s="23" t="n">
        <v>40.9469633333333</v>
      </c>
      <c r="D15" s="24" t="n">
        <v>2.95645944645006</v>
      </c>
      <c r="E15" s="25" t="n">
        <v>1</v>
      </c>
      <c r="F15" s="17" t="n">
        <f aca="false">C15/SUM($C$5:$C$136)</f>
        <v>0.0130096236545453</v>
      </c>
      <c r="G15" s="17" t="n">
        <f aca="false">SUM($C$5:C15)/SUM($C$5:$C$136)</f>
        <v>0.887995513240233</v>
      </c>
      <c r="H15" s="7" t="str">
        <f aca="false">IF(G15-F15&lt;0.8,"A",IF(G15-F15&lt;0.95,"B","C"))</f>
        <v>B</v>
      </c>
      <c r="I15" s="7" t="n">
        <f aca="false">RANK(C15,$C$5:$C$136)</f>
        <v>11</v>
      </c>
    </row>
    <row r="16" customFormat="false" ht="15" hidden="false" customHeight="false" outlineLevel="0" collapsed="false">
      <c r="A16" s="7" t="s">
        <v>344</v>
      </c>
      <c r="B16" s="15" t="n">
        <v>1763</v>
      </c>
      <c r="C16" s="23" t="n">
        <v>37.1911452777778</v>
      </c>
      <c r="D16" s="24" t="n">
        <v>1.26572247116657</v>
      </c>
      <c r="E16" s="25" t="n">
        <v>5</v>
      </c>
      <c r="F16" s="17" t="n">
        <f aca="false">C16/SUM($C$5:$C$136)</f>
        <v>0.0118163293186513</v>
      </c>
      <c r="G16" s="17" t="n">
        <f aca="false">SUM($C$5:C16)/SUM($C$5:$C$136)</f>
        <v>0.899811842558884</v>
      </c>
      <c r="H16" s="7" t="str">
        <f aca="false">IF(G16-F16&lt;0.8,"A",IF(G16-F16&lt;0.95,"B","C"))</f>
        <v>B</v>
      </c>
      <c r="I16" s="7" t="n">
        <f aca="false">RANK(C16,$C$5:$C$136)</f>
        <v>12</v>
      </c>
    </row>
    <row r="17" customFormat="false" ht="15" hidden="false" customHeight="false" outlineLevel="0" collapsed="false">
      <c r="A17" s="7" t="s">
        <v>345</v>
      </c>
      <c r="B17" s="15" t="n">
        <v>1161</v>
      </c>
      <c r="C17" s="23" t="n">
        <v>36.3385002777778</v>
      </c>
      <c r="D17" s="24" t="n">
        <v>1.87795867068619</v>
      </c>
      <c r="E17" s="25" t="n">
        <v>4</v>
      </c>
      <c r="F17" s="17" t="n">
        <f aca="false">C17/SUM($C$5:$C$136)</f>
        <v>0.0115454278974487</v>
      </c>
      <c r="G17" s="17" t="n">
        <f aca="false">SUM($C$5:C17)/SUM($C$5:$C$136)</f>
        <v>0.911357270456333</v>
      </c>
      <c r="H17" s="7" t="str">
        <f aca="false">IF(G17-F17&lt;0.8,"A",IF(G17-F17&lt;0.95,"B","C"))</f>
        <v>B</v>
      </c>
      <c r="I17" s="7" t="n">
        <f aca="false">RANK(C17,$C$5:$C$136)</f>
        <v>13</v>
      </c>
    </row>
    <row r="18" customFormat="false" ht="15" hidden="false" customHeight="false" outlineLevel="0" collapsed="false">
      <c r="A18" s="7" t="s">
        <v>346</v>
      </c>
      <c r="B18" s="15" t="n">
        <v>1150</v>
      </c>
      <c r="C18" s="23" t="n">
        <v>36.1074988888889</v>
      </c>
      <c r="D18" s="24" t="n">
        <v>1.88386950724638</v>
      </c>
      <c r="E18" s="25" t="n">
        <v>4</v>
      </c>
      <c r="F18" s="17" t="n">
        <f aca="false">C18/SUM($C$5:$C$136)</f>
        <v>0.0114720343930597</v>
      </c>
      <c r="G18" s="17" t="n">
        <f aca="false">SUM($C$5:C18)/SUM($C$5:$C$136)</f>
        <v>0.922829304849392</v>
      </c>
      <c r="H18" s="7" t="str">
        <f aca="false">IF(G18-F18&lt;0.8,"A",IF(G18-F18&lt;0.95,"B","C"))</f>
        <v>B</v>
      </c>
      <c r="I18" s="7" t="n">
        <f aca="false">RANK(C18,$C$5:$C$136)</f>
        <v>14</v>
      </c>
    </row>
    <row r="19" customFormat="false" ht="15" hidden="false" customHeight="false" outlineLevel="0" collapsed="false">
      <c r="A19" s="7" t="s">
        <v>347</v>
      </c>
      <c r="B19" s="15" t="n">
        <v>705</v>
      </c>
      <c r="C19" s="23" t="n">
        <v>32.0532122222222</v>
      </c>
      <c r="D19" s="24" t="n">
        <v>2.72793295508274</v>
      </c>
      <c r="E19" s="25" t="n">
        <v>5</v>
      </c>
      <c r="F19" s="17" t="n">
        <f aca="false">C19/SUM($C$5:$C$136)</f>
        <v>0.0101839109419603</v>
      </c>
      <c r="G19" s="17" t="n">
        <f aca="false">SUM($C$5:C19)/SUM($C$5:$C$136)</f>
        <v>0.933013215791353</v>
      </c>
      <c r="H19" s="7" t="str">
        <f aca="false">IF(G19-F19&lt;0.8,"A",IF(G19-F19&lt;0.95,"B","C"))</f>
        <v>B</v>
      </c>
      <c r="I19" s="7" t="n">
        <f aca="false">RANK(C19,$C$5:$C$136)</f>
        <v>15</v>
      </c>
    </row>
    <row r="20" customFormat="false" ht="15" hidden="false" customHeight="false" outlineLevel="0" collapsed="false">
      <c r="A20" s="7" t="s">
        <v>348</v>
      </c>
      <c r="B20" s="15" t="n">
        <v>645</v>
      </c>
      <c r="C20" s="23" t="n">
        <v>25.0782883333333</v>
      </c>
      <c r="D20" s="24" t="n">
        <v>2.33286403100775</v>
      </c>
      <c r="E20" s="25" t="n">
        <v>1</v>
      </c>
      <c r="F20" s="17" t="n">
        <f aca="false">C20/SUM($C$5:$C$136)</f>
        <v>0.00796784588055752</v>
      </c>
      <c r="G20" s="17" t="n">
        <f aca="false">SUM($C$5:C20)/SUM($C$5:$C$136)</f>
        <v>0.94098106167191</v>
      </c>
      <c r="H20" s="7" t="str">
        <f aca="false">IF(G20-F20&lt;0.8,"A",IF(G20-F20&lt;0.95,"B","C"))</f>
        <v>B</v>
      </c>
      <c r="I20" s="7" t="n">
        <f aca="false">RANK(C20,$C$5:$C$136)</f>
        <v>16</v>
      </c>
    </row>
    <row r="21" customFormat="false" ht="15" hidden="false" customHeight="false" outlineLevel="0" collapsed="false">
      <c r="A21" s="7" t="s">
        <v>349</v>
      </c>
      <c r="B21" s="15" t="n">
        <v>64</v>
      </c>
      <c r="C21" s="23" t="n">
        <v>18.3996080555556</v>
      </c>
      <c r="D21" s="24" t="n">
        <v>17.2496325520833</v>
      </c>
      <c r="E21" s="25" t="n">
        <v>4</v>
      </c>
      <c r="F21" s="17" t="n">
        <f aca="false">C21/SUM($C$5:$C$136)</f>
        <v>0.00584590300983453</v>
      </c>
      <c r="G21" s="17" t="n">
        <f aca="false">SUM($C$5:C21)/SUM($C$5:$C$136)</f>
        <v>0.946826964681745</v>
      </c>
      <c r="H21" s="7" t="str">
        <f aca="false">IF(G21-F21&lt;0.8,"A",IF(G21-F21&lt;0.95,"B","C"))</f>
        <v>B</v>
      </c>
      <c r="I21" s="7" t="n">
        <f aca="false">RANK(C21,$C$5:$C$136)</f>
        <v>17</v>
      </c>
    </row>
    <row r="22" customFormat="false" ht="15" hidden="false" customHeight="false" outlineLevel="0" collapsed="false">
      <c r="A22" s="7" t="s">
        <v>350</v>
      </c>
      <c r="B22" s="15" t="n">
        <v>841</v>
      </c>
      <c r="C22" s="23" t="n">
        <v>13.8481163888889</v>
      </c>
      <c r="D22" s="24" t="n">
        <v>0.987975009908839</v>
      </c>
      <c r="E22" s="25" t="n">
        <v>5</v>
      </c>
      <c r="F22" s="17" t="n">
        <f aca="false">C22/SUM($C$5:$C$136)</f>
        <v>0.00439980813905984</v>
      </c>
      <c r="G22" s="17" t="n">
        <f aca="false">SUM($C$5:C22)/SUM($C$5:$C$136)</f>
        <v>0.951226772820805</v>
      </c>
      <c r="H22" s="7" t="str">
        <f aca="false">IF(G22-F22&lt;0.8,"A",IF(G22-F22&lt;0.95,"B","C"))</f>
        <v>B</v>
      </c>
      <c r="I22" s="7" t="n">
        <f aca="false">RANK(C22,$C$5:$C$136)</f>
        <v>18</v>
      </c>
    </row>
    <row r="23" customFormat="false" ht="15" hidden="false" customHeight="false" outlineLevel="0" collapsed="false">
      <c r="A23" s="7" t="s">
        <v>351</v>
      </c>
      <c r="B23" s="15" t="n">
        <v>211</v>
      </c>
      <c r="C23" s="23" t="n">
        <v>10.6951091666667</v>
      </c>
      <c r="D23" s="24" t="n">
        <v>3.04126327014218</v>
      </c>
      <c r="E23" s="25" t="n">
        <v>2</v>
      </c>
      <c r="F23" s="17" t="n">
        <f aca="false">C23/SUM($C$5:$C$136)</f>
        <v>0.00339803819076719</v>
      </c>
      <c r="G23" s="17" t="n">
        <f aca="false">SUM($C$5:C23)/SUM($C$5:$C$136)</f>
        <v>0.954624811011572</v>
      </c>
      <c r="H23" s="7" t="str">
        <f aca="false">IF(G23-F23&lt;0.8,"A",IF(G23-F23&lt;0.95,"B","C"))</f>
        <v>C</v>
      </c>
      <c r="I23" s="7" t="n">
        <f aca="false">RANK(C23,$C$5:$C$136)</f>
        <v>19</v>
      </c>
    </row>
    <row r="24" customFormat="false" ht="15" hidden="false" customHeight="false" outlineLevel="0" collapsed="false">
      <c r="A24" s="7" t="s">
        <v>352</v>
      </c>
      <c r="B24" s="15" t="n">
        <v>514</v>
      </c>
      <c r="C24" s="23" t="n">
        <v>10.2855202777778</v>
      </c>
      <c r="D24" s="24" t="n">
        <v>1.20064439040208</v>
      </c>
      <c r="E24" s="25" t="n">
        <v>5</v>
      </c>
      <c r="F24" s="17" t="n">
        <f aca="false">C24/SUM($C$5:$C$136)</f>
        <v>0.00326790406447925</v>
      </c>
      <c r="G24" s="17" t="n">
        <f aca="false">SUM($C$5:C24)/SUM($C$5:$C$136)</f>
        <v>0.957892715076051</v>
      </c>
      <c r="H24" s="7" t="str">
        <f aca="false">IF(G24-F24&lt;0.8,"A",IF(G24-F24&lt;0.95,"B","C"))</f>
        <v>C</v>
      </c>
      <c r="I24" s="7" t="n">
        <f aca="false">RANK(C24,$C$5:$C$136)</f>
        <v>20</v>
      </c>
    </row>
    <row r="25" customFormat="false" ht="15" hidden="false" customHeight="false" outlineLevel="0" collapsed="false">
      <c r="A25" s="7" t="s">
        <v>353</v>
      </c>
      <c r="B25" s="15" t="n">
        <v>221</v>
      </c>
      <c r="C25" s="23" t="n">
        <v>9.33879388888889</v>
      </c>
      <c r="D25" s="24" t="n">
        <v>2.53541915535445</v>
      </c>
      <c r="E25" s="25" t="n">
        <v>3</v>
      </c>
      <c r="F25" s="17" t="n">
        <f aca="false">C25/SUM($C$5:$C$136)</f>
        <v>0.0029671112090236</v>
      </c>
      <c r="G25" s="17" t="n">
        <f aca="false">SUM($C$5:C25)/SUM($C$5:$C$136)</f>
        <v>0.960859826285075</v>
      </c>
      <c r="H25" s="7" t="str">
        <f aca="false">IF(G25-F25&lt;0.8,"A",IF(G25-F25&lt;0.95,"B","C"))</f>
        <v>C</v>
      </c>
      <c r="I25" s="7" t="n">
        <f aca="false">RANK(C25,$C$5:$C$136)</f>
        <v>21</v>
      </c>
    </row>
    <row r="26" customFormat="false" ht="15" hidden="false" customHeight="false" outlineLevel="0" collapsed="false">
      <c r="A26" s="7" t="s">
        <v>354</v>
      </c>
      <c r="B26" s="15" t="n">
        <v>144</v>
      </c>
      <c r="C26" s="23" t="n">
        <v>6.38695</v>
      </c>
      <c r="D26" s="24" t="n">
        <v>2.66122916666667</v>
      </c>
      <c r="E26" s="25" t="n">
        <v>5</v>
      </c>
      <c r="F26" s="17" t="n">
        <f aca="false">C26/SUM($C$5:$C$136)</f>
        <v>0.00202925465129074</v>
      </c>
      <c r="G26" s="17" t="n">
        <f aca="false">SUM($C$5:C26)/SUM($C$5:$C$136)</f>
        <v>0.962889080936365</v>
      </c>
      <c r="H26" s="7" t="str">
        <f aca="false">IF(G26-F26&lt;0.8,"A",IF(G26-F26&lt;0.95,"B","C"))</f>
        <v>C</v>
      </c>
      <c r="I26" s="7" t="n">
        <f aca="false">RANK(C26,$C$5:$C$136)</f>
        <v>22</v>
      </c>
    </row>
    <row r="27" customFormat="false" ht="15" hidden="false" customHeight="false" outlineLevel="0" collapsed="false">
      <c r="A27" s="7" t="s">
        <v>355</v>
      </c>
      <c r="B27" s="15" t="n">
        <v>143</v>
      </c>
      <c r="C27" s="23" t="n">
        <v>5.51955194444445</v>
      </c>
      <c r="D27" s="24" t="n">
        <v>2.31589592074592</v>
      </c>
      <c r="E27" s="25" t="n">
        <v>5</v>
      </c>
      <c r="F27" s="17" t="n">
        <f aca="false">C27/SUM($C$5:$C$136)</f>
        <v>0.00175366590568342</v>
      </c>
      <c r="G27" s="17" t="n">
        <f aca="false">SUM($C$5:C27)/SUM($C$5:$C$136)</f>
        <v>0.964642746842049</v>
      </c>
      <c r="H27" s="7" t="str">
        <f aca="false">IF(G27-F27&lt;0.8,"A",IF(G27-F27&lt;0.95,"B","C"))</f>
        <v>C</v>
      </c>
      <c r="I27" s="7" t="n">
        <f aca="false">RANK(C27,$C$5:$C$136)</f>
        <v>23</v>
      </c>
    </row>
    <row r="28" customFormat="false" ht="15" hidden="false" customHeight="false" outlineLevel="0" collapsed="false">
      <c r="A28" s="7" t="s">
        <v>356</v>
      </c>
      <c r="B28" s="15" t="n">
        <v>134</v>
      </c>
      <c r="C28" s="23" t="n">
        <v>5.27108305555556</v>
      </c>
      <c r="D28" s="24" t="n">
        <v>2.36018644278607</v>
      </c>
      <c r="E28" s="25" t="n">
        <v>3</v>
      </c>
      <c r="F28" s="17" t="n">
        <f aca="false">C28/SUM($C$5:$C$136)</f>
        <v>0.00167472264661942</v>
      </c>
      <c r="G28" s="17" t="n">
        <f aca="false">SUM($C$5:C28)/SUM($C$5:$C$136)</f>
        <v>0.966317469488668</v>
      </c>
      <c r="H28" s="7" t="str">
        <f aca="false">IF(G28-F28&lt;0.8,"A",IF(G28-F28&lt;0.95,"B","C"))</f>
        <v>C</v>
      </c>
      <c r="I28" s="7" t="n">
        <f aca="false">RANK(C28,$C$5:$C$136)</f>
        <v>24</v>
      </c>
    </row>
    <row r="29" customFormat="false" ht="15" hidden="false" customHeight="false" outlineLevel="0" collapsed="false">
      <c r="A29" s="7" t="s">
        <v>357</v>
      </c>
      <c r="B29" s="15" t="n">
        <v>207</v>
      </c>
      <c r="C29" s="23" t="n">
        <v>4.36541555555556</v>
      </c>
      <c r="D29" s="24" t="n">
        <v>1.26533784219002</v>
      </c>
      <c r="E29" s="25" t="n">
        <v>5</v>
      </c>
      <c r="F29" s="17" t="n">
        <f aca="false">C29/SUM($C$5:$C$136)</f>
        <v>0.00138697497568136</v>
      </c>
      <c r="G29" s="17" t="n">
        <f aca="false">SUM($C$5:C29)/SUM($C$5:$C$136)</f>
        <v>0.96770444446435</v>
      </c>
      <c r="H29" s="7" t="str">
        <f aca="false">IF(G29-F29&lt;0.8,"A",IF(G29-F29&lt;0.95,"B","C"))</f>
        <v>C</v>
      </c>
      <c r="I29" s="7" t="n">
        <f aca="false">RANK(C29,$C$5:$C$136)</f>
        <v>25</v>
      </c>
    </row>
    <row r="30" customFormat="false" ht="15" hidden="false" customHeight="false" outlineLevel="0" collapsed="false">
      <c r="A30" s="7" t="s">
        <v>358</v>
      </c>
      <c r="B30" s="15" t="n">
        <v>45</v>
      </c>
      <c r="C30" s="23" t="n">
        <v>4.11657</v>
      </c>
      <c r="D30" s="24" t="n">
        <v>5.48876</v>
      </c>
      <c r="E30" s="25" t="n">
        <v>2</v>
      </c>
      <c r="F30" s="17" t="n">
        <f aca="false">C30/SUM($C$5:$C$136)</f>
        <v>0.0013079120425029</v>
      </c>
      <c r="G30" s="17" t="n">
        <f aca="false">SUM($C$5:C30)/SUM($C$5:$C$136)</f>
        <v>0.969012356506852</v>
      </c>
      <c r="H30" s="7" t="str">
        <f aca="false">IF(G30-F30&lt;0.8,"A",IF(G30-F30&lt;0.95,"B","C"))</f>
        <v>C</v>
      </c>
      <c r="I30" s="7" t="n">
        <f aca="false">RANK(C30,$C$5:$C$136)</f>
        <v>26</v>
      </c>
    </row>
    <row r="31" customFormat="false" ht="15" hidden="false" customHeight="false" outlineLevel="0" collapsed="false">
      <c r="A31" s="7" t="s">
        <v>359</v>
      </c>
      <c r="B31" s="15" t="n">
        <v>17</v>
      </c>
      <c r="C31" s="23" t="n">
        <v>3.93007777777778</v>
      </c>
      <c r="D31" s="24" t="n">
        <v>13.870862745098</v>
      </c>
      <c r="E31" s="25" t="n">
        <v>1</v>
      </c>
      <c r="F31" s="17" t="n">
        <f aca="false">C31/SUM($C$5:$C$136)</f>
        <v>0.0012486599410501</v>
      </c>
      <c r="G31" s="17" t="n">
        <f aca="false">SUM($C$5:C31)/SUM($C$5:$C$136)</f>
        <v>0.970261016447903</v>
      </c>
      <c r="H31" s="7" t="str">
        <f aca="false">IF(G31-F31&lt;0.8,"A",IF(G31-F31&lt;0.95,"B","C"))</f>
        <v>C</v>
      </c>
      <c r="I31" s="7" t="n">
        <f aca="false">RANK(C31,$C$5:$C$136)</f>
        <v>27</v>
      </c>
    </row>
    <row r="32" customFormat="false" ht="15" hidden="false" customHeight="false" outlineLevel="0" collapsed="false">
      <c r="A32" s="7" t="s">
        <v>360</v>
      </c>
      <c r="B32" s="15" t="n">
        <v>143</v>
      </c>
      <c r="C32" s="23" t="n">
        <v>3.88179888888889</v>
      </c>
      <c r="D32" s="24" t="n">
        <v>1.62872680652681</v>
      </c>
      <c r="E32" s="25" t="n">
        <v>3</v>
      </c>
      <c r="F32" s="17" t="n">
        <f aca="false">C32/SUM($C$5:$C$136)</f>
        <v>0.00123332082616163</v>
      </c>
      <c r="G32" s="17" t="n">
        <f aca="false">SUM($C$5:C32)/SUM($C$5:$C$136)</f>
        <v>0.971494337274064</v>
      </c>
      <c r="H32" s="7" t="str">
        <f aca="false">IF(G32-F32&lt;0.8,"A",IF(G32-F32&lt;0.95,"B","C"))</f>
        <v>C</v>
      </c>
      <c r="I32" s="7" t="n">
        <f aca="false">RANK(C32,$C$5:$C$136)</f>
        <v>28</v>
      </c>
    </row>
    <row r="33" customFormat="false" ht="15" hidden="false" customHeight="false" outlineLevel="0" collapsed="false">
      <c r="A33" s="7" t="s">
        <v>361</v>
      </c>
      <c r="B33" s="15" t="n">
        <v>143</v>
      </c>
      <c r="C33" s="23" t="n">
        <v>3.70120972222222</v>
      </c>
      <c r="D33" s="24" t="n">
        <v>1.55295512820513</v>
      </c>
      <c r="E33" s="25" t="n">
        <v>5</v>
      </c>
      <c r="F33" s="17" t="n">
        <f aca="false">C33/SUM($C$5:$C$136)</f>
        <v>0.00117594423695534</v>
      </c>
      <c r="G33" s="17" t="n">
        <f aca="false">SUM($C$5:C33)/SUM($C$5:$C$136)</f>
        <v>0.972670281511019</v>
      </c>
      <c r="H33" s="7" t="str">
        <f aca="false">IF(G33-F33&lt;0.8,"A",IF(G33-F33&lt;0.95,"B","C"))</f>
        <v>C</v>
      </c>
      <c r="I33" s="7" t="n">
        <f aca="false">RANK(C33,$C$5:$C$136)</f>
        <v>29</v>
      </c>
    </row>
    <row r="34" customFormat="false" ht="15" hidden="false" customHeight="false" outlineLevel="0" collapsed="false">
      <c r="A34" s="7" t="s">
        <v>362</v>
      </c>
      <c r="B34" s="15" t="n">
        <v>225</v>
      </c>
      <c r="C34" s="23" t="n">
        <v>3.56405194444445</v>
      </c>
      <c r="D34" s="24" t="n">
        <v>0.950413851851852</v>
      </c>
      <c r="E34" s="25" t="n">
        <v>3</v>
      </c>
      <c r="F34" s="17" t="n">
        <f aca="false">C34/SUM($C$5:$C$136)</f>
        <v>0.00113236662032828</v>
      </c>
      <c r="G34" s="17" t="n">
        <f aca="false">SUM($C$5:C34)/SUM($C$5:$C$136)</f>
        <v>0.973802648131348</v>
      </c>
      <c r="H34" s="7" t="str">
        <f aca="false">IF(G34-F34&lt;0.8,"A",IF(G34-F34&lt;0.95,"B","C"))</f>
        <v>C</v>
      </c>
      <c r="I34" s="7" t="n">
        <f aca="false">RANK(C34,$C$5:$C$136)</f>
        <v>30</v>
      </c>
    </row>
    <row r="35" customFormat="false" ht="15" hidden="false" customHeight="false" outlineLevel="0" collapsed="false">
      <c r="A35" s="7" t="s">
        <v>363</v>
      </c>
      <c r="B35" s="15" t="n">
        <v>103</v>
      </c>
      <c r="C35" s="23" t="n">
        <v>3.49341805555556</v>
      </c>
      <c r="D35" s="24" t="n">
        <v>2.03500080906149</v>
      </c>
      <c r="E35" s="25" t="n">
        <v>5</v>
      </c>
      <c r="F35" s="17" t="n">
        <f aca="false">C35/SUM($C$5:$C$136)</f>
        <v>0.00110992489970004</v>
      </c>
      <c r="G35" s="17" t="n">
        <f aca="false">SUM($C$5:C35)/SUM($C$5:$C$136)</f>
        <v>0.974912573031048</v>
      </c>
      <c r="H35" s="7" t="str">
        <f aca="false">IF(G35-F35&lt;0.8,"A",IF(G35-F35&lt;0.95,"B","C"))</f>
        <v>C</v>
      </c>
      <c r="I35" s="7" t="n">
        <f aca="false">RANK(C35,$C$5:$C$136)</f>
        <v>31</v>
      </c>
    </row>
    <row r="36" customFormat="false" ht="15" hidden="false" customHeight="false" outlineLevel="0" collapsed="false">
      <c r="A36" s="7" t="s">
        <v>364</v>
      </c>
      <c r="B36" s="15" t="n">
        <v>343</v>
      </c>
      <c r="C36" s="23" t="n">
        <v>3.41941972222222</v>
      </c>
      <c r="D36" s="24" t="n">
        <v>0.598149222546161</v>
      </c>
      <c r="E36" s="25" t="n">
        <v>3</v>
      </c>
      <c r="F36" s="17" t="n">
        <f aca="false">C36/SUM($C$5:$C$136)</f>
        <v>0.00108641423152439</v>
      </c>
      <c r="G36" s="17" t="n">
        <f aca="false">SUM($C$5:C36)/SUM($C$5:$C$136)</f>
        <v>0.975998987262572</v>
      </c>
      <c r="H36" s="7" t="str">
        <f aca="false">IF(G36-F36&lt;0.8,"A",IF(G36-F36&lt;0.95,"B","C"))</f>
        <v>C</v>
      </c>
      <c r="I36" s="7" t="n">
        <f aca="false">RANK(C36,$C$5:$C$136)</f>
        <v>32</v>
      </c>
    </row>
    <row r="37" customFormat="false" ht="15" hidden="false" customHeight="false" outlineLevel="0" collapsed="false">
      <c r="A37" s="7" t="s">
        <v>365</v>
      </c>
      <c r="B37" s="15" t="n">
        <v>203</v>
      </c>
      <c r="C37" s="23" t="n">
        <v>3.3986875</v>
      </c>
      <c r="D37" s="24" t="n">
        <v>1.0045381773399</v>
      </c>
      <c r="E37" s="25" t="n">
        <v>4</v>
      </c>
      <c r="F37" s="17" t="n">
        <f aca="false">C37/SUM($C$5:$C$136)</f>
        <v>0.00107982721293555</v>
      </c>
      <c r="G37" s="17" t="n">
        <f aca="false">SUM($C$5:C37)/SUM($C$5:$C$136)</f>
        <v>0.977078814475508</v>
      </c>
      <c r="H37" s="7" t="str">
        <f aca="false">IF(G37-F37&lt;0.8,"A",IF(G37-F37&lt;0.95,"B","C"))</f>
        <v>C</v>
      </c>
      <c r="I37" s="7" t="n">
        <f aca="false">RANK(C37,$C$5:$C$136)</f>
        <v>33</v>
      </c>
    </row>
    <row r="38" customFormat="false" ht="15" hidden="false" customHeight="false" outlineLevel="0" collapsed="false">
      <c r="A38" s="7" t="s">
        <v>366</v>
      </c>
      <c r="B38" s="15" t="n">
        <v>79</v>
      </c>
      <c r="C38" s="23" t="n">
        <v>3.30500583333333</v>
      </c>
      <c r="D38" s="24" t="n">
        <v>2.51013101265823</v>
      </c>
      <c r="E38" s="25" t="n">
        <v>5</v>
      </c>
      <c r="F38" s="17" t="n">
        <f aca="false">C38/SUM($C$5:$C$136)</f>
        <v>0.0010500627779824</v>
      </c>
      <c r="G38" s="17" t="n">
        <f aca="false">SUM($C$5:C38)/SUM($C$5:$C$136)</f>
        <v>0.97812887725349</v>
      </c>
      <c r="H38" s="7" t="str">
        <f aca="false">IF(G38-F38&lt;0.8,"A",IF(G38-F38&lt;0.95,"B","C"))</f>
        <v>C</v>
      </c>
      <c r="I38" s="7" t="n">
        <f aca="false">RANK(C38,$C$5:$C$136)</f>
        <v>34</v>
      </c>
    </row>
    <row r="39" customFormat="false" ht="15" hidden="false" customHeight="false" outlineLevel="0" collapsed="false">
      <c r="A39" s="7" t="s">
        <v>367</v>
      </c>
      <c r="B39" s="15" t="n">
        <v>81</v>
      </c>
      <c r="C39" s="23" t="n">
        <v>3.02040388888889</v>
      </c>
      <c r="D39" s="24" t="n">
        <v>2.23733621399177</v>
      </c>
      <c r="E39" s="25" t="n">
        <v>5</v>
      </c>
      <c r="F39" s="17" t="n">
        <f aca="false">C39/SUM($C$5:$C$136)</f>
        <v>0.000959639364689626</v>
      </c>
      <c r="G39" s="17" t="n">
        <f aca="false">SUM($C$5:C39)/SUM($C$5:$C$136)</f>
        <v>0.97908851661818</v>
      </c>
      <c r="H39" s="7" t="str">
        <f aca="false">IF(G39-F39&lt;0.8,"A",IF(G39-F39&lt;0.95,"B","C"))</f>
        <v>C</v>
      </c>
      <c r="I39" s="7" t="n">
        <f aca="false">RANK(C39,$C$5:$C$136)</f>
        <v>35</v>
      </c>
    </row>
    <row r="40" customFormat="false" ht="15" hidden="false" customHeight="false" outlineLevel="0" collapsed="false">
      <c r="A40" s="7" t="s">
        <v>368</v>
      </c>
      <c r="B40" s="15" t="n">
        <v>55</v>
      </c>
      <c r="C40" s="23" t="n">
        <v>2.90044666666667</v>
      </c>
      <c r="D40" s="24" t="n">
        <v>3.16412363636364</v>
      </c>
      <c r="E40" s="25" t="n">
        <v>1</v>
      </c>
      <c r="F40" s="17" t="n">
        <f aca="false">C40/SUM($C$5:$C$136)</f>
        <v>0.000921526689445517</v>
      </c>
      <c r="G40" s="17" t="n">
        <f aca="false">SUM($C$5:C40)/SUM($C$5:$C$136)</f>
        <v>0.980010043307625</v>
      </c>
      <c r="H40" s="7" t="str">
        <f aca="false">IF(G40-F40&lt;0.8,"A",IF(G40-F40&lt;0.95,"B","C"))</f>
        <v>C</v>
      </c>
      <c r="I40" s="7" t="n">
        <f aca="false">RANK(C40,$C$5:$C$136)</f>
        <v>36</v>
      </c>
    </row>
    <row r="41" customFormat="false" ht="15" hidden="false" customHeight="false" outlineLevel="0" collapsed="false">
      <c r="A41" s="7" t="s">
        <v>369</v>
      </c>
      <c r="B41" s="15" t="n">
        <v>16</v>
      </c>
      <c r="C41" s="23" t="n">
        <v>2.61493694444445</v>
      </c>
      <c r="D41" s="24" t="n">
        <v>9.80601354166667</v>
      </c>
      <c r="E41" s="25" t="n">
        <v>3</v>
      </c>
      <c r="F41" s="17" t="n">
        <f aca="false">C41/SUM($C$5:$C$136)</f>
        <v>0.000830814858006697</v>
      </c>
      <c r="G41" s="17" t="n">
        <f aca="false">SUM($C$5:C41)/SUM($C$5:$C$136)</f>
        <v>0.980840858165632</v>
      </c>
      <c r="H41" s="7" t="str">
        <f aca="false">IF(G41-F41&lt;0.8,"A",IF(G41-F41&lt;0.95,"B","C"))</f>
        <v>C</v>
      </c>
      <c r="I41" s="7" t="n">
        <f aca="false">RANK(C41,$C$5:$C$136)</f>
        <v>37</v>
      </c>
    </row>
    <row r="42" customFormat="false" ht="15" hidden="false" customHeight="false" outlineLevel="0" collapsed="false">
      <c r="A42" s="7" t="s">
        <v>370</v>
      </c>
      <c r="B42" s="15" t="n">
        <v>79</v>
      </c>
      <c r="C42" s="23" t="n">
        <v>2.59643583333333</v>
      </c>
      <c r="D42" s="24" t="n">
        <v>1.97197658227848</v>
      </c>
      <c r="E42" s="25" t="n">
        <v>4</v>
      </c>
      <c r="F42" s="17" t="n">
        <f aca="false">C42/SUM($C$5:$C$136)</f>
        <v>0.00082493670555893</v>
      </c>
      <c r="G42" s="17" t="n">
        <f aca="false">SUM($C$5:C42)/SUM($C$5:$C$136)</f>
        <v>0.981665794871191</v>
      </c>
      <c r="H42" s="7" t="str">
        <f aca="false">IF(G42-F42&lt;0.8,"A",IF(G42-F42&lt;0.95,"B","C"))</f>
        <v>C</v>
      </c>
      <c r="I42" s="7" t="n">
        <f aca="false">RANK(C42,$C$5:$C$136)</f>
        <v>38</v>
      </c>
    </row>
    <row r="43" customFormat="false" ht="15" hidden="false" customHeight="false" outlineLevel="0" collapsed="false">
      <c r="A43" s="7" t="s">
        <v>371</v>
      </c>
      <c r="B43" s="15" t="n">
        <v>116</v>
      </c>
      <c r="C43" s="23" t="n">
        <v>2.57839527777778</v>
      </c>
      <c r="D43" s="24" t="n">
        <v>1.33365272988506</v>
      </c>
      <c r="E43" s="25" t="n">
        <v>5</v>
      </c>
      <c r="F43" s="17" t="n">
        <f aca="false">C43/SUM($C$5:$C$136)</f>
        <v>0.000819204880310105</v>
      </c>
      <c r="G43" s="17" t="n">
        <f aca="false">SUM($C$5:C43)/SUM($C$5:$C$136)</f>
        <v>0.982484999751501</v>
      </c>
      <c r="H43" s="7" t="str">
        <f aca="false">IF(G43-F43&lt;0.8,"A",IF(G43-F43&lt;0.95,"B","C"))</f>
        <v>C</v>
      </c>
      <c r="I43" s="7" t="n">
        <f aca="false">RANK(C43,$C$5:$C$136)</f>
        <v>39</v>
      </c>
    </row>
    <row r="44" customFormat="false" ht="15" hidden="false" customHeight="false" outlineLevel="0" collapsed="false">
      <c r="A44" s="7" t="s">
        <v>372</v>
      </c>
      <c r="B44" s="15" t="n">
        <v>303</v>
      </c>
      <c r="C44" s="23" t="n">
        <v>2.55091277777778</v>
      </c>
      <c r="D44" s="24" t="n">
        <v>0.505131243124312</v>
      </c>
      <c r="E44" s="25" t="n">
        <v>5</v>
      </c>
      <c r="F44" s="17" t="n">
        <f aca="false">C44/SUM($C$5:$C$136)</f>
        <v>0.000810473170972456</v>
      </c>
      <c r="G44" s="17" t="n">
        <f aca="false">SUM($C$5:C44)/SUM($C$5:$C$136)</f>
        <v>0.983295472922473</v>
      </c>
      <c r="H44" s="7" t="str">
        <f aca="false">IF(G44-F44&lt;0.8,"A",IF(G44-F44&lt;0.95,"B","C"))</f>
        <v>C</v>
      </c>
      <c r="I44" s="7" t="n">
        <f aca="false">RANK(C44,$C$5:$C$136)</f>
        <v>40</v>
      </c>
    </row>
    <row r="45" customFormat="false" ht="15" hidden="false" customHeight="false" outlineLevel="0" collapsed="false">
      <c r="A45" s="7" t="s">
        <v>373</v>
      </c>
      <c r="B45" s="15" t="n">
        <v>33</v>
      </c>
      <c r="C45" s="23" t="n">
        <v>2.41374166666667</v>
      </c>
      <c r="D45" s="24" t="n">
        <v>4.38862121212121</v>
      </c>
      <c r="E45" s="25" t="n">
        <v>2</v>
      </c>
      <c r="F45" s="17" t="n">
        <f aca="false">C45/SUM($C$5:$C$136)</f>
        <v>0.000766891318093548</v>
      </c>
      <c r="G45" s="17" t="n">
        <f aca="false">SUM($C$5:C45)/SUM($C$5:$C$136)</f>
        <v>0.984062364240567</v>
      </c>
      <c r="H45" s="7" t="str">
        <f aca="false">IF(G45-F45&lt;0.8,"A",IF(G45-F45&lt;0.95,"B","C"))</f>
        <v>C</v>
      </c>
      <c r="I45" s="7" t="n">
        <f aca="false">RANK(C45,$C$5:$C$136)</f>
        <v>41</v>
      </c>
    </row>
    <row r="46" customFormat="false" ht="15" hidden="false" customHeight="false" outlineLevel="0" collapsed="false">
      <c r="A46" s="7" t="s">
        <v>374</v>
      </c>
      <c r="B46" s="15" t="n">
        <v>310</v>
      </c>
      <c r="C46" s="23" t="n">
        <v>2.38782083333333</v>
      </c>
      <c r="D46" s="24" t="n">
        <v>0.462158870967742</v>
      </c>
      <c r="E46" s="25" t="n">
        <v>5</v>
      </c>
      <c r="F46" s="17" t="n">
        <f aca="false">C46/SUM($C$5:$C$136)</f>
        <v>0.000758655779752556</v>
      </c>
      <c r="G46" s="17" t="n">
        <f aca="false">SUM($C$5:C46)/SUM($C$5:$C$136)</f>
        <v>0.98482102002032</v>
      </c>
      <c r="H46" s="7" t="str">
        <f aca="false">IF(G46-F46&lt;0.8,"A",IF(G46-F46&lt;0.95,"B","C"))</f>
        <v>C</v>
      </c>
      <c r="I46" s="7" t="n">
        <f aca="false">RANK(C46,$C$5:$C$136)</f>
        <v>42</v>
      </c>
    </row>
    <row r="47" customFormat="false" ht="15" hidden="false" customHeight="false" outlineLevel="0" collapsed="false">
      <c r="A47" s="7" t="s">
        <v>375</v>
      </c>
      <c r="B47" s="15" t="n">
        <v>107</v>
      </c>
      <c r="C47" s="23" t="n">
        <v>2.38285777777778</v>
      </c>
      <c r="D47" s="24" t="n">
        <v>1.33618193146417</v>
      </c>
      <c r="E47" s="25" t="n">
        <v>4</v>
      </c>
      <c r="F47" s="17" t="n">
        <f aca="false">C47/SUM($C$5:$C$136)</f>
        <v>0.00075707892326069</v>
      </c>
      <c r="G47" s="17" t="n">
        <f aca="false">SUM($C$5:C47)/SUM($C$5:$C$136)</f>
        <v>0.98557809894358</v>
      </c>
      <c r="H47" s="7" t="str">
        <f aca="false">IF(G47-F47&lt;0.8,"A",IF(G47-F47&lt;0.95,"B","C"))</f>
        <v>C</v>
      </c>
      <c r="I47" s="7" t="n">
        <f aca="false">RANK(C47,$C$5:$C$136)</f>
        <v>43</v>
      </c>
    </row>
    <row r="48" customFormat="false" ht="15" hidden="false" customHeight="false" outlineLevel="0" collapsed="false">
      <c r="A48" s="7" t="s">
        <v>376</v>
      </c>
      <c r="B48" s="15" t="n">
        <v>18</v>
      </c>
      <c r="C48" s="23" t="n">
        <v>2.34571888888889</v>
      </c>
      <c r="D48" s="24" t="n">
        <v>7.81906296296296</v>
      </c>
      <c r="E48" s="25" t="n">
        <v>3</v>
      </c>
      <c r="F48" s="17" t="n">
        <f aca="false">C48/SUM($C$5:$C$136)</f>
        <v>0.000745279196783804</v>
      </c>
      <c r="G48" s="17" t="n">
        <f aca="false">SUM($C$5:C48)/SUM($C$5:$C$136)</f>
        <v>0.986323378140364</v>
      </c>
      <c r="H48" s="7" t="str">
        <f aca="false">IF(G48-F48&lt;0.8,"A",IF(G48-F48&lt;0.95,"B","C"))</f>
        <v>C</v>
      </c>
      <c r="I48" s="7" t="n">
        <f aca="false">RANK(C48,$C$5:$C$136)</f>
        <v>44</v>
      </c>
    </row>
    <row r="49" customFormat="false" ht="15" hidden="false" customHeight="false" outlineLevel="0" collapsed="false">
      <c r="A49" s="7" t="s">
        <v>377</v>
      </c>
      <c r="B49" s="15" t="n">
        <v>137</v>
      </c>
      <c r="C49" s="23" t="n">
        <v>2.26168972222222</v>
      </c>
      <c r="D49" s="24" t="n">
        <v>0.99052104622871</v>
      </c>
      <c r="E49" s="25" t="n">
        <v>4</v>
      </c>
      <c r="F49" s="17" t="n">
        <f aca="false">C49/SUM($C$5:$C$136)</f>
        <v>0.000718581543396441</v>
      </c>
      <c r="G49" s="17" t="n">
        <f aca="false">SUM($C$5:C49)/SUM($C$5:$C$136)</f>
        <v>0.987041959683761</v>
      </c>
      <c r="H49" s="7" t="str">
        <f aca="false">IF(G49-F49&lt;0.8,"A",IF(G49-F49&lt;0.95,"B","C"))</f>
        <v>C</v>
      </c>
      <c r="I49" s="7" t="n">
        <f aca="false">RANK(C49,$C$5:$C$136)</f>
        <v>45</v>
      </c>
    </row>
    <row r="50" customFormat="false" ht="15" hidden="false" customHeight="false" outlineLevel="0" collapsed="false">
      <c r="A50" s="7" t="s">
        <v>378</v>
      </c>
      <c r="B50" s="15" t="n">
        <v>83</v>
      </c>
      <c r="C50" s="23" t="n">
        <v>2.10309833333333</v>
      </c>
      <c r="D50" s="24" t="n">
        <v>1.52031204819277</v>
      </c>
      <c r="E50" s="25" t="n">
        <v>4</v>
      </c>
      <c r="F50" s="17" t="n">
        <f aca="false">C50/SUM($C$5:$C$136)</f>
        <v>0.000668194063682738</v>
      </c>
      <c r="G50" s="17" t="n">
        <f aca="false">SUM($C$5:C50)/SUM($C$5:$C$136)</f>
        <v>0.987710153747443</v>
      </c>
      <c r="H50" s="7" t="str">
        <f aca="false">IF(G50-F50&lt;0.8,"A",IF(G50-F50&lt;0.95,"B","C"))</f>
        <v>C</v>
      </c>
      <c r="I50" s="7" t="n">
        <f aca="false">RANK(C50,$C$5:$C$136)</f>
        <v>46</v>
      </c>
    </row>
    <row r="51" customFormat="false" ht="15" hidden="false" customHeight="false" outlineLevel="0" collapsed="false">
      <c r="A51" s="7" t="s">
        <v>379</v>
      </c>
      <c r="B51" s="15" t="n">
        <v>89</v>
      </c>
      <c r="C51" s="23" t="n">
        <v>1.75593861111111</v>
      </c>
      <c r="D51" s="24" t="n">
        <v>1.18377883895131</v>
      </c>
      <c r="E51" s="25" t="n">
        <v>1</v>
      </c>
      <c r="F51" s="17" t="n">
        <f aca="false">C51/SUM($C$5:$C$136)</f>
        <v>0.00055789486280278</v>
      </c>
      <c r="G51" s="17" t="n">
        <f aca="false">SUM($C$5:C51)/SUM($C$5:$C$136)</f>
        <v>0.988268048610246</v>
      </c>
      <c r="H51" s="7" t="str">
        <f aca="false">IF(G51-F51&lt;0.8,"A",IF(G51-F51&lt;0.95,"B","C"))</f>
        <v>C</v>
      </c>
      <c r="I51" s="7" t="n">
        <f aca="false">RANK(C51,$C$5:$C$136)</f>
        <v>47</v>
      </c>
    </row>
    <row r="52" customFormat="false" ht="15" hidden="false" customHeight="false" outlineLevel="0" collapsed="false">
      <c r="A52" s="7" t="s">
        <v>380</v>
      </c>
      <c r="B52" s="15" t="n">
        <v>13</v>
      </c>
      <c r="C52" s="23" t="n">
        <v>1.75021138888889</v>
      </c>
      <c r="D52" s="24" t="n">
        <v>8.07789871794872</v>
      </c>
      <c r="E52" s="25" t="n">
        <v>1</v>
      </c>
      <c r="F52" s="17" t="n">
        <f aca="false">C52/SUM($C$5:$C$136)</f>
        <v>0.000556075216127384</v>
      </c>
      <c r="G52" s="17" t="n">
        <f aca="false">SUM($C$5:C52)/SUM($C$5:$C$136)</f>
        <v>0.988824123826373</v>
      </c>
      <c r="H52" s="7" t="str">
        <f aca="false">IF(G52-F52&lt;0.8,"A",IF(G52-F52&lt;0.95,"B","C"))</f>
        <v>C</v>
      </c>
      <c r="I52" s="7" t="n">
        <f aca="false">RANK(C52,$C$5:$C$136)</f>
        <v>48</v>
      </c>
    </row>
    <row r="53" customFormat="false" ht="15" hidden="false" customHeight="false" outlineLevel="0" collapsed="false">
      <c r="A53" s="7" t="s">
        <v>381</v>
      </c>
      <c r="B53" s="15" t="n">
        <v>128</v>
      </c>
      <c r="C53" s="23" t="n">
        <v>1.55121444444444</v>
      </c>
      <c r="D53" s="24" t="n">
        <v>0.727131770833333</v>
      </c>
      <c r="E53" s="25" t="n">
        <v>3</v>
      </c>
      <c r="F53" s="17" t="n">
        <f aca="false">C53/SUM($C$5:$C$136)</f>
        <v>0.00049285012823621</v>
      </c>
      <c r="G53" s="17" t="n">
        <f aca="false">SUM($C$5:C53)/SUM($C$5:$C$136)</f>
        <v>0.98931697395461</v>
      </c>
      <c r="H53" s="7" t="str">
        <f aca="false">IF(G53-F53&lt;0.8,"A",IF(G53-F53&lt;0.95,"B","C"))</f>
        <v>C</v>
      </c>
      <c r="I53" s="7" t="n">
        <f aca="false">RANK(C53,$C$5:$C$136)</f>
        <v>49</v>
      </c>
    </row>
    <row r="54" customFormat="false" ht="15" hidden="false" customHeight="false" outlineLevel="0" collapsed="false">
      <c r="A54" s="7" t="s">
        <v>382</v>
      </c>
      <c r="B54" s="15" t="n">
        <v>64</v>
      </c>
      <c r="C54" s="23" t="n">
        <v>1.48574027777778</v>
      </c>
      <c r="D54" s="24" t="n">
        <v>1.39288151041667</v>
      </c>
      <c r="E54" s="25" t="n">
        <v>2</v>
      </c>
      <c r="F54" s="17" t="n">
        <f aca="false">C54/SUM($C$5:$C$136)</f>
        <v>0.000472047748814465</v>
      </c>
      <c r="G54" s="17" t="n">
        <f aca="false">SUM($C$5:C54)/SUM($C$5:$C$136)</f>
        <v>0.989789021703424</v>
      </c>
      <c r="H54" s="7" t="str">
        <f aca="false">IF(G54-F54&lt;0.8,"A",IF(G54-F54&lt;0.95,"B","C"))</f>
        <v>C</v>
      </c>
      <c r="I54" s="7" t="n">
        <f aca="false">RANK(C54,$C$5:$C$136)</f>
        <v>50</v>
      </c>
    </row>
    <row r="55" customFormat="false" ht="15" hidden="false" customHeight="false" outlineLevel="0" collapsed="false">
      <c r="A55" s="7" t="s">
        <v>383</v>
      </c>
      <c r="B55" s="15" t="n">
        <v>9</v>
      </c>
      <c r="C55" s="23" t="n">
        <v>1.441635</v>
      </c>
      <c r="D55" s="24" t="n">
        <v>9.6109</v>
      </c>
      <c r="E55" s="25" t="n">
        <v>1</v>
      </c>
      <c r="F55" s="17" t="n">
        <f aca="false">C55/SUM($C$5:$C$136)</f>
        <v>0.000458034669006884</v>
      </c>
      <c r="G55" s="17" t="n">
        <f aca="false">SUM($C$5:C55)/SUM($C$5:$C$136)</f>
        <v>0.990247056372431</v>
      </c>
      <c r="H55" s="7" t="str">
        <f aca="false">IF(G55-F55&lt;0.8,"A",IF(G55-F55&lt;0.95,"B","C"))</f>
        <v>C</v>
      </c>
      <c r="I55" s="7" t="n">
        <f aca="false">RANK(C55,$C$5:$C$136)</f>
        <v>51</v>
      </c>
    </row>
    <row r="56" customFormat="false" ht="15" hidden="false" customHeight="false" outlineLevel="0" collapsed="false">
      <c r="A56" s="7" t="s">
        <v>384</v>
      </c>
      <c r="B56" s="15" t="n">
        <v>46</v>
      </c>
      <c r="C56" s="23" t="n">
        <v>1.31908388888889</v>
      </c>
      <c r="D56" s="24" t="n">
        <v>1.72054420289855</v>
      </c>
      <c r="E56" s="25" t="n">
        <v>1</v>
      </c>
      <c r="F56" s="17" t="n">
        <f aca="false">C56/SUM($C$5:$C$136)</f>
        <v>0.000419097866269573</v>
      </c>
      <c r="G56" s="17" t="n">
        <f aca="false">SUM($C$5:C56)/SUM($C$5:$C$136)</f>
        <v>0.9906661542387</v>
      </c>
      <c r="H56" s="7" t="str">
        <f aca="false">IF(G56-F56&lt;0.8,"A",IF(G56-F56&lt;0.95,"B","C"))</f>
        <v>C</v>
      </c>
      <c r="I56" s="7" t="n">
        <f aca="false">RANK(C56,$C$5:$C$136)</f>
        <v>52</v>
      </c>
    </row>
    <row r="57" customFormat="false" ht="15" hidden="false" customHeight="false" outlineLevel="0" collapsed="false">
      <c r="A57" s="7" t="s">
        <v>385</v>
      </c>
      <c r="B57" s="15" t="n">
        <v>11</v>
      </c>
      <c r="C57" s="23" t="n">
        <v>1.30274972222222</v>
      </c>
      <c r="D57" s="24" t="n">
        <v>7.10590757575758</v>
      </c>
      <c r="E57" s="25" t="n">
        <v>1</v>
      </c>
      <c r="F57" s="17" t="n">
        <f aca="false">C57/SUM($C$5:$C$136)</f>
        <v>0.000413908193000909</v>
      </c>
      <c r="G57" s="17" t="n">
        <f aca="false">SUM($C$5:C57)/SUM($C$5:$C$136)</f>
        <v>0.991080062431701</v>
      </c>
      <c r="H57" s="7" t="str">
        <f aca="false">IF(G57-F57&lt;0.8,"A",IF(G57-F57&lt;0.95,"B","C"))</f>
        <v>C</v>
      </c>
      <c r="I57" s="7" t="n">
        <f aca="false">RANK(C57,$C$5:$C$136)</f>
        <v>53</v>
      </c>
    </row>
    <row r="58" customFormat="false" ht="15" hidden="false" customHeight="false" outlineLevel="0" collapsed="false">
      <c r="A58" s="7" t="s">
        <v>386</v>
      </c>
      <c r="B58" s="15" t="n">
        <v>27</v>
      </c>
      <c r="C58" s="23" t="n">
        <v>1.28408055555556</v>
      </c>
      <c r="D58" s="24" t="n">
        <v>2.85351234567901</v>
      </c>
      <c r="E58" s="25" t="n">
        <v>3</v>
      </c>
      <c r="F58" s="17" t="n">
        <f aca="false">C58/SUM($C$5:$C$136)</f>
        <v>0.00040797664612892</v>
      </c>
      <c r="G58" s="17" t="n">
        <f aca="false">SUM($C$5:C58)/SUM($C$5:$C$136)</f>
        <v>0.99148803907783</v>
      </c>
      <c r="H58" s="7" t="str">
        <f aca="false">IF(G58-F58&lt;0.8,"A",IF(G58-F58&lt;0.95,"B","C"))</f>
        <v>C</v>
      </c>
      <c r="I58" s="7" t="n">
        <f aca="false">RANK(C58,$C$5:$C$136)</f>
        <v>54</v>
      </c>
    </row>
    <row r="59" customFormat="false" ht="15" hidden="false" customHeight="false" outlineLevel="0" collapsed="false">
      <c r="A59" s="7" t="s">
        <v>387</v>
      </c>
      <c r="B59" s="15" t="n">
        <v>42</v>
      </c>
      <c r="C59" s="23" t="n">
        <v>1.24745166666667</v>
      </c>
      <c r="D59" s="24" t="n">
        <v>1.78207380952381</v>
      </c>
      <c r="E59" s="25" t="n">
        <v>3</v>
      </c>
      <c r="F59" s="17" t="n">
        <f aca="false">C59/SUM($C$5:$C$136)</f>
        <v>0.00039633895628488</v>
      </c>
      <c r="G59" s="17" t="n">
        <f aca="false">SUM($C$5:C59)/SUM($C$5:$C$136)</f>
        <v>0.991884378034115</v>
      </c>
      <c r="H59" s="7" t="str">
        <f aca="false">IF(G59-F59&lt;0.8,"A",IF(G59-F59&lt;0.95,"B","C"))</f>
        <v>C</v>
      </c>
      <c r="I59" s="7" t="n">
        <f aca="false">RANK(C59,$C$5:$C$136)</f>
        <v>55</v>
      </c>
    </row>
    <row r="60" customFormat="false" ht="15" hidden="false" customHeight="false" outlineLevel="0" collapsed="false">
      <c r="A60" s="7" t="s">
        <v>388</v>
      </c>
      <c r="B60" s="15" t="n">
        <v>87</v>
      </c>
      <c r="C60" s="23" t="n">
        <v>1.08979305555556</v>
      </c>
      <c r="D60" s="24" t="n">
        <v>0.751581417624521</v>
      </c>
      <c r="E60" s="25" t="n">
        <v>3</v>
      </c>
      <c r="F60" s="17" t="n">
        <f aca="false">C60/SUM($C$5:$C$136)</f>
        <v>0.000346247837689422</v>
      </c>
      <c r="G60" s="17" t="n">
        <f aca="false">SUM($C$5:C60)/SUM($C$5:$C$136)</f>
        <v>0.992230625871805</v>
      </c>
      <c r="H60" s="7" t="str">
        <f aca="false">IF(G60-F60&lt;0.8,"A",IF(G60-F60&lt;0.95,"B","C"))</f>
        <v>C</v>
      </c>
      <c r="I60" s="7" t="n">
        <f aca="false">RANK(C60,$C$5:$C$136)</f>
        <v>56</v>
      </c>
    </row>
    <row r="61" customFormat="false" ht="15" hidden="false" customHeight="false" outlineLevel="0" collapsed="false">
      <c r="A61" s="7" t="s">
        <v>389</v>
      </c>
      <c r="B61" s="15" t="n">
        <v>252</v>
      </c>
      <c r="C61" s="23" t="n">
        <v>1.02512333333333</v>
      </c>
      <c r="D61" s="24" t="n">
        <v>0.244076984126984</v>
      </c>
      <c r="E61" s="25" t="n">
        <v>4</v>
      </c>
      <c r="F61" s="17" t="n">
        <f aca="false">C61/SUM($C$5:$C$136)</f>
        <v>0.00032570104546197</v>
      </c>
      <c r="G61" s="17" t="n">
        <f aca="false">SUM($C$5:C61)/SUM($C$5:$C$136)</f>
        <v>0.992556326917267</v>
      </c>
      <c r="H61" s="7" t="str">
        <f aca="false">IF(G61-F61&lt;0.8,"A",IF(G61-F61&lt;0.95,"B","C"))</f>
        <v>C</v>
      </c>
      <c r="I61" s="7" t="n">
        <f aca="false">RANK(C61,$C$5:$C$136)</f>
        <v>57</v>
      </c>
    </row>
    <row r="62" customFormat="false" ht="15" hidden="false" customHeight="false" outlineLevel="0" collapsed="false">
      <c r="A62" s="7" t="s">
        <v>390</v>
      </c>
      <c r="B62" s="15" t="n">
        <v>20</v>
      </c>
      <c r="C62" s="23" t="n">
        <v>1.01015222222222</v>
      </c>
      <c r="D62" s="24" t="n">
        <v>3.03045666666667</v>
      </c>
      <c r="E62" s="25" t="n">
        <v>4</v>
      </c>
      <c r="F62" s="17" t="n">
        <f aca="false">C62/SUM($C$5:$C$136)</f>
        <v>0.00032094444068861</v>
      </c>
      <c r="G62" s="17" t="n">
        <f aca="false">SUM($C$5:C62)/SUM($C$5:$C$136)</f>
        <v>0.992877271357955</v>
      </c>
      <c r="H62" s="7" t="str">
        <f aca="false">IF(G62-F62&lt;0.8,"A",IF(G62-F62&lt;0.95,"B","C"))</f>
        <v>C</v>
      </c>
      <c r="I62" s="7" t="n">
        <f aca="false">RANK(C62,$C$5:$C$136)</f>
        <v>58</v>
      </c>
    </row>
    <row r="63" customFormat="false" ht="15" hidden="false" customHeight="false" outlineLevel="0" collapsed="false">
      <c r="A63" s="7" t="s">
        <v>391</v>
      </c>
      <c r="B63" s="15" t="n">
        <v>69</v>
      </c>
      <c r="C63" s="23" t="n">
        <v>0.921381944444444</v>
      </c>
      <c r="D63" s="24" t="n">
        <v>0.801201690821256</v>
      </c>
      <c r="E63" s="25" t="n">
        <v>4</v>
      </c>
      <c r="F63" s="17" t="n">
        <f aca="false">C63/SUM($C$5:$C$136)</f>
        <v>0.000292740446751453</v>
      </c>
      <c r="G63" s="17" t="n">
        <f aca="false">SUM($C$5:C63)/SUM($C$5:$C$136)</f>
        <v>0.993170011804707</v>
      </c>
      <c r="H63" s="7" t="str">
        <f aca="false">IF(G63-F63&lt;0.8,"A",IF(G63-F63&lt;0.95,"B","C"))</f>
        <v>C</v>
      </c>
      <c r="I63" s="7" t="n">
        <f aca="false">RANK(C63,$C$5:$C$136)</f>
        <v>59</v>
      </c>
    </row>
    <row r="64" customFormat="false" ht="15" hidden="false" customHeight="false" outlineLevel="0" collapsed="false">
      <c r="A64" s="7" t="s">
        <v>392</v>
      </c>
      <c r="B64" s="15" t="n">
        <v>7</v>
      </c>
      <c r="C64" s="23" t="n">
        <v>0.866814722222222</v>
      </c>
      <c r="D64" s="24" t="n">
        <v>7.42984047619048</v>
      </c>
      <c r="E64" s="25" t="n">
        <v>3</v>
      </c>
      <c r="F64" s="17" t="n">
        <f aca="false">C64/SUM($C$5:$C$136)</f>
        <v>0.000275403409589355</v>
      </c>
      <c r="G64" s="17" t="n">
        <f aca="false">SUM($C$5:C64)/SUM($C$5:$C$136)</f>
        <v>0.993445415214296</v>
      </c>
      <c r="H64" s="7" t="str">
        <f aca="false">IF(G64-F64&lt;0.8,"A",IF(G64-F64&lt;0.95,"B","C"))</f>
        <v>C</v>
      </c>
      <c r="I64" s="7" t="n">
        <f aca="false">RANK(C64,$C$5:$C$136)</f>
        <v>60</v>
      </c>
    </row>
    <row r="65" customFormat="false" ht="15" hidden="false" customHeight="false" outlineLevel="0" collapsed="false">
      <c r="A65" s="7" t="s">
        <v>393</v>
      </c>
      <c r="B65" s="15" t="n">
        <v>22</v>
      </c>
      <c r="C65" s="23" t="n">
        <v>0.821027777777778</v>
      </c>
      <c r="D65" s="24" t="n">
        <v>2.23916666666667</v>
      </c>
      <c r="E65" s="25" t="n">
        <v>4</v>
      </c>
      <c r="F65" s="17" t="n">
        <f aca="false">C65/SUM($C$5:$C$136)</f>
        <v>0.000260856032518566</v>
      </c>
      <c r="G65" s="17" t="n">
        <f aca="false">SUM($C$5:C65)/SUM($C$5:$C$136)</f>
        <v>0.993706271246815</v>
      </c>
      <c r="H65" s="7" t="str">
        <f aca="false">IF(G65-F65&lt;0.8,"A",IF(G65-F65&lt;0.95,"B","C"))</f>
        <v>C</v>
      </c>
      <c r="I65" s="7" t="n">
        <f aca="false">RANK(C65,$C$5:$C$136)</f>
        <v>61</v>
      </c>
    </row>
    <row r="66" customFormat="false" ht="15" hidden="false" customHeight="false" outlineLevel="0" collapsed="false">
      <c r="A66" s="7" t="s">
        <v>394</v>
      </c>
      <c r="B66" s="15" t="n">
        <v>13</v>
      </c>
      <c r="C66" s="23" t="n">
        <v>0.798977777777778</v>
      </c>
      <c r="D66" s="24" t="n">
        <v>3.68758974358974</v>
      </c>
      <c r="E66" s="25" t="n">
        <v>2</v>
      </c>
      <c r="F66" s="17" t="n">
        <f aca="false">C66/SUM($C$5:$C$136)</f>
        <v>0.000253850331039619</v>
      </c>
      <c r="G66" s="17" t="n">
        <f aca="false">SUM($C$5:C66)/SUM($C$5:$C$136)</f>
        <v>0.993960121577854</v>
      </c>
      <c r="H66" s="7" t="str">
        <f aca="false">IF(G66-F66&lt;0.8,"A",IF(G66-F66&lt;0.95,"B","C"))</f>
        <v>C</v>
      </c>
      <c r="I66" s="7" t="n">
        <f aca="false">RANK(C66,$C$5:$C$136)</f>
        <v>62</v>
      </c>
    </row>
    <row r="67" customFormat="false" ht="15" hidden="false" customHeight="false" outlineLevel="0" collapsed="false">
      <c r="A67" s="7" t="s">
        <v>395</v>
      </c>
      <c r="B67" s="15" t="n">
        <v>66</v>
      </c>
      <c r="C67" s="23" t="n">
        <v>0.773046666666667</v>
      </c>
      <c r="D67" s="24" t="n">
        <v>0.702769696969697</v>
      </c>
      <c r="E67" s="25" t="n">
        <v>3</v>
      </c>
      <c r="F67" s="17" t="n">
        <f aca="false">C67/SUM($C$5:$C$136)</f>
        <v>0.000245611527254501</v>
      </c>
      <c r="G67" s="17" t="n">
        <f aca="false">SUM($C$5:C67)/SUM($C$5:$C$136)</f>
        <v>0.994205733105109</v>
      </c>
      <c r="H67" s="7" t="str">
        <f aca="false">IF(G67-F67&lt;0.8,"A",IF(G67-F67&lt;0.95,"B","C"))</f>
        <v>C</v>
      </c>
      <c r="I67" s="7" t="n">
        <f aca="false">RANK(C67,$C$5:$C$136)</f>
        <v>63</v>
      </c>
    </row>
    <row r="68" customFormat="false" ht="15" hidden="false" customHeight="false" outlineLevel="0" collapsed="false">
      <c r="A68" s="7" t="s">
        <v>396</v>
      </c>
      <c r="B68" s="15" t="n">
        <v>18</v>
      </c>
      <c r="C68" s="23" t="n">
        <v>0.747351388888889</v>
      </c>
      <c r="D68" s="24" t="n">
        <v>2.4911712962963</v>
      </c>
      <c r="E68" s="25" t="n">
        <v>2</v>
      </c>
      <c r="F68" s="17" t="n">
        <f aca="false">C68/SUM($C$5:$C$136)</f>
        <v>0.000237447652173787</v>
      </c>
      <c r="G68" s="17" t="n">
        <f aca="false">SUM($C$5:C68)/SUM($C$5:$C$136)</f>
        <v>0.994443180757282</v>
      </c>
      <c r="H68" s="7" t="str">
        <f aca="false">IF(G68-F68&lt;0.8,"A",IF(G68-F68&lt;0.95,"B","C"))</f>
        <v>C</v>
      </c>
      <c r="I68" s="7" t="n">
        <f aca="false">RANK(C68,$C$5:$C$136)</f>
        <v>64</v>
      </c>
    </row>
    <row r="69" customFormat="false" ht="15" hidden="false" customHeight="false" outlineLevel="0" collapsed="false">
      <c r="A69" s="7" t="s">
        <v>397</v>
      </c>
      <c r="B69" s="15" t="n">
        <v>34</v>
      </c>
      <c r="C69" s="23" t="n">
        <v>0.744428055555556</v>
      </c>
      <c r="D69" s="24" t="n">
        <v>1.31369656862745</v>
      </c>
      <c r="E69" s="25" t="n">
        <v>5</v>
      </c>
      <c r="F69" s="17" t="n">
        <f aca="false">C69/SUM($C$5:$C$136)</f>
        <v>0.00023651885395806</v>
      </c>
      <c r="G69" s="17" t="n">
        <f aca="false">SUM($C$5:C69)/SUM($C$5:$C$136)</f>
        <v>0.994679699611241</v>
      </c>
      <c r="H69" s="7" t="str">
        <f aca="false">IF(G69-F69&lt;0.8,"A",IF(G69-F69&lt;0.95,"B","C"))</f>
        <v>C</v>
      </c>
      <c r="I69" s="7" t="n">
        <f aca="false">RANK(C69,$C$5:$C$136)</f>
        <v>65</v>
      </c>
    </row>
    <row r="70" customFormat="false" ht="15" hidden="false" customHeight="false" outlineLevel="0" collapsed="false">
      <c r="A70" s="7" t="s">
        <v>398</v>
      </c>
      <c r="B70" s="15" t="n">
        <v>24</v>
      </c>
      <c r="C70" s="23" t="n">
        <v>0.700305277777778</v>
      </c>
      <c r="D70" s="24" t="n">
        <v>1.75076319444444</v>
      </c>
      <c r="E70" s="25" t="n">
        <v>2</v>
      </c>
      <c r="F70" s="17" t="n">
        <f aca="false">C70/SUM($C$5:$C$136)</f>
        <v>0.000222500214069941</v>
      </c>
      <c r="G70" s="17" t="n">
        <f aca="false">SUM($C$5:C70)/SUM($C$5:$C$136)</f>
        <v>0.994902199825311</v>
      </c>
      <c r="H70" s="7" t="str">
        <f aca="false">IF(G70-F70&lt;0.8,"A",IF(G70-F70&lt;0.95,"B","C"))</f>
        <v>C</v>
      </c>
      <c r="I70" s="7" t="n">
        <f aca="false">RANK(C70,$C$5:$C$136)</f>
        <v>66</v>
      </c>
    </row>
    <row r="71" customFormat="false" ht="15" hidden="false" customHeight="false" outlineLevel="0" collapsed="false">
      <c r="A71" s="7" t="s">
        <v>399</v>
      </c>
      <c r="B71" s="15" t="n">
        <v>7</v>
      </c>
      <c r="C71" s="23" t="n">
        <v>0.693812222222222</v>
      </c>
      <c r="D71" s="24" t="n">
        <v>5.9469619047619</v>
      </c>
      <c r="E71" s="25" t="n">
        <v>2</v>
      </c>
      <c r="F71" s="17" t="n">
        <f aca="false">C71/SUM($C$5:$C$136)</f>
        <v>0.000220437247679535</v>
      </c>
      <c r="G71" s="17" t="n">
        <f aca="false">SUM($C$5:C71)/SUM($C$5:$C$136)</f>
        <v>0.99512263707299</v>
      </c>
      <c r="H71" s="7" t="str">
        <f aca="false">IF(G71-F71&lt;0.8,"A",IF(G71-F71&lt;0.95,"B","C"))</f>
        <v>C</v>
      </c>
      <c r="I71" s="7" t="n">
        <f aca="false">RANK(C71,$C$5:$C$136)</f>
        <v>67</v>
      </c>
    </row>
    <row r="72" customFormat="false" ht="15" hidden="false" customHeight="false" outlineLevel="0" collapsed="false">
      <c r="A72" s="7" t="s">
        <v>400</v>
      </c>
      <c r="B72" s="15" t="n">
        <v>5</v>
      </c>
      <c r="C72" s="23" t="n">
        <v>0.676588888888889</v>
      </c>
      <c r="D72" s="24" t="n">
        <v>8.11906666666667</v>
      </c>
      <c r="E72" s="25" t="n">
        <v>1</v>
      </c>
      <c r="F72" s="17" t="n">
        <f aca="false">C72/SUM($C$5:$C$136)</f>
        <v>0.00021496506936635</v>
      </c>
      <c r="G72" s="17" t="n">
        <f aca="false">SUM($C$5:C72)/SUM($C$5:$C$136)</f>
        <v>0.995337602142356</v>
      </c>
      <c r="H72" s="7" t="str">
        <f aca="false">IF(G72-F72&lt;0.8,"A",IF(G72-F72&lt;0.95,"B","C"))</f>
        <v>C</v>
      </c>
      <c r="I72" s="7" t="n">
        <f aca="false">RANK(C72,$C$5:$C$136)</f>
        <v>68</v>
      </c>
    </row>
    <row r="73" customFormat="false" ht="15" hidden="false" customHeight="false" outlineLevel="0" collapsed="false">
      <c r="A73" s="7" t="s">
        <v>401</v>
      </c>
      <c r="B73" s="15" t="n">
        <v>12</v>
      </c>
      <c r="C73" s="23" t="n">
        <v>0.667946944444444</v>
      </c>
      <c r="D73" s="24" t="n">
        <v>3.33973472222222</v>
      </c>
      <c r="E73" s="25" t="n">
        <v>1</v>
      </c>
      <c r="F73" s="17" t="n">
        <f aca="false">C73/SUM($C$5:$C$136)</f>
        <v>0.000212219360387873</v>
      </c>
      <c r="G73" s="17" t="n">
        <f aca="false">SUM($C$5:C73)/SUM($C$5:$C$136)</f>
        <v>0.995549821502744</v>
      </c>
      <c r="H73" s="7" t="str">
        <f aca="false">IF(G73-F73&lt;0.8,"A",IF(G73-F73&lt;0.95,"B","C"))</f>
        <v>C</v>
      </c>
      <c r="I73" s="7" t="n">
        <f aca="false">RANK(C73,$C$5:$C$136)</f>
        <v>69</v>
      </c>
    </row>
    <row r="74" customFormat="false" ht="15" hidden="false" customHeight="false" outlineLevel="0" collapsed="false">
      <c r="A74" s="7" t="s">
        <v>402</v>
      </c>
      <c r="B74" s="15" t="n">
        <v>16</v>
      </c>
      <c r="C74" s="23" t="n">
        <v>0.6386325</v>
      </c>
      <c r="D74" s="24" t="n">
        <v>2.394871875</v>
      </c>
      <c r="E74" s="25" t="n">
        <v>1</v>
      </c>
      <c r="F74" s="17" t="n">
        <f aca="false">C74/SUM($C$5:$C$136)</f>
        <v>0.000202905607698578</v>
      </c>
      <c r="G74" s="17" t="n">
        <f aca="false">SUM($C$5:C74)/SUM($C$5:$C$136)</f>
        <v>0.995752727110443</v>
      </c>
      <c r="H74" s="7" t="str">
        <f aca="false">IF(G74-F74&lt;0.8,"A",IF(G74-F74&lt;0.95,"B","C"))</f>
        <v>C</v>
      </c>
      <c r="I74" s="7" t="n">
        <f aca="false">RANK(C74,$C$5:$C$136)</f>
        <v>70</v>
      </c>
    </row>
    <row r="75" customFormat="false" ht="15" hidden="false" customHeight="false" outlineLevel="0" collapsed="false">
      <c r="A75" s="7" t="s">
        <v>403</v>
      </c>
      <c r="B75" s="15" t="n">
        <v>38</v>
      </c>
      <c r="C75" s="23" t="n">
        <v>0.638193055555556</v>
      </c>
      <c r="D75" s="24" t="n">
        <v>1.00767324561404</v>
      </c>
      <c r="E75" s="25" t="n">
        <v>3</v>
      </c>
      <c r="F75" s="17" t="n">
        <f aca="false">C75/SUM($C$5:$C$136)</f>
        <v>0.00020276598789838</v>
      </c>
      <c r="G75" s="17" t="n">
        <f aca="false">SUM($C$5:C75)/SUM($C$5:$C$136)</f>
        <v>0.995955493098341</v>
      </c>
      <c r="H75" s="7" t="str">
        <f aca="false">IF(G75-F75&lt;0.8,"A",IF(G75-F75&lt;0.95,"B","C"))</f>
        <v>C</v>
      </c>
      <c r="I75" s="7" t="n">
        <f aca="false">RANK(C75,$C$5:$C$136)</f>
        <v>71</v>
      </c>
    </row>
    <row r="76" customFormat="false" ht="15" hidden="false" customHeight="false" outlineLevel="0" collapsed="false">
      <c r="A76" s="7" t="s">
        <v>404</v>
      </c>
      <c r="B76" s="15" t="n">
        <v>25</v>
      </c>
      <c r="C76" s="23" t="n">
        <v>0.637615555555556</v>
      </c>
      <c r="D76" s="24" t="n">
        <v>1.53027733333333</v>
      </c>
      <c r="E76" s="25" t="n">
        <v>1</v>
      </c>
      <c r="F76" s="17" t="n">
        <f aca="false">C76/SUM($C$5:$C$136)</f>
        <v>0.000202582505240598</v>
      </c>
      <c r="G76" s="17" t="n">
        <f aca="false">SUM($C$5:C76)/SUM($C$5:$C$136)</f>
        <v>0.996158075603582</v>
      </c>
      <c r="H76" s="7" t="str">
        <f aca="false">IF(G76-F76&lt;0.8,"A",IF(G76-F76&lt;0.95,"B","C"))</f>
        <v>C</v>
      </c>
      <c r="I76" s="7" t="n">
        <f aca="false">RANK(C76,$C$5:$C$136)</f>
        <v>72</v>
      </c>
    </row>
    <row r="77" customFormat="false" ht="15" hidden="false" customHeight="false" outlineLevel="0" collapsed="false">
      <c r="A77" s="7" t="s">
        <v>405</v>
      </c>
      <c r="B77" s="15" t="n">
        <v>68</v>
      </c>
      <c r="C77" s="23" t="n">
        <v>0.587326666666667</v>
      </c>
      <c r="D77" s="24" t="n">
        <v>0.518229411764706</v>
      </c>
      <c r="E77" s="25" t="n">
        <v>1</v>
      </c>
      <c r="F77" s="17" t="n">
        <f aca="false">C77/SUM($C$5:$C$136)</f>
        <v>0.000186604775387378</v>
      </c>
      <c r="G77" s="17" t="n">
        <f aca="false">SUM($C$5:C77)/SUM($C$5:$C$136)</f>
        <v>0.996344680378969</v>
      </c>
      <c r="H77" s="7" t="str">
        <f aca="false">IF(G77-F77&lt;0.8,"A",IF(G77-F77&lt;0.95,"B","C"))</f>
        <v>C</v>
      </c>
      <c r="I77" s="7" t="n">
        <f aca="false">RANK(C77,$C$5:$C$136)</f>
        <v>73</v>
      </c>
    </row>
    <row r="78" customFormat="false" ht="15" hidden="false" customHeight="false" outlineLevel="0" collapsed="false">
      <c r="A78" s="7" t="s">
        <v>406</v>
      </c>
      <c r="B78" s="15" t="n">
        <v>22</v>
      </c>
      <c r="C78" s="23" t="n">
        <v>0.570958888888889</v>
      </c>
      <c r="D78" s="24" t="n">
        <v>1.55716060606061</v>
      </c>
      <c r="E78" s="25" t="n">
        <v>1</v>
      </c>
      <c r="F78" s="17" t="n">
        <f aca="false">C78/SUM($C$5:$C$136)</f>
        <v>0.00018140442323387</v>
      </c>
      <c r="G78" s="17" t="n">
        <f aca="false">SUM($C$5:C78)/SUM($C$5:$C$136)</f>
        <v>0.996526084802203</v>
      </c>
      <c r="H78" s="7" t="str">
        <f aca="false">IF(G78-F78&lt;0.8,"A",IF(G78-F78&lt;0.95,"B","C"))</f>
        <v>C</v>
      </c>
      <c r="I78" s="7" t="n">
        <f aca="false">RANK(C78,$C$5:$C$136)</f>
        <v>74</v>
      </c>
    </row>
    <row r="79" customFormat="false" ht="15" hidden="false" customHeight="false" outlineLevel="0" collapsed="false">
      <c r="A79" s="7" t="s">
        <v>407</v>
      </c>
      <c r="B79" s="15" t="n">
        <v>10</v>
      </c>
      <c r="C79" s="23" t="n">
        <v>0.562558333333333</v>
      </c>
      <c r="D79" s="24" t="n">
        <v>3.37535</v>
      </c>
      <c r="E79" s="25" t="n">
        <v>2</v>
      </c>
      <c r="F79" s="17" t="n">
        <f aca="false">C79/SUM($C$5:$C$136)</f>
        <v>0.000178735408064731</v>
      </c>
      <c r="G79" s="17" t="n">
        <f aca="false">SUM($C$5:C79)/SUM($C$5:$C$136)</f>
        <v>0.996704820210268</v>
      </c>
      <c r="H79" s="7" t="str">
        <f aca="false">IF(G79-F79&lt;0.8,"A",IF(G79-F79&lt;0.95,"B","C"))</f>
        <v>C</v>
      </c>
      <c r="I79" s="7" t="n">
        <f aca="false">RANK(C79,$C$5:$C$136)</f>
        <v>75</v>
      </c>
    </row>
    <row r="80" customFormat="false" ht="15" hidden="false" customHeight="false" outlineLevel="0" collapsed="false">
      <c r="A80" s="7" t="s">
        <v>408</v>
      </c>
      <c r="B80" s="15" t="n">
        <v>6</v>
      </c>
      <c r="C80" s="23" t="n">
        <v>0.557374444444444</v>
      </c>
      <c r="D80" s="24" t="n">
        <v>5.57374444444444</v>
      </c>
      <c r="E80" s="25" t="n">
        <v>2</v>
      </c>
      <c r="F80" s="17" t="n">
        <f aca="false">C80/SUM($C$5:$C$136)</f>
        <v>0.000177088388651779</v>
      </c>
      <c r="G80" s="17" t="n">
        <f aca="false">SUM($C$5:C80)/SUM($C$5:$C$136)</f>
        <v>0.99688190859892</v>
      </c>
      <c r="H80" s="7" t="str">
        <f aca="false">IF(G80-F80&lt;0.8,"A",IF(G80-F80&lt;0.95,"B","C"))</f>
        <v>C</v>
      </c>
      <c r="I80" s="7" t="n">
        <f aca="false">RANK(C80,$C$5:$C$136)</f>
        <v>76</v>
      </c>
    </row>
    <row r="81" customFormat="false" ht="15" hidden="false" customHeight="false" outlineLevel="0" collapsed="false">
      <c r="A81" s="7" t="s">
        <v>409</v>
      </c>
      <c r="B81" s="15" t="n">
        <v>11</v>
      </c>
      <c r="C81" s="23" t="n">
        <v>0.523109722222222</v>
      </c>
      <c r="D81" s="24" t="n">
        <v>2.85332575757576</v>
      </c>
      <c r="E81" s="25" t="n">
        <v>3</v>
      </c>
      <c r="F81" s="17" t="n">
        <f aca="false">C81/SUM($C$5:$C$136)</f>
        <v>0.000166201839211963</v>
      </c>
      <c r="G81" s="17" t="n">
        <f aca="false">SUM($C$5:C81)/SUM($C$5:$C$136)</f>
        <v>0.997048110438132</v>
      </c>
      <c r="H81" s="7" t="str">
        <f aca="false">IF(G81-F81&lt;0.8,"A",IF(G81-F81&lt;0.95,"B","C"))</f>
        <v>C</v>
      </c>
      <c r="I81" s="7" t="n">
        <f aca="false">RANK(C81,$C$5:$C$136)</f>
        <v>77</v>
      </c>
    </row>
    <row r="82" customFormat="false" ht="15" hidden="false" customHeight="false" outlineLevel="0" collapsed="false">
      <c r="A82" s="7" t="s">
        <v>410</v>
      </c>
      <c r="B82" s="15" t="n">
        <v>27</v>
      </c>
      <c r="C82" s="23" t="n">
        <v>0.515024444444444</v>
      </c>
      <c r="D82" s="24" t="n">
        <v>1.1444987654321</v>
      </c>
      <c r="E82" s="25" t="n">
        <v>2</v>
      </c>
      <c r="F82" s="17" t="n">
        <f aca="false">C82/SUM($C$5:$C$136)</f>
        <v>0.000163632993747769</v>
      </c>
      <c r="G82" s="17" t="n">
        <f aca="false">SUM($C$5:C82)/SUM($C$5:$C$136)</f>
        <v>0.997211743431879</v>
      </c>
      <c r="H82" s="7" t="str">
        <f aca="false">IF(G82-F82&lt;0.8,"A",IF(G82-F82&lt;0.95,"B","C"))</f>
        <v>C</v>
      </c>
      <c r="I82" s="7" t="n">
        <f aca="false">RANK(C82,$C$5:$C$136)</f>
        <v>78</v>
      </c>
    </row>
    <row r="83" customFormat="false" ht="15" hidden="false" customHeight="false" outlineLevel="0" collapsed="false">
      <c r="A83" s="7" t="s">
        <v>411</v>
      </c>
      <c r="B83" s="15" t="n">
        <v>23</v>
      </c>
      <c r="C83" s="23" t="n">
        <v>0.443321666666667</v>
      </c>
      <c r="D83" s="24" t="n">
        <v>1.15649130434783</v>
      </c>
      <c r="E83" s="25" t="n">
        <v>2</v>
      </c>
      <c r="F83" s="17" t="n">
        <f aca="false">C83/SUM($C$5:$C$136)</f>
        <v>0.000140851666930428</v>
      </c>
      <c r="G83" s="17" t="n">
        <f aca="false">SUM($C$5:C83)/SUM($C$5:$C$136)</f>
        <v>0.99735259509881</v>
      </c>
      <c r="H83" s="7" t="str">
        <f aca="false">IF(G83-F83&lt;0.8,"A",IF(G83-F83&lt;0.95,"B","C"))</f>
        <v>C</v>
      </c>
      <c r="I83" s="7" t="n">
        <f aca="false">RANK(C83,$C$5:$C$136)</f>
        <v>79</v>
      </c>
    </row>
    <row r="84" customFormat="false" ht="15" hidden="false" customHeight="false" outlineLevel="0" collapsed="false">
      <c r="A84" s="7" t="s">
        <v>412</v>
      </c>
      <c r="B84" s="15" t="n">
        <v>2</v>
      </c>
      <c r="C84" s="23" t="n">
        <v>0.425184166666667</v>
      </c>
      <c r="D84" s="24" t="n">
        <v>12.755525</v>
      </c>
      <c r="E84" s="25" t="n">
        <v>1</v>
      </c>
      <c r="F84" s="17" t="n">
        <f aca="false">C84/SUM($C$5:$C$136)</f>
        <v>0.000135089040600523</v>
      </c>
      <c r="G84" s="17" t="n">
        <f aca="false">SUM($C$5:C84)/SUM($C$5:$C$136)</f>
        <v>0.99748768413941</v>
      </c>
      <c r="H84" s="7" t="str">
        <f aca="false">IF(G84-F84&lt;0.8,"A",IF(G84-F84&lt;0.95,"B","C"))</f>
        <v>C</v>
      </c>
      <c r="I84" s="7" t="n">
        <f aca="false">RANK(C84,$C$5:$C$136)</f>
        <v>80</v>
      </c>
    </row>
    <row r="85" customFormat="false" ht="15" hidden="false" customHeight="false" outlineLevel="0" collapsed="false">
      <c r="A85" s="7" t="s">
        <v>413</v>
      </c>
      <c r="B85" s="15" t="n">
        <v>6</v>
      </c>
      <c r="C85" s="23" t="n">
        <v>0.419673055555556</v>
      </c>
      <c r="D85" s="24" t="n">
        <v>4.19673055555556</v>
      </c>
      <c r="E85" s="25" t="n">
        <v>2</v>
      </c>
      <c r="F85" s="17" t="n">
        <f aca="false">C85/SUM($C$5:$C$136)</f>
        <v>0.000133338056507019</v>
      </c>
      <c r="G85" s="17" t="n">
        <f aca="false">SUM($C$5:C85)/SUM($C$5:$C$136)</f>
        <v>0.997621022195917</v>
      </c>
      <c r="H85" s="7" t="str">
        <f aca="false">IF(G85-F85&lt;0.8,"A",IF(G85-F85&lt;0.95,"B","C"))</f>
        <v>C</v>
      </c>
      <c r="I85" s="7" t="n">
        <f aca="false">RANK(C85,$C$5:$C$136)</f>
        <v>81</v>
      </c>
    </row>
    <row r="86" customFormat="false" ht="15" hidden="false" customHeight="false" outlineLevel="0" collapsed="false">
      <c r="A86" s="7" t="s">
        <v>414</v>
      </c>
      <c r="B86" s="15" t="n">
        <v>11</v>
      </c>
      <c r="C86" s="23" t="n">
        <v>0.40765</v>
      </c>
      <c r="D86" s="24" t="n">
        <v>2.22354545454545</v>
      </c>
      <c r="E86" s="25" t="n">
        <v>1</v>
      </c>
      <c r="F86" s="17" t="n">
        <f aca="false">C86/SUM($C$5:$C$136)</f>
        <v>0.000129518104666338</v>
      </c>
      <c r="G86" s="17" t="n">
        <f aca="false">SUM($C$5:C86)/SUM($C$5:$C$136)</f>
        <v>0.997750540300584</v>
      </c>
      <c r="H86" s="7" t="str">
        <f aca="false">IF(G86-F86&lt;0.8,"A",IF(G86-F86&lt;0.95,"B","C"))</f>
        <v>C</v>
      </c>
      <c r="I86" s="7" t="n">
        <f aca="false">RANK(C86,$C$5:$C$136)</f>
        <v>82</v>
      </c>
    </row>
    <row r="87" customFormat="false" ht="15" hidden="false" customHeight="false" outlineLevel="0" collapsed="false">
      <c r="A87" s="7" t="s">
        <v>415</v>
      </c>
      <c r="B87" s="15" t="n">
        <v>38</v>
      </c>
      <c r="C87" s="23" t="n">
        <v>0.393599722222222</v>
      </c>
      <c r="D87" s="24" t="n">
        <v>0.621473245614035</v>
      </c>
      <c r="E87" s="25" t="n">
        <v>1</v>
      </c>
      <c r="F87" s="17" t="n">
        <f aca="false">C87/SUM($C$5:$C$136)</f>
        <v>0.000125054066035617</v>
      </c>
      <c r="G87" s="17" t="n">
        <f aca="false">SUM($C$5:C87)/SUM($C$5:$C$136)</f>
        <v>0.997875594366619</v>
      </c>
      <c r="H87" s="7" t="str">
        <f aca="false">IF(G87-F87&lt;0.8,"A",IF(G87-F87&lt;0.95,"B","C"))</f>
        <v>C</v>
      </c>
      <c r="I87" s="7" t="n">
        <f aca="false">RANK(C87,$C$5:$C$136)</f>
        <v>83</v>
      </c>
    </row>
    <row r="88" customFormat="false" ht="15" hidden="false" customHeight="false" outlineLevel="0" collapsed="false">
      <c r="A88" s="7" t="s">
        <v>416</v>
      </c>
      <c r="B88" s="15" t="n">
        <v>15</v>
      </c>
      <c r="C88" s="23" t="n">
        <v>0.377015833333333</v>
      </c>
      <c r="D88" s="24" t="n">
        <v>1.50806333333333</v>
      </c>
      <c r="E88" s="25" t="n">
        <v>3</v>
      </c>
      <c r="F88" s="17" t="n">
        <f aca="false">C88/SUM($C$5:$C$136)</f>
        <v>0.000119785051300217</v>
      </c>
      <c r="G88" s="17" t="n">
        <f aca="false">SUM($C$5:C88)/SUM($C$5:$C$136)</f>
        <v>0.99799537941792</v>
      </c>
      <c r="H88" s="7" t="str">
        <f aca="false">IF(G88-F88&lt;0.8,"A",IF(G88-F88&lt;0.95,"B","C"))</f>
        <v>C</v>
      </c>
      <c r="I88" s="7" t="n">
        <f aca="false">RANK(C88,$C$5:$C$136)</f>
        <v>84</v>
      </c>
    </row>
    <row r="89" customFormat="false" ht="15" hidden="false" customHeight="false" outlineLevel="0" collapsed="false">
      <c r="A89" s="7" t="s">
        <v>417</v>
      </c>
      <c r="B89" s="15" t="n">
        <v>14</v>
      </c>
      <c r="C89" s="23" t="n">
        <v>0.364890277777778</v>
      </c>
      <c r="D89" s="24" t="n">
        <v>1.56381547619048</v>
      </c>
      <c r="E89" s="25" t="n">
        <v>3</v>
      </c>
      <c r="F89" s="17" t="n">
        <f aca="false">C89/SUM($C$5:$C$136)</f>
        <v>0.000115932533273522</v>
      </c>
      <c r="G89" s="17" t="n">
        <f aca="false">SUM($C$5:C89)/SUM($C$5:$C$136)</f>
        <v>0.998111311951193</v>
      </c>
      <c r="H89" s="7" t="str">
        <f aca="false">IF(G89-F89&lt;0.8,"A",IF(G89-F89&lt;0.95,"B","C"))</f>
        <v>C</v>
      </c>
      <c r="I89" s="7" t="n">
        <f aca="false">RANK(C89,$C$5:$C$136)</f>
        <v>85</v>
      </c>
    </row>
    <row r="90" customFormat="false" ht="15" hidden="false" customHeight="false" outlineLevel="0" collapsed="false">
      <c r="A90" s="7" t="s">
        <v>418</v>
      </c>
      <c r="B90" s="15" t="n">
        <v>18</v>
      </c>
      <c r="C90" s="23" t="n">
        <v>0.350161666666667</v>
      </c>
      <c r="D90" s="24" t="n">
        <v>1.16720555555556</v>
      </c>
      <c r="E90" s="25" t="n">
        <v>2</v>
      </c>
      <c r="F90" s="17" t="n">
        <f aca="false">C90/SUM($C$5:$C$136)</f>
        <v>0.000111252975330486</v>
      </c>
      <c r="G90" s="17" t="n">
        <f aca="false">SUM($C$5:C90)/SUM($C$5:$C$136)</f>
        <v>0.998222564926524</v>
      </c>
      <c r="H90" s="7" t="str">
        <f aca="false">IF(G90-F90&lt;0.8,"A",IF(G90-F90&lt;0.95,"B","C"))</f>
        <v>C</v>
      </c>
      <c r="I90" s="7" t="n">
        <f aca="false">RANK(C90,$C$5:$C$136)</f>
        <v>86</v>
      </c>
    </row>
    <row r="91" customFormat="false" ht="15" hidden="false" customHeight="false" outlineLevel="0" collapsed="false">
      <c r="A91" s="7" t="s">
        <v>419</v>
      </c>
      <c r="B91" s="15" t="n">
        <v>13</v>
      </c>
      <c r="C91" s="23" t="n">
        <v>0.346880833333333</v>
      </c>
      <c r="D91" s="24" t="n">
        <v>1.60098846153846</v>
      </c>
      <c r="E91" s="25" t="n">
        <v>2</v>
      </c>
      <c r="F91" s="17" t="n">
        <f aca="false">C91/SUM($C$5:$C$136)</f>
        <v>0.000110210592612323</v>
      </c>
      <c r="G91" s="17" t="n">
        <f aca="false">SUM($C$5:C91)/SUM($C$5:$C$136)</f>
        <v>0.998332775519136</v>
      </c>
      <c r="H91" s="7" t="str">
        <f aca="false">IF(G91-F91&lt;0.8,"A",IF(G91-F91&lt;0.95,"B","C"))</f>
        <v>C</v>
      </c>
      <c r="I91" s="7" t="n">
        <f aca="false">RANK(C91,$C$5:$C$136)</f>
        <v>87</v>
      </c>
    </row>
    <row r="92" customFormat="false" ht="15" hidden="false" customHeight="false" outlineLevel="0" collapsed="false">
      <c r="A92" s="7" t="s">
        <v>420</v>
      </c>
      <c r="B92" s="15" t="n">
        <v>28</v>
      </c>
      <c r="C92" s="23" t="n">
        <v>0.331647222222222</v>
      </c>
      <c r="D92" s="24" t="n">
        <v>0.710672619047619</v>
      </c>
      <c r="E92" s="25" t="n">
        <v>1</v>
      </c>
      <c r="F92" s="17" t="n">
        <f aca="false">C92/SUM($C$5:$C$136)</f>
        <v>0.00010537058663088</v>
      </c>
      <c r="G92" s="17" t="n">
        <f aca="false">SUM($C$5:C92)/SUM($C$5:$C$136)</f>
        <v>0.998438146105767</v>
      </c>
      <c r="H92" s="7" t="str">
        <f aca="false">IF(G92-F92&lt;0.8,"A",IF(G92-F92&lt;0.95,"B","C"))</f>
        <v>C</v>
      </c>
      <c r="I92" s="7" t="n">
        <f aca="false">RANK(C92,$C$5:$C$136)</f>
        <v>88</v>
      </c>
    </row>
    <row r="93" customFormat="false" ht="15" hidden="false" customHeight="false" outlineLevel="0" collapsed="false">
      <c r="A93" s="7" t="s">
        <v>421</v>
      </c>
      <c r="B93" s="15" t="n">
        <v>22</v>
      </c>
      <c r="C93" s="23" t="n">
        <v>0.310288888888889</v>
      </c>
      <c r="D93" s="24" t="n">
        <v>0.846242424242424</v>
      </c>
      <c r="E93" s="25" t="n">
        <v>1</v>
      </c>
      <c r="F93" s="17" t="n">
        <f aca="false">C93/SUM($C$5:$C$136)</f>
        <v>9.8584640716087E-005</v>
      </c>
      <c r="G93" s="17" t="n">
        <f aca="false">SUM($C$5:C93)/SUM($C$5:$C$136)</f>
        <v>0.998536730746483</v>
      </c>
      <c r="H93" s="7" t="str">
        <f aca="false">IF(G93-F93&lt;0.8,"A",IF(G93-F93&lt;0.95,"B","C"))</f>
        <v>C</v>
      </c>
      <c r="I93" s="7" t="n">
        <f aca="false">RANK(C93,$C$5:$C$136)</f>
        <v>89</v>
      </c>
    </row>
    <row r="94" customFormat="false" ht="15" hidden="false" customHeight="false" outlineLevel="0" collapsed="false">
      <c r="A94" s="7" t="s">
        <v>422</v>
      </c>
      <c r="B94" s="15" t="n">
        <v>7</v>
      </c>
      <c r="C94" s="23" t="n">
        <v>0.306125277777778</v>
      </c>
      <c r="D94" s="24" t="n">
        <v>2.62393095238095</v>
      </c>
      <c r="E94" s="25" t="n">
        <v>1</v>
      </c>
      <c r="F94" s="17" t="n">
        <f aca="false">C94/SUM($C$5:$C$136)</f>
        <v>9.72617828240747E-005</v>
      </c>
      <c r="G94" s="17" t="n">
        <f aca="false">SUM($C$5:C94)/SUM($C$5:$C$136)</f>
        <v>0.998633992529307</v>
      </c>
      <c r="H94" s="7" t="str">
        <f aca="false">IF(G94-F94&lt;0.8,"A",IF(G94-F94&lt;0.95,"B","C"))</f>
        <v>C</v>
      </c>
      <c r="I94" s="7" t="n">
        <f aca="false">RANK(C94,$C$5:$C$136)</f>
        <v>90</v>
      </c>
    </row>
    <row r="95" customFormat="false" ht="15" hidden="false" customHeight="false" outlineLevel="0" collapsed="false">
      <c r="A95" s="7" t="s">
        <v>423</v>
      </c>
      <c r="B95" s="15" t="n">
        <v>23</v>
      </c>
      <c r="C95" s="23" t="n">
        <v>0.26878</v>
      </c>
      <c r="D95" s="24" t="n">
        <v>0.701165217391304</v>
      </c>
      <c r="E95" s="25" t="n">
        <v>3</v>
      </c>
      <c r="F95" s="17" t="n">
        <f aca="false">C95/SUM($C$5:$C$136)</f>
        <v>8.53964826989289E-005</v>
      </c>
      <c r="G95" s="17" t="n">
        <f aca="false">SUM($C$5:C95)/SUM($C$5:$C$136)</f>
        <v>0.998719389012006</v>
      </c>
      <c r="H95" s="7" t="str">
        <f aca="false">IF(G95-F95&lt;0.8,"A",IF(G95-F95&lt;0.95,"B","C"))</f>
        <v>C</v>
      </c>
      <c r="I95" s="7" t="n">
        <f aca="false">RANK(C95,$C$5:$C$136)</f>
        <v>91</v>
      </c>
    </row>
    <row r="96" customFormat="false" ht="15" hidden="false" customHeight="false" outlineLevel="0" collapsed="false">
      <c r="A96" s="7" t="s">
        <v>424</v>
      </c>
      <c r="B96" s="15" t="n">
        <v>3</v>
      </c>
      <c r="C96" s="23" t="n">
        <v>0.255995</v>
      </c>
      <c r="D96" s="24" t="n">
        <v>5.1199</v>
      </c>
      <c r="E96" s="25" t="n">
        <v>1</v>
      </c>
      <c r="F96" s="17" t="n">
        <f aca="false">C96/SUM($C$5:$C$136)</f>
        <v>8.13344467166914E-005</v>
      </c>
      <c r="G96" s="17" t="n">
        <f aca="false">SUM($C$5:C96)/SUM($C$5:$C$136)</f>
        <v>0.998800723458723</v>
      </c>
      <c r="H96" s="7" t="str">
        <f aca="false">IF(G96-F96&lt;0.8,"A",IF(G96-F96&lt;0.95,"B","C"))</f>
        <v>C</v>
      </c>
      <c r="I96" s="7" t="n">
        <f aca="false">RANK(C96,$C$5:$C$136)</f>
        <v>92</v>
      </c>
    </row>
    <row r="97" customFormat="false" ht="15" hidden="false" customHeight="false" outlineLevel="0" collapsed="false">
      <c r="A97" s="7" t="s">
        <v>425</v>
      </c>
      <c r="B97" s="15" t="n">
        <v>6</v>
      </c>
      <c r="C97" s="23" t="n">
        <v>0.247661666666667</v>
      </c>
      <c r="D97" s="24" t="n">
        <v>2.47661666666667</v>
      </c>
      <c r="E97" s="25" t="n">
        <v>1</v>
      </c>
      <c r="F97" s="17" t="n">
        <f aca="false">C97/SUM($C$5:$C$136)</f>
        <v>7.86867893172405E-005</v>
      </c>
      <c r="G97" s="17" t="n">
        <f aca="false">SUM($C$5:C97)/SUM($C$5:$C$136)</f>
        <v>0.99887941024804</v>
      </c>
      <c r="H97" s="7" t="str">
        <f aca="false">IF(G97-F97&lt;0.8,"A",IF(G97-F97&lt;0.95,"B","C"))</f>
        <v>C</v>
      </c>
      <c r="I97" s="7" t="n">
        <f aca="false">RANK(C97,$C$5:$C$136)</f>
        <v>93</v>
      </c>
    </row>
    <row r="98" customFormat="false" ht="15" hidden="false" customHeight="false" outlineLevel="0" collapsed="false">
      <c r="A98" s="7" t="s">
        <v>426</v>
      </c>
      <c r="B98" s="15" t="n">
        <v>7</v>
      </c>
      <c r="C98" s="23" t="n">
        <v>0.2388725</v>
      </c>
      <c r="D98" s="24" t="n">
        <v>2.04747857142857</v>
      </c>
      <c r="E98" s="25" t="n">
        <v>1</v>
      </c>
      <c r="F98" s="17" t="n">
        <f aca="false">C98/SUM($C$5:$C$136)</f>
        <v>7.58943050580397E-005</v>
      </c>
      <c r="G98" s="17" t="n">
        <f aca="false">SUM($C$5:C98)/SUM($C$5:$C$136)</f>
        <v>0.998955304553098</v>
      </c>
      <c r="H98" s="7" t="str">
        <f aca="false">IF(G98-F98&lt;0.8,"A",IF(G98-F98&lt;0.95,"B","C"))</f>
        <v>C</v>
      </c>
      <c r="I98" s="7" t="n">
        <f aca="false">RANK(C98,$C$5:$C$136)</f>
        <v>94</v>
      </c>
    </row>
    <row r="99" customFormat="false" ht="15" hidden="false" customHeight="false" outlineLevel="0" collapsed="false">
      <c r="A99" s="7" t="s">
        <v>427</v>
      </c>
      <c r="B99" s="15" t="n">
        <v>24</v>
      </c>
      <c r="C99" s="23" t="n">
        <v>0.226743055555556</v>
      </c>
      <c r="D99" s="24" t="n">
        <v>0.566857638888889</v>
      </c>
      <c r="E99" s="25" t="n">
        <v>4</v>
      </c>
      <c r="F99" s="17" t="n">
        <f aca="false">C99/SUM($C$5:$C$136)</f>
        <v>7.20405514578922E-005</v>
      </c>
      <c r="G99" s="17" t="n">
        <f aca="false">SUM($C$5:C99)/SUM($C$5:$C$136)</f>
        <v>0.999027345104556</v>
      </c>
      <c r="H99" s="7" t="str">
        <f aca="false">IF(G99-F99&lt;0.8,"A",IF(G99-F99&lt;0.95,"B","C"))</f>
        <v>C</v>
      </c>
      <c r="I99" s="7" t="n">
        <f aca="false">RANK(C99,$C$5:$C$136)</f>
        <v>95</v>
      </c>
    </row>
    <row r="100" customFormat="false" ht="15" hidden="false" customHeight="false" outlineLevel="0" collapsed="false">
      <c r="A100" s="7" t="s">
        <v>428</v>
      </c>
      <c r="B100" s="15" t="n">
        <v>12</v>
      </c>
      <c r="C100" s="23" t="n">
        <v>0.211658611111111</v>
      </c>
      <c r="D100" s="24" t="n">
        <v>1.05829305555556</v>
      </c>
      <c r="E100" s="25" t="n">
        <v>1</v>
      </c>
      <c r="F100" s="17" t="n">
        <f aca="false">C100/SUM($C$5:$C$136)</f>
        <v>6.72479385438996E-005</v>
      </c>
      <c r="G100" s="17" t="n">
        <f aca="false">SUM($C$5:C100)/SUM($C$5:$C$136)</f>
        <v>0.999094593043099</v>
      </c>
      <c r="H100" s="7" t="str">
        <f aca="false">IF(G100-F100&lt;0.8,"A",IF(G100-F100&lt;0.95,"B","C"))</f>
        <v>C</v>
      </c>
      <c r="I100" s="7" t="n">
        <f aca="false">RANK(C100,$C$5:$C$136)</f>
        <v>96</v>
      </c>
    </row>
    <row r="101" customFormat="false" ht="15" hidden="false" customHeight="false" outlineLevel="0" collapsed="false">
      <c r="A101" s="7" t="s">
        <v>429</v>
      </c>
      <c r="B101" s="15" t="n">
        <v>7</v>
      </c>
      <c r="C101" s="23" t="n">
        <v>0.207474722222222</v>
      </c>
      <c r="D101" s="24" t="n">
        <v>1.77835476190476</v>
      </c>
      <c r="E101" s="25" t="n">
        <v>3</v>
      </c>
      <c r="F101" s="17" t="n">
        <f aca="false">C101/SUM($C$5:$C$136)</f>
        <v>6.59186380188819E-005</v>
      </c>
      <c r="G101" s="17" t="n">
        <f aca="false">SUM($C$5:C101)/SUM($C$5:$C$136)</f>
        <v>0.999160511681118</v>
      </c>
      <c r="H101" s="7" t="str">
        <f aca="false">IF(G101-F101&lt;0.8,"A",IF(G101-F101&lt;0.95,"B","C"))</f>
        <v>C</v>
      </c>
      <c r="I101" s="7" t="n">
        <f aca="false">RANK(C101,$C$5:$C$136)</f>
        <v>97</v>
      </c>
    </row>
    <row r="102" customFormat="false" ht="15" hidden="false" customHeight="false" outlineLevel="0" collapsed="false">
      <c r="A102" s="7" t="s">
        <v>430</v>
      </c>
      <c r="B102" s="15" t="n">
        <v>13</v>
      </c>
      <c r="C102" s="23" t="n">
        <v>0.201311388888889</v>
      </c>
      <c r="D102" s="24" t="n">
        <v>0.929129487179487</v>
      </c>
      <c r="E102" s="25" t="n">
        <v>2</v>
      </c>
      <c r="F102" s="17" t="n">
        <f aca="false">C102/SUM($C$5:$C$136)</f>
        <v>6.3960430606248E-005</v>
      </c>
      <c r="G102" s="17" t="n">
        <f aca="false">SUM($C$5:C102)/SUM($C$5:$C$136)</f>
        <v>0.999224472111725</v>
      </c>
      <c r="H102" s="7" t="str">
        <f aca="false">IF(G102-F102&lt;0.8,"A",IF(G102-F102&lt;0.95,"B","C"))</f>
        <v>C</v>
      </c>
      <c r="I102" s="7" t="n">
        <f aca="false">RANK(C102,$C$5:$C$136)</f>
        <v>98</v>
      </c>
    </row>
    <row r="103" customFormat="false" ht="15" hidden="false" customHeight="false" outlineLevel="0" collapsed="false">
      <c r="A103" s="7" t="s">
        <v>431</v>
      </c>
      <c r="B103" s="15" t="n">
        <v>8</v>
      </c>
      <c r="C103" s="23" t="n">
        <v>0.1948325</v>
      </c>
      <c r="D103" s="24" t="n">
        <v>1.46124375</v>
      </c>
      <c r="E103" s="25" t="n">
        <v>2</v>
      </c>
      <c r="F103" s="17" t="n">
        <f aca="false">C103/SUM($C$5:$C$136)</f>
        <v>6.19019652334217E-005</v>
      </c>
      <c r="G103" s="17" t="n">
        <f aca="false">SUM($C$5:C103)/SUM($C$5:$C$136)</f>
        <v>0.999286374076958</v>
      </c>
      <c r="H103" s="7" t="str">
        <f aca="false">IF(G103-F103&lt;0.8,"A",IF(G103-F103&lt;0.95,"B","C"))</f>
        <v>C</v>
      </c>
      <c r="I103" s="7" t="n">
        <f aca="false">RANK(C103,$C$5:$C$136)</f>
        <v>99</v>
      </c>
    </row>
    <row r="104" customFormat="false" ht="15" hidden="false" customHeight="false" outlineLevel="0" collapsed="false">
      <c r="A104" s="7" t="s">
        <v>432</v>
      </c>
      <c r="B104" s="15" t="n">
        <v>2</v>
      </c>
      <c r="C104" s="23" t="n">
        <v>0.193305555555556</v>
      </c>
      <c r="D104" s="24" t="n">
        <v>5.79916666666667</v>
      </c>
      <c r="E104" s="25" t="n">
        <v>1</v>
      </c>
      <c r="F104" s="17" t="n">
        <f aca="false">C104/SUM($C$5:$C$136)</f>
        <v>6.14168261425956E-005</v>
      </c>
      <c r="G104" s="17" t="n">
        <f aca="false">SUM($C$5:C104)/SUM($C$5:$C$136)</f>
        <v>0.999347790903101</v>
      </c>
      <c r="H104" s="7" t="str">
        <f aca="false">IF(G104-F104&lt;0.8,"A",IF(G104-F104&lt;0.95,"B","C"))</f>
        <v>C</v>
      </c>
      <c r="I104" s="7" t="n">
        <f aca="false">RANK(C104,$C$5:$C$136)</f>
        <v>100</v>
      </c>
    </row>
    <row r="105" customFormat="false" ht="15" hidden="false" customHeight="false" outlineLevel="0" collapsed="false">
      <c r="A105" s="7" t="s">
        <v>433</v>
      </c>
      <c r="B105" s="15" t="n">
        <v>1</v>
      </c>
      <c r="C105" s="23" t="n">
        <v>0.1780475</v>
      </c>
      <c r="D105" s="24" t="n">
        <v>10.68285</v>
      </c>
      <c r="E105" s="25" t="n">
        <v>1</v>
      </c>
      <c r="F105" s="17" t="n">
        <f aca="false">C105/SUM($C$5:$C$136)</f>
        <v>5.65690536994477E-005</v>
      </c>
      <c r="G105" s="17" t="n">
        <f aca="false">SUM($C$5:C105)/SUM($C$5:$C$136)</f>
        <v>0.9994043599568</v>
      </c>
      <c r="H105" s="7" t="str">
        <f aca="false">IF(G105-F105&lt;0.8,"A",IF(G105-F105&lt;0.95,"B","C"))</f>
        <v>C</v>
      </c>
      <c r="I105" s="7" t="n">
        <f aca="false">RANK(C105,$C$5:$C$136)</f>
        <v>101</v>
      </c>
    </row>
    <row r="106" customFormat="false" ht="15" hidden="false" customHeight="false" outlineLevel="0" collapsed="false">
      <c r="A106" s="7" t="s">
        <v>434</v>
      </c>
      <c r="B106" s="15" t="n">
        <v>16</v>
      </c>
      <c r="C106" s="23" t="n">
        <v>0.136391388888889</v>
      </c>
      <c r="D106" s="24" t="n">
        <v>0.511467708333333</v>
      </c>
      <c r="E106" s="25" t="n">
        <v>1</v>
      </c>
      <c r="F106" s="17" t="n">
        <f aca="false">C106/SUM($C$5:$C$136)</f>
        <v>4.33341204015659E-005</v>
      </c>
      <c r="G106" s="17" t="n">
        <f aca="false">SUM($C$5:C106)/SUM($C$5:$C$136)</f>
        <v>0.999447694077202</v>
      </c>
      <c r="H106" s="7" t="str">
        <f aca="false">IF(G106-F106&lt;0.8,"A",IF(G106-F106&lt;0.95,"B","C"))</f>
        <v>C</v>
      </c>
      <c r="I106" s="7" t="n">
        <f aca="false">RANK(C106,$C$5:$C$136)</f>
        <v>102</v>
      </c>
    </row>
    <row r="107" customFormat="false" ht="15" hidden="false" customHeight="false" outlineLevel="0" collapsed="false">
      <c r="A107" s="7" t="s">
        <v>435</v>
      </c>
      <c r="B107" s="15" t="n">
        <v>5</v>
      </c>
      <c r="C107" s="23" t="n">
        <v>0.132556388888889</v>
      </c>
      <c r="D107" s="24" t="n">
        <v>1.59067666666667</v>
      </c>
      <c r="E107" s="25" t="n">
        <v>1</v>
      </c>
      <c r="F107" s="17" t="n">
        <f aca="false">C107/SUM($C$5:$C$136)</f>
        <v>4.21156684663386E-005</v>
      </c>
      <c r="G107" s="17" t="n">
        <f aca="false">SUM($C$5:C107)/SUM($C$5:$C$136)</f>
        <v>0.999489809745668</v>
      </c>
      <c r="H107" s="7" t="str">
        <f aca="false">IF(G107-F107&lt;0.8,"A",IF(G107-F107&lt;0.95,"B","C"))</f>
        <v>C</v>
      </c>
      <c r="I107" s="7" t="n">
        <f aca="false">RANK(C107,$C$5:$C$136)</f>
        <v>103</v>
      </c>
    </row>
    <row r="108" customFormat="false" ht="15" hidden="false" customHeight="false" outlineLevel="0" collapsed="false">
      <c r="A108" s="7" t="s">
        <v>436</v>
      </c>
      <c r="B108" s="15" t="n">
        <v>4</v>
      </c>
      <c r="C108" s="23" t="n">
        <v>0.12944</v>
      </c>
      <c r="D108" s="24" t="n">
        <v>1.9416</v>
      </c>
      <c r="E108" s="25" t="n">
        <v>1</v>
      </c>
      <c r="F108" s="17" t="n">
        <f aca="false">C108/SUM($C$5:$C$136)</f>
        <v>4.11255328541906E-005</v>
      </c>
      <c r="G108" s="17" t="n">
        <f aca="false">SUM($C$5:C108)/SUM($C$5:$C$136)</f>
        <v>0.999530935278522</v>
      </c>
      <c r="H108" s="7" t="str">
        <f aca="false">IF(G108-F108&lt;0.8,"A",IF(G108-F108&lt;0.95,"B","C"))</f>
        <v>C</v>
      </c>
      <c r="I108" s="7" t="n">
        <f aca="false">RANK(C108,$C$5:$C$136)</f>
        <v>104</v>
      </c>
    </row>
    <row r="109" customFormat="false" ht="15" hidden="false" customHeight="false" outlineLevel="0" collapsed="false">
      <c r="A109" s="7" t="s">
        <v>437</v>
      </c>
      <c r="B109" s="15" t="n">
        <v>3</v>
      </c>
      <c r="C109" s="23" t="n">
        <v>0.128472222222222</v>
      </c>
      <c r="D109" s="24" t="n">
        <v>2.56944444444444</v>
      </c>
      <c r="E109" s="25" t="n">
        <v>1</v>
      </c>
      <c r="F109" s="17" t="n">
        <f aca="false">C109/SUM($C$5:$C$136)</f>
        <v>4.08180515748677E-005</v>
      </c>
      <c r="G109" s="17" t="n">
        <f aca="false">SUM($C$5:C109)/SUM($C$5:$C$136)</f>
        <v>0.999571753330097</v>
      </c>
      <c r="H109" s="7" t="str">
        <f aca="false">IF(G109-F109&lt;0.8,"A",IF(G109-F109&lt;0.95,"B","C"))</f>
        <v>C</v>
      </c>
      <c r="I109" s="7" t="n">
        <f aca="false">RANK(C109,$C$5:$C$136)</f>
        <v>105</v>
      </c>
    </row>
    <row r="110" customFormat="false" ht="15" hidden="false" customHeight="false" outlineLevel="0" collapsed="false">
      <c r="A110" s="7" t="s">
        <v>438</v>
      </c>
      <c r="B110" s="15" t="n">
        <v>2</v>
      </c>
      <c r="C110" s="23" t="n">
        <v>0.125605</v>
      </c>
      <c r="D110" s="24" t="n">
        <v>3.76815</v>
      </c>
      <c r="E110" s="25" t="n">
        <v>1</v>
      </c>
      <c r="F110" s="17" t="n">
        <f aca="false">C110/SUM($C$5:$C$136)</f>
        <v>3.99070809189633E-005</v>
      </c>
      <c r="G110" s="17" t="n">
        <f aca="false">SUM($C$5:C110)/SUM($C$5:$C$136)</f>
        <v>0.999611660411016</v>
      </c>
      <c r="H110" s="7" t="str">
        <f aca="false">IF(G110-F110&lt;0.8,"A",IF(G110-F110&lt;0.95,"B","C"))</f>
        <v>C</v>
      </c>
      <c r="I110" s="7" t="n">
        <f aca="false">RANK(C110,$C$5:$C$136)</f>
        <v>106</v>
      </c>
    </row>
    <row r="111" customFormat="false" ht="15" hidden="false" customHeight="false" outlineLevel="0" collapsed="false">
      <c r="A111" s="7" t="s">
        <v>439</v>
      </c>
      <c r="B111" s="15" t="n">
        <v>6</v>
      </c>
      <c r="C111" s="23" t="n">
        <v>0.117528611111111</v>
      </c>
      <c r="D111" s="24" t="n">
        <v>1.17528611111111</v>
      </c>
      <c r="E111" s="25" t="n">
        <v>1</v>
      </c>
      <c r="F111" s="17" t="n">
        <f aca="false">C111/SUM($C$5:$C$136)</f>
        <v>3.73410596226622E-005</v>
      </c>
      <c r="G111" s="17" t="n">
        <f aca="false">SUM($C$5:C111)/SUM($C$5:$C$136)</f>
        <v>0.999649001470639</v>
      </c>
      <c r="H111" s="7" t="str">
        <f aca="false">IF(G111-F111&lt;0.8,"A",IF(G111-F111&lt;0.95,"B","C"))</f>
        <v>C</v>
      </c>
      <c r="I111" s="7" t="n">
        <f aca="false">RANK(C111,$C$5:$C$136)</f>
        <v>107</v>
      </c>
    </row>
    <row r="112" customFormat="false" ht="15" hidden="false" customHeight="false" outlineLevel="0" collapsed="false">
      <c r="A112" s="7" t="s">
        <v>440</v>
      </c>
      <c r="B112" s="15" t="n">
        <v>7</v>
      </c>
      <c r="C112" s="23" t="n">
        <v>0.115087222222222</v>
      </c>
      <c r="D112" s="24" t="n">
        <v>0.986461904761905</v>
      </c>
      <c r="E112" s="25" t="n">
        <v>1</v>
      </c>
      <c r="F112" s="17" t="n">
        <f aca="false">C112/SUM($C$5:$C$136)</f>
        <v>3.65653842598697E-005</v>
      </c>
      <c r="G112" s="17" t="n">
        <f aca="false">SUM($C$5:C112)/SUM($C$5:$C$136)</f>
        <v>0.999685566854899</v>
      </c>
      <c r="H112" s="7" t="str">
        <f aca="false">IF(G112-F112&lt;0.8,"A",IF(G112-F112&lt;0.95,"B","C"))</f>
        <v>C</v>
      </c>
      <c r="I112" s="7" t="n">
        <f aca="false">RANK(C112,$C$5:$C$136)</f>
        <v>108</v>
      </c>
    </row>
    <row r="113" customFormat="false" ht="15" hidden="false" customHeight="false" outlineLevel="0" collapsed="false">
      <c r="A113" s="7" t="s">
        <v>441</v>
      </c>
      <c r="B113" s="15" t="n">
        <v>7</v>
      </c>
      <c r="C113" s="23" t="n">
        <v>0.110598055555556</v>
      </c>
      <c r="D113" s="24" t="n">
        <v>0.947983333333333</v>
      </c>
      <c r="E113" s="25" t="n">
        <v>1</v>
      </c>
      <c r="F113" s="17" t="n">
        <f aca="false">C113/SUM($C$5:$C$136)</f>
        <v>3.51390912187855E-005</v>
      </c>
      <c r="G113" s="17" t="n">
        <f aca="false">SUM($C$5:C113)/SUM($C$5:$C$136)</f>
        <v>0.999720705946117</v>
      </c>
      <c r="H113" s="7" t="str">
        <f aca="false">IF(G113-F113&lt;0.8,"A",IF(G113-F113&lt;0.95,"B","C"))</f>
        <v>C</v>
      </c>
      <c r="I113" s="7" t="n">
        <f aca="false">RANK(C113,$C$5:$C$136)</f>
        <v>109</v>
      </c>
    </row>
    <row r="114" customFormat="false" ht="15" hidden="false" customHeight="false" outlineLevel="0" collapsed="false">
      <c r="A114" s="7" t="s">
        <v>442</v>
      </c>
      <c r="B114" s="15" t="n">
        <v>3</v>
      </c>
      <c r="C114" s="23" t="n">
        <v>0.105485</v>
      </c>
      <c r="D114" s="24" t="n">
        <v>2.1097</v>
      </c>
      <c r="E114" s="25" t="n">
        <v>1</v>
      </c>
      <c r="F114" s="17" t="n">
        <f aca="false">C114/SUM($C$5:$C$136)</f>
        <v>3.35145768937291E-005</v>
      </c>
      <c r="G114" s="17" t="n">
        <f aca="false">SUM($C$5:C114)/SUM($C$5:$C$136)</f>
        <v>0.999754220523011</v>
      </c>
      <c r="H114" s="7" t="str">
        <f aca="false">IF(G114-F114&lt;0.8,"A",IF(G114-F114&lt;0.95,"B","C"))</f>
        <v>C</v>
      </c>
      <c r="I114" s="7" t="n">
        <f aca="false">RANK(C114,$C$5:$C$136)</f>
        <v>110</v>
      </c>
    </row>
    <row r="115" customFormat="false" ht="15" hidden="false" customHeight="false" outlineLevel="0" collapsed="false">
      <c r="A115" s="7" t="s">
        <v>443</v>
      </c>
      <c r="B115" s="15" t="n">
        <v>7</v>
      </c>
      <c r="C115" s="23" t="n">
        <v>0.104894166666667</v>
      </c>
      <c r="D115" s="24" t="n">
        <v>0.899092857142857</v>
      </c>
      <c r="E115" s="25" t="n">
        <v>1</v>
      </c>
      <c r="F115" s="17" t="n">
        <f aca="false">C115/SUM($C$5:$C$136)</f>
        <v>3.33268579841081E-005</v>
      </c>
      <c r="G115" s="17" t="n">
        <f aca="false">SUM($C$5:C115)/SUM($C$5:$C$136)</f>
        <v>0.999787547380995</v>
      </c>
      <c r="H115" s="7" t="str">
        <f aca="false">IF(G115-F115&lt;0.8,"A",IF(G115-F115&lt;0.95,"B","C"))</f>
        <v>C</v>
      </c>
      <c r="I115" s="7" t="n">
        <f aca="false">RANK(C115,$C$5:$C$136)</f>
        <v>111</v>
      </c>
    </row>
    <row r="116" customFormat="false" ht="15" hidden="false" customHeight="false" outlineLevel="0" collapsed="false">
      <c r="A116" s="7" t="s">
        <v>444</v>
      </c>
      <c r="B116" s="15" t="n">
        <v>5</v>
      </c>
      <c r="C116" s="23" t="n">
        <v>0.104788611111111</v>
      </c>
      <c r="D116" s="24" t="n">
        <v>1.25746333333333</v>
      </c>
      <c r="E116" s="25" t="n">
        <v>1</v>
      </c>
      <c r="F116" s="17" t="n">
        <f aca="false">C116/SUM($C$5:$C$136)</f>
        <v>3.32933209903817E-005</v>
      </c>
      <c r="G116" s="17" t="n">
        <f aca="false">SUM($C$5:C116)/SUM($C$5:$C$136)</f>
        <v>0.999820840701986</v>
      </c>
      <c r="H116" s="7" t="str">
        <f aca="false">IF(G116-F116&lt;0.8,"A",IF(G116-F116&lt;0.95,"B","C"))</f>
        <v>C</v>
      </c>
      <c r="I116" s="7" t="n">
        <f aca="false">RANK(C116,$C$5:$C$136)</f>
        <v>112</v>
      </c>
    </row>
    <row r="117" customFormat="false" ht="15" hidden="false" customHeight="false" outlineLevel="0" collapsed="false">
      <c r="A117" s="7" t="s">
        <v>445</v>
      </c>
      <c r="B117" s="15" t="n">
        <v>2</v>
      </c>
      <c r="C117" s="23" t="n">
        <v>0.0906575</v>
      </c>
      <c r="D117" s="24" t="n">
        <v>2.719725</v>
      </c>
      <c r="E117" s="25" t="n">
        <v>1</v>
      </c>
      <c r="F117" s="17" t="n">
        <f aca="false">C117/SUM($C$5:$C$136)</f>
        <v>2.88036000828862E-005</v>
      </c>
      <c r="G117" s="17" t="n">
        <f aca="false">SUM($C$5:C117)/SUM($C$5:$C$136)</f>
        <v>0.999849644302069</v>
      </c>
      <c r="H117" s="7" t="str">
        <f aca="false">IF(G117-F117&lt;0.8,"A",IF(G117-F117&lt;0.95,"B","C"))</f>
        <v>C</v>
      </c>
      <c r="I117" s="7" t="n">
        <f aca="false">RANK(C117,$C$5:$C$136)</f>
        <v>113</v>
      </c>
    </row>
    <row r="118" customFormat="false" ht="15" hidden="false" customHeight="false" outlineLevel="0" collapsed="false">
      <c r="A118" s="7" t="s">
        <v>446</v>
      </c>
      <c r="B118" s="15" t="n">
        <v>7</v>
      </c>
      <c r="C118" s="23" t="n">
        <v>0.0730638888888888</v>
      </c>
      <c r="D118" s="24" t="n">
        <v>0.626261904761905</v>
      </c>
      <c r="E118" s="25" t="n">
        <v>1</v>
      </c>
      <c r="F118" s="17" t="n">
        <f aca="false">C118/SUM($C$5:$C$136)</f>
        <v>2.32137775259188E-005</v>
      </c>
      <c r="G118" s="17" t="n">
        <f aca="false">SUM($C$5:C118)/SUM($C$5:$C$136)</f>
        <v>0.999872858079594</v>
      </c>
      <c r="H118" s="7" t="str">
        <f aca="false">IF(G118-F118&lt;0.8,"A",IF(G118-F118&lt;0.95,"B","C"))</f>
        <v>C</v>
      </c>
      <c r="I118" s="7" t="n">
        <f aca="false">RANK(C118,$C$5:$C$136)</f>
        <v>114</v>
      </c>
    </row>
    <row r="119" customFormat="false" ht="15" hidden="false" customHeight="false" outlineLevel="0" collapsed="false">
      <c r="A119" s="7" t="s">
        <v>447</v>
      </c>
      <c r="B119" s="15" t="n">
        <v>1</v>
      </c>
      <c r="C119" s="23" t="n">
        <v>0.064275</v>
      </c>
      <c r="D119" s="24" t="n">
        <v>3.8565</v>
      </c>
      <c r="E119" s="25" t="n">
        <v>1</v>
      </c>
      <c r="F119" s="17" t="n">
        <f aca="false">C119/SUM($C$5:$C$136)</f>
        <v>2.04213815219646E-005</v>
      </c>
      <c r="G119" s="17" t="n">
        <f aca="false">SUM($C$5:C119)/SUM($C$5:$C$136)</f>
        <v>0.999893279461116</v>
      </c>
      <c r="H119" s="7" t="str">
        <f aca="false">IF(G119-F119&lt;0.8,"A",IF(G119-F119&lt;0.95,"B","C"))</f>
        <v>C</v>
      </c>
      <c r="I119" s="7" t="n">
        <f aca="false">RANK(C119,$C$5:$C$136)</f>
        <v>115</v>
      </c>
    </row>
    <row r="120" customFormat="false" ht="15" hidden="false" customHeight="false" outlineLevel="0" collapsed="false">
      <c r="A120" s="7" t="s">
        <v>448</v>
      </c>
      <c r="B120" s="15" t="n">
        <v>2</v>
      </c>
      <c r="C120" s="23" t="n">
        <v>0.0600969444444444</v>
      </c>
      <c r="D120" s="24" t="n">
        <v>1.80290833333333</v>
      </c>
      <c r="E120" s="25" t="n">
        <v>2</v>
      </c>
      <c r="F120" s="17" t="n">
        <f aca="false">C120/SUM($C$5:$C$136)</f>
        <v>1.90939343571266E-005</v>
      </c>
      <c r="G120" s="17" t="n">
        <f aca="false">SUM($C$5:C120)/SUM($C$5:$C$136)</f>
        <v>0.999912373395474</v>
      </c>
      <c r="H120" s="7" t="str">
        <f aca="false">IF(G120-F120&lt;0.8,"A",IF(G120-F120&lt;0.95,"B","C"))</f>
        <v>C</v>
      </c>
      <c r="I120" s="7" t="n">
        <f aca="false">RANK(C120,$C$5:$C$136)</f>
        <v>116</v>
      </c>
    </row>
    <row r="121" customFormat="false" ht="15" hidden="false" customHeight="false" outlineLevel="0" collapsed="false">
      <c r="A121" s="7" t="s">
        <v>449</v>
      </c>
      <c r="B121" s="15" t="n">
        <v>15</v>
      </c>
      <c r="C121" s="23" t="n">
        <v>0.0486983333333333</v>
      </c>
      <c r="D121" s="24" t="n">
        <v>0.194793333333333</v>
      </c>
      <c r="E121" s="25" t="n">
        <v>1</v>
      </c>
      <c r="F121" s="17" t="n">
        <f aca="false">C121/SUM($C$5:$C$136)</f>
        <v>1.5472380310911E-005</v>
      </c>
      <c r="G121" s="17" t="n">
        <f aca="false">SUM($C$5:C121)/SUM($C$5:$C$136)</f>
        <v>0.999927845775784</v>
      </c>
      <c r="H121" s="7" t="str">
        <f aca="false">IF(G121-F121&lt;0.8,"A",IF(G121-F121&lt;0.95,"B","C"))</f>
        <v>C</v>
      </c>
      <c r="I121" s="7" t="n">
        <f aca="false">RANK(C121,$C$5:$C$136)</f>
        <v>117</v>
      </c>
    </row>
    <row r="122" customFormat="false" ht="15" hidden="false" customHeight="false" outlineLevel="0" collapsed="false">
      <c r="A122" s="7" t="s">
        <v>450</v>
      </c>
      <c r="B122" s="15" t="n">
        <v>4</v>
      </c>
      <c r="C122" s="23" t="n">
        <v>0.0384883333333333</v>
      </c>
      <c r="D122" s="24" t="n">
        <v>0.577325</v>
      </c>
      <c r="E122" s="25" t="n">
        <v>3</v>
      </c>
      <c r="F122" s="17" t="n">
        <f aca="false">C122/SUM($C$5:$C$136)</f>
        <v>1.22284704651038E-005</v>
      </c>
      <c r="G122" s="17" t="n">
        <f aca="false">SUM($C$5:C122)/SUM($C$5:$C$136)</f>
        <v>0.99994007424625</v>
      </c>
      <c r="H122" s="7" t="str">
        <f aca="false">IF(G122-F122&lt;0.8,"A",IF(G122-F122&lt;0.95,"B","C"))</f>
        <v>C</v>
      </c>
      <c r="I122" s="7" t="n">
        <f aca="false">RANK(C122,$C$5:$C$136)</f>
        <v>118</v>
      </c>
    </row>
    <row r="123" customFormat="false" ht="15" hidden="false" customHeight="false" outlineLevel="0" collapsed="false">
      <c r="A123" s="7" t="s">
        <v>451</v>
      </c>
      <c r="B123" s="15" t="n">
        <v>1</v>
      </c>
      <c r="C123" s="23" t="n">
        <v>0.0266658333333333</v>
      </c>
      <c r="D123" s="24" t="n">
        <v>1.59995</v>
      </c>
      <c r="E123" s="25" t="n">
        <v>1</v>
      </c>
      <c r="F123" s="17" t="n">
        <f aca="false">C123/SUM($C$5:$C$136)</f>
        <v>8.47223891250286E-006</v>
      </c>
      <c r="G123" s="17" t="n">
        <f aca="false">SUM($C$5:C123)/SUM($C$5:$C$136)</f>
        <v>0.999948546485162</v>
      </c>
      <c r="H123" s="7" t="str">
        <f aca="false">IF(G123-F123&lt;0.8,"A",IF(G123-F123&lt;0.95,"B","C"))</f>
        <v>C</v>
      </c>
      <c r="I123" s="7" t="n">
        <f aca="false">RANK(C123,$C$5:$C$136)</f>
        <v>119</v>
      </c>
    </row>
    <row r="124" customFormat="false" ht="15" hidden="false" customHeight="false" outlineLevel="0" collapsed="false">
      <c r="A124" s="7" t="s">
        <v>452</v>
      </c>
      <c r="B124" s="15" t="n">
        <v>2</v>
      </c>
      <c r="C124" s="23" t="n">
        <v>0.0213375</v>
      </c>
      <c r="D124" s="24" t="n">
        <v>0.640125</v>
      </c>
      <c r="E124" s="25" t="n">
        <v>1</v>
      </c>
      <c r="F124" s="17" t="n">
        <f aca="false">C124/SUM($C$5:$C$136)</f>
        <v>6.77932677129398E-006</v>
      </c>
      <c r="G124" s="17" t="n">
        <f aca="false">SUM($C$5:C124)/SUM($C$5:$C$136)</f>
        <v>0.999955325811933</v>
      </c>
      <c r="H124" s="7" t="str">
        <f aca="false">IF(G124-F124&lt;0.8,"A",IF(G124-F124&lt;0.95,"B","C"))</f>
        <v>C</v>
      </c>
      <c r="I124" s="7" t="n">
        <f aca="false">RANK(C124,$C$5:$C$136)</f>
        <v>120</v>
      </c>
    </row>
    <row r="125" customFormat="false" ht="15" hidden="false" customHeight="false" outlineLevel="0" collapsed="false">
      <c r="A125" s="7" t="s">
        <v>453</v>
      </c>
      <c r="B125" s="15" t="n">
        <v>2</v>
      </c>
      <c r="C125" s="23" t="n">
        <v>0.0197436111111111</v>
      </c>
      <c r="D125" s="24" t="n">
        <v>0.592308333333333</v>
      </c>
      <c r="E125" s="25" t="n">
        <v>1</v>
      </c>
      <c r="F125" s="17" t="n">
        <f aca="false">C125/SUM($C$5:$C$136)</f>
        <v>6.27291816602567E-006</v>
      </c>
      <c r="G125" s="17" t="n">
        <f aca="false">SUM($C$5:C125)/SUM($C$5:$C$136)</f>
        <v>0.999961598730099</v>
      </c>
      <c r="H125" s="7" t="str">
        <f aca="false">IF(G125-F125&lt;0.8,"A",IF(G125-F125&lt;0.95,"B","C"))</f>
        <v>C</v>
      </c>
      <c r="I125" s="7" t="n">
        <f aca="false">RANK(C125,$C$5:$C$136)</f>
        <v>121</v>
      </c>
    </row>
    <row r="126" customFormat="false" ht="15" hidden="false" customHeight="false" outlineLevel="0" collapsed="false">
      <c r="A126" s="7" t="s">
        <v>454</v>
      </c>
      <c r="B126" s="15" t="n">
        <v>2</v>
      </c>
      <c r="C126" s="23" t="n">
        <v>0.0186613888888888</v>
      </c>
      <c r="D126" s="24" t="n">
        <v>0.559841666666667</v>
      </c>
      <c r="E126" s="25" t="n">
        <v>1</v>
      </c>
      <c r="F126" s="17" t="n">
        <f aca="false">C126/SUM($C$5:$C$136)</f>
        <v>5.92907572508363E-006</v>
      </c>
      <c r="G126" s="17" t="n">
        <f aca="false">SUM($C$5:C126)/SUM($C$5:$C$136)</f>
        <v>0.999967527805824</v>
      </c>
      <c r="H126" s="7" t="str">
        <f aca="false">IF(G126-F126&lt;0.8,"A",IF(G126-F126&lt;0.95,"B","C"))</f>
        <v>C</v>
      </c>
      <c r="I126" s="7" t="n">
        <f aca="false">RANK(C126,$C$5:$C$136)</f>
        <v>122</v>
      </c>
    </row>
    <row r="127" customFormat="false" ht="15" hidden="false" customHeight="false" outlineLevel="0" collapsed="false">
      <c r="A127" s="7" t="s">
        <v>455</v>
      </c>
      <c r="B127" s="15" t="n">
        <v>1</v>
      </c>
      <c r="C127" s="23" t="n">
        <v>0.0185716666666666</v>
      </c>
      <c r="D127" s="24" t="n">
        <v>1.1143</v>
      </c>
      <c r="E127" s="25" t="n">
        <v>1</v>
      </c>
      <c r="F127" s="17" t="n">
        <f aca="false">C127/SUM($C$5:$C$136)</f>
        <v>5.90056928041621E-006</v>
      </c>
      <c r="G127" s="17" t="n">
        <f aca="false">SUM($C$5:C127)/SUM($C$5:$C$136)</f>
        <v>0.999973428375105</v>
      </c>
      <c r="H127" s="7" t="str">
        <f aca="false">IF(G127-F127&lt;0.8,"A",IF(G127-F127&lt;0.95,"B","C"))</f>
        <v>C</v>
      </c>
      <c r="I127" s="7" t="n">
        <f aca="false">RANK(C127,$C$5:$C$136)</f>
        <v>123</v>
      </c>
    </row>
    <row r="128" customFormat="false" ht="15" hidden="false" customHeight="false" outlineLevel="0" collapsed="false">
      <c r="A128" s="7" t="s">
        <v>456</v>
      </c>
      <c r="B128" s="15" t="n">
        <v>1</v>
      </c>
      <c r="C128" s="23" t="n">
        <v>0.0178916666666666</v>
      </c>
      <c r="D128" s="24" t="n">
        <v>1.0735</v>
      </c>
      <c r="E128" s="25" t="n">
        <v>1</v>
      </c>
      <c r="F128" s="17" t="n">
        <f aca="false">C128/SUM($C$5:$C$136)</f>
        <v>5.68452043662102E-006</v>
      </c>
      <c r="G128" s="17" t="n">
        <f aca="false">SUM($C$5:C128)/SUM($C$5:$C$136)</f>
        <v>0.999979112895541</v>
      </c>
      <c r="H128" s="7" t="str">
        <f aca="false">IF(G128-F128&lt;0.8,"A",IF(G128-F128&lt;0.95,"B","C"))</f>
        <v>C</v>
      </c>
      <c r="I128" s="7" t="n">
        <f aca="false">RANK(C128,$C$5:$C$136)</f>
        <v>124</v>
      </c>
    </row>
    <row r="129" customFormat="false" ht="15" hidden="false" customHeight="false" outlineLevel="0" collapsed="false">
      <c r="A129" s="7" t="s">
        <v>457</v>
      </c>
      <c r="B129" s="15" t="n">
        <v>3</v>
      </c>
      <c r="C129" s="23" t="n">
        <v>0.0155811111111111</v>
      </c>
      <c r="D129" s="24" t="n">
        <v>0.311622222222222</v>
      </c>
      <c r="E129" s="25" t="n">
        <v>1</v>
      </c>
      <c r="F129" s="17" t="n">
        <f aca="false">C129/SUM($C$5:$C$136)</f>
        <v>4.95041329499996E-006</v>
      </c>
      <c r="G129" s="17" t="n">
        <f aca="false">SUM($C$5:C129)/SUM($C$5:$C$136)</f>
        <v>0.999984063308836</v>
      </c>
      <c r="H129" s="7" t="str">
        <f aca="false">IF(G129-F129&lt;0.8,"A",IF(G129-F129&lt;0.95,"B","C"))</f>
        <v>C</v>
      </c>
      <c r="I129" s="7" t="n">
        <f aca="false">RANK(C129,$C$5:$C$136)</f>
        <v>125</v>
      </c>
    </row>
    <row r="130" customFormat="false" ht="15" hidden="false" customHeight="false" outlineLevel="0" collapsed="false">
      <c r="A130" s="7" t="s">
        <v>458</v>
      </c>
      <c r="B130" s="15" t="n">
        <v>1</v>
      </c>
      <c r="C130" s="23" t="n">
        <v>0.0130333333333333</v>
      </c>
      <c r="D130" s="24" t="n">
        <v>0.782</v>
      </c>
      <c r="E130" s="25" t="n">
        <v>1</v>
      </c>
      <c r="F130" s="17" t="n">
        <f aca="false">C130/SUM($C$5:$C$136)</f>
        <v>4.14093617274117E-006</v>
      </c>
      <c r="G130" s="17" t="n">
        <f aca="false">SUM($C$5:C130)/SUM($C$5:$C$136)</f>
        <v>0.999988204245009</v>
      </c>
      <c r="H130" s="7" t="str">
        <f aca="false">IF(G130-F130&lt;0.8,"A",IF(G130-F130&lt;0.95,"B","C"))</f>
        <v>C</v>
      </c>
      <c r="I130" s="7" t="n">
        <f aca="false">RANK(C130,$C$5:$C$136)</f>
        <v>126</v>
      </c>
    </row>
    <row r="131" customFormat="false" ht="15" hidden="false" customHeight="false" outlineLevel="0" collapsed="false">
      <c r="A131" s="7" t="s">
        <v>459</v>
      </c>
      <c r="B131" s="15" t="n">
        <v>1</v>
      </c>
      <c r="C131" s="23" t="n">
        <v>0.0129083333333333</v>
      </c>
      <c r="D131" s="24" t="n">
        <v>0.7745</v>
      </c>
      <c r="E131" s="25" t="n">
        <v>1</v>
      </c>
      <c r="F131" s="17" t="n">
        <f aca="false">C131/SUM($C$5:$C$136)</f>
        <v>4.1012213117494E-006</v>
      </c>
      <c r="G131" s="17" t="n">
        <f aca="false">SUM($C$5:C131)/SUM($C$5:$C$136)</f>
        <v>0.999992305466321</v>
      </c>
      <c r="H131" s="7" t="str">
        <f aca="false">IF(G131-F131&lt;0.8,"A",IF(G131-F131&lt;0.95,"B","C"))</f>
        <v>C</v>
      </c>
      <c r="I131" s="7" t="n">
        <f aca="false">RANK(C131,$C$5:$C$136)</f>
        <v>127</v>
      </c>
    </row>
    <row r="132" customFormat="false" ht="15" hidden="false" customHeight="false" outlineLevel="0" collapsed="false">
      <c r="A132" s="7" t="s">
        <v>460</v>
      </c>
      <c r="B132" s="15" t="n">
        <v>1</v>
      </c>
      <c r="C132" s="23" t="n">
        <v>0.0095361111111111</v>
      </c>
      <c r="D132" s="24" t="n">
        <v>0.572166666666667</v>
      </c>
      <c r="E132" s="25" t="n">
        <v>1</v>
      </c>
      <c r="F132" s="17" t="n">
        <f aca="false">C132/SUM($C$5:$C$136)</f>
        <v>3.02980261743829E-006</v>
      </c>
      <c r="G132" s="17" t="n">
        <f aca="false">SUM($C$5:C132)/SUM($C$5:$C$136)</f>
        <v>0.999995335268938</v>
      </c>
      <c r="H132" s="7" t="str">
        <f aca="false">IF(G132-F132&lt;0.8,"A",IF(G132-F132&lt;0.95,"B","C"))</f>
        <v>C</v>
      </c>
      <c r="I132" s="7" t="n">
        <f aca="false">RANK(C132,$C$5:$C$136)</f>
        <v>128</v>
      </c>
    </row>
    <row r="133" customFormat="false" ht="15" hidden="false" customHeight="false" outlineLevel="0" collapsed="false">
      <c r="A133" s="7" t="s">
        <v>461</v>
      </c>
      <c r="B133" s="15" t="n">
        <v>1</v>
      </c>
      <c r="C133" s="23" t="n">
        <v>0.0077963888888888</v>
      </c>
      <c r="D133" s="24" t="n">
        <v>0.467783333333333</v>
      </c>
      <c r="E133" s="25" t="n">
        <v>1</v>
      </c>
      <c r="F133" s="17" t="n">
        <f aca="false">C133/SUM($C$5:$C$136)</f>
        <v>2.47706000767957E-006</v>
      </c>
      <c r="G133" s="17" t="n">
        <f aca="false">SUM($C$5:C133)/SUM($C$5:$C$136)</f>
        <v>0.999997812328946</v>
      </c>
      <c r="H133" s="7" t="str">
        <f aca="false">IF(G133-F133&lt;0.8,"A",IF(G133-F133&lt;0.95,"B","C"))</f>
        <v>C</v>
      </c>
      <c r="I133" s="7" t="n">
        <f aca="false">RANK(C133,$C$5:$C$136)</f>
        <v>129</v>
      </c>
    </row>
    <row r="134" customFormat="false" ht="15" hidden="false" customHeight="false" outlineLevel="0" collapsed="false">
      <c r="A134" s="7" t="s">
        <v>462</v>
      </c>
      <c r="B134" s="15" t="n">
        <v>1</v>
      </c>
      <c r="C134" s="23" t="n">
        <v>0.0028555555555555</v>
      </c>
      <c r="D134" s="24" t="n">
        <v>0.171333333333333</v>
      </c>
      <c r="E134" s="25" t="n">
        <v>1</v>
      </c>
      <c r="F134" s="17" t="n">
        <f aca="false">C134/SUM($C$5:$C$136)</f>
        <v>9.07263935545151E-007</v>
      </c>
      <c r="G134" s="17" t="n">
        <f aca="false">SUM($C$5:C134)/SUM($C$5:$C$136)</f>
        <v>0.999998719592882</v>
      </c>
      <c r="H134" s="7" t="str">
        <f aca="false">IF(G134-F134&lt;0.8,"A",IF(G134-F134&lt;0.95,"B","C"))</f>
        <v>C</v>
      </c>
      <c r="I134" s="7" t="n">
        <f aca="false">RANK(C134,$C$5:$C$136)</f>
        <v>130</v>
      </c>
    </row>
    <row r="135" customFormat="false" ht="15" hidden="false" customHeight="false" outlineLevel="0" collapsed="false">
      <c r="A135" s="7" t="s">
        <v>463</v>
      </c>
      <c r="B135" s="15" t="n">
        <v>1</v>
      </c>
      <c r="C135" s="23" t="n">
        <v>0.0027327777777777</v>
      </c>
      <c r="D135" s="24" t="n">
        <v>0.163966666666667</v>
      </c>
      <c r="E135" s="25" t="n">
        <v>1</v>
      </c>
      <c r="F135" s="17" t="n">
        <f aca="false">C135/SUM($C$5:$C$136)</f>
        <v>8.68255116526567E-007</v>
      </c>
      <c r="G135" s="17" t="n">
        <f aca="false">SUM($C$5:C135)/SUM($C$5:$C$136)</f>
        <v>0.999999587847998</v>
      </c>
      <c r="H135" s="7" t="str">
        <f aca="false">IF(G135-F135&lt;0.8,"A",IF(G135-F135&lt;0.95,"B","C"))</f>
        <v>C</v>
      </c>
      <c r="I135" s="7" t="n">
        <f aca="false">RANK(C135,$C$5:$C$136)</f>
        <v>131</v>
      </c>
    </row>
    <row r="136" customFormat="false" ht="15" hidden="false" customHeight="false" outlineLevel="0" collapsed="false">
      <c r="A136" s="7" t="s">
        <v>464</v>
      </c>
      <c r="B136" s="15" t="n">
        <v>1</v>
      </c>
      <c r="C136" s="23" t="n">
        <v>0.0012972222222222</v>
      </c>
      <c r="D136" s="24" t="n">
        <v>0.0778333333333333</v>
      </c>
      <c r="E136" s="25" t="n">
        <v>1</v>
      </c>
      <c r="F136" s="17" t="n">
        <f aca="false">C136/SUM($C$5:$C$136)</f>
        <v>4.12152001847847E-007</v>
      </c>
      <c r="G136" s="17" t="n">
        <f aca="false">SUM($C$5:C136)/SUM($C$5:$C$136)</f>
        <v>1</v>
      </c>
      <c r="H136" s="7" t="str">
        <f aca="false">IF(G136-F136&lt;0.8,"A",IF(G136-F136&lt;0.95,"B","C"))</f>
        <v>C</v>
      </c>
      <c r="I136" s="7" t="n">
        <f aca="false">RANK(C136,$C$5:$C$136)</f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7.35" hidden="false" customHeight="false" outlineLevel="0" collapsed="false">
      <c r="A1" s="1" t="s">
        <v>465</v>
      </c>
    </row>
    <row r="2" customFormat="false" ht="15" hidden="false" customHeight="false" outlineLevel="0" collapsed="false">
      <c r="A2" s="2" t="s">
        <v>466</v>
      </c>
    </row>
    <row r="4" customFormat="false" ht="23.85" hidden="false" customHeight="false" outlineLevel="0" collapsed="false">
      <c r="A4" s="3" t="s">
        <v>245</v>
      </c>
      <c r="B4" s="3" t="s">
        <v>467</v>
      </c>
      <c r="C4" s="3" t="s">
        <v>323</v>
      </c>
      <c r="D4" s="3" t="s">
        <v>249</v>
      </c>
      <c r="E4" s="3" t="s">
        <v>468</v>
      </c>
      <c r="F4" s="3" t="s">
        <v>469</v>
      </c>
      <c r="G4" s="3" t="s">
        <v>470</v>
      </c>
      <c r="H4" s="3" t="s">
        <v>471</v>
      </c>
    </row>
    <row r="5" customFormat="false" ht="15" hidden="false" customHeight="false" outlineLevel="0" collapsed="false">
      <c r="A5" s="7" t="s">
        <v>258</v>
      </c>
      <c r="B5" s="15" t="n">
        <v>32576</v>
      </c>
      <c r="C5" s="15" t="n">
        <v>1393.35963944444</v>
      </c>
      <c r="D5" s="16" t="n">
        <f aca="false">M2_OEE!E5</f>
        <v>9245.54376805556</v>
      </c>
      <c r="E5" s="21" t="n">
        <f aca="false">D5/B5*60</f>
        <v>17.0288748183734</v>
      </c>
      <c r="F5" s="26" t="n">
        <f aca="false">C5/B5*60</f>
        <v>2.56635493512606</v>
      </c>
      <c r="G5" s="17" t="n">
        <f aca="false">E5/(E5+F5)</f>
        <v>0.869031648650726</v>
      </c>
      <c r="H5" s="26" t="n">
        <f aca="false">B5/D5</f>
        <v>3.52342715769233</v>
      </c>
    </row>
    <row r="6" customFormat="false" ht="15" hidden="false" customHeight="false" outlineLevel="0" collapsed="false">
      <c r="A6" s="7" t="s">
        <v>259</v>
      </c>
      <c r="B6" s="15" t="n">
        <v>17361</v>
      </c>
      <c r="C6" s="15" t="n">
        <v>573.788718888889</v>
      </c>
      <c r="D6" s="16" t="n">
        <f aca="false">M2_OEE!E6</f>
        <v>1719.76141416667</v>
      </c>
      <c r="E6" s="21" t="n">
        <f aca="false">D6/B6*60</f>
        <v>5.94353348597431</v>
      </c>
      <c r="F6" s="26" t="n">
        <f aca="false">C6/B6*60</f>
        <v>1.98302650384962</v>
      </c>
      <c r="G6" s="17" t="n">
        <f aca="false">E6/(E6+F6)</f>
        <v>0.749825080943635</v>
      </c>
      <c r="H6" s="26" t="n">
        <f aca="false">B6/D6</f>
        <v>10.0950049564942</v>
      </c>
    </row>
    <row r="7" customFormat="false" ht="15" hidden="false" customHeight="false" outlineLevel="0" collapsed="false">
      <c r="A7" s="7" t="s">
        <v>260</v>
      </c>
      <c r="B7" s="15" t="n">
        <v>7777</v>
      </c>
      <c r="C7" s="15" t="n">
        <v>466.296932222222</v>
      </c>
      <c r="D7" s="16" t="n">
        <f aca="false">M2_OEE!E7</f>
        <v>3326.63257027778</v>
      </c>
      <c r="E7" s="21" t="n">
        <f aca="false">D7/B7*60</f>
        <v>25.6651606296344</v>
      </c>
      <c r="F7" s="26" t="n">
        <f aca="false">C7/B7*60</f>
        <v>3.59750751360851</v>
      </c>
      <c r="G7" s="17" t="n">
        <f aca="false">E7/(E7+F7)</f>
        <v>0.87706153464891</v>
      </c>
      <c r="H7" s="26" t="n">
        <f aca="false">B7/D7</f>
        <v>2.33779951218075</v>
      </c>
    </row>
    <row r="8" customFormat="false" ht="15" hidden="false" customHeight="false" outlineLevel="0" collapsed="false">
      <c r="A8" s="7" t="s">
        <v>261</v>
      </c>
      <c r="B8" s="15" t="n">
        <v>18250</v>
      </c>
      <c r="C8" s="15" t="n">
        <v>358.383579444444</v>
      </c>
      <c r="D8" s="16" t="n">
        <f aca="false">M2_OEE!E8</f>
        <v>4238.22055027778</v>
      </c>
      <c r="E8" s="21" t="n">
        <f aca="false">D8/B8*60</f>
        <v>13.9338757817352</v>
      </c>
      <c r="F8" s="26" t="n">
        <f aca="false">C8/B8*60</f>
        <v>1.17824738447489</v>
      </c>
      <c r="G8" s="17" t="n">
        <f aca="false">E8/(E8+F8)</f>
        <v>0.922032968397889</v>
      </c>
      <c r="H8" s="26" t="n">
        <f aca="false">B8/D8</f>
        <v>4.30605245373648</v>
      </c>
    </row>
    <row r="9" customFormat="false" ht="15" hidden="false" customHeight="false" outlineLevel="0" collapsed="false">
      <c r="A9" s="7" t="s">
        <v>262</v>
      </c>
      <c r="B9" s="15" t="n">
        <v>16041</v>
      </c>
      <c r="C9" s="15" t="n">
        <v>355.6075525</v>
      </c>
      <c r="D9" s="16" t="n">
        <f aca="false">M2_OEE!E9</f>
        <v>5652.79555583333</v>
      </c>
      <c r="E9" s="21" t="n">
        <f aca="false">D9/B9*60</f>
        <v>21.1438023408765</v>
      </c>
      <c r="F9" s="26" t="n">
        <f aca="false">C9/B9*60</f>
        <v>1.33011988965775</v>
      </c>
      <c r="G9" s="17" t="n">
        <f aca="false">E9/(E9+F9)</f>
        <v>0.940814964294458</v>
      </c>
      <c r="H9" s="26" t="n">
        <f aca="false">B9/D9</f>
        <v>2.83771097708402</v>
      </c>
    </row>
    <row r="10" customFormat="false" ht="15" hidden="false" customHeight="false" outlineLevel="0" collapsed="false">
      <c r="A10" s="5" t="s">
        <v>263</v>
      </c>
      <c r="B10" s="20" t="n">
        <f aca="false">SUM(B5:B9)</f>
        <v>92005</v>
      </c>
      <c r="C10" s="20" t="n">
        <f aca="false">SUM(C5:C9)</f>
        <v>3147.4364225</v>
      </c>
      <c r="D10" s="20" t="n">
        <f aca="false">SUM(D5:D9)</f>
        <v>24182.9538586111</v>
      </c>
      <c r="E10" s="21" t="n">
        <f aca="false">D10/B10*60</f>
        <v>15.7706345472166</v>
      </c>
      <c r="F10" s="26" t="n">
        <f aca="false">C10/B10*60</f>
        <v>2.05256437530569</v>
      </c>
      <c r="G10" s="17" t="n">
        <f aca="false">E10/(E10+F10)</f>
        <v>0.884837487129655</v>
      </c>
      <c r="H10" s="26" t="n">
        <f aca="false">B10/D10</f>
        <v>3.8045393684295</v>
      </c>
    </row>
    <row r="12" customFormat="false" ht="30" hidden="false" customHeight="true" outlineLevel="0" collapsed="false">
      <c r="A12" s="4" t="s">
        <v>472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</sheetData>
  <mergeCells count="1">
    <mergeCell ref="A12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473</v>
      </c>
    </row>
    <row r="2" customFormat="false" ht="15" hidden="false" customHeight="false" outlineLevel="0" collapsed="false">
      <c r="A2" s="2" t="s">
        <v>474</v>
      </c>
    </row>
    <row r="4" customFormat="false" ht="15" hidden="false" customHeight="false" outlineLevel="0" collapsed="false">
      <c r="A4" s="3" t="s">
        <v>475</v>
      </c>
      <c r="B4" s="3" t="s">
        <v>476</v>
      </c>
      <c r="C4" s="3" t="s">
        <v>477</v>
      </c>
      <c r="D4" s="3" t="s">
        <v>478</v>
      </c>
      <c r="E4" s="3" t="s">
        <v>479</v>
      </c>
      <c r="F4" s="3" t="s">
        <v>480</v>
      </c>
    </row>
    <row r="5" customFormat="false" ht="15" hidden="false" customHeight="false" outlineLevel="0" collapsed="false">
      <c r="A5" s="7" t="s">
        <v>481</v>
      </c>
      <c r="B5" s="16" t="n">
        <f aca="false">M2_OEE!J5</f>
        <v>31286632</v>
      </c>
      <c r="C5" s="16" t="n">
        <f aca="false">M2_OEE!J5-M2_OEE!K5</f>
        <v>138581</v>
      </c>
      <c r="D5" s="20" t="n">
        <f aca="false">C5/B5*1000000</f>
        <v>4429.39975130593</v>
      </c>
      <c r="E5" s="27" t="n">
        <f aca="false">1-C5/B5</f>
        <v>0.995570600248694</v>
      </c>
      <c r="F5" s="26" t="n">
        <f aca="false">NORMSINV(E5)+1.5</f>
        <v>4.11745566681462</v>
      </c>
    </row>
    <row r="6" customFormat="false" ht="15" hidden="false" customHeight="false" outlineLevel="0" collapsed="false">
      <c r="A6" s="7" t="s">
        <v>482</v>
      </c>
      <c r="B6" s="16" t="n">
        <f aca="false">M2_OEE!J6</f>
        <v>8337448</v>
      </c>
      <c r="C6" s="16" t="n">
        <f aca="false">M2_OEE!J6-M2_OEE!K6</f>
        <v>44585</v>
      </c>
      <c r="D6" s="20" t="n">
        <f aca="false">C6/B6*1000000</f>
        <v>5347.55958897735</v>
      </c>
      <c r="E6" s="27" t="n">
        <f aca="false">1-C6/B6</f>
        <v>0.994652440411023</v>
      </c>
      <c r="F6" s="26" t="n">
        <f aca="false">NORMSINV(E6)+1.5</f>
        <v>4.05250559494551</v>
      </c>
    </row>
    <row r="7" customFormat="false" ht="15" hidden="false" customHeight="false" outlineLevel="0" collapsed="false">
      <c r="A7" s="7" t="s">
        <v>483</v>
      </c>
      <c r="B7" s="16" t="n">
        <f aca="false">M2_OEE!J7</f>
        <v>11927022</v>
      </c>
      <c r="C7" s="16" t="n">
        <f aca="false">M2_OEE!J7-M2_OEE!K7</f>
        <v>28508</v>
      </c>
      <c r="D7" s="20" t="n">
        <f aca="false">C7/B7*1000000</f>
        <v>2390.20268429118</v>
      </c>
      <c r="E7" s="27" t="n">
        <f aca="false">1-C7/B7</f>
        <v>0.997609797315709</v>
      </c>
      <c r="F7" s="26" t="n">
        <f aca="false">NORMSINV(E7)+1.5</f>
        <v>4.3214703675698</v>
      </c>
    </row>
    <row r="8" customFormat="false" ht="15" hidden="false" customHeight="false" outlineLevel="0" collapsed="false">
      <c r="A8" s="7" t="s">
        <v>484</v>
      </c>
      <c r="B8" s="16" t="n">
        <f aca="false">M2_OEE!J8</f>
        <v>15357768</v>
      </c>
      <c r="C8" s="16" t="n">
        <f aca="false">M2_OEE!J8-M2_OEE!K8</f>
        <v>106885</v>
      </c>
      <c r="D8" s="20" t="n">
        <f aca="false">C8/B8*1000000</f>
        <v>6959.67018123988</v>
      </c>
      <c r="E8" s="27" t="n">
        <f aca="false">1-C8/B8</f>
        <v>0.99304032981876</v>
      </c>
      <c r="F8" s="26" t="n">
        <f aca="false">NORMSINV(E8)+1.5</f>
        <v>3.95933825279382</v>
      </c>
    </row>
    <row r="9" customFormat="false" ht="15" hidden="false" customHeight="false" outlineLevel="0" collapsed="false">
      <c r="A9" s="7" t="s">
        <v>485</v>
      </c>
      <c r="B9" s="16" t="n">
        <f aca="false">M2_OEE!J9</f>
        <v>28647997</v>
      </c>
      <c r="C9" s="16" t="n">
        <f aca="false">M2_OEE!J9-M2_OEE!K9</f>
        <v>72113</v>
      </c>
      <c r="D9" s="20" t="n">
        <f aca="false">C9/B9*1000000</f>
        <v>2517.20914380157</v>
      </c>
      <c r="E9" s="27" t="n">
        <f aca="false">1-C9/B9</f>
        <v>0.997482790856198</v>
      </c>
      <c r="F9" s="26" t="n">
        <f aca="false">NORMSINV(E9)+1.5</f>
        <v>4.30482322117499</v>
      </c>
    </row>
    <row r="10" customFormat="false" ht="15" hidden="false" customHeight="false" outlineLevel="0" collapsed="false">
      <c r="A10" s="7" t="s">
        <v>486</v>
      </c>
      <c r="B10" s="16" t="n">
        <f aca="false">M2_OEE!J10</f>
        <v>95556867</v>
      </c>
      <c r="C10" s="16" t="n">
        <f aca="false">M2_OEE!J10-M2_OEE!K10</f>
        <v>390672</v>
      </c>
      <c r="D10" s="20" t="n">
        <f aca="false">C10/B10*1000000</f>
        <v>4088.3717964508</v>
      </c>
      <c r="E10" s="27" t="n">
        <f aca="false">1-C10/B10</f>
        <v>0.995911628203549</v>
      </c>
      <c r="F10" s="26" t="n">
        <f aca="false">NORMSINV(E10)+1.5</f>
        <v>4.14468317884603</v>
      </c>
    </row>
    <row r="11" customFormat="false" ht="15" hidden="false" customHeight="false" outlineLevel="0" collapsed="false">
      <c r="A11" s="7" t="s">
        <v>487</v>
      </c>
      <c r="B11" s="16" t="n">
        <f aca="false">COUNT(C1_XbarR_s1!F16:F2000)</f>
        <v>479</v>
      </c>
      <c r="C11" s="16" t="n">
        <f aca="false">COUNTIF(C1_XbarR_s1!F16:F2000,"&lt;"&amp;Inputs!B5)</f>
        <v>221</v>
      </c>
      <c r="D11" s="20" t="n">
        <f aca="false">C11/B11*1000000</f>
        <v>461377.870563674</v>
      </c>
      <c r="E11" s="17" t="n">
        <f aca="false">1-C11/B11</f>
        <v>0.538622129436326</v>
      </c>
      <c r="F11" s="26" t="n">
        <f aca="false">NORMSINV(E11)+1.5</f>
        <v>1.59696304601917</v>
      </c>
    </row>
    <row r="13" customFormat="false" ht="30" hidden="false" customHeight="true" outlineLevel="0" collapsed="false">
      <c r="A13" s="4" t="s">
        <v>488</v>
      </c>
      <c r="B13" s="4"/>
      <c r="C13" s="4"/>
      <c r="D13" s="4"/>
      <c r="E13" s="4"/>
      <c r="F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</row>
  </sheetData>
  <mergeCells count="1">
    <mergeCell ref="A13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40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489</v>
      </c>
    </row>
    <row r="2" customFormat="false" ht="15" hidden="false" customHeight="false" outlineLevel="0" collapsed="false">
      <c r="A2" s="2" t="s">
        <v>490</v>
      </c>
    </row>
    <row r="4" customFormat="false" ht="15" hidden="false" customHeight="false" outlineLevel="0" collapsed="false">
      <c r="A4" s="3" t="s">
        <v>491</v>
      </c>
      <c r="B4" s="3" t="s">
        <v>492</v>
      </c>
      <c r="C4" s="3" t="s">
        <v>493</v>
      </c>
      <c r="D4" s="3" t="s">
        <v>494</v>
      </c>
    </row>
    <row r="5" customFormat="false" ht="15" hidden="false" customHeight="false" outlineLevel="0" collapsed="false">
      <c r="A5" s="4" t="s">
        <v>245</v>
      </c>
      <c r="B5" s="4" t="s">
        <v>495</v>
      </c>
      <c r="C5" s="4" t="s">
        <v>496</v>
      </c>
      <c r="D5" s="4" t="s">
        <v>497</v>
      </c>
    </row>
    <row r="6" customFormat="false" ht="15" hidden="false" customHeight="false" outlineLevel="0" collapsed="false">
      <c r="A6" s="4" t="s">
        <v>245</v>
      </c>
      <c r="B6" s="4" t="s">
        <v>498</v>
      </c>
      <c r="C6" s="4" t="s">
        <v>499</v>
      </c>
      <c r="D6" s="4" t="s">
        <v>497</v>
      </c>
    </row>
    <row r="7" customFormat="false" ht="15" hidden="false" customHeight="false" outlineLevel="0" collapsed="false">
      <c r="A7" s="4" t="s">
        <v>245</v>
      </c>
      <c r="B7" s="4" t="s">
        <v>500</v>
      </c>
      <c r="C7" s="4" t="s">
        <v>501</v>
      </c>
      <c r="D7" s="4" t="s">
        <v>497</v>
      </c>
    </row>
    <row r="8" customFormat="false" ht="23.85" hidden="false" customHeight="false" outlineLevel="0" collapsed="false">
      <c r="A8" s="4" t="s">
        <v>245</v>
      </c>
      <c r="B8" s="4" t="s">
        <v>502</v>
      </c>
      <c r="C8" s="4" t="s">
        <v>503</v>
      </c>
      <c r="D8" s="4" t="s">
        <v>497</v>
      </c>
    </row>
    <row r="9" customFormat="false" ht="15" hidden="false" customHeight="false" outlineLevel="0" collapsed="false">
      <c r="A9" s="4" t="s">
        <v>504</v>
      </c>
      <c r="B9" s="4" t="s">
        <v>505</v>
      </c>
      <c r="C9" s="4" t="s">
        <v>506</v>
      </c>
      <c r="D9" s="4" t="s">
        <v>497</v>
      </c>
    </row>
    <row r="10" customFormat="false" ht="15" hidden="false" customHeight="false" outlineLevel="0" collapsed="false">
      <c r="A10" s="4" t="s">
        <v>504</v>
      </c>
      <c r="B10" s="4" t="s">
        <v>507</v>
      </c>
      <c r="C10" s="4" t="s">
        <v>508</v>
      </c>
      <c r="D10" s="4" t="s">
        <v>497</v>
      </c>
    </row>
    <row r="11" customFormat="false" ht="15" hidden="false" customHeight="false" outlineLevel="0" collapsed="false">
      <c r="A11" s="4" t="s">
        <v>509</v>
      </c>
      <c r="B11" s="4" t="s">
        <v>510</v>
      </c>
      <c r="C11" s="4" t="s">
        <v>511</v>
      </c>
      <c r="D11" s="4" t="s">
        <v>497</v>
      </c>
    </row>
    <row r="12" customFormat="false" ht="15" hidden="false" customHeight="false" outlineLevel="0" collapsed="false">
      <c r="A12" s="4" t="s">
        <v>509</v>
      </c>
      <c r="B12" s="4" t="s">
        <v>512</v>
      </c>
      <c r="C12" s="4" t="s">
        <v>513</v>
      </c>
      <c r="D12" s="4" t="s">
        <v>497</v>
      </c>
    </row>
    <row r="13" customFormat="false" ht="23.85" hidden="false" customHeight="false" outlineLevel="0" collapsed="false">
      <c r="A13" s="4" t="s">
        <v>514</v>
      </c>
      <c r="B13" s="4" t="s">
        <v>515</v>
      </c>
      <c r="C13" s="4" t="s">
        <v>516</v>
      </c>
      <c r="D13" s="4" t="s">
        <v>497</v>
      </c>
    </row>
    <row r="14" customFormat="false" ht="15" hidden="false" customHeight="false" outlineLevel="0" collapsed="false">
      <c r="A14" s="4" t="s">
        <v>514</v>
      </c>
      <c r="B14" s="4" t="s">
        <v>517</v>
      </c>
      <c r="C14" s="4" t="s">
        <v>518</v>
      </c>
      <c r="D14" s="4" t="s">
        <v>519</v>
      </c>
    </row>
    <row r="15" customFormat="false" ht="15" hidden="false" customHeight="false" outlineLevel="0" collapsed="false">
      <c r="A15" s="4" t="s">
        <v>520</v>
      </c>
      <c r="B15" s="4" t="s">
        <v>521</v>
      </c>
      <c r="C15" s="4" t="s">
        <v>522</v>
      </c>
      <c r="D15" s="4" t="s">
        <v>519</v>
      </c>
    </row>
    <row r="16" customFormat="false" ht="15" hidden="false" customHeight="false" outlineLevel="0" collapsed="false">
      <c r="A16" s="4" t="s">
        <v>520</v>
      </c>
      <c r="B16" s="4" t="s">
        <v>523</v>
      </c>
      <c r="C16" s="4" t="s">
        <v>524</v>
      </c>
      <c r="D16" s="4" t="s">
        <v>519</v>
      </c>
    </row>
    <row r="17" customFormat="false" ht="23.85" hidden="false" customHeight="false" outlineLevel="0" collapsed="false">
      <c r="A17" s="4" t="s">
        <v>525</v>
      </c>
      <c r="B17" s="4" t="s">
        <v>526</v>
      </c>
      <c r="C17" s="4" t="s">
        <v>527</v>
      </c>
      <c r="D17" s="4" t="s">
        <v>497</v>
      </c>
    </row>
    <row r="19" customFormat="false" ht="15" hidden="false" customHeight="false" outlineLevel="0" collapsed="false">
      <c r="A19" s="5" t="s">
        <v>528</v>
      </c>
    </row>
    <row r="20" customFormat="false" ht="15" hidden="false" customHeight="false" outlineLevel="0" collapsed="false">
      <c r="A20" s="3" t="s">
        <v>529</v>
      </c>
      <c r="B20" s="3" t="s">
        <v>530</v>
      </c>
      <c r="C20" s="3" t="s">
        <v>531</v>
      </c>
    </row>
    <row r="21" customFormat="false" ht="15" hidden="false" customHeight="false" outlineLevel="0" collapsed="false">
      <c r="A21" s="4" t="s">
        <v>532</v>
      </c>
      <c r="B21" s="4" t="s">
        <v>533</v>
      </c>
      <c r="C21" s="4" t="s">
        <v>534</v>
      </c>
    </row>
    <row r="22" customFormat="false" ht="15" hidden="false" customHeight="false" outlineLevel="0" collapsed="false">
      <c r="A22" s="4" t="s">
        <v>535</v>
      </c>
      <c r="B22" s="4" t="s">
        <v>536</v>
      </c>
      <c r="C22" s="4" t="s">
        <v>537</v>
      </c>
    </row>
    <row r="23" customFormat="false" ht="15" hidden="false" customHeight="false" outlineLevel="0" collapsed="false">
      <c r="A23" s="4" t="s">
        <v>538</v>
      </c>
      <c r="B23" s="4" t="s">
        <v>539</v>
      </c>
      <c r="C23" s="4" t="s">
        <v>540</v>
      </c>
    </row>
    <row r="24" customFormat="false" ht="15" hidden="false" customHeight="false" outlineLevel="0" collapsed="false">
      <c r="A24" s="4" t="s">
        <v>541</v>
      </c>
      <c r="B24" s="4" t="s">
        <v>542</v>
      </c>
      <c r="C24" s="4" t="s">
        <v>543</v>
      </c>
    </row>
    <row r="25" customFormat="false" ht="15" hidden="false" customHeight="false" outlineLevel="0" collapsed="false">
      <c r="A25" s="4" t="s">
        <v>544</v>
      </c>
      <c r="B25" s="4" t="s">
        <v>545</v>
      </c>
      <c r="C25" s="4" t="s">
        <v>546</v>
      </c>
    </row>
    <row r="27" customFormat="false" ht="15" hidden="false" customHeight="false" outlineLevel="0" collapsed="false">
      <c r="A27" s="5" t="s">
        <v>547</v>
      </c>
    </row>
    <row r="28" customFormat="false" ht="15" hidden="false" customHeight="false" outlineLevel="0" collapsed="false">
      <c r="A28" s="3" t="s">
        <v>529</v>
      </c>
      <c r="B28" s="3" t="s">
        <v>530</v>
      </c>
      <c r="C28" s="3" t="s">
        <v>531</v>
      </c>
    </row>
    <row r="29" customFormat="false" ht="15" hidden="false" customHeight="false" outlineLevel="0" collapsed="false">
      <c r="A29" s="4" t="s">
        <v>548</v>
      </c>
      <c r="B29" s="4" t="s">
        <v>549</v>
      </c>
      <c r="C29" s="4" t="s">
        <v>550</v>
      </c>
    </row>
    <row r="30" customFormat="false" ht="15" hidden="false" customHeight="false" outlineLevel="0" collapsed="false">
      <c r="A30" s="4" t="s">
        <v>551</v>
      </c>
      <c r="B30" s="4" t="s">
        <v>552</v>
      </c>
      <c r="C30" s="4" t="s">
        <v>553</v>
      </c>
    </row>
    <row r="31" customFormat="false" ht="15" hidden="false" customHeight="false" outlineLevel="0" collapsed="false">
      <c r="A31" s="4" t="s">
        <v>554</v>
      </c>
      <c r="B31" s="4" t="s">
        <v>555</v>
      </c>
      <c r="C31" s="4" t="s">
        <v>556</v>
      </c>
    </row>
    <row r="32" customFormat="false" ht="15" hidden="false" customHeight="false" outlineLevel="0" collapsed="false">
      <c r="A32" s="4" t="s">
        <v>557</v>
      </c>
      <c r="B32" s="4" t="s">
        <v>558</v>
      </c>
      <c r="C32" s="4" t="s">
        <v>519</v>
      </c>
    </row>
    <row r="33" customFormat="false" ht="23.85" hidden="false" customHeight="false" outlineLevel="0" collapsed="false">
      <c r="A33" s="4" t="s">
        <v>559</v>
      </c>
      <c r="B33" s="4" t="s">
        <v>560</v>
      </c>
      <c r="C33" s="4" t="s">
        <v>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U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562</v>
      </c>
    </row>
    <row r="2" customFormat="false" ht="15" hidden="false" customHeight="false" outlineLevel="0" collapsed="false">
      <c r="A2" s="2" t="s">
        <v>563</v>
      </c>
    </row>
    <row r="4" customFormat="false" ht="35.05" hidden="false" customHeight="false" outlineLevel="0" collapsed="false">
      <c r="A4" s="3" t="s">
        <v>564</v>
      </c>
      <c r="B4" s="3" t="s">
        <v>325</v>
      </c>
      <c r="C4" s="3" t="s">
        <v>565</v>
      </c>
      <c r="D4" s="3" t="s">
        <v>322</v>
      </c>
      <c r="E4" s="3" t="s">
        <v>323</v>
      </c>
      <c r="F4" s="3" t="s">
        <v>324</v>
      </c>
      <c r="G4" s="3" t="s">
        <v>566</v>
      </c>
      <c r="H4" s="3" t="s">
        <v>567</v>
      </c>
      <c r="I4" s="3" t="s">
        <v>568</v>
      </c>
      <c r="J4" s="3" t="s">
        <v>569</v>
      </c>
      <c r="K4" s="3" t="s">
        <v>570</v>
      </c>
      <c r="L4" s="3" t="s">
        <v>571</v>
      </c>
      <c r="M4" s="3" t="s">
        <v>572</v>
      </c>
      <c r="N4" s="3" t="s">
        <v>573</v>
      </c>
      <c r="Q4" s="3" t="s">
        <v>574</v>
      </c>
      <c r="R4" s="3" t="s">
        <v>568</v>
      </c>
      <c r="T4" s="3" t="s">
        <v>575</v>
      </c>
      <c r="U4" s="3" t="s">
        <v>569</v>
      </c>
    </row>
    <row r="5" customFormat="false" ht="15" hidden="false" customHeight="false" outlineLevel="0" collapsed="false">
      <c r="A5" s="7" t="s">
        <v>331</v>
      </c>
      <c r="B5" s="7" t="s">
        <v>258</v>
      </c>
      <c r="C5" s="7" t="s">
        <v>576</v>
      </c>
      <c r="D5" s="15" t="n">
        <v>18864</v>
      </c>
      <c r="E5" s="15" t="n">
        <v>857.929073611111</v>
      </c>
      <c r="F5" s="24" t="n">
        <v>2.72878204074781</v>
      </c>
      <c r="G5" s="15" t="n">
        <v>2040.33429220003</v>
      </c>
      <c r="H5" s="28" t="n">
        <v>0.805502544529262</v>
      </c>
      <c r="I5" s="7" t="n">
        <f aca="false">LOOKUP(F5,$Q$5:$Q$14,$R$5:$R$14)</f>
        <v>4</v>
      </c>
      <c r="J5" s="7" t="n">
        <f aca="false">LOOKUP(G5,$T$5:$T$14,$U$5:$U$14)</f>
        <v>8</v>
      </c>
      <c r="K5" s="7" t="n">
        <f aca="false">MAX(2,MIN(10,ROUND(10-8*H5,0)))</f>
        <v>4</v>
      </c>
      <c r="L5" s="5" t="n">
        <f aca="false">I5*J5*K5</f>
        <v>128</v>
      </c>
      <c r="M5" s="7" t="str">
        <f aca="false">IF(L5&gt;=200,"High",IF(L5&gt;=120,"Medium","Low"))</f>
        <v>Medium</v>
      </c>
      <c r="N5" s="7" t="str">
        <f aca="false">IF(I5&gt;=6,"Poka-Yoke + standard repair kit (long stops)",IF(J5&gt;=8,"Kaizen blitz: high-frequency micro-stop","5S / visual control + monitor"))</f>
        <v>Kaizen blitz: high-frequency micro-stop</v>
      </c>
      <c r="Q5" s="25" t="n">
        <v>0</v>
      </c>
      <c r="R5" s="25" t="n">
        <v>1</v>
      </c>
      <c r="T5" s="25" t="n">
        <v>0</v>
      </c>
      <c r="U5" s="25" t="n">
        <v>1</v>
      </c>
    </row>
    <row r="6" customFormat="false" ht="15" hidden="false" customHeight="false" outlineLevel="0" collapsed="false">
      <c r="A6" s="7" t="s">
        <v>333</v>
      </c>
      <c r="B6" s="7" t="s">
        <v>577</v>
      </c>
      <c r="C6" s="7" t="s">
        <v>576</v>
      </c>
      <c r="D6" s="15" t="n">
        <v>18399</v>
      </c>
      <c r="E6" s="15" t="n">
        <v>515.188519166667</v>
      </c>
      <c r="F6" s="24" t="n">
        <v>1.68005386977553</v>
      </c>
      <c r="G6" s="15" t="n">
        <v>1719.66296425872</v>
      </c>
      <c r="H6" s="28" t="n">
        <v>0.702538181422903</v>
      </c>
      <c r="I6" s="7" t="n">
        <f aca="false">LOOKUP(F6,$Q$5:$Q$14,$R$5:$R$14)</f>
        <v>3</v>
      </c>
      <c r="J6" s="7" t="n">
        <f aca="false">LOOKUP(G6,$T$5:$T$14,$U$5:$U$14)</f>
        <v>8</v>
      </c>
      <c r="K6" s="7" t="n">
        <f aca="false">MAX(2,MIN(10,ROUND(10-8*H6,0)))</f>
        <v>4</v>
      </c>
      <c r="L6" s="5" t="n">
        <f aca="false">I6*J6*K6</f>
        <v>96</v>
      </c>
      <c r="M6" s="7" t="str">
        <f aca="false">IF(L6&gt;=200,"High",IF(L6&gt;=120,"Medium","Low"))</f>
        <v>Low</v>
      </c>
      <c r="N6" s="7" t="str">
        <f aca="false">IF(I6&gt;=6,"Poka-Yoke + standard repair kit (long stops)",IF(J6&gt;=8,"Kaizen blitz: high-frequency micro-stop","5S / visual control + monitor"))</f>
        <v>Kaizen blitz: high-frequency micro-stop</v>
      </c>
      <c r="Q6" s="25" t="n">
        <v>0.5</v>
      </c>
      <c r="R6" s="25" t="n">
        <v>2</v>
      </c>
      <c r="T6" s="25" t="n">
        <v>1</v>
      </c>
      <c r="U6" s="25" t="n">
        <v>2</v>
      </c>
    </row>
    <row r="7" customFormat="false" ht="15" hidden="false" customHeight="false" outlineLevel="0" collapsed="false">
      <c r="A7" s="7" t="s">
        <v>335</v>
      </c>
      <c r="B7" s="7" t="s">
        <v>578</v>
      </c>
      <c r="C7" s="7" t="s">
        <v>576</v>
      </c>
      <c r="D7" s="15" t="n">
        <v>3922</v>
      </c>
      <c r="E7" s="15" t="n">
        <v>411.227759444445</v>
      </c>
      <c r="F7" s="24" t="n">
        <v>6.29109269930308</v>
      </c>
      <c r="G7" s="15" t="n">
        <v>211.654964621218</v>
      </c>
      <c r="H7" s="28" t="n">
        <v>0.276389597144314</v>
      </c>
      <c r="I7" s="7" t="n">
        <f aca="false">LOOKUP(F7,$Q$5:$Q$14,$R$5:$R$14)</f>
        <v>6</v>
      </c>
      <c r="J7" s="7" t="n">
        <f aca="false">LOOKUP(G7,$T$5:$T$14,$U$5:$U$14)</f>
        <v>6</v>
      </c>
      <c r="K7" s="7" t="n">
        <f aca="false">MAX(2,MIN(10,ROUND(10-8*H7,0)))</f>
        <v>8</v>
      </c>
      <c r="L7" s="5" t="n">
        <f aca="false">I7*J7*K7</f>
        <v>288</v>
      </c>
      <c r="M7" s="7" t="str">
        <f aca="false">IF(L7&gt;=200,"High",IF(L7&gt;=120,"Medium","Low"))</f>
        <v>High</v>
      </c>
      <c r="N7" s="7" t="str">
        <f aca="false">IF(I7&gt;=6,"Poka-Yoke + standard repair kit (long stops)",IF(J7&gt;=8,"Kaizen blitz: high-frequency micro-stop","5S / visual control + monitor"))</f>
        <v>Poka-Yoke + standard repair kit (long stops)</v>
      </c>
      <c r="Q7" s="25" t="n">
        <v>1</v>
      </c>
      <c r="R7" s="25" t="n">
        <v>3</v>
      </c>
      <c r="T7" s="25" t="n">
        <v>3</v>
      </c>
      <c r="U7" s="25" t="n">
        <v>3</v>
      </c>
    </row>
    <row r="8" customFormat="false" ht="15" hidden="false" customHeight="false" outlineLevel="0" collapsed="false">
      <c r="A8" s="7" t="s">
        <v>336</v>
      </c>
      <c r="B8" s="7" t="s">
        <v>578</v>
      </c>
      <c r="C8" s="7" t="s">
        <v>576</v>
      </c>
      <c r="D8" s="15" t="n">
        <v>4401</v>
      </c>
      <c r="E8" s="15" t="n">
        <v>387.568953333333</v>
      </c>
      <c r="F8" s="24" t="n">
        <v>5.28383031129289</v>
      </c>
      <c r="G8" s="15" t="n">
        <v>237.504716802137</v>
      </c>
      <c r="H8" s="28" t="n">
        <v>0.149284253578732</v>
      </c>
      <c r="I8" s="7" t="n">
        <f aca="false">LOOKUP(F8,$Q$5:$Q$14,$R$5:$R$14)</f>
        <v>6</v>
      </c>
      <c r="J8" s="7" t="n">
        <f aca="false">LOOKUP(G8,$T$5:$T$14,$U$5:$U$14)</f>
        <v>6</v>
      </c>
      <c r="K8" s="7" t="n">
        <f aca="false">MAX(2,MIN(10,ROUND(10-8*H8,0)))</f>
        <v>9</v>
      </c>
      <c r="L8" s="5" t="n">
        <f aca="false">I8*J8*K8</f>
        <v>324</v>
      </c>
      <c r="M8" s="7" t="str">
        <f aca="false">IF(L8&gt;=200,"High",IF(L8&gt;=120,"Medium","Low"))</f>
        <v>High</v>
      </c>
      <c r="N8" s="7" t="str">
        <f aca="false">IF(I8&gt;=6,"Poka-Yoke + standard repair kit (long stops)",IF(J8&gt;=8,"Kaizen blitz: high-frequency micro-stop","5S / visual control + monitor"))</f>
        <v>Poka-Yoke + standard repair kit (long stops)</v>
      </c>
      <c r="Q8" s="25" t="n">
        <v>2</v>
      </c>
      <c r="R8" s="25" t="n">
        <v>4</v>
      </c>
      <c r="T8" s="25" t="n">
        <v>10</v>
      </c>
      <c r="U8" s="25" t="n">
        <v>4</v>
      </c>
    </row>
    <row r="9" customFormat="false" ht="15" hidden="false" customHeight="false" outlineLevel="0" collapsed="false">
      <c r="A9" s="7" t="s">
        <v>337</v>
      </c>
      <c r="B9" s="7" t="s">
        <v>579</v>
      </c>
      <c r="C9" s="7" t="s">
        <v>576</v>
      </c>
      <c r="D9" s="15" t="n">
        <v>3375</v>
      </c>
      <c r="E9" s="15" t="n">
        <v>153.422508333333</v>
      </c>
      <c r="F9" s="24" t="n">
        <v>2.72751125925926</v>
      </c>
      <c r="G9" s="15" t="n">
        <v>226.535315556166</v>
      </c>
      <c r="H9" s="28" t="n">
        <v>0.671703703703704</v>
      </c>
      <c r="I9" s="7" t="n">
        <f aca="false">LOOKUP(F9,$Q$5:$Q$14,$R$5:$R$14)</f>
        <v>4</v>
      </c>
      <c r="J9" s="7" t="n">
        <f aca="false">LOOKUP(G9,$T$5:$T$14,$U$5:$U$14)</f>
        <v>6</v>
      </c>
      <c r="K9" s="7" t="n">
        <f aca="false">MAX(2,MIN(10,ROUND(10-8*H9,0)))</f>
        <v>5</v>
      </c>
      <c r="L9" s="5" t="n">
        <f aca="false">I9*J9*K9</f>
        <v>120</v>
      </c>
      <c r="M9" s="7" t="str">
        <f aca="false">IF(L9&gt;=200,"High",IF(L9&gt;=120,"Medium","Low"))</f>
        <v>Medium</v>
      </c>
      <c r="N9" s="7" t="str">
        <f aca="false">IF(I9&gt;=6,"Poka-Yoke + standard repair kit (long stops)",IF(J9&gt;=8,"Kaizen blitz: high-frequency micro-stop","5S / visual control + monitor"))</f>
        <v>5S / visual control + monitor</v>
      </c>
      <c r="Q9" s="25" t="n">
        <v>3</v>
      </c>
      <c r="R9" s="25" t="n">
        <v>5</v>
      </c>
      <c r="T9" s="25" t="n">
        <v>30</v>
      </c>
      <c r="U9" s="25" t="n">
        <v>5</v>
      </c>
    </row>
    <row r="10" customFormat="false" ht="15" hidden="false" customHeight="false" outlineLevel="0" collapsed="false">
      <c r="A10" s="7" t="s">
        <v>338</v>
      </c>
      <c r="B10" s="7" t="s">
        <v>580</v>
      </c>
      <c r="C10" s="7" t="s">
        <v>576</v>
      </c>
      <c r="D10" s="15" t="n">
        <v>12225</v>
      </c>
      <c r="E10" s="15" t="n">
        <v>131.560959166667</v>
      </c>
      <c r="F10" s="24" t="n">
        <v>0.645697959100204</v>
      </c>
      <c r="G10" s="15" t="n">
        <v>505.521371436885</v>
      </c>
      <c r="H10" s="28" t="n">
        <v>0.690633946830266</v>
      </c>
      <c r="I10" s="7" t="n">
        <f aca="false">LOOKUP(F10,$Q$5:$Q$14,$R$5:$R$14)</f>
        <v>2</v>
      </c>
      <c r="J10" s="7" t="n">
        <f aca="false">LOOKUP(G10,$T$5:$T$14,$U$5:$U$14)</f>
        <v>7</v>
      </c>
      <c r="K10" s="7" t="n">
        <f aca="false">MAX(2,MIN(10,ROUND(10-8*H10,0)))</f>
        <v>4</v>
      </c>
      <c r="L10" s="5" t="n">
        <f aca="false">I10*J10*K10</f>
        <v>56</v>
      </c>
      <c r="M10" s="7" t="str">
        <f aca="false">IF(L10&gt;=200,"High",IF(L10&gt;=120,"Medium","Low"))</f>
        <v>Low</v>
      </c>
      <c r="N10" s="7" t="str">
        <f aca="false">IF(I10&gt;=6,"Poka-Yoke + standard repair kit (long stops)",IF(J10&gt;=8,"Kaizen blitz: high-frequency micro-stop","5S / visual control + monitor"))</f>
        <v>5S / visual control + monitor</v>
      </c>
      <c r="Q10" s="25" t="n">
        <v>5</v>
      </c>
      <c r="R10" s="25" t="n">
        <v>6</v>
      </c>
      <c r="T10" s="25" t="n">
        <v>100</v>
      </c>
      <c r="U10" s="25" t="n">
        <v>6</v>
      </c>
    </row>
    <row r="11" customFormat="false" ht="15" hidden="false" customHeight="false" outlineLevel="0" collapsed="false">
      <c r="A11" s="7" t="s">
        <v>339</v>
      </c>
      <c r="B11" s="7" t="s">
        <v>580</v>
      </c>
      <c r="C11" s="7" t="s">
        <v>576</v>
      </c>
      <c r="D11" s="15" t="n">
        <v>5098</v>
      </c>
      <c r="E11" s="15" t="n">
        <v>111.136628611111</v>
      </c>
      <c r="F11" s="24" t="n">
        <v>1.30800269059762</v>
      </c>
      <c r="G11" s="15" t="n">
        <v>210.809648391431</v>
      </c>
      <c r="H11" s="28" t="n">
        <v>0.518242448018831</v>
      </c>
      <c r="I11" s="7" t="n">
        <f aca="false">LOOKUP(F11,$Q$5:$Q$14,$R$5:$R$14)</f>
        <v>3</v>
      </c>
      <c r="J11" s="7" t="n">
        <f aca="false">LOOKUP(G11,$T$5:$T$14,$U$5:$U$14)</f>
        <v>6</v>
      </c>
      <c r="K11" s="7" t="n">
        <f aca="false">MAX(2,MIN(10,ROUND(10-8*H11,0)))</f>
        <v>6</v>
      </c>
      <c r="L11" s="5" t="n">
        <f aca="false">I11*J11*K11</f>
        <v>108</v>
      </c>
      <c r="M11" s="7" t="str">
        <f aca="false">IF(L11&gt;=200,"High",IF(L11&gt;=120,"Medium","Low"))</f>
        <v>Low</v>
      </c>
      <c r="N11" s="7" t="str">
        <f aca="false">IF(I11&gt;=6,"Poka-Yoke + standard repair kit (long stops)",IF(J11&gt;=8,"Kaizen blitz: high-frequency micro-stop","5S / visual control + monitor"))</f>
        <v>5S / visual control + monitor</v>
      </c>
      <c r="Q11" s="25" t="n">
        <v>10</v>
      </c>
      <c r="R11" s="25" t="n">
        <v>7</v>
      </c>
      <c r="T11" s="25" t="n">
        <v>300</v>
      </c>
      <c r="U11" s="25" t="n">
        <v>7</v>
      </c>
    </row>
    <row r="12" customFormat="false" ht="15" hidden="false" customHeight="false" outlineLevel="0" collapsed="false">
      <c r="A12" s="7" t="s">
        <v>340</v>
      </c>
      <c r="B12" s="7" t="s">
        <v>580</v>
      </c>
      <c r="C12" s="7" t="s">
        <v>576</v>
      </c>
      <c r="D12" s="15" t="n">
        <v>9275</v>
      </c>
      <c r="E12" s="15" t="n">
        <v>90.5524969444444</v>
      </c>
      <c r="F12" s="24" t="n">
        <v>0.585784346810422</v>
      </c>
      <c r="G12" s="15" t="n">
        <v>383.534619229211</v>
      </c>
      <c r="H12" s="28" t="n">
        <v>0.61455525606469</v>
      </c>
      <c r="I12" s="7" t="n">
        <f aca="false">LOOKUP(F12,$Q$5:$Q$14,$R$5:$R$14)</f>
        <v>2</v>
      </c>
      <c r="J12" s="7" t="n">
        <f aca="false">LOOKUP(G12,$T$5:$T$14,$U$5:$U$14)</f>
        <v>7</v>
      </c>
      <c r="K12" s="7" t="n">
        <f aca="false">MAX(2,MIN(10,ROUND(10-8*H12,0)))</f>
        <v>5</v>
      </c>
      <c r="L12" s="5" t="n">
        <f aca="false">I12*J12*K12</f>
        <v>70</v>
      </c>
      <c r="M12" s="7" t="str">
        <f aca="false">IF(L12&gt;=200,"High",IF(L12&gt;=120,"Medium","Low"))</f>
        <v>Low</v>
      </c>
      <c r="N12" s="7" t="str">
        <f aca="false">IF(I12&gt;=6,"Poka-Yoke + standard repair kit (long stops)",IF(J12&gt;=8,"Kaizen blitz: high-frequency micro-stop","5S / visual control + monitor"))</f>
        <v>5S / visual control + monitor</v>
      </c>
      <c r="Q12" s="25" t="n">
        <v>20</v>
      </c>
      <c r="R12" s="25" t="n">
        <v>8</v>
      </c>
      <c r="T12" s="25" t="n">
        <v>1000</v>
      </c>
      <c r="U12" s="25" t="n">
        <v>8</v>
      </c>
    </row>
    <row r="13" customFormat="false" ht="15" hidden="false" customHeight="false" outlineLevel="0" collapsed="false">
      <c r="A13" s="7" t="s">
        <v>341</v>
      </c>
      <c r="B13" s="7" t="s">
        <v>580</v>
      </c>
      <c r="C13" s="7" t="s">
        <v>576</v>
      </c>
      <c r="D13" s="15" t="n">
        <v>1142</v>
      </c>
      <c r="E13" s="15" t="n">
        <v>53.2434366666667</v>
      </c>
      <c r="F13" s="24" t="n">
        <v>2.79737845884413</v>
      </c>
      <c r="G13" s="15" t="n">
        <v>47.2233461088689</v>
      </c>
      <c r="H13" s="28" t="n">
        <v>0.135726795096322</v>
      </c>
      <c r="I13" s="7" t="n">
        <f aca="false">LOOKUP(F13,$Q$5:$Q$14,$R$5:$R$14)</f>
        <v>4</v>
      </c>
      <c r="J13" s="7" t="n">
        <f aca="false">LOOKUP(G13,$T$5:$T$14,$U$5:$U$14)</f>
        <v>5</v>
      </c>
      <c r="K13" s="7" t="n">
        <f aca="false">MAX(2,MIN(10,ROUND(10-8*H13,0)))</f>
        <v>9</v>
      </c>
      <c r="L13" s="5" t="n">
        <f aca="false">I13*J13*K13</f>
        <v>180</v>
      </c>
      <c r="M13" s="7" t="str">
        <f aca="false">IF(L13&gt;=200,"High",IF(L13&gt;=120,"Medium","Low"))</f>
        <v>Medium</v>
      </c>
      <c r="N13" s="7" t="str">
        <f aca="false">IF(I13&gt;=6,"Poka-Yoke + standard repair kit (long stops)",IF(J13&gt;=8,"Kaizen blitz: high-frequency micro-stop","5S / visual control + monitor"))</f>
        <v>5S / visual control + monitor</v>
      </c>
      <c r="Q13" s="25" t="n">
        <v>60</v>
      </c>
      <c r="R13" s="25" t="n">
        <v>9</v>
      </c>
      <c r="T13" s="25" t="n">
        <v>3000</v>
      </c>
      <c r="U13" s="25" t="n">
        <v>9</v>
      </c>
    </row>
    <row r="14" customFormat="false" ht="15" hidden="false" customHeight="false" outlineLevel="0" collapsed="false">
      <c r="A14" s="7" t="s">
        <v>342</v>
      </c>
      <c r="B14" s="7" t="s">
        <v>580</v>
      </c>
      <c r="C14" s="7" t="s">
        <v>576</v>
      </c>
      <c r="D14" s="15" t="n">
        <v>2225</v>
      </c>
      <c r="E14" s="15" t="n">
        <v>42.1321227777778</v>
      </c>
      <c r="F14" s="24" t="n">
        <v>1.13614713108614</v>
      </c>
      <c r="G14" s="15" t="n">
        <v>92.0069571735844</v>
      </c>
      <c r="H14" s="28" t="n">
        <v>0.547415730337079</v>
      </c>
      <c r="I14" s="7" t="n">
        <f aca="false">LOOKUP(F14,$Q$5:$Q$14,$R$5:$R$14)</f>
        <v>3</v>
      </c>
      <c r="J14" s="7" t="n">
        <f aca="false">LOOKUP(G14,$T$5:$T$14,$U$5:$U$14)</f>
        <v>5</v>
      </c>
      <c r="K14" s="7" t="n">
        <f aca="false">MAX(2,MIN(10,ROUND(10-8*H14,0)))</f>
        <v>6</v>
      </c>
      <c r="L14" s="5" t="n">
        <f aca="false">I14*J14*K14</f>
        <v>90</v>
      </c>
      <c r="M14" s="7" t="str">
        <f aca="false">IF(L14&gt;=200,"High",IF(L14&gt;=120,"Medium","Low"))</f>
        <v>Low</v>
      </c>
      <c r="N14" s="7" t="str">
        <f aca="false">IF(I14&gt;=6,"Poka-Yoke + standard repair kit (long stops)",IF(J14&gt;=8,"Kaizen blitz: high-frequency micro-stop","5S / visual control + monitor"))</f>
        <v>5S / visual control + monitor</v>
      </c>
      <c r="Q14" s="25" t="n">
        <v>120</v>
      </c>
      <c r="R14" s="25" t="n">
        <v>10</v>
      </c>
      <c r="T14" s="25" t="n">
        <v>10000</v>
      </c>
      <c r="U14" s="25" t="n">
        <v>10</v>
      </c>
    </row>
    <row r="16" customFormat="false" ht="27.75" hidden="false" customHeight="true" outlineLevel="0" collapsed="false">
      <c r="A16" s="4" t="s">
        <v>581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</sheetData>
  <mergeCells count="1">
    <mergeCell ref="A16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L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582</v>
      </c>
    </row>
    <row r="2" customFormat="false" ht="15" hidden="false" customHeight="false" outlineLevel="0" collapsed="false">
      <c r="A2" s="2" t="s">
        <v>583</v>
      </c>
    </row>
    <row r="4" customFormat="false" ht="15" hidden="false" customHeight="false" outlineLevel="0" collapsed="false">
      <c r="A4" s="5" t="s">
        <v>584</v>
      </c>
      <c r="F4" s="5" t="s">
        <v>585</v>
      </c>
    </row>
    <row r="5" customFormat="false" ht="35.05" hidden="false" customHeight="false" outlineLevel="0" collapsed="false">
      <c r="A5" s="3" t="s">
        <v>235</v>
      </c>
      <c r="B5" s="3" t="s">
        <v>586</v>
      </c>
      <c r="C5" s="3" t="s">
        <v>587</v>
      </c>
      <c r="D5" s="3" t="s">
        <v>588</v>
      </c>
      <c r="F5" s="3" t="s">
        <v>235</v>
      </c>
      <c r="G5" s="3" t="s">
        <v>586</v>
      </c>
      <c r="H5" s="3" t="s">
        <v>589</v>
      </c>
      <c r="I5" s="3" t="s">
        <v>588</v>
      </c>
    </row>
    <row r="6" customFormat="false" ht="15" hidden="false" customHeight="false" outlineLevel="0" collapsed="false">
      <c r="A6" s="7" t="s">
        <v>590</v>
      </c>
      <c r="B6" s="29" t="n">
        <f aca="false">COUNTIF(Data_Shift!$C$2:$C$5993,A6)</f>
        <v>2177</v>
      </c>
      <c r="C6" s="30" t="n">
        <f aca="false">AVERAGEIF(Data_Shift!$C$2:$C$5993,A6,Data_Shift!$D$2:$D$5993)</f>
        <v>0.270236311218514</v>
      </c>
      <c r="D6" s="8" t="n">
        <f aca="false">SUMPRODUCT((Data_Shift!$C$2:$C$5993=A6)*(Data_Shift!$D$2:$D$5993-C6)^2)</f>
        <v>186.858442684414</v>
      </c>
      <c r="F6" s="7" t="s">
        <v>590</v>
      </c>
      <c r="G6" s="29" t="n">
        <f aca="false">COUNTIF(Data_Shift!$C$2:$C$5993,F6)</f>
        <v>2177</v>
      </c>
      <c r="H6" s="30" t="n">
        <f aca="false">AVERAGEIF(Data_Shift!$C$2:$C$5993,F6,Data_Shift!$E$2:$E$5993)</f>
        <v>0.0978626045755523</v>
      </c>
      <c r="I6" s="8" t="n">
        <f aca="false">SUMPRODUCT((Data_Shift!$C$2:$C$5993=F6)*(Data_Shift!$E$2:$E$5993-H6)^2)</f>
        <v>18.8500366801975</v>
      </c>
    </row>
    <row r="7" customFormat="false" ht="15" hidden="false" customHeight="false" outlineLevel="0" collapsed="false">
      <c r="A7" s="7" t="s">
        <v>591</v>
      </c>
      <c r="B7" s="29" t="n">
        <f aca="false">COUNTIF(Data_Shift!$C$2:$C$5993,A7)</f>
        <v>1741</v>
      </c>
      <c r="C7" s="30" t="n">
        <f aca="false">AVERAGEIF(Data_Shift!$C$2:$C$5993,A7,Data_Shift!$D$2:$D$5993)</f>
        <v>0.194328854476832</v>
      </c>
      <c r="D7" s="8" t="n">
        <f aca="false">SUMPRODUCT((Data_Shift!$C$2:$C$5993=A7)*(Data_Shift!$D$2:$D$5993-C7)^2)</f>
        <v>131.546634252772</v>
      </c>
      <c r="F7" s="7" t="s">
        <v>591</v>
      </c>
      <c r="G7" s="29" t="n">
        <f aca="false">COUNTIF(Data_Shift!$C$2:$C$5993,F7)</f>
        <v>1741</v>
      </c>
      <c r="H7" s="30" t="n">
        <f aca="false">AVERAGEIF(Data_Shift!$C$2:$C$5993,F7,Data_Shift!$E$2:$E$5993)</f>
        <v>0.0758827183639062</v>
      </c>
      <c r="I7" s="8" t="n">
        <f aca="false">SUMPRODUCT((Data_Shift!$C$2:$C$5993=F7)*(Data_Shift!$E$2:$E$5993-H7)^2)</f>
        <v>10.9544877042657</v>
      </c>
    </row>
    <row r="8" customFormat="false" ht="15" hidden="false" customHeight="false" outlineLevel="0" collapsed="false">
      <c r="A8" s="7" t="s">
        <v>592</v>
      </c>
      <c r="B8" s="29" t="n">
        <f aca="false">COUNTIF(Data_Shift!$C$2:$C$5993,A8)</f>
        <v>2074</v>
      </c>
      <c r="C8" s="30" t="n">
        <f aca="false">AVERAGEIF(Data_Shift!$C$2:$C$5993,A8,Data_Shift!$D$2:$D$5993)</f>
        <v>0.385223221472719</v>
      </c>
      <c r="D8" s="8" t="n">
        <f aca="false">SUMPRODUCT((Data_Shift!$C$2:$C$5993=A8)*(Data_Shift!$D$2:$D$5993-C8)^2)</f>
        <v>316.6033487924</v>
      </c>
      <c r="F8" s="7" t="s">
        <v>592</v>
      </c>
      <c r="G8" s="29" t="n">
        <f aca="false">COUNTIF(Data_Shift!$C$2:$C$5993,F8)</f>
        <v>2074</v>
      </c>
      <c r="H8" s="30" t="n">
        <f aca="false">AVERAGEIF(Data_Shift!$C$2:$C$5993,F8,Data_Shift!$E$2:$E$5993)</f>
        <v>0.0747932633462091</v>
      </c>
      <c r="I8" s="8" t="n">
        <f aca="false">SUMPRODUCT((Data_Shift!$C$2:$C$5993=F8)*(Data_Shift!$E$2:$E$5993-H8)^2)</f>
        <v>22.1353286433888</v>
      </c>
    </row>
    <row r="9" customFormat="false" ht="15" hidden="false" customHeight="false" outlineLevel="0" collapsed="false">
      <c r="A9" s="5" t="s">
        <v>593</v>
      </c>
      <c r="B9" s="17" t="n">
        <f aca="false">SUMPRODUCT(B6:B8,C6:C8)/SUM(B6:B8)</f>
        <v>0.287981299482859</v>
      </c>
      <c r="F9" s="5" t="s">
        <v>593</v>
      </c>
      <c r="G9" s="17" t="n">
        <f aca="false">SUMPRODUCT(G6:G8,H6:H8)/SUM(G6:G8)</f>
        <v>0.0834913102490947</v>
      </c>
    </row>
    <row r="10" customFormat="false" ht="15" hidden="false" customHeight="false" outlineLevel="0" collapsed="false">
      <c r="A10" s="5" t="s">
        <v>594</v>
      </c>
      <c r="B10" s="26" t="n">
        <f aca="false">SUMPRODUCT(B6:B8,(C6:C8-B9)^2)</f>
        <v>35.5671587135125</v>
      </c>
      <c r="F10" s="5" t="s">
        <v>594</v>
      </c>
      <c r="G10" s="31" t="n">
        <f aca="false">SUMPRODUCT(G6:G8,(H6:H8-G9)^2)</f>
        <v>0.707322979666302</v>
      </c>
    </row>
    <row r="11" customFormat="false" ht="15" hidden="false" customHeight="false" outlineLevel="0" collapsed="false">
      <c r="A11" s="5" t="s">
        <v>588</v>
      </c>
      <c r="B11" s="26" t="n">
        <f aca="false">SUM(D6:D8)</f>
        <v>635.008425729585</v>
      </c>
      <c r="F11" s="5" t="s">
        <v>588</v>
      </c>
      <c r="G11" s="26" t="n">
        <f aca="false">SUM(I6:I8)</f>
        <v>51.939853027852</v>
      </c>
    </row>
    <row r="12" customFormat="false" ht="15" hidden="false" customHeight="false" outlineLevel="0" collapsed="false">
      <c r="A12" s="5" t="s">
        <v>595</v>
      </c>
      <c r="B12" s="32" t="n">
        <f aca="false">2</f>
        <v>2</v>
      </c>
      <c r="F12" s="5" t="s">
        <v>596</v>
      </c>
      <c r="G12" s="32" t="n">
        <f aca="false">2</f>
        <v>2</v>
      </c>
    </row>
    <row r="13" customFormat="false" ht="15" hidden="false" customHeight="false" outlineLevel="0" collapsed="false">
      <c r="A13" s="5"/>
      <c r="B13" s="32" t="n">
        <f aca="false">SUM(B6:B8)-3</f>
        <v>5989</v>
      </c>
      <c r="F13" s="5" t="s">
        <v>597</v>
      </c>
      <c r="G13" s="32" t="n">
        <f aca="false">SUM(G6:G8)-3</f>
        <v>5989</v>
      </c>
    </row>
    <row r="14" customFormat="false" ht="15" hidden="false" customHeight="false" outlineLevel="0" collapsed="false">
      <c r="A14" s="5" t="s">
        <v>598</v>
      </c>
      <c r="B14" s="26" t="n">
        <f aca="false">(B10/B12)/(B11/B13)</f>
        <v>167.723533188153</v>
      </c>
      <c r="F14" s="5" t="s">
        <v>598</v>
      </c>
      <c r="G14" s="26" t="n">
        <f aca="false">(G10/G12)/(G11/G13)</f>
        <v>40.7794504438615</v>
      </c>
    </row>
    <row r="15" customFormat="false" ht="15" hidden="false" customHeight="false" outlineLevel="0" collapsed="false">
      <c r="A15" s="5" t="s">
        <v>599</v>
      </c>
      <c r="B15" s="33" t="n">
        <f aca="false">FDIST(B14,B12,B13)</f>
        <v>1.33483801136091E-071</v>
      </c>
      <c r="F15" s="5" t="s">
        <v>599</v>
      </c>
      <c r="G15" s="33" t="n">
        <f aca="false">FDIST(G14,G12,G13)</f>
        <v>2.56576188476085E-018</v>
      </c>
    </row>
    <row r="16" customFormat="false" ht="15" hidden="false" customHeight="false" outlineLevel="0" collapsed="false">
      <c r="A16" s="5" t="s">
        <v>600</v>
      </c>
      <c r="B16" s="7" t="str">
        <f aca="false">IF(B15&lt;0.05,"Reject H0: idle differs by shift","Fail to reject H0")</f>
        <v>Reject H0: idle differs by shift</v>
      </c>
      <c r="F16" s="5" t="s">
        <v>600</v>
      </c>
      <c r="G16" s="7" t="str">
        <f aca="false">IF(G15&lt;0.05,"Reject H0: downtime differs by shift","Fail to reject H0")</f>
        <v>Reject H0: downtime differs by shift</v>
      </c>
    </row>
    <row r="19" customFormat="false" ht="15" hidden="false" customHeight="false" outlineLevel="0" collapsed="false">
      <c r="A19" s="5" t="s">
        <v>601</v>
      </c>
      <c r="F19" s="5" t="s">
        <v>602</v>
      </c>
    </row>
    <row r="20" customFormat="false" ht="15" hidden="false" customHeight="false" outlineLevel="0" collapsed="false">
      <c r="A20" s="3" t="s">
        <v>603</v>
      </c>
      <c r="B20" s="3" t="s">
        <v>586</v>
      </c>
      <c r="C20" s="3" t="s">
        <v>604</v>
      </c>
      <c r="D20" s="3" t="s">
        <v>605</v>
      </c>
      <c r="F20" s="3" t="s">
        <v>606</v>
      </c>
      <c r="G20" s="3" t="s">
        <v>607</v>
      </c>
      <c r="H20" s="3" t="s">
        <v>608</v>
      </c>
      <c r="I20" s="3" t="s">
        <v>609</v>
      </c>
      <c r="J20" s="3" t="s">
        <v>610</v>
      </c>
    </row>
    <row r="21" customFormat="false" ht="15" hidden="false" customHeight="false" outlineLevel="0" collapsed="false">
      <c r="A21" s="7" t="s">
        <v>611</v>
      </c>
      <c r="B21" s="29" t="n">
        <f aca="false">COUNTIF(Data_Shift!$F$2:$F$5993,1)</f>
        <v>1362</v>
      </c>
      <c r="C21" s="30" t="n">
        <f aca="false">AVERAGEIF(Data_Shift!$F$2:$F$5993,1,Data_Shift!$D$2:$D$5993)</f>
        <v>0.359441374591398</v>
      </c>
      <c r="D21" s="22" t="n">
        <f aca="false">SUMPRODUCT((Data_Shift!$F$2:$F$5993=1)*(Data_Shift!$D$2:$D$5993-C21)^2)/(B21-1)</f>
        <v>0.138904882338033</v>
      </c>
      <c r="F21" s="7" t="s">
        <v>336</v>
      </c>
      <c r="G21" s="25" t="n">
        <v>2718</v>
      </c>
      <c r="H21" s="25" t="n">
        <v>616</v>
      </c>
      <c r="I21" s="25" t="n">
        <v>1067</v>
      </c>
      <c r="J21" s="7" t="n">
        <f aca="false">SUM(G21:I21)</f>
        <v>4401</v>
      </c>
    </row>
    <row r="22" customFormat="false" ht="15" hidden="false" customHeight="false" outlineLevel="0" collapsed="false">
      <c r="A22" s="7" t="s">
        <v>612</v>
      </c>
      <c r="B22" s="29" t="n">
        <f aca="false">COUNTIF(Data_Shift!$F$2:$F$5993,0)</f>
        <v>4630</v>
      </c>
      <c r="C22" s="30" t="n">
        <f aca="false">AVERAGEIF(Data_Shift!$F$2:$F$5993,0,Data_Shift!$D$2:$D$5993)</f>
        <v>0.266959998770584</v>
      </c>
      <c r="D22" s="22" t="n">
        <f aca="false">SUMPRODUCT((Data_Shift!$F$2:$F$5993=0)*(Data_Shift!$D$2:$D$5993-C22)^2)/(B22-1)</f>
        <v>0.102079272992911</v>
      </c>
      <c r="F22" s="7" t="s">
        <v>335</v>
      </c>
      <c r="G22" s="25" t="n">
        <v>1746</v>
      </c>
      <c r="H22" s="25" t="n">
        <v>1153</v>
      </c>
      <c r="I22" s="25" t="n">
        <v>1023</v>
      </c>
      <c r="J22" s="7" t="n">
        <f aca="false">SUM(G22:I22)</f>
        <v>3922</v>
      </c>
    </row>
    <row r="23" customFormat="false" ht="15" hidden="false" customHeight="false" outlineLevel="0" collapsed="false">
      <c r="A23" s="5" t="s">
        <v>613</v>
      </c>
      <c r="B23" s="26" t="n">
        <f aca="false">(C21-C22)/SQRT(D21/B21+D22/B22)</f>
        <v>8.30395702530307</v>
      </c>
      <c r="F23" s="7" t="s">
        <v>331</v>
      </c>
      <c r="G23" s="25" t="n">
        <v>10551</v>
      </c>
      <c r="H23" s="25" t="n">
        <v>3748</v>
      </c>
      <c r="I23" s="25" t="n">
        <v>4565</v>
      </c>
      <c r="J23" s="7" t="n">
        <f aca="false">SUM(G23:I23)</f>
        <v>18864</v>
      </c>
    </row>
    <row r="24" customFormat="false" ht="15" hidden="false" customHeight="false" outlineLevel="0" collapsed="false">
      <c r="A24" s="5" t="s">
        <v>614</v>
      </c>
      <c r="B24" s="32" t="n">
        <f aca="false">(D21/B21+D22/B22)^2/((D21/B21)^2/(B21-1)+(D22/B22)^2/(B22-1))</f>
        <v>1985.76232672015</v>
      </c>
      <c r="F24" s="7" t="s">
        <v>333</v>
      </c>
      <c r="G24" s="25" t="n">
        <v>9363</v>
      </c>
      <c r="H24" s="25" t="n">
        <v>4259</v>
      </c>
      <c r="I24" s="25" t="n">
        <v>4777</v>
      </c>
      <c r="J24" s="7" t="n">
        <f aca="false">SUM(G24:I24)</f>
        <v>18399</v>
      </c>
    </row>
    <row r="25" customFormat="false" ht="15" hidden="false" customHeight="false" outlineLevel="0" collapsed="false">
      <c r="A25" s="5" t="s">
        <v>615</v>
      </c>
      <c r="B25" s="33" t="n">
        <f aca="false">TDIST(ABS(B23),B24,1)</f>
        <v>9.19547104763549E-017</v>
      </c>
      <c r="F25" s="7" t="s">
        <v>616</v>
      </c>
      <c r="G25" s="25" t="n">
        <v>13460</v>
      </c>
      <c r="H25" s="25" t="n">
        <v>17656</v>
      </c>
      <c r="I25" s="25" t="n">
        <v>15303</v>
      </c>
      <c r="J25" s="7" t="n">
        <f aca="false">SUM(G25:I25)</f>
        <v>46419</v>
      </c>
    </row>
    <row r="26" customFormat="false" ht="15" hidden="false" customHeight="false" outlineLevel="0" collapsed="false">
      <c r="A26" s="5" t="s">
        <v>600</v>
      </c>
      <c r="B26" s="7" t="str">
        <f aca="false">IF(AND(B25&lt;0.05,B23&gt;0),"Reject H0: weekends idle more","Fail to reject H0")</f>
        <v>Reject H0: weekends idle more</v>
      </c>
      <c r="F26" s="5" t="s">
        <v>617</v>
      </c>
      <c r="G26" s="7" t="n">
        <f aca="false">SUM(G21:G25)</f>
        <v>37838</v>
      </c>
      <c r="H26" s="7" t="n">
        <f aca="false">SUM(H21:H25)</f>
        <v>27432</v>
      </c>
      <c r="I26" s="7" t="n">
        <f aca="false">SUM(I21:I25)</f>
        <v>26735</v>
      </c>
      <c r="J26" s="7" t="n">
        <f aca="false">SUM(J21:J25)</f>
        <v>92005</v>
      </c>
    </row>
    <row r="28" customFormat="false" ht="15" hidden="false" customHeight="false" outlineLevel="0" collapsed="false">
      <c r="F28" s="3" t="s">
        <v>618</v>
      </c>
      <c r="G28" s="3" t="s">
        <v>607</v>
      </c>
      <c r="H28" s="3" t="s">
        <v>608</v>
      </c>
      <c r="I28" s="3" t="s">
        <v>609</v>
      </c>
    </row>
    <row r="29" customFormat="false" ht="15" hidden="false" customHeight="false" outlineLevel="0" collapsed="false">
      <c r="F29" s="7" t="str">
        <f aca="false">F21</f>
        <v>A_001</v>
      </c>
      <c r="G29" s="20" t="n">
        <f aca="false">$J21*G$26/$J$26</f>
        <v>1809.95639367426</v>
      </c>
      <c r="H29" s="20" t="n">
        <f aca="false">$J21*H$26/$J$26</f>
        <v>1312.19207651758</v>
      </c>
      <c r="I29" s="20" t="n">
        <f aca="false">$J21*I$26/$J$26</f>
        <v>1278.85152980816</v>
      </c>
    </row>
    <row r="30" customFormat="false" ht="15" hidden="false" customHeight="false" outlineLevel="0" collapsed="false">
      <c r="F30" s="7" t="str">
        <f aca="false">F22</f>
        <v>A_006</v>
      </c>
      <c r="G30" s="20" t="n">
        <f aca="false">$J22*G$26/$J$26</f>
        <v>1612.9627302864</v>
      </c>
      <c r="H30" s="20" t="n">
        <f aca="false">$J22*H$26/$J$26</f>
        <v>1169.37453399272</v>
      </c>
      <c r="I30" s="20" t="n">
        <f aca="false">$J22*I$26/$J$26</f>
        <v>1139.66273572088</v>
      </c>
    </row>
    <row r="31" customFormat="false" ht="15" hidden="false" customHeight="false" outlineLevel="0" collapsed="false">
      <c r="F31" s="7" t="str">
        <f aca="false">F23</f>
        <v>A_065</v>
      </c>
      <c r="G31" s="20" t="n">
        <f aca="false">$J23*G$26/$J$26</f>
        <v>7758.01349926634</v>
      </c>
      <c r="H31" s="20" t="n">
        <f aca="false">$J23*H$26/$J$26</f>
        <v>5624.44701918374</v>
      </c>
      <c r="I31" s="20" t="n">
        <f aca="false">$J23*I$26/$J$26</f>
        <v>5481.53948154992</v>
      </c>
    </row>
    <row r="32" customFormat="false" ht="15" hidden="false" customHeight="false" outlineLevel="0" collapsed="false">
      <c r="F32" s="7" t="str">
        <f aca="false">F24</f>
        <v>A_101</v>
      </c>
      <c r="G32" s="20" t="n">
        <f aca="false">$J24*G$26/$J$26</f>
        <v>7566.77747948481</v>
      </c>
      <c r="H32" s="20" t="n">
        <f aca="false">$J24*H$26/$J$26</f>
        <v>5485.80368458236</v>
      </c>
      <c r="I32" s="20" t="n">
        <f aca="false">$J24*I$26/$J$26</f>
        <v>5346.41883593283</v>
      </c>
    </row>
    <row r="33" customFormat="false" ht="15" hidden="false" customHeight="false" outlineLevel="0" collapsed="false">
      <c r="F33" s="7" t="str">
        <f aca="false">F25</f>
        <v>other</v>
      </c>
      <c r="G33" s="20" t="n">
        <f aca="false">$J25*G$26/$J$26</f>
        <v>19090.2898972882</v>
      </c>
      <c r="H33" s="20" t="n">
        <f aca="false">$J25*H$26/$J$26</f>
        <v>13840.1826857236</v>
      </c>
      <c r="I33" s="20" t="n">
        <f aca="false">$J25*I$26/$J$26</f>
        <v>13488.5274169882</v>
      </c>
    </row>
    <row r="34" customFormat="false" ht="15" hidden="false" customHeight="false" outlineLevel="0" collapsed="false">
      <c r="F34" s="5" t="s">
        <v>619</v>
      </c>
      <c r="G34" s="20" t="n">
        <f aca="false">SUMPRODUCT((G21:I25-G29:I33)^2/G29:I33)</f>
        <v>6386.01109010833</v>
      </c>
    </row>
    <row r="35" customFormat="false" ht="15" hidden="false" customHeight="false" outlineLevel="0" collapsed="false">
      <c r="F35" s="5" t="s">
        <v>599</v>
      </c>
      <c r="G35" s="33" t="n">
        <f aca="false">CHITEST(G21:I25,G29:I33)</f>
        <v>0</v>
      </c>
    </row>
    <row r="36" customFormat="false" ht="15" hidden="false" customHeight="false" outlineLevel="0" collapsed="false">
      <c r="F36" s="5" t="s">
        <v>620</v>
      </c>
      <c r="G36" s="34" t="n">
        <f aca="false">SQRT(G34/(J26*2))</f>
        <v>0.18629196409583</v>
      </c>
    </row>
    <row r="37" customFormat="false" ht="15" hidden="false" customHeight="false" outlineLevel="0" collapsed="false">
      <c r="F37" s="5" t="s">
        <v>600</v>
      </c>
      <c r="G37" s="7" t="str">
        <f aca="false">IF(G35&lt;0.05,"Reject H0 (but check effect size)","Fail to reject H0")</f>
        <v>Reject H0 (but check effect size)</v>
      </c>
    </row>
    <row r="39" customFormat="false" ht="15" hidden="false" customHeight="false" outlineLevel="0" collapsed="false">
      <c r="A39" s="5" t="s">
        <v>621</v>
      </c>
    </row>
    <row r="40" customFormat="false" ht="15" hidden="false" customHeight="false" outlineLevel="0" collapsed="false">
      <c r="A40" s="3" t="s">
        <v>245</v>
      </c>
      <c r="B40" s="3" t="s">
        <v>622</v>
      </c>
      <c r="C40" s="3" t="s">
        <v>623</v>
      </c>
      <c r="D40" s="3" t="s">
        <v>624</v>
      </c>
      <c r="E40" s="3" t="s">
        <v>625</v>
      </c>
      <c r="F40" s="3" t="s">
        <v>626</v>
      </c>
      <c r="G40" s="3" t="s">
        <v>627</v>
      </c>
      <c r="H40" s="3" t="s">
        <v>628</v>
      </c>
      <c r="I40" s="3" t="s">
        <v>629</v>
      </c>
      <c r="J40" s="3" t="s">
        <v>630</v>
      </c>
      <c r="K40" s="3" t="s">
        <v>599</v>
      </c>
      <c r="L40" s="3" t="s">
        <v>600</v>
      </c>
    </row>
    <row r="41" customFormat="false" ht="15" hidden="false" customHeight="false" outlineLevel="0" collapsed="false">
      <c r="A41" s="7" t="s">
        <v>258</v>
      </c>
      <c r="B41" s="29" t="n">
        <f aca="false">COUNTIFS(Data_Daily!$A$2:$A$2407,$A41,Data_Daily!$O$2:$O$2407,2020,Data_Daily!$P$2:$P$2407,1)</f>
        <v>323</v>
      </c>
      <c r="C41" s="30" t="n">
        <f aca="false">AVERAGEIFS(Data_Daily!$Q$2:$Q$2407,Data_Daily!$A$2:$A$2407,$A41,Data_Daily!$O$2:$O$2407,2020,Data_Daily!$P$2:$P$2407,1)</f>
        <v>0.666575564020566</v>
      </c>
      <c r="D41" s="22" t="n">
        <f aca="false">SUMPRODUCT((Data_Daily!$A$2:$A$2407=$A41)*(Data_Daily!$O$2:$O$2407=2020)*(Data_Daily!$P$2:$P$2407=1)*(Data_Daily!$Q$2:$Q$2407-C41)^2)/(B41-1)</f>
        <v>0.0213542081504022</v>
      </c>
      <c r="E41" s="29" t="n">
        <f aca="false">COUNTIFS(Data_Daily!$A$2:$A$2407,$A41,Data_Daily!$O$2:$O$2407,2021,Data_Daily!$P$2:$P$2407,1)</f>
        <v>298</v>
      </c>
      <c r="F41" s="30" t="n">
        <f aca="false">AVERAGEIFS(Data_Daily!$Q$2:$Q$2407,Data_Daily!$A$2:$A$2407,$A41,Data_Daily!$O$2:$O$2407,2021,Data_Daily!$P$2:$P$2407,1)</f>
        <v>0.621802356992847</v>
      </c>
      <c r="G41" s="22" t="n">
        <f aca="false">SUMPRODUCT((Data_Daily!$A$2:$A$2407=$A41)*(Data_Daily!$O$2:$O$2407=2021)*(Data_Daily!$P$2:$P$2407=1)*(Data_Daily!$Q$2:$Q$2407-F41)^2)/(E41-1)</f>
        <v>0.0159270339755745</v>
      </c>
      <c r="H41" s="35" t="n">
        <f aca="false">(F41-C41)*100</f>
        <v>-4.47732070277184</v>
      </c>
      <c r="I41" s="26" t="n">
        <f aca="false">(F41-C41)/SQRT(D41/B41+G41/E41)</f>
        <v>-4.0947551139312</v>
      </c>
      <c r="J41" s="32" t="n">
        <f aca="false">(D41/B41+G41/E41)^2/((D41/B41)^2/(B41-1)+(G41/E41)^2/(E41-1))</f>
        <v>616.347404649959</v>
      </c>
      <c r="K41" s="33" t="n">
        <f aca="false">TDIST(ABS(I41),J41,2)</f>
        <v>4.78992014169984E-005</v>
      </c>
      <c r="L41" s="7" t="str">
        <f aca="false">IF(K41&lt;0.05,IF(H41&lt;0,"Significant DROP","Significant RISE"),"No change")</f>
        <v>Significant DROP</v>
      </c>
    </row>
    <row r="42" customFormat="false" ht="15" hidden="false" customHeight="false" outlineLevel="0" collapsed="false">
      <c r="A42" s="7" t="s">
        <v>259</v>
      </c>
      <c r="B42" s="29" t="n">
        <f aca="false">COUNTIFS(Data_Daily!$A$2:$A$2407,$A42,Data_Daily!$O$2:$O$2407,2020,Data_Daily!$P$2:$P$2407,1)</f>
        <v>106</v>
      </c>
      <c r="C42" s="30" t="n">
        <f aca="false">AVERAGEIFS(Data_Daily!$Q$2:$Q$2407,Data_Daily!$A$2:$A$2407,$A42,Data_Daily!$O$2:$O$2407,2020,Data_Daily!$P$2:$P$2407,1)</f>
        <v>0.261557414950044</v>
      </c>
      <c r="D42" s="22" t="n">
        <f aca="false">SUMPRODUCT((Data_Daily!$A$2:$A$2407=$A42)*(Data_Daily!$O$2:$O$2407=2020)*(Data_Daily!$P$2:$P$2407=1)*(Data_Daily!$Q$2:$Q$2407-C42)^2)/(B42-1)</f>
        <v>0.016718646490425</v>
      </c>
      <c r="E42" s="29" t="n">
        <f aca="false">COUNTIFS(Data_Daily!$A$2:$A$2407,$A42,Data_Daily!$O$2:$O$2407,2021,Data_Daily!$P$2:$P$2407,1)</f>
        <v>313</v>
      </c>
      <c r="F42" s="30" t="n">
        <f aca="false">AVERAGEIFS(Data_Daily!$Q$2:$Q$2407,Data_Daily!$A$2:$A$2407,$A42,Data_Daily!$O$2:$O$2407,2021,Data_Daily!$P$2:$P$2407,1)</f>
        <v>0.356403968500717</v>
      </c>
      <c r="G42" s="22" t="n">
        <f aca="false">SUMPRODUCT((Data_Daily!$A$2:$A$2407=$A42)*(Data_Daily!$O$2:$O$2407=2021)*(Data_Daily!$P$2:$P$2407=1)*(Data_Daily!$Q$2:$Q$2407-F42)^2)/(E42-1)</f>
        <v>0.0142874506362545</v>
      </c>
      <c r="H42" s="35" t="n">
        <f aca="false">(F42-C42)*100</f>
        <v>9.48465535506728</v>
      </c>
      <c r="I42" s="26" t="n">
        <f aca="false">(F42-C42)/SQRT(D42/B42+G42/E42)</f>
        <v>6.65086650112689</v>
      </c>
      <c r="J42" s="32" t="n">
        <f aca="false">(D42/B42+G42/E42)^2/((D42/B42)^2/(B42-1)+(G42/E42)^2/(E42-1))</f>
        <v>169.785087954024</v>
      </c>
      <c r="K42" s="33" t="n">
        <f aca="false">TDIST(ABS(I42),J42,2)</f>
        <v>3.87023507762472E-010</v>
      </c>
      <c r="L42" s="7" t="str">
        <f aca="false">IF(K42&lt;0.05,IF(H42&lt;0,"Significant DROP","Significant RISE"),"No change")</f>
        <v>Significant RISE</v>
      </c>
    </row>
    <row r="43" customFormat="false" ht="15" hidden="false" customHeight="false" outlineLevel="0" collapsed="false">
      <c r="A43" s="7" t="s">
        <v>260</v>
      </c>
      <c r="B43" s="29" t="n">
        <f aca="false">COUNTIFS(Data_Daily!$A$2:$A$2407,$A43,Data_Daily!$O$2:$O$2407,2020,Data_Daily!$P$2:$P$2407,1)</f>
        <v>68</v>
      </c>
      <c r="C43" s="30" t="n">
        <f aca="false">AVERAGEIFS(Data_Daily!$Q$2:$Q$2407,Data_Daily!$A$2:$A$2407,$A43,Data_Daily!$O$2:$O$2407,2020,Data_Daily!$P$2:$P$2407,1)</f>
        <v>0.384877051443557</v>
      </c>
      <c r="D43" s="22" t="n">
        <f aca="false">SUMPRODUCT((Data_Daily!$A$2:$A$2407=$A43)*(Data_Daily!$O$2:$O$2407=2020)*(Data_Daily!$P$2:$P$2407=1)*(Data_Daily!$Q$2:$Q$2407-C43)^2)/(B43-1)</f>
        <v>0.0125885464524131</v>
      </c>
      <c r="E43" s="29" t="n">
        <f aca="false">COUNTIFS(Data_Daily!$A$2:$A$2407,$A43,Data_Daily!$O$2:$O$2407,2021,Data_Daily!$P$2:$P$2407,1)</f>
        <v>286</v>
      </c>
      <c r="F43" s="30" t="n">
        <f aca="false">AVERAGEIFS(Data_Daily!$Q$2:$Q$2407,Data_Daily!$A$2:$A$2407,$A43,Data_Daily!$O$2:$O$2407,2021,Data_Daily!$P$2:$P$2407,1)</f>
        <v>0.466826510674396</v>
      </c>
      <c r="G43" s="22" t="n">
        <f aca="false">SUMPRODUCT((Data_Daily!$A$2:$A$2407=$A43)*(Data_Daily!$O$2:$O$2407=2021)*(Data_Daily!$P$2:$P$2407=1)*(Data_Daily!$Q$2:$Q$2407-F43)^2)/(E43-1)</f>
        <v>0.0101008389562909</v>
      </c>
      <c r="H43" s="35" t="n">
        <f aca="false">(F43-C43)*100</f>
        <v>8.19494592308386</v>
      </c>
      <c r="I43" s="26" t="n">
        <f aca="false">(F43-C43)/SQRT(D43/B43+G43/E43)</f>
        <v>5.51947332012727</v>
      </c>
      <c r="J43" s="32" t="n">
        <f aca="false">(D43/B43+G43/E43)^2/((D43/B43)^2/(B43-1)+(G43/E43)^2/(E43-1))</f>
        <v>94.1965894058996</v>
      </c>
      <c r="K43" s="33" t="n">
        <f aca="false">TDIST(ABS(I43),J43,2)</f>
        <v>2.99709783600144E-007</v>
      </c>
      <c r="L43" s="7" t="str">
        <f aca="false">IF(K43&lt;0.05,IF(H43&lt;0,"Significant DROP","Significant RISE"),"No change")</f>
        <v>Significant RISE</v>
      </c>
    </row>
    <row r="44" customFormat="false" ht="15" hidden="false" customHeight="false" outlineLevel="0" collapsed="false">
      <c r="A44" s="7" t="s">
        <v>261</v>
      </c>
      <c r="B44" s="29" t="n">
        <f aca="false">COUNTIFS(Data_Daily!$A$2:$A$2407,$A44,Data_Daily!$O$2:$O$2407,2020,Data_Daily!$P$2:$P$2407,1)</f>
        <v>89</v>
      </c>
      <c r="C44" s="30" t="n">
        <f aca="false">AVERAGEIFS(Data_Daily!$Q$2:$Q$2407,Data_Daily!$A$2:$A$2407,$A44,Data_Daily!$O$2:$O$2407,2020,Data_Daily!$P$2:$P$2407,1)</f>
        <v>0.442526893225799</v>
      </c>
      <c r="D44" s="22" t="n">
        <f aca="false">SUMPRODUCT((Data_Daily!$A$2:$A$2407=$A44)*(Data_Daily!$O$2:$O$2407=2020)*(Data_Daily!$P$2:$P$2407=1)*(Data_Daily!$Q$2:$Q$2407-C44)^2)/(B44-1)</f>
        <v>0.0154647489808348</v>
      </c>
      <c r="E44" s="29" t="n">
        <f aca="false">COUNTIFS(Data_Daily!$A$2:$A$2407,$A44,Data_Daily!$O$2:$O$2407,2021,Data_Daily!$P$2:$P$2407,1)</f>
        <v>235</v>
      </c>
      <c r="F44" s="30" t="n">
        <f aca="false">AVERAGEIFS(Data_Daily!$Q$2:$Q$2407,Data_Daily!$A$2:$A$2407,$A44,Data_Daily!$O$2:$O$2407,2021,Data_Daily!$P$2:$P$2407,1)</f>
        <v>0.48218518306378</v>
      </c>
      <c r="G44" s="22" t="n">
        <f aca="false">SUMPRODUCT((Data_Daily!$A$2:$A$2407=$A44)*(Data_Daily!$O$2:$O$2407=2021)*(Data_Daily!$P$2:$P$2407=1)*(Data_Daily!$Q$2:$Q$2407-F44)^2)/(E44-1)</f>
        <v>0.0148728701785846</v>
      </c>
      <c r="H44" s="35" t="n">
        <f aca="false">(F44-C44)*100</f>
        <v>3.96582898379815</v>
      </c>
      <c r="I44" s="26" t="n">
        <f aca="false">(F44-C44)/SQRT(D44/B44+G44/E44)</f>
        <v>2.575810870407</v>
      </c>
      <c r="J44" s="32" t="n">
        <f aca="false">(D44/B44+G44/E44)^2/((D44/B44)^2/(B44-1)+(G44/E44)^2/(E44-1))</f>
        <v>155.995873962741</v>
      </c>
      <c r="K44" s="33" t="n">
        <f aca="false">TDIST(ABS(I44),J44,2)</f>
        <v>0.0109348396928047</v>
      </c>
      <c r="L44" s="7" t="str">
        <f aca="false">IF(K44&lt;0.05,IF(H44&lt;0,"Significant DROP","Significant RISE"),"No change")</f>
        <v>Significant RISE</v>
      </c>
    </row>
    <row r="45" customFormat="false" ht="15" hidden="false" customHeight="false" outlineLevel="0" collapsed="false">
      <c r="A45" s="7" t="s">
        <v>262</v>
      </c>
      <c r="B45" s="29" t="n">
        <f aca="false">COUNTIFS(Data_Daily!$A$2:$A$2407,$A45,Data_Daily!$O$2:$O$2407,2020,Data_Daily!$P$2:$P$2407,1)</f>
        <v>226</v>
      </c>
      <c r="C45" s="30" t="n">
        <f aca="false">AVERAGEIFS(Data_Daily!$Q$2:$Q$2407,Data_Daily!$A$2:$A$2407,$A45,Data_Daily!$O$2:$O$2407,2020,Data_Daily!$P$2:$P$2407,1)</f>
        <v>0.550569665260861</v>
      </c>
      <c r="D45" s="22" t="n">
        <f aca="false">SUMPRODUCT((Data_Daily!$A$2:$A$2407=$A45)*(Data_Daily!$O$2:$O$2407=2020)*(Data_Daily!$P$2:$P$2407=1)*(Data_Daily!$Q$2:$Q$2407-C45)^2)/(B45-1)</f>
        <v>0.0432749448758946</v>
      </c>
      <c r="E45" s="29" t="n">
        <f aca="false">COUNTIFS(Data_Daily!$A$2:$A$2407,$A45,Data_Daily!$O$2:$O$2407,2021,Data_Daily!$P$2:$P$2407,1)</f>
        <v>209</v>
      </c>
      <c r="F45" s="30" t="n">
        <f aca="false">AVERAGEIFS(Data_Daily!$Q$2:$Q$2407,Data_Daily!$A$2:$A$2407,$A45,Data_Daily!$O$2:$O$2407,2021,Data_Daily!$P$2:$P$2407,1)</f>
        <v>0.588392553356971</v>
      </c>
      <c r="G45" s="22" t="n">
        <f aca="false">SUMPRODUCT((Data_Daily!$A$2:$A$2407=$A45)*(Data_Daily!$O$2:$O$2407=2021)*(Data_Daily!$P$2:$P$2407=1)*(Data_Daily!$Q$2:$Q$2407-F45)^2)/(E45-1)</f>
        <v>0.027121384371485</v>
      </c>
      <c r="H45" s="35" t="n">
        <f aca="false">(F45-C45)*100</f>
        <v>3.78228880961099</v>
      </c>
      <c r="I45" s="26" t="n">
        <f aca="false">(F45-C45)/SQRT(D45/B45+G45/E45)</f>
        <v>2.11024798335664</v>
      </c>
      <c r="J45" s="32" t="n">
        <f aca="false">(D45/B45+G45/E45)^2/((D45/B45)^2/(B45-1)+(G45/E45)^2/(E45-1))</f>
        <v>423.100151792743</v>
      </c>
      <c r="K45" s="33" t="n">
        <f aca="false">TDIST(ABS(I45),J45,2)</f>
        <v>0.0354235669744127</v>
      </c>
      <c r="L45" s="7" t="str">
        <f aca="false">IF(K45&lt;0.05,IF(H45&lt;0,"Significant DROP","Significant RISE"),"No change")</f>
        <v>Significant RISE</v>
      </c>
    </row>
    <row r="48" customFormat="false" ht="15" hidden="false" customHeight="false" outlineLevel="0" collapsed="false">
      <c r="A48" s="5" t="s">
        <v>631</v>
      </c>
    </row>
    <row r="49" customFormat="false" ht="15" hidden="false" customHeight="true" outlineLevel="0" collapsed="false">
      <c r="A49" s="5" t="s">
        <v>586</v>
      </c>
      <c r="B49" s="36" t="n">
        <f aca="false">COUNTIF(Data_Daily!$P$2:$P$2407,1)</f>
        <v>2156</v>
      </c>
      <c r="D49" s="4" t="s">
        <v>632</v>
      </c>
      <c r="E49" s="4"/>
      <c r="F49" s="4"/>
      <c r="G49" s="4"/>
      <c r="H49" s="4"/>
      <c r="I49" s="4"/>
      <c r="J49" s="4"/>
      <c r="K49" s="4"/>
    </row>
    <row r="50" customFormat="false" ht="15" hidden="false" customHeight="false" outlineLevel="0" collapsed="false">
      <c r="A50" s="5" t="s">
        <v>633</v>
      </c>
      <c r="B50" s="8" t="n">
        <f aca="false">AVERAGEIF(Data_Daily!$P$2:$P$2407,1,Data_Daily!$R$2:$R$2407)</f>
        <v>4.71007381366898</v>
      </c>
      <c r="D50" s="4"/>
      <c r="E50" s="4"/>
      <c r="F50" s="4"/>
      <c r="G50" s="4"/>
      <c r="H50" s="4"/>
      <c r="I50" s="4"/>
      <c r="J50" s="4"/>
      <c r="K50" s="4"/>
    </row>
    <row r="51" customFormat="false" ht="15" hidden="false" customHeight="false" outlineLevel="0" collapsed="false">
      <c r="A51" s="5" t="s">
        <v>634</v>
      </c>
      <c r="B51" s="30" t="n">
        <f aca="false">AVERAGEIF(Data_Daily!$P$2:$P$2407,1,Data_Daily!$Q$2:$Q$2407)</f>
        <v>0.510787180458924</v>
      </c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5" t="s">
        <v>635</v>
      </c>
      <c r="B52" s="8" t="n">
        <f aca="false">SUMPRODUCT((Data_Daily!$P$2:$P$2407=1)*(Data_Daily!$R$2:$R$2407-B50)*(Data_Daily!$Q$2:$Q$2407-B51))</f>
        <v>-588.519599573482</v>
      </c>
    </row>
    <row r="53" customFormat="false" ht="15" hidden="false" customHeight="false" outlineLevel="0" collapsed="false">
      <c r="A53" s="5" t="s">
        <v>636</v>
      </c>
      <c r="B53" s="8" t="n">
        <f aca="false">SUMPRODUCT((Data_Daily!$P$2:$P$2407=1)*(Data_Daily!$R$2:$R$2407-B50)^2)</f>
        <v>34054.5914725723</v>
      </c>
    </row>
    <row r="54" customFormat="false" ht="15" hidden="false" customHeight="false" outlineLevel="0" collapsed="false">
      <c r="A54" s="5" t="s">
        <v>637</v>
      </c>
      <c r="B54" s="8" t="n">
        <f aca="false">SUMPRODUCT((Data_Daily!$P$2:$P$2407=1)*(Data_Daily!$Q$2:$Q$2407-B51)^2)</f>
        <v>71.2167416239991</v>
      </c>
    </row>
    <row r="55" customFormat="false" ht="15" hidden="false" customHeight="false" outlineLevel="0" collapsed="false">
      <c r="A55" s="5" t="s">
        <v>638</v>
      </c>
      <c r="B55" s="34" t="n">
        <f aca="false">B52/B53</f>
        <v>-0.017281652021798</v>
      </c>
    </row>
    <row r="56" customFormat="false" ht="15" hidden="false" customHeight="false" outlineLevel="0" collapsed="false">
      <c r="A56" s="5" t="s">
        <v>639</v>
      </c>
      <c r="B56" s="17" t="n">
        <f aca="false">B51-B55*B50</f>
        <v>0.592185037103734</v>
      </c>
    </row>
    <row r="57" customFormat="false" ht="15" hidden="false" customHeight="false" outlineLevel="0" collapsed="false">
      <c r="A57" s="5" t="s">
        <v>640</v>
      </c>
      <c r="B57" s="34" t="n">
        <f aca="false">B52^2/(B53*B54)</f>
        <v>0.142811798123736</v>
      </c>
    </row>
    <row r="58" customFormat="false" ht="15" hidden="false" customHeight="false" outlineLevel="0" collapsed="false">
      <c r="A58" s="5" t="s">
        <v>641</v>
      </c>
      <c r="B58" s="26" t="n">
        <f aca="false">B55/SQRT((B54-B55*B52)/(B49-2)/B53)</f>
        <v>-18.9437869453739</v>
      </c>
    </row>
    <row r="59" customFormat="false" ht="15" hidden="false" customHeight="false" outlineLevel="0" collapsed="false">
      <c r="A59" s="5" t="s">
        <v>599</v>
      </c>
      <c r="B59" s="33" t="n">
        <f aca="false">TDIST(ABS(B58),B49-2,2)</f>
        <v>3.79957588748214E-074</v>
      </c>
    </row>
  </sheetData>
  <mergeCells count="1">
    <mergeCell ref="D49:K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8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2" t="s">
        <v>643</v>
      </c>
    </row>
    <row r="4" customFormat="false" ht="15" hidden="false" customHeight="false" outlineLevel="0" collapsed="false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572</v>
      </c>
      <c r="G4" s="3" t="s">
        <v>649</v>
      </c>
      <c r="H4" s="3" t="s">
        <v>650</v>
      </c>
    </row>
    <row r="5" customFormat="false" ht="23.85" hidden="false" customHeight="false" outlineLevel="0" collapsed="false">
      <c r="A5" s="4" t="s">
        <v>510</v>
      </c>
      <c r="B5" s="4" t="s">
        <v>651</v>
      </c>
      <c r="C5" s="4" t="s">
        <v>652</v>
      </c>
      <c r="D5" s="9" t="n">
        <v>5</v>
      </c>
      <c r="E5" s="9" t="n">
        <v>2</v>
      </c>
      <c r="F5" s="5" t="n">
        <f aca="false">D5*(6-E5)</f>
        <v>20</v>
      </c>
      <c r="G5" s="7" t="s">
        <v>653</v>
      </c>
      <c r="H5" s="7" t="s">
        <v>274</v>
      </c>
    </row>
    <row r="6" customFormat="false" ht="23.85" hidden="false" customHeight="false" outlineLevel="0" collapsed="false">
      <c r="A6" s="4" t="s">
        <v>654</v>
      </c>
      <c r="B6" s="4" t="s">
        <v>655</v>
      </c>
      <c r="C6" s="4" t="s">
        <v>656</v>
      </c>
      <c r="D6" s="9" t="n">
        <v>5</v>
      </c>
      <c r="E6" s="9" t="n">
        <v>3</v>
      </c>
      <c r="F6" s="5" t="n">
        <f aca="false">D6*(6-E6)</f>
        <v>15</v>
      </c>
      <c r="G6" s="7" t="s">
        <v>657</v>
      </c>
      <c r="H6" s="7" t="s">
        <v>274</v>
      </c>
    </row>
    <row r="7" customFormat="false" ht="15" hidden="false" customHeight="false" outlineLevel="0" collapsed="false">
      <c r="A7" s="4" t="s">
        <v>658</v>
      </c>
      <c r="B7" s="4" t="s">
        <v>659</v>
      </c>
      <c r="C7" s="4" t="s">
        <v>660</v>
      </c>
      <c r="D7" s="9" t="n">
        <v>4</v>
      </c>
      <c r="E7" s="9" t="n">
        <v>2</v>
      </c>
      <c r="F7" s="5" t="n">
        <f aca="false">D7*(6-E7)</f>
        <v>16</v>
      </c>
      <c r="G7" s="7" t="s">
        <v>661</v>
      </c>
      <c r="H7" s="7" t="s">
        <v>274</v>
      </c>
    </row>
    <row r="8" customFormat="false" ht="15" hidden="false" customHeight="false" outlineLevel="0" collapsed="false">
      <c r="A8" s="4" t="s">
        <v>500</v>
      </c>
      <c r="B8" s="4" t="s">
        <v>662</v>
      </c>
      <c r="C8" s="4" t="s">
        <v>663</v>
      </c>
      <c r="D8" s="9" t="n">
        <v>3</v>
      </c>
      <c r="E8" s="9" t="n">
        <v>3</v>
      </c>
      <c r="F8" s="5" t="n">
        <f aca="false">D8*(6-E8)</f>
        <v>9</v>
      </c>
      <c r="G8" s="7" t="s">
        <v>127</v>
      </c>
      <c r="H8" s="7" t="s">
        <v>284</v>
      </c>
    </row>
    <row r="9" customFormat="false" ht="15" hidden="false" customHeight="false" outlineLevel="0" collapsed="false">
      <c r="A9" s="4" t="s">
        <v>664</v>
      </c>
      <c r="B9" s="4" t="s">
        <v>665</v>
      </c>
      <c r="C9" s="4" t="s">
        <v>666</v>
      </c>
      <c r="D9" s="9" t="n">
        <v>3</v>
      </c>
      <c r="E9" s="9" t="n">
        <v>2</v>
      </c>
      <c r="F9" s="5" t="n">
        <f aca="false">D9*(6-E9)</f>
        <v>12</v>
      </c>
      <c r="G9" s="7" t="s">
        <v>667</v>
      </c>
      <c r="H9" s="7" t="s">
        <v>284</v>
      </c>
    </row>
    <row r="10" customFormat="false" ht="15" hidden="false" customHeight="false" outlineLevel="0" collapsed="false">
      <c r="A10" s="4" t="s">
        <v>668</v>
      </c>
      <c r="B10" s="4" t="s">
        <v>669</v>
      </c>
      <c r="C10" s="4" t="s">
        <v>670</v>
      </c>
      <c r="D10" s="9" t="n">
        <v>3</v>
      </c>
      <c r="E10" s="9" t="n">
        <v>3</v>
      </c>
      <c r="F10" s="5" t="n">
        <f aca="false">D10*(6-E10)</f>
        <v>9</v>
      </c>
      <c r="G10" s="7" t="s">
        <v>671</v>
      </c>
      <c r="H10" s="7" t="s">
        <v>284</v>
      </c>
    </row>
    <row r="11" customFormat="false" ht="15" hidden="false" customHeight="false" outlineLevel="0" collapsed="false">
      <c r="A11" s="4" t="s">
        <v>672</v>
      </c>
      <c r="B11" s="4" t="s">
        <v>673</v>
      </c>
      <c r="C11" s="4" t="s">
        <v>674</v>
      </c>
      <c r="D11" s="9" t="n">
        <v>3</v>
      </c>
      <c r="E11" s="9" t="n">
        <v>2</v>
      </c>
      <c r="F11" s="5" t="n">
        <f aca="false">D11*(6-E11)</f>
        <v>12</v>
      </c>
      <c r="G11" s="7" t="s">
        <v>675</v>
      </c>
      <c r="H11" s="7" t="s">
        <v>284</v>
      </c>
    </row>
    <row r="12" customFormat="false" ht="15" hidden="false" customHeight="false" outlineLevel="0" collapsed="false">
      <c r="A12" s="4" t="s">
        <v>676</v>
      </c>
      <c r="B12" s="4" t="s">
        <v>677</v>
      </c>
      <c r="C12" s="4" t="s">
        <v>678</v>
      </c>
      <c r="D12" s="9" t="n">
        <v>3</v>
      </c>
      <c r="E12" s="9" t="n">
        <v>2</v>
      </c>
      <c r="F12" s="5" t="n">
        <f aca="false">D12*(6-E12)</f>
        <v>12</v>
      </c>
      <c r="G12" s="7" t="s">
        <v>679</v>
      </c>
      <c r="H12" s="7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680</v>
      </c>
    </row>
    <row r="2" customFormat="false" ht="15" hidden="false" customHeight="false" outlineLevel="0" collapsed="false">
      <c r="A2" s="2" t="s">
        <v>681</v>
      </c>
    </row>
    <row r="5" customFormat="false" ht="15" hidden="false" customHeight="false" outlineLevel="0" collapsed="false">
      <c r="A5" s="5" t="s">
        <v>682</v>
      </c>
      <c r="B5" s="16" t="n">
        <f aca="false">M2_OEE!D10</f>
        <v>37596.3545941667</v>
      </c>
    </row>
    <row r="6" customFormat="false" ht="15" hidden="false" customHeight="false" outlineLevel="0" collapsed="false">
      <c r="A6" s="5" t="s">
        <v>683</v>
      </c>
      <c r="B6" s="16" t="n">
        <f aca="false">M2_OEE!E10</f>
        <v>24182.9538586111</v>
      </c>
    </row>
    <row r="7" customFormat="false" ht="15" hidden="false" customHeight="false" outlineLevel="0" collapsed="false">
      <c r="A7" s="5" t="s">
        <v>169</v>
      </c>
      <c r="B7" s="30" t="n">
        <f aca="false">M2_OEE!M10</f>
        <v>0.807630438287118</v>
      </c>
    </row>
    <row r="8" customFormat="false" ht="15" hidden="false" customHeight="false" outlineLevel="0" collapsed="false">
      <c r="A8" s="5" t="s">
        <v>174</v>
      </c>
      <c r="B8" s="30" t="n">
        <f aca="false">M2_OEE!N10</f>
        <v>0.995911628203549</v>
      </c>
    </row>
    <row r="9" customFormat="false" ht="15" hidden="false" customHeight="false" outlineLevel="0" collapsed="false">
      <c r="A9" s="5" t="s">
        <v>684</v>
      </c>
      <c r="B9" s="16" t="n">
        <f aca="false">M2_OEE!G10</f>
        <v>10265.9643130556</v>
      </c>
    </row>
    <row r="10" customFormat="false" ht="15" hidden="false" customHeight="false" outlineLevel="0" collapsed="false">
      <c r="A10" s="5" t="s">
        <v>685</v>
      </c>
      <c r="B10" s="16" t="n">
        <f aca="false">SUMIF(M4_Pareto!A:A,"A_001",M4_Pareto!C:C)+SUMIF(M4_Pareto!A:A,"A_006",M4_Pareto!C:C)</f>
        <v>798.796712777778</v>
      </c>
    </row>
    <row r="11" customFormat="false" ht="15" hidden="false" customHeight="false" outlineLevel="0" collapsed="false">
      <c r="A11" s="5" t="s">
        <v>686</v>
      </c>
      <c r="B11" s="16" t="n">
        <f aca="false">SUMIF(M4_Pareto!A:A,"A_065",M4_Pareto!C:C)+SUMIF(M4_Pareto!A:A,"A_101",M4_Pareto!C:C)+SUMIF(M4_Pareto!A:A,"A_066",M4_Pareto!C:C)</f>
        <v>1526.54010111111</v>
      </c>
    </row>
    <row r="12" customFormat="false" ht="15" hidden="false" customHeight="false" outlineLevel="0" collapsed="false">
      <c r="A12" s="5" t="s">
        <v>687</v>
      </c>
      <c r="B12" s="16" t="n">
        <f aca="false">M2_OEE!F10-B10-B11</f>
        <v>822.099608611111</v>
      </c>
    </row>
    <row r="13" customFormat="false" ht="15" hidden="false" customHeight="false" outlineLevel="0" collapsed="false">
      <c r="A13" s="5" t="s">
        <v>688</v>
      </c>
      <c r="B13" s="17" t="n">
        <f aca="false">B6*B7*B8/B5</f>
        <v>0.517365055617048</v>
      </c>
    </row>
    <row r="15" customFormat="false" ht="23.85" hidden="false" customHeight="false" outlineLevel="0" collapsed="false">
      <c r="A15" s="3" t="s">
        <v>689</v>
      </c>
      <c r="B15" s="3" t="s">
        <v>646</v>
      </c>
      <c r="C15" s="3" t="s">
        <v>690</v>
      </c>
      <c r="D15" s="3" t="s">
        <v>691</v>
      </c>
      <c r="E15" s="3" t="s">
        <v>692</v>
      </c>
      <c r="F15" s="3" t="s">
        <v>693</v>
      </c>
      <c r="G15" s="3" t="s">
        <v>694</v>
      </c>
      <c r="H15" s="3" t="s">
        <v>695</v>
      </c>
      <c r="I15" s="3" t="s">
        <v>696</v>
      </c>
    </row>
    <row r="16" customFormat="false" ht="15" hidden="false" customHeight="false" outlineLevel="0" collapsed="false">
      <c r="A16" s="5" t="s">
        <v>697</v>
      </c>
      <c r="F16" s="20" t="n">
        <f aca="false">B6</f>
        <v>24182.9538586111</v>
      </c>
      <c r="G16" s="17" t="n">
        <f aca="false">B7</f>
        <v>0.807630438287118</v>
      </c>
      <c r="H16" s="17" t="n">
        <f aca="false">F16*G16*$B$8/$B$5</f>
        <v>0.517365055617048</v>
      </c>
    </row>
    <row r="17" customFormat="false" ht="15" hidden="false" customHeight="false" outlineLevel="0" collapsed="false">
      <c r="A17" s="4" t="s">
        <v>698</v>
      </c>
      <c r="B17" s="7" t="s">
        <v>699</v>
      </c>
      <c r="C17" s="20" t="n">
        <f aca="false">B10</f>
        <v>798.796712777778</v>
      </c>
      <c r="D17" s="37" t="n">
        <v>0.4</v>
      </c>
      <c r="E17" s="20" t="n">
        <f aca="false">C17*D17</f>
        <v>319.518685111111</v>
      </c>
      <c r="F17" s="20" t="n">
        <f aca="false">F16+E17</f>
        <v>24502.4725437222</v>
      </c>
      <c r="G17" s="17" t="n">
        <f aca="false">G16</f>
        <v>0.807630438287118</v>
      </c>
      <c r="H17" s="17" t="n">
        <f aca="false">F17*G17*$B$8/$B$5</f>
        <v>0.52420077152089</v>
      </c>
      <c r="I17" s="38" t="n">
        <f aca="false">(H17-H16)*100</f>
        <v>0.683571590384235</v>
      </c>
    </row>
    <row r="18" customFormat="false" ht="15" hidden="false" customHeight="false" outlineLevel="0" collapsed="false">
      <c r="A18" s="4" t="s">
        <v>700</v>
      </c>
      <c r="B18" s="7" t="s">
        <v>701</v>
      </c>
      <c r="C18" s="20" t="n">
        <f aca="false">B11</f>
        <v>1526.54010111111</v>
      </c>
      <c r="D18" s="37" t="n">
        <v>0.3</v>
      </c>
      <c r="E18" s="20" t="n">
        <f aca="false">C18*D18</f>
        <v>457.962030333333</v>
      </c>
      <c r="F18" s="20" t="n">
        <f aca="false">F17+E18</f>
        <v>24960.4345740556</v>
      </c>
      <c r="G18" s="17" t="n">
        <f aca="false">G17</f>
        <v>0.807630438287118</v>
      </c>
      <c r="H18" s="17" t="n">
        <f aca="false">F18*G18*$B$8/$B$5</f>
        <v>0.533998315389152</v>
      </c>
      <c r="I18" s="38" t="n">
        <f aca="false">(H18-H17)*100</f>
        <v>0.979754386826215</v>
      </c>
    </row>
    <row r="19" customFormat="false" ht="15" hidden="false" customHeight="false" outlineLevel="0" collapsed="false">
      <c r="A19" s="4" t="s">
        <v>702</v>
      </c>
      <c r="B19" s="7" t="s">
        <v>703</v>
      </c>
      <c r="C19" s="20" t="n">
        <f aca="false">B12</f>
        <v>822.099608611111</v>
      </c>
      <c r="D19" s="37" t="n">
        <v>0.1</v>
      </c>
      <c r="E19" s="20" t="n">
        <f aca="false">C19*D19</f>
        <v>82.2099608611111</v>
      </c>
      <c r="F19" s="20" t="n">
        <f aca="false">F18+E19</f>
        <v>25042.6445349167</v>
      </c>
      <c r="G19" s="17" t="n">
        <f aca="false">G18</f>
        <v>0.807630438287118</v>
      </c>
      <c r="H19" s="17" t="n">
        <f aca="false">F19*G19*$B$8/$B$5</f>
        <v>0.535757098092946</v>
      </c>
      <c r="I19" s="38" t="n">
        <f aca="false">(H19-H18)*100</f>
        <v>0.175878270379437</v>
      </c>
    </row>
    <row r="20" customFormat="false" ht="23.85" hidden="false" customHeight="false" outlineLevel="0" collapsed="false">
      <c r="A20" s="4" t="s">
        <v>704</v>
      </c>
      <c r="B20" s="7" t="s">
        <v>705</v>
      </c>
      <c r="C20" s="20" t="n">
        <f aca="false">B9</f>
        <v>10265.9643130556</v>
      </c>
      <c r="D20" s="37" t="n">
        <v>0.25</v>
      </c>
      <c r="E20" s="20" t="n">
        <f aca="false">C20*D20</f>
        <v>2566.49107826389</v>
      </c>
      <c r="F20" s="20" t="n">
        <f aca="false">F19+E20</f>
        <v>27609.1356131806</v>
      </c>
      <c r="G20" s="17" t="n">
        <f aca="false">G19</f>
        <v>0.807630438287118</v>
      </c>
      <c r="H20" s="17" t="n">
        <f aca="false">F20*G20*$B$8/$B$5</f>
        <v>0.590664071294396</v>
      </c>
      <c r="I20" s="38" t="n">
        <f aca="false">(H20-H19)*100</f>
        <v>5.49069732014496</v>
      </c>
    </row>
    <row r="21" customFormat="false" ht="15" hidden="false" customHeight="false" outlineLevel="0" collapsed="false">
      <c r="A21" s="4" t="s">
        <v>706</v>
      </c>
      <c r="B21" s="7" t="s">
        <v>674</v>
      </c>
      <c r="C21" s="20" t="n">
        <f aca="false">F20*(1-G20)</f>
        <v>5311.15731717906</v>
      </c>
      <c r="D21" s="37" t="n">
        <v>0.2</v>
      </c>
      <c r="E21" s="20" t="n">
        <f aca="false">C21*D21</f>
        <v>1062.23146343581</v>
      </c>
      <c r="F21" s="20" t="n">
        <f aca="false">F20</f>
        <v>27609.1356131806</v>
      </c>
      <c r="G21" s="17" t="n">
        <f aca="false">G20+(1-G20)*D21</f>
        <v>0.846104350629695</v>
      </c>
      <c r="H21" s="17" t="n">
        <f aca="false">F21*G21*$B$8/$B$5</f>
        <v>0.618802136213156</v>
      </c>
      <c r="I21" s="38" t="n">
        <f aca="false">(H21-H20)*100</f>
        <v>2.81380649187605</v>
      </c>
    </row>
    <row r="22" customFormat="false" ht="15" hidden="false" customHeight="false" outlineLevel="0" collapsed="false">
      <c r="A22" s="5" t="s">
        <v>707</v>
      </c>
      <c r="H22" s="18" t="n">
        <f aca="false">H21</f>
        <v>0.618802136213156</v>
      </c>
      <c r="I22" s="39" t="n">
        <f aca="false">(H22-H16)*100</f>
        <v>10.1437080596109</v>
      </c>
    </row>
    <row r="25" customFormat="false" ht="15" hidden="false" customHeight="true" outlineLevel="0" collapsed="false">
      <c r="A25" s="5" t="s">
        <v>708</v>
      </c>
      <c r="B25" s="16" t="n">
        <f aca="false">M2_OEE!I10/M2_OEE!E10</f>
        <v>4892.60186504927</v>
      </c>
      <c r="D25" s="4" t="s">
        <v>709</v>
      </c>
      <c r="E25" s="4"/>
      <c r="F25" s="4"/>
      <c r="G25" s="4"/>
      <c r="H25" s="4"/>
      <c r="I25" s="4"/>
    </row>
    <row r="26" customFormat="false" ht="15" hidden="false" customHeight="false" outlineLevel="0" collapsed="false">
      <c r="A26" s="5" t="s">
        <v>710</v>
      </c>
      <c r="B26" s="16" t="n">
        <f aca="false">(H22-H16)*B5*B25/Inputs!$B$8</f>
        <v>9329370.90303353</v>
      </c>
      <c r="D26" s="4"/>
      <c r="E26" s="4"/>
      <c r="F26" s="4"/>
      <c r="G26" s="4"/>
      <c r="H26" s="4"/>
      <c r="I26" s="4"/>
    </row>
    <row r="27" customFormat="false" ht="15" hidden="false" customHeight="false" outlineLevel="0" collapsed="false">
      <c r="A27" s="5" t="s">
        <v>711</v>
      </c>
      <c r="B27" s="16" t="n">
        <f aca="false">B26*Inputs!$B$7</f>
        <v>5597622.54182012</v>
      </c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A28" s="5" t="s">
        <v>712</v>
      </c>
      <c r="B28" s="21" t="n">
        <f aca="false">B27/100000</f>
        <v>55.9762254182012</v>
      </c>
    </row>
    <row r="29" customFormat="false" ht="15" hidden="false" customHeight="false" outlineLevel="0" collapsed="false">
      <c r="A29" s="5" t="s">
        <v>713</v>
      </c>
      <c r="B29" s="16" t="n">
        <f aca="false">(M2_OEE!J10-M2_OEE!K10)/Inputs!$B$8*Inputs!$B$7</f>
        <v>117201.6</v>
      </c>
    </row>
    <row r="30" customFormat="false" ht="15" hidden="false" customHeight="false" outlineLevel="0" collapsed="false">
      <c r="A30" s="5" t="s">
        <v>714</v>
      </c>
      <c r="B30" s="16" t="n">
        <f aca="false">(1-H16)*B5*B25/Inputs!$B$8</f>
        <v>44388899.8032367</v>
      </c>
    </row>
  </sheetData>
  <mergeCells count="1">
    <mergeCell ref="D25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9" min="8" style="0" width="18"/>
  </cols>
  <sheetData>
    <row r="1" customFormat="false" ht="17.35" hidden="false" customHeight="false" outlineLevel="0" collapsed="false">
      <c r="A1" s="1" t="s">
        <v>715</v>
      </c>
    </row>
    <row r="2" customFormat="false" ht="15" hidden="false" customHeight="false" outlineLevel="0" collapsed="false">
      <c r="A2" s="2" t="s">
        <v>716</v>
      </c>
    </row>
    <row r="4" customFormat="false" ht="23.85" hidden="false" customHeight="false" outlineLevel="0" collapsed="false">
      <c r="A4" s="3" t="s">
        <v>245</v>
      </c>
      <c r="B4" s="3" t="s">
        <v>717</v>
      </c>
      <c r="C4" s="3" t="s">
        <v>718</v>
      </c>
      <c r="D4" s="3" t="s">
        <v>719</v>
      </c>
      <c r="E4" s="3" t="s">
        <v>720</v>
      </c>
      <c r="F4" s="3" t="s">
        <v>268</v>
      </c>
      <c r="G4" s="3" t="s">
        <v>721</v>
      </c>
      <c r="H4" s="3" t="s">
        <v>722</v>
      </c>
      <c r="I4" s="3" t="s">
        <v>723</v>
      </c>
    </row>
    <row r="5" customFormat="false" ht="15" hidden="false" customHeight="false" outlineLevel="0" collapsed="false">
      <c r="A5" s="7" t="s">
        <v>258</v>
      </c>
      <c r="B5" s="25" t="n">
        <v>1411</v>
      </c>
      <c r="C5" s="40" t="n">
        <v>36.6217650366171</v>
      </c>
      <c r="D5" s="40" t="n">
        <v>24.8455166666667</v>
      </c>
      <c r="E5" s="40" t="n">
        <v>58.7017666666667</v>
      </c>
      <c r="F5" s="15" t="n">
        <v>861.221841111111</v>
      </c>
      <c r="G5" s="16" t="n">
        <f aca="false">B5/Inputs!$B$8</f>
        <v>705.5</v>
      </c>
      <c r="H5" s="19" t="n">
        <f aca="false">C5*(1-Inputs!$B$18)</f>
        <v>21.9730590219702</v>
      </c>
      <c r="I5" s="16" t="n">
        <f aca="false">F5/Inputs!$B$8*Inputs!$B$18</f>
        <v>172.244368222222</v>
      </c>
    </row>
    <row r="6" customFormat="false" ht="15" hidden="false" customHeight="false" outlineLevel="0" collapsed="false">
      <c r="A6" s="7" t="s">
        <v>259</v>
      </c>
      <c r="B6" s="25" t="n">
        <v>1489</v>
      </c>
      <c r="C6" s="40" t="n">
        <v>52.552336534587</v>
      </c>
      <c r="D6" s="40" t="n">
        <v>50.5282166666667</v>
      </c>
      <c r="E6" s="40" t="n">
        <v>72.2605866666667</v>
      </c>
      <c r="F6" s="15" t="n">
        <v>1304.17381833333</v>
      </c>
      <c r="G6" s="16" t="n">
        <f aca="false">B6/Inputs!$B$8</f>
        <v>744.5</v>
      </c>
      <c r="H6" s="19" t="n">
        <f aca="false">C6*(1-Inputs!$B$18)</f>
        <v>31.5314019207522</v>
      </c>
      <c r="I6" s="16" t="n">
        <f aca="false">F6/Inputs!$B$8*Inputs!$B$18</f>
        <v>260.834763666667</v>
      </c>
    </row>
    <row r="7" customFormat="false" ht="15" hidden="false" customHeight="false" outlineLevel="0" collapsed="false">
      <c r="A7" s="7" t="s">
        <v>260</v>
      </c>
      <c r="B7" s="25" t="n">
        <v>823</v>
      </c>
      <c r="C7" s="40" t="n">
        <v>43.9004723977319</v>
      </c>
      <c r="D7" s="40" t="n">
        <v>15</v>
      </c>
      <c r="E7" s="40" t="n">
        <v>109.828766666667</v>
      </c>
      <c r="F7" s="15" t="n">
        <v>602.168146388889</v>
      </c>
      <c r="G7" s="16" t="n">
        <f aca="false">B7/Inputs!$B$8</f>
        <v>411.5</v>
      </c>
      <c r="H7" s="19" t="n">
        <f aca="false">C7*(1-Inputs!$B$18)</f>
        <v>26.3402834386391</v>
      </c>
      <c r="I7" s="16" t="n">
        <f aca="false">F7/Inputs!$B$8*Inputs!$B$18</f>
        <v>120.433629277778</v>
      </c>
    </row>
    <row r="8" customFormat="false" ht="15" hidden="false" customHeight="false" outlineLevel="0" collapsed="false">
      <c r="A8" s="7" t="s">
        <v>261</v>
      </c>
      <c r="B8" s="25" t="n">
        <v>642</v>
      </c>
      <c r="C8" s="40" t="n">
        <v>68.0521627725857</v>
      </c>
      <c r="D8" s="40" t="n">
        <v>50.1391666666667</v>
      </c>
      <c r="E8" s="40" t="n">
        <v>162.897705</v>
      </c>
      <c r="F8" s="15" t="n">
        <v>728.158141666667</v>
      </c>
      <c r="G8" s="16" t="n">
        <f aca="false">B8/Inputs!$B$8</f>
        <v>321</v>
      </c>
      <c r="H8" s="19" t="n">
        <f aca="false">C8*(1-Inputs!$B$18)</f>
        <v>40.8312976635514</v>
      </c>
      <c r="I8" s="16" t="n">
        <f aca="false">F8/Inputs!$B$8*Inputs!$B$18</f>
        <v>145.631628333333</v>
      </c>
    </row>
    <row r="9" customFormat="false" ht="15" hidden="false" customHeight="false" outlineLevel="0" collapsed="false">
      <c r="A9" s="7" t="s">
        <v>262</v>
      </c>
      <c r="B9" s="25" t="n">
        <v>1604</v>
      </c>
      <c r="C9" s="40" t="n">
        <v>60.395896113882</v>
      </c>
      <c r="D9" s="40" t="n">
        <v>38.9774083333333</v>
      </c>
      <c r="E9" s="40" t="n">
        <v>166.76665</v>
      </c>
      <c r="F9" s="15" t="n">
        <v>1614.58362277778</v>
      </c>
      <c r="G9" s="16" t="n">
        <f aca="false">B9/Inputs!$B$8</f>
        <v>802</v>
      </c>
      <c r="H9" s="19" t="n">
        <f aca="false">C9*(1-Inputs!$B$18)</f>
        <v>36.2375376683292</v>
      </c>
      <c r="I9" s="16" t="n">
        <f aca="false">F9/Inputs!$B$8*Inputs!$B$18</f>
        <v>322.916724555556</v>
      </c>
    </row>
    <row r="10" customFormat="false" ht="15" hidden="false" customHeight="false" outlineLevel="0" collapsed="false">
      <c r="A10" s="5" t="s">
        <v>263</v>
      </c>
      <c r="B10" s="7" t="n">
        <f aca="false">SUM(B5:B9)</f>
        <v>5969</v>
      </c>
      <c r="C10" s="21" t="n">
        <f aca="false">SUMPRODUCT(B5:B9,C5:C9)/B10</f>
        <v>51.3684594097281</v>
      </c>
      <c r="F10" s="20" t="n">
        <f aca="false">SUM(F5:F9)</f>
        <v>5110.30557027778</v>
      </c>
      <c r="I10" s="20" t="n">
        <f aca="false">SUM(I5:I9)</f>
        <v>1022.06111405556</v>
      </c>
    </row>
    <row r="12" customFormat="false" ht="15" hidden="false" customHeight="false" outlineLevel="0" collapsed="false">
      <c r="A12" s="5" t="s">
        <v>724</v>
      </c>
    </row>
    <row r="13" customFormat="false" ht="23.85" hidden="false" customHeight="false" outlineLevel="0" collapsed="false">
      <c r="A13" s="3" t="s">
        <v>725</v>
      </c>
      <c r="B13" s="3" t="s">
        <v>87</v>
      </c>
      <c r="C13" s="3" t="s">
        <v>726</v>
      </c>
      <c r="D13" s="3" t="s">
        <v>727</v>
      </c>
      <c r="E13" s="3" t="s">
        <v>728</v>
      </c>
      <c r="F13" s="3" t="s">
        <v>729</v>
      </c>
      <c r="G13" s="3" t="s">
        <v>730</v>
      </c>
      <c r="H13" s="3" t="s">
        <v>731</v>
      </c>
    </row>
    <row r="14" customFormat="false" ht="15" hidden="false" customHeight="false" outlineLevel="0" collapsed="false">
      <c r="A14" s="25" t="n">
        <v>1</v>
      </c>
      <c r="B14" s="7" t="s">
        <v>732</v>
      </c>
      <c r="C14" s="9" t="n">
        <v>3</v>
      </c>
      <c r="D14" s="7" t="s">
        <v>733</v>
      </c>
      <c r="E14" s="7" t="s">
        <v>734</v>
      </c>
      <c r="F14" s="7" t="s">
        <v>735</v>
      </c>
      <c r="G14" s="9" t="n">
        <v>2</v>
      </c>
      <c r="H14" s="7" t="s">
        <v>733</v>
      </c>
    </row>
    <row r="15" customFormat="false" ht="15" hidden="false" customHeight="false" outlineLevel="0" collapsed="false">
      <c r="A15" s="25" t="n">
        <v>2</v>
      </c>
      <c r="B15" s="7" t="s">
        <v>736</v>
      </c>
      <c r="C15" s="9" t="n">
        <v>8</v>
      </c>
      <c r="D15" s="7" t="s">
        <v>733</v>
      </c>
      <c r="E15" s="7" t="s">
        <v>737</v>
      </c>
      <c r="F15" s="7" t="s">
        <v>738</v>
      </c>
      <c r="G15" s="9" t="n">
        <v>0</v>
      </c>
      <c r="H15" s="7" t="s">
        <v>739</v>
      </c>
    </row>
    <row r="16" customFormat="false" ht="15" hidden="false" customHeight="false" outlineLevel="0" collapsed="false">
      <c r="A16" s="25" t="n">
        <v>3</v>
      </c>
      <c r="B16" s="7" t="s">
        <v>740</v>
      </c>
      <c r="C16" s="9" t="n">
        <v>6</v>
      </c>
      <c r="D16" s="7" t="s">
        <v>733</v>
      </c>
      <c r="E16" s="7" t="s">
        <v>737</v>
      </c>
      <c r="F16" s="7" t="s">
        <v>741</v>
      </c>
      <c r="G16" s="9" t="n">
        <v>0</v>
      </c>
      <c r="H16" s="7" t="s">
        <v>739</v>
      </c>
    </row>
    <row r="17" customFormat="false" ht="15" hidden="false" customHeight="false" outlineLevel="0" collapsed="false">
      <c r="A17" s="25" t="n">
        <v>4</v>
      </c>
      <c r="B17" s="7" t="s">
        <v>742</v>
      </c>
      <c r="C17" s="9" t="n">
        <v>7</v>
      </c>
      <c r="D17" s="7" t="s">
        <v>733</v>
      </c>
      <c r="E17" s="7" t="s">
        <v>734</v>
      </c>
      <c r="F17" s="7" t="s">
        <v>743</v>
      </c>
      <c r="G17" s="9" t="n">
        <v>4</v>
      </c>
      <c r="H17" s="7" t="s">
        <v>733</v>
      </c>
    </row>
    <row r="18" customFormat="false" ht="15" hidden="false" customHeight="false" outlineLevel="0" collapsed="false">
      <c r="A18" s="25" t="n">
        <v>5</v>
      </c>
      <c r="B18" s="7" t="s">
        <v>744</v>
      </c>
      <c r="C18" s="9" t="n">
        <v>8</v>
      </c>
      <c r="D18" s="7" t="s">
        <v>733</v>
      </c>
      <c r="E18" s="7" t="s">
        <v>734</v>
      </c>
      <c r="F18" s="7" t="s">
        <v>745</v>
      </c>
      <c r="G18" s="9" t="n">
        <v>5</v>
      </c>
      <c r="H18" s="7" t="s">
        <v>733</v>
      </c>
    </row>
    <row r="19" customFormat="false" ht="15" hidden="false" customHeight="false" outlineLevel="0" collapsed="false">
      <c r="A19" s="25" t="n">
        <v>6</v>
      </c>
      <c r="B19" s="7" t="s">
        <v>746</v>
      </c>
      <c r="C19" s="9" t="n">
        <v>10</v>
      </c>
      <c r="D19" s="7" t="s">
        <v>733</v>
      </c>
      <c r="E19" s="7" t="s">
        <v>734</v>
      </c>
      <c r="F19" s="7" t="s">
        <v>747</v>
      </c>
      <c r="G19" s="9" t="n">
        <v>3</v>
      </c>
      <c r="H19" s="7" t="s">
        <v>733</v>
      </c>
    </row>
    <row r="20" customFormat="false" ht="15" hidden="false" customHeight="false" outlineLevel="0" collapsed="false">
      <c r="A20" s="25" t="n">
        <v>7</v>
      </c>
      <c r="B20" s="7" t="s">
        <v>748</v>
      </c>
      <c r="C20" s="9" t="n">
        <v>4</v>
      </c>
      <c r="D20" s="7" t="s">
        <v>733</v>
      </c>
      <c r="E20" s="7" t="s">
        <v>734</v>
      </c>
      <c r="F20" s="7" t="s">
        <v>749</v>
      </c>
      <c r="G20" s="9" t="n">
        <v>3</v>
      </c>
      <c r="H20" s="7" t="s">
        <v>733</v>
      </c>
    </row>
    <row r="21" customFormat="false" ht="15" hidden="false" customHeight="false" outlineLevel="0" collapsed="false">
      <c r="A21" s="25" t="n">
        <v>8</v>
      </c>
      <c r="B21" s="7" t="s">
        <v>750</v>
      </c>
      <c r="C21" s="9" t="n">
        <v>3</v>
      </c>
      <c r="D21" s="7" t="s">
        <v>733</v>
      </c>
      <c r="E21" s="7" t="s">
        <v>737</v>
      </c>
      <c r="F21" s="7" t="s">
        <v>751</v>
      </c>
      <c r="G21" s="9" t="n">
        <v>0</v>
      </c>
      <c r="H21" s="7" t="s">
        <v>739</v>
      </c>
    </row>
    <row r="22" customFormat="false" ht="15" hidden="false" customHeight="false" outlineLevel="0" collapsed="false">
      <c r="B22" s="5" t="s">
        <v>752</v>
      </c>
      <c r="C22" s="7" t="n">
        <f aca="false">SUMIF(D14:D21,"Internal",C14:C21)</f>
        <v>49</v>
      </c>
      <c r="G22" s="7" t="n">
        <f aca="false">SUMIF(H14:H21,"Internal",G14:G21)</f>
        <v>17</v>
      </c>
    </row>
    <row r="23" customFormat="false" ht="15" hidden="false" customHeight="false" outlineLevel="0" collapsed="false">
      <c r="B23" s="5" t="s">
        <v>753</v>
      </c>
      <c r="G23" s="41" t="n">
        <f aca="false">1-G22/C22</f>
        <v>0.653061224489796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754</v>
      </c>
    </row>
    <row r="2" customFormat="false" ht="15" hidden="false" customHeight="false" outlineLevel="0" collapsed="false">
      <c r="A2" s="2" t="s">
        <v>755</v>
      </c>
    </row>
    <row r="4" customFormat="false" ht="15" hidden="false" customHeight="false" outlineLevel="0" collapsed="false">
      <c r="A4" s="3" t="s">
        <v>756</v>
      </c>
      <c r="B4" s="3" t="s">
        <v>757</v>
      </c>
      <c r="C4" s="3" t="s">
        <v>758</v>
      </c>
      <c r="D4" s="3" t="s">
        <v>759</v>
      </c>
      <c r="E4" s="3" t="s">
        <v>760</v>
      </c>
    </row>
    <row r="5" customFormat="false" ht="23.85" hidden="false" customHeight="false" outlineLevel="0" collapsed="false">
      <c r="A5" s="4" t="s">
        <v>761</v>
      </c>
      <c r="B5" s="4" t="s">
        <v>762</v>
      </c>
      <c r="C5" s="4" t="s">
        <v>763</v>
      </c>
      <c r="D5" s="4" t="s">
        <v>764</v>
      </c>
      <c r="E5" s="4" t="s">
        <v>765</v>
      </c>
    </row>
    <row r="6" customFormat="false" ht="15" hidden="false" customHeight="false" outlineLevel="0" collapsed="false">
      <c r="A6" s="4" t="s">
        <v>500</v>
      </c>
      <c r="B6" s="4" t="s">
        <v>766</v>
      </c>
      <c r="C6" s="4" t="s">
        <v>767</v>
      </c>
      <c r="D6" s="4" t="s">
        <v>768</v>
      </c>
      <c r="E6" s="4" t="s">
        <v>769</v>
      </c>
    </row>
    <row r="7" customFormat="false" ht="15" hidden="false" customHeight="false" outlineLevel="0" collapsed="false">
      <c r="A7" s="4" t="s">
        <v>770</v>
      </c>
      <c r="B7" s="4" t="s">
        <v>771</v>
      </c>
      <c r="C7" s="4" t="s">
        <v>772</v>
      </c>
      <c r="D7" s="4" t="s">
        <v>773</v>
      </c>
      <c r="E7" s="4" t="s">
        <v>774</v>
      </c>
    </row>
    <row r="8" customFormat="false" ht="15" hidden="false" customHeight="false" outlineLevel="0" collapsed="false">
      <c r="A8" s="4" t="s">
        <v>775</v>
      </c>
      <c r="B8" s="4" t="s">
        <v>776</v>
      </c>
      <c r="C8" s="4" t="s">
        <v>777</v>
      </c>
      <c r="D8" s="4" t="s">
        <v>768</v>
      </c>
      <c r="E8" s="4" t="s">
        <v>778</v>
      </c>
    </row>
    <row r="9" customFormat="false" ht="15" hidden="false" customHeight="false" outlineLevel="0" collapsed="false">
      <c r="A9" s="4" t="s">
        <v>779</v>
      </c>
      <c r="B9" s="4" t="s">
        <v>780</v>
      </c>
      <c r="C9" s="4" t="s">
        <v>763</v>
      </c>
      <c r="D9" s="4" t="s">
        <v>768</v>
      </c>
      <c r="E9" s="4" t="s">
        <v>781</v>
      </c>
    </row>
    <row r="10" customFormat="false" ht="15" hidden="false" customHeight="false" outlineLevel="0" collapsed="false">
      <c r="A10" s="4" t="s">
        <v>782</v>
      </c>
      <c r="B10" s="4" t="s">
        <v>783</v>
      </c>
      <c r="C10" s="4" t="s">
        <v>777</v>
      </c>
      <c r="D10" s="4" t="s">
        <v>768</v>
      </c>
      <c r="E10" s="4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784</v>
      </c>
    </row>
    <row r="2" customFormat="false" ht="15" hidden="false" customHeight="false" outlineLevel="0" collapsed="false">
      <c r="A2" s="2" t="s">
        <v>785</v>
      </c>
    </row>
    <row r="4" customFormat="false" ht="15" hidden="false" customHeight="false" outlineLevel="0" collapsed="false">
      <c r="A4" s="3" t="s">
        <v>568</v>
      </c>
      <c r="B4" s="3" t="s">
        <v>786</v>
      </c>
      <c r="C4" s="3" t="s">
        <v>787</v>
      </c>
    </row>
    <row r="5" customFormat="false" ht="15" hidden="false" customHeight="false" outlineLevel="0" collapsed="false">
      <c r="A5" s="7" t="s">
        <v>788</v>
      </c>
      <c r="B5" s="7" t="s">
        <v>789</v>
      </c>
      <c r="C5" s="9" t="n">
        <v>3</v>
      </c>
    </row>
    <row r="6" customFormat="false" ht="15" hidden="false" customHeight="false" outlineLevel="0" collapsed="false">
      <c r="A6" s="7" t="s">
        <v>788</v>
      </c>
      <c r="B6" s="7" t="s">
        <v>790</v>
      </c>
      <c r="C6" s="9" t="n">
        <v>2</v>
      </c>
    </row>
    <row r="7" customFormat="false" ht="15" hidden="false" customHeight="false" outlineLevel="0" collapsed="false">
      <c r="A7" s="7" t="s">
        <v>791</v>
      </c>
      <c r="B7" s="7" t="s">
        <v>792</v>
      </c>
      <c r="C7" s="9" t="n">
        <v>2</v>
      </c>
    </row>
    <row r="8" customFormat="false" ht="15" hidden="false" customHeight="false" outlineLevel="0" collapsed="false">
      <c r="A8" s="7" t="s">
        <v>791</v>
      </c>
      <c r="B8" s="7" t="s">
        <v>793</v>
      </c>
      <c r="C8" s="9" t="n">
        <v>1</v>
      </c>
    </row>
    <row r="9" customFormat="false" ht="15" hidden="false" customHeight="false" outlineLevel="0" collapsed="false">
      <c r="A9" s="7" t="s">
        <v>794</v>
      </c>
      <c r="B9" s="7" t="s">
        <v>795</v>
      </c>
      <c r="C9" s="9" t="n">
        <v>1</v>
      </c>
    </row>
    <row r="10" customFormat="false" ht="15" hidden="false" customHeight="false" outlineLevel="0" collapsed="false">
      <c r="A10" s="7" t="s">
        <v>794</v>
      </c>
      <c r="B10" s="7" t="s">
        <v>796</v>
      </c>
      <c r="C10" s="9" t="n">
        <v>2</v>
      </c>
    </row>
    <row r="11" customFormat="false" ht="15" hidden="false" customHeight="false" outlineLevel="0" collapsed="false">
      <c r="A11" s="7" t="s">
        <v>797</v>
      </c>
      <c r="B11" s="7" t="s">
        <v>798</v>
      </c>
      <c r="C11" s="9" t="n">
        <v>1</v>
      </c>
    </row>
    <row r="12" customFormat="false" ht="15" hidden="false" customHeight="false" outlineLevel="0" collapsed="false">
      <c r="A12" s="7" t="s">
        <v>797</v>
      </c>
      <c r="B12" s="7" t="s">
        <v>799</v>
      </c>
      <c r="C12" s="9" t="n">
        <v>1</v>
      </c>
    </row>
    <row r="13" customFormat="false" ht="15" hidden="false" customHeight="false" outlineLevel="0" collapsed="false">
      <c r="A13" s="7" t="s">
        <v>800</v>
      </c>
      <c r="B13" s="7" t="s">
        <v>801</v>
      </c>
      <c r="C13" s="9" t="n">
        <v>2</v>
      </c>
    </row>
    <row r="14" customFormat="false" ht="15" hidden="false" customHeight="false" outlineLevel="0" collapsed="false">
      <c r="A14" s="7" t="s">
        <v>800</v>
      </c>
      <c r="B14" s="7" t="s">
        <v>802</v>
      </c>
      <c r="C14" s="9" t="n">
        <v>1</v>
      </c>
    </row>
    <row r="16" customFormat="false" ht="15" hidden="false" customHeight="false" outlineLevel="0" collapsed="false">
      <c r="A16" s="3" t="s">
        <v>568</v>
      </c>
      <c r="B16" s="3" t="s">
        <v>803</v>
      </c>
      <c r="C16" s="3"/>
    </row>
    <row r="17" customFormat="false" ht="15" hidden="false" customHeight="false" outlineLevel="0" collapsed="false">
      <c r="A17" s="7" t="s">
        <v>788</v>
      </c>
      <c r="B17" s="41" t="n">
        <f aca="false">SUMIF($A$5:$A$14,A17,$C$5:$C$14)/(COUNTIF($A$5:$A$14,A17)*4)</f>
        <v>0.625</v>
      </c>
    </row>
    <row r="18" customFormat="false" ht="15" hidden="false" customHeight="false" outlineLevel="0" collapsed="false">
      <c r="A18" s="7" t="s">
        <v>791</v>
      </c>
      <c r="B18" s="41" t="n">
        <f aca="false">SUMIF($A$5:$A$14,A18,$C$5:$C$14)/(COUNTIF($A$5:$A$14,A18)*4)</f>
        <v>0.375</v>
      </c>
    </row>
    <row r="19" customFormat="false" ht="15" hidden="false" customHeight="false" outlineLevel="0" collapsed="false">
      <c r="A19" s="7" t="s">
        <v>794</v>
      </c>
      <c r="B19" s="41" t="n">
        <f aca="false">SUMIF($A$5:$A$14,A19,$C$5:$C$14)/(COUNTIF($A$5:$A$14,A19)*4)</f>
        <v>0.375</v>
      </c>
    </row>
    <row r="20" customFormat="false" ht="15" hidden="false" customHeight="false" outlineLevel="0" collapsed="false">
      <c r="A20" s="7" t="s">
        <v>797</v>
      </c>
      <c r="B20" s="41" t="n">
        <f aca="false">SUMIF($A$5:$A$14,A20,$C$5:$C$14)/(COUNTIF($A$5:$A$14,A20)*4)</f>
        <v>0.25</v>
      </c>
    </row>
    <row r="21" customFormat="false" ht="15" hidden="false" customHeight="false" outlineLevel="0" collapsed="false">
      <c r="A21" s="7" t="s">
        <v>800</v>
      </c>
      <c r="B21" s="41" t="n">
        <f aca="false">SUMIF($A$5:$A$14,A21,$C$5:$C$14)/(COUNTIF($A$5:$A$14,A21)*4)</f>
        <v>0.375</v>
      </c>
    </row>
    <row r="22" customFormat="false" ht="15" hidden="false" customHeight="false" outlineLevel="0" collapsed="false">
      <c r="A22" s="5" t="s">
        <v>804</v>
      </c>
      <c r="B22" s="42" t="n">
        <f aca="false">SUM(C5:C14)/(COUNT(C5:C14)*4)</f>
        <v>0.4</v>
      </c>
    </row>
    <row r="23" customFormat="false" ht="15" hidden="false" customHeight="false" outlineLevel="0" collapsed="false">
      <c r="A23" s="7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806</v>
      </c>
    </row>
    <row r="2" customFormat="false" ht="15" hidden="false" customHeight="false" outlineLevel="0" collapsed="false">
      <c r="A2" s="2" t="s">
        <v>807</v>
      </c>
    </row>
    <row r="4" customFormat="false" ht="15" hidden="false" customHeight="false" outlineLevel="0" collapsed="false">
      <c r="A4" s="3" t="s">
        <v>808</v>
      </c>
      <c r="B4" s="3" t="s">
        <v>809</v>
      </c>
      <c r="C4" s="3" t="s">
        <v>810</v>
      </c>
    </row>
    <row r="5" customFormat="false" ht="15" hidden="false" customHeight="false" outlineLevel="0" collapsed="false">
      <c r="A5" s="4" t="s">
        <v>811</v>
      </c>
      <c r="B5" s="4" t="s">
        <v>812</v>
      </c>
      <c r="C5" s="4" t="s">
        <v>813</v>
      </c>
    </row>
    <row r="6" customFormat="false" ht="15" hidden="false" customHeight="false" outlineLevel="0" collapsed="false">
      <c r="A6" s="4" t="s">
        <v>814</v>
      </c>
      <c r="B6" s="4" t="s">
        <v>815</v>
      </c>
      <c r="C6" s="4" t="s">
        <v>816</v>
      </c>
    </row>
    <row r="7" customFormat="false" ht="15" hidden="false" customHeight="false" outlineLevel="0" collapsed="false">
      <c r="A7" s="4" t="s">
        <v>817</v>
      </c>
      <c r="B7" s="4" t="s">
        <v>818</v>
      </c>
      <c r="C7" s="4" t="s">
        <v>819</v>
      </c>
    </row>
    <row r="8" customFormat="false" ht="15" hidden="false" customHeight="false" outlineLevel="0" collapsed="false">
      <c r="A8" s="4" t="s">
        <v>820</v>
      </c>
      <c r="B8" s="4" t="s">
        <v>821</v>
      </c>
      <c r="C8" s="4" t="s">
        <v>822</v>
      </c>
    </row>
    <row r="9" customFormat="false" ht="15" hidden="false" customHeight="false" outlineLevel="0" collapsed="false">
      <c r="A9" s="4" t="s">
        <v>823</v>
      </c>
      <c r="B9" s="4" t="s">
        <v>824</v>
      </c>
      <c r="C9" s="4" t="s">
        <v>825</v>
      </c>
    </row>
    <row r="11" customFormat="false" ht="23.85" hidden="false" customHeight="false" outlineLevel="0" collapsed="false">
      <c r="A11" s="3" t="s">
        <v>826</v>
      </c>
      <c r="B11" s="3" t="s">
        <v>827</v>
      </c>
      <c r="C11" s="3" t="s">
        <v>649</v>
      </c>
      <c r="D11" s="3" t="s">
        <v>828</v>
      </c>
      <c r="E11" s="3" t="s">
        <v>494</v>
      </c>
      <c r="F11" s="3" t="s">
        <v>829</v>
      </c>
      <c r="G11" s="3" t="s">
        <v>830</v>
      </c>
    </row>
    <row r="12" customFormat="false" ht="15" hidden="false" customHeight="false" outlineLevel="0" collapsed="false">
      <c r="A12" s="7" t="s">
        <v>831</v>
      </c>
      <c r="B12" s="7" t="s">
        <v>832</v>
      </c>
      <c r="C12" s="7" t="s">
        <v>833</v>
      </c>
      <c r="D12" s="7" t="s">
        <v>834</v>
      </c>
      <c r="E12" s="7" t="s">
        <v>835</v>
      </c>
      <c r="F12" s="8" t="n">
        <f aca="false">SUMIF(M4_Pareto!A:A,"A_065",M4_Pareto!B:B)/M2_OEE!E5</f>
        <v>2.04033429220003</v>
      </c>
      <c r="G12" s="43"/>
    </row>
    <row r="13" customFormat="false" ht="15" hidden="false" customHeight="false" outlineLevel="0" collapsed="false">
      <c r="A13" s="7" t="s">
        <v>836</v>
      </c>
      <c r="B13" s="7" t="s">
        <v>837</v>
      </c>
      <c r="C13" s="7" t="s">
        <v>838</v>
      </c>
      <c r="D13" s="7" t="s">
        <v>839</v>
      </c>
      <c r="E13" s="7" t="s">
        <v>835</v>
      </c>
      <c r="F13" s="44"/>
      <c r="G13" s="43"/>
    </row>
    <row r="14" customFormat="false" ht="15" hidden="false" customHeight="false" outlineLevel="0" collapsed="false">
      <c r="A14" s="7" t="s">
        <v>840</v>
      </c>
      <c r="B14" s="7" t="s">
        <v>841</v>
      </c>
      <c r="C14" s="7" t="s">
        <v>842</v>
      </c>
      <c r="D14" s="7" t="s">
        <v>843</v>
      </c>
      <c r="E14" s="7" t="s">
        <v>835</v>
      </c>
      <c r="F14" s="44"/>
      <c r="G14" s="43"/>
    </row>
    <row r="15" customFormat="false" ht="15" hidden="false" customHeight="false" outlineLevel="0" collapsed="false">
      <c r="A15" s="7" t="s">
        <v>844</v>
      </c>
      <c r="B15" s="7" t="s">
        <v>845</v>
      </c>
      <c r="C15" s="7" t="s">
        <v>846</v>
      </c>
      <c r="D15" s="7" t="s">
        <v>847</v>
      </c>
      <c r="E15" s="7" t="s">
        <v>835</v>
      </c>
      <c r="F15" s="44"/>
      <c r="G15" s="4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848</v>
      </c>
    </row>
    <row r="2" customFormat="false" ht="15" hidden="false" customHeight="false" outlineLevel="0" collapsed="false">
      <c r="A2" s="2" t="s">
        <v>849</v>
      </c>
    </row>
    <row r="4" customFormat="false" ht="23.85" hidden="false" customHeight="false" outlineLevel="0" collapsed="false">
      <c r="A4" s="3" t="s">
        <v>245</v>
      </c>
      <c r="B4" s="3" t="s">
        <v>850</v>
      </c>
      <c r="C4" s="3" t="s">
        <v>851</v>
      </c>
      <c r="D4" s="3" t="s">
        <v>852</v>
      </c>
      <c r="E4" s="3" t="s">
        <v>853</v>
      </c>
      <c r="F4" s="3" t="s">
        <v>854</v>
      </c>
      <c r="G4" s="3" t="s">
        <v>855</v>
      </c>
    </row>
    <row r="5" customFormat="false" ht="15" hidden="false" customHeight="false" outlineLevel="0" collapsed="false">
      <c r="A5" s="7" t="s">
        <v>258</v>
      </c>
      <c r="B5" s="16" t="n">
        <f aca="false">M2_OEE!J5/M2_OEE!D5</f>
        <v>2627.79691252093</v>
      </c>
      <c r="C5" s="16" t="n">
        <f aca="false">M2_OEE!I5/M2_OEE!E5</f>
        <v>4011.28617908238</v>
      </c>
      <c r="D5" s="29" t="n">
        <f aca="false">ROUNDUP(B5*Inputs!$B$16*(1+Inputs!$B$17)/Inputs!$B$15,0)</f>
        <v>13</v>
      </c>
      <c r="E5" s="29" t="n">
        <f aca="false">ROUNDUP(C5*Inputs!$B$16*(1+Inputs!$B$17)/Inputs!$B$15,0)</f>
        <v>19</v>
      </c>
      <c r="F5" s="16" t="n">
        <f aca="false">E5*Inputs!$B$15</f>
        <v>38000</v>
      </c>
      <c r="G5" s="21" t="n">
        <f aca="false">F5/B5</f>
        <v>14.4607826498835</v>
      </c>
    </row>
    <row r="6" customFormat="false" ht="15" hidden="false" customHeight="false" outlineLevel="0" collapsed="false">
      <c r="A6" s="7" t="s">
        <v>259</v>
      </c>
      <c r="B6" s="16" t="n">
        <f aca="false">M2_OEE!J6/M2_OEE!D6</f>
        <v>2002.58084768492</v>
      </c>
      <c r="C6" s="16" t="n">
        <f aca="false">M2_OEE!I6/M2_OEE!E6</f>
        <v>6179.92892321827</v>
      </c>
      <c r="D6" s="29" t="n">
        <f aca="false">ROUNDUP(B6*Inputs!$B$16*(1+Inputs!$B$17)/Inputs!$B$15,0)</f>
        <v>10</v>
      </c>
      <c r="E6" s="29" t="n">
        <f aca="false">ROUNDUP(C6*Inputs!$B$16*(1+Inputs!$B$17)/Inputs!$B$15,0)</f>
        <v>29</v>
      </c>
      <c r="F6" s="16" t="n">
        <f aca="false">E6*Inputs!$B$15</f>
        <v>58000</v>
      </c>
      <c r="G6" s="21" t="n">
        <f aca="false">F6/B6</f>
        <v>28.9626259369507</v>
      </c>
    </row>
    <row r="7" customFormat="false" ht="15" hidden="false" customHeight="false" outlineLevel="0" collapsed="false">
      <c r="A7" s="7" t="s">
        <v>260</v>
      </c>
      <c r="B7" s="16" t="n">
        <f aca="false">M2_OEE!J7/M2_OEE!D7</f>
        <v>1764.36381819119</v>
      </c>
      <c r="C7" s="16" t="n">
        <f aca="false">M2_OEE!I7/M2_OEE!E7</f>
        <v>3985.73051035796</v>
      </c>
      <c r="D7" s="29" t="n">
        <f aca="false">ROUNDUP(B7*Inputs!$B$16*(1+Inputs!$B$17)/Inputs!$B$15,0)</f>
        <v>9</v>
      </c>
      <c r="E7" s="29" t="n">
        <f aca="false">ROUNDUP(C7*Inputs!$B$16*(1+Inputs!$B$17)/Inputs!$B$15,0)</f>
        <v>19</v>
      </c>
      <c r="F7" s="16" t="n">
        <f aca="false">E7*Inputs!$B$15</f>
        <v>38000</v>
      </c>
      <c r="G7" s="21" t="n">
        <f aca="false">F7/B7</f>
        <v>21.5375080854681</v>
      </c>
    </row>
    <row r="8" customFormat="false" ht="15" hidden="false" customHeight="false" outlineLevel="0" collapsed="false">
      <c r="A8" s="7" t="s">
        <v>261</v>
      </c>
      <c r="B8" s="16" t="n">
        <f aca="false">M2_OEE!J8/M2_OEE!D8</f>
        <v>2504.72109386644</v>
      </c>
      <c r="C8" s="16" t="n">
        <f aca="false">M2_OEE!I8/M2_OEE!E8</f>
        <v>5551.37027919258</v>
      </c>
      <c r="D8" s="29" t="n">
        <f aca="false">ROUNDUP(B8*Inputs!$B$16*(1+Inputs!$B$17)/Inputs!$B$15,0)</f>
        <v>12</v>
      </c>
      <c r="E8" s="29" t="n">
        <f aca="false">ROUNDUP(C8*Inputs!$B$16*(1+Inputs!$B$17)/Inputs!$B$15,0)</f>
        <v>26</v>
      </c>
      <c r="F8" s="16" t="n">
        <f aca="false">E8*Inputs!$B$15</f>
        <v>52000</v>
      </c>
      <c r="G8" s="21" t="n">
        <f aca="false">F8/B8</f>
        <v>20.7607945361013</v>
      </c>
    </row>
    <row r="9" customFormat="false" ht="15" hidden="false" customHeight="false" outlineLevel="0" collapsed="false">
      <c r="A9" s="7" t="s">
        <v>262</v>
      </c>
      <c r="B9" s="16" t="n">
        <f aca="false">M2_OEE!J9/M2_OEE!D9</f>
        <v>3317.47301462095</v>
      </c>
      <c r="C9" s="16" t="n">
        <f aca="false">M2_OEE!I9/M2_OEE!E9</f>
        <v>5982.18121389819</v>
      </c>
      <c r="D9" s="29" t="n">
        <f aca="false">ROUNDUP(B9*Inputs!$B$16*(1+Inputs!$B$17)/Inputs!$B$15,0)</f>
        <v>16</v>
      </c>
      <c r="E9" s="29" t="n">
        <f aca="false">ROUNDUP(C9*Inputs!$B$16*(1+Inputs!$B$17)/Inputs!$B$15,0)</f>
        <v>28</v>
      </c>
      <c r="F9" s="16" t="n">
        <f aca="false">E9*Inputs!$B$15</f>
        <v>56000</v>
      </c>
      <c r="G9" s="21" t="n">
        <f aca="false">F9/B9</f>
        <v>16.8803181678325</v>
      </c>
    </row>
    <row r="11" customFormat="false" ht="15" hidden="false" customHeight="true" outlineLevel="0" collapsed="false">
      <c r="A11" s="4" t="s">
        <v>856</v>
      </c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</sheetData>
  <mergeCells count="1">
    <mergeCell ref="A11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C46A"/>
    <pageSetUpPr fitToPage="false"/>
  </sheetPr>
  <dimension ref="A1:Z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17.35" hidden="false" customHeight="false" outlineLevel="0" collapsed="false">
      <c r="A1" s="1" t="s">
        <v>857</v>
      </c>
    </row>
    <row r="2" customFormat="false" ht="15" hidden="false" customHeight="false" outlineLevel="0" collapsed="false">
      <c r="A2" s="2" t="s">
        <v>858</v>
      </c>
    </row>
    <row r="4" customFormat="false" ht="23.85" hidden="false" customHeight="false" outlineLevel="0" collapsed="false">
      <c r="A4" s="3" t="s">
        <v>245</v>
      </c>
      <c r="B4" s="3" t="s">
        <v>859</v>
      </c>
      <c r="C4" s="3" t="s">
        <v>860</v>
      </c>
      <c r="D4" s="3" t="s">
        <v>861</v>
      </c>
      <c r="E4" s="3" t="s">
        <v>862</v>
      </c>
      <c r="F4" s="3" t="s">
        <v>863</v>
      </c>
      <c r="G4" s="3" t="s">
        <v>864</v>
      </c>
      <c r="H4" s="3" t="s">
        <v>865</v>
      </c>
      <c r="I4" s="3" t="s">
        <v>866</v>
      </c>
      <c r="J4" s="3" t="s">
        <v>867</v>
      </c>
      <c r="K4" s="3" t="s">
        <v>868</v>
      </c>
      <c r="L4" s="3" t="s">
        <v>869</v>
      </c>
      <c r="M4" s="3" t="s">
        <v>870</v>
      </c>
      <c r="N4" s="3" t="s">
        <v>871</v>
      </c>
      <c r="O4" s="3" t="s">
        <v>872</v>
      </c>
    </row>
    <row r="5" customFormat="false" ht="15" hidden="false" customHeight="false" outlineLevel="0" collapsed="false">
      <c r="A5" s="7" t="s">
        <v>258</v>
      </c>
      <c r="B5" s="15" t="n">
        <v>42412.043715847</v>
      </c>
      <c r="C5" s="15" t="n">
        <v>26514.72278417</v>
      </c>
      <c r="D5" s="25" t="n">
        <v>366</v>
      </c>
      <c r="E5" s="45" t="n">
        <f aca="false">NORMSINV(Inputs!$B$14)</f>
        <v>2.05374891063182</v>
      </c>
      <c r="F5" s="16" t="n">
        <f aca="false">SQRT(Inputs!$B$12*C5^2+B5^2*Inputs!$B$13^2)</f>
        <v>94702.0165445185</v>
      </c>
      <c r="G5" s="46" t="n">
        <f aca="false">E5*F5</f>
        <v>194494.163312942</v>
      </c>
      <c r="H5" s="47" t="n">
        <f aca="false">B5*Inputs!$B$12+G5</f>
        <v>491378.469323871</v>
      </c>
      <c r="I5" s="20" t="n">
        <f aca="false">B5*365</f>
        <v>15480395.9562842</v>
      </c>
      <c r="J5" s="8" t="n">
        <f aca="false">Inputs!$B$9*Inputs!$B$11</f>
        <v>0.96</v>
      </c>
      <c r="K5" s="47" t="n">
        <f aca="false">SQRT(2*I5*Inputs!$B$10/J5)</f>
        <v>439891.974754657</v>
      </c>
      <c r="L5" s="21" t="n">
        <f aca="false">I5/K5</f>
        <v>35.1913579803726</v>
      </c>
      <c r="M5" s="20" t="n">
        <f aca="false">K5/2+G5</f>
        <v>414440.15069027</v>
      </c>
      <c r="N5" s="21" t="n">
        <f aca="false">M5/B5</f>
        <v>9.77175618951409</v>
      </c>
      <c r="O5" s="16" t="n">
        <f aca="false">J5*M5+L5*Inputs!$B$10</f>
        <v>609010.692544895</v>
      </c>
    </row>
    <row r="6" customFormat="false" ht="15" hidden="false" customHeight="false" outlineLevel="0" collapsed="false">
      <c r="A6" s="7" t="s">
        <v>259</v>
      </c>
      <c r="B6" s="15" t="n">
        <v>6980.12</v>
      </c>
      <c r="C6" s="15" t="n">
        <v>7969.63859924734</v>
      </c>
      <c r="D6" s="25" t="n">
        <v>200</v>
      </c>
      <c r="E6" s="45" t="n">
        <f aca="false">NORMSINV(Inputs!$B$14)</f>
        <v>2.05374891063182</v>
      </c>
      <c r="F6" s="16" t="n">
        <f aca="false">SQRT(Inputs!$B$12*C6^2+B6^2*Inputs!$B$13^2)</f>
        <v>23542.1036666372</v>
      </c>
      <c r="G6" s="46" t="n">
        <f aca="false">E6*F6</f>
        <v>48349.5697593375</v>
      </c>
      <c r="H6" s="47" t="n">
        <f aca="false">B6*Inputs!$B$12+G6</f>
        <v>97210.4097593375</v>
      </c>
      <c r="I6" s="20" t="n">
        <f aca="false">B6*365</f>
        <v>2547743.8</v>
      </c>
      <c r="J6" s="8" t="n">
        <f aca="false">Inputs!$B$9*Inputs!$B$11</f>
        <v>0.96</v>
      </c>
      <c r="K6" s="47" t="n">
        <f aca="false">SQRT(2*I6*Inputs!$B$10/J6)</f>
        <v>178456.710437013</v>
      </c>
      <c r="L6" s="21" t="n">
        <f aca="false">I6/K6</f>
        <v>14.2765368349611</v>
      </c>
      <c r="M6" s="20" t="n">
        <f aca="false">K6/2+G6</f>
        <v>137577.924977844</v>
      </c>
      <c r="N6" s="21" t="n">
        <f aca="false">M6/B6</f>
        <v>19.70996558481</v>
      </c>
      <c r="O6" s="16" t="n">
        <f aca="false">J6*M6+L6*Inputs!$B$10</f>
        <v>217734.028988497</v>
      </c>
    </row>
    <row r="7" customFormat="false" ht="15" hidden="false" customHeight="false" outlineLevel="0" collapsed="false">
      <c r="A7" s="7" t="s">
        <v>260</v>
      </c>
      <c r="B7" s="15" t="n">
        <v>24066.988372093</v>
      </c>
      <c r="C7" s="15" t="n">
        <v>13519.96660846</v>
      </c>
      <c r="D7" s="25" t="n">
        <v>86</v>
      </c>
      <c r="E7" s="45" t="n">
        <f aca="false">NORMSINV(Inputs!$B$14)</f>
        <v>2.05374891063182</v>
      </c>
      <c r="F7" s="16" t="n">
        <f aca="false">SQRT(Inputs!$B$12*C7^2+B7^2*Inputs!$B$13^2)</f>
        <v>50820.973235345</v>
      </c>
      <c r="G7" s="46" t="n">
        <f aca="false">E7*F7</f>
        <v>104373.518419339</v>
      </c>
      <c r="H7" s="47" t="n">
        <f aca="false">B7*Inputs!$B$12+G7</f>
        <v>272842.43702399</v>
      </c>
      <c r="I7" s="20" t="n">
        <f aca="false">B7*365</f>
        <v>8784450.75581395</v>
      </c>
      <c r="J7" s="8" t="n">
        <f aca="false">Inputs!$B$9*Inputs!$B$11</f>
        <v>0.96</v>
      </c>
      <c r="K7" s="47" t="n">
        <f aca="false">SQRT(2*I7*Inputs!$B$10/J7)</f>
        <v>331369.332388612</v>
      </c>
      <c r="L7" s="21" t="n">
        <f aca="false">I7/K7</f>
        <v>26.509546591089</v>
      </c>
      <c r="M7" s="20" t="n">
        <f aca="false">K7/2+G7</f>
        <v>270058.184613645</v>
      </c>
      <c r="N7" s="21" t="n">
        <f aca="false">M7/B7</f>
        <v>11.221104212889</v>
      </c>
      <c r="O7" s="16" t="n">
        <f aca="false">J7*M7+L7*Inputs!$B$10</f>
        <v>418313.136775633</v>
      </c>
    </row>
    <row r="8" customFormat="false" ht="15" hidden="false" customHeight="false" outlineLevel="0" collapsed="false">
      <c r="A8" s="7" t="s">
        <v>261</v>
      </c>
      <c r="B8" s="15" t="n">
        <v>11152.9016393443</v>
      </c>
      <c r="C8" s="15" t="n">
        <v>19641.01810633</v>
      </c>
      <c r="D8" s="25" t="n">
        <v>366</v>
      </c>
      <c r="E8" s="45" t="n">
        <f aca="false">NORMSINV(Inputs!$B$14)</f>
        <v>2.05374891063182</v>
      </c>
      <c r="F8" s="16" t="n">
        <f aca="false">SQRT(Inputs!$B$12*C8^2+B8^2*Inputs!$B$13^2)</f>
        <v>54591.7427773677</v>
      </c>
      <c r="G8" s="46" t="n">
        <f aca="false">E8*F8</f>
        <v>112117.732258512</v>
      </c>
      <c r="H8" s="47" t="n">
        <f aca="false">B8*Inputs!$B$12+G8</f>
        <v>190188.043733921</v>
      </c>
      <c r="I8" s="20" t="n">
        <f aca="false">B8*365</f>
        <v>4070809.09836066</v>
      </c>
      <c r="J8" s="8" t="n">
        <f aca="false">Inputs!$B$9*Inputs!$B$11</f>
        <v>0.96</v>
      </c>
      <c r="K8" s="47" t="n">
        <f aca="false">SQRT(2*I8*Inputs!$B$10/J8)</f>
        <v>225577.289924115</v>
      </c>
      <c r="L8" s="21" t="n">
        <f aca="false">I8/K8</f>
        <v>18.0461831939292</v>
      </c>
      <c r="M8" s="20" t="n">
        <f aca="false">K8/2+G8</f>
        <v>224906.377220569</v>
      </c>
      <c r="N8" s="21" t="n">
        <f aca="false">M8/B8</f>
        <v>20.1657276728025</v>
      </c>
      <c r="O8" s="16" t="n">
        <f aca="false">J8*M8+L8*Inputs!$B$10</f>
        <v>324187.221295321</v>
      </c>
    </row>
    <row r="9" customFormat="false" ht="15" hidden="false" customHeight="false" outlineLevel="0" collapsed="false">
      <c r="A9" s="7" t="s">
        <v>262</v>
      </c>
      <c r="B9" s="15" t="n">
        <v>39618.4366197183</v>
      </c>
      <c r="C9" s="15" t="n">
        <v>37903.05099601</v>
      </c>
      <c r="D9" s="25" t="n">
        <v>355</v>
      </c>
      <c r="E9" s="45" t="n">
        <f aca="false">NORMSINV(Inputs!$B$14)</f>
        <v>2.05374891063182</v>
      </c>
      <c r="F9" s="16" t="n">
        <f aca="false">SQRT(Inputs!$B$12*C9^2+B9^2*Inputs!$B$13^2)</f>
        <v>116568.1564325</v>
      </c>
      <c r="G9" s="46" t="n">
        <f aca="false">E9*F9</f>
        <v>239401.724287607</v>
      </c>
      <c r="H9" s="47" t="n">
        <f aca="false">B9*Inputs!$B$12+G9</f>
        <v>516730.780625636</v>
      </c>
      <c r="I9" s="20" t="n">
        <f aca="false">B9*365</f>
        <v>14460729.3661972</v>
      </c>
      <c r="J9" s="8" t="n">
        <f aca="false">Inputs!$B$9*Inputs!$B$11</f>
        <v>0.96</v>
      </c>
      <c r="K9" s="47" t="n">
        <f aca="false">SQRT(2*I9*Inputs!$B$10/J9)</f>
        <v>425157.755518425</v>
      </c>
      <c r="L9" s="21" t="n">
        <f aca="false">I9/K9</f>
        <v>34.012620441474</v>
      </c>
      <c r="M9" s="20" t="n">
        <f aca="false">K9/2+G9</f>
        <v>451980.60204682</v>
      </c>
      <c r="N9" s="21" t="n">
        <f aca="false">M9/B9</f>
        <v>11.4083401721578</v>
      </c>
      <c r="O9" s="16" t="n">
        <f aca="false">J9*M9+L9*Inputs!$B$10</f>
        <v>637977.100613791</v>
      </c>
    </row>
    <row r="12" customFormat="false" ht="15" hidden="false" customHeight="false" outlineLevel="0" collapsed="false">
      <c r="A12" s="5" t="s">
        <v>873</v>
      </c>
    </row>
    <row r="13" customFormat="false" ht="15" hidden="false" customHeight="false" outlineLevel="0" collapsed="false">
      <c r="A13" s="3" t="s">
        <v>874</v>
      </c>
      <c r="B13" s="3" t="s">
        <v>258</v>
      </c>
      <c r="C13" s="3" t="s">
        <v>259</v>
      </c>
      <c r="D13" s="3" t="s">
        <v>260</v>
      </c>
      <c r="E13" s="3" t="s">
        <v>261</v>
      </c>
      <c r="F13" s="3" t="s">
        <v>262</v>
      </c>
    </row>
    <row r="14" customFormat="false" ht="15" hidden="false" customHeight="false" outlineLevel="0" collapsed="false">
      <c r="A14" s="37" t="n">
        <v>0.9</v>
      </c>
      <c r="B14" s="20" t="n">
        <f aca="false">NORMSINV($A14)*$F$5</f>
        <v>121365.517562858</v>
      </c>
      <c r="C14" s="20" t="n">
        <f aca="false">NORMSINV($A14)*$F$6</f>
        <v>30170.4198101922</v>
      </c>
      <c r="D14" s="20" t="n">
        <f aca="false">NORMSINV($A14)*$F$7</f>
        <v>65129.6978122566</v>
      </c>
      <c r="E14" s="20" t="n">
        <f aca="false">NORMSINV($A14)*$F$8</f>
        <v>69962.1334221437</v>
      </c>
      <c r="F14" s="20" t="n">
        <f aca="false">NORMSINV($A14)*$F$9</f>
        <v>149388.103368719</v>
      </c>
    </row>
    <row r="15" customFormat="false" ht="15" hidden="false" customHeight="false" outlineLevel="0" collapsed="false">
      <c r="A15" s="37" t="n">
        <v>0.95</v>
      </c>
      <c r="B15" s="20" t="n">
        <f aca="false">NORMSINV($A15)*$F$5</f>
        <v>155770.955392869</v>
      </c>
      <c r="C15" s="20" t="n">
        <f aca="false">NORMSINV($A15)*$F$6</f>
        <v>38723.3146021357</v>
      </c>
      <c r="D15" s="20" t="n">
        <f aca="false">NORMSINV($A15)*$F$7</f>
        <v>83593.0621513608</v>
      </c>
      <c r="E15" s="20" t="n">
        <f aca="false">NORMSINV($A15)*$F$8</f>
        <v>89795.4261089551</v>
      </c>
      <c r="F15" s="20" t="n">
        <f aca="false">NORMSINV($A15)*$F$9</f>
        <v>191737.554895045</v>
      </c>
    </row>
    <row r="16" customFormat="false" ht="15" hidden="false" customHeight="false" outlineLevel="0" collapsed="false">
      <c r="A16" s="37" t="n">
        <v>0.98</v>
      </c>
      <c r="B16" s="20" t="n">
        <f aca="false">NORMSINV($A16)*$F$5</f>
        <v>194494.163312942</v>
      </c>
      <c r="C16" s="20" t="n">
        <f aca="false">NORMSINV($A16)*$F$6</f>
        <v>48349.5697593375</v>
      </c>
      <c r="D16" s="20" t="n">
        <f aca="false">NORMSINV($A16)*$F$7</f>
        <v>104373.518419339</v>
      </c>
      <c r="E16" s="20" t="n">
        <f aca="false">NORMSINV($A16)*$F$8</f>
        <v>112117.732258512</v>
      </c>
      <c r="F16" s="20" t="n">
        <f aca="false">NORMSINV($A16)*$F$9</f>
        <v>239401.724287607</v>
      </c>
    </row>
    <row r="17" customFormat="false" ht="15" hidden="false" customHeight="false" outlineLevel="0" collapsed="false">
      <c r="A17" s="37" t="n">
        <v>0.99</v>
      </c>
      <c r="B17" s="20" t="n">
        <f aca="false">NORMSINV($A17)*$F$5</f>
        <v>220309.834855721</v>
      </c>
      <c r="C17" s="20" t="n">
        <f aca="false">NORMSINV($A17)*$F$6</f>
        <v>54767.1228153305</v>
      </c>
      <c r="D17" s="20" t="n">
        <f aca="false">NORMSINV($A17)*$F$7</f>
        <v>118227.263042731</v>
      </c>
      <c r="E17" s="20" t="n">
        <f aca="false">NORMSINV($A17)*$F$8</f>
        <v>126999.384750314</v>
      </c>
      <c r="F17" s="20" t="n">
        <f aca="false">NORMSINV($A17)*$F$9</f>
        <v>271178.082897607</v>
      </c>
    </row>
    <row r="19" customFormat="false" ht="15" hidden="false" customHeight="false" outlineLevel="0" collapsed="false">
      <c r="A19" s="5" t="s">
        <v>875</v>
      </c>
    </row>
    <row r="20" customFormat="false" ht="23.85" hidden="false" customHeight="false" outlineLevel="0" collapsed="false">
      <c r="A20" s="3" t="s">
        <v>245</v>
      </c>
      <c r="B20" s="3" t="s">
        <v>876</v>
      </c>
      <c r="C20" s="3" t="s">
        <v>877</v>
      </c>
      <c r="D20" s="3" t="s">
        <v>878</v>
      </c>
      <c r="E20" s="3" t="s">
        <v>879</v>
      </c>
      <c r="F20" s="3" t="s">
        <v>880</v>
      </c>
      <c r="G20" s="3" t="s">
        <v>881</v>
      </c>
      <c r="H20" s="3" t="s">
        <v>882</v>
      </c>
    </row>
    <row r="21" customFormat="false" ht="15" hidden="false" customHeight="false" outlineLevel="0" collapsed="false">
      <c r="A21" s="7" t="s">
        <v>258</v>
      </c>
      <c r="B21" s="28" t="n">
        <v>0.98</v>
      </c>
      <c r="C21" s="48" t="n">
        <v>0.949508169934641</v>
      </c>
      <c r="D21" s="48" t="n">
        <v>0.995621161761858</v>
      </c>
      <c r="E21" s="48" t="n">
        <v>0.944798319327731</v>
      </c>
      <c r="F21" s="48" t="n">
        <v>0.994232264397192</v>
      </c>
      <c r="G21" s="15" t="n">
        <v>42412.0437154065</v>
      </c>
      <c r="H21" s="15" t="n">
        <v>43188.5589068918</v>
      </c>
    </row>
    <row r="22" customFormat="false" ht="15" hidden="false" customHeight="false" outlineLevel="0" collapsed="false">
      <c r="A22" s="7" t="s">
        <v>259</v>
      </c>
      <c r="B22" s="28" t="n">
        <v>0.98</v>
      </c>
      <c r="C22" s="48" t="n">
        <v>0.271060731844057</v>
      </c>
      <c r="D22" s="48" t="n">
        <v>0.838301316444767</v>
      </c>
      <c r="E22" s="48" t="n">
        <v>0.93535</v>
      </c>
      <c r="F22" s="48" t="n">
        <v>0.995364224715947</v>
      </c>
      <c r="G22" s="15" t="n">
        <v>6980.12</v>
      </c>
      <c r="H22" s="15" t="n">
        <v>19017.6000043824</v>
      </c>
    </row>
    <row r="23" customFormat="false" ht="15" hidden="false" customHeight="false" outlineLevel="0" collapsed="false">
      <c r="A23" s="7" t="s">
        <v>260</v>
      </c>
      <c r="B23" s="28" t="n">
        <v>0.98</v>
      </c>
      <c r="C23" s="48" t="n">
        <v>0.81618842364532</v>
      </c>
      <c r="D23" s="48" t="n">
        <v>0.983354585881803</v>
      </c>
      <c r="E23" s="48" t="n">
        <v>0.90658064516129</v>
      </c>
      <c r="F23" s="48" t="n">
        <v>0.991204318773789</v>
      </c>
      <c r="G23" s="15" t="n">
        <v>24066.988372093</v>
      </c>
      <c r="H23" s="15" t="n">
        <v>26859.0217983053</v>
      </c>
    </row>
    <row r="24" customFormat="false" ht="15" hidden="false" customHeight="false" outlineLevel="0" collapsed="false">
      <c r="A24" s="7" t="s">
        <v>261</v>
      </c>
      <c r="B24" s="28" t="n">
        <v>0.98</v>
      </c>
      <c r="C24" s="48" t="n">
        <v>0.149483124530338</v>
      </c>
      <c r="D24" s="48" t="n">
        <v>0.742930991542915</v>
      </c>
      <c r="E24" s="48" t="n">
        <v>0.81347906545069</v>
      </c>
      <c r="F24" s="48" t="n">
        <v>0.8685905715807</v>
      </c>
      <c r="G24" s="15" t="n">
        <v>11152.9016420297</v>
      </c>
      <c r="H24" s="15" t="n">
        <v>30724.2670446814</v>
      </c>
    </row>
    <row r="25" customFormat="false" ht="15" hidden="false" customHeight="false" outlineLevel="0" collapsed="false">
      <c r="A25" s="7" t="s">
        <v>262</v>
      </c>
      <c r="B25" s="28" t="n">
        <v>0.98</v>
      </c>
      <c r="C25" s="48" t="n">
        <v>0.766156188905181</v>
      </c>
      <c r="D25" s="48" t="n">
        <v>0.955288390332429</v>
      </c>
      <c r="E25" s="48" t="n">
        <v>0.795997198672102</v>
      </c>
      <c r="F25" s="48" t="n">
        <v>0.935988401791918</v>
      </c>
      <c r="G25" s="15" t="n">
        <v>39618.4366234405</v>
      </c>
      <c r="H25" s="15" t="n">
        <v>39736.926435002</v>
      </c>
    </row>
    <row r="27" customFormat="false" ht="27.75" hidden="false" customHeight="true" outlineLevel="0" collapsed="false">
      <c r="A27" s="4" t="s">
        <v>883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</row>
    <row r="30" customFormat="false" ht="15" hidden="false" customHeight="false" outlineLevel="0" collapsed="false">
      <c r="A30" s="5" t="s">
        <v>884</v>
      </c>
    </row>
    <row r="31" customFormat="false" ht="23.85" hidden="false" customHeight="false" outlineLevel="0" collapsed="false">
      <c r="A31" s="3" t="s">
        <v>564</v>
      </c>
      <c r="B31" s="3" t="s">
        <v>885</v>
      </c>
      <c r="C31" s="3" t="s">
        <v>886</v>
      </c>
      <c r="D31" s="3" t="s">
        <v>887</v>
      </c>
      <c r="E31" s="3" t="s">
        <v>888</v>
      </c>
      <c r="F31" s="3" t="s">
        <v>889</v>
      </c>
      <c r="G31" s="3" t="s">
        <v>864</v>
      </c>
      <c r="H31" s="3" t="s">
        <v>890</v>
      </c>
      <c r="K31" s="49" t="s">
        <v>891</v>
      </c>
      <c r="L31" s="49" t="s">
        <v>892</v>
      </c>
      <c r="M31" s="49" t="s">
        <v>893</v>
      </c>
      <c r="N31" s="49" t="s">
        <v>894</v>
      </c>
      <c r="O31" s="49" t="s">
        <v>895</v>
      </c>
      <c r="P31" s="49" t="s">
        <v>896</v>
      </c>
      <c r="Q31" s="49" t="s">
        <v>897</v>
      </c>
      <c r="R31" s="49" t="s">
        <v>898</v>
      </c>
      <c r="S31" s="49" t="s">
        <v>899</v>
      </c>
      <c r="T31" s="49" t="s">
        <v>900</v>
      </c>
      <c r="U31" s="49" t="s">
        <v>901</v>
      </c>
      <c r="V31" s="49" t="s">
        <v>902</v>
      </c>
      <c r="W31" s="49" t="s">
        <v>903</v>
      </c>
      <c r="X31" s="49" t="s">
        <v>904</v>
      </c>
      <c r="Y31" s="49" t="s">
        <v>905</v>
      </c>
      <c r="Z31" s="49" t="s">
        <v>906</v>
      </c>
    </row>
    <row r="32" customFormat="false" ht="15" hidden="false" customHeight="false" outlineLevel="0" collapsed="false">
      <c r="A32" s="7" t="s">
        <v>331</v>
      </c>
      <c r="B32" s="24" t="n">
        <v>1.53214774281806</v>
      </c>
      <c r="C32" s="19" t="n">
        <f aca="false">Inputs!$B$19/7</f>
        <v>3</v>
      </c>
      <c r="D32" s="26" t="n">
        <f aca="false">B32*C32</f>
        <v>4.59644322845417</v>
      </c>
      <c r="E32" s="50" t="n">
        <f aca="false">COUNTIF(K32:Z32,"&lt;"&amp;Inputs!$B$20)</f>
        <v>8</v>
      </c>
      <c r="F32" s="17" t="n">
        <f aca="false">POISSON(E32,D32,TRUE())</f>
        <v>0.955105566212554</v>
      </c>
      <c r="G32" s="21" t="n">
        <f aca="false">E32-D32</f>
        <v>3.40355677154583</v>
      </c>
      <c r="H32" s="29" t="n">
        <f aca="false">ROUND(SQRT(2*B32*52*Inputs!$B$22/(Inputs!$B$21*Inputs!$B$23)),0)</f>
        <v>11</v>
      </c>
      <c r="K32" s="34" t="n">
        <f aca="false">POISSON(0,$D32,TRUE())</f>
        <v>0.0100876514844379</v>
      </c>
      <c r="L32" s="34" t="n">
        <f aca="false">POISSON(1,$D32,TRUE())</f>
        <v>0.0564549688410884</v>
      </c>
      <c r="M32" s="34" t="n">
        <f aca="false">POISSON(2,$D32,TRUE())</f>
        <v>0.163017339783869</v>
      </c>
      <c r="N32" s="34" t="n">
        <f aca="false">POISSON(3,$D32,TRUE())</f>
        <v>0.326286635893191</v>
      </c>
      <c r="O32" s="34" t="n">
        <f aca="false">POISSON(4,$D32,TRUE())</f>
        <v>0.513901148522234</v>
      </c>
      <c r="P32" s="34" t="n">
        <f aca="false">POISSON(5,$D32,TRUE())</f>
        <v>0.686373039748933</v>
      </c>
      <c r="Q32" s="34" t="n">
        <f aca="false">POISSON(6,$D32,TRUE())</f>
        <v>0.818499249170207</v>
      </c>
      <c r="R32" s="34" t="n">
        <f aca="false">POISSON(7,$D32,TRUE())</f>
        <v>0.905257909255312</v>
      </c>
      <c r="S32" s="34" t="n">
        <f aca="false">POISSON(8,$D32,TRUE())</f>
        <v>0.955105566212554</v>
      </c>
      <c r="T32" s="34" t="n">
        <f aca="false">POISSON(9,$D32,TRUE())</f>
        <v>0.980563557909823</v>
      </c>
      <c r="U32" s="34" t="n">
        <f aca="false">POISSON(10,$D32,TRUE())</f>
        <v>0.992265179264519</v>
      </c>
      <c r="V32" s="34" t="n">
        <f aca="false">POISSON(11,$D32,TRUE())</f>
        <v>0.997154800922494</v>
      </c>
      <c r="W32" s="34" t="n">
        <f aca="false">POISSON(12,$D32,TRUE())</f>
        <v>0.999027706619119</v>
      </c>
      <c r="X32" s="34" t="n">
        <f aca="false">POISSON(13,$D32,TRUE())</f>
        <v>0.999689914673487</v>
      </c>
      <c r="Y32" s="34" t="n">
        <f aca="false">POISSON(14,$D32,TRUE())</f>
        <v>0.999907329082582</v>
      </c>
      <c r="Z32" s="34" t="n">
        <f aca="false">POISSON(15,$D32,TRUE())</f>
        <v>0.999973951281812</v>
      </c>
    </row>
    <row r="33" customFormat="false" ht="15" hidden="false" customHeight="false" outlineLevel="0" collapsed="false">
      <c r="A33" s="7" t="s">
        <v>336</v>
      </c>
      <c r="B33" s="24" t="n">
        <v>0.93844049247606</v>
      </c>
      <c r="C33" s="19" t="n">
        <f aca="false">Inputs!$B$19/7</f>
        <v>3</v>
      </c>
      <c r="D33" s="26" t="n">
        <f aca="false">B33*C33</f>
        <v>2.81532147742818</v>
      </c>
      <c r="E33" s="50" t="n">
        <f aca="false">COUNTIF(K33:Z33,"&lt;"&amp;Inputs!$B$20)</f>
        <v>6</v>
      </c>
      <c r="F33" s="17" t="n">
        <f aca="false">POISSON(E33,D33,TRUE())</f>
        <v>0.974960328376456</v>
      </c>
      <c r="G33" s="21" t="n">
        <f aca="false">E33-D33</f>
        <v>3.18467852257182</v>
      </c>
      <c r="H33" s="29" t="n">
        <f aca="false">ROUND(SQRT(2*B33*52*Inputs!$B$22/(Inputs!$B$21*Inputs!$B$23)),0)</f>
        <v>8</v>
      </c>
      <c r="K33" s="34" t="n">
        <f aca="false">POISSON(0,$D33,TRUE())</f>
        <v>0.0598854638203726</v>
      </c>
      <c r="L33" s="34" t="n">
        <f aca="false">POISSON(1,$D33,TRUE())</f>
        <v>0.228482296299616</v>
      </c>
      <c r="M33" s="34" t="n">
        <f aca="false">POISSON(2,$D33,TRUE())</f>
        <v>0.465809438052203</v>
      </c>
      <c r="N33" s="34" t="n">
        <f aca="false">POISSON(3,$D33,TRUE())</f>
        <v>0.688526837836437</v>
      </c>
      <c r="O33" s="34" t="n">
        <f aca="false">POISSON(4,$D33,TRUE())</f>
        <v>0.845282107588815</v>
      </c>
      <c r="P33" s="34" t="n">
        <f aca="false">POISSON(5,$D33,TRUE())</f>
        <v>0.933545403115598</v>
      </c>
      <c r="Q33" s="34" t="n">
        <f aca="false">POISSON(6,$D33,TRUE())</f>
        <v>0.974960328376456</v>
      </c>
      <c r="R33" s="34" t="n">
        <f aca="false">POISSON(7,$D33,TRUE())</f>
        <v>0.991616946744024</v>
      </c>
      <c r="S33" s="34" t="n">
        <f aca="false">POISSON(8,$D33,TRUE())</f>
        <v>0.997478663672966</v>
      </c>
      <c r="T33" s="34" t="n">
        <f aca="false">POISSON(9,$D33,TRUE())</f>
        <v>0.999312287846816</v>
      </c>
      <c r="U33" s="34" t="n">
        <f aca="false">POISSON(10,$D33,TRUE())</f>
        <v>0.999828511998634</v>
      </c>
      <c r="V33" s="34" t="n">
        <f aca="false">POISSON(11,$D33,TRUE())</f>
        <v>0.999960633538795</v>
      </c>
      <c r="W33" s="34" t="n">
        <f aca="false">POISSON(12,$D33,TRUE())</f>
        <v>0.999991630589599</v>
      </c>
      <c r="X33" s="34" t="n">
        <f aca="false">POISSON(13,$D33,TRUE())</f>
        <v>0.99999834340982</v>
      </c>
      <c r="Y33" s="34" t="n">
        <f aca="false">POISSON(14,$D33,TRUE())</f>
        <v>0.999999693320316</v>
      </c>
      <c r="Z33" s="34" t="n">
        <f aca="false">POISSON(15,$D33,TRUE())</f>
        <v>0.99999994668245</v>
      </c>
    </row>
    <row r="34" customFormat="false" ht="15" hidden="false" customHeight="false" outlineLevel="0" collapsed="false">
      <c r="A34" s="7" t="s">
        <v>335</v>
      </c>
      <c r="B34" s="24" t="n">
        <v>0.852257181942544</v>
      </c>
      <c r="C34" s="19" t="n">
        <f aca="false">Inputs!$B$19/7</f>
        <v>3</v>
      </c>
      <c r="D34" s="26" t="n">
        <f aca="false">B34*C34</f>
        <v>2.55677154582763</v>
      </c>
      <c r="E34" s="50" t="n">
        <f aca="false">COUNTIF(K34:Z34,"&lt;"&amp;Inputs!$B$20)</f>
        <v>5</v>
      </c>
      <c r="F34" s="17" t="n">
        <f aca="false">POISSON(E34,D34,TRUE())</f>
        <v>0.954078533581947</v>
      </c>
      <c r="G34" s="21" t="n">
        <f aca="false">E34-D34</f>
        <v>2.44322845417237</v>
      </c>
      <c r="H34" s="29" t="n">
        <f aca="false">ROUND(SQRT(2*B34*52*Inputs!$B$22/(Inputs!$B$21*Inputs!$B$23)),0)</f>
        <v>8</v>
      </c>
      <c r="K34" s="34" t="n">
        <f aca="false">POISSON(0,$D34,TRUE())</f>
        <v>0.0775547185594487</v>
      </c>
      <c r="L34" s="34" t="n">
        <f aca="false">POISSON(1,$D34,TRUE())</f>
        <v>0.275844416216917</v>
      </c>
      <c r="M34" s="34" t="n">
        <f aca="false">POISSON(2,$D34,TRUE())</f>
        <v>0.529335144617607</v>
      </c>
      <c r="N34" s="34" t="n">
        <f aca="false">POISSON(3,$D34,TRUE())</f>
        <v>0.745374438452942</v>
      </c>
      <c r="O34" s="34" t="n">
        <f aca="false">POISSON(4,$D34,TRUE())</f>
        <v>0.883465218267662</v>
      </c>
      <c r="P34" s="34" t="n">
        <f aca="false">POISSON(5,$D34,TRUE())</f>
        <v>0.954078533581947</v>
      </c>
      <c r="Q34" s="34" t="n">
        <f aca="false">POISSON(6,$D34,TRUE())</f>
        <v>0.984168886140633</v>
      </c>
      <c r="R34" s="34" t="n">
        <f aca="false">POISSON(7,$D34,TRUE())</f>
        <v>0.995159480030058</v>
      </c>
      <c r="S34" s="34" t="n">
        <f aca="false">POISSON(8,$D34,TRUE())</f>
        <v>0.998672034746086</v>
      </c>
      <c r="T34" s="34" t="n">
        <f aca="false">POISSON(9,$D34,TRUE())</f>
        <v>0.99966990140732</v>
      </c>
      <c r="U34" s="34" t="n">
        <f aca="false">POISSON(10,$D34,TRUE())</f>
        <v>0.999925033115917</v>
      </c>
      <c r="V34" s="34" t="n">
        <f aca="false">POISSON(11,$D34,TRUE())</f>
        <v>0.999984334342552</v>
      </c>
      <c r="W34" s="34" t="n">
        <f aca="false">POISSON(12,$D34,TRUE())</f>
        <v>0.999996969316626</v>
      </c>
      <c r="X34" s="34" t="n">
        <f aca="false">POISSON(13,$D34,TRUE())</f>
        <v>0.999999454296795</v>
      </c>
      <c r="Y34" s="34" t="n">
        <f aca="false">POISSON(14,$D34,TRUE())</f>
        <v>0.999999908120123</v>
      </c>
      <c r="Z34" s="34" t="n">
        <f aca="false">POISSON(15,$D34,TRUE())</f>
        <v>0.999999985474961</v>
      </c>
    </row>
  </sheetData>
  <mergeCells count="1">
    <mergeCell ref="A27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97A"/>
    <pageSetUpPr fitToPage="false"/>
  </sheetPr>
  <dimension ref="A1:W4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907</v>
      </c>
    </row>
    <row r="2" customFormat="false" ht="15" hidden="false" customHeight="false" outlineLevel="0" collapsed="false">
      <c r="A2" s="2" t="s">
        <v>908</v>
      </c>
    </row>
    <row r="3" customFormat="false" ht="15" hidden="false" customHeight="false" outlineLevel="0" collapsed="false">
      <c r="D3" s="5" t="s">
        <v>909</v>
      </c>
      <c r="G3" s="5" t="s">
        <v>910</v>
      </c>
      <c r="J3" s="5" t="s">
        <v>911</v>
      </c>
      <c r="S3" s="3" t="s">
        <v>586</v>
      </c>
      <c r="T3" s="3" t="s">
        <v>912</v>
      </c>
      <c r="U3" s="3" t="s">
        <v>913</v>
      </c>
      <c r="V3" s="3" t="s">
        <v>914</v>
      </c>
      <c r="W3" s="3" t="s">
        <v>915</v>
      </c>
    </row>
    <row r="4" customFormat="false" ht="15" hidden="false" customHeight="false" outlineLevel="0" collapsed="false">
      <c r="A4" s="5" t="s">
        <v>916</v>
      </c>
      <c r="B4" s="51" t="n">
        <v>3</v>
      </c>
      <c r="D4" s="5" t="s">
        <v>917</v>
      </c>
      <c r="E4" s="17" t="n">
        <f aca="false">AVERAGEIF($E$16:$E$494,"Phase I",$F$16:$F$494)</f>
        <v>0.614460103323935</v>
      </c>
      <c r="G4" s="5" t="s">
        <v>918</v>
      </c>
      <c r="H4" s="17" t="n">
        <f aca="false">AVERAGEIFS($F$16:$F$494,$E$16:$E$494,"Phase I",$H$16:$H$494,0)</f>
        <v>0.67278149898986</v>
      </c>
      <c r="J4" s="5" t="s">
        <v>919</v>
      </c>
      <c r="K4" s="32" t="n">
        <f aca="false">COUNTIF($E$16:$E$494,"Phase II")</f>
        <v>224</v>
      </c>
      <c r="S4" s="25" t="n">
        <v>2</v>
      </c>
      <c r="T4" s="25" t="n">
        <v>1.88</v>
      </c>
      <c r="U4" s="25" t="n">
        <v>0</v>
      </c>
      <c r="V4" s="25" t="n">
        <v>3.267</v>
      </c>
      <c r="W4" s="25" t="n">
        <v>1.128</v>
      </c>
    </row>
    <row r="5" customFormat="false" ht="15" hidden="false" customHeight="false" outlineLevel="0" collapsed="false">
      <c r="A5" s="5" t="s">
        <v>912</v>
      </c>
      <c r="B5" s="34" t="n">
        <f aca="false">INDEX($T$4:$T$12,MATCH(B4,$S$4:$S$12,0))</f>
        <v>1.023</v>
      </c>
      <c r="D5" s="5" t="s">
        <v>920</v>
      </c>
      <c r="E5" s="17" t="n">
        <f aca="false">AVERAGEIF($E$16:$E$494,"Phase I",$G$16:$G$494)</f>
        <v>0.327109426912689</v>
      </c>
      <c r="G5" s="5" t="s">
        <v>920</v>
      </c>
      <c r="H5" s="17" t="n">
        <f aca="false">AVERAGEIFS($G$16:$G$494,$E$16:$E$494,"Phase I",$H$16:$H$494,0)</f>
        <v>0.279917629215756</v>
      </c>
      <c r="J5" s="5" t="s">
        <v>921</v>
      </c>
      <c r="K5" s="32" t="n">
        <f aca="false">COUNTIFS($E$16:$E$494,"Phase II",$N$16:$N$494,1)</f>
        <v>8</v>
      </c>
      <c r="S5" s="25" t="n">
        <v>3</v>
      </c>
      <c r="T5" s="25" t="n">
        <v>1.023</v>
      </c>
      <c r="U5" s="25" t="n">
        <v>0</v>
      </c>
      <c r="V5" s="25" t="n">
        <v>2.574</v>
      </c>
      <c r="W5" s="25" t="n">
        <v>1.693</v>
      </c>
    </row>
    <row r="6" customFormat="false" ht="15" hidden="false" customHeight="false" outlineLevel="0" collapsed="false">
      <c r="A6" s="5" t="s">
        <v>913</v>
      </c>
      <c r="B6" s="34" t="n">
        <f aca="false">INDEX($U$4:$U$12,MATCH(B4,$S$4:$S$12,0))</f>
        <v>0</v>
      </c>
      <c r="D6" s="5" t="s">
        <v>922</v>
      </c>
      <c r="E6" s="17" t="n">
        <f aca="false">E4+B5*E5</f>
        <v>0.949093047055616</v>
      </c>
      <c r="G6" s="5" t="s">
        <v>922</v>
      </c>
      <c r="H6" s="17" t="n">
        <f aca="false">H4+B5*H5</f>
        <v>0.959137233677579</v>
      </c>
      <c r="J6" s="5" t="s">
        <v>923</v>
      </c>
      <c r="K6" s="32" t="n">
        <f aca="false">COUNTIFS($E$16:$E$494,"Phase II",$O$16:$O$494,1)</f>
        <v>6</v>
      </c>
      <c r="S6" s="25" t="n">
        <v>4</v>
      </c>
      <c r="T6" s="25" t="n">
        <v>0.729</v>
      </c>
      <c r="U6" s="25" t="n">
        <v>0</v>
      </c>
      <c r="V6" s="25" t="n">
        <v>2.282</v>
      </c>
      <c r="W6" s="25" t="n">
        <v>2.059</v>
      </c>
    </row>
    <row r="7" customFormat="false" ht="15" hidden="false" customHeight="false" outlineLevel="0" collapsed="false">
      <c r="A7" s="5" t="s">
        <v>914</v>
      </c>
      <c r="B7" s="34" t="n">
        <f aca="false">INDEX($V$4:$V$12,MATCH(B4,$S$4:$S$12,0))</f>
        <v>2.574</v>
      </c>
      <c r="D7" s="5" t="s">
        <v>924</v>
      </c>
      <c r="E7" s="17" t="n">
        <f aca="false">E4-B5*E5</f>
        <v>0.279827159592255</v>
      </c>
      <c r="G7" s="5" t="s">
        <v>924</v>
      </c>
      <c r="H7" s="17" t="n">
        <f aca="false">H4-B5*H5</f>
        <v>0.386425764302142</v>
      </c>
      <c r="J7" s="5" t="s">
        <v>925</v>
      </c>
      <c r="K7" s="32" t="n">
        <f aca="false">COUNTIFS($E$16:$E$494,"Phase II",$Q$16:$Q$494,1)</f>
        <v>18</v>
      </c>
      <c r="S7" s="25" t="n">
        <v>5</v>
      </c>
      <c r="T7" s="25" t="n">
        <v>0.577</v>
      </c>
      <c r="U7" s="25" t="n">
        <v>0</v>
      </c>
      <c r="V7" s="25" t="n">
        <v>2.114</v>
      </c>
      <c r="W7" s="25" t="n">
        <v>2.326</v>
      </c>
    </row>
    <row r="8" customFormat="false" ht="15" hidden="false" customHeight="false" outlineLevel="0" collapsed="false">
      <c r="A8" s="5" t="s">
        <v>915</v>
      </c>
      <c r="B8" s="34" t="n">
        <f aca="false">INDEX($W$4:$W$12,MATCH(B4,$S$4:$S$12,0))</f>
        <v>1.693</v>
      </c>
      <c r="D8" s="5" t="s">
        <v>926</v>
      </c>
      <c r="E8" s="17" t="n">
        <f aca="false">B7*E5</f>
        <v>0.841979664873261</v>
      </c>
      <c r="G8" s="5" t="s">
        <v>926</v>
      </c>
      <c r="H8" s="17" t="n">
        <f aca="false">B7*H5</f>
        <v>0.720507977601356</v>
      </c>
      <c r="J8" s="5" t="s">
        <v>927</v>
      </c>
      <c r="K8" s="17" t="n">
        <f aca="false">AVERAGEIF($E$16:$E$494,"Phase II",$F$16:$F$494)</f>
        <v>0.626930900958991</v>
      </c>
      <c r="S8" s="25" t="n">
        <v>6</v>
      </c>
      <c r="T8" s="25" t="n">
        <v>0.483</v>
      </c>
      <c r="U8" s="25" t="n">
        <v>0</v>
      </c>
      <c r="V8" s="25" t="n">
        <v>2.004</v>
      </c>
      <c r="W8" s="25" t="n">
        <v>2.534</v>
      </c>
    </row>
    <row r="9" customFormat="false" ht="15" hidden="false" customHeight="false" outlineLevel="0" collapsed="false">
      <c r="G9" s="5" t="s">
        <v>928</v>
      </c>
      <c r="H9" s="17" t="n">
        <f aca="false">B6*H5</f>
        <v>0</v>
      </c>
      <c r="J9" s="5" t="s">
        <v>929</v>
      </c>
      <c r="K9" s="17" t="n">
        <f aca="false">AVERAGEIF($E$16:$E$494,"Phase II",$G$16:$G$494)</f>
        <v>0.292757512176179</v>
      </c>
      <c r="S9" s="25" t="n">
        <v>7</v>
      </c>
      <c r="T9" s="25" t="n">
        <v>0.419</v>
      </c>
      <c r="U9" s="25" t="n">
        <v>0.076</v>
      </c>
      <c r="V9" s="25" t="n">
        <v>1.924</v>
      </c>
      <c r="W9" s="25" t="n">
        <v>2.704</v>
      </c>
    </row>
    <row r="10" customFormat="false" ht="15" hidden="false" customHeight="false" outlineLevel="0" collapsed="false">
      <c r="G10" s="5" t="s">
        <v>930</v>
      </c>
      <c r="H10" s="17" t="n">
        <f aca="false">H5/B8</f>
        <v>0.165338233441085</v>
      </c>
      <c r="J10" s="5" t="s">
        <v>931</v>
      </c>
      <c r="K10" s="21" t="n">
        <f aca="false">(K8-H4)*100</f>
        <v>-4.58505980308693</v>
      </c>
      <c r="S10" s="25" t="n">
        <v>8</v>
      </c>
      <c r="T10" s="25" t="n">
        <v>0.373</v>
      </c>
      <c r="U10" s="25" t="n">
        <v>0.136</v>
      </c>
      <c r="V10" s="25" t="n">
        <v>1.864</v>
      </c>
      <c r="W10" s="25" t="n">
        <v>2.847</v>
      </c>
    </row>
    <row r="11" customFormat="false" ht="15" hidden="false" customHeight="false" outlineLevel="0" collapsed="false">
      <c r="G11" s="5" t="s">
        <v>932</v>
      </c>
      <c r="H11" s="32" t="n">
        <f aca="false">COUNTIFS($E$16:$E$494,"Phase I",$H$16:$H$494,0)</f>
        <v>216</v>
      </c>
      <c r="S11" s="25" t="n">
        <v>9</v>
      </c>
      <c r="T11" s="25" t="n">
        <v>0.337</v>
      </c>
      <c r="U11" s="25" t="n">
        <v>0.184</v>
      </c>
      <c r="V11" s="25" t="n">
        <v>1.816</v>
      </c>
      <c r="W11" s="25" t="n">
        <v>2.97</v>
      </c>
    </row>
    <row r="12" customFormat="false" ht="15" hidden="false" customHeight="false" outlineLevel="0" collapsed="false">
      <c r="G12" s="5" t="s">
        <v>933</v>
      </c>
      <c r="H12" s="32" t="n">
        <f aca="false">COUNTIFS($E$16:$E$494,"Phase I",$H$16:$H$494,1)</f>
        <v>39</v>
      </c>
      <c r="S12" s="25" t="n">
        <v>10</v>
      </c>
      <c r="T12" s="25" t="n">
        <v>0.308</v>
      </c>
      <c r="U12" s="25" t="n">
        <v>0.223</v>
      </c>
      <c r="V12" s="25" t="n">
        <v>1.777</v>
      </c>
      <c r="W12" s="25" t="n">
        <v>3.078</v>
      </c>
    </row>
    <row r="15" customFormat="false" ht="35.05" hidden="false" customHeight="false" outlineLevel="0" collapsed="false">
      <c r="A15" s="3" t="s">
        <v>240</v>
      </c>
      <c r="B15" s="3" t="s">
        <v>934</v>
      </c>
      <c r="C15" s="3" t="s">
        <v>935</v>
      </c>
      <c r="D15" s="3" t="s">
        <v>936</v>
      </c>
      <c r="E15" s="3" t="s">
        <v>2</v>
      </c>
      <c r="F15" s="3" t="s">
        <v>937</v>
      </c>
      <c r="G15" s="3" t="s">
        <v>938</v>
      </c>
      <c r="H15" s="3" t="s">
        <v>939</v>
      </c>
      <c r="I15" s="3" t="s">
        <v>940</v>
      </c>
      <c r="J15" s="3" t="s">
        <v>922</v>
      </c>
      <c r="K15" s="3" t="s">
        <v>924</v>
      </c>
      <c r="L15" s="3" t="s">
        <v>920</v>
      </c>
      <c r="M15" s="3" t="s">
        <v>926</v>
      </c>
      <c r="N15" s="3" t="s">
        <v>941</v>
      </c>
      <c r="O15" s="3" t="s">
        <v>942</v>
      </c>
      <c r="P15" s="3" t="s">
        <v>943</v>
      </c>
      <c r="Q15" s="3" t="s">
        <v>944</v>
      </c>
    </row>
    <row r="16" customFormat="false" ht="15" hidden="false" customHeight="false" outlineLevel="0" collapsed="false">
      <c r="A16" s="52" t="n">
        <v>43832</v>
      </c>
      <c r="B16" s="53" t="n">
        <v>0.675183465781976</v>
      </c>
      <c r="C16" s="53" t="n">
        <v>0.686650931215819</v>
      </c>
      <c r="D16" s="53" t="n">
        <v>0.575457989433086</v>
      </c>
      <c r="E16" s="54" t="s">
        <v>945</v>
      </c>
      <c r="F16" s="53" t="n">
        <f aca="false">AVERAGE(B16:D16)</f>
        <v>0.645764128810294</v>
      </c>
      <c r="G16" s="53" t="n">
        <f aca="false">MAX(B16:D16)-MIN(B16:D16)</f>
        <v>0.111192941782733</v>
      </c>
      <c r="H16" s="54" t="n">
        <f aca="false">IF(AND(E16="Phase I",OR(F16&gt;$E$6,F16&lt;$E$7,G16&gt;$E$8)),1,0)</f>
        <v>0</v>
      </c>
      <c r="I16" s="53" t="n">
        <f aca="false">$H$4</f>
        <v>0.67278149898986</v>
      </c>
      <c r="J16" s="53" t="n">
        <f aca="false">$H$6</f>
        <v>0.959137233677579</v>
      </c>
      <c r="K16" s="53" t="n">
        <f aca="false">$H$7</f>
        <v>0.386425764302142</v>
      </c>
      <c r="L16" s="53" t="n">
        <f aca="false">$H$5</f>
        <v>0.279917629215756</v>
      </c>
      <c r="M16" s="53" t="n">
        <f aca="false">$H$8</f>
        <v>0.720507977601356</v>
      </c>
      <c r="N16" s="54" t="n">
        <f aca="false">IF(OR(F16&gt;J16,F16&lt;K16),1,0)</f>
        <v>0</v>
      </c>
      <c r="O16" s="54" t="n">
        <f aca="false">IF(G16&gt;M16,1,0)</f>
        <v>0</v>
      </c>
      <c r="P16" s="54" t="n">
        <f aca="false">SIGN(F16-I16)</f>
        <v>-1</v>
      </c>
      <c r="Q16" s="0" t="n">
        <v>0</v>
      </c>
    </row>
    <row r="17" customFormat="false" ht="15" hidden="false" customHeight="false" outlineLevel="0" collapsed="false">
      <c r="A17" s="52" t="n">
        <v>43833</v>
      </c>
      <c r="B17" s="53" t="n">
        <v>0.523631965048634</v>
      </c>
      <c r="C17" s="53" t="n">
        <v>0.75379396638645</v>
      </c>
      <c r="D17" s="53" t="n">
        <v>0.670399698358793</v>
      </c>
      <c r="E17" s="54" t="s">
        <v>945</v>
      </c>
      <c r="F17" s="53" t="n">
        <f aca="false">AVERAGE(B17:D17)</f>
        <v>0.649275209931292</v>
      </c>
      <c r="G17" s="53" t="n">
        <f aca="false">MAX(B17:D17)-MIN(B17:D17)</f>
        <v>0.230162001337816</v>
      </c>
      <c r="H17" s="54" t="n">
        <f aca="false">IF(AND(E17="Phase I",OR(F17&gt;$E$6,F17&lt;$E$7,G17&gt;$E$8)),1,0)</f>
        <v>0</v>
      </c>
      <c r="I17" s="53" t="n">
        <f aca="false">$H$4</f>
        <v>0.67278149898986</v>
      </c>
      <c r="J17" s="53" t="n">
        <f aca="false">$H$6</f>
        <v>0.959137233677579</v>
      </c>
      <c r="K17" s="53" t="n">
        <f aca="false">$H$7</f>
        <v>0.386425764302142</v>
      </c>
      <c r="L17" s="53" t="n">
        <f aca="false">$H$5</f>
        <v>0.279917629215756</v>
      </c>
      <c r="M17" s="53" t="n">
        <f aca="false">$H$8</f>
        <v>0.720507977601356</v>
      </c>
      <c r="N17" s="54" t="n">
        <f aca="false">IF(OR(F17&gt;J17,F17&lt;K17),1,0)</f>
        <v>0</v>
      </c>
      <c r="O17" s="54" t="n">
        <f aca="false">IF(G17&gt;M17,1,0)</f>
        <v>0</v>
      </c>
      <c r="P17" s="54" t="n">
        <f aca="false">SIGN(F17-I17)</f>
        <v>-1</v>
      </c>
      <c r="Q17" s="0" t="n">
        <v>0</v>
      </c>
    </row>
    <row r="18" customFormat="false" ht="15" hidden="false" customHeight="false" outlineLevel="0" collapsed="false">
      <c r="A18" s="52" t="n">
        <v>43836</v>
      </c>
      <c r="B18" s="53" t="n">
        <v>0</v>
      </c>
      <c r="C18" s="53" t="n">
        <v>0</v>
      </c>
      <c r="D18" s="53" t="n">
        <v>0.702971913698875</v>
      </c>
      <c r="E18" s="54" t="s">
        <v>945</v>
      </c>
      <c r="F18" s="53" t="n">
        <f aca="false">AVERAGE(B18:D18)</f>
        <v>0.234323971232958</v>
      </c>
      <c r="G18" s="53" t="n">
        <f aca="false">MAX(B18:D18)-MIN(B18:D18)</f>
        <v>0.702971913698875</v>
      </c>
      <c r="H18" s="54" t="n">
        <f aca="false">IF(AND(E18="Phase I",OR(F18&gt;$E$6,F18&lt;$E$7,G18&gt;$E$8)),1,0)</f>
        <v>1</v>
      </c>
      <c r="I18" s="53" t="n">
        <f aca="false">$H$4</f>
        <v>0.67278149898986</v>
      </c>
      <c r="J18" s="53" t="n">
        <f aca="false">$H$6</f>
        <v>0.959137233677579</v>
      </c>
      <c r="K18" s="53" t="n">
        <f aca="false">$H$7</f>
        <v>0.386425764302142</v>
      </c>
      <c r="L18" s="53" t="n">
        <f aca="false">$H$5</f>
        <v>0.279917629215756</v>
      </c>
      <c r="M18" s="53" t="n">
        <f aca="false">$H$8</f>
        <v>0.720507977601356</v>
      </c>
      <c r="N18" s="54" t="n">
        <f aca="false">IF(OR(F18&gt;J18,F18&lt;K18),1,0)</f>
        <v>1</v>
      </c>
      <c r="O18" s="54" t="n">
        <f aca="false">IF(G18&gt;M18,1,0)</f>
        <v>0</v>
      </c>
      <c r="P18" s="54" t="n">
        <f aca="false">SIGN(F18-I18)</f>
        <v>-1</v>
      </c>
      <c r="Q18" s="0" t="n">
        <v>0</v>
      </c>
    </row>
    <row r="19" customFormat="false" ht="15" hidden="false" customHeight="false" outlineLevel="0" collapsed="false">
      <c r="A19" s="52" t="n">
        <v>43837</v>
      </c>
      <c r="B19" s="53" t="n">
        <v>0.741085217417183</v>
      </c>
      <c r="C19" s="53" t="n">
        <v>0.799705296653173</v>
      </c>
      <c r="D19" s="53" t="n">
        <v>0.55756721253777</v>
      </c>
      <c r="E19" s="54" t="s">
        <v>945</v>
      </c>
      <c r="F19" s="53" t="n">
        <f aca="false">AVERAGE(B19:D19)</f>
        <v>0.699452575536042</v>
      </c>
      <c r="G19" s="53" t="n">
        <f aca="false">MAX(B19:D19)-MIN(B19:D19)</f>
        <v>0.242138084115404</v>
      </c>
      <c r="H19" s="54" t="n">
        <f aca="false">IF(AND(E19="Phase I",OR(F19&gt;$E$6,F19&lt;$E$7,G19&gt;$E$8)),1,0)</f>
        <v>0</v>
      </c>
      <c r="I19" s="53" t="n">
        <f aca="false">$H$4</f>
        <v>0.67278149898986</v>
      </c>
      <c r="J19" s="53" t="n">
        <f aca="false">$H$6</f>
        <v>0.959137233677579</v>
      </c>
      <c r="K19" s="53" t="n">
        <f aca="false">$H$7</f>
        <v>0.386425764302142</v>
      </c>
      <c r="L19" s="53" t="n">
        <f aca="false">$H$5</f>
        <v>0.279917629215756</v>
      </c>
      <c r="M19" s="53" t="n">
        <f aca="false">$H$8</f>
        <v>0.720507977601356</v>
      </c>
      <c r="N19" s="54" t="n">
        <f aca="false">IF(OR(F19&gt;J19,F19&lt;K19),1,0)</f>
        <v>0</v>
      </c>
      <c r="O19" s="54" t="n">
        <f aca="false">IF(G19&gt;M19,1,0)</f>
        <v>0</v>
      </c>
      <c r="P19" s="54" t="n">
        <f aca="false">SIGN(F19-I19)</f>
        <v>1</v>
      </c>
      <c r="Q19" s="0" t="n">
        <v>0</v>
      </c>
    </row>
    <row r="20" customFormat="false" ht="15" hidden="false" customHeight="false" outlineLevel="0" collapsed="false">
      <c r="A20" s="52" t="n">
        <v>43838</v>
      </c>
      <c r="B20" s="53" t="n">
        <v>0.727831405143374</v>
      </c>
      <c r="C20" s="53" t="n">
        <v>0.714033601948019</v>
      </c>
      <c r="D20" s="53" t="n">
        <v>0.958441459673224</v>
      </c>
      <c r="E20" s="54" t="s">
        <v>945</v>
      </c>
      <c r="F20" s="53" t="n">
        <f aca="false">AVERAGE(B20:D20)</f>
        <v>0.800102155588206</v>
      </c>
      <c r="G20" s="53" t="n">
        <f aca="false">MAX(B20:D20)-MIN(B20:D20)</f>
        <v>0.244407857725204</v>
      </c>
      <c r="H20" s="54" t="n">
        <f aca="false">IF(AND(E20="Phase I",OR(F20&gt;$E$6,F20&lt;$E$7,G20&gt;$E$8)),1,0)</f>
        <v>0</v>
      </c>
      <c r="I20" s="53" t="n">
        <f aca="false">$H$4</f>
        <v>0.67278149898986</v>
      </c>
      <c r="J20" s="53" t="n">
        <f aca="false">$H$6</f>
        <v>0.959137233677579</v>
      </c>
      <c r="K20" s="53" t="n">
        <f aca="false">$H$7</f>
        <v>0.386425764302142</v>
      </c>
      <c r="L20" s="53" t="n">
        <f aca="false">$H$5</f>
        <v>0.279917629215756</v>
      </c>
      <c r="M20" s="53" t="n">
        <f aca="false">$H$8</f>
        <v>0.720507977601356</v>
      </c>
      <c r="N20" s="54" t="n">
        <f aca="false">IF(OR(F20&gt;J20,F20&lt;K20),1,0)</f>
        <v>0</v>
      </c>
      <c r="O20" s="54" t="n">
        <f aca="false">IF(G20&gt;M20,1,0)</f>
        <v>0</v>
      </c>
      <c r="P20" s="54" t="n">
        <f aca="false">SIGN(F20-I20)</f>
        <v>1</v>
      </c>
      <c r="Q20" s="0" t="n">
        <v>0</v>
      </c>
    </row>
    <row r="21" customFormat="false" ht="15" hidden="false" customHeight="false" outlineLevel="0" collapsed="false">
      <c r="A21" s="52" t="n">
        <v>43839</v>
      </c>
      <c r="B21" s="53" t="n">
        <v>0.69190712605043</v>
      </c>
      <c r="C21" s="53" t="n">
        <v>0.664977197523719</v>
      </c>
      <c r="D21" s="53" t="n">
        <v>0.778311794262496</v>
      </c>
      <c r="E21" s="54" t="s">
        <v>945</v>
      </c>
      <c r="F21" s="53" t="n">
        <f aca="false">AVERAGE(B21:D21)</f>
        <v>0.711732039278882</v>
      </c>
      <c r="G21" s="53" t="n">
        <f aca="false">MAX(B21:D21)-MIN(B21:D21)</f>
        <v>0.113334596738777</v>
      </c>
      <c r="H21" s="54" t="n">
        <f aca="false">IF(AND(E21="Phase I",OR(F21&gt;$E$6,F21&lt;$E$7,G21&gt;$E$8)),1,0)</f>
        <v>0</v>
      </c>
      <c r="I21" s="53" t="n">
        <f aca="false">$H$4</f>
        <v>0.67278149898986</v>
      </c>
      <c r="J21" s="53" t="n">
        <f aca="false">$H$6</f>
        <v>0.959137233677579</v>
      </c>
      <c r="K21" s="53" t="n">
        <f aca="false">$H$7</f>
        <v>0.386425764302142</v>
      </c>
      <c r="L21" s="53" t="n">
        <f aca="false">$H$5</f>
        <v>0.279917629215756</v>
      </c>
      <c r="M21" s="53" t="n">
        <f aca="false">$H$8</f>
        <v>0.720507977601356</v>
      </c>
      <c r="N21" s="54" t="n">
        <f aca="false">IF(OR(F21&gt;J21,F21&lt;K21),1,0)</f>
        <v>0</v>
      </c>
      <c r="O21" s="54" t="n">
        <f aca="false">IF(G21&gt;M21,1,0)</f>
        <v>0</v>
      </c>
      <c r="P21" s="54" t="n">
        <f aca="false">SIGN(F21-I21)</f>
        <v>1</v>
      </c>
      <c r="Q21" s="0" t="n">
        <v>0</v>
      </c>
    </row>
    <row r="22" customFormat="false" ht="15" hidden="false" customHeight="false" outlineLevel="0" collapsed="false">
      <c r="A22" s="52" t="n">
        <v>43840</v>
      </c>
      <c r="B22" s="53" t="n">
        <v>0.714830842753581</v>
      </c>
      <c r="C22" s="53" t="n">
        <v>0.739727232865382</v>
      </c>
      <c r="D22" s="53" t="n">
        <v>0.689787170000986</v>
      </c>
      <c r="E22" s="54" t="s">
        <v>945</v>
      </c>
      <c r="F22" s="53" t="n">
        <f aca="false">AVERAGE(B22:D22)</f>
        <v>0.714781748539983</v>
      </c>
      <c r="G22" s="53" t="n">
        <f aca="false">MAX(B22:D22)-MIN(B22:D22)</f>
        <v>0.0499400628643966</v>
      </c>
      <c r="H22" s="54" t="n">
        <f aca="false">IF(AND(E22="Phase I",OR(F22&gt;$E$6,F22&lt;$E$7,G22&gt;$E$8)),1,0)</f>
        <v>0</v>
      </c>
      <c r="I22" s="53" t="n">
        <f aca="false">$H$4</f>
        <v>0.67278149898986</v>
      </c>
      <c r="J22" s="53" t="n">
        <f aca="false">$H$6</f>
        <v>0.959137233677579</v>
      </c>
      <c r="K22" s="53" t="n">
        <f aca="false">$H$7</f>
        <v>0.386425764302142</v>
      </c>
      <c r="L22" s="53" t="n">
        <f aca="false">$H$5</f>
        <v>0.279917629215756</v>
      </c>
      <c r="M22" s="53" t="n">
        <f aca="false">$H$8</f>
        <v>0.720507977601356</v>
      </c>
      <c r="N22" s="54" t="n">
        <f aca="false">IF(OR(F22&gt;J22,F22&lt;K22),1,0)</f>
        <v>0</v>
      </c>
      <c r="O22" s="54" t="n">
        <f aca="false">IF(G22&gt;M22,1,0)</f>
        <v>0</v>
      </c>
      <c r="P22" s="54" t="n">
        <f aca="false">SIGN(F22-I22)</f>
        <v>1</v>
      </c>
      <c r="Q22" s="0" t="n">
        <v>0</v>
      </c>
    </row>
    <row r="23" customFormat="false" ht="15" hidden="false" customHeight="false" outlineLevel="0" collapsed="false">
      <c r="A23" s="52" t="n">
        <v>43843</v>
      </c>
      <c r="B23" s="53" t="n">
        <v>0</v>
      </c>
      <c r="C23" s="53" t="n">
        <v>0.727507401357997</v>
      </c>
      <c r="D23" s="53" t="n">
        <v>0.0321850995452558</v>
      </c>
      <c r="E23" s="54" t="s">
        <v>945</v>
      </c>
      <c r="F23" s="53" t="n">
        <f aca="false">AVERAGE(B23:D23)</f>
        <v>0.253230833634418</v>
      </c>
      <c r="G23" s="53" t="n">
        <f aca="false">MAX(B23:D23)-MIN(B23:D23)</f>
        <v>0.727507401357997</v>
      </c>
      <c r="H23" s="54" t="n">
        <f aca="false">IF(AND(E23="Phase I",OR(F23&gt;$E$6,F23&lt;$E$7,G23&gt;$E$8)),1,0)</f>
        <v>1</v>
      </c>
      <c r="I23" s="53" t="n">
        <f aca="false">$H$4</f>
        <v>0.67278149898986</v>
      </c>
      <c r="J23" s="53" t="n">
        <f aca="false">$H$6</f>
        <v>0.959137233677579</v>
      </c>
      <c r="K23" s="53" t="n">
        <f aca="false">$H$7</f>
        <v>0.386425764302142</v>
      </c>
      <c r="L23" s="53" t="n">
        <f aca="false">$H$5</f>
        <v>0.279917629215756</v>
      </c>
      <c r="M23" s="53" t="n">
        <f aca="false">$H$8</f>
        <v>0.720507977601356</v>
      </c>
      <c r="N23" s="54" t="n">
        <f aca="false">IF(OR(F23&gt;J23,F23&lt;K23),1,0)</f>
        <v>1</v>
      </c>
      <c r="O23" s="54" t="n">
        <f aca="false">IF(G23&gt;M23,1,0)</f>
        <v>1</v>
      </c>
      <c r="P23" s="54" t="n">
        <f aca="false">SIGN(F23-I23)</f>
        <v>-1</v>
      </c>
      <c r="Q23" s="54" t="n">
        <f aca="false">IF(ABS(SUM(P16:P23))=8,1,0)</f>
        <v>0</v>
      </c>
    </row>
    <row r="24" customFormat="false" ht="15" hidden="false" customHeight="false" outlineLevel="0" collapsed="false">
      <c r="A24" s="52" t="n">
        <v>43844</v>
      </c>
      <c r="B24" s="53" t="n">
        <v>0.688370746417184</v>
      </c>
      <c r="C24" s="53" t="n">
        <v>0.841566535041963</v>
      </c>
      <c r="D24" s="53" t="n">
        <v>0.875744862045728</v>
      </c>
      <c r="E24" s="54" t="s">
        <v>945</v>
      </c>
      <c r="F24" s="53" t="n">
        <f aca="false">AVERAGE(B24:D24)</f>
        <v>0.801894047834958</v>
      </c>
      <c r="G24" s="53" t="n">
        <f aca="false">MAX(B24:D24)-MIN(B24:D24)</f>
        <v>0.187374115628545</v>
      </c>
      <c r="H24" s="54" t="n">
        <f aca="false">IF(AND(E24="Phase I",OR(F24&gt;$E$6,F24&lt;$E$7,G24&gt;$E$8)),1,0)</f>
        <v>0</v>
      </c>
      <c r="I24" s="53" t="n">
        <f aca="false">$H$4</f>
        <v>0.67278149898986</v>
      </c>
      <c r="J24" s="53" t="n">
        <f aca="false">$H$6</f>
        <v>0.959137233677579</v>
      </c>
      <c r="K24" s="53" t="n">
        <f aca="false">$H$7</f>
        <v>0.386425764302142</v>
      </c>
      <c r="L24" s="53" t="n">
        <f aca="false">$H$5</f>
        <v>0.279917629215756</v>
      </c>
      <c r="M24" s="53" t="n">
        <f aca="false">$H$8</f>
        <v>0.720507977601356</v>
      </c>
      <c r="N24" s="54" t="n">
        <f aca="false">IF(OR(F24&gt;J24,F24&lt;K24),1,0)</f>
        <v>0</v>
      </c>
      <c r="O24" s="54" t="n">
        <f aca="false">IF(G24&gt;M24,1,0)</f>
        <v>0</v>
      </c>
      <c r="P24" s="54" t="n">
        <f aca="false">SIGN(F24-I24)</f>
        <v>1</v>
      </c>
      <c r="Q24" s="54" t="n">
        <f aca="false">IF(ABS(SUM(P17:P24))=8,1,0)</f>
        <v>0</v>
      </c>
    </row>
    <row r="25" customFormat="false" ht="15" hidden="false" customHeight="false" outlineLevel="0" collapsed="false">
      <c r="A25" s="52" t="n">
        <v>43845</v>
      </c>
      <c r="B25" s="53" t="n">
        <v>0.714024282716728</v>
      </c>
      <c r="C25" s="53" t="n">
        <v>0.743947124562113</v>
      </c>
      <c r="D25" s="53" t="n">
        <v>0.564059340856334</v>
      </c>
      <c r="E25" s="54" t="s">
        <v>945</v>
      </c>
      <c r="F25" s="53" t="n">
        <f aca="false">AVERAGE(B25:D25)</f>
        <v>0.674010249378392</v>
      </c>
      <c r="G25" s="53" t="n">
        <f aca="false">MAX(B25:D25)-MIN(B25:D25)</f>
        <v>0.179887783705779</v>
      </c>
      <c r="H25" s="54" t="n">
        <f aca="false">IF(AND(E25="Phase I",OR(F25&gt;$E$6,F25&lt;$E$7,G25&gt;$E$8)),1,0)</f>
        <v>0</v>
      </c>
      <c r="I25" s="53" t="n">
        <f aca="false">$H$4</f>
        <v>0.67278149898986</v>
      </c>
      <c r="J25" s="53" t="n">
        <f aca="false">$H$6</f>
        <v>0.959137233677579</v>
      </c>
      <c r="K25" s="53" t="n">
        <f aca="false">$H$7</f>
        <v>0.386425764302142</v>
      </c>
      <c r="L25" s="53" t="n">
        <f aca="false">$H$5</f>
        <v>0.279917629215756</v>
      </c>
      <c r="M25" s="53" t="n">
        <f aca="false">$H$8</f>
        <v>0.720507977601356</v>
      </c>
      <c r="N25" s="54" t="n">
        <f aca="false">IF(OR(F25&gt;J25,F25&lt;K25),1,0)</f>
        <v>0</v>
      </c>
      <c r="O25" s="54" t="n">
        <f aca="false">IF(G25&gt;M25,1,0)</f>
        <v>0</v>
      </c>
      <c r="P25" s="54" t="n">
        <f aca="false">SIGN(F25-I25)</f>
        <v>1</v>
      </c>
      <c r="Q25" s="54" t="n">
        <f aca="false">IF(ABS(SUM(P18:P25))=8,1,0)</f>
        <v>0</v>
      </c>
    </row>
    <row r="26" customFormat="false" ht="15" hidden="false" customHeight="false" outlineLevel="0" collapsed="false">
      <c r="A26" s="52" t="n">
        <v>43846</v>
      </c>
      <c r="B26" s="53" t="n">
        <v>0.68204246184807</v>
      </c>
      <c r="C26" s="53" t="n">
        <v>0.76416703329724</v>
      </c>
      <c r="D26" s="53" t="n">
        <v>0.645669209417112</v>
      </c>
      <c r="E26" s="54" t="s">
        <v>945</v>
      </c>
      <c r="F26" s="53" t="n">
        <f aca="false">AVERAGE(B26:D26)</f>
        <v>0.697292901520808</v>
      </c>
      <c r="G26" s="53" t="n">
        <f aca="false">MAX(B26:D26)-MIN(B26:D26)</f>
        <v>0.118497823880128</v>
      </c>
      <c r="H26" s="54" t="n">
        <f aca="false">IF(AND(E26="Phase I",OR(F26&gt;$E$6,F26&lt;$E$7,G26&gt;$E$8)),1,0)</f>
        <v>0</v>
      </c>
      <c r="I26" s="53" t="n">
        <f aca="false">$H$4</f>
        <v>0.67278149898986</v>
      </c>
      <c r="J26" s="53" t="n">
        <f aca="false">$H$6</f>
        <v>0.959137233677579</v>
      </c>
      <c r="K26" s="53" t="n">
        <f aca="false">$H$7</f>
        <v>0.386425764302142</v>
      </c>
      <c r="L26" s="53" t="n">
        <f aca="false">$H$5</f>
        <v>0.279917629215756</v>
      </c>
      <c r="M26" s="53" t="n">
        <f aca="false">$H$8</f>
        <v>0.720507977601356</v>
      </c>
      <c r="N26" s="54" t="n">
        <f aca="false">IF(OR(F26&gt;J26,F26&lt;K26),1,0)</f>
        <v>0</v>
      </c>
      <c r="O26" s="54" t="n">
        <f aca="false">IF(G26&gt;M26,1,0)</f>
        <v>0</v>
      </c>
      <c r="P26" s="54" t="n">
        <f aca="false">SIGN(F26-I26)</f>
        <v>1</v>
      </c>
      <c r="Q26" s="54" t="n">
        <f aca="false">IF(ABS(SUM(P19:P26))=8,1,0)</f>
        <v>0</v>
      </c>
    </row>
    <row r="27" customFormat="false" ht="15" hidden="false" customHeight="false" outlineLevel="0" collapsed="false">
      <c r="A27" s="52" t="n">
        <v>43847</v>
      </c>
      <c r="B27" s="53" t="n">
        <v>0.789854883949812</v>
      </c>
      <c r="C27" s="53" t="n">
        <v>0.763049671075298</v>
      </c>
      <c r="D27" s="53" t="n">
        <v>0.778326175230618</v>
      </c>
      <c r="E27" s="54" t="s">
        <v>945</v>
      </c>
      <c r="F27" s="53" t="n">
        <f aca="false">AVERAGE(B27:D27)</f>
        <v>0.777076910085243</v>
      </c>
      <c r="G27" s="53" t="n">
        <f aca="false">MAX(B27:D27)-MIN(B27:D27)</f>
        <v>0.026805212874514</v>
      </c>
      <c r="H27" s="54" t="n">
        <f aca="false">IF(AND(E27="Phase I",OR(F27&gt;$E$6,F27&lt;$E$7,G27&gt;$E$8)),1,0)</f>
        <v>0</v>
      </c>
      <c r="I27" s="53" t="n">
        <f aca="false">$H$4</f>
        <v>0.67278149898986</v>
      </c>
      <c r="J27" s="53" t="n">
        <f aca="false">$H$6</f>
        <v>0.959137233677579</v>
      </c>
      <c r="K27" s="53" t="n">
        <f aca="false">$H$7</f>
        <v>0.386425764302142</v>
      </c>
      <c r="L27" s="53" t="n">
        <f aca="false">$H$5</f>
        <v>0.279917629215756</v>
      </c>
      <c r="M27" s="53" t="n">
        <f aca="false">$H$8</f>
        <v>0.720507977601356</v>
      </c>
      <c r="N27" s="54" t="n">
        <f aca="false">IF(OR(F27&gt;J27,F27&lt;K27),1,0)</f>
        <v>0</v>
      </c>
      <c r="O27" s="54" t="n">
        <f aca="false">IF(G27&gt;M27,1,0)</f>
        <v>0</v>
      </c>
      <c r="P27" s="54" t="n">
        <f aca="false">SIGN(F27-I27)</f>
        <v>1</v>
      </c>
      <c r="Q27" s="54" t="n">
        <f aca="false">IF(ABS(SUM(P20:P27))=8,1,0)</f>
        <v>0</v>
      </c>
    </row>
    <row r="28" customFormat="false" ht="15" hidden="false" customHeight="false" outlineLevel="0" collapsed="false">
      <c r="A28" s="52" t="n">
        <v>43850</v>
      </c>
      <c r="B28" s="53" t="n">
        <v>0</v>
      </c>
      <c r="C28" s="53" t="n">
        <v>0</v>
      </c>
      <c r="D28" s="53" t="n">
        <v>0</v>
      </c>
      <c r="E28" s="54" t="s">
        <v>945</v>
      </c>
      <c r="F28" s="53" t="n">
        <f aca="false">AVERAGE(B28:D28)</f>
        <v>0</v>
      </c>
      <c r="G28" s="53" t="n">
        <f aca="false">MAX(B28:D28)-MIN(B28:D28)</f>
        <v>0</v>
      </c>
      <c r="H28" s="54" t="n">
        <f aca="false">IF(AND(E28="Phase I",OR(F28&gt;$E$6,F28&lt;$E$7,G28&gt;$E$8)),1,0)</f>
        <v>1</v>
      </c>
      <c r="I28" s="53" t="n">
        <f aca="false">$H$4</f>
        <v>0.67278149898986</v>
      </c>
      <c r="J28" s="53" t="n">
        <f aca="false">$H$6</f>
        <v>0.959137233677579</v>
      </c>
      <c r="K28" s="53" t="n">
        <f aca="false">$H$7</f>
        <v>0.386425764302142</v>
      </c>
      <c r="L28" s="53" t="n">
        <f aca="false">$H$5</f>
        <v>0.279917629215756</v>
      </c>
      <c r="M28" s="53" t="n">
        <f aca="false">$H$8</f>
        <v>0.720507977601356</v>
      </c>
      <c r="N28" s="54" t="n">
        <f aca="false">IF(OR(F28&gt;J28,F28&lt;K28),1,0)</f>
        <v>1</v>
      </c>
      <c r="O28" s="54" t="n">
        <f aca="false">IF(G28&gt;M28,1,0)</f>
        <v>0</v>
      </c>
      <c r="P28" s="54" t="n">
        <f aca="false">SIGN(F28-I28)</f>
        <v>-1</v>
      </c>
      <c r="Q28" s="54" t="n">
        <f aca="false">IF(ABS(SUM(P21:P28))=8,1,0)</f>
        <v>0</v>
      </c>
    </row>
    <row r="29" customFormat="false" ht="15" hidden="false" customHeight="false" outlineLevel="0" collapsed="false">
      <c r="A29" s="52" t="n">
        <v>43851</v>
      </c>
      <c r="B29" s="53" t="n">
        <v>0</v>
      </c>
      <c r="C29" s="53" t="n">
        <v>0</v>
      </c>
      <c r="D29" s="53" t="n">
        <v>0.3951653020203</v>
      </c>
      <c r="E29" s="54" t="s">
        <v>945</v>
      </c>
      <c r="F29" s="53" t="n">
        <f aca="false">AVERAGE(B29:D29)</f>
        <v>0.1317217673401</v>
      </c>
      <c r="G29" s="53" t="n">
        <f aca="false">MAX(B29:D29)-MIN(B29:D29)</f>
        <v>0.3951653020203</v>
      </c>
      <c r="H29" s="54" t="n">
        <f aca="false">IF(AND(E29="Phase I",OR(F29&gt;$E$6,F29&lt;$E$7,G29&gt;$E$8)),1,0)</f>
        <v>1</v>
      </c>
      <c r="I29" s="53" t="n">
        <f aca="false">$H$4</f>
        <v>0.67278149898986</v>
      </c>
      <c r="J29" s="53" t="n">
        <f aca="false">$H$6</f>
        <v>0.959137233677579</v>
      </c>
      <c r="K29" s="53" t="n">
        <f aca="false">$H$7</f>
        <v>0.386425764302142</v>
      </c>
      <c r="L29" s="53" t="n">
        <f aca="false">$H$5</f>
        <v>0.279917629215756</v>
      </c>
      <c r="M29" s="53" t="n">
        <f aca="false">$H$8</f>
        <v>0.720507977601356</v>
      </c>
      <c r="N29" s="54" t="n">
        <f aca="false">IF(OR(F29&gt;J29,F29&lt;K29),1,0)</f>
        <v>1</v>
      </c>
      <c r="O29" s="54" t="n">
        <f aca="false">IF(G29&gt;M29,1,0)</f>
        <v>0</v>
      </c>
      <c r="P29" s="54" t="n">
        <f aca="false">SIGN(F29-I29)</f>
        <v>-1</v>
      </c>
      <c r="Q29" s="54" t="n">
        <f aca="false">IF(ABS(SUM(P22:P29))=8,1,0)</f>
        <v>0</v>
      </c>
    </row>
    <row r="30" customFormat="false" ht="15" hidden="false" customHeight="false" outlineLevel="0" collapsed="false">
      <c r="A30" s="52" t="n">
        <v>43852</v>
      </c>
      <c r="B30" s="53" t="n">
        <v>0.734868354698108</v>
      </c>
      <c r="C30" s="53" t="n">
        <v>0.835015709740326</v>
      </c>
      <c r="D30" s="53" t="n">
        <v>0.911057289368002</v>
      </c>
      <c r="E30" s="54" t="s">
        <v>945</v>
      </c>
      <c r="F30" s="53" t="n">
        <f aca="false">AVERAGE(B30:D30)</f>
        <v>0.826980451268812</v>
      </c>
      <c r="G30" s="53" t="n">
        <f aca="false">MAX(B30:D30)-MIN(B30:D30)</f>
        <v>0.176188934669894</v>
      </c>
      <c r="H30" s="54" t="n">
        <f aca="false">IF(AND(E30="Phase I",OR(F30&gt;$E$6,F30&lt;$E$7,G30&gt;$E$8)),1,0)</f>
        <v>0</v>
      </c>
      <c r="I30" s="53" t="n">
        <f aca="false">$H$4</f>
        <v>0.67278149898986</v>
      </c>
      <c r="J30" s="53" t="n">
        <f aca="false">$H$6</f>
        <v>0.959137233677579</v>
      </c>
      <c r="K30" s="53" t="n">
        <f aca="false">$H$7</f>
        <v>0.386425764302142</v>
      </c>
      <c r="L30" s="53" t="n">
        <f aca="false">$H$5</f>
        <v>0.279917629215756</v>
      </c>
      <c r="M30" s="53" t="n">
        <f aca="false">$H$8</f>
        <v>0.720507977601356</v>
      </c>
      <c r="N30" s="54" t="n">
        <f aca="false">IF(OR(F30&gt;J30,F30&lt;K30),1,0)</f>
        <v>0</v>
      </c>
      <c r="O30" s="54" t="n">
        <f aca="false">IF(G30&gt;M30,1,0)</f>
        <v>0</v>
      </c>
      <c r="P30" s="54" t="n">
        <f aca="false">SIGN(F30-I30)</f>
        <v>1</v>
      </c>
      <c r="Q30" s="54" t="n">
        <f aca="false">IF(ABS(SUM(P23:P30))=8,1,0)</f>
        <v>0</v>
      </c>
    </row>
    <row r="31" customFormat="false" ht="15" hidden="false" customHeight="false" outlineLevel="0" collapsed="false">
      <c r="A31" s="52" t="n">
        <v>43853</v>
      </c>
      <c r="B31" s="53" t="n">
        <v>0</v>
      </c>
      <c r="C31" s="53" t="n">
        <v>0.8929537851311</v>
      </c>
      <c r="D31" s="53" t="n">
        <v>0.581112143939604</v>
      </c>
      <c r="E31" s="54" t="s">
        <v>945</v>
      </c>
      <c r="F31" s="53" t="n">
        <f aca="false">AVERAGE(B31:D31)</f>
        <v>0.491355309690235</v>
      </c>
      <c r="G31" s="53" t="n">
        <f aca="false">MAX(B31:D31)-MIN(B31:D31)</f>
        <v>0.8929537851311</v>
      </c>
      <c r="H31" s="54" t="n">
        <f aca="false">IF(AND(E31="Phase I",OR(F31&gt;$E$6,F31&lt;$E$7,G31&gt;$E$8)),1,0)</f>
        <v>1</v>
      </c>
      <c r="I31" s="53" t="n">
        <f aca="false">$H$4</f>
        <v>0.67278149898986</v>
      </c>
      <c r="J31" s="53" t="n">
        <f aca="false">$H$6</f>
        <v>0.959137233677579</v>
      </c>
      <c r="K31" s="53" t="n">
        <f aca="false">$H$7</f>
        <v>0.386425764302142</v>
      </c>
      <c r="L31" s="53" t="n">
        <f aca="false">$H$5</f>
        <v>0.279917629215756</v>
      </c>
      <c r="M31" s="53" t="n">
        <f aca="false">$H$8</f>
        <v>0.720507977601356</v>
      </c>
      <c r="N31" s="54" t="n">
        <f aca="false">IF(OR(F31&gt;J31,F31&lt;K31),1,0)</f>
        <v>0</v>
      </c>
      <c r="O31" s="54" t="n">
        <f aca="false">IF(G31&gt;M31,1,0)</f>
        <v>1</v>
      </c>
      <c r="P31" s="54" t="n">
        <f aca="false">SIGN(F31-I31)</f>
        <v>-1</v>
      </c>
      <c r="Q31" s="54" t="n">
        <f aca="false">IF(ABS(SUM(P24:P31))=8,1,0)</f>
        <v>0</v>
      </c>
    </row>
    <row r="32" customFormat="false" ht="15" hidden="false" customHeight="false" outlineLevel="0" collapsed="false">
      <c r="A32" s="52" t="n">
        <v>43854</v>
      </c>
      <c r="B32" s="53" t="n">
        <v>0.755786380171261</v>
      </c>
      <c r="C32" s="53" t="n">
        <v>0.651023281244475</v>
      </c>
      <c r="D32" s="53" t="n">
        <v>0.849535759508608</v>
      </c>
      <c r="E32" s="54" t="s">
        <v>945</v>
      </c>
      <c r="F32" s="53" t="n">
        <f aca="false">AVERAGE(B32:D32)</f>
        <v>0.752115140308114</v>
      </c>
      <c r="G32" s="53" t="n">
        <f aca="false">MAX(B32:D32)-MIN(B32:D32)</f>
        <v>0.198512478264133</v>
      </c>
      <c r="H32" s="54" t="n">
        <f aca="false">IF(AND(E32="Phase I",OR(F32&gt;$E$6,F32&lt;$E$7,G32&gt;$E$8)),1,0)</f>
        <v>0</v>
      </c>
      <c r="I32" s="53" t="n">
        <f aca="false">$H$4</f>
        <v>0.67278149898986</v>
      </c>
      <c r="J32" s="53" t="n">
        <f aca="false">$H$6</f>
        <v>0.959137233677579</v>
      </c>
      <c r="K32" s="53" t="n">
        <f aca="false">$H$7</f>
        <v>0.386425764302142</v>
      </c>
      <c r="L32" s="53" t="n">
        <f aca="false">$H$5</f>
        <v>0.279917629215756</v>
      </c>
      <c r="M32" s="53" t="n">
        <f aca="false">$H$8</f>
        <v>0.720507977601356</v>
      </c>
      <c r="N32" s="54" t="n">
        <f aca="false">IF(OR(F32&gt;J32,F32&lt;K32),1,0)</f>
        <v>0</v>
      </c>
      <c r="O32" s="54" t="n">
        <f aca="false">IF(G32&gt;M32,1,0)</f>
        <v>0</v>
      </c>
      <c r="P32" s="54" t="n">
        <f aca="false">SIGN(F32-I32)</f>
        <v>1</v>
      </c>
      <c r="Q32" s="54" t="n">
        <f aca="false">IF(ABS(SUM(P25:P32))=8,1,0)</f>
        <v>0</v>
      </c>
    </row>
    <row r="33" customFormat="false" ht="15" hidden="false" customHeight="false" outlineLevel="0" collapsed="false">
      <c r="A33" s="52" t="n">
        <v>43857</v>
      </c>
      <c r="B33" s="53" t="n">
        <v>0.781561336010602</v>
      </c>
      <c r="C33" s="53" t="n">
        <v>0.784641592099571</v>
      </c>
      <c r="D33" s="53" t="n">
        <v>0.593485139309962</v>
      </c>
      <c r="E33" s="54" t="s">
        <v>945</v>
      </c>
      <c r="F33" s="53" t="n">
        <f aca="false">AVERAGE(B33:D33)</f>
        <v>0.719896022473378</v>
      </c>
      <c r="G33" s="53" t="n">
        <f aca="false">MAX(B33:D33)-MIN(B33:D33)</f>
        <v>0.191156452789608</v>
      </c>
      <c r="H33" s="54" t="n">
        <f aca="false">IF(AND(E33="Phase I",OR(F33&gt;$E$6,F33&lt;$E$7,G33&gt;$E$8)),1,0)</f>
        <v>0</v>
      </c>
      <c r="I33" s="53" t="n">
        <f aca="false">$H$4</f>
        <v>0.67278149898986</v>
      </c>
      <c r="J33" s="53" t="n">
        <f aca="false">$H$6</f>
        <v>0.959137233677579</v>
      </c>
      <c r="K33" s="53" t="n">
        <f aca="false">$H$7</f>
        <v>0.386425764302142</v>
      </c>
      <c r="L33" s="53" t="n">
        <f aca="false">$H$5</f>
        <v>0.279917629215756</v>
      </c>
      <c r="M33" s="53" t="n">
        <f aca="false">$H$8</f>
        <v>0.720507977601356</v>
      </c>
      <c r="N33" s="54" t="n">
        <f aca="false">IF(OR(F33&gt;J33,F33&lt;K33),1,0)</f>
        <v>0</v>
      </c>
      <c r="O33" s="54" t="n">
        <f aca="false">IF(G33&gt;M33,1,0)</f>
        <v>0</v>
      </c>
      <c r="P33" s="54" t="n">
        <f aca="false">SIGN(F33-I33)</f>
        <v>1</v>
      </c>
      <c r="Q33" s="54" t="n">
        <f aca="false">IF(ABS(SUM(P26:P33))=8,1,0)</f>
        <v>0</v>
      </c>
    </row>
    <row r="34" customFormat="false" ht="15" hidden="false" customHeight="false" outlineLevel="0" collapsed="false">
      <c r="A34" s="52" t="n">
        <v>43858</v>
      </c>
      <c r="B34" s="53" t="n">
        <v>0.655244175944073</v>
      </c>
      <c r="C34" s="53" t="n">
        <v>0.667202986690305</v>
      </c>
      <c r="D34" s="53" t="n">
        <v>0.667107540886403</v>
      </c>
      <c r="E34" s="54" t="s">
        <v>945</v>
      </c>
      <c r="F34" s="53" t="n">
        <f aca="false">AVERAGE(B34:D34)</f>
        <v>0.663184901173593</v>
      </c>
      <c r="G34" s="53" t="n">
        <f aca="false">MAX(B34:D34)-MIN(B34:D34)</f>
        <v>0.0119588107462318</v>
      </c>
      <c r="H34" s="54" t="n">
        <f aca="false">IF(AND(E34="Phase I",OR(F34&gt;$E$6,F34&lt;$E$7,G34&gt;$E$8)),1,0)</f>
        <v>0</v>
      </c>
      <c r="I34" s="53" t="n">
        <f aca="false">$H$4</f>
        <v>0.67278149898986</v>
      </c>
      <c r="J34" s="53" t="n">
        <f aca="false">$H$6</f>
        <v>0.959137233677579</v>
      </c>
      <c r="K34" s="53" t="n">
        <f aca="false">$H$7</f>
        <v>0.386425764302142</v>
      </c>
      <c r="L34" s="53" t="n">
        <f aca="false">$H$5</f>
        <v>0.279917629215756</v>
      </c>
      <c r="M34" s="53" t="n">
        <f aca="false">$H$8</f>
        <v>0.720507977601356</v>
      </c>
      <c r="N34" s="54" t="n">
        <f aca="false">IF(OR(F34&gt;J34,F34&lt;K34),1,0)</f>
        <v>0</v>
      </c>
      <c r="O34" s="54" t="n">
        <f aca="false">IF(G34&gt;M34,1,0)</f>
        <v>0</v>
      </c>
      <c r="P34" s="54" t="n">
        <f aca="false">SIGN(F34-I34)</f>
        <v>-1</v>
      </c>
      <c r="Q34" s="54" t="n">
        <f aca="false">IF(ABS(SUM(P27:P34))=8,1,0)</f>
        <v>0</v>
      </c>
    </row>
    <row r="35" customFormat="false" ht="15" hidden="false" customHeight="false" outlineLevel="0" collapsed="false">
      <c r="A35" s="52" t="n">
        <v>43859</v>
      </c>
      <c r="B35" s="53" t="n">
        <v>0.140086480904684</v>
      </c>
      <c r="C35" s="53" t="n">
        <v>0.73423562550354</v>
      </c>
      <c r="D35" s="53" t="n">
        <v>0.940907897265624</v>
      </c>
      <c r="E35" s="54" t="s">
        <v>945</v>
      </c>
      <c r="F35" s="53" t="n">
        <f aca="false">AVERAGE(B35:D35)</f>
        <v>0.605076667891282</v>
      </c>
      <c r="G35" s="53" t="n">
        <f aca="false">MAX(B35:D35)-MIN(B35:D35)</f>
        <v>0.80082141636094</v>
      </c>
      <c r="H35" s="54" t="n">
        <f aca="false">IF(AND(E35="Phase I",OR(F35&gt;$E$6,F35&lt;$E$7,G35&gt;$E$8)),1,0)</f>
        <v>0</v>
      </c>
      <c r="I35" s="53" t="n">
        <f aca="false">$H$4</f>
        <v>0.67278149898986</v>
      </c>
      <c r="J35" s="53" t="n">
        <f aca="false">$H$6</f>
        <v>0.959137233677579</v>
      </c>
      <c r="K35" s="53" t="n">
        <f aca="false">$H$7</f>
        <v>0.386425764302142</v>
      </c>
      <c r="L35" s="53" t="n">
        <f aca="false">$H$5</f>
        <v>0.279917629215756</v>
      </c>
      <c r="M35" s="53" t="n">
        <f aca="false">$H$8</f>
        <v>0.720507977601356</v>
      </c>
      <c r="N35" s="54" t="n">
        <f aca="false">IF(OR(F35&gt;J35,F35&lt;K35),1,0)</f>
        <v>0</v>
      </c>
      <c r="O35" s="54" t="n">
        <f aca="false">IF(G35&gt;M35,1,0)</f>
        <v>1</v>
      </c>
      <c r="P35" s="54" t="n">
        <f aca="false">SIGN(F35-I35)</f>
        <v>-1</v>
      </c>
      <c r="Q35" s="54" t="n">
        <f aca="false">IF(ABS(SUM(P28:P35))=8,1,0)</f>
        <v>0</v>
      </c>
    </row>
    <row r="36" customFormat="false" ht="15" hidden="false" customHeight="false" outlineLevel="0" collapsed="false">
      <c r="A36" s="52" t="n">
        <v>43860</v>
      </c>
      <c r="B36" s="53" t="n">
        <v>0</v>
      </c>
      <c r="C36" s="53" t="n">
        <v>0.790856398513417</v>
      </c>
      <c r="D36" s="53" t="n">
        <v>0.908096989040369</v>
      </c>
      <c r="E36" s="54" t="s">
        <v>945</v>
      </c>
      <c r="F36" s="53" t="n">
        <f aca="false">AVERAGE(B36:D36)</f>
        <v>0.566317795851262</v>
      </c>
      <c r="G36" s="53" t="n">
        <f aca="false">MAX(B36:D36)-MIN(B36:D36)</f>
        <v>0.908096989040369</v>
      </c>
      <c r="H36" s="54" t="n">
        <f aca="false">IF(AND(E36="Phase I",OR(F36&gt;$E$6,F36&lt;$E$7,G36&gt;$E$8)),1,0)</f>
        <v>1</v>
      </c>
      <c r="I36" s="53" t="n">
        <f aca="false">$H$4</f>
        <v>0.67278149898986</v>
      </c>
      <c r="J36" s="53" t="n">
        <f aca="false">$H$6</f>
        <v>0.959137233677579</v>
      </c>
      <c r="K36" s="53" t="n">
        <f aca="false">$H$7</f>
        <v>0.386425764302142</v>
      </c>
      <c r="L36" s="53" t="n">
        <f aca="false">$H$5</f>
        <v>0.279917629215756</v>
      </c>
      <c r="M36" s="53" t="n">
        <f aca="false">$H$8</f>
        <v>0.720507977601356</v>
      </c>
      <c r="N36" s="54" t="n">
        <f aca="false">IF(OR(F36&gt;J36,F36&lt;K36),1,0)</f>
        <v>0</v>
      </c>
      <c r="O36" s="54" t="n">
        <f aca="false">IF(G36&gt;M36,1,0)</f>
        <v>1</v>
      </c>
      <c r="P36" s="54" t="n">
        <f aca="false">SIGN(F36-I36)</f>
        <v>-1</v>
      </c>
      <c r="Q36" s="54" t="n">
        <f aca="false">IF(ABS(SUM(P29:P36))=8,1,0)</f>
        <v>0</v>
      </c>
    </row>
    <row r="37" customFormat="false" ht="15" hidden="false" customHeight="false" outlineLevel="0" collapsed="false">
      <c r="A37" s="52" t="n">
        <v>43861</v>
      </c>
      <c r="B37" s="53" t="n">
        <v>0</v>
      </c>
      <c r="C37" s="53" t="n">
        <v>0.762931416869326</v>
      </c>
      <c r="D37" s="53" t="n">
        <v>0.621255387691602</v>
      </c>
      <c r="E37" s="54" t="s">
        <v>945</v>
      </c>
      <c r="F37" s="53" t="n">
        <f aca="false">AVERAGE(B37:D37)</f>
        <v>0.461395601520309</v>
      </c>
      <c r="G37" s="53" t="n">
        <f aca="false">MAX(B37:D37)-MIN(B37:D37)</f>
        <v>0.762931416869326</v>
      </c>
      <c r="H37" s="54" t="n">
        <f aca="false">IF(AND(E37="Phase I",OR(F37&gt;$E$6,F37&lt;$E$7,G37&gt;$E$8)),1,0)</f>
        <v>0</v>
      </c>
      <c r="I37" s="53" t="n">
        <f aca="false">$H$4</f>
        <v>0.67278149898986</v>
      </c>
      <c r="J37" s="53" t="n">
        <f aca="false">$H$6</f>
        <v>0.959137233677579</v>
      </c>
      <c r="K37" s="53" t="n">
        <f aca="false">$H$7</f>
        <v>0.386425764302142</v>
      </c>
      <c r="L37" s="53" t="n">
        <f aca="false">$H$5</f>
        <v>0.279917629215756</v>
      </c>
      <c r="M37" s="53" t="n">
        <f aca="false">$H$8</f>
        <v>0.720507977601356</v>
      </c>
      <c r="N37" s="54" t="n">
        <f aca="false">IF(OR(F37&gt;J37,F37&lt;K37),1,0)</f>
        <v>0</v>
      </c>
      <c r="O37" s="54" t="n">
        <f aca="false">IF(G37&gt;M37,1,0)</f>
        <v>1</v>
      </c>
      <c r="P37" s="54" t="n">
        <f aca="false">SIGN(F37-I37)</f>
        <v>-1</v>
      </c>
      <c r="Q37" s="54" t="n">
        <f aca="false">IF(ABS(SUM(P30:P37))=8,1,0)</f>
        <v>0</v>
      </c>
    </row>
    <row r="38" customFormat="false" ht="15" hidden="false" customHeight="false" outlineLevel="0" collapsed="false">
      <c r="A38" s="52" t="n">
        <v>43864</v>
      </c>
      <c r="B38" s="53" t="n">
        <v>0.431383905899503</v>
      </c>
      <c r="C38" s="53" t="n">
        <v>0.740855870996655</v>
      </c>
      <c r="D38" s="53" t="n">
        <v>0.493152209072051</v>
      </c>
      <c r="E38" s="54" t="s">
        <v>945</v>
      </c>
      <c r="F38" s="53" t="n">
        <f aca="false">AVERAGE(B38:D38)</f>
        <v>0.555130661989403</v>
      </c>
      <c r="G38" s="53" t="n">
        <f aca="false">MAX(B38:D38)-MIN(B38:D38)</f>
        <v>0.309471965097152</v>
      </c>
      <c r="H38" s="54" t="n">
        <f aca="false">IF(AND(E38="Phase I",OR(F38&gt;$E$6,F38&lt;$E$7,G38&gt;$E$8)),1,0)</f>
        <v>0</v>
      </c>
      <c r="I38" s="53" t="n">
        <f aca="false">$H$4</f>
        <v>0.67278149898986</v>
      </c>
      <c r="J38" s="53" t="n">
        <f aca="false">$H$6</f>
        <v>0.959137233677579</v>
      </c>
      <c r="K38" s="53" t="n">
        <f aca="false">$H$7</f>
        <v>0.386425764302142</v>
      </c>
      <c r="L38" s="53" t="n">
        <f aca="false">$H$5</f>
        <v>0.279917629215756</v>
      </c>
      <c r="M38" s="53" t="n">
        <f aca="false">$H$8</f>
        <v>0.720507977601356</v>
      </c>
      <c r="N38" s="54" t="n">
        <f aca="false">IF(OR(F38&gt;J38,F38&lt;K38),1,0)</f>
        <v>0</v>
      </c>
      <c r="O38" s="54" t="n">
        <f aca="false">IF(G38&gt;M38,1,0)</f>
        <v>0</v>
      </c>
      <c r="P38" s="54" t="n">
        <f aca="false">SIGN(F38-I38)</f>
        <v>-1</v>
      </c>
      <c r="Q38" s="54" t="n">
        <f aca="false">IF(ABS(SUM(P31:P38))=8,1,0)</f>
        <v>0</v>
      </c>
    </row>
    <row r="39" customFormat="false" ht="15" hidden="false" customHeight="false" outlineLevel="0" collapsed="false">
      <c r="A39" s="52" t="n">
        <v>43865</v>
      </c>
      <c r="B39" s="53" t="n">
        <v>0.557575707708553</v>
      </c>
      <c r="C39" s="53" t="n">
        <v>0.893965632929817</v>
      </c>
      <c r="D39" s="53" t="n">
        <v>0.746266767479881</v>
      </c>
      <c r="E39" s="54" t="s">
        <v>945</v>
      </c>
      <c r="F39" s="53" t="n">
        <f aca="false">AVERAGE(B39:D39)</f>
        <v>0.732602702706084</v>
      </c>
      <c r="G39" s="53" t="n">
        <f aca="false">MAX(B39:D39)-MIN(B39:D39)</f>
        <v>0.336389925221263</v>
      </c>
      <c r="H39" s="54" t="n">
        <f aca="false">IF(AND(E39="Phase I",OR(F39&gt;$E$6,F39&lt;$E$7,G39&gt;$E$8)),1,0)</f>
        <v>0</v>
      </c>
      <c r="I39" s="53" t="n">
        <f aca="false">$H$4</f>
        <v>0.67278149898986</v>
      </c>
      <c r="J39" s="53" t="n">
        <f aca="false">$H$6</f>
        <v>0.959137233677579</v>
      </c>
      <c r="K39" s="53" t="n">
        <f aca="false">$H$7</f>
        <v>0.386425764302142</v>
      </c>
      <c r="L39" s="53" t="n">
        <f aca="false">$H$5</f>
        <v>0.279917629215756</v>
      </c>
      <c r="M39" s="53" t="n">
        <f aca="false">$H$8</f>
        <v>0.720507977601356</v>
      </c>
      <c r="N39" s="54" t="n">
        <f aca="false">IF(OR(F39&gt;J39,F39&lt;K39),1,0)</f>
        <v>0</v>
      </c>
      <c r="O39" s="54" t="n">
        <f aca="false">IF(G39&gt;M39,1,0)</f>
        <v>0</v>
      </c>
      <c r="P39" s="54" t="n">
        <f aca="false">SIGN(F39-I39)</f>
        <v>1</v>
      </c>
      <c r="Q39" s="54" t="n">
        <f aca="false">IF(ABS(SUM(P32:P39))=8,1,0)</f>
        <v>0</v>
      </c>
    </row>
    <row r="40" customFormat="false" ht="15" hidden="false" customHeight="false" outlineLevel="0" collapsed="false">
      <c r="A40" s="52" t="n">
        <v>43866</v>
      </c>
      <c r="B40" s="53" t="n">
        <v>0.514613634154904</v>
      </c>
      <c r="C40" s="53" t="n">
        <v>0.47331320687004</v>
      </c>
      <c r="D40" s="53" t="n">
        <v>0</v>
      </c>
      <c r="E40" s="54" t="s">
        <v>945</v>
      </c>
      <c r="F40" s="53" t="n">
        <f aca="false">AVERAGE(B40:D40)</f>
        <v>0.329308947008315</v>
      </c>
      <c r="G40" s="53" t="n">
        <f aca="false">MAX(B40:D40)-MIN(B40:D40)</f>
        <v>0.514613634154904</v>
      </c>
      <c r="H40" s="54" t="n">
        <f aca="false">IF(AND(E40="Phase I",OR(F40&gt;$E$6,F40&lt;$E$7,G40&gt;$E$8)),1,0)</f>
        <v>0</v>
      </c>
      <c r="I40" s="53" t="n">
        <f aca="false">$H$4</f>
        <v>0.67278149898986</v>
      </c>
      <c r="J40" s="53" t="n">
        <f aca="false">$H$6</f>
        <v>0.959137233677579</v>
      </c>
      <c r="K40" s="53" t="n">
        <f aca="false">$H$7</f>
        <v>0.386425764302142</v>
      </c>
      <c r="L40" s="53" t="n">
        <f aca="false">$H$5</f>
        <v>0.279917629215756</v>
      </c>
      <c r="M40" s="53" t="n">
        <f aca="false">$H$8</f>
        <v>0.720507977601356</v>
      </c>
      <c r="N40" s="54" t="n">
        <f aca="false">IF(OR(F40&gt;J40,F40&lt;K40),1,0)</f>
        <v>1</v>
      </c>
      <c r="O40" s="54" t="n">
        <f aca="false">IF(G40&gt;M40,1,0)</f>
        <v>0</v>
      </c>
      <c r="P40" s="54" t="n">
        <f aca="false">SIGN(F40-I40)</f>
        <v>-1</v>
      </c>
      <c r="Q40" s="54" t="n">
        <f aca="false">IF(ABS(SUM(P33:P40))=8,1,0)</f>
        <v>0</v>
      </c>
    </row>
    <row r="41" customFormat="false" ht="15" hidden="false" customHeight="false" outlineLevel="0" collapsed="false">
      <c r="A41" s="52" t="n">
        <v>43867</v>
      </c>
      <c r="B41" s="53" t="n">
        <v>0.885146886433331</v>
      </c>
      <c r="C41" s="53" t="n">
        <v>0.827451599555307</v>
      </c>
      <c r="D41" s="53" t="n">
        <v>0.756461736347182</v>
      </c>
      <c r="E41" s="54" t="s">
        <v>945</v>
      </c>
      <c r="F41" s="53" t="n">
        <f aca="false">AVERAGE(B41:D41)</f>
        <v>0.82302007411194</v>
      </c>
      <c r="G41" s="53" t="n">
        <f aca="false">MAX(B41:D41)-MIN(B41:D41)</f>
        <v>0.128685150086149</v>
      </c>
      <c r="H41" s="54" t="n">
        <f aca="false">IF(AND(E41="Phase I",OR(F41&gt;$E$6,F41&lt;$E$7,G41&gt;$E$8)),1,0)</f>
        <v>0</v>
      </c>
      <c r="I41" s="53" t="n">
        <f aca="false">$H$4</f>
        <v>0.67278149898986</v>
      </c>
      <c r="J41" s="53" t="n">
        <f aca="false">$H$6</f>
        <v>0.959137233677579</v>
      </c>
      <c r="K41" s="53" t="n">
        <f aca="false">$H$7</f>
        <v>0.386425764302142</v>
      </c>
      <c r="L41" s="53" t="n">
        <f aca="false">$H$5</f>
        <v>0.279917629215756</v>
      </c>
      <c r="M41" s="53" t="n">
        <f aca="false">$H$8</f>
        <v>0.720507977601356</v>
      </c>
      <c r="N41" s="54" t="n">
        <f aca="false">IF(OR(F41&gt;J41,F41&lt;K41),1,0)</f>
        <v>0</v>
      </c>
      <c r="O41" s="54" t="n">
        <f aca="false">IF(G41&gt;M41,1,0)</f>
        <v>0</v>
      </c>
      <c r="P41" s="54" t="n">
        <f aca="false">SIGN(F41-I41)</f>
        <v>1</v>
      </c>
      <c r="Q41" s="54" t="n">
        <f aca="false">IF(ABS(SUM(P34:P41))=8,1,0)</f>
        <v>0</v>
      </c>
    </row>
    <row r="42" customFormat="false" ht="15" hidden="false" customHeight="false" outlineLevel="0" collapsed="false">
      <c r="A42" s="52" t="n">
        <v>43868</v>
      </c>
      <c r="B42" s="53" t="n">
        <v>0.652584019185651</v>
      </c>
      <c r="C42" s="53" t="n">
        <v>0.773917965269936</v>
      </c>
      <c r="D42" s="53" t="n">
        <v>0.373395252008931</v>
      </c>
      <c r="E42" s="54" t="s">
        <v>945</v>
      </c>
      <c r="F42" s="53" t="n">
        <f aca="false">AVERAGE(B42:D42)</f>
        <v>0.599965745488172</v>
      </c>
      <c r="G42" s="53" t="n">
        <f aca="false">MAX(B42:D42)-MIN(B42:D42)</f>
        <v>0.400522713261005</v>
      </c>
      <c r="H42" s="54" t="n">
        <f aca="false">IF(AND(E42="Phase I",OR(F42&gt;$E$6,F42&lt;$E$7,G42&gt;$E$8)),1,0)</f>
        <v>0</v>
      </c>
      <c r="I42" s="53" t="n">
        <f aca="false">$H$4</f>
        <v>0.67278149898986</v>
      </c>
      <c r="J42" s="53" t="n">
        <f aca="false">$H$6</f>
        <v>0.959137233677579</v>
      </c>
      <c r="K42" s="53" t="n">
        <f aca="false">$H$7</f>
        <v>0.386425764302142</v>
      </c>
      <c r="L42" s="53" t="n">
        <f aca="false">$H$5</f>
        <v>0.279917629215756</v>
      </c>
      <c r="M42" s="53" t="n">
        <f aca="false">$H$8</f>
        <v>0.720507977601356</v>
      </c>
      <c r="N42" s="54" t="n">
        <f aca="false">IF(OR(F42&gt;J42,F42&lt;K42),1,0)</f>
        <v>0</v>
      </c>
      <c r="O42" s="54" t="n">
        <f aca="false">IF(G42&gt;M42,1,0)</f>
        <v>0</v>
      </c>
      <c r="P42" s="54" t="n">
        <f aca="false">SIGN(F42-I42)</f>
        <v>-1</v>
      </c>
      <c r="Q42" s="54" t="n">
        <f aca="false">IF(ABS(SUM(P35:P42))=8,1,0)</f>
        <v>0</v>
      </c>
    </row>
    <row r="43" customFormat="false" ht="15" hidden="false" customHeight="false" outlineLevel="0" collapsed="false">
      <c r="A43" s="52" t="n">
        <v>43871</v>
      </c>
      <c r="B43" s="53" t="n">
        <v>0</v>
      </c>
      <c r="C43" s="53" t="n">
        <v>0</v>
      </c>
      <c r="D43" s="53" t="n">
        <v>0</v>
      </c>
      <c r="E43" s="54" t="s">
        <v>945</v>
      </c>
      <c r="F43" s="53" t="n">
        <f aca="false">AVERAGE(B43:D43)</f>
        <v>0</v>
      </c>
      <c r="G43" s="53" t="n">
        <f aca="false">MAX(B43:D43)-MIN(B43:D43)</f>
        <v>0</v>
      </c>
      <c r="H43" s="54" t="n">
        <f aca="false">IF(AND(E43="Phase I",OR(F43&gt;$E$6,F43&lt;$E$7,G43&gt;$E$8)),1,0)</f>
        <v>1</v>
      </c>
      <c r="I43" s="53" t="n">
        <f aca="false">$H$4</f>
        <v>0.67278149898986</v>
      </c>
      <c r="J43" s="53" t="n">
        <f aca="false">$H$6</f>
        <v>0.959137233677579</v>
      </c>
      <c r="K43" s="53" t="n">
        <f aca="false">$H$7</f>
        <v>0.386425764302142</v>
      </c>
      <c r="L43" s="53" t="n">
        <f aca="false">$H$5</f>
        <v>0.279917629215756</v>
      </c>
      <c r="M43" s="53" t="n">
        <f aca="false">$H$8</f>
        <v>0.720507977601356</v>
      </c>
      <c r="N43" s="54" t="n">
        <f aca="false">IF(OR(F43&gt;J43,F43&lt;K43),1,0)</f>
        <v>1</v>
      </c>
      <c r="O43" s="54" t="n">
        <f aca="false">IF(G43&gt;M43,1,0)</f>
        <v>0</v>
      </c>
      <c r="P43" s="54" t="n">
        <f aca="false">SIGN(F43-I43)</f>
        <v>-1</v>
      </c>
      <c r="Q43" s="54" t="n">
        <f aca="false">IF(ABS(SUM(P36:P43))=8,1,0)</f>
        <v>0</v>
      </c>
    </row>
    <row r="44" customFormat="false" ht="15" hidden="false" customHeight="false" outlineLevel="0" collapsed="false">
      <c r="A44" s="52" t="n">
        <v>43872</v>
      </c>
      <c r="B44" s="53" t="n">
        <v>0</v>
      </c>
      <c r="C44" s="53" t="n">
        <v>0.80035584627099</v>
      </c>
      <c r="D44" s="53" t="n">
        <v>0.826719194174809</v>
      </c>
      <c r="E44" s="54" t="s">
        <v>945</v>
      </c>
      <c r="F44" s="53" t="n">
        <f aca="false">AVERAGE(B44:D44)</f>
        <v>0.542358346815266</v>
      </c>
      <c r="G44" s="53" t="n">
        <f aca="false">MAX(B44:D44)-MIN(B44:D44)</f>
        <v>0.826719194174809</v>
      </c>
      <c r="H44" s="54" t="n">
        <f aca="false">IF(AND(E44="Phase I",OR(F44&gt;$E$6,F44&lt;$E$7,G44&gt;$E$8)),1,0)</f>
        <v>0</v>
      </c>
      <c r="I44" s="53" t="n">
        <f aca="false">$H$4</f>
        <v>0.67278149898986</v>
      </c>
      <c r="J44" s="53" t="n">
        <f aca="false">$H$6</f>
        <v>0.959137233677579</v>
      </c>
      <c r="K44" s="53" t="n">
        <f aca="false">$H$7</f>
        <v>0.386425764302142</v>
      </c>
      <c r="L44" s="53" t="n">
        <f aca="false">$H$5</f>
        <v>0.279917629215756</v>
      </c>
      <c r="M44" s="53" t="n">
        <f aca="false">$H$8</f>
        <v>0.720507977601356</v>
      </c>
      <c r="N44" s="54" t="n">
        <f aca="false">IF(OR(F44&gt;J44,F44&lt;K44),1,0)</f>
        <v>0</v>
      </c>
      <c r="O44" s="54" t="n">
        <f aca="false">IF(G44&gt;M44,1,0)</f>
        <v>1</v>
      </c>
      <c r="P44" s="54" t="n">
        <f aca="false">SIGN(F44-I44)</f>
        <v>-1</v>
      </c>
      <c r="Q44" s="54" t="n">
        <f aca="false">IF(ABS(SUM(P37:P44))=8,1,0)</f>
        <v>0</v>
      </c>
    </row>
    <row r="45" customFormat="false" ht="15" hidden="false" customHeight="false" outlineLevel="0" collapsed="false">
      <c r="A45" s="52" t="n">
        <v>43873</v>
      </c>
      <c r="B45" s="53" t="n">
        <v>0</v>
      </c>
      <c r="C45" s="53" t="n">
        <v>0.637865975462354</v>
      </c>
      <c r="D45" s="53" t="n">
        <v>0.864897790015147</v>
      </c>
      <c r="E45" s="54" t="s">
        <v>945</v>
      </c>
      <c r="F45" s="53" t="n">
        <f aca="false">AVERAGE(B45:D45)</f>
        <v>0.500921255159167</v>
      </c>
      <c r="G45" s="53" t="n">
        <f aca="false">MAX(B45:D45)-MIN(B45:D45)</f>
        <v>0.864897790015147</v>
      </c>
      <c r="H45" s="54" t="n">
        <f aca="false">IF(AND(E45="Phase I",OR(F45&gt;$E$6,F45&lt;$E$7,G45&gt;$E$8)),1,0)</f>
        <v>1</v>
      </c>
      <c r="I45" s="53" t="n">
        <f aca="false">$H$4</f>
        <v>0.67278149898986</v>
      </c>
      <c r="J45" s="53" t="n">
        <f aca="false">$H$6</f>
        <v>0.959137233677579</v>
      </c>
      <c r="K45" s="53" t="n">
        <f aca="false">$H$7</f>
        <v>0.386425764302142</v>
      </c>
      <c r="L45" s="53" t="n">
        <f aca="false">$H$5</f>
        <v>0.279917629215756</v>
      </c>
      <c r="M45" s="53" t="n">
        <f aca="false">$H$8</f>
        <v>0.720507977601356</v>
      </c>
      <c r="N45" s="54" t="n">
        <f aca="false">IF(OR(F45&gt;J45,F45&lt;K45),1,0)</f>
        <v>0</v>
      </c>
      <c r="O45" s="54" t="n">
        <f aca="false">IF(G45&gt;M45,1,0)</f>
        <v>1</v>
      </c>
      <c r="P45" s="54" t="n">
        <f aca="false">SIGN(F45-I45)</f>
        <v>-1</v>
      </c>
      <c r="Q45" s="54" t="n">
        <f aca="false">IF(ABS(SUM(P38:P45))=8,1,0)</f>
        <v>0</v>
      </c>
    </row>
    <row r="46" customFormat="false" ht="15" hidden="false" customHeight="false" outlineLevel="0" collapsed="false">
      <c r="A46" s="52" t="n">
        <v>43874</v>
      </c>
      <c r="B46" s="53" t="n">
        <v>0</v>
      </c>
      <c r="C46" s="53" t="n">
        <v>0.886238450096596</v>
      </c>
      <c r="D46" s="53" t="n">
        <v>0.812760208796411</v>
      </c>
      <c r="E46" s="54" t="s">
        <v>945</v>
      </c>
      <c r="F46" s="53" t="n">
        <f aca="false">AVERAGE(B46:D46)</f>
        <v>0.566332886297669</v>
      </c>
      <c r="G46" s="53" t="n">
        <f aca="false">MAX(B46:D46)-MIN(B46:D46)</f>
        <v>0.886238450096596</v>
      </c>
      <c r="H46" s="54" t="n">
        <f aca="false">IF(AND(E46="Phase I",OR(F46&gt;$E$6,F46&lt;$E$7,G46&gt;$E$8)),1,0)</f>
        <v>1</v>
      </c>
      <c r="I46" s="53" t="n">
        <f aca="false">$H$4</f>
        <v>0.67278149898986</v>
      </c>
      <c r="J46" s="53" t="n">
        <f aca="false">$H$6</f>
        <v>0.959137233677579</v>
      </c>
      <c r="K46" s="53" t="n">
        <f aca="false">$H$7</f>
        <v>0.386425764302142</v>
      </c>
      <c r="L46" s="53" t="n">
        <f aca="false">$H$5</f>
        <v>0.279917629215756</v>
      </c>
      <c r="M46" s="53" t="n">
        <f aca="false">$H$8</f>
        <v>0.720507977601356</v>
      </c>
      <c r="N46" s="54" t="n">
        <f aca="false">IF(OR(F46&gt;J46,F46&lt;K46),1,0)</f>
        <v>0</v>
      </c>
      <c r="O46" s="54" t="n">
        <f aca="false">IF(G46&gt;M46,1,0)</f>
        <v>1</v>
      </c>
      <c r="P46" s="54" t="n">
        <f aca="false">SIGN(F46-I46)</f>
        <v>-1</v>
      </c>
      <c r="Q46" s="54" t="n">
        <f aca="false">IF(ABS(SUM(P39:P46))=8,1,0)</f>
        <v>0</v>
      </c>
    </row>
    <row r="47" customFormat="false" ht="15" hidden="false" customHeight="false" outlineLevel="0" collapsed="false">
      <c r="A47" s="52" t="n">
        <v>43875</v>
      </c>
      <c r="B47" s="53" t="n">
        <v>0.7443970885002</v>
      </c>
      <c r="C47" s="53" t="n">
        <v>0.874500170468538</v>
      </c>
      <c r="D47" s="53" t="n">
        <v>0.933991628826598</v>
      </c>
      <c r="E47" s="54" t="s">
        <v>945</v>
      </c>
      <c r="F47" s="53" t="n">
        <f aca="false">AVERAGE(B47:D47)</f>
        <v>0.850962962598445</v>
      </c>
      <c r="G47" s="53" t="n">
        <f aca="false">MAX(B47:D47)-MIN(B47:D47)</f>
        <v>0.189594540326399</v>
      </c>
      <c r="H47" s="54" t="n">
        <f aca="false">IF(AND(E47="Phase I",OR(F47&gt;$E$6,F47&lt;$E$7,G47&gt;$E$8)),1,0)</f>
        <v>0</v>
      </c>
      <c r="I47" s="53" t="n">
        <f aca="false">$H$4</f>
        <v>0.67278149898986</v>
      </c>
      <c r="J47" s="53" t="n">
        <f aca="false">$H$6</f>
        <v>0.959137233677579</v>
      </c>
      <c r="K47" s="53" t="n">
        <f aca="false">$H$7</f>
        <v>0.386425764302142</v>
      </c>
      <c r="L47" s="53" t="n">
        <f aca="false">$H$5</f>
        <v>0.279917629215756</v>
      </c>
      <c r="M47" s="53" t="n">
        <f aca="false">$H$8</f>
        <v>0.720507977601356</v>
      </c>
      <c r="N47" s="54" t="n">
        <f aca="false">IF(OR(F47&gt;J47,F47&lt;K47),1,0)</f>
        <v>0</v>
      </c>
      <c r="O47" s="54" t="n">
        <f aca="false">IF(G47&gt;M47,1,0)</f>
        <v>0</v>
      </c>
      <c r="P47" s="54" t="n">
        <f aca="false">SIGN(F47-I47)</f>
        <v>1</v>
      </c>
      <c r="Q47" s="54" t="n">
        <f aca="false">IF(ABS(SUM(P40:P47))=8,1,0)</f>
        <v>0</v>
      </c>
    </row>
    <row r="48" customFormat="false" ht="15" hidden="false" customHeight="false" outlineLevel="0" collapsed="false">
      <c r="A48" s="52" t="n">
        <v>43878</v>
      </c>
      <c r="B48" s="53" t="n">
        <v>0.915714289118467</v>
      </c>
      <c r="C48" s="53" t="n">
        <v>0.86055733989687</v>
      </c>
      <c r="D48" s="53" t="n">
        <v>0.770064744659136</v>
      </c>
      <c r="E48" s="54" t="s">
        <v>945</v>
      </c>
      <c r="F48" s="53" t="n">
        <f aca="false">AVERAGE(B48:D48)</f>
        <v>0.848778791224824</v>
      </c>
      <c r="G48" s="53" t="n">
        <f aca="false">MAX(B48:D48)-MIN(B48:D48)</f>
        <v>0.145649544459331</v>
      </c>
      <c r="H48" s="54" t="n">
        <f aca="false">IF(AND(E48="Phase I",OR(F48&gt;$E$6,F48&lt;$E$7,G48&gt;$E$8)),1,0)</f>
        <v>0</v>
      </c>
      <c r="I48" s="53" t="n">
        <f aca="false">$H$4</f>
        <v>0.67278149898986</v>
      </c>
      <c r="J48" s="53" t="n">
        <f aca="false">$H$6</f>
        <v>0.959137233677579</v>
      </c>
      <c r="K48" s="53" t="n">
        <f aca="false">$H$7</f>
        <v>0.386425764302142</v>
      </c>
      <c r="L48" s="53" t="n">
        <f aca="false">$H$5</f>
        <v>0.279917629215756</v>
      </c>
      <c r="M48" s="53" t="n">
        <f aca="false">$H$8</f>
        <v>0.720507977601356</v>
      </c>
      <c r="N48" s="54" t="n">
        <f aca="false">IF(OR(F48&gt;J48,F48&lt;K48),1,0)</f>
        <v>0</v>
      </c>
      <c r="O48" s="54" t="n">
        <f aca="false">IF(G48&gt;M48,1,0)</f>
        <v>0</v>
      </c>
      <c r="P48" s="54" t="n">
        <f aca="false">SIGN(F48-I48)</f>
        <v>1</v>
      </c>
      <c r="Q48" s="54" t="n">
        <f aca="false">IF(ABS(SUM(P41:P48))=8,1,0)</f>
        <v>0</v>
      </c>
    </row>
    <row r="49" customFormat="false" ht="15" hidden="false" customHeight="false" outlineLevel="0" collapsed="false">
      <c r="A49" s="52" t="n">
        <v>43879</v>
      </c>
      <c r="B49" s="53" t="n">
        <v>0.637651027917209</v>
      </c>
      <c r="C49" s="53" t="n">
        <v>0.708130239527396</v>
      </c>
      <c r="D49" s="53" t="n">
        <v>0.712002786181024</v>
      </c>
      <c r="E49" s="54" t="s">
        <v>945</v>
      </c>
      <c r="F49" s="53" t="n">
        <f aca="false">AVERAGE(B49:D49)</f>
        <v>0.68592801787521</v>
      </c>
      <c r="G49" s="53" t="n">
        <f aca="false">MAX(B49:D49)-MIN(B49:D49)</f>
        <v>0.0743517582638142</v>
      </c>
      <c r="H49" s="54" t="n">
        <f aca="false">IF(AND(E49="Phase I",OR(F49&gt;$E$6,F49&lt;$E$7,G49&gt;$E$8)),1,0)</f>
        <v>0</v>
      </c>
      <c r="I49" s="53" t="n">
        <f aca="false">$H$4</f>
        <v>0.67278149898986</v>
      </c>
      <c r="J49" s="53" t="n">
        <f aca="false">$H$6</f>
        <v>0.959137233677579</v>
      </c>
      <c r="K49" s="53" t="n">
        <f aca="false">$H$7</f>
        <v>0.386425764302142</v>
      </c>
      <c r="L49" s="53" t="n">
        <f aca="false">$H$5</f>
        <v>0.279917629215756</v>
      </c>
      <c r="M49" s="53" t="n">
        <f aca="false">$H$8</f>
        <v>0.720507977601356</v>
      </c>
      <c r="N49" s="54" t="n">
        <f aca="false">IF(OR(F49&gt;J49,F49&lt;K49),1,0)</f>
        <v>0</v>
      </c>
      <c r="O49" s="54" t="n">
        <f aca="false">IF(G49&gt;M49,1,0)</f>
        <v>0</v>
      </c>
      <c r="P49" s="54" t="n">
        <f aca="false">SIGN(F49-I49)</f>
        <v>1</v>
      </c>
      <c r="Q49" s="54" t="n">
        <f aca="false">IF(ABS(SUM(P42:P49))=8,1,0)</f>
        <v>0</v>
      </c>
    </row>
    <row r="50" customFormat="false" ht="15" hidden="false" customHeight="false" outlineLevel="0" collapsed="false">
      <c r="A50" s="52" t="n">
        <v>43880</v>
      </c>
      <c r="B50" s="53" t="n">
        <v>0.829189126248383</v>
      </c>
      <c r="C50" s="53" t="n">
        <v>0.757613465724029</v>
      </c>
      <c r="D50" s="53" t="n">
        <v>0.711531555317573</v>
      </c>
      <c r="E50" s="54" t="s">
        <v>945</v>
      </c>
      <c r="F50" s="53" t="n">
        <f aca="false">AVERAGE(B50:D50)</f>
        <v>0.766111382429995</v>
      </c>
      <c r="G50" s="53" t="n">
        <f aca="false">MAX(B50:D50)-MIN(B50:D50)</f>
        <v>0.117657570930811</v>
      </c>
      <c r="H50" s="54" t="n">
        <f aca="false">IF(AND(E50="Phase I",OR(F50&gt;$E$6,F50&lt;$E$7,G50&gt;$E$8)),1,0)</f>
        <v>0</v>
      </c>
      <c r="I50" s="53" t="n">
        <f aca="false">$H$4</f>
        <v>0.67278149898986</v>
      </c>
      <c r="J50" s="53" t="n">
        <f aca="false">$H$6</f>
        <v>0.959137233677579</v>
      </c>
      <c r="K50" s="53" t="n">
        <f aca="false">$H$7</f>
        <v>0.386425764302142</v>
      </c>
      <c r="L50" s="53" t="n">
        <f aca="false">$H$5</f>
        <v>0.279917629215756</v>
      </c>
      <c r="M50" s="53" t="n">
        <f aca="false">$H$8</f>
        <v>0.720507977601356</v>
      </c>
      <c r="N50" s="54" t="n">
        <f aca="false">IF(OR(F50&gt;J50,F50&lt;K50),1,0)</f>
        <v>0</v>
      </c>
      <c r="O50" s="54" t="n">
        <f aca="false">IF(G50&gt;M50,1,0)</f>
        <v>0</v>
      </c>
      <c r="P50" s="54" t="n">
        <f aca="false">SIGN(F50-I50)</f>
        <v>1</v>
      </c>
      <c r="Q50" s="54" t="n">
        <f aca="false">IF(ABS(SUM(P43:P50))=8,1,0)</f>
        <v>0</v>
      </c>
    </row>
    <row r="51" customFormat="false" ht="15" hidden="false" customHeight="false" outlineLevel="0" collapsed="false">
      <c r="A51" s="52" t="n">
        <v>43881</v>
      </c>
      <c r="B51" s="53" t="n">
        <v>0.550884602865835</v>
      </c>
      <c r="C51" s="53" t="n">
        <v>0.40310421028706</v>
      </c>
      <c r="D51" s="53" t="n">
        <v>0</v>
      </c>
      <c r="E51" s="54" t="s">
        <v>945</v>
      </c>
      <c r="F51" s="53" t="n">
        <f aca="false">AVERAGE(B51:D51)</f>
        <v>0.317996271050965</v>
      </c>
      <c r="G51" s="53" t="n">
        <f aca="false">MAX(B51:D51)-MIN(B51:D51)</f>
        <v>0.550884602865835</v>
      </c>
      <c r="H51" s="54" t="n">
        <f aca="false">IF(AND(E51="Phase I",OR(F51&gt;$E$6,F51&lt;$E$7,G51&gt;$E$8)),1,0)</f>
        <v>0</v>
      </c>
      <c r="I51" s="53" t="n">
        <f aca="false">$H$4</f>
        <v>0.67278149898986</v>
      </c>
      <c r="J51" s="53" t="n">
        <f aca="false">$H$6</f>
        <v>0.959137233677579</v>
      </c>
      <c r="K51" s="53" t="n">
        <f aca="false">$H$7</f>
        <v>0.386425764302142</v>
      </c>
      <c r="L51" s="53" t="n">
        <f aca="false">$H$5</f>
        <v>0.279917629215756</v>
      </c>
      <c r="M51" s="53" t="n">
        <f aca="false">$H$8</f>
        <v>0.720507977601356</v>
      </c>
      <c r="N51" s="54" t="n">
        <f aca="false">IF(OR(F51&gt;J51,F51&lt;K51),1,0)</f>
        <v>1</v>
      </c>
      <c r="O51" s="54" t="n">
        <f aca="false">IF(G51&gt;M51,1,0)</f>
        <v>0</v>
      </c>
      <c r="P51" s="54" t="n">
        <f aca="false">SIGN(F51-I51)</f>
        <v>-1</v>
      </c>
      <c r="Q51" s="54" t="n">
        <f aca="false">IF(ABS(SUM(P44:P51))=8,1,0)</f>
        <v>0</v>
      </c>
    </row>
    <row r="52" customFormat="false" ht="15" hidden="false" customHeight="false" outlineLevel="0" collapsed="false">
      <c r="A52" s="52" t="n">
        <v>43882</v>
      </c>
      <c r="B52" s="53" t="n">
        <v>0</v>
      </c>
      <c r="C52" s="53" t="n">
        <v>0</v>
      </c>
      <c r="D52" s="53" t="n">
        <v>0</v>
      </c>
      <c r="E52" s="54" t="s">
        <v>945</v>
      </c>
      <c r="F52" s="53" t="n">
        <f aca="false">AVERAGE(B52:D52)</f>
        <v>0</v>
      </c>
      <c r="G52" s="53" t="n">
        <f aca="false">MAX(B52:D52)-MIN(B52:D52)</f>
        <v>0</v>
      </c>
      <c r="H52" s="54" t="n">
        <f aca="false">IF(AND(E52="Phase I",OR(F52&gt;$E$6,F52&lt;$E$7,G52&gt;$E$8)),1,0)</f>
        <v>1</v>
      </c>
      <c r="I52" s="53" t="n">
        <f aca="false">$H$4</f>
        <v>0.67278149898986</v>
      </c>
      <c r="J52" s="53" t="n">
        <f aca="false">$H$6</f>
        <v>0.959137233677579</v>
      </c>
      <c r="K52" s="53" t="n">
        <f aca="false">$H$7</f>
        <v>0.386425764302142</v>
      </c>
      <c r="L52" s="53" t="n">
        <f aca="false">$H$5</f>
        <v>0.279917629215756</v>
      </c>
      <c r="M52" s="53" t="n">
        <f aca="false">$H$8</f>
        <v>0.720507977601356</v>
      </c>
      <c r="N52" s="54" t="n">
        <f aca="false">IF(OR(F52&gt;J52,F52&lt;K52),1,0)</f>
        <v>1</v>
      </c>
      <c r="O52" s="54" t="n">
        <f aca="false">IF(G52&gt;M52,1,0)</f>
        <v>0</v>
      </c>
      <c r="P52" s="54" t="n">
        <f aca="false">SIGN(F52-I52)</f>
        <v>-1</v>
      </c>
      <c r="Q52" s="54" t="n">
        <f aca="false">IF(ABS(SUM(P45:P52))=8,1,0)</f>
        <v>0</v>
      </c>
    </row>
    <row r="53" customFormat="false" ht="15" hidden="false" customHeight="false" outlineLevel="0" collapsed="false">
      <c r="A53" s="52" t="n">
        <v>43885</v>
      </c>
      <c r="B53" s="53" t="n">
        <v>0.773430834065995</v>
      </c>
      <c r="C53" s="53" t="n">
        <v>0.757162447205484</v>
      </c>
      <c r="D53" s="53" t="n">
        <v>0.671297006171892</v>
      </c>
      <c r="E53" s="54" t="s">
        <v>945</v>
      </c>
      <c r="F53" s="53" t="n">
        <f aca="false">AVERAGE(B53:D53)</f>
        <v>0.73396342914779</v>
      </c>
      <c r="G53" s="53" t="n">
        <f aca="false">MAX(B53:D53)-MIN(B53:D53)</f>
        <v>0.102133827894103</v>
      </c>
      <c r="H53" s="54" t="n">
        <f aca="false">IF(AND(E53="Phase I",OR(F53&gt;$E$6,F53&lt;$E$7,G53&gt;$E$8)),1,0)</f>
        <v>0</v>
      </c>
      <c r="I53" s="53" t="n">
        <f aca="false">$H$4</f>
        <v>0.67278149898986</v>
      </c>
      <c r="J53" s="53" t="n">
        <f aca="false">$H$6</f>
        <v>0.959137233677579</v>
      </c>
      <c r="K53" s="53" t="n">
        <f aca="false">$H$7</f>
        <v>0.386425764302142</v>
      </c>
      <c r="L53" s="53" t="n">
        <f aca="false">$H$5</f>
        <v>0.279917629215756</v>
      </c>
      <c r="M53" s="53" t="n">
        <f aca="false">$H$8</f>
        <v>0.720507977601356</v>
      </c>
      <c r="N53" s="54" t="n">
        <f aca="false">IF(OR(F53&gt;J53,F53&lt;K53),1,0)</f>
        <v>0</v>
      </c>
      <c r="O53" s="54" t="n">
        <f aca="false">IF(G53&gt;M53,1,0)</f>
        <v>0</v>
      </c>
      <c r="P53" s="54" t="n">
        <f aca="false">SIGN(F53-I53)</f>
        <v>1</v>
      </c>
      <c r="Q53" s="54" t="n">
        <f aca="false">IF(ABS(SUM(P46:P53))=8,1,0)</f>
        <v>0</v>
      </c>
    </row>
    <row r="54" customFormat="false" ht="15" hidden="false" customHeight="false" outlineLevel="0" collapsed="false">
      <c r="A54" s="52" t="n">
        <v>43886</v>
      </c>
      <c r="B54" s="53" t="n">
        <v>0</v>
      </c>
      <c r="C54" s="53" t="n">
        <v>0</v>
      </c>
      <c r="D54" s="53" t="n">
        <v>0.757392903995904</v>
      </c>
      <c r="E54" s="54" t="s">
        <v>945</v>
      </c>
      <c r="F54" s="53" t="n">
        <f aca="false">AVERAGE(B54:D54)</f>
        <v>0.252464301331968</v>
      </c>
      <c r="G54" s="53" t="n">
        <f aca="false">MAX(B54:D54)-MIN(B54:D54)</f>
        <v>0.757392903995904</v>
      </c>
      <c r="H54" s="54" t="n">
        <f aca="false">IF(AND(E54="Phase I",OR(F54&gt;$E$6,F54&lt;$E$7,G54&gt;$E$8)),1,0)</f>
        <v>1</v>
      </c>
      <c r="I54" s="53" t="n">
        <f aca="false">$H$4</f>
        <v>0.67278149898986</v>
      </c>
      <c r="J54" s="53" t="n">
        <f aca="false">$H$6</f>
        <v>0.959137233677579</v>
      </c>
      <c r="K54" s="53" t="n">
        <f aca="false">$H$7</f>
        <v>0.386425764302142</v>
      </c>
      <c r="L54" s="53" t="n">
        <f aca="false">$H$5</f>
        <v>0.279917629215756</v>
      </c>
      <c r="M54" s="53" t="n">
        <f aca="false">$H$8</f>
        <v>0.720507977601356</v>
      </c>
      <c r="N54" s="54" t="n">
        <f aca="false">IF(OR(F54&gt;J54,F54&lt;K54),1,0)</f>
        <v>1</v>
      </c>
      <c r="O54" s="54" t="n">
        <f aca="false">IF(G54&gt;M54,1,0)</f>
        <v>1</v>
      </c>
      <c r="P54" s="54" t="n">
        <f aca="false">SIGN(F54-I54)</f>
        <v>-1</v>
      </c>
      <c r="Q54" s="54" t="n">
        <f aca="false">IF(ABS(SUM(P47:P54))=8,1,0)</f>
        <v>0</v>
      </c>
    </row>
    <row r="55" customFormat="false" ht="15" hidden="false" customHeight="false" outlineLevel="0" collapsed="false">
      <c r="A55" s="52" t="n">
        <v>43887</v>
      </c>
      <c r="B55" s="53" t="n">
        <v>0.393429456891478</v>
      </c>
      <c r="C55" s="53" t="n">
        <v>0.772050073612321</v>
      </c>
      <c r="D55" s="53" t="n">
        <v>0.949973739275208</v>
      </c>
      <c r="E55" s="54" t="s">
        <v>945</v>
      </c>
      <c r="F55" s="53" t="n">
        <f aca="false">AVERAGE(B55:D55)</f>
        <v>0.705151089926335</v>
      </c>
      <c r="G55" s="53" t="n">
        <f aca="false">MAX(B55:D55)-MIN(B55:D55)</f>
        <v>0.55654428238373</v>
      </c>
      <c r="H55" s="54" t="n">
        <f aca="false">IF(AND(E55="Phase I",OR(F55&gt;$E$6,F55&lt;$E$7,G55&gt;$E$8)),1,0)</f>
        <v>0</v>
      </c>
      <c r="I55" s="53" t="n">
        <f aca="false">$H$4</f>
        <v>0.67278149898986</v>
      </c>
      <c r="J55" s="53" t="n">
        <f aca="false">$H$6</f>
        <v>0.959137233677579</v>
      </c>
      <c r="K55" s="53" t="n">
        <f aca="false">$H$7</f>
        <v>0.386425764302142</v>
      </c>
      <c r="L55" s="53" t="n">
        <f aca="false">$H$5</f>
        <v>0.279917629215756</v>
      </c>
      <c r="M55" s="53" t="n">
        <f aca="false">$H$8</f>
        <v>0.720507977601356</v>
      </c>
      <c r="N55" s="54" t="n">
        <f aca="false">IF(OR(F55&gt;J55,F55&lt;K55),1,0)</f>
        <v>0</v>
      </c>
      <c r="O55" s="54" t="n">
        <f aca="false">IF(G55&gt;M55,1,0)</f>
        <v>0</v>
      </c>
      <c r="P55" s="54" t="n">
        <f aca="false">SIGN(F55-I55)</f>
        <v>1</v>
      </c>
      <c r="Q55" s="54" t="n">
        <f aca="false">IF(ABS(SUM(P48:P55))=8,1,0)</f>
        <v>0</v>
      </c>
    </row>
    <row r="56" customFormat="false" ht="15" hidden="false" customHeight="false" outlineLevel="0" collapsed="false">
      <c r="A56" s="52" t="n">
        <v>43888</v>
      </c>
      <c r="B56" s="53" t="n">
        <v>0</v>
      </c>
      <c r="C56" s="53" t="n">
        <v>0.695998334045349</v>
      </c>
      <c r="D56" s="53" t="n">
        <v>0.703171406977327</v>
      </c>
      <c r="E56" s="54" t="s">
        <v>945</v>
      </c>
      <c r="F56" s="53" t="n">
        <f aca="false">AVERAGE(B56:D56)</f>
        <v>0.466389913674226</v>
      </c>
      <c r="G56" s="53" t="n">
        <f aca="false">MAX(B56:D56)-MIN(B56:D56)</f>
        <v>0.703171406977327</v>
      </c>
      <c r="H56" s="54" t="n">
        <f aca="false">IF(AND(E56="Phase I",OR(F56&gt;$E$6,F56&lt;$E$7,G56&gt;$E$8)),1,0)</f>
        <v>0</v>
      </c>
      <c r="I56" s="53" t="n">
        <f aca="false">$H$4</f>
        <v>0.67278149898986</v>
      </c>
      <c r="J56" s="53" t="n">
        <f aca="false">$H$6</f>
        <v>0.959137233677579</v>
      </c>
      <c r="K56" s="53" t="n">
        <f aca="false">$H$7</f>
        <v>0.386425764302142</v>
      </c>
      <c r="L56" s="53" t="n">
        <f aca="false">$H$5</f>
        <v>0.279917629215756</v>
      </c>
      <c r="M56" s="53" t="n">
        <f aca="false">$H$8</f>
        <v>0.720507977601356</v>
      </c>
      <c r="N56" s="54" t="n">
        <f aca="false">IF(OR(F56&gt;J56,F56&lt;K56),1,0)</f>
        <v>0</v>
      </c>
      <c r="O56" s="54" t="n">
        <f aca="false">IF(G56&gt;M56,1,0)</f>
        <v>0</v>
      </c>
      <c r="P56" s="54" t="n">
        <f aca="false">SIGN(F56-I56)</f>
        <v>-1</v>
      </c>
      <c r="Q56" s="54" t="n">
        <f aca="false">IF(ABS(SUM(P49:P56))=8,1,0)</f>
        <v>0</v>
      </c>
    </row>
    <row r="57" customFormat="false" ht="15" hidden="false" customHeight="false" outlineLevel="0" collapsed="false">
      <c r="A57" s="52" t="n">
        <v>43889</v>
      </c>
      <c r="B57" s="53" t="n">
        <v>0.598081157411838</v>
      </c>
      <c r="C57" s="53" t="n">
        <v>0.723712149998982</v>
      </c>
      <c r="D57" s="53" t="n">
        <v>0.841776504711574</v>
      </c>
      <c r="E57" s="54" t="s">
        <v>945</v>
      </c>
      <c r="F57" s="53" t="n">
        <f aca="false">AVERAGE(B57:D57)</f>
        <v>0.721189937374131</v>
      </c>
      <c r="G57" s="53" t="n">
        <f aca="false">MAX(B57:D57)-MIN(B57:D57)</f>
        <v>0.243695347299736</v>
      </c>
      <c r="H57" s="54" t="n">
        <f aca="false">IF(AND(E57="Phase I",OR(F57&gt;$E$6,F57&lt;$E$7,G57&gt;$E$8)),1,0)</f>
        <v>0</v>
      </c>
      <c r="I57" s="53" t="n">
        <f aca="false">$H$4</f>
        <v>0.67278149898986</v>
      </c>
      <c r="J57" s="53" t="n">
        <f aca="false">$H$6</f>
        <v>0.959137233677579</v>
      </c>
      <c r="K57" s="53" t="n">
        <f aca="false">$H$7</f>
        <v>0.386425764302142</v>
      </c>
      <c r="L57" s="53" t="n">
        <f aca="false">$H$5</f>
        <v>0.279917629215756</v>
      </c>
      <c r="M57" s="53" t="n">
        <f aca="false">$H$8</f>
        <v>0.720507977601356</v>
      </c>
      <c r="N57" s="54" t="n">
        <f aca="false">IF(OR(F57&gt;J57,F57&lt;K57),1,0)</f>
        <v>0</v>
      </c>
      <c r="O57" s="54" t="n">
        <f aca="false">IF(G57&gt;M57,1,0)</f>
        <v>0</v>
      </c>
      <c r="P57" s="54" t="n">
        <f aca="false">SIGN(F57-I57)</f>
        <v>1</v>
      </c>
      <c r="Q57" s="54" t="n">
        <f aca="false">IF(ABS(SUM(P50:P57))=8,1,0)</f>
        <v>0</v>
      </c>
    </row>
    <row r="58" customFormat="false" ht="15" hidden="false" customHeight="false" outlineLevel="0" collapsed="false">
      <c r="A58" s="52" t="n">
        <v>43892</v>
      </c>
      <c r="B58" s="53" t="n">
        <v>0.739577969186093</v>
      </c>
      <c r="C58" s="53" t="n">
        <v>0.377100043667119</v>
      </c>
      <c r="D58" s="53" t="n">
        <v>0.505236822166315</v>
      </c>
      <c r="E58" s="54" t="s">
        <v>945</v>
      </c>
      <c r="F58" s="53" t="n">
        <f aca="false">AVERAGE(B58:D58)</f>
        <v>0.540638278339842</v>
      </c>
      <c r="G58" s="53" t="n">
        <f aca="false">MAX(B58:D58)-MIN(B58:D58)</f>
        <v>0.362477925518975</v>
      </c>
      <c r="H58" s="54" t="n">
        <f aca="false">IF(AND(E58="Phase I",OR(F58&gt;$E$6,F58&lt;$E$7,G58&gt;$E$8)),1,0)</f>
        <v>0</v>
      </c>
      <c r="I58" s="53" t="n">
        <f aca="false">$H$4</f>
        <v>0.67278149898986</v>
      </c>
      <c r="J58" s="53" t="n">
        <f aca="false">$H$6</f>
        <v>0.959137233677579</v>
      </c>
      <c r="K58" s="53" t="n">
        <f aca="false">$H$7</f>
        <v>0.386425764302142</v>
      </c>
      <c r="L58" s="53" t="n">
        <f aca="false">$H$5</f>
        <v>0.279917629215756</v>
      </c>
      <c r="M58" s="53" t="n">
        <f aca="false">$H$8</f>
        <v>0.720507977601356</v>
      </c>
      <c r="N58" s="54" t="n">
        <f aca="false">IF(OR(F58&gt;J58,F58&lt;K58),1,0)</f>
        <v>0</v>
      </c>
      <c r="O58" s="54" t="n">
        <f aca="false">IF(G58&gt;M58,1,0)</f>
        <v>0</v>
      </c>
      <c r="P58" s="54" t="n">
        <f aca="false">SIGN(F58-I58)</f>
        <v>-1</v>
      </c>
      <c r="Q58" s="54" t="n">
        <f aca="false">IF(ABS(SUM(P51:P58))=8,1,0)</f>
        <v>0</v>
      </c>
    </row>
    <row r="59" customFormat="false" ht="15" hidden="false" customHeight="false" outlineLevel="0" collapsed="false">
      <c r="A59" s="52" t="n">
        <v>43893</v>
      </c>
      <c r="B59" s="53" t="n">
        <v>0.748131984237211</v>
      </c>
      <c r="C59" s="53" t="n">
        <v>0.940030184334405</v>
      </c>
      <c r="D59" s="53" t="n">
        <v>0.762170949389613</v>
      </c>
      <c r="E59" s="54" t="s">
        <v>945</v>
      </c>
      <c r="F59" s="53" t="n">
        <f aca="false">AVERAGE(B59:D59)</f>
        <v>0.816777705987076</v>
      </c>
      <c r="G59" s="53" t="n">
        <f aca="false">MAX(B59:D59)-MIN(B59:D59)</f>
        <v>0.191898200097194</v>
      </c>
      <c r="H59" s="54" t="n">
        <f aca="false">IF(AND(E59="Phase I",OR(F59&gt;$E$6,F59&lt;$E$7,G59&gt;$E$8)),1,0)</f>
        <v>0</v>
      </c>
      <c r="I59" s="53" t="n">
        <f aca="false">$H$4</f>
        <v>0.67278149898986</v>
      </c>
      <c r="J59" s="53" t="n">
        <f aca="false">$H$6</f>
        <v>0.959137233677579</v>
      </c>
      <c r="K59" s="53" t="n">
        <f aca="false">$H$7</f>
        <v>0.386425764302142</v>
      </c>
      <c r="L59" s="53" t="n">
        <f aca="false">$H$5</f>
        <v>0.279917629215756</v>
      </c>
      <c r="M59" s="53" t="n">
        <f aca="false">$H$8</f>
        <v>0.720507977601356</v>
      </c>
      <c r="N59" s="54" t="n">
        <f aca="false">IF(OR(F59&gt;J59,F59&lt;K59),1,0)</f>
        <v>0</v>
      </c>
      <c r="O59" s="54" t="n">
        <f aca="false">IF(G59&gt;M59,1,0)</f>
        <v>0</v>
      </c>
      <c r="P59" s="54" t="n">
        <f aca="false">SIGN(F59-I59)</f>
        <v>1</v>
      </c>
      <c r="Q59" s="54" t="n">
        <f aca="false">IF(ABS(SUM(P52:P59))=8,1,0)</f>
        <v>0</v>
      </c>
    </row>
    <row r="60" customFormat="false" ht="15" hidden="false" customHeight="false" outlineLevel="0" collapsed="false">
      <c r="A60" s="52" t="n">
        <v>43894</v>
      </c>
      <c r="B60" s="53" t="n">
        <v>0.674351732439955</v>
      </c>
      <c r="C60" s="53" t="n">
        <v>0.80598383186973</v>
      </c>
      <c r="D60" s="53" t="n">
        <v>0.958136737891849</v>
      </c>
      <c r="E60" s="54" t="s">
        <v>945</v>
      </c>
      <c r="F60" s="53" t="n">
        <f aca="false">AVERAGE(B60:D60)</f>
        <v>0.812824100733845</v>
      </c>
      <c r="G60" s="53" t="n">
        <f aca="false">MAX(B60:D60)-MIN(B60:D60)</f>
        <v>0.283785005451894</v>
      </c>
      <c r="H60" s="54" t="n">
        <f aca="false">IF(AND(E60="Phase I",OR(F60&gt;$E$6,F60&lt;$E$7,G60&gt;$E$8)),1,0)</f>
        <v>0</v>
      </c>
      <c r="I60" s="53" t="n">
        <f aca="false">$H$4</f>
        <v>0.67278149898986</v>
      </c>
      <c r="J60" s="53" t="n">
        <f aca="false">$H$6</f>
        <v>0.959137233677579</v>
      </c>
      <c r="K60" s="53" t="n">
        <f aca="false">$H$7</f>
        <v>0.386425764302142</v>
      </c>
      <c r="L60" s="53" t="n">
        <f aca="false">$H$5</f>
        <v>0.279917629215756</v>
      </c>
      <c r="M60" s="53" t="n">
        <f aca="false">$H$8</f>
        <v>0.720507977601356</v>
      </c>
      <c r="N60" s="54" t="n">
        <f aca="false">IF(OR(F60&gt;J60,F60&lt;K60),1,0)</f>
        <v>0</v>
      </c>
      <c r="O60" s="54" t="n">
        <f aca="false">IF(G60&gt;M60,1,0)</f>
        <v>0</v>
      </c>
      <c r="P60" s="54" t="n">
        <f aca="false">SIGN(F60-I60)</f>
        <v>1</v>
      </c>
      <c r="Q60" s="54" t="n">
        <f aca="false">IF(ABS(SUM(P53:P60))=8,1,0)</f>
        <v>0</v>
      </c>
    </row>
    <row r="61" customFormat="false" ht="15" hidden="false" customHeight="false" outlineLevel="0" collapsed="false">
      <c r="A61" s="52" t="n">
        <v>43895</v>
      </c>
      <c r="B61" s="53" t="n">
        <v>0.551428229490345</v>
      </c>
      <c r="C61" s="53" t="n">
        <v>0.796583512101474</v>
      </c>
      <c r="D61" s="53" t="n">
        <v>0.783698845139987</v>
      </c>
      <c r="E61" s="54" t="s">
        <v>945</v>
      </c>
      <c r="F61" s="53" t="n">
        <f aca="false">AVERAGE(B61:D61)</f>
        <v>0.710570195577268</v>
      </c>
      <c r="G61" s="53" t="n">
        <f aca="false">MAX(B61:D61)-MIN(B61:D61)</f>
        <v>0.24515528261113</v>
      </c>
      <c r="H61" s="54" t="n">
        <f aca="false">IF(AND(E61="Phase I",OR(F61&gt;$E$6,F61&lt;$E$7,G61&gt;$E$8)),1,0)</f>
        <v>0</v>
      </c>
      <c r="I61" s="53" t="n">
        <f aca="false">$H$4</f>
        <v>0.67278149898986</v>
      </c>
      <c r="J61" s="53" t="n">
        <f aca="false">$H$6</f>
        <v>0.959137233677579</v>
      </c>
      <c r="K61" s="53" t="n">
        <f aca="false">$H$7</f>
        <v>0.386425764302142</v>
      </c>
      <c r="L61" s="53" t="n">
        <f aca="false">$H$5</f>
        <v>0.279917629215756</v>
      </c>
      <c r="M61" s="53" t="n">
        <f aca="false">$H$8</f>
        <v>0.720507977601356</v>
      </c>
      <c r="N61" s="54" t="n">
        <f aca="false">IF(OR(F61&gt;J61,F61&lt;K61),1,0)</f>
        <v>0</v>
      </c>
      <c r="O61" s="54" t="n">
        <f aca="false">IF(G61&gt;M61,1,0)</f>
        <v>0</v>
      </c>
      <c r="P61" s="54" t="n">
        <f aca="false">SIGN(F61-I61)</f>
        <v>1</v>
      </c>
      <c r="Q61" s="54" t="n">
        <f aca="false">IF(ABS(SUM(P54:P61))=8,1,0)</f>
        <v>0</v>
      </c>
    </row>
    <row r="62" customFormat="false" ht="15" hidden="false" customHeight="false" outlineLevel="0" collapsed="false">
      <c r="A62" s="52" t="n">
        <v>43896</v>
      </c>
      <c r="B62" s="53" t="n">
        <v>0.730985046319959</v>
      </c>
      <c r="C62" s="53" t="n">
        <v>0.783960791686133</v>
      </c>
      <c r="D62" s="53" t="n">
        <v>0.866039696674063</v>
      </c>
      <c r="E62" s="54" t="s">
        <v>945</v>
      </c>
      <c r="F62" s="53" t="n">
        <f aca="false">AVERAGE(B62:D62)</f>
        <v>0.793661844893385</v>
      </c>
      <c r="G62" s="53" t="n">
        <f aca="false">MAX(B62:D62)-MIN(B62:D62)</f>
        <v>0.135054650354103</v>
      </c>
      <c r="H62" s="54" t="n">
        <f aca="false">IF(AND(E62="Phase I",OR(F62&gt;$E$6,F62&lt;$E$7,G62&gt;$E$8)),1,0)</f>
        <v>0</v>
      </c>
      <c r="I62" s="53" t="n">
        <f aca="false">$H$4</f>
        <v>0.67278149898986</v>
      </c>
      <c r="J62" s="53" t="n">
        <f aca="false">$H$6</f>
        <v>0.959137233677579</v>
      </c>
      <c r="K62" s="53" t="n">
        <f aca="false">$H$7</f>
        <v>0.386425764302142</v>
      </c>
      <c r="L62" s="53" t="n">
        <f aca="false">$H$5</f>
        <v>0.279917629215756</v>
      </c>
      <c r="M62" s="53" t="n">
        <f aca="false">$H$8</f>
        <v>0.720507977601356</v>
      </c>
      <c r="N62" s="54" t="n">
        <f aca="false">IF(OR(F62&gt;J62,F62&lt;K62),1,0)</f>
        <v>0</v>
      </c>
      <c r="O62" s="54" t="n">
        <f aca="false">IF(G62&gt;M62,1,0)</f>
        <v>0</v>
      </c>
      <c r="P62" s="54" t="n">
        <f aca="false">SIGN(F62-I62)</f>
        <v>1</v>
      </c>
      <c r="Q62" s="54" t="n">
        <f aca="false">IF(ABS(SUM(P55:P62))=8,1,0)</f>
        <v>0</v>
      </c>
    </row>
    <row r="63" customFormat="false" ht="15" hidden="false" customHeight="false" outlineLevel="0" collapsed="false">
      <c r="A63" s="52" t="n">
        <v>43899</v>
      </c>
      <c r="B63" s="53" t="n">
        <v>0.73468241236855</v>
      </c>
      <c r="C63" s="53" t="n">
        <v>0.815218117857085</v>
      </c>
      <c r="D63" s="53" t="n">
        <v>0.602733947763328</v>
      </c>
      <c r="E63" s="54" t="s">
        <v>945</v>
      </c>
      <c r="F63" s="53" t="n">
        <f aca="false">AVERAGE(B63:D63)</f>
        <v>0.717544825996321</v>
      </c>
      <c r="G63" s="53" t="n">
        <f aca="false">MAX(B63:D63)-MIN(B63:D63)</f>
        <v>0.212484170093757</v>
      </c>
      <c r="H63" s="54" t="n">
        <f aca="false">IF(AND(E63="Phase I",OR(F63&gt;$E$6,F63&lt;$E$7,G63&gt;$E$8)),1,0)</f>
        <v>0</v>
      </c>
      <c r="I63" s="53" t="n">
        <f aca="false">$H$4</f>
        <v>0.67278149898986</v>
      </c>
      <c r="J63" s="53" t="n">
        <f aca="false">$H$6</f>
        <v>0.959137233677579</v>
      </c>
      <c r="K63" s="53" t="n">
        <f aca="false">$H$7</f>
        <v>0.386425764302142</v>
      </c>
      <c r="L63" s="53" t="n">
        <f aca="false">$H$5</f>
        <v>0.279917629215756</v>
      </c>
      <c r="M63" s="53" t="n">
        <f aca="false">$H$8</f>
        <v>0.720507977601356</v>
      </c>
      <c r="N63" s="54" t="n">
        <f aca="false">IF(OR(F63&gt;J63,F63&lt;K63),1,0)</f>
        <v>0</v>
      </c>
      <c r="O63" s="54" t="n">
        <f aca="false">IF(G63&gt;M63,1,0)</f>
        <v>0</v>
      </c>
      <c r="P63" s="54" t="n">
        <f aca="false">SIGN(F63-I63)</f>
        <v>1</v>
      </c>
      <c r="Q63" s="54" t="n">
        <f aca="false">IF(ABS(SUM(P56:P63))=8,1,0)</f>
        <v>0</v>
      </c>
    </row>
    <row r="64" customFormat="false" ht="15" hidden="false" customHeight="false" outlineLevel="0" collapsed="false">
      <c r="A64" s="52" t="n">
        <v>43907</v>
      </c>
      <c r="B64" s="53" t="n">
        <v>0.59842284798851</v>
      </c>
      <c r="C64" s="53" t="n">
        <v>0.527662973605323</v>
      </c>
      <c r="D64" s="53" t="n">
        <v>0.50224650283396</v>
      </c>
      <c r="E64" s="54" t="s">
        <v>945</v>
      </c>
      <c r="F64" s="53" t="n">
        <f aca="false">AVERAGE(B64:D64)</f>
        <v>0.542777441475931</v>
      </c>
      <c r="G64" s="53" t="n">
        <f aca="false">MAX(B64:D64)-MIN(B64:D64)</f>
        <v>0.0961763451545501</v>
      </c>
      <c r="H64" s="54" t="n">
        <f aca="false">IF(AND(E64="Phase I",OR(F64&gt;$E$6,F64&lt;$E$7,G64&gt;$E$8)),1,0)</f>
        <v>0</v>
      </c>
      <c r="I64" s="53" t="n">
        <f aca="false">$H$4</f>
        <v>0.67278149898986</v>
      </c>
      <c r="J64" s="53" t="n">
        <f aca="false">$H$6</f>
        <v>0.959137233677579</v>
      </c>
      <c r="K64" s="53" t="n">
        <f aca="false">$H$7</f>
        <v>0.386425764302142</v>
      </c>
      <c r="L64" s="53" t="n">
        <f aca="false">$H$5</f>
        <v>0.279917629215756</v>
      </c>
      <c r="M64" s="53" t="n">
        <f aca="false">$H$8</f>
        <v>0.720507977601356</v>
      </c>
      <c r="N64" s="54" t="n">
        <f aca="false">IF(OR(F64&gt;J64,F64&lt;K64),1,0)</f>
        <v>0</v>
      </c>
      <c r="O64" s="54" t="n">
        <f aca="false">IF(G64&gt;M64,1,0)</f>
        <v>0</v>
      </c>
      <c r="P64" s="54" t="n">
        <f aca="false">SIGN(F64-I64)</f>
        <v>-1</v>
      </c>
      <c r="Q64" s="54" t="n">
        <f aca="false">IF(ABS(SUM(P57:P64))=8,1,0)</f>
        <v>0</v>
      </c>
    </row>
    <row r="65" customFormat="false" ht="15" hidden="false" customHeight="false" outlineLevel="0" collapsed="false">
      <c r="A65" s="52" t="n">
        <v>43908</v>
      </c>
      <c r="B65" s="53" t="n">
        <v>0.825920554422639</v>
      </c>
      <c r="C65" s="53" t="n">
        <v>0.671135329960258</v>
      </c>
      <c r="D65" s="53" t="n">
        <v>0.705756830575871</v>
      </c>
      <c r="E65" s="54" t="s">
        <v>945</v>
      </c>
      <c r="F65" s="53" t="n">
        <f aca="false">AVERAGE(B65:D65)</f>
        <v>0.734270904986256</v>
      </c>
      <c r="G65" s="53" t="n">
        <f aca="false">MAX(B65:D65)-MIN(B65:D65)</f>
        <v>0.154785224462381</v>
      </c>
      <c r="H65" s="54" t="n">
        <f aca="false">IF(AND(E65="Phase I",OR(F65&gt;$E$6,F65&lt;$E$7,G65&gt;$E$8)),1,0)</f>
        <v>0</v>
      </c>
      <c r="I65" s="53" t="n">
        <f aca="false">$H$4</f>
        <v>0.67278149898986</v>
      </c>
      <c r="J65" s="53" t="n">
        <f aca="false">$H$6</f>
        <v>0.959137233677579</v>
      </c>
      <c r="K65" s="53" t="n">
        <f aca="false">$H$7</f>
        <v>0.386425764302142</v>
      </c>
      <c r="L65" s="53" t="n">
        <f aca="false">$H$5</f>
        <v>0.279917629215756</v>
      </c>
      <c r="M65" s="53" t="n">
        <f aca="false">$H$8</f>
        <v>0.720507977601356</v>
      </c>
      <c r="N65" s="54" t="n">
        <f aca="false">IF(OR(F65&gt;J65,F65&lt;K65),1,0)</f>
        <v>0</v>
      </c>
      <c r="O65" s="54" t="n">
        <f aca="false">IF(G65&gt;M65,1,0)</f>
        <v>0</v>
      </c>
      <c r="P65" s="54" t="n">
        <f aca="false">SIGN(F65-I65)</f>
        <v>1</v>
      </c>
      <c r="Q65" s="54" t="n">
        <f aca="false">IF(ABS(SUM(P58:P65))=8,1,0)</f>
        <v>0</v>
      </c>
    </row>
    <row r="66" customFormat="false" ht="15" hidden="false" customHeight="false" outlineLevel="0" collapsed="false">
      <c r="A66" s="52" t="n">
        <v>43909</v>
      </c>
      <c r="B66" s="53" t="n">
        <v>0.87973845168468</v>
      </c>
      <c r="C66" s="53" t="n">
        <v>0.756927817130338</v>
      </c>
      <c r="D66" s="53" t="n">
        <v>0.787252246268328</v>
      </c>
      <c r="E66" s="54" t="s">
        <v>945</v>
      </c>
      <c r="F66" s="53" t="n">
        <f aca="false">AVERAGE(B66:D66)</f>
        <v>0.807972838361115</v>
      </c>
      <c r="G66" s="53" t="n">
        <f aca="false">MAX(B66:D66)-MIN(B66:D66)</f>
        <v>0.122810634554342</v>
      </c>
      <c r="H66" s="54" t="n">
        <f aca="false">IF(AND(E66="Phase I",OR(F66&gt;$E$6,F66&lt;$E$7,G66&gt;$E$8)),1,0)</f>
        <v>0</v>
      </c>
      <c r="I66" s="53" t="n">
        <f aca="false">$H$4</f>
        <v>0.67278149898986</v>
      </c>
      <c r="J66" s="53" t="n">
        <f aca="false">$H$6</f>
        <v>0.959137233677579</v>
      </c>
      <c r="K66" s="53" t="n">
        <f aca="false">$H$7</f>
        <v>0.386425764302142</v>
      </c>
      <c r="L66" s="53" t="n">
        <f aca="false">$H$5</f>
        <v>0.279917629215756</v>
      </c>
      <c r="M66" s="53" t="n">
        <f aca="false">$H$8</f>
        <v>0.720507977601356</v>
      </c>
      <c r="N66" s="54" t="n">
        <f aca="false">IF(OR(F66&gt;J66,F66&lt;K66),1,0)</f>
        <v>0</v>
      </c>
      <c r="O66" s="54" t="n">
        <f aca="false">IF(G66&gt;M66,1,0)</f>
        <v>0</v>
      </c>
      <c r="P66" s="54" t="n">
        <f aca="false">SIGN(F66-I66)</f>
        <v>1</v>
      </c>
      <c r="Q66" s="54" t="n">
        <f aca="false">IF(ABS(SUM(P59:P66))=8,1,0)</f>
        <v>0</v>
      </c>
    </row>
    <row r="67" customFormat="false" ht="15" hidden="false" customHeight="false" outlineLevel="0" collapsed="false">
      <c r="A67" s="52" t="n">
        <v>43910</v>
      </c>
      <c r="B67" s="53" t="n">
        <v>0.723327872947796</v>
      </c>
      <c r="C67" s="53" t="n">
        <v>0.834055086553373</v>
      </c>
      <c r="D67" s="53" t="n">
        <v>0.947117047928428</v>
      </c>
      <c r="E67" s="54" t="s">
        <v>945</v>
      </c>
      <c r="F67" s="53" t="n">
        <f aca="false">AVERAGE(B67:D67)</f>
        <v>0.834833335809865</v>
      </c>
      <c r="G67" s="53" t="n">
        <f aca="false">MAX(B67:D67)-MIN(B67:D67)</f>
        <v>0.223789174980631</v>
      </c>
      <c r="H67" s="54" t="n">
        <f aca="false">IF(AND(E67="Phase I",OR(F67&gt;$E$6,F67&lt;$E$7,G67&gt;$E$8)),1,0)</f>
        <v>0</v>
      </c>
      <c r="I67" s="53" t="n">
        <f aca="false">$H$4</f>
        <v>0.67278149898986</v>
      </c>
      <c r="J67" s="53" t="n">
        <f aca="false">$H$6</f>
        <v>0.959137233677579</v>
      </c>
      <c r="K67" s="53" t="n">
        <f aca="false">$H$7</f>
        <v>0.386425764302142</v>
      </c>
      <c r="L67" s="53" t="n">
        <f aca="false">$H$5</f>
        <v>0.279917629215756</v>
      </c>
      <c r="M67" s="53" t="n">
        <f aca="false">$H$8</f>
        <v>0.720507977601356</v>
      </c>
      <c r="N67" s="54" t="n">
        <f aca="false">IF(OR(F67&gt;J67,F67&lt;K67),1,0)</f>
        <v>0</v>
      </c>
      <c r="O67" s="54" t="n">
        <f aca="false">IF(G67&gt;M67,1,0)</f>
        <v>0</v>
      </c>
      <c r="P67" s="54" t="n">
        <f aca="false">SIGN(F67-I67)</f>
        <v>1</v>
      </c>
      <c r="Q67" s="54" t="n">
        <f aca="false">IF(ABS(SUM(P60:P67))=8,1,0)</f>
        <v>0</v>
      </c>
    </row>
    <row r="68" customFormat="false" ht="15" hidden="false" customHeight="false" outlineLevel="0" collapsed="false">
      <c r="A68" s="52" t="n">
        <v>43913</v>
      </c>
      <c r="B68" s="53" t="n">
        <v>0</v>
      </c>
      <c r="C68" s="53" t="n">
        <v>0</v>
      </c>
      <c r="D68" s="53" t="n">
        <v>0</v>
      </c>
      <c r="E68" s="54" t="s">
        <v>945</v>
      </c>
      <c r="F68" s="53" t="n">
        <f aca="false">AVERAGE(B68:D68)</f>
        <v>0</v>
      </c>
      <c r="G68" s="53" t="n">
        <f aca="false">MAX(B68:D68)-MIN(B68:D68)</f>
        <v>0</v>
      </c>
      <c r="H68" s="54" t="n">
        <f aca="false">IF(AND(E68="Phase I",OR(F68&gt;$E$6,F68&lt;$E$7,G68&gt;$E$8)),1,0)</f>
        <v>1</v>
      </c>
      <c r="I68" s="53" t="n">
        <f aca="false">$H$4</f>
        <v>0.67278149898986</v>
      </c>
      <c r="J68" s="53" t="n">
        <f aca="false">$H$6</f>
        <v>0.959137233677579</v>
      </c>
      <c r="K68" s="53" t="n">
        <f aca="false">$H$7</f>
        <v>0.386425764302142</v>
      </c>
      <c r="L68" s="53" t="n">
        <f aca="false">$H$5</f>
        <v>0.279917629215756</v>
      </c>
      <c r="M68" s="53" t="n">
        <f aca="false">$H$8</f>
        <v>0.720507977601356</v>
      </c>
      <c r="N68" s="54" t="n">
        <f aca="false">IF(OR(F68&gt;J68,F68&lt;K68),1,0)</f>
        <v>1</v>
      </c>
      <c r="O68" s="54" t="n">
        <f aca="false">IF(G68&gt;M68,1,0)</f>
        <v>0</v>
      </c>
      <c r="P68" s="54" t="n">
        <f aca="false">SIGN(F68-I68)</f>
        <v>-1</v>
      </c>
      <c r="Q68" s="54" t="n">
        <f aca="false">IF(ABS(SUM(P61:P68))=8,1,0)</f>
        <v>0</v>
      </c>
    </row>
    <row r="69" customFormat="false" ht="15" hidden="false" customHeight="false" outlineLevel="0" collapsed="false">
      <c r="A69" s="52" t="n">
        <v>43914</v>
      </c>
      <c r="B69" s="53" t="n">
        <v>0</v>
      </c>
      <c r="C69" s="53" t="n">
        <v>0.559393389378138</v>
      </c>
      <c r="D69" s="53" t="n">
        <v>0.88191452596869</v>
      </c>
      <c r="E69" s="54" t="s">
        <v>945</v>
      </c>
      <c r="F69" s="53" t="n">
        <f aca="false">AVERAGE(B69:D69)</f>
        <v>0.480435971782276</v>
      </c>
      <c r="G69" s="53" t="n">
        <f aca="false">MAX(B69:D69)-MIN(B69:D69)</f>
        <v>0.88191452596869</v>
      </c>
      <c r="H69" s="54" t="n">
        <f aca="false">IF(AND(E69="Phase I",OR(F69&gt;$E$6,F69&lt;$E$7,G69&gt;$E$8)),1,0)</f>
        <v>1</v>
      </c>
      <c r="I69" s="53" t="n">
        <f aca="false">$H$4</f>
        <v>0.67278149898986</v>
      </c>
      <c r="J69" s="53" t="n">
        <f aca="false">$H$6</f>
        <v>0.959137233677579</v>
      </c>
      <c r="K69" s="53" t="n">
        <f aca="false">$H$7</f>
        <v>0.386425764302142</v>
      </c>
      <c r="L69" s="53" t="n">
        <f aca="false">$H$5</f>
        <v>0.279917629215756</v>
      </c>
      <c r="M69" s="53" t="n">
        <f aca="false">$H$8</f>
        <v>0.720507977601356</v>
      </c>
      <c r="N69" s="54" t="n">
        <f aca="false">IF(OR(F69&gt;J69,F69&lt;K69),1,0)</f>
        <v>0</v>
      </c>
      <c r="O69" s="54" t="n">
        <f aca="false">IF(G69&gt;M69,1,0)</f>
        <v>1</v>
      </c>
      <c r="P69" s="54" t="n">
        <f aca="false">SIGN(F69-I69)</f>
        <v>-1</v>
      </c>
      <c r="Q69" s="54" t="n">
        <f aca="false">IF(ABS(SUM(P62:P69))=8,1,0)</f>
        <v>0</v>
      </c>
    </row>
    <row r="70" customFormat="false" ht="15" hidden="false" customHeight="false" outlineLevel="0" collapsed="false">
      <c r="A70" s="52" t="n">
        <v>43916</v>
      </c>
      <c r="B70" s="53" t="n">
        <v>0</v>
      </c>
      <c r="C70" s="53" t="n">
        <v>0.676710949076894</v>
      </c>
      <c r="D70" s="53" t="n">
        <v>0.850745667964936</v>
      </c>
      <c r="E70" s="54" t="s">
        <v>945</v>
      </c>
      <c r="F70" s="53" t="n">
        <f aca="false">AVERAGE(B70:D70)</f>
        <v>0.50915220568061</v>
      </c>
      <c r="G70" s="53" t="n">
        <f aca="false">MAX(B70:D70)-MIN(B70:D70)</f>
        <v>0.850745667964936</v>
      </c>
      <c r="H70" s="54" t="n">
        <f aca="false">IF(AND(E70="Phase I",OR(F70&gt;$E$6,F70&lt;$E$7,G70&gt;$E$8)),1,0)</f>
        <v>1</v>
      </c>
      <c r="I70" s="53" t="n">
        <f aca="false">$H$4</f>
        <v>0.67278149898986</v>
      </c>
      <c r="J70" s="53" t="n">
        <f aca="false">$H$6</f>
        <v>0.959137233677579</v>
      </c>
      <c r="K70" s="53" t="n">
        <f aca="false">$H$7</f>
        <v>0.386425764302142</v>
      </c>
      <c r="L70" s="53" t="n">
        <f aca="false">$H$5</f>
        <v>0.279917629215756</v>
      </c>
      <c r="M70" s="53" t="n">
        <f aca="false">$H$8</f>
        <v>0.720507977601356</v>
      </c>
      <c r="N70" s="54" t="n">
        <f aca="false">IF(OR(F70&gt;J70,F70&lt;K70),1,0)</f>
        <v>0</v>
      </c>
      <c r="O70" s="54" t="n">
        <f aca="false">IF(G70&gt;M70,1,0)</f>
        <v>1</v>
      </c>
      <c r="P70" s="54" t="n">
        <f aca="false">SIGN(F70-I70)</f>
        <v>-1</v>
      </c>
      <c r="Q70" s="54" t="n">
        <f aca="false">IF(ABS(SUM(P63:P70))=8,1,0)</f>
        <v>0</v>
      </c>
    </row>
    <row r="71" customFormat="false" ht="15" hidden="false" customHeight="false" outlineLevel="0" collapsed="false">
      <c r="A71" s="52" t="n">
        <v>43917</v>
      </c>
      <c r="B71" s="53" t="n">
        <v>0.683300429636331</v>
      </c>
      <c r="C71" s="53" t="n">
        <v>0.822092668993072</v>
      </c>
      <c r="D71" s="53" t="n">
        <v>0</v>
      </c>
      <c r="E71" s="54" t="s">
        <v>945</v>
      </c>
      <c r="F71" s="53" t="n">
        <f aca="false">AVERAGE(B71:D71)</f>
        <v>0.501797699543134</v>
      </c>
      <c r="G71" s="53" t="n">
        <f aca="false">MAX(B71:D71)-MIN(B71:D71)</f>
        <v>0.822092668993072</v>
      </c>
      <c r="H71" s="54" t="n">
        <f aca="false">IF(AND(E71="Phase I",OR(F71&gt;$E$6,F71&lt;$E$7,G71&gt;$E$8)),1,0)</f>
        <v>0</v>
      </c>
      <c r="I71" s="53" t="n">
        <f aca="false">$H$4</f>
        <v>0.67278149898986</v>
      </c>
      <c r="J71" s="53" t="n">
        <f aca="false">$H$6</f>
        <v>0.959137233677579</v>
      </c>
      <c r="K71" s="53" t="n">
        <f aca="false">$H$7</f>
        <v>0.386425764302142</v>
      </c>
      <c r="L71" s="53" t="n">
        <f aca="false">$H$5</f>
        <v>0.279917629215756</v>
      </c>
      <c r="M71" s="53" t="n">
        <f aca="false">$H$8</f>
        <v>0.720507977601356</v>
      </c>
      <c r="N71" s="54" t="n">
        <f aca="false">IF(OR(F71&gt;J71,F71&lt;K71),1,0)</f>
        <v>0</v>
      </c>
      <c r="O71" s="54" t="n">
        <f aca="false">IF(G71&gt;M71,1,0)</f>
        <v>1</v>
      </c>
      <c r="P71" s="54" t="n">
        <f aca="false">SIGN(F71-I71)</f>
        <v>-1</v>
      </c>
      <c r="Q71" s="54" t="n">
        <f aca="false">IF(ABS(SUM(P64:P71))=8,1,0)</f>
        <v>0</v>
      </c>
    </row>
    <row r="72" customFormat="false" ht="15" hidden="false" customHeight="false" outlineLevel="0" collapsed="false">
      <c r="A72" s="52" t="n">
        <v>43920</v>
      </c>
      <c r="B72" s="53" t="n">
        <v>0.760514608572704</v>
      </c>
      <c r="C72" s="53" t="n">
        <v>0.926814831970003</v>
      </c>
      <c r="D72" s="53" t="n">
        <v>0.831558929333454</v>
      </c>
      <c r="E72" s="54" t="s">
        <v>945</v>
      </c>
      <c r="F72" s="53" t="n">
        <f aca="false">AVERAGE(B72:D72)</f>
        <v>0.839629456625387</v>
      </c>
      <c r="G72" s="53" t="n">
        <f aca="false">MAX(B72:D72)-MIN(B72:D72)</f>
        <v>0.166300223397299</v>
      </c>
      <c r="H72" s="54" t="n">
        <f aca="false">IF(AND(E72="Phase I",OR(F72&gt;$E$6,F72&lt;$E$7,G72&gt;$E$8)),1,0)</f>
        <v>0</v>
      </c>
      <c r="I72" s="53" t="n">
        <f aca="false">$H$4</f>
        <v>0.67278149898986</v>
      </c>
      <c r="J72" s="53" t="n">
        <f aca="false">$H$6</f>
        <v>0.959137233677579</v>
      </c>
      <c r="K72" s="53" t="n">
        <f aca="false">$H$7</f>
        <v>0.386425764302142</v>
      </c>
      <c r="L72" s="53" t="n">
        <f aca="false">$H$5</f>
        <v>0.279917629215756</v>
      </c>
      <c r="M72" s="53" t="n">
        <f aca="false">$H$8</f>
        <v>0.720507977601356</v>
      </c>
      <c r="N72" s="54" t="n">
        <f aca="false">IF(OR(F72&gt;J72,F72&lt;K72),1,0)</f>
        <v>0</v>
      </c>
      <c r="O72" s="54" t="n">
        <f aca="false">IF(G72&gt;M72,1,0)</f>
        <v>0</v>
      </c>
      <c r="P72" s="54" t="n">
        <f aca="false">SIGN(F72-I72)</f>
        <v>1</v>
      </c>
      <c r="Q72" s="54" t="n">
        <f aca="false">IF(ABS(SUM(P65:P72))=8,1,0)</f>
        <v>0</v>
      </c>
    </row>
    <row r="73" customFormat="false" ht="15" hidden="false" customHeight="false" outlineLevel="0" collapsed="false">
      <c r="A73" s="52" t="n">
        <v>43921</v>
      </c>
      <c r="B73" s="53" t="n">
        <v>0</v>
      </c>
      <c r="C73" s="53" t="n">
        <v>0.853296444336219</v>
      </c>
      <c r="D73" s="53" t="n">
        <v>0.90593073679706</v>
      </c>
      <c r="E73" s="54" t="s">
        <v>945</v>
      </c>
      <c r="F73" s="53" t="n">
        <f aca="false">AVERAGE(B73:D73)</f>
        <v>0.58640906037776</v>
      </c>
      <c r="G73" s="53" t="n">
        <f aca="false">MAX(B73:D73)-MIN(B73:D73)</f>
        <v>0.90593073679706</v>
      </c>
      <c r="H73" s="54" t="n">
        <f aca="false">IF(AND(E73="Phase I",OR(F73&gt;$E$6,F73&lt;$E$7,G73&gt;$E$8)),1,0)</f>
        <v>1</v>
      </c>
      <c r="I73" s="53" t="n">
        <f aca="false">$H$4</f>
        <v>0.67278149898986</v>
      </c>
      <c r="J73" s="53" t="n">
        <f aca="false">$H$6</f>
        <v>0.959137233677579</v>
      </c>
      <c r="K73" s="53" t="n">
        <f aca="false">$H$7</f>
        <v>0.386425764302142</v>
      </c>
      <c r="L73" s="53" t="n">
        <f aca="false">$H$5</f>
        <v>0.279917629215756</v>
      </c>
      <c r="M73" s="53" t="n">
        <f aca="false">$H$8</f>
        <v>0.720507977601356</v>
      </c>
      <c r="N73" s="54" t="n">
        <f aca="false">IF(OR(F73&gt;J73,F73&lt;K73),1,0)</f>
        <v>0</v>
      </c>
      <c r="O73" s="54" t="n">
        <f aca="false">IF(G73&gt;M73,1,0)</f>
        <v>1</v>
      </c>
      <c r="P73" s="54" t="n">
        <f aca="false">SIGN(F73-I73)</f>
        <v>-1</v>
      </c>
      <c r="Q73" s="54" t="n">
        <f aca="false">IF(ABS(SUM(P66:P73))=8,1,0)</f>
        <v>0</v>
      </c>
    </row>
    <row r="74" customFormat="false" ht="15" hidden="false" customHeight="false" outlineLevel="0" collapsed="false">
      <c r="A74" s="52" t="n">
        <v>43922</v>
      </c>
      <c r="B74" s="53" t="n">
        <v>0.672792530332672</v>
      </c>
      <c r="C74" s="53" t="n">
        <v>0.0471327589019835</v>
      </c>
      <c r="D74" s="53" t="n">
        <v>0.583038720913167</v>
      </c>
      <c r="E74" s="54" t="s">
        <v>945</v>
      </c>
      <c r="F74" s="53" t="n">
        <f aca="false">AVERAGE(B74:D74)</f>
        <v>0.434321336715941</v>
      </c>
      <c r="G74" s="53" t="n">
        <f aca="false">MAX(B74:D74)-MIN(B74:D74)</f>
        <v>0.625659771430688</v>
      </c>
      <c r="H74" s="54" t="n">
        <f aca="false">IF(AND(E74="Phase I",OR(F74&gt;$E$6,F74&lt;$E$7,G74&gt;$E$8)),1,0)</f>
        <v>0</v>
      </c>
      <c r="I74" s="53" t="n">
        <f aca="false">$H$4</f>
        <v>0.67278149898986</v>
      </c>
      <c r="J74" s="53" t="n">
        <f aca="false">$H$6</f>
        <v>0.959137233677579</v>
      </c>
      <c r="K74" s="53" t="n">
        <f aca="false">$H$7</f>
        <v>0.386425764302142</v>
      </c>
      <c r="L74" s="53" t="n">
        <f aca="false">$H$5</f>
        <v>0.279917629215756</v>
      </c>
      <c r="M74" s="53" t="n">
        <f aca="false">$H$8</f>
        <v>0.720507977601356</v>
      </c>
      <c r="N74" s="54" t="n">
        <f aca="false">IF(OR(F74&gt;J74,F74&lt;K74),1,0)</f>
        <v>0</v>
      </c>
      <c r="O74" s="54" t="n">
        <f aca="false">IF(G74&gt;M74,1,0)</f>
        <v>0</v>
      </c>
      <c r="P74" s="54" t="n">
        <f aca="false">SIGN(F74-I74)</f>
        <v>-1</v>
      </c>
      <c r="Q74" s="54" t="n">
        <f aca="false">IF(ABS(SUM(P67:P74))=8,1,0)</f>
        <v>0</v>
      </c>
    </row>
    <row r="75" customFormat="false" ht="15" hidden="false" customHeight="false" outlineLevel="0" collapsed="false">
      <c r="A75" s="52" t="n">
        <v>43923</v>
      </c>
      <c r="B75" s="53" t="n">
        <v>0.799770043657186</v>
      </c>
      <c r="C75" s="53" t="n">
        <v>0.862640611886654</v>
      </c>
      <c r="D75" s="53" t="n">
        <v>0</v>
      </c>
      <c r="E75" s="54" t="s">
        <v>945</v>
      </c>
      <c r="F75" s="53" t="n">
        <f aca="false">AVERAGE(B75:D75)</f>
        <v>0.55413688518128</v>
      </c>
      <c r="G75" s="53" t="n">
        <f aca="false">MAX(B75:D75)-MIN(B75:D75)</f>
        <v>0.862640611886654</v>
      </c>
      <c r="H75" s="54" t="n">
        <f aca="false">IF(AND(E75="Phase I",OR(F75&gt;$E$6,F75&lt;$E$7,G75&gt;$E$8)),1,0)</f>
        <v>1</v>
      </c>
      <c r="I75" s="53" t="n">
        <f aca="false">$H$4</f>
        <v>0.67278149898986</v>
      </c>
      <c r="J75" s="53" t="n">
        <f aca="false">$H$6</f>
        <v>0.959137233677579</v>
      </c>
      <c r="K75" s="53" t="n">
        <f aca="false">$H$7</f>
        <v>0.386425764302142</v>
      </c>
      <c r="L75" s="53" t="n">
        <f aca="false">$H$5</f>
        <v>0.279917629215756</v>
      </c>
      <c r="M75" s="53" t="n">
        <f aca="false">$H$8</f>
        <v>0.720507977601356</v>
      </c>
      <c r="N75" s="54" t="n">
        <f aca="false">IF(OR(F75&gt;J75,F75&lt;K75),1,0)</f>
        <v>0</v>
      </c>
      <c r="O75" s="54" t="n">
        <f aca="false">IF(G75&gt;M75,1,0)</f>
        <v>1</v>
      </c>
      <c r="P75" s="54" t="n">
        <f aca="false">SIGN(F75-I75)</f>
        <v>-1</v>
      </c>
      <c r="Q75" s="54" t="n">
        <f aca="false">IF(ABS(SUM(P68:P75))=8,1,0)</f>
        <v>0</v>
      </c>
    </row>
    <row r="76" customFormat="false" ht="15" hidden="false" customHeight="false" outlineLevel="0" collapsed="false">
      <c r="A76" s="52" t="n">
        <v>43924</v>
      </c>
      <c r="B76" s="53" t="n">
        <v>0</v>
      </c>
      <c r="C76" s="53" t="n">
        <v>0</v>
      </c>
      <c r="D76" s="53" t="n">
        <v>0.795723449948279</v>
      </c>
      <c r="E76" s="54" t="s">
        <v>945</v>
      </c>
      <c r="F76" s="53" t="n">
        <f aca="false">AVERAGE(B76:D76)</f>
        <v>0.26524114998276</v>
      </c>
      <c r="G76" s="53" t="n">
        <f aca="false">MAX(B76:D76)-MIN(B76:D76)</f>
        <v>0.795723449948279</v>
      </c>
      <c r="H76" s="54" t="n">
        <f aca="false">IF(AND(E76="Phase I",OR(F76&gt;$E$6,F76&lt;$E$7,G76&gt;$E$8)),1,0)</f>
        <v>1</v>
      </c>
      <c r="I76" s="53" t="n">
        <f aca="false">$H$4</f>
        <v>0.67278149898986</v>
      </c>
      <c r="J76" s="53" t="n">
        <f aca="false">$H$6</f>
        <v>0.959137233677579</v>
      </c>
      <c r="K76" s="53" t="n">
        <f aca="false">$H$7</f>
        <v>0.386425764302142</v>
      </c>
      <c r="L76" s="53" t="n">
        <f aca="false">$H$5</f>
        <v>0.279917629215756</v>
      </c>
      <c r="M76" s="53" t="n">
        <f aca="false">$H$8</f>
        <v>0.720507977601356</v>
      </c>
      <c r="N76" s="54" t="n">
        <f aca="false">IF(OR(F76&gt;J76,F76&lt;K76),1,0)</f>
        <v>1</v>
      </c>
      <c r="O76" s="54" t="n">
        <f aca="false">IF(G76&gt;M76,1,0)</f>
        <v>1</v>
      </c>
      <c r="P76" s="54" t="n">
        <f aca="false">SIGN(F76-I76)</f>
        <v>-1</v>
      </c>
      <c r="Q76" s="54" t="n">
        <f aca="false">IF(ABS(SUM(P69:P76))=8,1,0)</f>
        <v>0</v>
      </c>
    </row>
    <row r="77" customFormat="false" ht="15" hidden="false" customHeight="false" outlineLevel="0" collapsed="false">
      <c r="A77" s="52" t="n">
        <v>43927</v>
      </c>
      <c r="B77" s="53" t="n">
        <v>0.840336477417676</v>
      </c>
      <c r="C77" s="53" t="n">
        <v>0.750124264275805</v>
      </c>
      <c r="D77" s="53" t="n">
        <v>0.657850690287787</v>
      </c>
      <c r="E77" s="54" t="s">
        <v>945</v>
      </c>
      <c r="F77" s="53" t="n">
        <f aca="false">AVERAGE(B77:D77)</f>
        <v>0.749437143993756</v>
      </c>
      <c r="G77" s="53" t="n">
        <f aca="false">MAX(B77:D77)-MIN(B77:D77)</f>
        <v>0.182485787129889</v>
      </c>
      <c r="H77" s="54" t="n">
        <f aca="false">IF(AND(E77="Phase I",OR(F77&gt;$E$6,F77&lt;$E$7,G77&gt;$E$8)),1,0)</f>
        <v>0</v>
      </c>
      <c r="I77" s="53" t="n">
        <f aca="false">$H$4</f>
        <v>0.67278149898986</v>
      </c>
      <c r="J77" s="53" t="n">
        <f aca="false">$H$6</f>
        <v>0.959137233677579</v>
      </c>
      <c r="K77" s="53" t="n">
        <f aca="false">$H$7</f>
        <v>0.386425764302142</v>
      </c>
      <c r="L77" s="53" t="n">
        <f aca="false">$H$5</f>
        <v>0.279917629215756</v>
      </c>
      <c r="M77" s="53" t="n">
        <f aca="false">$H$8</f>
        <v>0.720507977601356</v>
      </c>
      <c r="N77" s="54" t="n">
        <f aca="false">IF(OR(F77&gt;J77,F77&lt;K77),1,0)</f>
        <v>0</v>
      </c>
      <c r="O77" s="54" t="n">
        <f aca="false">IF(G77&gt;M77,1,0)</f>
        <v>0</v>
      </c>
      <c r="P77" s="54" t="n">
        <f aca="false">SIGN(F77-I77)</f>
        <v>1</v>
      </c>
      <c r="Q77" s="54" t="n">
        <f aca="false">IF(ABS(SUM(P70:P77))=8,1,0)</f>
        <v>0</v>
      </c>
    </row>
    <row r="78" customFormat="false" ht="15" hidden="false" customHeight="false" outlineLevel="0" collapsed="false">
      <c r="A78" s="52" t="n">
        <v>43928</v>
      </c>
      <c r="B78" s="53" t="n">
        <v>0</v>
      </c>
      <c r="C78" s="53" t="n">
        <v>0</v>
      </c>
      <c r="D78" s="53" t="n">
        <v>0</v>
      </c>
      <c r="E78" s="54" t="s">
        <v>945</v>
      </c>
      <c r="F78" s="53" t="n">
        <f aca="false">AVERAGE(B78:D78)</f>
        <v>0</v>
      </c>
      <c r="G78" s="53" t="n">
        <f aca="false">MAX(B78:D78)-MIN(B78:D78)</f>
        <v>0</v>
      </c>
      <c r="H78" s="54" t="n">
        <f aca="false">IF(AND(E78="Phase I",OR(F78&gt;$E$6,F78&lt;$E$7,G78&gt;$E$8)),1,0)</f>
        <v>1</v>
      </c>
      <c r="I78" s="53" t="n">
        <f aca="false">$H$4</f>
        <v>0.67278149898986</v>
      </c>
      <c r="J78" s="53" t="n">
        <f aca="false">$H$6</f>
        <v>0.959137233677579</v>
      </c>
      <c r="K78" s="53" t="n">
        <f aca="false">$H$7</f>
        <v>0.386425764302142</v>
      </c>
      <c r="L78" s="53" t="n">
        <f aca="false">$H$5</f>
        <v>0.279917629215756</v>
      </c>
      <c r="M78" s="53" t="n">
        <f aca="false">$H$8</f>
        <v>0.720507977601356</v>
      </c>
      <c r="N78" s="54" t="n">
        <f aca="false">IF(OR(F78&gt;J78,F78&lt;K78),1,0)</f>
        <v>1</v>
      </c>
      <c r="O78" s="54" t="n">
        <f aca="false">IF(G78&gt;M78,1,0)</f>
        <v>0</v>
      </c>
      <c r="P78" s="54" t="n">
        <f aca="false">SIGN(F78-I78)</f>
        <v>-1</v>
      </c>
      <c r="Q78" s="54" t="n">
        <f aca="false">IF(ABS(SUM(P71:P78))=8,1,0)</f>
        <v>0</v>
      </c>
    </row>
    <row r="79" customFormat="false" ht="15" hidden="false" customHeight="false" outlineLevel="0" collapsed="false">
      <c r="A79" s="52" t="n">
        <v>43929</v>
      </c>
      <c r="B79" s="53" t="n">
        <v>0</v>
      </c>
      <c r="C79" s="53" t="n">
        <v>0.720375656692794</v>
      </c>
      <c r="D79" s="53" t="n">
        <v>0</v>
      </c>
      <c r="E79" s="54" t="s">
        <v>945</v>
      </c>
      <c r="F79" s="53" t="n">
        <f aca="false">AVERAGE(B79:D79)</f>
        <v>0.240125218897598</v>
      </c>
      <c r="G79" s="53" t="n">
        <f aca="false">MAX(B79:D79)-MIN(B79:D79)</f>
        <v>0.720375656692794</v>
      </c>
      <c r="H79" s="54" t="n">
        <f aca="false">IF(AND(E79="Phase I",OR(F79&gt;$E$6,F79&lt;$E$7,G79&gt;$E$8)),1,0)</f>
        <v>1</v>
      </c>
      <c r="I79" s="53" t="n">
        <f aca="false">$H$4</f>
        <v>0.67278149898986</v>
      </c>
      <c r="J79" s="53" t="n">
        <f aca="false">$H$6</f>
        <v>0.959137233677579</v>
      </c>
      <c r="K79" s="53" t="n">
        <f aca="false">$H$7</f>
        <v>0.386425764302142</v>
      </c>
      <c r="L79" s="53" t="n">
        <f aca="false">$H$5</f>
        <v>0.279917629215756</v>
      </c>
      <c r="M79" s="53" t="n">
        <f aca="false">$H$8</f>
        <v>0.720507977601356</v>
      </c>
      <c r="N79" s="54" t="n">
        <f aca="false">IF(OR(F79&gt;J79,F79&lt;K79),1,0)</f>
        <v>1</v>
      </c>
      <c r="O79" s="54" t="n">
        <f aca="false">IF(G79&gt;M79,1,0)</f>
        <v>0</v>
      </c>
      <c r="P79" s="54" t="n">
        <f aca="false">SIGN(F79-I79)</f>
        <v>-1</v>
      </c>
      <c r="Q79" s="54" t="n">
        <f aca="false">IF(ABS(SUM(P72:P79))=8,1,0)</f>
        <v>0</v>
      </c>
    </row>
    <row r="80" customFormat="false" ht="15" hidden="false" customHeight="false" outlineLevel="0" collapsed="false">
      <c r="A80" s="52" t="n">
        <v>43930</v>
      </c>
      <c r="B80" s="53" t="n">
        <v>0.800008282357946</v>
      </c>
      <c r="C80" s="53" t="n">
        <v>0.859822559946321</v>
      </c>
      <c r="D80" s="53" t="n">
        <v>0</v>
      </c>
      <c r="E80" s="54" t="s">
        <v>945</v>
      </c>
      <c r="F80" s="53" t="n">
        <f aca="false">AVERAGE(B80:D80)</f>
        <v>0.553276947434756</v>
      </c>
      <c r="G80" s="53" t="n">
        <f aca="false">MAX(B80:D80)-MIN(B80:D80)</f>
        <v>0.859822559946321</v>
      </c>
      <c r="H80" s="54" t="n">
        <f aca="false">IF(AND(E80="Phase I",OR(F80&gt;$E$6,F80&lt;$E$7,G80&gt;$E$8)),1,0)</f>
        <v>1</v>
      </c>
      <c r="I80" s="53" t="n">
        <f aca="false">$H$4</f>
        <v>0.67278149898986</v>
      </c>
      <c r="J80" s="53" t="n">
        <f aca="false">$H$6</f>
        <v>0.959137233677579</v>
      </c>
      <c r="K80" s="53" t="n">
        <f aca="false">$H$7</f>
        <v>0.386425764302142</v>
      </c>
      <c r="L80" s="53" t="n">
        <f aca="false">$H$5</f>
        <v>0.279917629215756</v>
      </c>
      <c r="M80" s="53" t="n">
        <f aca="false">$H$8</f>
        <v>0.720507977601356</v>
      </c>
      <c r="N80" s="54" t="n">
        <f aca="false">IF(OR(F80&gt;J80,F80&lt;K80),1,0)</f>
        <v>0</v>
      </c>
      <c r="O80" s="54" t="n">
        <f aca="false">IF(G80&gt;M80,1,0)</f>
        <v>1</v>
      </c>
      <c r="P80" s="54" t="n">
        <f aca="false">SIGN(F80-I80)</f>
        <v>-1</v>
      </c>
      <c r="Q80" s="54" t="n">
        <f aca="false">IF(ABS(SUM(P73:P80))=8,1,0)</f>
        <v>0</v>
      </c>
    </row>
    <row r="81" customFormat="false" ht="15" hidden="false" customHeight="false" outlineLevel="0" collapsed="false">
      <c r="A81" s="52" t="n">
        <v>43931</v>
      </c>
      <c r="B81" s="53" t="n">
        <v>0</v>
      </c>
      <c r="C81" s="53" t="n">
        <v>0</v>
      </c>
      <c r="D81" s="53" t="n">
        <v>0</v>
      </c>
      <c r="E81" s="54" t="s">
        <v>945</v>
      </c>
      <c r="F81" s="53" t="n">
        <f aca="false">AVERAGE(B81:D81)</f>
        <v>0</v>
      </c>
      <c r="G81" s="53" t="n">
        <f aca="false">MAX(B81:D81)-MIN(B81:D81)</f>
        <v>0</v>
      </c>
      <c r="H81" s="54" t="n">
        <f aca="false">IF(AND(E81="Phase I",OR(F81&gt;$E$6,F81&lt;$E$7,G81&gt;$E$8)),1,0)</f>
        <v>1</v>
      </c>
      <c r="I81" s="53" t="n">
        <f aca="false">$H$4</f>
        <v>0.67278149898986</v>
      </c>
      <c r="J81" s="53" t="n">
        <f aca="false">$H$6</f>
        <v>0.959137233677579</v>
      </c>
      <c r="K81" s="53" t="n">
        <f aca="false">$H$7</f>
        <v>0.386425764302142</v>
      </c>
      <c r="L81" s="53" t="n">
        <f aca="false">$H$5</f>
        <v>0.279917629215756</v>
      </c>
      <c r="M81" s="53" t="n">
        <f aca="false">$H$8</f>
        <v>0.720507977601356</v>
      </c>
      <c r="N81" s="54" t="n">
        <f aca="false">IF(OR(F81&gt;J81,F81&lt;K81),1,0)</f>
        <v>1</v>
      </c>
      <c r="O81" s="54" t="n">
        <f aca="false">IF(G81&gt;M81,1,0)</f>
        <v>0</v>
      </c>
      <c r="P81" s="54" t="n">
        <f aca="false">SIGN(F81-I81)</f>
        <v>-1</v>
      </c>
      <c r="Q81" s="54" t="n">
        <f aca="false">IF(ABS(SUM(P74:P81))=8,1,0)</f>
        <v>0</v>
      </c>
    </row>
    <row r="82" customFormat="false" ht="15" hidden="false" customHeight="false" outlineLevel="0" collapsed="false">
      <c r="A82" s="52" t="n">
        <v>43934</v>
      </c>
      <c r="B82" s="53" t="n">
        <v>0.728947373579923</v>
      </c>
      <c r="C82" s="53" t="n">
        <v>0.709167967342926</v>
      </c>
      <c r="D82" s="53" t="n">
        <v>0.821709647187689</v>
      </c>
      <c r="E82" s="54" t="s">
        <v>945</v>
      </c>
      <c r="F82" s="53" t="n">
        <f aca="false">AVERAGE(B82:D82)</f>
        <v>0.753274996036846</v>
      </c>
      <c r="G82" s="53" t="n">
        <f aca="false">MAX(B82:D82)-MIN(B82:D82)</f>
        <v>0.112541679844763</v>
      </c>
      <c r="H82" s="54" t="n">
        <f aca="false">IF(AND(E82="Phase I",OR(F82&gt;$E$6,F82&lt;$E$7,G82&gt;$E$8)),1,0)</f>
        <v>0</v>
      </c>
      <c r="I82" s="53" t="n">
        <f aca="false">$H$4</f>
        <v>0.67278149898986</v>
      </c>
      <c r="J82" s="53" t="n">
        <f aca="false">$H$6</f>
        <v>0.959137233677579</v>
      </c>
      <c r="K82" s="53" t="n">
        <f aca="false">$H$7</f>
        <v>0.386425764302142</v>
      </c>
      <c r="L82" s="53" t="n">
        <f aca="false">$H$5</f>
        <v>0.279917629215756</v>
      </c>
      <c r="M82" s="53" t="n">
        <f aca="false">$H$8</f>
        <v>0.720507977601356</v>
      </c>
      <c r="N82" s="54" t="n">
        <f aca="false">IF(OR(F82&gt;J82,F82&lt;K82),1,0)</f>
        <v>0</v>
      </c>
      <c r="O82" s="54" t="n">
        <f aca="false">IF(G82&gt;M82,1,0)</f>
        <v>0</v>
      </c>
      <c r="P82" s="54" t="n">
        <f aca="false">SIGN(F82-I82)</f>
        <v>1</v>
      </c>
      <c r="Q82" s="54" t="n">
        <f aca="false">IF(ABS(SUM(P75:P82))=8,1,0)</f>
        <v>0</v>
      </c>
    </row>
    <row r="83" customFormat="false" ht="15" hidden="false" customHeight="false" outlineLevel="0" collapsed="false">
      <c r="A83" s="52" t="n">
        <v>43935</v>
      </c>
      <c r="B83" s="53" t="n">
        <v>0.469930259702481</v>
      </c>
      <c r="C83" s="53" t="n">
        <v>0.664291380249376</v>
      </c>
      <c r="D83" s="53" t="n">
        <v>0</v>
      </c>
      <c r="E83" s="54" t="s">
        <v>945</v>
      </c>
      <c r="F83" s="53" t="n">
        <f aca="false">AVERAGE(B83:D83)</f>
        <v>0.378073879983953</v>
      </c>
      <c r="G83" s="53" t="n">
        <f aca="false">MAX(B83:D83)-MIN(B83:D83)</f>
        <v>0.664291380249376</v>
      </c>
      <c r="H83" s="54" t="n">
        <f aca="false">IF(AND(E83="Phase I",OR(F83&gt;$E$6,F83&lt;$E$7,G83&gt;$E$8)),1,0)</f>
        <v>0</v>
      </c>
      <c r="I83" s="53" t="n">
        <f aca="false">$H$4</f>
        <v>0.67278149898986</v>
      </c>
      <c r="J83" s="53" t="n">
        <f aca="false">$H$6</f>
        <v>0.959137233677579</v>
      </c>
      <c r="K83" s="53" t="n">
        <f aca="false">$H$7</f>
        <v>0.386425764302142</v>
      </c>
      <c r="L83" s="53" t="n">
        <f aca="false">$H$5</f>
        <v>0.279917629215756</v>
      </c>
      <c r="M83" s="53" t="n">
        <f aca="false">$H$8</f>
        <v>0.720507977601356</v>
      </c>
      <c r="N83" s="54" t="n">
        <f aca="false">IF(OR(F83&gt;J83,F83&lt;K83),1,0)</f>
        <v>1</v>
      </c>
      <c r="O83" s="54" t="n">
        <f aca="false">IF(G83&gt;M83,1,0)</f>
        <v>0</v>
      </c>
      <c r="P83" s="54" t="n">
        <f aca="false">SIGN(F83-I83)</f>
        <v>-1</v>
      </c>
      <c r="Q83" s="54" t="n">
        <f aca="false">IF(ABS(SUM(P76:P83))=8,1,0)</f>
        <v>0</v>
      </c>
    </row>
    <row r="84" customFormat="false" ht="15" hidden="false" customHeight="false" outlineLevel="0" collapsed="false">
      <c r="A84" s="52" t="n">
        <v>43936</v>
      </c>
      <c r="B84" s="53" t="n">
        <v>0</v>
      </c>
      <c r="C84" s="53" t="n">
        <v>0.741190802864105</v>
      </c>
      <c r="D84" s="53" t="n">
        <v>0.897169927690873</v>
      </c>
      <c r="E84" s="54" t="s">
        <v>945</v>
      </c>
      <c r="F84" s="53" t="n">
        <f aca="false">AVERAGE(B84:D84)</f>
        <v>0.546120243518326</v>
      </c>
      <c r="G84" s="53" t="n">
        <f aca="false">MAX(B84:D84)-MIN(B84:D84)</f>
        <v>0.897169927690873</v>
      </c>
      <c r="H84" s="54" t="n">
        <f aca="false">IF(AND(E84="Phase I",OR(F84&gt;$E$6,F84&lt;$E$7,G84&gt;$E$8)),1,0)</f>
        <v>1</v>
      </c>
      <c r="I84" s="53" t="n">
        <f aca="false">$H$4</f>
        <v>0.67278149898986</v>
      </c>
      <c r="J84" s="53" t="n">
        <f aca="false">$H$6</f>
        <v>0.959137233677579</v>
      </c>
      <c r="K84" s="53" t="n">
        <f aca="false">$H$7</f>
        <v>0.386425764302142</v>
      </c>
      <c r="L84" s="53" t="n">
        <f aca="false">$H$5</f>
        <v>0.279917629215756</v>
      </c>
      <c r="M84" s="53" t="n">
        <f aca="false">$H$8</f>
        <v>0.720507977601356</v>
      </c>
      <c r="N84" s="54" t="n">
        <f aca="false">IF(OR(F84&gt;J84,F84&lt;K84),1,0)</f>
        <v>0</v>
      </c>
      <c r="O84" s="54" t="n">
        <f aca="false">IF(G84&gt;M84,1,0)</f>
        <v>1</v>
      </c>
      <c r="P84" s="54" t="n">
        <f aca="false">SIGN(F84-I84)</f>
        <v>-1</v>
      </c>
      <c r="Q84" s="54" t="n">
        <f aca="false">IF(ABS(SUM(P77:P84))=8,1,0)</f>
        <v>0</v>
      </c>
    </row>
    <row r="85" customFormat="false" ht="15" hidden="false" customHeight="false" outlineLevel="0" collapsed="false">
      <c r="A85" s="52" t="n">
        <v>43937</v>
      </c>
      <c r="B85" s="53" t="n">
        <v>0.706800786889325</v>
      </c>
      <c r="C85" s="53" t="n">
        <v>0.485541354097993</v>
      </c>
      <c r="D85" s="53" t="n">
        <v>0.826618787356673</v>
      </c>
      <c r="E85" s="54" t="s">
        <v>945</v>
      </c>
      <c r="F85" s="53" t="n">
        <f aca="false">AVERAGE(B85:D85)</f>
        <v>0.672986976114664</v>
      </c>
      <c r="G85" s="53" t="n">
        <f aca="false">MAX(B85:D85)-MIN(B85:D85)</f>
        <v>0.34107743325868</v>
      </c>
      <c r="H85" s="54" t="n">
        <f aca="false">IF(AND(E85="Phase I",OR(F85&gt;$E$6,F85&lt;$E$7,G85&gt;$E$8)),1,0)</f>
        <v>0</v>
      </c>
      <c r="I85" s="53" t="n">
        <f aca="false">$H$4</f>
        <v>0.67278149898986</v>
      </c>
      <c r="J85" s="53" t="n">
        <f aca="false">$H$6</f>
        <v>0.959137233677579</v>
      </c>
      <c r="K85" s="53" t="n">
        <f aca="false">$H$7</f>
        <v>0.386425764302142</v>
      </c>
      <c r="L85" s="53" t="n">
        <f aca="false">$H$5</f>
        <v>0.279917629215756</v>
      </c>
      <c r="M85" s="53" t="n">
        <f aca="false">$H$8</f>
        <v>0.720507977601356</v>
      </c>
      <c r="N85" s="54" t="n">
        <f aca="false">IF(OR(F85&gt;J85,F85&lt;K85),1,0)</f>
        <v>0</v>
      </c>
      <c r="O85" s="54" t="n">
        <f aca="false">IF(G85&gt;M85,1,0)</f>
        <v>0</v>
      </c>
      <c r="P85" s="54" t="n">
        <f aca="false">SIGN(F85-I85)</f>
        <v>1</v>
      </c>
      <c r="Q85" s="54" t="n">
        <f aca="false">IF(ABS(SUM(P78:P85))=8,1,0)</f>
        <v>0</v>
      </c>
    </row>
    <row r="86" customFormat="false" ht="15" hidden="false" customHeight="false" outlineLevel="0" collapsed="false">
      <c r="A86" s="52" t="n">
        <v>43938</v>
      </c>
      <c r="B86" s="53" t="n">
        <v>0.860492172912897</v>
      </c>
      <c r="C86" s="53" t="n">
        <v>0.902931539811455</v>
      </c>
      <c r="D86" s="53" t="n">
        <v>0.776856755229583</v>
      </c>
      <c r="E86" s="54" t="s">
        <v>945</v>
      </c>
      <c r="F86" s="53" t="n">
        <f aca="false">AVERAGE(B86:D86)</f>
        <v>0.846760155984645</v>
      </c>
      <c r="G86" s="53" t="n">
        <f aca="false">MAX(B86:D86)-MIN(B86:D86)</f>
        <v>0.126074784581872</v>
      </c>
      <c r="H86" s="54" t="n">
        <f aca="false">IF(AND(E86="Phase I",OR(F86&gt;$E$6,F86&lt;$E$7,G86&gt;$E$8)),1,0)</f>
        <v>0</v>
      </c>
      <c r="I86" s="53" t="n">
        <f aca="false">$H$4</f>
        <v>0.67278149898986</v>
      </c>
      <c r="J86" s="53" t="n">
        <f aca="false">$H$6</f>
        <v>0.959137233677579</v>
      </c>
      <c r="K86" s="53" t="n">
        <f aca="false">$H$7</f>
        <v>0.386425764302142</v>
      </c>
      <c r="L86" s="53" t="n">
        <f aca="false">$H$5</f>
        <v>0.279917629215756</v>
      </c>
      <c r="M86" s="53" t="n">
        <f aca="false">$H$8</f>
        <v>0.720507977601356</v>
      </c>
      <c r="N86" s="54" t="n">
        <f aca="false">IF(OR(F86&gt;J86,F86&lt;K86),1,0)</f>
        <v>0</v>
      </c>
      <c r="O86" s="54" t="n">
        <f aca="false">IF(G86&gt;M86,1,0)</f>
        <v>0</v>
      </c>
      <c r="P86" s="54" t="n">
        <f aca="false">SIGN(F86-I86)</f>
        <v>1</v>
      </c>
      <c r="Q86" s="54" t="n">
        <f aca="false">IF(ABS(SUM(P79:P86))=8,1,0)</f>
        <v>0</v>
      </c>
    </row>
    <row r="87" customFormat="false" ht="15" hidden="false" customHeight="false" outlineLevel="0" collapsed="false">
      <c r="A87" s="52" t="n">
        <v>43941</v>
      </c>
      <c r="B87" s="53" t="n">
        <v>0.839043291147051</v>
      </c>
      <c r="C87" s="53" t="n">
        <v>0.76776646583164</v>
      </c>
      <c r="D87" s="53" t="n">
        <v>0.692843139479629</v>
      </c>
      <c r="E87" s="54" t="s">
        <v>945</v>
      </c>
      <c r="F87" s="53" t="n">
        <f aca="false">AVERAGE(B87:D87)</f>
        <v>0.766550965486107</v>
      </c>
      <c r="G87" s="53" t="n">
        <f aca="false">MAX(B87:D87)-MIN(B87:D87)</f>
        <v>0.146200151667422</v>
      </c>
      <c r="H87" s="54" t="n">
        <f aca="false">IF(AND(E87="Phase I",OR(F87&gt;$E$6,F87&lt;$E$7,G87&gt;$E$8)),1,0)</f>
        <v>0</v>
      </c>
      <c r="I87" s="53" t="n">
        <f aca="false">$H$4</f>
        <v>0.67278149898986</v>
      </c>
      <c r="J87" s="53" t="n">
        <f aca="false">$H$6</f>
        <v>0.959137233677579</v>
      </c>
      <c r="K87" s="53" t="n">
        <f aca="false">$H$7</f>
        <v>0.386425764302142</v>
      </c>
      <c r="L87" s="53" t="n">
        <f aca="false">$H$5</f>
        <v>0.279917629215756</v>
      </c>
      <c r="M87" s="53" t="n">
        <f aca="false">$H$8</f>
        <v>0.720507977601356</v>
      </c>
      <c r="N87" s="54" t="n">
        <f aca="false">IF(OR(F87&gt;J87,F87&lt;K87),1,0)</f>
        <v>0</v>
      </c>
      <c r="O87" s="54" t="n">
        <f aca="false">IF(G87&gt;M87,1,0)</f>
        <v>0</v>
      </c>
      <c r="P87" s="54" t="n">
        <f aca="false">SIGN(F87-I87)</f>
        <v>1</v>
      </c>
      <c r="Q87" s="54" t="n">
        <f aca="false">IF(ABS(SUM(P80:P87))=8,1,0)</f>
        <v>0</v>
      </c>
    </row>
    <row r="88" customFormat="false" ht="15" hidden="false" customHeight="false" outlineLevel="0" collapsed="false">
      <c r="A88" s="52" t="n">
        <v>43942</v>
      </c>
      <c r="B88" s="53" t="n">
        <v>0</v>
      </c>
      <c r="C88" s="53" t="n">
        <v>0.832074747110537</v>
      </c>
      <c r="D88" s="53" t="n">
        <v>0.58050332514423</v>
      </c>
      <c r="E88" s="54" t="s">
        <v>945</v>
      </c>
      <c r="F88" s="53" t="n">
        <f aca="false">AVERAGE(B88:D88)</f>
        <v>0.470859357418256</v>
      </c>
      <c r="G88" s="53" t="n">
        <f aca="false">MAX(B88:D88)-MIN(B88:D88)</f>
        <v>0.832074747110537</v>
      </c>
      <c r="H88" s="54" t="n">
        <f aca="false">IF(AND(E88="Phase I",OR(F88&gt;$E$6,F88&lt;$E$7,G88&gt;$E$8)),1,0)</f>
        <v>0</v>
      </c>
      <c r="I88" s="53" t="n">
        <f aca="false">$H$4</f>
        <v>0.67278149898986</v>
      </c>
      <c r="J88" s="53" t="n">
        <f aca="false">$H$6</f>
        <v>0.959137233677579</v>
      </c>
      <c r="K88" s="53" t="n">
        <f aca="false">$H$7</f>
        <v>0.386425764302142</v>
      </c>
      <c r="L88" s="53" t="n">
        <f aca="false">$H$5</f>
        <v>0.279917629215756</v>
      </c>
      <c r="M88" s="53" t="n">
        <f aca="false">$H$8</f>
        <v>0.720507977601356</v>
      </c>
      <c r="N88" s="54" t="n">
        <f aca="false">IF(OR(F88&gt;J88,F88&lt;K88),1,0)</f>
        <v>0</v>
      </c>
      <c r="O88" s="54" t="n">
        <f aca="false">IF(G88&gt;M88,1,0)</f>
        <v>1</v>
      </c>
      <c r="P88" s="54" t="n">
        <f aca="false">SIGN(F88-I88)</f>
        <v>-1</v>
      </c>
      <c r="Q88" s="54" t="n">
        <f aca="false">IF(ABS(SUM(P81:P88))=8,1,0)</f>
        <v>0</v>
      </c>
    </row>
    <row r="89" customFormat="false" ht="15" hidden="false" customHeight="false" outlineLevel="0" collapsed="false">
      <c r="A89" s="52" t="n">
        <v>43943</v>
      </c>
      <c r="B89" s="53" t="n">
        <v>0.006004487225538</v>
      </c>
      <c r="C89" s="53" t="n">
        <v>0.695461881109696</v>
      </c>
      <c r="D89" s="53" t="n">
        <v>0</v>
      </c>
      <c r="E89" s="54" t="s">
        <v>945</v>
      </c>
      <c r="F89" s="53" t="n">
        <f aca="false">AVERAGE(B89:D89)</f>
        <v>0.233822122778411</v>
      </c>
      <c r="G89" s="53" t="n">
        <f aca="false">MAX(B89:D89)-MIN(B89:D89)</f>
        <v>0.695461881109696</v>
      </c>
      <c r="H89" s="54" t="n">
        <f aca="false">IF(AND(E89="Phase I",OR(F89&gt;$E$6,F89&lt;$E$7,G89&gt;$E$8)),1,0)</f>
        <v>1</v>
      </c>
      <c r="I89" s="53" t="n">
        <f aca="false">$H$4</f>
        <v>0.67278149898986</v>
      </c>
      <c r="J89" s="53" t="n">
        <f aca="false">$H$6</f>
        <v>0.959137233677579</v>
      </c>
      <c r="K89" s="53" t="n">
        <f aca="false">$H$7</f>
        <v>0.386425764302142</v>
      </c>
      <c r="L89" s="53" t="n">
        <f aca="false">$H$5</f>
        <v>0.279917629215756</v>
      </c>
      <c r="M89" s="53" t="n">
        <f aca="false">$H$8</f>
        <v>0.720507977601356</v>
      </c>
      <c r="N89" s="54" t="n">
        <f aca="false">IF(OR(F89&gt;J89,F89&lt;K89),1,0)</f>
        <v>1</v>
      </c>
      <c r="O89" s="54" t="n">
        <f aca="false">IF(G89&gt;M89,1,0)</f>
        <v>0</v>
      </c>
      <c r="P89" s="54" t="n">
        <f aca="false">SIGN(F89-I89)</f>
        <v>-1</v>
      </c>
      <c r="Q89" s="54" t="n">
        <f aca="false">IF(ABS(SUM(P82:P89))=8,1,0)</f>
        <v>0</v>
      </c>
    </row>
    <row r="90" customFormat="false" ht="15" hidden="false" customHeight="false" outlineLevel="0" collapsed="false">
      <c r="A90" s="52" t="n">
        <v>43944</v>
      </c>
      <c r="B90" s="53" t="n">
        <v>0</v>
      </c>
      <c r="C90" s="53" t="n">
        <v>0.582313892837447</v>
      </c>
      <c r="D90" s="53" t="n">
        <v>0</v>
      </c>
      <c r="E90" s="54" t="s">
        <v>945</v>
      </c>
      <c r="F90" s="53" t="n">
        <f aca="false">AVERAGE(B90:D90)</f>
        <v>0.194104630945816</v>
      </c>
      <c r="G90" s="53" t="n">
        <f aca="false">MAX(B90:D90)-MIN(B90:D90)</f>
        <v>0.582313892837447</v>
      </c>
      <c r="H90" s="54" t="n">
        <f aca="false">IF(AND(E90="Phase I",OR(F90&gt;$E$6,F90&lt;$E$7,G90&gt;$E$8)),1,0)</f>
        <v>1</v>
      </c>
      <c r="I90" s="53" t="n">
        <f aca="false">$H$4</f>
        <v>0.67278149898986</v>
      </c>
      <c r="J90" s="53" t="n">
        <f aca="false">$H$6</f>
        <v>0.959137233677579</v>
      </c>
      <c r="K90" s="53" t="n">
        <f aca="false">$H$7</f>
        <v>0.386425764302142</v>
      </c>
      <c r="L90" s="53" t="n">
        <f aca="false">$H$5</f>
        <v>0.279917629215756</v>
      </c>
      <c r="M90" s="53" t="n">
        <f aca="false">$H$8</f>
        <v>0.720507977601356</v>
      </c>
      <c r="N90" s="54" t="n">
        <f aca="false">IF(OR(F90&gt;J90,F90&lt;K90),1,0)</f>
        <v>1</v>
      </c>
      <c r="O90" s="54" t="n">
        <f aca="false">IF(G90&gt;M90,1,0)</f>
        <v>0</v>
      </c>
      <c r="P90" s="54" t="n">
        <f aca="false">SIGN(F90-I90)</f>
        <v>-1</v>
      </c>
      <c r="Q90" s="54" t="n">
        <f aca="false">IF(ABS(SUM(P83:P90))=8,1,0)</f>
        <v>0</v>
      </c>
    </row>
    <row r="91" customFormat="false" ht="15" hidden="false" customHeight="false" outlineLevel="0" collapsed="false">
      <c r="A91" s="52" t="n">
        <v>43945</v>
      </c>
      <c r="B91" s="53" t="n">
        <v>0</v>
      </c>
      <c r="C91" s="53" t="n">
        <v>0</v>
      </c>
      <c r="D91" s="53" t="n">
        <v>0</v>
      </c>
      <c r="E91" s="54" t="s">
        <v>945</v>
      </c>
      <c r="F91" s="53" t="n">
        <f aca="false">AVERAGE(B91:D91)</f>
        <v>0</v>
      </c>
      <c r="G91" s="53" t="n">
        <f aca="false">MAX(B91:D91)-MIN(B91:D91)</f>
        <v>0</v>
      </c>
      <c r="H91" s="54" t="n">
        <f aca="false">IF(AND(E91="Phase I",OR(F91&gt;$E$6,F91&lt;$E$7,G91&gt;$E$8)),1,0)</f>
        <v>1</v>
      </c>
      <c r="I91" s="53" t="n">
        <f aca="false">$H$4</f>
        <v>0.67278149898986</v>
      </c>
      <c r="J91" s="53" t="n">
        <f aca="false">$H$6</f>
        <v>0.959137233677579</v>
      </c>
      <c r="K91" s="53" t="n">
        <f aca="false">$H$7</f>
        <v>0.386425764302142</v>
      </c>
      <c r="L91" s="53" t="n">
        <f aca="false">$H$5</f>
        <v>0.279917629215756</v>
      </c>
      <c r="M91" s="53" t="n">
        <f aca="false">$H$8</f>
        <v>0.720507977601356</v>
      </c>
      <c r="N91" s="54" t="n">
        <f aca="false">IF(OR(F91&gt;J91,F91&lt;K91),1,0)</f>
        <v>1</v>
      </c>
      <c r="O91" s="54" t="n">
        <f aca="false">IF(G91&gt;M91,1,0)</f>
        <v>0</v>
      </c>
      <c r="P91" s="54" t="n">
        <f aca="false">SIGN(F91-I91)</f>
        <v>-1</v>
      </c>
      <c r="Q91" s="54" t="n">
        <f aca="false">IF(ABS(SUM(P84:P91))=8,1,0)</f>
        <v>0</v>
      </c>
    </row>
    <row r="92" customFormat="false" ht="15" hidden="false" customHeight="false" outlineLevel="0" collapsed="false">
      <c r="A92" s="52" t="n">
        <v>43948</v>
      </c>
      <c r="B92" s="53" t="n">
        <v>0.900607540780552</v>
      </c>
      <c r="C92" s="53" t="n">
        <v>0.665910149566096</v>
      </c>
      <c r="D92" s="53" t="n">
        <v>0.471738366666259</v>
      </c>
      <c r="E92" s="54" t="s">
        <v>945</v>
      </c>
      <c r="F92" s="53" t="n">
        <f aca="false">AVERAGE(B92:D92)</f>
        <v>0.679418685670969</v>
      </c>
      <c r="G92" s="53" t="n">
        <f aca="false">MAX(B92:D92)-MIN(B92:D92)</f>
        <v>0.428869174114293</v>
      </c>
      <c r="H92" s="54" t="n">
        <f aca="false">IF(AND(E92="Phase I",OR(F92&gt;$E$6,F92&lt;$E$7,G92&gt;$E$8)),1,0)</f>
        <v>0</v>
      </c>
      <c r="I92" s="53" t="n">
        <f aca="false">$H$4</f>
        <v>0.67278149898986</v>
      </c>
      <c r="J92" s="53" t="n">
        <f aca="false">$H$6</f>
        <v>0.959137233677579</v>
      </c>
      <c r="K92" s="53" t="n">
        <f aca="false">$H$7</f>
        <v>0.386425764302142</v>
      </c>
      <c r="L92" s="53" t="n">
        <f aca="false">$H$5</f>
        <v>0.279917629215756</v>
      </c>
      <c r="M92" s="53" t="n">
        <f aca="false">$H$8</f>
        <v>0.720507977601356</v>
      </c>
      <c r="N92" s="54" t="n">
        <f aca="false">IF(OR(F92&gt;J92,F92&lt;K92),1,0)</f>
        <v>0</v>
      </c>
      <c r="O92" s="54" t="n">
        <f aca="false">IF(G92&gt;M92,1,0)</f>
        <v>0</v>
      </c>
      <c r="P92" s="54" t="n">
        <f aca="false">SIGN(F92-I92)</f>
        <v>1</v>
      </c>
      <c r="Q92" s="54" t="n">
        <f aca="false">IF(ABS(SUM(P85:P92))=8,1,0)</f>
        <v>0</v>
      </c>
    </row>
    <row r="93" customFormat="false" ht="15" hidden="false" customHeight="false" outlineLevel="0" collapsed="false">
      <c r="A93" s="52" t="n">
        <v>43949</v>
      </c>
      <c r="B93" s="53" t="n">
        <v>0.604286579166887</v>
      </c>
      <c r="C93" s="53" t="n">
        <v>0.548727886601283</v>
      </c>
      <c r="D93" s="53" t="n">
        <v>0</v>
      </c>
      <c r="E93" s="54" t="s">
        <v>945</v>
      </c>
      <c r="F93" s="53" t="n">
        <f aca="false">AVERAGE(B93:D93)</f>
        <v>0.384338155256057</v>
      </c>
      <c r="G93" s="53" t="n">
        <f aca="false">MAX(B93:D93)-MIN(B93:D93)</f>
        <v>0.604286579166887</v>
      </c>
      <c r="H93" s="54" t="n">
        <f aca="false">IF(AND(E93="Phase I",OR(F93&gt;$E$6,F93&lt;$E$7,G93&gt;$E$8)),1,0)</f>
        <v>0</v>
      </c>
      <c r="I93" s="53" t="n">
        <f aca="false">$H$4</f>
        <v>0.67278149898986</v>
      </c>
      <c r="J93" s="53" t="n">
        <f aca="false">$H$6</f>
        <v>0.959137233677579</v>
      </c>
      <c r="K93" s="53" t="n">
        <f aca="false">$H$7</f>
        <v>0.386425764302142</v>
      </c>
      <c r="L93" s="53" t="n">
        <f aca="false">$H$5</f>
        <v>0.279917629215756</v>
      </c>
      <c r="M93" s="53" t="n">
        <f aca="false">$H$8</f>
        <v>0.720507977601356</v>
      </c>
      <c r="N93" s="54" t="n">
        <f aca="false">IF(OR(F93&gt;J93,F93&lt;K93),1,0)</f>
        <v>1</v>
      </c>
      <c r="O93" s="54" t="n">
        <f aca="false">IF(G93&gt;M93,1,0)</f>
        <v>0</v>
      </c>
      <c r="P93" s="54" t="n">
        <f aca="false">SIGN(F93-I93)</f>
        <v>-1</v>
      </c>
      <c r="Q93" s="54" t="n">
        <f aca="false">IF(ABS(SUM(P86:P93))=8,1,0)</f>
        <v>0</v>
      </c>
    </row>
    <row r="94" customFormat="false" ht="15" hidden="false" customHeight="false" outlineLevel="0" collapsed="false">
      <c r="A94" s="52" t="n">
        <v>43950</v>
      </c>
      <c r="B94" s="53" t="n">
        <v>0</v>
      </c>
      <c r="C94" s="53" t="n">
        <v>0.757735806993801</v>
      </c>
      <c r="D94" s="53" t="n">
        <v>0.880606175126653</v>
      </c>
      <c r="E94" s="54" t="s">
        <v>945</v>
      </c>
      <c r="F94" s="53" t="n">
        <f aca="false">AVERAGE(B94:D94)</f>
        <v>0.546113994040151</v>
      </c>
      <c r="G94" s="53" t="n">
        <f aca="false">MAX(B94:D94)-MIN(B94:D94)</f>
        <v>0.880606175126653</v>
      </c>
      <c r="H94" s="54" t="n">
        <f aca="false">IF(AND(E94="Phase I",OR(F94&gt;$E$6,F94&lt;$E$7,G94&gt;$E$8)),1,0)</f>
        <v>1</v>
      </c>
      <c r="I94" s="53" t="n">
        <f aca="false">$H$4</f>
        <v>0.67278149898986</v>
      </c>
      <c r="J94" s="53" t="n">
        <f aca="false">$H$6</f>
        <v>0.959137233677579</v>
      </c>
      <c r="K94" s="53" t="n">
        <f aca="false">$H$7</f>
        <v>0.386425764302142</v>
      </c>
      <c r="L94" s="53" t="n">
        <f aca="false">$H$5</f>
        <v>0.279917629215756</v>
      </c>
      <c r="M94" s="53" t="n">
        <f aca="false">$H$8</f>
        <v>0.720507977601356</v>
      </c>
      <c r="N94" s="54" t="n">
        <f aca="false">IF(OR(F94&gt;J94,F94&lt;K94),1,0)</f>
        <v>0</v>
      </c>
      <c r="O94" s="54" t="n">
        <f aca="false">IF(G94&gt;M94,1,0)</f>
        <v>1</v>
      </c>
      <c r="P94" s="54" t="n">
        <f aca="false">SIGN(F94-I94)</f>
        <v>-1</v>
      </c>
      <c r="Q94" s="54" t="n">
        <f aca="false">IF(ABS(SUM(P87:P94))=8,1,0)</f>
        <v>0</v>
      </c>
    </row>
    <row r="95" customFormat="false" ht="15" hidden="false" customHeight="false" outlineLevel="0" collapsed="false">
      <c r="A95" s="52" t="n">
        <v>43951</v>
      </c>
      <c r="B95" s="53" t="n">
        <v>0.888390645690602</v>
      </c>
      <c r="C95" s="53" t="n">
        <v>0.755632492473851</v>
      </c>
      <c r="D95" s="53" t="n">
        <v>0</v>
      </c>
      <c r="E95" s="54" t="s">
        <v>945</v>
      </c>
      <c r="F95" s="53" t="n">
        <f aca="false">AVERAGE(B95:D95)</f>
        <v>0.548007712721484</v>
      </c>
      <c r="G95" s="53" t="n">
        <f aca="false">MAX(B95:D95)-MIN(B95:D95)</f>
        <v>0.888390645690602</v>
      </c>
      <c r="H95" s="54" t="n">
        <f aca="false">IF(AND(E95="Phase I",OR(F95&gt;$E$6,F95&lt;$E$7,G95&gt;$E$8)),1,0)</f>
        <v>1</v>
      </c>
      <c r="I95" s="53" t="n">
        <f aca="false">$H$4</f>
        <v>0.67278149898986</v>
      </c>
      <c r="J95" s="53" t="n">
        <f aca="false">$H$6</f>
        <v>0.959137233677579</v>
      </c>
      <c r="K95" s="53" t="n">
        <f aca="false">$H$7</f>
        <v>0.386425764302142</v>
      </c>
      <c r="L95" s="53" t="n">
        <f aca="false">$H$5</f>
        <v>0.279917629215756</v>
      </c>
      <c r="M95" s="53" t="n">
        <f aca="false">$H$8</f>
        <v>0.720507977601356</v>
      </c>
      <c r="N95" s="54" t="n">
        <f aca="false">IF(OR(F95&gt;J95,F95&lt;K95),1,0)</f>
        <v>0</v>
      </c>
      <c r="O95" s="54" t="n">
        <f aca="false">IF(G95&gt;M95,1,0)</f>
        <v>1</v>
      </c>
      <c r="P95" s="54" t="n">
        <f aca="false">SIGN(F95-I95)</f>
        <v>-1</v>
      </c>
      <c r="Q95" s="54" t="n">
        <f aca="false">IF(ABS(SUM(P88:P95))=8,1,0)</f>
        <v>0</v>
      </c>
    </row>
    <row r="96" customFormat="false" ht="15" hidden="false" customHeight="false" outlineLevel="0" collapsed="false">
      <c r="A96" s="52" t="n">
        <v>43952</v>
      </c>
      <c r="B96" s="53" t="n">
        <v>0.729868124377401</v>
      </c>
      <c r="C96" s="53" t="n">
        <v>0.729570988692602</v>
      </c>
      <c r="D96" s="53" t="n">
        <v>0.770849571040834</v>
      </c>
      <c r="E96" s="54" t="s">
        <v>945</v>
      </c>
      <c r="F96" s="53" t="n">
        <f aca="false">AVERAGE(B96:D96)</f>
        <v>0.743429561370279</v>
      </c>
      <c r="G96" s="53" t="n">
        <f aca="false">MAX(B96:D96)-MIN(B96:D96)</f>
        <v>0.0412785823482318</v>
      </c>
      <c r="H96" s="54" t="n">
        <f aca="false">IF(AND(E96="Phase I",OR(F96&gt;$E$6,F96&lt;$E$7,G96&gt;$E$8)),1,0)</f>
        <v>0</v>
      </c>
      <c r="I96" s="53" t="n">
        <f aca="false">$H$4</f>
        <v>0.67278149898986</v>
      </c>
      <c r="J96" s="53" t="n">
        <f aca="false">$H$6</f>
        <v>0.959137233677579</v>
      </c>
      <c r="K96" s="53" t="n">
        <f aca="false">$H$7</f>
        <v>0.386425764302142</v>
      </c>
      <c r="L96" s="53" t="n">
        <f aca="false">$H$5</f>
        <v>0.279917629215756</v>
      </c>
      <c r="M96" s="53" t="n">
        <f aca="false">$H$8</f>
        <v>0.720507977601356</v>
      </c>
      <c r="N96" s="54" t="n">
        <f aca="false">IF(OR(F96&gt;J96,F96&lt;K96),1,0)</f>
        <v>0</v>
      </c>
      <c r="O96" s="54" t="n">
        <f aca="false">IF(G96&gt;M96,1,0)</f>
        <v>0</v>
      </c>
      <c r="P96" s="54" t="n">
        <f aca="false">SIGN(F96-I96)</f>
        <v>1</v>
      </c>
      <c r="Q96" s="54" t="n">
        <f aca="false">IF(ABS(SUM(P89:P96))=8,1,0)</f>
        <v>0</v>
      </c>
    </row>
    <row r="97" customFormat="false" ht="15" hidden="false" customHeight="false" outlineLevel="0" collapsed="false">
      <c r="A97" s="52" t="n">
        <v>43954</v>
      </c>
      <c r="B97" s="53" t="n">
        <v>0</v>
      </c>
      <c r="C97" s="53" t="n">
        <v>0.19248727510488</v>
      </c>
      <c r="D97" s="53" t="n">
        <v>0.595417146121145</v>
      </c>
      <c r="E97" s="54" t="s">
        <v>945</v>
      </c>
      <c r="F97" s="53" t="n">
        <f aca="false">AVERAGE(B97:D97)</f>
        <v>0.262634807075342</v>
      </c>
      <c r="G97" s="53" t="n">
        <f aca="false">MAX(B97:D97)-MIN(B97:D97)</f>
        <v>0.595417146121145</v>
      </c>
      <c r="H97" s="54" t="n">
        <f aca="false">IF(AND(E97="Phase I",OR(F97&gt;$E$6,F97&lt;$E$7,G97&gt;$E$8)),1,0)</f>
        <v>1</v>
      </c>
      <c r="I97" s="53" t="n">
        <f aca="false">$H$4</f>
        <v>0.67278149898986</v>
      </c>
      <c r="J97" s="53" t="n">
        <f aca="false">$H$6</f>
        <v>0.959137233677579</v>
      </c>
      <c r="K97" s="53" t="n">
        <f aca="false">$H$7</f>
        <v>0.386425764302142</v>
      </c>
      <c r="L97" s="53" t="n">
        <f aca="false">$H$5</f>
        <v>0.279917629215756</v>
      </c>
      <c r="M97" s="53" t="n">
        <f aca="false">$H$8</f>
        <v>0.720507977601356</v>
      </c>
      <c r="N97" s="54" t="n">
        <f aca="false">IF(OR(F97&gt;J97,F97&lt;K97),1,0)</f>
        <v>1</v>
      </c>
      <c r="O97" s="54" t="n">
        <f aca="false">IF(G97&gt;M97,1,0)</f>
        <v>0</v>
      </c>
      <c r="P97" s="54" t="n">
        <f aca="false">SIGN(F97-I97)</f>
        <v>-1</v>
      </c>
      <c r="Q97" s="54" t="n">
        <f aca="false">IF(ABS(SUM(P90:P97))=8,1,0)</f>
        <v>0</v>
      </c>
    </row>
    <row r="98" customFormat="false" ht="15" hidden="false" customHeight="false" outlineLevel="0" collapsed="false">
      <c r="A98" s="52" t="n">
        <v>43955</v>
      </c>
      <c r="B98" s="53" t="n">
        <v>0.632107614529431</v>
      </c>
      <c r="C98" s="53" t="n">
        <v>0.724340775784765</v>
      </c>
      <c r="D98" s="53" t="n">
        <v>0.182799547636203</v>
      </c>
      <c r="E98" s="54" t="s">
        <v>945</v>
      </c>
      <c r="F98" s="53" t="n">
        <f aca="false">AVERAGE(B98:D98)</f>
        <v>0.513082645983466</v>
      </c>
      <c r="G98" s="53" t="n">
        <f aca="false">MAX(B98:D98)-MIN(B98:D98)</f>
        <v>0.541541228148563</v>
      </c>
      <c r="H98" s="54" t="n">
        <f aca="false">IF(AND(E98="Phase I",OR(F98&gt;$E$6,F98&lt;$E$7,G98&gt;$E$8)),1,0)</f>
        <v>0</v>
      </c>
      <c r="I98" s="53" t="n">
        <f aca="false">$H$4</f>
        <v>0.67278149898986</v>
      </c>
      <c r="J98" s="53" t="n">
        <f aca="false">$H$6</f>
        <v>0.959137233677579</v>
      </c>
      <c r="K98" s="53" t="n">
        <f aca="false">$H$7</f>
        <v>0.386425764302142</v>
      </c>
      <c r="L98" s="53" t="n">
        <f aca="false">$H$5</f>
        <v>0.279917629215756</v>
      </c>
      <c r="M98" s="53" t="n">
        <f aca="false">$H$8</f>
        <v>0.720507977601356</v>
      </c>
      <c r="N98" s="54" t="n">
        <f aca="false">IF(OR(F98&gt;J98,F98&lt;K98),1,0)</f>
        <v>0</v>
      </c>
      <c r="O98" s="54" t="n">
        <f aca="false">IF(G98&gt;M98,1,0)</f>
        <v>0</v>
      </c>
      <c r="P98" s="54" t="n">
        <f aca="false">SIGN(F98-I98)</f>
        <v>-1</v>
      </c>
      <c r="Q98" s="54" t="n">
        <f aca="false">IF(ABS(SUM(P91:P98))=8,1,0)</f>
        <v>0</v>
      </c>
    </row>
    <row r="99" customFormat="false" ht="15" hidden="false" customHeight="false" outlineLevel="0" collapsed="false">
      <c r="A99" s="52" t="n">
        <v>43956</v>
      </c>
      <c r="B99" s="53" t="n">
        <v>0.481151991304146</v>
      </c>
      <c r="C99" s="53" t="n">
        <v>0.646992982643703</v>
      </c>
      <c r="D99" s="53" t="n">
        <v>0.847852676977631</v>
      </c>
      <c r="E99" s="54" t="s">
        <v>945</v>
      </c>
      <c r="F99" s="53" t="n">
        <f aca="false">AVERAGE(B99:D99)</f>
        <v>0.658665883641827</v>
      </c>
      <c r="G99" s="53" t="n">
        <f aca="false">MAX(B99:D99)-MIN(B99:D99)</f>
        <v>0.366700685673486</v>
      </c>
      <c r="H99" s="54" t="n">
        <f aca="false">IF(AND(E99="Phase I",OR(F99&gt;$E$6,F99&lt;$E$7,G99&gt;$E$8)),1,0)</f>
        <v>0</v>
      </c>
      <c r="I99" s="53" t="n">
        <f aca="false">$H$4</f>
        <v>0.67278149898986</v>
      </c>
      <c r="J99" s="53" t="n">
        <f aca="false">$H$6</f>
        <v>0.959137233677579</v>
      </c>
      <c r="K99" s="53" t="n">
        <f aca="false">$H$7</f>
        <v>0.386425764302142</v>
      </c>
      <c r="L99" s="53" t="n">
        <f aca="false">$H$5</f>
        <v>0.279917629215756</v>
      </c>
      <c r="M99" s="53" t="n">
        <f aca="false">$H$8</f>
        <v>0.720507977601356</v>
      </c>
      <c r="N99" s="54" t="n">
        <f aca="false">IF(OR(F99&gt;J99,F99&lt;K99),1,0)</f>
        <v>0</v>
      </c>
      <c r="O99" s="54" t="n">
        <f aca="false">IF(G99&gt;M99,1,0)</f>
        <v>0</v>
      </c>
      <c r="P99" s="54" t="n">
        <f aca="false">SIGN(F99-I99)</f>
        <v>-1</v>
      </c>
      <c r="Q99" s="54" t="n">
        <f aca="false">IF(ABS(SUM(P92:P99))=8,1,0)</f>
        <v>0</v>
      </c>
    </row>
    <row r="100" customFormat="false" ht="15" hidden="false" customHeight="false" outlineLevel="0" collapsed="false">
      <c r="A100" s="52" t="n">
        <v>43957</v>
      </c>
      <c r="B100" s="53" t="n">
        <v>0.105658183106837</v>
      </c>
      <c r="C100" s="53" t="n">
        <v>0.890495902606466</v>
      </c>
      <c r="D100" s="53" t="n">
        <v>0.740416962143972</v>
      </c>
      <c r="E100" s="54" t="s">
        <v>945</v>
      </c>
      <c r="F100" s="53" t="n">
        <f aca="false">AVERAGE(B100:D100)</f>
        <v>0.578857015952425</v>
      </c>
      <c r="G100" s="53" t="n">
        <f aca="false">MAX(B100:D100)-MIN(B100:D100)</f>
        <v>0.784837719499629</v>
      </c>
      <c r="H100" s="54" t="n">
        <f aca="false">IF(AND(E100="Phase I",OR(F100&gt;$E$6,F100&lt;$E$7,G100&gt;$E$8)),1,0)</f>
        <v>0</v>
      </c>
      <c r="I100" s="53" t="n">
        <f aca="false">$H$4</f>
        <v>0.67278149898986</v>
      </c>
      <c r="J100" s="53" t="n">
        <f aca="false">$H$6</f>
        <v>0.959137233677579</v>
      </c>
      <c r="K100" s="53" t="n">
        <f aca="false">$H$7</f>
        <v>0.386425764302142</v>
      </c>
      <c r="L100" s="53" t="n">
        <f aca="false">$H$5</f>
        <v>0.279917629215756</v>
      </c>
      <c r="M100" s="53" t="n">
        <f aca="false">$H$8</f>
        <v>0.720507977601356</v>
      </c>
      <c r="N100" s="54" t="n">
        <f aca="false">IF(OR(F100&gt;J100,F100&lt;K100),1,0)</f>
        <v>0</v>
      </c>
      <c r="O100" s="54" t="n">
        <f aca="false">IF(G100&gt;M100,1,0)</f>
        <v>1</v>
      </c>
      <c r="P100" s="54" t="n">
        <f aca="false">SIGN(F100-I100)</f>
        <v>-1</v>
      </c>
      <c r="Q100" s="54" t="n">
        <f aca="false">IF(ABS(SUM(P93:P100))=8,1,0)</f>
        <v>0</v>
      </c>
    </row>
    <row r="101" customFormat="false" ht="15" hidden="false" customHeight="false" outlineLevel="0" collapsed="false">
      <c r="A101" s="52" t="n">
        <v>43958</v>
      </c>
      <c r="B101" s="53" t="n">
        <v>0.757442702591182</v>
      </c>
      <c r="C101" s="53" t="n">
        <v>0.760920512287592</v>
      </c>
      <c r="D101" s="53" t="n">
        <v>0</v>
      </c>
      <c r="E101" s="54" t="s">
        <v>945</v>
      </c>
      <c r="F101" s="53" t="n">
        <f aca="false">AVERAGE(B101:D101)</f>
        <v>0.506121071626258</v>
      </c>
      <c r="G101" s="53" t="n">
        <f aca="false">MAX(B101:D101)-MIN(B101:D101)</f>
        <v>0.760920512287592</v>
      </c>
      <c r="H101" s="54" t="n">
        <f aca="false">IF(AND(E101="Phase I",OR(F101&gt;$E$6,F101&lt;$E$7,G101&gt;$E$8)),1,0)</f>
        <v>0</v>
      </c>
      <c r="I101" s="53" t="n">
        <f aca="false">$H$4</f>
        <v>0.67278149898986</v>
      </c>
      <c r="J101" s="53" t="n">
        <f aca="false">$H$6</f>
        <v>0.959137233677579</v>
      </c>
      <c r="K101" s="53" t="n">
        <f aca="false">$H$7</f>
        <v>0.386425764302142</v>
      </c>
      <c r="L101" s="53" t="n">
        <f aca="false">$H$5</f>
        <v>0.279917629215756</v>
      </c>
      <c r="M101" s="53" t="n">
        <f aca="false">$H$8</f>
        <v>0.720507977601356</v>
      </c>
      <c r="N101" s="54" t="n">
        <f aca="false">IF(OR(F101&gt;J101,F101&lt;K101),1,0)</f>
        <v>0</v>
      </c>
      <c r="O101" s="54" t="n">
        <f aca="false">IF(G101&gt;M101,1,0)</f>
        <v>1</v>
      </c>
      <c r="P101" s="54" t="n">
        <f aca="false">SIGN(F101-I101)</f>
        <v>-1</v>
      </c>
      <c r="Q101" s="54" t="n">
        <f aca="false">IF(ABS(SUM(P94:P101))=8,1,0)</f>
        <v>0</v>
      </c>
    </row>
    <row r="102" customFormat="false" ht="15" hidden="false" customHeight="false" outlineLevel="0" collapsed="false">
      <c r="A102" s="52" t="n">
        <v>43959</v>
      </c>
      <c r="B102" s="53" t="n">
        <v>0</v>
      </c>
      <c r="C102" s="53" t="n">
        <v>0.927538805344894</v>
      </c>
      <c r="D102" s="53" t="n">
        <v>0</v>
      </c>
      <c r="E102" s="54" t="s">
        <v>945</v>
      </c>
      <c r="F102" s="53" t="n">
        <f aca="false">AVERAGE(B102:D102)</f>
        <v>0.309179601781631</v>
      </c>
      <c r="G102" s="53" t="n">
        <f aca="false">MAX(B102:D102)-MIN(B102:D102)</f>
        <v>0.927538805344894</v>
      </c>
      <c r="H102" s="54" t="n">
        <f aca="false">IF(AND(E102="Phase I",OR(F102&gt;$E$6,F102&lt;$E$7,G102&gt;$E$8)),1,0)</f>
        <v>1</v>
      </c>
      <c r="I102" s="53" t="n">
        <f aca="false">$H$4</f>
        <v>0.67278149898986</v>
      </c>
      <c r="J102" s="53" t="n">
        <f aca="false">$H$6</f>
        <v>0.959137233677579</v>
      </c>
      <c r="K102" s="53" t="n">
        <f aca="false">$H$7</f>
        <v>0.386425764302142</v>
      </c>
      <c r="L102" s="53" t="n">
        <f aca="false">$H$5</f>
        <v>0.279917629215756</v>
      </c>
      <c r="M102" s="53" t="n">
        <f aca="false">$H$8</f>
        <v>0.720507977601356</v>
      </c>
      <c r="N102" s="54" t="n">
        <f aca="false">IF(OR(F102&gt;J102,F102&lt;K102),1,0)</f>
        <v>1</v>
      </c>
      <c r="O102" s="54" t="n">
        <f aca="false">IF(G102&gt;M102,1,0)</f>
        <v>1</v>
      </c>
      <c r="P102" s="54" t="n">
        <f aca="false">SIGN(F102-I102)</f>
        <v>-1</v>
      </c>
      <c r="Q102" s="54" t="n">
        <f aca="false">IF(ABS(SUM(P95:P102))=8,1,0)</f>
        <v>0</v>
      </c>
    </row>
    <row r="103" customFormat="false" ht="15" hidden="false" customHeight="false" outlineLevel="0" collapsed="false">
      <c r="A103" s="52" t="n">
        <v>43962</v>
      </c>
      <c r="B103" s="53" t="n">
        <v>0.731440231861483</v>
      </c>
      <c r="C103" s="53" t="n">
        <v>0.832102246038545</v>
      </c>
      <c r="D103" s="53" t="n">
        <v>0.862906788844437</v>
      </c>
      <c r="E103" s="54" t="s">
        <v>945</v>
      </c>
      <c r="F103" s="53" t="n">
        <f aca="false">AVERAGE(B103:D103)</f>
        <v>0.808816422248155</v>
      </c>
      <c r="G103" s="53" t="n">
        <f aca="false">MAX(B103:D103)-MIN(B103:D103)</f>
        <v>0.131466556982954</v>
      </c>
      <c r="H103" s="54" t="n">
        <f aca="false">IF(AND(E103="Phase I",OR(F103&gt;$E$6,F103&lt;$E$7,G103&gt;$E$8)),1,0)</f>
        <v>0</v>
      </c>
      <c r="I103" s="53" t="n">
        <f aca="false">$H$4</f>
        <v>0.67278149898986</v>
      </c>
      <c r="J103" s="53" t="n">
        <f aca="false">$H$6</f>
        <v>0.959137233677579</v>
      </c>
      <c r="K103" s="53" t="n">
        <f aca="false">$H$7</f>
        <v>0.386425764302142</v>
      </c>
      <c r="L103" s="53" t="n">
        <f aca="false">$H$5</f>
        <v>0.279917629215756</v>
      </c>
      <c r="M103" s="53" t="n">
        <f aca="false">$H$8</f>
        <v>0.720507977601356</v>
      </c>
      <c r="N103" s="54" t="n">
        <f aca="false">IF(OR(F103&gt;J103,F103&lt;K103),1,0)</f>
        <v>0</v>
      </c>
      <c r="O103" s="54" t="n">
        <f aca="false">IF(G103&gt;M103,1,0)</f>
        <v>0</v>
      </c>
      <c r="P103" s="54" t="n">
        <f aca="false">SIGN(F103-I103)</f>
        <v>1</v>
      </c>
      <c r="Q103" s="54" t="n">
        <f aca="false">IF(ABS(SUM(P96:P103))=8,1,0)</f>
        <v>0</v>
      </c>
    </row>
    <row r="104" customFormat="false" ht="15" hidden="false" customHeight="false" outlineLevel="0" collapsed="false">
      <c r="A104" s="52" t="n">
        <v>43963</v>
      </c>
      <c r="B104" s="53" t="n">
        <v>0.77034578665174</v>
      </c>
      <c r="C104" s="53" t="n">
        <v>0.920748578493137</v>
      </c>
      <c r="D104" s="53" t="n">
        <v>0.903662430539832</v>
      </c>
      <c r="E104" s="54" t="s">
        <v>945</v>
      </c>
      <c r="F104" s="53" t="n">
        <f aca="false">AVERAGE(B104:D104)</f>
        <v>0.864918931894903</v>
      </c>
      <c r="G104" s="53" t="n">
        <f aca="false">MAX(B104:D104)-MIN(B104:D104)</f>
        <v>0.150402791841397</v>
      </c>
      <c r="H104" s="54" t="n">
        <f aca="false">IF(AND(E104="Phase I",OR(F104&gt;$E$6,F104&lt;$E$7,G104&gt;$E$8)),1,0)</f>
        <v>0</v>
      </c>
      <c r="I104" s="53" t="n">
        <f aca="false">$H$4</f>
        <v>0.67278149898986</v>
      </c>
      <c r="J104" s="53" t="n">
        <f aca="false">$H$6</f>
        <v>0.959137233677579</v>
      </c>
      <c r="K104" s="53" t="n">
        <f aca="false">$H$7</f>
        <v>0.386425764302142</v>
      </c>
      <c r="L104" s="53" t="n">
        <f aca="false">$H$5</f>
        <v>0.279917629215756</v>
      </c>
      <c r="M104" s="53" t="n">
        <f aca="false">$H$8</f>
        <v>0.720507977601356</v>
      </c>
      <c r="N104" s="54" t="n">
        <f aca="false">IF(OR(F104&gt;J104,F104&lt;K104),1,0)</f>
        <v>0</v>
      </c>
      <c r="O104" s="54" t="n">
        <f aca="false">IF(G104&gt;M104,1,0)</f>
        <v>0</v>
      </c>
      <c r="P104" s="54" t="n">
        <f aca="false">SIGN(F104-I104)</f>
        <v>1</v>
      </c>
      <c r="Q104" s="54" t="n">
        <f aca="false">IF(ABS(SUM(P97:P104))=8,1,0)</f>
        <v>0</v>
      </c>
    </row>
    <row r="105" customFormat="false" ht="15" hidden="false" customHeight="false" outlineLevel="0" collapsed="false">
      <c r="A105" s="52" t="n">
        <v>43964</v>
      </c>
      <c r="B105" s="53" t="n">
        <v>0.634807876901845</v>
      </c>
      <c r="C105" s="53" t="n">
        <v>0.591841716707557</v>
      </c>
      <c r="D105" s="53" t="n">
        <v>0.887596123320851</v>
      </c>
      <c r="E105" s="54" t="s">
        <v>945</v>
      </c>
      <c r="F105" s="53" t="n">
        <f aca="false">AVERAGE(B105:D105)</f>
        <v>0.704748572310085</v>
      </c>
      <c r="G105" s="53" t="n">
        <f aca="false">MAX(B105:D105)-MIN(B105:D105)</f>
        <v>0.295754406613294</v>
      </c>
      <c r="H105" s="54" t="n">
        <f aca="false">IF(AND(E105="Phase I",OR(F105&gt;$E$6,F105&lt;$E$7,G105&gt;$E$8)),1,0)</f>
        <v>0</v>
      </c>
      <c r="I105" s="53" t="n">
        <f aca="false">$H$4</f>
        <v>0.67278149898986</v>
      </c>
      <c r="J105" s="53" t="n">
        <f aca="false">$H$6</f>
        <v>0.959137233677579</v>
      </c>
      <c r="K105" s="53" t="n">
        <f aca="false">$H$7</f>
        <v>0.386425764302142</v>
      </c>
      <c r="L105" s="53" t="n">
        <f aca="false">$H$5</f>
        <v>0.279917629215756</v>
      </c>
      <c r="M105" s="53" t="n">
        <f aca="false">$H$8</f>
        <v>0.720507977601356</v>
      </c>
      <c r="N105" s="54" t="n">
        <f aca="false">IF(OR(F105&gt;J105,F105&lt;K105),1,0)</f>
        <v>0</v>
      </c>
      <c r="O105" s="54" t="n">
        <f aca="false">IF(G105&gt;M105,1,0)</f>
        <v>0</v>
      </c>
      <c r="P105" s="54" t="n">
        <f aca="false">SIGN(F105-I105)</f>
        <v>1</v>
      </c>
      <c r="Q105" s="54" t="n">
        <f aca="false">IF(ABS(SUM(P98:P105))=8,1,0)</f>
        <v>0</v>
      </c>
    </row>
    <row r="106" customFormat="false" ht="15" hidden="false" customHeight="false" outlineLevel="0" collapsed="false">
      <c r="A106" s="52" t="n">
        <v>43965</v>
      </c>
      <c r="B106" s="53" t="n">
        <v>0</v>
      </c>
      <c r="C106" s="53" t="n">
        <v>0</v>
      </c>
      <c r="D106" s="53" t="n">
        <v>0</v>
      </c>
      <c r="E106" s="54" t="s">
        <v>945</v>
      </c>
      <c r="F106" s="53" t="n">
        <f aca="false">AVERAGE(B106:D106)</f>
        <v>0</v>
      </c>
      <c r="G106" s="53" t="n">
        <f aca="false">MAX(B106:D106)-MIN(B106:D106)</f>
        <v>0</v>
      </c>
      <c r="H106" s="54" t="n">
        <f aca="false">IF(AND(E106="Phase I",OR(F106&gt;$E$6,F106&lt;$E$7,G106&gt;$E$8)),1,0)</f>
        <v>1</v>
      </c>
      <c r="I106" s="53" t="n">
        <f aca="false">$H$4</f>
        <v>0.67278149898986</v>
      </c>
      <c r="J106" s="53" t="n">
        <f aca="false">$H$6</f>
        <v>0.959137233677579</v>
      </c>
      <c r="K106" s="53" t="n">
        <f aca="false">$H$7</f>
        <v>0.386425764302142</v>
      </c>
      <c r="L106" s="53" t="n">
        <f aca="false">$H$5</f>
        <v>0.279917629215756</v>
      </c>
      <c r="M106" s="53" t="n">
        <f aca="false">$H$8</f>
        <v>0.720507977601356</v>
      </c>
      <c r="N106" s="54" t="n">
        <f aca="false">IF(OR(F106&gt;J106,F106&lt;K106),1,0)</f>
        <v>1</v>
      </c>
      <c r="O106" s="54" t="n">
        <f aca="false">IF(G106&gt;M106,1,0)</f>
        <v>0</v>
      </c>
      <c r="P106" s="54" t="n">
        <f aca="false">SIGN(F106-I106)</f>
        <v>-1</v>
      </c>
      <c r="Q106" s="54" t="n">
        <f aca="false">IF(ABS(SUM(P99:P106))=8,1,0)</f>
        <v>0</v>
      </c>
    </row>
    <row r="107" customFormat="false" ht="15" hidden="false" customHeight="false" outlineLevel="0" collapsed="false">
      <c r="A107" s="52" t="n">
        <v>43966</v>
      </c>
      <c r="B107" s="53" t="n">
        <v>0.845832860243149</v>
      </c>
      <c r="C107" s="53" t="n">
        <v>0.754434528250454</v>
      </c>
      <c r="D107" s="53" t="n">
        <v>0.541429339043949</v>
      </c>
      <c r="E107" s="54" t="s">
        <v>945</v>
      </c>
      <c r="F107" s="53" t="n">
        <f aca="false">AVERAGE(B107:D107)</f>
        <v>0.713898909179184</v>
      </c>
      <c r="G107" s="53" t="n">
        <f aca="false">MAX(B107:D107)-MIN(B107:D107)</f>
        <v>0.3044035211992</v>
      </c>
      <c r="H107" s="54" t="n">
        <f aca="false">IF(AND(E107="Phase I",OR(F107&gt;$E$6,F107&lt;$E$7,G107&gt;$E$8)),1,0)</f>
        <v>0</v>
      </c>
      <c r="I107" s="53" t="n">
        <f aca="false">$H$4</f>
        <v>0.67278149898986</v>
      </c>
      <c r="J107" s="53" t="n">
        <f aca="false">$H$6</f>
        <v>0.959137233677579</v>
      </c>
      <c r="K107" s="53" t="n">
        <f aca="false">$H$7</f>
        <v>0.386425764302142</v>
      </c>
      <c r="L107" s="53" t="n">
        <f aca="false">$H$5</f>
        <v>0.279917629215756</v>
      </c>
      <c r="M107" s="53" t="n">
        <f aca="false">$H$8</f>
        <v>0.720507977601356</v>
      </c>
      <c r="N107" s="54" t="n">
        <f aca="false">IF(OR(F107&gt;J107,F107&lt;K107),1,0)</f>
        <v>0</v>
      </c>
      <c r="O107" s="54" t="n">
        <f aca="false">IF(G107&gt;M107,1,0)</f>
        <v>0</v>
      </c>
      <c r="P107" s="54" t="n">
        <f aca="false">SIGN(F107-I107)</f>
        <v>1</v>
      </c>
      <c r="Q107" s="54" t="n">
        <f aca="false">IF(ABS(SUM(P100:P107))=8,1,0)</f>
        <v>0</v>
      </c>
    </row>
    <row r="108" customFormat="false" ht="15" hidden="false" customHeight="false" outlineLevel="0" collapsed="false">
      <c r="A108" s="52" t="n">
        <v>43969</v>
      </c>
      <c r="B108" s="53" t="n">
        <v>0.803760178420648</v>
      </c>
      <c r="C108" s="53" t="n">
        <v>0.781322134717045</v>
      </c>
      <c r="D108" s="53" t="n">
        <v>0.685832331385137</v>
      </c>
      <c r="E108" s="54" t="s">
        <v>945</v>
      </c>
      <c r="F108" s="53" t="n">
        <f aca="false">AVERAGE(B108:D108)</f>
        <v>0.756971548174277</v>
      </c>
      <c r="G108" s="53" t="n">
        <f aca="false">MAX(B108:D108)-MIN(B108:D108)</f>
        <v>0.117927847035511</v>
      </c>
      <c r="H108" s="54" t="n">
        <f aca="false">IF(AND(E108="Phase I",OR(F108&gt;$E$6,F108&lt;$E$7,G108&gt;$E$8)),1,0)</f>
        <v>0</v>
      </c>
      <c r="I108" s="53" t="n">
        <f aca="false">$H$4</f>
        <v>0.67278149898986</v>
      </c>
      <c r="J108" s="53" t="n">
        <f aca="false">$H$6</f>
        <v>0.959137233677579</v>
      </c>
      <c r="K108" s="53" t="n">
        <f aca="false">$H$7</f>
        <v>0.386425764302142</v>
      </c>
      <c r="L108" s="53" t="n">
        <f aca="false">$H$5</f>
        <v>0.279917629215756</v>
      </c>
      <c r="M108" s="53" t="n">
        <f aca="false">$H$8</f>
        <v>0.720507977601356</v>
      </c>
      <c r="N108" s="54" t="n">
        <f aca="false">IF(OR(F108&gt;J108,F108&lt;K108),1,0)</f>
        <v>0</v>
      </c>
      <c r="O108" s="54" t="n">
        <f aca="false">IF(G108&gt;M108,1,0)</f>
        <v>0</v>
      </c>
      <c r="P108" s="54" t="n">
        <f aca="false">SIGN(F108-I108)</f>
        <v>1</v>
      </c>
      <c r="Q108" s="54" t="n">
        <f aca="false">IF(ABS(SUM(P101:P108))=8,1,0)</f>
        <v>0</v>
      </c>
    </row>
    <row r="109" customFormat="false" ht="15" hidden="false" customHeight="false" outlineLevel="0" collapsed="false">
      <c r="A109" s="52" t="n">
        <v>43970</v>
      </c>
      <c r="B109" s="53" t="n">
        <v>0.811874350615951</v>
      </c>
      <c r="C109" s="53" t="n">
        <v>0.70760783451051</v>
      </c>
      <c r="D109" s="53" t="n">
        <v>0.664589769870799</v>
      </c>
      <c r="E109" s="54" t="s">
        <v>945</v>
      </c>
      <c r="F109" s="53" t="n">
        <f aca="false">AVERAGE(B109:D109)</f>
        <v>0.728023984999087</v>
      </c>
      <c r="G109" s="53" t="n">
        <f aca="false">MAX(B109:D109)-MIN(B109:D109)</f>
        <v>0.147284580745152</v>
      </c>
      <c r="H109" s="54" t="n">
        <f aca="false">IF(AND(E109="Phase I",OR(F109&gt;$E$6,F109&lt;$E$7,G109&gt;$E$8)),1,0)</f>
        <v>0</v>
      </c>
      <c r="I109" s="53" t="n">
        <f aca="false">$H$4</f>
        <v>0.67278149898986</v>
      </c>
      <c r="J109" s="53" t="n">
        <f aca="false">$H$6</f>
        <v>0.959137233677579</v>
      </c>
      <c r="K109" s="53" t="n">
        <f aca="false">$H$7</f>
        <v>0.386425764302142</v>
      </c>
      <c r="L109" s="53" t="n">
        <f aca="false">$H$5</f>
        <v>0.279917629215756</v>
      </c>
      <c r="M109" s="53" t="n">
        <f aca="false">$H$8</f>
        <v>0.720507977601356</v>
      </c>
      <c r="N109" s="54" t="n">
        <f aca="false">IF(OR(F109&gt;J109,F109&lt;K109),1,0)</f>
        <v>0</v>
      </c>
      <c r="O109" s="54" t="n">
        <f aca="false">IF(G109&gt;M109,1,0)</f>
        <v>0</v>
      </c>
      <c r="P109" s="54" t="n">
        <f aca="false">SIGN(F109-I109)</f>
        <v>1</v>
      </c>
      <c r="Q109" s="54" t="n">
        <f aca="false">IF(ABS(SUM(P102:P109))=8,1,0)</f>
        <v>0</v>
      </c>
    </row>
    <row r="110" customFormat="false" ht="15" hidden="false" customHeight="false" outlineLevel="0" collapsed="false">
      <c r="A110" s="52" t="n">
        <v>43971</v>
      </c>
      <c r="B110" s="53" t="n">
        <v>0</v>
      </c>
      <c r="C110" s="53" t="n">
        <v>0</v>
      </c>
      <c r="D110" s="53" t="n">
        <v>0</v>
      </c>
      <c r="E110" s="54" t="s">
        <v>945</v>
      </c>
      <c r="F110" s="53" t="n">
        <f aca="false">AVERAGE(B110:D110)</f>
        <v>0</v>
      </c>
      <c r="G110" s="53" t="n">
        <f aca="false">MAX(B110:D110)-MIN(B110:D110)</f>
        <v>0</v>
      </c>
      <c r="H110" s="54" t="n">
        <f aca="false">IF(AND(E110="Phase I",OR(F110&gt;$E$6,F110&lt;$E$7,G110&gt;$E$8)),1,0)</f>
        <v>1</v>
      </c>
      <c r="I110" s="53" t="n">
        <f aca="false">$H$4</f>
        <v>0.67278149898986</v>
      </c>
      <c r="J110" s="53" t="n">
        <f aca="false">$H$6</f>
        <v>0.959137233677579</v>
      </c>
      <c r="K110" s="53" t="n">
        <f aca="false">$H$7</f>
        <v>0.386425764302142</v>
      </c>
      <c r="L110" s="53" t="n">
        <f aca="false">$H$5</f>
        <v>0.279917629215756</v>
      </c>
      <c r="M110" s="53" t="n">
        <f aca="false">$H$8</f>
        <v>0.720507977601356</v>
      </c>
      <c r="N110" s="54" t="n">
        <f aca="false">IF(OR(F110&gt;J110,F110&lt;K110),1,0)</f>
        <v>1</v>
      </c>
      <c r="O110" s="54" t="n">
        <f aca="false">IF(G110&gt;M110,1,0)</f>
        <v>0</v>
      </c>
      <c r="P110" s="54" t="n">
        <f aca="false">SIGN(F110-I110)</f>
        <v>-1</v>
      </c>
      <c r="Q110" s="54" t="n">
        <f aca="false">IF(ABS(SUM(P103:P110))=8,1,0)</f>
        <v>0</v>
      </c>
    </row>
    <row r="111" customFormat="false" ht="15" hidden="false" customHeight="false" outlineLevel="0" collapsed="false">
      <c r="A111" s="52" t="n">
        <v>43972</v>
      </c>
      <c r="B111" s="53" t="n">
        <v>0</v>
      </c>
      <c r="C111" s="53" t="n">
        <v>0</v>
      </c>
      <c r="D111" s="53" t="n">
        <v>0.706896439068986</v>
      </c>
      <c r="E111" s="54" t="s">
        <v>945</v>
      </c>
      <c r="F111" s="53" t="n">
        <f aca="false">AVERAGE(B111:D111)</f>
        <v>0.235632146356329</v>
      </c>
      <c r="G111" s="53" t="n">
        <f aca="false">MAX(B111:D111)-MIN(B111:D111)</f>
        <v>0.706896439068986</v>
      </c>
      <c r="H111" s="54" t="n">
        <f aca="false">IF(AND(E111="Phase I",OR(F111&gt;$E$6,F111&lt;$E$7,G111&gt;$E$8)),1,0)</f>
        <v>1</v>
      </c>
      <c r="I111" s="53" t="n">
        <f aca="false">$H$4</f>
        <v>0.67278149898986</v>
      </c>
      <c r="J111" s="53" t="n">
        <f aca="false">$H$6</f>
        <v>0.959137233677579</v>
      </c>
      <c r="K111" s="53" t="n">
        <f aca="false">$H$7</f>
        <v>0.386425764302142</v>
      </c>
      <c r="L111" s="53" t="n">
        <f aca="false">$H$5</f>
        <v>0.279917629215756</v>
      </c>
      <c r="M111" s="53" t="n">
        <f aca="false">$H$8</f>
        <v>0.720507977601356</v>
      </c>
      <c r="N111" s="54" t="n">
        <f aca="false">IF(OR(F111&gt;J111,F111&lt;K111),1,0)</f>
        <v>1</v>
      </c>
      <c r="O111" s="54" t="n">
        <f aca="false">IF(G111&gt;M111,1,0)</f>
        <v>0</v>
      </c>
      <c r="P111" s="54" t="n">
        <f aca="false">SIGN(F111-I111)</f>
        <v>-1</v>
      </c>
      <c r="Q111" s="54" t="n">
        <f aca="false">IF(ABS(SUM(P104:P111))=8,1,0)</f>
        <v>0</v>
      </c>
    </row>
    <row r="112" customFormat="false" ht="15" hidden="false" customHeight="false" outlineLevel="0" collapsed="false">
      <c r="A112" s="52" t="n">
        <v>43973</v>
      </c>
      <c r="B112" s="53" t="n">
        <v>0.594977909726174</v>
      </c>
      <c r="C112" s="53" t="n">
        <v>0.689428511370685</v>
      </c>
      <c r="D112" s="53" t="n">
        <v>0.744702382944308</v>
      </c>
      <c r="E112" s="54" t="s">
        <v>945</v>
      </c>
      <c r="F112" s="53" t="n">
        <f aca="false">AVERAGE(B112:D112)</f>
        <v>0.676369601347056</v>
      </c>
      <c r="G112" s="53" t="n">
        <f aca="false">MAX(B112:D112)-MIN(B112:D112)</f>
        <v>0.149724473218133</v>
      </c>
      <c r="H112" s="54" t="n">
        <f aca="false">IF(AND(E112="Phase I",OR(F112&gt;$E$6,F112&lt;$E$7,G112&gt;$E$8)),1,0)</f>
        <v>0</v>
      </c>
      <c r="I112" s="53" t="n">
        <f aca="false">$H$4</f>
        <v>0.67278149898986</v>
      </c>
      <c r="J112" s="53" t="n">
        <f aca="false">$H$6</f>
        <v>0.959137233677579</v>
      </c>
      <c r="K112" s="53" t="n">
        <f aca="false">$H$7</f>
        <v>0.386425764302142</v>
      </c>
      <c r="L112" s="53" t="n">
        <f aca="false">$H$5</f>
        <v>0.279917629215756</v>
      </c>
      <c r="M112" s="53" t="n">
        <f aca="false">$H$8</f>
        <v>0.720507977601356</v>
      </c>
      <c r="N112" s="54" t="n">
        <f aca="false">IF(OR(F112&gt;J112,F112&lt;K112),1,0)</f>
        <v>0</v>
      </c>
      <c r="O112" s="54" t="n">
        <f aca="false">IF(G112&gt;M112,1,0)</f>
        <v>0</v>
      </c>
      <c r="P112" s="54" t="n">
        <f aca="false">SIGN(F112-I112)</f>
        <v>1</v>
      </c>
      <c r="Q112" s="54" t="n">
        <f aca="false">IF(ABS(SUM(P105:P112))=8,1,0)</f>
        <v>0</v>
      </c>
    </row>
    <row r="113" customFormat="false" ht="15" hidden="false" customHeight="false" outlineLevel="0" collapsed="false">
      <c r="A113" s="52" t="n">
        <v>43976</v>
      </c>
      <c r="B113" s="53" t="n">
        <v>0.630676749422602</v>
      </c>
      <c r="C113" s="53" t="n">
        <v>0.811077868191415</v>
      </c>
      <c r="D113" s="53" t="n">
        <v>0</v>
      </c>
      <c r="E113" s="54" t="s">
        <v>945</v>
      </c>
      <c r="F113" s="53" t="n">
        <f aca="false">AVERAGE(B113:D113)</f>
        <v>0.480584872538006</v>
      </c>
      <c r="G113" s="53" t="n">
        <f aca="false">MAX(B113:D113)-MIN(B113:D113)</f>
        <v>0.811077868191415</v>
      </c>
      <c r="H113" s="54" t="n">
        <f aca="false">IF(AND(E113="Phase I",OR(F113&gt;$E$6,F113&lt;$E$7,G113&gt;$E$8)),1,0)</f>
        <v>0</v>
      </c>
      <c r="I113" s="53" t="n">
        <f aca="false">$H$4</f>
        <v>0.67278149898986</v>
      </c>
      <c r="J113" s="53" t="n">
        <f aca="false">$H$6</f>
        <v>0.959137233677579</v>
      </c>
      <c r="K113" s="53" t="n">
        <f aca="false">$H$7</f>
        <v>0.386425764302142</v>
      </c>
      <c r="L113" s="53" t="n">
        <f aca="false">$H$5</f>
        <v>0.279917629215756</v>
      </c>
      <c r="M113" s="53" t="n">
        <f aca="false">$H$8</f>
        <v>0.720507977601356</v>
      </c>
      <c r="N113" s="54" t="n">
        <f aca="false">IF(OR(F113&gt;J113,F113&lt;K113),1,0)</f>
        <v>0</v>
      </c>
      <c r="O113" s="54" t="n">
        <f aca="false">IF(G113&gt;M113,1,0)</f>
        <v>1</v>
      </c>
      <c r="P113" s="54" t="n">
        <f aca="false">SIGN(F113-I113)</f>
        <v>-1</v>
      </c>
      <c r="Q113" s="54" t="n">
        <f aca="false">IF(ABS(SUM(P106:P113))=8,1,0)</f>
        <v>0</v>
      </c>
    </row>
    <row r="114" customFormat="false" ht="15" hidden="false" customHeight="false" outlineLevel="0" collapsed="false">
      <c r="A114" s="52" t="n">
        <v>43977</v>
      </c>
      <c r="B114" s="53" t="n">
        <v>0</v>
      </c>
      <c r="C114" s="53" t="n">
        <v>0.821919615504463</v>
      </c>
      <c r="D114" s="53" t="n">
        <v>0.807138210375767</v>
      </c>
      <c r="E114" s="54" t="s">
        <v>945</v>
      </c>
      <c r="F114" s="53" t="n">
        <f aca="false">AVERAGE(B114:D114)</f>
        <v>0.54301927529341</v>
      </c>
      <c r="G114" s="53" t="n">
        <f aca="false">MAX(B114:D114)-MIN(B114:D114)</f>
        <v>0.821919615504463</v>
      </c>
      <c r="H114" s="54" t="n">
        <f aca="false">IF(AND(E114="Phase I",OR(F114&gt;$E$6,F114&lt;$E$7,G114&gt;$E$8)),1,0)</f>
        <v>0</v>
      </c>
      <c r="I114" s="53" t="n">
        <f aca="false">$H$4</f>
        <v>0.67278149898986</v>
      </c>
      <c r="J114" s="53" t="n">
        <f aca="false">$H$6</f>
        <v>0.959137233677579</v>
      </c>
      <c r="K114" s="53" t="n">
        <f aca="false">$H$7</f>
        <v>0.386425764302142</v>
      </c>
      <c r="L114" s="53" t="n">
        <f aca="false">$H$5</f>
        <v>0.279917629215756</v>
      </c>
      <c r="M114" s="53" t="n">
        <f aca="false">$H$8</f>
        <v>0.720507977601356</v>
      </c>
      <c r="N114" s="54" t="n">
        <f aca="false">IF(OR(F114&gt;J114,F114&lt;K114),1,0)</f>
        <v>0</v>
      </c>
      <c r="O114" s="54" t="n">
        <f aca="false">IF(G114&gt;M114,1,0)</f>
        <v>1</v>
      </c>
      <c r="P114" s="54" t="n">
        <f aca="false">SIGN(F114-I114)</f>
        <v>-1</v>
      </c>
      <c r="Q114" s="54" t="n">
        <f aca="false">IF(ABS(SUM(P107:P114))=8,1,0)</f>
        <v>0</v>
      </c>
    </row>
    <row r="115" customFormat="false" ht="15" hidden="false" customHeight="false" outlineLevel="0" collapsed="false">
      <c r="A115" s="52" t="n">
        <v>43978</v>
      </c>
      <c r="B115" s="53" t="n">
        <v>0.797845498932342</v>
      </c>
      <c r="C115" s="53" t="n">
        <v>0.747986470769138</v>
      </c>
      <c r="D115" s="53" t="n">
        <v>0.58471355117608</v>
      </c>
      <c r="E115" s="54" t="s">
        <v>945</v>
      </c>
      <c r="F115" s="53" t="n">
        <f aca="false">AVERAGE(B115:D115)</f>
        <v>0.71018184029252</v>
      </c>
      <c r="G115" s="53" t="n">
        <f aca="false">MAX(B115:D115)-MIN(B115:D115)</f>
        <v>0.213131947756262</v>
      </c>
      <c r="H115" s="54" t="n">
        <f aca="false">IF(AND(E115="Phase I",OR(F115&gt;$E$6,F115&lt;$E$7,G115&gt;$E$8)),1,0)</f>
        <v>0</v>
      </c>
      <c r="I115" s="53" t="n">
        <f aca="false">$H$4</f>
        <v>0.67278149898986</v>
      </c>
      <c r="J115" s="53" t="n">
        <f aca="false">$H$6</f>
        <v>0.959137233677579</v>
      </c>
      <c r="K115" s="53" t="n">
        <f aca="false">$H$7</f>
        <v>0.386425764302142</v>
      </c>
      <c r="L115" s="53" t="n">
        <f aca="false">$H$5</f>
        <v>0.279917629215756</v>
      </c>
      <c r="M115" s="53" t="n">
        <f aca="false">$H$8</f>
        <v>0.720507977601356</v>
      </c>
      <c r="N115" s="54" t="n">
        <f aca="false">IF(OR(F115&gt;J115,F115&lt;K115),1,0)</f>
        <v>0</v>
      </c>
      <c r="O115" s="54" t="n">
        <f aca="false">IF(G115&gt;M115,1,0)</f>
        <v>0</v>
      </c>
      <c r="P115" s="54" t="n">
        <f aca="false">SIGN(F115-I115)</f>
        <v>1</v>
      </c>
      <c r="Q115" s="54" t="n">
        <f aca="false">IF(ABS(SUM(P108:P115))=8,1,0)</f>
        <v>0</v>
      </c>
    </row>
    <row r="116" customFormat="false" ht="15" hidden="false" customHeight="false" outlineLevel="0" collapsed="false">
      <c r="A116" s="52" t="n">
        <v>43979</v>
      </c>
      <c r="B116" s="53" t="n">
        <v>0.635442914328713</v>
      </c>
      <c r="C116" s="53" t="n">
        <v>0.475505134375552</v>
      </c>
      <c r="D116" s="53" t="n">
        <v>0</v>
      </c>
      <c r="E116" s="54" t="s">
        <v>945</v>
      </c>
      <c r="F116" s="53" t="n">
        <f aca="false">AVERAGE(B116:D116)</f>
        <v>0.370316016234755</v>
      </c>
      <c r="G116" s="53" t="n">
        <f aca="false">MAX(B116:D116)-MIN(B116:D116)</f>
        <v>0.635442914328713</v>
      </c>
      <c r="H116" s="54" t="n">
        <f aca="false">IF(AND(E116="Phase I",OR(F116&gt;$E$6,F116&lt;$E$7,G116&gt;$E$8)),1,0)</f>
        <v>0</v>
      </c>
      <c r="I116" s="53" t="n">
        <f aca="false">$H$4</f>
        <v>0.67278149898986</v>
      </c>
      <c r="J116" s="53" t="n">
        <f aca="false">$H$6</f>
        <v>0.959137233677579</v>
      </c>
      <c r="K116" s="53" t="n">
        <f aca="false">$H$7</f>
        <v>0.386425764302142</v>
      </c>
      <c r="L116" s="53" t="n">
        <f aca="false">$H$5</f>
        <v>0.279917629215756</v>
      </c>
      <c r="M116" s="53" t="n">
        <f aca="false">$H$8</f>
        <v>0.720507977601356</v>
      </c>
      <c r="N116" s="54" t="n">
        <f aca="false">IF(OR(F116&gt;J116,F116&lt;K116),1,0)</f>
        <v>1</v>
      </c>
      <c r="O116" s="54" t="n">
        <f aca="false">IF(G116&gt;M116,1,0)</f>
        <v>0</v>
      </c>
      <c r="P116" s="54" t="n">
        <f aca="false">SIGN(F116-I116)</f>
        <v>-1</v>
      </c>
      <c r="Q116" s="54" t="n">
        <f aca="false">IF(ABS(SUM(P109:P116))=8,1,0)</f>
        <v>0</v>
      </c>
    </row>
    <row r="117" customFormat="false" ht="15" hidden="false" customHeight="false" outlineLevel="0" collapsed="false">
      <c r="A117" s="52" t="n">
        <v>43980</v>
      </c>
      <c r="B117" s="53" t="n">
        <v>0</v>
      </c>
      <c r="C117" s="53" t="n">
        <v>0.649240396405432</v>
      </c>
      <c r="D117" s="53" t="n">
        <v>0.746445571797089</v>
      </c>
      <c r="E117" s="54" t="s">
        <v>945</v>
      </c>
      <c r="F117" s="53" t="n">
        <f aca="false">AVERAGE(B117:D117)</f>
        <v>0.465228656067507</v>
      </c>
      <c r="G117" s="53" t="n">
        <f aca="false">MAX(B117:D117)-MIN(B117:D117)</f>
        <v>0.746445571797089</v>
      </c>
      <c r="H117" s="54" t="n">
        <f aca="false">IF(AND(E117="Phase I",OR(F117&gt;$E$6,F117&lt;$E$7,G117&gt;$E$8)),1,0)</f>
        <v>0</v>
      </c>
      <c r="I117" s="53" t="n">
        <f aca="false">$H$4</f>
        <v>0.67278149898986</v>
      </c>
      <c r="J117" s="53" t="n">
        <f aca="false">$H$6</f>
        <v>0.959137233677579</v>
      </c>
      <c r="K117" s="53" t="n">
        <f aca="false">$H$7</f>
        <v>0.386425764302142</v>
      </c>
      <c r="L117" s="53" t="n">
        <f aca="false">$H$5</f>
        <v>0.279917629215756</v>
      </c>
      <c r="M117" s="53" t="n">
        <f aca="false">$H$8</f>
        <v>0.720507977601356</v>
      </c>
      <c r="N117" s="54" t="n">
        <f aca="false">IF(OR(F117&gt;J117,F117&lt;K117),1,0)</f>
        <v>0</v>
      </c>
      <c r="O117" s="54" t="n">
        <f aca="false">IF(G117&gt;M117,1,0)</f>
        <v>1</v>
      </c>
      <c r="P117" s="54" t="n">
        <f aca="false">SIGN(F117-I117)</f>
        <v>-1</v>
      </c>
      <c r="Q117" s="54" t="n">
        <f aca="false">IF(ABS(SUM(P110:P117))=8,1,0)</f>
        <v>0</v>
      </c>
    </row>
    <row r="118" customFormat="false" ht="15" hidden="false" customHeight="false" outlineLevel="0" collapsed="false">
      <c r="A118" s="52" t="n">
        <v>43983</v>
      </c>
      <c r="B118" s="53" t="n">
        <v>0</v>
      </c>
      <c r="C118" s="53" t="n">
        <v>0</v>
      </c>
      <c r="D118" s="53" t="n">
        <v>0</v>
      </c>
      <c r="E118" s="54" t="s">
        <v>945</v>
      </c>
      <c r="F118" s="53" t="n">
        <f aca="false">AVERAGE(B118:D118)</f>
        <v>0</v>
      </c>
      <c r="G118" s="53" t="n">
        <f aca="false">MAX(B118:D118)-MIN(B118:D118)</f>
        <v>0</v>
      </c>
      <c r="H118" s="54" t="n">
        <f aca="false">IF(AND(E118="Phase I",OR(F118&gt;$E$6,F118&lt;$E$7,G118&gt;$E$8)),1,0)</f>
        <v>1</v>
      </c>
      <c r="I118" s="53" t="n">
        <f aca="false">$H$4</f>
        <v>0.67278149898986</v>
      </c>
      <c r="J118" s="53" t="n">
        <f aca="false">$H$6</f>
        <v>0.959137233677579</v>
      </c>
      <c r="K118" s="53" t="n">
        <f aca="false">$H$7</f>
        <v>0.386425764302142</v>
      </c>
      <c r="L118" s="53" t="n">
        <f aca="false">$H$5</f>
        <v>0.279917629215756</v>
      </c>
      <c r="M118" s="53" t="n">
        <f aca="false">$H$8</f>
        <v>0.720507977601356</v>
      </c>
      <c r="N118" s="54" t="n">
        <f aca="false">IF(OR(F118&gt;J118,F118&lt;K118),1,0)</f>
        <v>1</v>
      </c>
      <c r="O118" s="54" t="n">
        <f aca="false">IF(G118&gt;M118,1,0)</f>
        <v>0</v>
      </c>
      <c r="P118" s="54" t="n">
        <f aca="false">SIGN(F118-I118)</f>
        <v>-1</v>
      </c>
      <c r="Q118" s="54" t="n">
        <f aca="false">IF(ABS(SUM(P111:P118))=8,1,0)</f>
        <v>0</v>
      </c>
    </row>
    <row r="119" customFormat="false" ht="15" hidden="false" customHeight="false" outlineLevel="0" collapsed="false">
      <c r="A119" s="52" t="n">
        <v>43984</v>
      </c>
      <c r="B119" s="53" t="n">
        <v>0.731964236064788</v>
      </c>
      <c r="C119" s="53" t="n">
        <v>0.788261537935574</v>
      </c>
      <c r="D119" s="53" t="n">
        <v>0</v>
      </c>
      <c r="E119" s="54" t="s">
        <v>945</v>
      </c>
      <c r="F119" s="53" t="n">
        <f aca="false">AVERAGE(B119:D119)</f>
        <v>0.506741924666787</v>
      </c>
      <c r="G119" s="53" t="n">
        <f aca="false">MAX(B119:D119)-MIN(B119:D119)</f>
        <v>0.788261537935574</v>
      </c>
      <c r="H119" s="54" t="n">
        <f aca="false">IF(AND(E119="Phase I",OR(F119&gt;$E$6,F119&lt;$E$7,G119&gt;$E$8)),1,0)</f>
        <v>0</v>
      </c>
      <c r="I119" s="53" t="n">
        <f aca="false">$H$4</f>
        <v>0.67278149898986</v>
      </c>
      <c r="J119" s="53" t="n">
        <f aca="false">$H$6</f>
        <v>0.959137233677579</v>
      </c>
      <c r="K119" s="53" t="n">
        <f aca="false">$H$7</f>
        <v>0.386425764302142</v>
      </c>
      <c r="L119" s="53" t="n">
        <f aca="false">$H$5</f>
        <v>0.279917629215756</v>
      </c>
      <c r="M119" s="53" t="n">
        <f aca="false">$H$8</f>
        <v>0.720507977601356</v>
      </c>
      <c r="N119" s="54" t="n">
        <f aca="false">IF(OR(F119&gt;J119,F119&lt;K119),1,0)</f>
        <v>0</v>
      </c>
      <c r="O119" s="54" t="n">
        <f aca="false">IF(G119&gt;M119,1,0)</f>
        <v>1</v>
      </c>
      <c r="P119" s="54" t="n">
        <f aca="false">SIGN(F119-I119)</f>
        <v>-1</v>
      </c>
      <c r="Q119" s="54" t="n">
        <f aca="false">IF(ABS(SUM(P112:P119))=8,1,0)</f>
        <v>0</v>
      </c>
    </row>
    <row r="120" customFormat="false" ht="15" hidden="false" customHeight="false" outlineLevel="0" collapsed="false">
      <c r="A120" s="52" t="n">
        <v>43985</v>
      </c>
      <c r="B120" s="53" t="n">
        <v>0.277024188047642</v>
      </c>
      <c r="C120" s="53" t="n">
        <v>0.905783195291277</v>
      </c>
      <c r="D120" s="53" t="n">
        <v>0</v>
      </c>
      <c r="E120" s="54" t="s">
        <v>945</v>
      </c>
      <c r="F120" s="53" t="n">
        <f aca="false">AVERAGE(B120:D120)</f>
        <v>0.39426912777964</v>
      </c>
      <c r="G120" s="53" t="n">
        <f aca="false">MAX(B120:D120)-MIN(B120:D120)</f>
        <v>0.905783195291277</v>
      </c>
      <c r="H120" s="54" t="n">
        <f aca="false">IF(AND(E120="Phase I",OR(F120&gt;$E$6,F120&lt;$E$7,G120&gt;$E$8)),1,0)</f>
        <v>1</v>
      </c>
      <c r="I120" s="53" t="n">
        <f aca="false">$H$4</f>
        <v>0.67278149898986</v>
      </c>
      <c r="J120" s="53" t="n">
        <f aca="false">$H$6</f>
        <v>0.959137233677579</v>
      </c>
      <c r="K120" s="53" t="n">
        <f aca="false">$H$7</f>
        <v>0.386425764302142</v>
      </c>
      <c r="L120" s="53" t="n">
        <f aca="false">$H$5</f>
        <v>0.279917629215756</v>
      </c>
      <c r="M120" s="53" t="n">
        <f aca="false">$H$8</f>
        <v>0.720507977601356</v>
      </c>
      <c r="N120" s="54" t="n">
        <f aca="false">IF(OR(F120&gt;J120,F120&lt;K120),1,0)</f>
        <v>0</v>
      </c>
      <c r="O120" s="54" t="n">
        <f aca="false">IF(G120&gt;M120,1,0)</f>
        <v>1</v>
      </c>
      <c r="P120" s="54" t="n">
        <f aca="false">SIGN(F120-I120)</f>
        <v>-1</v>
      </c>
      <c r="Q120" s="54" t="n">
        <f aca="false">IF(ABS(SUM(P113:P120))=8,1,0)</f>
        <v>0</v>
      </c>
    </row>
    <row r="121" customFormat="false" ht="15" hidden="false" customHeight="false" outlineLevel="0" collapsed="false">
      <c r="A121" s="52" t="n">
        <v>43986</v>
      </c>
      <c r="B121" s="53" t="n">
        <v>0</v>
      </c>
      <c r="C121" s="53" t="n">
        <v>0.543889964545928</v>
      </c>
      <c r="D121" s="53" t="n">
        <v>0.918466590275566</v>
      </c>
      <c r="E121" s="54" t="s">
        <v>945</v>
      </c>
      <c r="F121" s="53" t="n">
        <f aca="false">AVERAGE(B121:D121)</f>
        <v>0.487452184940498</v>
      </c>
      <c r="G121" s="53" t="n">
        <f aca="false">MAX(B121:D121)-MIN(B121:D121)</f>
        <v>0.918466590275566</v>
      </c>
      <c r="H121" s="54" t="n">
        <f aca="false">IF(AND(E121="Phase I",OR(F121&gt;$E$6,F121&lt;$E$7,G121&gt;$E$8)),1,0)</f>
        <v>1</v>
      </c>
      <c r="I121" s="53" t="n">
        <f aca="false">$H$4</f>
        <v>0.67278149898986</v>
      </c>
      <c r="J121" s="53" t="n">
        <f aca="false">$H$6</f>
        <v>0.959137233677579</v>
      </c>
      <c r="K121" s="53" t="n">
        <f aca="false">$H$7</f>
        <v>0.386425764302142</v>
      </c>
      <c r="L121" s="53" t="n">
        <f aca="false">$H$5</f>
        <v>0.279917629215756</v>
      </c>
      <c r="M121" s="53" t="n">
        <f aca="false">$H$8</f>
        <v>0.720507977601356</v>
      </c>
      <c r="N121" s="54" t="n">
        <f aca="false">IF(OR(F121&gt;J121,F121&lt;K121),1,0)</f>
        <v>0</v>
      </c>
      <c r="O121" s="54" t="n">
        <f aca="false">IF(G121&gt;M121,1,0)</f>
        <v>1</v>
      </c>
      <c r="P121" s="54" t="n">
        <f aca="false">SIGN(F121-I121)</f>
        <v>-1</v>
      </c>
      <c r="Q121" s="54" t="n">
        <f aca="false">IF(ABS(SUM(P114:P121))=8,1,0)</f>
        <v>0</v>
      </c>
    </row>
    <row r="122" customFormat="false" ht="15" hidden="false" customHeight="false" outlineLevel="0" collapsed="false">
      <c r="A122" s="52" t="n">
        <v>43987</v>
      </c>
      <c r="B122" s="53" t="n">
        <v>0.942596056593924</v>
      </c>
      <c r="C122" s="53" t="n">
        <v>0.458543606318389</v>
      </c>
      <c r="D122" s="53" t="n">
        <v>0.804409933462111</v>
      </c>
      <c r="E122" s="54" t="s">
        <v>945</v>
      </c>
      <c r="F122" s="53" t="n">
        <f aca="false">AVERAGE(B122:D122)</f>
        <v>0.735183198791475</v>
      </c>
      <c r="G122" s="53" t="n">
        <f aca="false">MAX(B122:D122)-MIN(B122:D122)</f>
        <v>0.484052450275535</v>
      </c>
      <c r="H122" s="54" t="n">
        <f aca="false">IF(AND(E122="Phase I",OR(F122&gt;$E$6,F122&lt;$E$7,G122&gt;$E$8)),1,0)</f>
        <v>0</v>
      </c>
      <c r="I122" s="53" t="n">
        <f aca="false">$H$4</f>
        <v>0.67278149898986</v>
      </c>
      <c r="J122" s="53" t="n">
        <f aca="false">$H$6</f>
        <v>0.959137233677579</v>
      </c>
      <c r="K122" s="53" t="n">
        <f aca="false">$H$7</f>
        <v>0.386425764302142</v>
      </c>
      <c r="L122" s="53" t="n">
        <f aca="false">$H$5</f>
        <v>0.279917629215756</v>
      </c>
      <c r="M122" s="53" t="n">
        <f aca="false">$H$8</f>
        <v>0.720507977601356</v>
      </c>
      <c r="N122" s="54" t="n">
        <f aca="false">IF(OR(F122&gt;J122,F122&lt;K122),1,0)</f>
        <v>0</v>
      </c>
      <c r="O122" s="54" t="n">
        <f aca="false">IF(G122&gt;M122,1,0)</f>
        <v>0</v>
      </c>
      <c r="P122" s="54" t="n">
        <f aca="false">SIGN(F122-I122)</f>
        <v>1</v>
      </c>
      <c r="Q122" s="54" t="n">
        <f aca="false">IF(ABS(SUM(P115:P122))=8,1,0)</f>
        <v>0</v>
      </c>
    </row>
    <row r="123" customFormat="false" ht="15" hidden="false" customHeight="false" outlineLevel="0" collapsed="false">
      <c r="A123" s="52" t="n">
        <v>43990</v>
      </c>
      <c r="B123" s="53" t="n">
        <v>0.755914131953584</v>
      </c>
      <c r="C123" s="53" t="n">
        <v>0.916463328770254</v>
      </c>
      <c r="D123" s="53" t="n">
        <v>0.705991852758328</v>
      </c>
      <c r="E123" s="54" t="s">
        <v>945</v>
      </c>
      <c r="F123" s="53" t="n">
        <f aca="false">AVERAGE(B123:D123)</f>
        <v>0.792789771160722</v>
      </c>
      <c r="G123" s="53" t="n">
        <f aca="false">MAX(B123:D123)-MIN(B123:D123)</f>
        <v>0.210471476011926</v>
      </c>
      <c r="H123" s="54" t="n">
        <f aca="false">IF(AND(E123="Phase I",OR(F123&gt;$E$6,F123&lt;$E$7,G123&gt;$E$8)),1,0)</f>
        <v>0</v>
      </c>
      <c r="I123" s="53" t="n">
        <f aca="false">$H$4</f>
        <v>0.67278149898986</v>
      </c>
      <c r="J123" s="53" t="n">
        <f aca="false">$H$6</f>
        <v>0.959137233677579</v>
      </c>
      <c r="K123" s="53" t="n">
        <f aca="false">$H$7</f>
        <v>0.386425764302142</v>
      </c>
      <c r="L123" s="53" t="n">
        <f aca="false">$H$5</f>
        <v>0.279917629215756</v>
      </c>
      <c r="M123" s="53" t="n">
        <f aca="false">$H$8</f>
        <v>0.720507977601356</v>
      </c>
      <c r="N123" s="54" t="n">
        <f aca="false">IF(OR(F123&gt;J123,F123&lt;K123),1,0)</f>
        <v>0</v>
      </c>
      <c r="O123" s="54" t="n">
        <f aca="false">IF(G123&gt;M123,1,0)</f>
        <v>0</v>
      </c>
      <c r="P123" s="54" t="n">
        <f aca="false">SIGN(F123-I123)</f>
        <v>1</v>
      </c>
      <c r="Q123" s="54" t="n">
        <f aca="false">IF(ABS(SUM(P116:P123))=8,1,0)</f>
        <v>0</v>
      </c>
    </row>
    <row r="124" customFormat="false" ht="15" hidden="false" customHeight="false" outlineLevel="0" collapsed="false">
      <c r="A124" s="52" t="n">
        <v>43991</v>
      </c>
      <c r="B124" s="53" t="n">
        <v>0.635835373548524</v>
      </c>
      <c r="C124" s="53" t="n">
        <v>0.679165848292051</v>
      </c>
      <c r="D124" s="53" t="n">
        <v>0.694279342802614</v>
      </c>
      <c r="E124" s="54" t="s">
        <v>945</v>
      </c>
      <c r="F124" s="53" t="n">
        <f aca="false">AVERAGE(B124:D124)</f>
        <v>0.669760188214396</v>
      </c>
      <c r="G124" s="53" t="n">
        <f aca="false">MAX(B124:D124)-MIN(B124:D124)</f>
        <v>0.0584439692540897</v>
      </c>
      <c r="H124" s="54" t="n">
        <f aca="false">IF(AND(E124="Phase I",OR(F124&gt;$E$6,F124&lt;$E$7,G124&gt;$E$8)),1,0)</f>
        <v>0</v>
      </c>
      <c r="I124" s="53" t="n">
        <f aca="false">$H$4</f>
        <v>0.67278149898986</v>
      </c>
      <c r="J124" s="53" t="n">
        <f aca="false">$H$6</f>
        <v>0.959137233677579</v>
      </c>
      <c r="K124" s="53" t="n">
        <f aca="false">$H$7</f>
        <v>0.386425764302142</v>
      </c>
      <c r="L124" s="53" t="n">
        <f aca="false">$H$5</f>
        <v>0.279917629215756</v>
      </c>
      <c r="M124" s="53" t="n">
        <f aca="false">$H$8</f>
        <v>0.720507977601356</v>
      </c>
      <c r="N124" s="54" t="n">
        <f aca="false">IF(OR(F124&gt;J124,F124&lt;K124),1,0)</f>
        <v>0</v>
      </c>
      <c r="O124" s="54" t="n">
        <f aca="false">IF(G124&gt;M124,1,0)</f>
        <v>0</v>
      </c>
      <c r="P124" s="54" t="n">
        <f aca="false">SIGN(F124-I124)</f>
        <v>-1</v>
      </c>
      <c r="Q124" s="54" t="n">
        <f aca="false">IF(ABS(SUM(P117:P124))=8,1,0)</f>
        <v>0</v>
      </c>
    </row>
    <row r="125" customFormat="false" ht="15" hidden="false" customHeight="false" outlineLevel="0" collapsed="false">
      <c r="A125" s="52" t="n">
        <v>43992</v>
      </c>
      <c r="B125" s="53" t="n">
        <v>0.802334480682516</v>
      </c>
      <c r="C125" s="53" t="n">
        <v>0.530179149150736</v>
      </c>
      <c r="D125" s="53" t="n">
        <v>0</v>
      </c>
      <c r="E125" s="54" t="s">
        <v>945</v>
      </c>
      <c r="F125" s="53" t="n">
        <f aca="false">AVERAGE(B125:D125)</f>
        <v>0.444171209944417</v>
      </c>
      <c r="G125" s="53" t="n">
        <f aca="false">MAX(B125:D125)-MIN(B125:D125)</f>
        <v>0.802334480682516</v>
      </c>
      <c r="H125" s="54" t="n">
        <f aca="false">IF(AND(E125="Phase I",OR(F125&gt;$E$6,F125&lt;$E$7,G125&gt;$E$8)),1,0)</f>
        <v>0</v>
      </c>
      <c r="I125" s="53" t="n">
        <f aca="false">$H$4</f>
        <v>0.67278149898986</v>
      </c>
      <c r="J125" s="53" t="n">
        <f aca="false">$H$6</f>
        <v>0.959137233677579</v>
      </c>
      <c r="K125" s="53" t="n">
        <f aca="false">$H$7</f>
        <v>0.386425764302142</v>
      </c>
      <c r="L125" s="53" t="n">
        <f aca="false">$H$5</f>
        <v>0.279917629215756</v>
      </c>
      <c r="M125" s="53" t="n">
        <f aca="false">$H$8</f>
        <v>0.720507977601356</v>
      </c>
      <c r="N125" s="54" t="n">
        <f aca="false">IF(OR(F125&gt;J125,F125&lt;K125),1,0)</f>
        <v>0</v>
      </c>
      <c r="O125" s="54" t="n">
        <f aca="false">IF(G125&gt;M125,1,0)</f>
        <v>1</v>
      </c>
      <c r="P125" s="54" t="n">
        <f aca="false">SIGN(F125-I125)</f>
        <v>-1</v>
      </c>
      <c r="Q125" s="54" t="n">
        <f aca="false">IF(ABS(SUM(P118:P125))=8,1,0)</f>
        <v>0</v>
      </c>
    </row>
    <row r="126" customFormat="false" ht="15" hidden="false" customHeight="false" outlineLevel="0" collapsed="false">
      <c r="A126" s="52" t="n">
        <v>43993</v>
      </c>
      <c r="B126" s="53" t="n">
        <v>0</v>
      </c>
      <c r="C126" s="53" t="n">
        <v>0.629129048496782</v>
      </c>
      <c r="D126" s="53" t="n">
        <v>0.386916826270341</v>
      </c>
      <c r="E126" s="54" t="s">
        <v>945</v>
      </c>
      <c r="F126" s="53" t="n">
        <f aca="false">AVERAGE(B126:D126)</f>
        <v>0.338681958255708</v>
      </c>
      <c r="G126" s="53" t="n">
        <f aca="false">MAX(B126:D126)-MIN(B126:D126)</f>
        <v>0.629129048496782</v>
      </c>
      <c r="H126" s="54" t="n">
        <f aca="false">IF(AND(E126="Phase I",OR(F126&gt;$E$6,F126&lt;$E$7,G126&gt;$E$8)),1,0)</f>
        <v>0</v>
      </c>
      <c r="I126" s="53" t="n">
        <f aca="false">$H$4</f>
        <v>0.67278149898986</v>
      </c>
      <c r="J126" s="53" t="n">
        <f aca="false">$H$6</f>
        <v>0.959137233677579</v>
      </c>
      <c r="K126" s="53" t="n">
        <f aca="false">$H$7</f>
        <v>0.386425764302142</v>
      </c>
      <c r="L126" s="53" t="n">
        <f aca="false">$H$5</f>
        <v>0.279917629215756</v>
      </c>
      <c r="M126" s="53" t="n">
        <f aca="false">$H$8</f>
        <v>0.720507977601356</v>
      </c>
      <c r="N126" s="54" t="n">
        <f aca="false">IF(OR(F126&gt;J126,F126&lt;K126),1,0)</f>
        <v>1</v>
      </c>
      <c r="O126" s="54" t="n">
        <f aca="false">IF(G126&gt;M126,1,0)</f>
        <v>0</v>
      </c>
      <c r="P126" s="54" t="n">
        <f aca="false">SIGN(F126-I126)</f>
        <v>-1</v>
      </c>
      <c r="Q126" s="54" t="n">
        <f aca="false">IF(ABS(SUM(P119:P126))=8,1,0)</f>
        <v>0</v>
      </c>
    </row>
    <row r="127" customFormat="false" ht="15" hidden="false" customHeight="false" outlineLevel="0" collapsed="false">
      <c r="A127" s="52" t="n">
        <v>43994</v>
      </c>
      <c r="B127" s="53" t="n">
        <v>0.804189678930734</v>
      </c>
      <c r="C127" s="53" t="n">
        <v>0.710734754144058</v>
      </c>
      <c r="D127" s="53" t="n">
        <v>0.816111022862039</v>
      </c>
      <c r="E127" s="54" t="s">
        <v>945</v>
      </c>
      <c r="F127" s="53" t="n">
        <f aca="false">AVERAGE(B127:D127)</f>
        <v>0.77701181864561</v>
      </c>
      <c r="G127" s="53" t="n">
        <f aca="false">MAX(B127:D127)-MIN(B127:D127)</f>
        <v>0.105376268717981</v>
      </c>
      <c r="H127" s="54" t="n">
        <f aca="false">IF(AND(E127="Phase I",OR(F127&gt;$E$6,F127&lt;$E$7,G127&gt;$E$8)),1,0)</f>
        <v>0</v>
      </c>
      <c r="I127" s="53" t="n">
        <f aca="false">$H$4</f>
        <v>0.67278149898986</v>
      </c>
      <c r="J127" s="53" t="n">
        <f aca="false">$H$6</f>
        <v>0.959137233677579</v>
      </c>
      <c r="K127" s="53" t="n">
        <f aca="false">$H$7</f>
        <v>0.386425764302142</v>
      </c>
      <c r="L127" s="53" t="n">
        <f aca="false">$H$5</f>
        <v>0.279917629215756</v>
      </c>
      <c r="M127" s="53" t="n">
        <f aca="false">$H$8</f>
        <v>0.720507977601356</v>
      </c>
      <c r="N127" s="54" t="n">
        <f aca="false">IF(OR(F127&gt;J127,F127&lt;K127),1,0)</f>
        <v>0</v>
      </c>
      <c r="O127" s="54" t="n">
        <f aca="false">IF(G127&gt;M127,1,0)</f>
        <v>0</v>
      </c>
      <c r="P127" s="54" t="n">
        <f aca="false">SIGN(F127-I127)</f>
        <v>1</v>
      </c>
      <c r="Q127" s="54" t="n">
        <f aca="false">IF(ABS(SUM(P120:P127))=8,1,0)</f>
        <v>0</v>
      </c>
    </row>
    <row r="128" customFormat="false" ht="15" hidden="false" customHeight="false" outlineLevel="0" collapsed="false">
      <c r="A128" s="52" t="n">
        <v>43996</v>
      </c>
      <c r="B128" s="53" t="n">
        <v>0</v>
      </c>
      <c r="C128" s="53" t="n">
        <v>0.200804413332083</v>
      </c>
      <c r="D128" s="53" t="n">
        <v>0</v>
      </c>
      <c r="E128" s="54" t="s">
        <v>945</v>
      </c>
      <c r="F128" s="53" t="n">
        <f aca="false">AVERAGE(B128:D128)</f>
        <v>0.0669348044440275</v>
      </c>
      <c r="G128" s="53" t="n">
        <f aca="false">MAX(B128:D128)-MIN(B128:D128)</f>
        <v>0.200804413332083</v>
      </c>
      <c r="H128" s="54" t="n">
        <f aca="false">IF(AND(E128="Phase I",OR(F128&gt;$E$6,F128&lt;$E$7,G128&gt;$E$8)),1,0)</f>
        <v>1</v>
      </c>
      <c r="I128" s="53" t="n">
        <f aca="false">$H$4</f>
        <v>0.67278149898986</v>
      </c>
      <c r="J128" s="53" t="n">
        <f aca="false">$H$6</f>
        <v>0.959137233677579</v>
      </c>
      <c r="K128" s="53" t="n">
        <f aca="false">$H$7</f>
        <v>0.386425764302142</v>
      </c>
      <c r="L128" s="53" t="n">
        <f aca="false">$H$5</f>
        <v>0.279917629215756</v>
      </c>
      <c r="M128" s="53" t="n">
        <f aca="false">$H$8</f>
        <v>0.720507977601356</v>
      </c>
      <c r="N128" s="54" t="n">
        <f aca="false">IF(OR(F128&gt;J128,F128&lt;K128),1,0)</f>
        <v>1</v>
      </c>
      <c r="O128" s="54" t="n">
        <f aca="false">IF(G128&gt;M128,1,0)</f>
        <v>0</v>
      </c>
      <c r="P128" s="54" t="n">
        <f aca="false">SIGN(F128-I128)</f>
        <v>-1</v>
      </c>
      <c r="Q128" s="54" t="n">
        <f aca="false">IF(ABS(SUM(P121:P128))=8,1,0)</f>
        <v>0</v>
      </c>
    </row>
    <row r="129" customFormat="false" ht="15" hidden="false" customHeight="false" outlineLevel="0" collapsed="false">
      <c r="A129" s="52" t="n">
        <v>43997</v>
      </c>
      <c r="B129" s="53" t="n">
        <v>0</v>
      </c>
      <c r="C129" s="53" t="n">
        <v>0.612080546434489</v>
      </c>
      <c r="D129" s="53" t="n">
        <v>0.679519706883338</v>
      </c>
      <c r="E129" s="54" t="s">
        <v>945</v>
      </c>
      <c r="F129" s="53" t="n">
        <f aca="false">AVERAGE(B129:D129)</f>
        <v>0.430533417772609</v>
      </c>
      <c r="G129" s="53" t="n">
        <f aca="false">MAX(B129:D129)-MIN(B129:D129)</f>
        <v>0.679519706883338</v>
      </c>
      <c r="H129" s="54" t="n">
        <f aca="false">IF(AND(E129="Phase I",OR(F129&gt;$E$6,F129&lt;$E$7,G129&gt;$E$8)),1,0)</f>
        <v>0</v>
      </c>
      <c r="I129" s="53" t="n">
        <f aca="false">$H$4</f>
        <v>0.67278149898986</v>
      </c>
      <c r="J129" s="53" t="n">
        <f aca="false">$H$6</f>
        <v>0.959137233677579</v>
      </c>
      <c r="K129" s="53" t="n">
        <f aca="false">$H$7</f>
        <v>0.386425764302142</v>
      </c>
      <c r="L129" s="53" t="n">
        <f aca="false">$H$5</f>
        <v>0.279917629215756</v>
      </c>
      <c r="M129" s="53" t="n">
        <f aca="false">$H$8</f>
        <v>0.720507977601356</v>
      </c>
      <c r="N129" s="54" t="n">
        <f aca="false">IF(OR(F129&gt;J129,F129&lt;K129),1,0)</f>
        <v>0</v>
      </c>
      <c r="O129" s="54" t="n">
        <f aca="false">IF(G129&gt;M129,1,0)</f>
        <v>0</v>
      </c>
      <c r="P129" s="54" t="n">
        <f aca="false">SIGN(F129-I129)</f>
        <v>-1</v>
      </c>
      <c r="Q129" s="54" t="n">
        <f aca="false">IF(ABS(SUM(P122:P129))=8,1,0)</f>
        <v>0</v>
      </c>
    </row>
    <row r="130" customFormat="false" ht="15" hidden="false" customHeight="false" outlineLevel="0" collapsed="false">
      <c r="A130" s="52" t="n">
        <v>43998</v>
      </c>
      <c r="B130" s="53" t="n">
        <v>0.828337173732046</v>
      </c>
      <c r="C130" s="53" t="n">
        <v>0.686834787771298</v>
      </c>
      <c r="D130" s="53" t="n">
        <v>0.871937396590075</v>
      </c>
      <c r="E130" s="54" t="s">
        <v>945</v>
      </c>
      <c r="F130" s="53" t="n">
        <f aca="false">AVERAGE(B130:D130)</f>
        <v>0.795703119364473</v>
      </c>
      <c r="G130" s="53" t="n">
        <f aca="false">MAX(B130:D130)-MIN(B130:D130)</f>
        <v>0.185102608818777</v>
      </c>
      <c r="H130" s="54" t="n">
        <f aca="false">IF(AND(E130="Phase I",OR(F130&gt;$E$6,F130&lt;$E$7,G130&gt;$E$8)),1,0)</f>
        <v>0</v>
      </c>
      <c r="I130" s="53" t="n">
        <f aca="false">$H$4</f>
        <v>0.67278149898986</v>
      </c>
      <c r="J130" s="53" t="n">
        <f aca="false">$H$6</f>
        <v>0.959137233677579</v>
      </c>
      <c r="K130" s="53" t="n">
        <f aca="false">$H$7</f>
        <v>0.386425764302142</v>
      </c>
      <c r="L130" s="53" t="n">
        <f aca="false">$H$5</f>
        <v>0.279917629215756</v>
      </c>
      <c r="M130" s="53" t="n">
        <f aca="false">$H$8</f>
        <v>0.720507977601356</v>
      </c>
      <c r="N130" s="54" t="n">
        <f aca="false">IF(OR(F130&gt;J130,F130&lt;K130),1,0)</f>
        <v>0</v>
      </c>
      <c r="O130" s="54" t="n">
        <f aca="false">IF(G130&gt;M130,1,0)</f>
        <v>0</v>
      </c>
      <c r="P130" s="54" t="n">
        <f aca="false">SIGN(F130-I130)</f>
        <v>1</v>
      </c>
      <c r="Q130" s="54" t="n">
        <f aca="false">IF(ABS(SUM(P123:P130))=8,1,0)</f>
        <v>0</v>
      </c>
    </row>
    <row r="131" customFormat="false" ht="15" hidden="false" customHeight="false" outlineLevel="0" collapsed="false">
      <c r="A131" s="52" t="n">
        <v>43999</v>
      </c>
      <c r="B131" s="53" t="n">
        <v>0.706445332595702</v>
      </c>
      <c r="C131" s="53" t="n">
        <v>0.787796122888191</v>
      </c>
      <c r="D131" s="53" t="n">
        <v>0</v>
      </c>
      <c r="E131" s="54" t="s">
        <v>945</v>
      </c>
      <c r="F131" s="53" t="n">
        <f aca="false">AVERAGE(B131:D131)</f>
        <v>0.498080485161298</v>
      </c>
      <c r="G131" s="53" t="n">
        <f aca="false">MAX(B131:D131)-MIN(B131:D131)</f>
        <v>0.787796122888191</v>
      </c>
      <c r="H131" s="54" t="n">
        <f aca="false">IF(AND(E131="Phase I",OR(F131&gt;$E$6,F131&lt;$E$7,G131&gt;$E$8)),1,0)</f>
        <v>0</v>
      </c>
      <c r="I131" s="53" t="n">
        <f aca="false">$H$4</f>
        <v>0.67278149898986</v>
      </c>
      <c r="J131" s="53" t="n">
        <f aca="false">$H$6</f>
        <v>0.959137233677579</v>
      </c>
      <c r="K131" s="53" t="n">
        <f aca="false">$H$7</f>
        <v>0.386425764302142</v>
      </c>
      <c r="L131" s="53" t="n">
        <f aca="false">$H$5</f>
        <v>0.279917629215756</v>
      </c>
      <c r="M131" s="53" t="n">
        <f aca="false">$H$8</f>
        <v>0.720507977601356</v>
      </c>
      <c r="N131" s="54" t="n">
        <f aca="false">IF(OR(F131&gt;J131,F131&lt;K131),1,0)</f>
        <v>0</v>
      </c>
      <c r="O131" s="54" t="n">
        <f aca="false">IF(G131&gt;M131,1,0)</f>
        <v>1</v>
      </c>
      <c r="P131" s="54" t="n">
        <f aca="false">SIGN(F131-I131)</f>
        <v>-1</v>
      </c>
      <c r="Q131" s="54" t="n">
        <f aca="false">IF(ABS(SUM(P124:P131))=8,1,0)</f>
        <v>0</v>
      </c>
    </row>
    <row r="132" customFormat="false" ht="15" hidden="false" customHeight="false" outlineLevel="0" collapsed="false">
      <c r="A132" s="52" t="n">
        <v>44000</v>
      </c>
      <c r="B132" s="53" t="n">
        <v>0.959706561871271</v>
      </c>
      <c r="C132" s="53" t="n">
        <v>0.554074691175596</v>
      </c>
      <c r="D132" s="53" t="n">
        <v>0</v>
      </c>
      <c r="E132" s="54" t="s">
        <v>945</v>
      </c>
      <c r="F132" s="53" t="n">
        <f aca="false">AVERAGE(B132:D132)</f>
        <v>0.504593751015622</v>
      </c>
      <c r="G132" s="53" t="n">
        <f aca="false">MAX(B132:D132)-MIN(B132:D132)</f>
        <v>0.959706561871271</v>
      </c>
      <c r="H132" s="54" t="n">
        <f aca="false">IF(AND(E132="Phase I",OR(F132&gt;$E$6,F132&lt;$E$7,G132&gt;$E$8)),1,0)</f>
        <v>1</v>
      </c>
      <c r="I132" s="53" t="n">
        <f aca="false">$H$4</f>
        <v>0.67278149898986</v>
      </c>
      <c r="J132" s="53" t="n">
        <f aca="false">$H$6</f>
        <v>0.959137233677579</v>
      </c>
      <c r="K132" s="53" t="n">
        <f aca="false">$H$7</f>
        <v>0.386425764302142</v>
      </c>
      <c r="L132" s="53" t="n">
        <f aca="false">$H$5</f>
        <v>0.279917629215756</v>
      </c>
      <c r="M132" s="53" t="n">
        <f aca="false">$H$8</f>
        <v>0.720507977601356</v>
      </c>
      <c r="N132" s="54" t="n">
        <f aca="false">IF(OR(F132&gt;J132,F132&lt;K132),1,0)</f>
        <v>0</v>
      </c>
      <c r="O132" s="54" t="n">
        <f aca="false">IF(G132&gt;M132,1,0)</f>
        <v>1</v>
      </c>
      <c r="P132" s="54" t="n">
        <f aca="false">SIGN(F132-I132)</f>
        <v>-1</v>
      </c>
      <c r="Q132" s="54" t="n">
        <f aca="false">IF(ABS(SUM(P125:P132))=8,1,0)</f>
        <v>0</v>
      </c>
    </row>
    <row r="133" customFormat="false" ht="15" hidden="false" customHeight="false" outlineLevel="0" collapsed="false">
      <c r="A133" s="52" t="n">
        <v>44001</v>
      </c>
      <c r="B133" s="53" t="n">
        <v>0</v>
      </c>
      <c r="C133" s="53" t="n">
        <v>0</v>
      </c>
      <c r="D133" s="53" t="n">
        <v>0.833143102032356</v>
      </c>
      <c r="E133" s="54" t="s">
        <v>945</v>
      </c>
      <c r="F133" s="53" t="n">
        <f aca="false">AVERAGE(B133:D133)</f>
        <v>0.277714367344119</v>
      </c>
      <c r="G133" s="53" t="n">
        <f aca="false">MAX(B133:D133)-MIN(B133:D133)</f>
        <v>0.833143102032356</v>
      </c>
      <c r="H133" s="54" t="n">
        <f aca="false">IF(AND(E133="Phase I",OR(F133&gt;$E$6,F133&lt;$E$7,G133&gt;$E$8)),1,0)</f>
        <v>1</v>
      </c>
      <c r="I133" s="53" t="n">
        <f aca="false">$H$4</f>
        <v>0.67278149898986</v>
      </c>
      <c r="J133" s="53" t="n">
        <f aca="false">$H$6</f>
        <v>0.959137233677579</v>
      </c>
      <c r="K133" s="53" t="n">
        <f aca="false">$H$7</f>
        <v>0.386425764302142</v>
      </c>
      <c r="L133" s="53" t="n">
        <f aca="false">$H$5</f>
        <v>0.279917629215756</v>
      </c>
      <c r="M133" s="53" t="n">
        <f aca="false">$H$8</f>
        <v>0.720507977601356</v>
      </c>
      <c r="N133" s="54" t="n">
        <f aca="false">IF(OR(F133&gt;J133,F133&lt;K133),1,0)</f>
        <v>1</v>
      </c>
      <c r="O133" s="54" t="n">
        <f aca="false">IF(G133&gt;M133,1,0)</f>
        <v>1</v>
      </c>
      <c r="P133" s="54" t="n">
        <f aca="false">SIGN(F133-I133)</f>
        <v>-1</v>
      </c>
      <c r="Q133" s="54" t="n">
        <f aca="false">IF(ABS(SUM(P126:P133))=8,1,0)</f>
        <v>0</v>
      </c>
    </row>
    <row r="134" customFormat="false" ht="15" hidden="false" customHeight="false" outlineLevel="0" collapsed="false">
      <c r="A134" s="52" t="n">
        <v>44006</v>
      </c>
      <c r="B134" s="53" t="n">
        <v>0.614560323543048</v>
      </c>
      <c r="C134" s="53" t="n">
        <v>0.709157007053064</v>
      </c>
      <c r="D134" s="53" t="n">
        <v>0.785214223616893</v>
      </c>
      <c r="E134" s="54" t="s">
        <v>945</v>
      </c>
      <c r="F134" s="53" t="n">
        <f aca="false">AVERAGE(B134:D134)</f>
        <v>0.702977184737669</v>
      </c>
      <c r="G134" s="53" t="n">
        <f aca="false">MAX(B134:D134)-MIN(B134:D134)</f>
        <v>0.170653900073845</v>
      </c>
      <c r="H134" s="54" t="n">
        <f aca="false">IF(AND(E134="Phase I",OR(F134&gt;$E$6,F134&lt;$E$7,G134&gt;$E$8)),1,0)</f>
        <v>0</v>
      </c>
      <c r="I134" s="53" t="n">
        <f aca="false">$H$4</f>
        <v>0.67278149898986</v>
      </c>
      <c r="J134" s="53" t="n">
        <f aca="false">$H$6</f>
        <v>0.959137233677579</v>
      </c>
      <c r="K134" s="53" t="n">
        <f aca="false">$H$7</f>
        <v>0.386425764302142</v>
      </c>
      <c r="L134" s="53" t="n">
        <f aca="false">$H$5</f>
        <v>0.279917629215756</v>
      </c>
      <c r="M134" s="53" t="n">
        <f aca="false">$H$8</f>
        <v>0.720507977601356</v>
      </c>
      <c r="N134" s="54" t="n">
        <f aca="false">IF(OR(F134&gt;J134,F134&lt;K134),1,0)</f>
        <v>0</v>
      </c>
      <c r="O134" s="54" t="n">
        <f aca="false">IF(G134&gt;M134,1,0)</f>
        <v>0</v>
      </c>
      <c r="P134" s="54" t="n">
        <f aca="false">SIGN(F134-I134)</f>
        <v>1</v>
      </c>
      <c r="Q134" s="54" t="n">
        <f aca="false">IF(ABS(SUM(P127:P134))=8,1,0)</f>
        <v>0</v>
      </c>
    </row>
    <row r="135" customFormat="false" ht="15" hidden="false" customHeight="false" outlineLevel="0" collapsed="false">
      <c r="A135" s="52" t="n">
        <v>44007</v>
      </c>
      <c r="B135" s="53" t="n">
        <v>0.801437584496433</v>
      </c>
      <c r="C135" s="53" t="n">
        <v>0.613862010759383</v>
      </c>
      <c r="D135" s="53" t="n">
        <v>0.252589777417646</v>
      </c>
      <c r="E135" s="54" t="s">
        <v>945</v>
      </c>
      <c r="F135" s="53" t="n">
        <f aca="false">AVERAGE(B135:D135)</f>
        <v>0.555963124224487</v>
      </c>
      <c r="G135" s="53" t="n">
        <f aca="false">MAX(B135:D135)-MIN(B135:D135)</f>
        <v>0.548847807078787</v>
      </c>
      <c r="H135" s="54" t="n">
        <f aca="false">IF(AND(E135="Phase I",OR(F135&gt;$E$6,F135&lt;$E$7,G135&gt;$E$8)),1,0)</f>
        <v>0</v>
      </c>
      <c r="I135" s="53" t="n">
        <f aca="false">$H$4</f>
        <v>0.67278149898986</v>
      </c>
      <c r="J135" s="53" t="n">
        <f aca="false">$H$6</f>
        <v>0.959137233677579</v>
      </c>
      <c r="K135" s="53" t="n">
        <f aca="false">$H$7</f>
        <v>0.386425764302142</v>
      </c>
      <c r="L135" s="53" t="n">
        <f aca="false">$H$5</f>
        <v>0.279917629215756</v>
      </c>
      <c r="M135" s="53" t="n">
        <f aca="false">$H$8</f>
        <v>0.720507977601356</v>
      </c>
      <c r="N135" s="54" t="n">
        <f aca="false">IF(OR(F135&gt;J135,F135&lt;K135),1,0)</f>
        <v>0</v>
      </c>
      <c r="O135" s="54" t="n">
        <f aca="false">IF(G135&gt;M135,1,0)</f>
        <v>0</v>
      </c>
      <c r="P135" s="54" t="n">
        <f aca="false">SIGN(F135-I135)</f>
        <v>-1</v>
      </c>
      <c r="Q135" s="54" t="n">
        <f aca="false">IF(ABS(SUM(P128:P135))=8,1,0)</f>
        <v>0</v>
      </c>
    </row>
    <row r="136" customFormat="false" ht="15" hidden="false" customHeight="false" outlineLevel="0" collapsed="false">
      <c r="A136" s="52" t="n">
        <v>44011</v>
      </c>
      <c r="B136" s="53" t="n">
        <v>0.385873650326845</v>
      </c>
      <c r="C136" s="53" t="n">
        <v>0.54710999290879</v>
      </c>
      <c r="D136" s="53" t="n">
        <v>0.639175821101305</v>
      </c>
      <c r="E136" s="54" t="s">
        <v>945</v>
      </c>
      <c r="F136" s="53" t="n">
        <f aca="false">AVERAGE(B136:D136)</f>
        <v>0.52405315477898</v>
      </c>
      <c r="G136" s="53" t="n">
        <f aca="false">MAX(B136:D136)-MIN(B136:D136)</f>
        <v>0.253302170774459</v>
      </c>
      <c r="H136" s="54" t="n">
        <f aca="false">IF(AND(E136="Phase I",OR(F136&gt;$E$6,F136&lt;$E$7,G136&gt;$E$8)),1,0)</f>
        <v>0</v>
      </c>
      <c r="I136" s="53" t="n">
        <f aca="false">$H$4</f>
        <v>0.67278149898986</v>
      </c>
      <c r="J136" s="53" t="n">
        <f aca="false">$H$6</f>
        <v>0.959137233677579</v>
      </c>
      <c r="K136" s="53" t="n">
        <f aca="false">$H$7</f>
        <v>0.386425764302142</v>
      </c>
      <c r="L136" s="53" t="n">
        <f aca="false">$H$5</f>
        <v>0.279917629215756</v>
      </c>
      <c r="M136" s="53" t="n">
        <f aca="false">$H$8</f>
        <v>0.720507977601356</v>
      </c>
      <c r="N136" s="54" t="n">
        <f aca="false">IF(OR(F136&gt;J136,F136&lt;K136),1,0)</f>
        <v>0</v>
      </c>
      <c r="O136" s="54" t="n">
        <f aca="false">IF(G136&gt;M136,1,0)</f>
        <v>0</v>
      </c>
      <c r="P136" s="54" t="n">
        <f aca="false">SIGN(F136-I136)</f>
        <v>-1</v>
      </c>
      <c r="Q136" s="54" t="n">
        <f aca="false">IF(ABS(SUM(P129:P136))=8,1,0)</f>
        <v>0</v>
      </c>
    </row>
    <row r="137" customFormat="false" ht="15" hidden="false" customHeight="false" outlineLevel="0" collapsed="false">
      <c r="A137" s="52" t="n">
        <v>44012</v>
      </c>
      <c r="B137" s="53" t="n">
        <v>0.650076305478311</v>
      </c>
      <c r="C137" s="53" t="n">
        <v>0.7666666641326</v>
      </c>
      <c r="D137" s="53" t="n">
        <v>0.432057393916117</v>
      </c>
      <c r="E137" s="54" t="s">
        <v>945</v>
      </c>
      <c r="F137" s="53" t="n">
        <f aca="false">AVERAGE(B137:D137)</f>
        <v>0.616266787842342</v>
      </c>
      <c r="G137" s="53" t="n">
        <f aca="false">MAX(B137:D137)-MIN(B137:D137)</f>
        <v>0.334609270216484</v>
      </c>
      <c r="H137" s="54" t="n">
        <f aca="false">IF(AND(E137="Phase I",OR(F137&gt;$E$6,F137&lt;$E$7,G137&gt;$E$8)),1,0)</f>
        <v>0</v>
      </c>
      <c r="I137" s="53" t="n">
        <f aca="false">$H$4</f>
        <v>0.67278149898986</v>
      </c>
      <c r="J137" s="53" t="n">
        <f aca="false">$H$6</f>
        <v>0.959137233677579</v>
      </c>
      <c r="K137" s="53" t="n">
        <f aca="false">$H$7</f>
        <v>0.386425764302142</v>
      </c>
      <c r="L137" s="53" t="n">
        <f aca="false">$H$5</f>
        <v>0.279917629215756</v>
      </c>
      <c r="M137" s="53" t="n">
        <f aca="false">$H$8</f>
        <v>0.720507977601356</v>
      </c>
      <c r="N137" s="54" t="n">
        <f aca="false">IF(OR(F137&gt;J137,F137&lt;K137),1,0)</f>
        <v>0</v>
      </c>
      <c r="O137" s="54" t="n">
        <f aca="false">IF(G137&gt;M137,1,0)</f>
        <v>0</v>
      </c>
      <c r="P137" s="54" t="n">
        <f aca="false">SIGN(F137-I137)</f>
        <v>-1</v>
      </c>
      <c r="Q137" s="54" t="n">
        <f aca="false">IF(ABS(SUM(P130:P137))=8,1,0)</f>
        <v>0</v>
      </c>
    </row>
    <row r="138" customFormat="false" ht="15" hidden="false" customHeight="false" outlineLevel="0" collapsed="false">
      <c r="A138" s="52" t="n">
        <v>44013</v>
      </c>
      <c r="B138" s="53" t="n">
        <v>0.224675666004156</v>
      </c>
      <c r="C138" s="53" t="n">
        <v>0.82952128726752</v>
      </c>
      <c r="D138" s="53" t="n">
        <v>0.723988626017882</v>
      </c>
      <c r="E138" s="54" t="s">
        <v>945</v>
      </c>
      <c r="F138" s="53" t="n">
        <f aca="false">AVERAGE(B138:D138)</f>
        <v>0.592728526429853</v>
      </c>
      <c r="G138" s="53" t="n">
        <f aca="false">MAX(B138:D138)-MIN(B138:D138)</f>
        <v>0.604845621263365</v>
      </c>
      <c r="H138" s="54" t="n">
        <f aca="false">IF(AND(E138="Phase I",OR(F138&gt;$E$6,F138&lt;$E$7,G138&gt;$E$8)),1,0)</f>
        <v>0</v>
      </c>
      <c r="I138" s="53" t="n">
        <f aca="false">$H$4</f>
        <v>0.67278149898986</v>
      </c>
      <c r="J138" s="53" t="n">
        <f aca="false">$H$6</f>
        <v>0.959137233677579</v>
      </c>
      <c r="K138" s="53" t="n">
        <f aca="false">$H$7</f>
        <v>0.386425764302142</v>
      </c>
      <c r="L138" s="53" t="n">
        <f aca="false">$H$5</f>
        <v>0.279917629215756</v>
      </c>
      <c r="M138" s="53" t="n">
        <f aca="false">$H$8</f>
        <v>0.720507977601356</v>
      </c>
      <c r="N138" s="54" t="n">
        <f aca="false">IF(OR(F138&gt;J138,F138&lt;K138),1,0)</f>
        <v>0</v>
      </c>
      <c r="O138" s="54" t="n">
        <f aca="false">IF(G138&gt;M138,1,0)</f>
        <v>0</v>
      </c>
      <c r="P138" s="54" t="n">
        <f aca="false">SIGN(F138-I138)</f>
        <v>-1</v>
      </c>
      <c r="Q138" s="54" t="n">
        <f aca="false">IF(ABS(SUM(P131:P138))=8,1,0)</f>
        <v>0</v>
      </c>
    </row>
    <row r="139" customFormat="false" ht="15" hidden="false" customHeight="false" outlineLevel="0" collapsed="false">
      <c r="A139" s="52" t="n">
        <v>44014</v>
      </c>
      <c r="B139" s="53" t="n">
        <v>0.671721795515637</v>
      </c>
      <c r="C139" s="53" t="n">
        <v>0.762308095488972</v>
      </c>
      <c r="D139" s="53" t="n">
        <v>0.758231706736126</v>
      </c>
      <c r="E139" s="54" t="s">
        <v>945</v>
      </c>
      <c r="F139" s="53" t="n">
        <f aca="false">AVERAGE(B139:D139)</f>
        <v>0.730753865913578</v>
      </c>
      <c r="G139" s="53" t="n">
        <f aca="false">MAX(B139:D139)-MIN(B139:D139)</f>
        <v>0.0905862999733355</v>
      </c>
      <c r="H139" s="54" t="n">
        <f aca="false">IF(AND(E139="Phase I",OR(F139&gt;$E$6,F139&lt;$E$7,G139&gt;$E$8)),1,0)</f>
        <v>0</v>
      </c>
      <c r="I139" s="53" t="n">
        <f aca="false">$H$4</f>
        <v>0.67278149898986</v>
      </c>
      <c r="J139" s="53" t="n">
        <f aca="false">$H$6</f>
        <v>0.959137233677579</v>
      </c>
      <c r="K139" s="53" t="n">
        <f aca="false">$H$7</f>
        <v>0.386425764302142</v>
      </c>
      <c r="L139" s="53" t="n">
        <f aca="false">$H$5</f>
        <v>0.279917629215756</v>
      </c>
      <c r="M139" s="53" t="n">
        <f aca="false">$H$8</f>
        <v>0.720507977601356</v>
      </c>
      <c r="N139" s="54" t="n">
        <f aca="false">IF(OR(F139&gt;J139,F139&lt;K139),1,0)</f>
        <v>0</v>
      </c>
      <c r="O139" s="54" t="n">
        <f aca="false">IF(G139&gt;M139,1,0)</f>
        <v>0</v>
      </c>
      <c r="P139" s="54" t="n">
        <f aca="false">SIGN(F139-I139)</f>
        <v>1</v>
      </c>
      <c r="Q139" s="54" t="n">
        <f aca="false">IF(ABS(SUM(P132:P139))=8,1,0)</f>
        <v>0</v>
      </c>
    </row>
    <row r="140" customFormat="false" ht="15" hidden="false" customHeight="false" outlineLevel="0" collapsed="false">
      <c r="A140" s="52" t="n">
        <v>44015</v>
      </c>
      <c r="B140" s="53" t="n">
        <v>0.743602565352478</v>
      </c>
      <c r="C140" s="53" t="n">
        <v>0.675171614103937</v>
      </c>
      <c r="D140" s="53" t="n">
        <v>0.898077341916124</v>
      </c>
      <c r="E140" s="54" t="s">
        <v>945</v>
      </c>
      <c r="F140" s="53" t="n">
        <f aca="false">AVERAGE(B140:D140)</f>
        <v>0.772283840457513</v>
      </c>
      <c r="G140" s="53" t="n">
        <f aca="false">MAX(B140:D140)-MIN(B140:D140)</f>
        <v>0.222905727812187</v>
      </c>
      <c r="H140" s="54" t="n">
        <f aca="false">IF(AND(E140="Phase I",OR(F140&gt;$E$6,F140&lt;$E$7,G140&gt;$E$8)),1,0)</f>
        <v>0</v>
      </c>
      <c r="I140" s="53" t="n">
        <f aca="false">$H$4</f>
        <v>0.67278149898986</v>
      </c>
      <c r="J140" s="53" t="n">
        <f aca="false">$H$6</f>
        <v>0.959137233677579</v>
      </c>
      <c r="K140" s="53" t="n">
        <f aca="false">$H$7</f>
        <v>0.386425764302142</v>
      </c>
      <c r="L140" s="53" t="n">
        <f aca="false">$H$5</f>
        <v>0.279917629215756</v>
      </c>
      <c r="M140" s="53" t="n">
        <f aca="false">$H$8</f>
        <v>0.720507977601356</v>
      </c>
      <c r="N140" s="54" t="n">
        <f aca="false">IF(OR(F140&gt;J140,F140&lt;K140),1,0)</f>
        <v>0</v>
      </c>
      <c r="O140" s="54" t="n">
        <f aca="false">IF(G140&gt;M140,1,0)</f>
        <v>0</v>
      </c>
      <c r="P140" s="54" t="n">
        <f aca="false">SIGN(F140-I140)</f>
        <v>1</v>
      </c>
      <c r="Q140" s="54" t="n">
        <f aca="false">IF(ABS(SUM(P133:P140))=8,1,0)</f>
        <v>0</v>
      </c>
    </row>
    <row r="141" customFormat="false" ht="15" hidden="false" customHeight="false" outlineLevel="0" collapsed="false">
      <c r="A141" s="52" t="n">
        <v>44018</v>
      </c>
      <c r="B141" s="53" t="n">
        <v>0.664928414750563</v>
      </c>
      <c r="C141" s="53" t="n">
        <v>0.687433073602194</v>
      </c>
      <c r="D141" s="53" t="n">
        <v>0.578650679128943</v>
      </c>
      <c r="E141" s="54" t="s">
        <v>945</v>
      </c>
      <c r="F141" s="53" t="n">
        <f aca="false">AVERAGE(B141:D141)</f>
        <v>0.6436707224939</v>
      </c>
      <c r="G141" s="53" t="n">
        <f aca="false">MAX(B141:D141)-MIN(B141:D141)</f>
        <v>0.108782394473251</v>
      </c>
      <c r="H141" s="54" t="n">
        <f aca="false">IF(AND(E141="Phase I",OR(F141&gt;$E$6,F141&lt;$E$7,G141&gt;$E$8)),1,0)</f>
        <v>0</v>
      </c>
      <c r="I141" s="53" t="n">
        <f aca="false">$H$4</f>
        <v>0.67278149898986</v>
      </c>
      <c r="J141" s="53" t="n">
        <f aca="false">$H$6</f>
        <v>0.959137233677579</v>
      </c>
      <c r="K141" s="53" t="n">
        <f aca="false">$H$7</f>
        <v>0.386425764302142</v>
      </c>
      <c r="L141" s="53" t="n">
        <f aca="false">$H$5</f>
        <v>0.279917629215756</v>
      </c>
      <c r="M141" s="53" t="n">
        <f aca="false">$H$8</f>
        <v>0.720507977601356</v>
      </c>
      <c r="N141" s="54" t="n">
        <f aca="false">IF(OR(F141&gt;J141,F141&lt;K141),1,0)</f>
        <v>0</v>
      </c>
      <c r="O141" s="54" t="n">
        <f aca="false">IF(G141&gt;M141,1,0)</f>
        <v>0</v>
      </c>
      <c r="P141" s="54" t="n">
        <f aca="false">SIGN(F141-I141)</f>
        <v>-1</v>
      </c>
      <c r="Q141" s="54" t="n">
        <f aca="false">IF(ABS(SUM(P134:P141))=8,1,0)</f>
        <v>0</v>
      </c>
    </row>
    <row r="142" customFormat="false" ht="15" hidden="false" customHeight="false" outlineLevel="0" collapsed="false">
      <c r="A142" s="52" t="n">
        <v>44019</v>
      </c>
      <c r="B142" s="53" t="n">
        <v>0.83072451944198</v>
      </c>
      <c r="C142" s="53" t="n">
        <v>0.657902461076788</v>
      </c>
      <c r="D142" s="53" t="n">
        <v>0.654341022031223</v>
      </c>
      <c r="E142" s="54" t="s">
        <v>945</v>
      </c>
      <c r="F142" s="53" t="n">
        <f aca="false">AVERAGE(B142:D142)</f>
        <v>0.714322667516664</v>
      </c>
      <c r="G142" s="53" t="n">
        <f aca="false">MAX(B142:D142)-MIN(B142:D142)</f>
        <v>0.176383497410757</v>
      </c>
      <c r="H142" s="54" t="n">
        <f aca="false">IF(AND(E142="Phase I",OR(F142&gt;$E$6,F142&lt;$E$7,G142&gt;$E$8)),1,0)</f>
        <v>0</v>
      </c>
      <c r="I142" s="53" t="n">
        <f aca="false">$H$4</f>
        <v>0.67278149898986</v>
      </c>
      <c r="J142" s="53" t="n">
        <f aca="false">$H$6</f>
        <v>0.959137233677579</v>
      </c>
      <c r="K142" s="53" t="n">
        <f aca="false">$H$7</f>
        <v>0.386425764302142</v>
      </c>
      <c r="L142" s="53" t="n">
        <f aca="false">$H$5</f>
        <v>0.279917629215756</v>
      </c>
      <c r="M142" s="53" t="n">
        <f aca="false">$H$8</f>
        <v>0.720507977601356</v>
      </c>
      <c r="N142" s="54" t="n">
        <f aca="false">IF(OR(F142&gt;J142,F142&lt;K142),1,0)</f>
        <v>0</v>
      </c>
      <c r="O142" s="54" t="n">
        <f aca="false">IF(G142&gt;M142,1,0)</f>
        <v>0</v>
      </c>
      <c r="P142" s="54" t="n">
        <f aca="false">SIGN(F142-I142)</f>
        <v>1</v>
      </c>
      <c r="Q142" s="54" t="n">
        <f aca="false">IF(ABS(SUM(P135:P142))=8,1,0)</f>
        <v>0</v>
      </c>
    </row>
    <row r="143" customFormat="false" ht="15" hidden="false" customHeight="false" outlineLevel="0" collapsed="false">
      <c r="A143" s="52" t="n">
        <v>44020</v>
      </c>
      <c r="B143" s="53" t="n">
        <v>0.736246008305133</v>
      </c>
      <c r="C143" s="53" t="n">
        <v>0.730435921825751</v>
      </c>
      <c r="D143" s="53" t="n">
        <v>0.629926325309451</v>
      </c>
      <c r="E143" s="54" t="s">
        <v>945</v>
      </c>
      <c r="F143" s="53" t="n">
        <f aca="false">AVERAGE(B143:D143)</f>
        <v>0.698869418480111</v>
      </c>
      <c r="G143" s="53" t="n">
        <f aca="false">MAX(B143:D143)-MIN(B143:D143)</f>
        <v>0.106319682995682</v>
      </c>
      <c r="H143" s="54" t="n">
        <f aca="false">IF(AND(E143="Phase I",OR(F143&gt;$E$6,F143&lt;$E$7,G143&gt;$E$8)),1,0)</f>
        <v>0</v>
      </c>
      <c r="I143" s="53" t="n">
        <f aca="false">$H$4</f>
        <v>0.67278149898986</v>
      </c>
      <c r="J143" s="53" t="n">
        <f aca="false">$H$6</f>
        <v>0.959137233677579</v>
      </c>
      <c r="K143" s="53" t="n">
        <f aca="false">$H$7</f>
        <v>0.386425764302142</v>
      </c>
      <c r="L143" s="53" t="n">
        <f aca="false">$H$5</f>
        <v>0.279917629215756</v>
      </c>
      <c r="M143" s="53" t="n">
        <f aca="false">$H$8</f>
        <v>0.720507977601356</v>
      </c>
      <c r="N143" s="54" t="n">
        <f aca="false">IF(OR(F143&gt;J143,F143&lt;K143),1,0)</f>
        <v>0</v>
      </c>
      <c r="O143" s="54" t="n">
        <f aca="false">IF(G143&gt;M143,1,0)</f>
        <v>0</v>
      </c>
      <c r="P143" s="54" t="n">
        <f aca="false">SIGN(F143-I143)</f>
        <v>1</v>
      </c>
      <c r="Q143" s="54" t="n">
        <f aca="false">IF(ABS(SUM(P136:P143))=8,1,0)</f>
        <v>0</v>
      </c>
    </row>
    <row r="144" customFormat="false" ht="15" hidden="false" customHeight="false" outlineLevel="0" collapsed="false">
      <c r="A144" s="52" t="n">
        <v>44021</v>
      </c>
      <c r="B144" s="53" t="n">
        <v>0.685104707149293</v>
      </c>
      <c r="C144" s="53" t="n">
        <v>0.880068235297741</v>
      </c>
      <c r="D144" s="53" t="n">
        <v>0.594950463406839</v>
      </c>
      <c r="E144" s="54" t="s">
        <v>945</v>
      </c>
      <c r="F144" s="53" t="n">
        <f aca="false">AVERAGE(B144:D144)</f>
        <v>0.720041135284624</v>
      </c>
      <c r="G144" s="53" t="n">
        <f aca="false">MAX(B144:D144)-MIN(B144:D144)</f>
        <v>0.285117771890902</v>
      </c>
      <c r="H144" s="54" t="n">
        <f aca="false">IF(AND(E144="Phase I",OR(F144&gt;$E$6,F144&lt;$E$7,G144&gt;$E$8)),1,0)</f>
        <v>0</v>
      </c>
      <c r="I144" s="53" t="n">
        <f aca="false">$H$4</f>
        <v>0.67278149898986</v>
      </c>
      <c r="J144" s="53" t="n">
        <f aca="false">$H$6</f>
        <v>0.959137233677579</v>
      </c>
      <c r="K144" s="53" t="n">
        <f aca="false">$H$7</f>
        <v>0.386425764302142</v>
      </c>
      <c r="L144" s="53" t="n">
        <f aca="false">$H$5</f>
        <v>0.279917629215756</v>
      </c>
      <c r="M144" s="53" t="n">
        <f aca="false">$H$8</f>
        <v>0.720507977601356</v>
      </c>
      <c r="N144" s="54" t="n">
        <f aca="false">IF(OR(F144&gt;J144,F144&lt;K144),1,0)</f>
        <v>0</v>
      </c>
      <c r="O144" s="54" t="n">
        <f aca="false">IF(G144&gt;M144,1,0)</f>
        <v>0</v>
      </c>
      <c r="P144" s="54" t="n">
        <f aca="false">SIGN(F144-I144)</f>
        <v>1</v>
      </c>
      <c r="Q144" s="54" t="n">
        <f aca="false">IF(ABS(SUM(P137:P144))=8,1,0)</f>
        <v>0</v>
      </c>
    </row>
    <row r="145" customFormat="false" ht="15" hidden="false" customHeight="false" outlineLevel="0" collapsed="false">
      <c r="A145" s="52" t="n">
        <v>44022</v>
      </c>
      <c r="B145" s="53" t="n">
        <v>0.442272702976272</v>
      </c>
      <c r="C145" s="53" t="n">
        <v>0.845474491107441</v>
      </c>
      <c r="D145" s="53" t="n">
        <v>0.790256186716621</v>
      </c>
      <c r="E145" s="54" t="s">
        <v>945</v>
      </c>
      <c r="F145" s="53" t="n">
        <f aca="false">AVERAGE(B145:D145)</f>
        <v>0.692667793600112</v>
      </c>
      <c r="G145" s="53" t="n">
        <f aca="false">MAX(B145:D145)-MIN(B145:D145)</f>
        <v>0.40320178813117</v>
      </c>
      <c r="H145" s="54" t="n">
        <f aca="false">IF(AND(E145="Phase I",OR(F145&gt;$E$6,F145&lt;$E$7,G145&gt;$E$8)),1,0)</f>
        <v>0</v>
      </c>
      <c r="I145" s="53" t="n">
        <f aca="false">$H$4</f>
        <v>0.67278149898986</v>
      </c>
      <c r="J145" s="53" t="n">
        <f aca="false">$H$6</f>
        <v>0.959137233677579</v>
      </c>
      <c r="K145" s="53" t="n">
        <f aca="false">$H$7</f>
        <v>0.386425764302142</v>
      </c>
      <c r="L145" s="53" t="n">
        <f aca="false">$H$5</f>
        <v>0.279917629215756</v>
      </c>
      <c r="M145" s="53" t="n">
        <f aca="false">$H$8</f>
        <v>0.720507977601356</v>
      </c>
      <c r="N145" s="54" t="n">
        <f aca="false">IF(OR(F145&gt;J145,F145&lt;K145),1,0)</f>
        <v>0</v>
      </c>
      <c r="O145" s="54" t="n">
        <f aca="false">IF(G145&gt;M145,1,0)</f>
        <v>0</v>
      </c>
      <c r="P145" s="54" t="n">
        <f aca="false">SIGN(F145-I145)</f>
        <v>1</v>
      </c>
      <c r="Q145" s="54" t="n">
        <f aca="false">IF(ABS(SUM(P138:P145))=8,1,0)</f>
        <v>0</v>
      </c>
    </row>
    <row r="146" customFormat="false" ht="15" hidden="false" customHeight="false" outlineLevel="0" collapsed="false">
      <c r="A146" s="52" t="n">
        <v>44024</v>
      </c>
      <c r="B146" s="53" t="n">
        <v>0</v>
      </c>
      <c r="C146" s="53" t="n">
        <v>0.103489797122191</v>
      </c>
      <c r="D146" s="53" t="n">
        <v>0.753617343920591</v>
      </c>
      <c r="E146" s="54" t="s">
        <v>945</v>
      </c>
      <c r="F146" s="53" t="n">
        <f aca="false">AVERAGE(B146:D146)</f>
        <v>0.285702380347594</v>
      </c>
      <c r="G146" s="53" t="n">
        <f aca="false">MAX(B146:D146)-MIN(B146:D146)</f>
        <v>0.753617343920591</v>
      </c>
      <c r="H146" s="54" t="n">
        <f aca="false">IF(AND(E146="Phase I",OR(F146&gt;$E$6,F146&lt;$E$7,G146&gt;$E$8)),1,0)</f>
        <v>0</v>
      </c>
      <c r="I146" s="53" t="n">
        <f aca="false">$H$4</f>
        <v>0.67278149898986</v>
      </c>
      <c r="J146" s="53" t="n">
        <f aca="false">$H$6</f>
        <v>0.959137233677579</v>
      </c>
      <c r="K146" s="53" t="n">
        <f aca="false">$H$7</f>
        <v>0.386425764302142</v>
      </c>
      <c r="L146" s="53" t="n">
        <f aca="false">$H$5</f>
        <v>0.279917629215756</v>
      </c>
      <c r="M146" s="53" t="n">
        <f aca="false">$H$8</f>
        <v>0.720507977601356</v>
      </c>
      <c r="N146" s="54" t="n">
        <f aca="false">IF(OR(F146&gt;J146,F146&lt;K146),1,0)</f>
        <v>1</v>
      </c>
      <c r="O146" s="54" t="n">
        <f aca="false">IF(G146&gt;M146,1,0)</f>
        <v>1</v>
      </c>
      <c r="P146" s="54" t="n">
        <f aca="false">SIGN(F146-I146)</f>
        <v>-1</v>
      </c>
      <c r="Q146" s="54" t="n">
        <f aca="false">IF(ABS(SUM(P139:P146))=8,1,0)</f>
        <v>0</v>
      </c>
    </row>
    <row r="147" customFormat="false" ht="15" hidden="false" customHeight="false" outlineLevel="0" collapsed="false">
      <c r="A147" s="52" t="n">
        <v>44025</v>
      </c>
      <c r="B147" s="53" t="n">
        <v>0.7228417357557</v>
      </c>
      <c r="C147" s="53" t="n">
        <v>0.839258103028684</v>
      </c>
      <c r="D147" s="53" t="n">
        <v>0.462168525321005</v>
      </c>
      <c r="E147" s="54" t="s">
        <v>945</v>
      </c>
      <c r="F147" s="53" t="n">
        <f aca="false">AVERAGE(B147:D147)</f>
        <v>0.674756121368463</v>
      </c>
      <c r="G147" s="53" t="n">
        <f aca="false">MAX(B147:D147)-MIN(B147:D147)</f>
        <v>0.377089577707679</v>
      </c>
      <c r="H147" s="54" t="n">
        <f aca="false">IF(AND(E147="Phase I",OR(F147&gt;$E$6,F147&lt;$E$7,G147&gt;$E$8)),1,0)</f>
        <v>0</v>
      </c>
      <c r="I147" s="53" t="n">
        <f aca="false">$H$4</f>
        <v>0.67278149898986</v>
      </c>
      <c r="J147" s="53" t="n">
        <f aca="false">$H$6</f>
        <v>0.959137233677579</v>
      </c>
      <c r="K147" s="53" t="n">
        <f aca="false">$H$7</f>
        <v>0.386425764302142</v>
      </c>
      <c r="L147" s="53" t="n">
        <f aca="false">$H$5</f>
        <v>0.279917629215756</v>
      </c>
      <c r="M147" s="53" t="n">
        <f aca="false">$H$8</f>
        <v>0.720507977601356</v>
      </c>
      <c r="N147" s="54" t="n">
        <f aca="false">IF(OR(F147&gt;J147,F147&lt;K147),1,0)</f>
        <v>0</v>
      </c>
      <c r="O147" s="54" t="n">
        <f aca="false">IF(G147&gt;M147,1,0)</f>
        <v>0</v>
      </c>
      <c r="P147" s="54" t="n">
        <f aca="false">SIGN(F147-I147)</f>
        <v>1</v>
      </c>
      <c r="Q147" s="54" t="n">
        <f aca="false">IF(ABS(SUM(P140:P147))=8,1,0)</f>
        <v>0</v>
      </c>
    </row>
    <row r="148" customFormat="false" ht="15" hidden="false" customHeight="false" outlineLevel="0" collapsed="false">
      <c r="A148" s="52" t="n">
        <v>44026</v>
      </c>
      <c r="B148" s="53" t="n">
        <v>0.62368910157001</v>
      </c>
      <c r="C148" s="53" t="n">
        <v>0.547084464038197</v>
      </c>
      <c r="D148" s="53" t="n">
        <v>0.734922698956835</v>
      </c>
      <c r="E148" s="54" t="s">
        <v>945</v>
      </c>
      <c r="F148" s="53" t="n">
        <f aca="false">AVERAGE(B148:D148)</f>
        <v>0.635232088188347</v>
      </c>
      <c r="G148" s="53" t="n">
        <f aca="false">MAX(B148:D148)-MIN(B148:D148)</f>
        <v>0.187838234918638</v>
      </c>
      <c r="H148" s="54" t="n">
        <f aca="false">IF(AND(E148="Phase I",OR(F148&gt;$E$6,F148&lt;$E$7,G148&gt;$E$8)),1,0)</f>
        <v>0</v>
      </c>
      <c r="I148" s="53" t="n">
        <f aca="false">$H$4</f>
        <v>0.67278149898986</v>
      </c>
      <c r="J148" s="53" t="n">
        <f aca="false">$H$6</f>
        <v>0.959137233677579</v>
      </c>
      <c r="K148" s="53" t="n">
        <f aca="false">$H$7</f>
        <v>0.386425764302142</v>
      </c>
      <c r="L148" s="53" t="n">
        <f aca="false">$H$5</f>
        <v>0.279917629215756</v>
      </c>
      <c r="M148" s="53" t="n">
        <f aca="false">$H$8</f>
        <v>0.720507977601356</v>
      </c>
      <c r="N148" s="54" t="n">
        <f aca="false">IF(OR(F148&gt;J148,F148&lt;K148),1,0)</f>
        <v>0</v>
      </c>
      <c r="O148" s="54" t="n">
        <f aca="false">IF(G148&gt;M148,1,0)</f>
        <v>0</v>
      </c>
      <c r="P148" s="54" t="n">
        <f aca="false">SIGN(F148-I148)</f>
        <v>-1</v>
      </c>
      <c r="Q148" s="54" t="n">
        <f aca="false">IF(ABS(SUM(P141:P148))=8,1,0)</f>
        <v>0</v>
      </c>
    </row>
    <row r="149" customFormat="false" ht="15" hidden="false" customHeight="false" outlineLevel="0" collapsed="false">
      <c r="A149" s="52" t="n">
        <v>44027</v>
      </c>
      <c r="B149" s="53" t="n">
        <v>0.636303265144832</v>
      </c>
      <c r="C149" s="53" t="n">
        <v>0.745526321734255</v>
      </c>
      <c r="D149" s="53" t="n">
        <v>0.637149271727247</v>
      </c>
      <c r="E149" s="54" t="s">
        <v>945</v>
      </c>
      <c r="F149" s="53" t="n">
        <f aca="false">AVERAGE(B149:D149)</f>
        <v>0.672992952868778</v>
      </c>
      <c r="G149" s="53" t="n">
        <f aca="false">MAX(B149:D149)-MIN(B149:D149)</f>
        <v>0.109223056589423</v>
      </c>
      <c r="H149" s="54" t="n">
        <f aca="false">IF(AND(E149="Phase I",OR(F149&gt;$E$6,F149&lt;$E$7,G149&gt;$E$8)),1,0)</f>
        <v>0</v>
      </c>
      <c r="I149" s="53" t="n">
        <f aca="false">$H$4</f>
        <v>0.67278149898986</v>
      </c>
      <c r="J149" s="53" t="n">
        <f aca="false">$H$6</f>
        <v>0.959137233677579</v>
      </c>
      <c r="K149" s="53" t="n">
        <f aca="false">$H$7</f>
        <v>0.386425764302142</v>
      </c>
      <c r="L149" s="53" t="n">
        <f aca="false">$H$5</f>
        <v>0.279917629215756</v>
      </c>
      <c r="M149" s="53" t="n">
        <f aca="false">$H$8</f>
        <v>0.720507977601356</v>
      </c>
      <c r="N149" s="54" t="n">
        <f aca="false">IF(OR(F149&gt;J149,F149&lt;K149),1,0)</f>
        <v>0</v>
      </c>
      <c r="O149" s="54" t="n">
        <f aca="false">IF(G149&gt;M149,1,0)</f>
        <v>0</v>
      </c>
      <c r="P149" s="54" t="n">
        <f aca="false">SIGN(F149-I149)</f>
        <v>1</v>
      </c>
      <c r="Q149" s="54" t="n">
        <f aca="false">IF(ABS(SUM(P142:P149))=8,1,0)</f>
        <v>0</v>
      </c>
    </row>
    <row r="150" customFormat="false" ht="15" hidden="false" customHeight="false" outlineLevel="0" collapsed="false">
      <c r="A150" s="52" t="n">
        <v>44028</v>
      </c>
      <c r="B150" s="53" t="n">
        <v>0.534209933028008</v>
      </c>
      <c r="C150" s="53" t="n">
        <v>0.595725222367125</v>
      </c>
      <c r="D150" s="53" t="n">
        <v>0.566290810778711</v>
      </c>
      <c r="E150" s="54" t="s">
        <v>945</v>
      </c>
      <c r="F150" s="53" t="n">
        <f aca="false">AVERAGE(B150:D150)</f>
        <v>0.565408655391281</v>
      </c>
      <c r="G150" s="53" t="n">
        <f aca="false">MAX(B150:D150)-MIN(B150:D150)</f>
        <v>0.0615152893391167</v>
      </c>
      <c r="H150" s="54" t="n">
        <f aca="false">IF(AND(E150="Phase I",OR(F150&gt;$E$6,F150&lt;$E$7,G150&gt;$E$8)),1,0)</f>
        <v>0</v>
      </c>
      <c r="I150" s="53" t="n">
        <f aca="false">$H$4</f>
        <v>0.67278149898986</v>
      </c>
      <c r="J150" s="53" t="n">
        <f aca="false">$H$6</f>
        <v>0.959137233677579</v>
      </c>
      <c r="K150" s="53" t="n">
        <f aca="false">$H$7</f>
        <v>0.386425764302142</v>
      </c>
      <c r="L150" s="53" t="n">
        <f aca="false">$H$5</f>
        <v>0.279917629215756</v>
      </c>
      <c r="M150" s="53" t="n">
        <f aca="false">$H$8</f>
        <v>0.720507977601356</v>
      </c>
      <c r="N150" s="54" t="n">
        <f aca="false">IF(OR(F150&gt;J150,F150&lt;K150),1,0)</f>
        <v>0</v>
      </c>
      <c r="O150" s="54" t="n">
        <f aca="false">IF(G150&gt;M150,1,0)</f>
        <v>0</v>
      </c>
      <c r="P150" s="54" t="n">
        <f aca="false">SIGN(F150-I150)</f>
        <v>-1</v>
      </c>
      <c r="Q150" s="54" t="n">
        <f aca="false">IF(ABS(SUM(P143:P150))=8,1,0)</f>
        <v>0</v>
      </c>
    </row>
    <row r="151" customFormat="false" ht="15" hidden="false" customHeight="false" outlineLevel="0" collapsed="false">
      <c r="A151" s="52" t="n">
        <v>44029</v>
      </c>
      <c r="B151" s="53" t="n">
        <v>0.675213120057811</v>
      </c>
      <c r="C151" s="53" t="n">
        <v>0.621027724163551</v>
      </c>
      <c r="D151" s="53" t="n">
        <v>0.705294576317835</v>
      </c>
      <c r="E151" s="54" t="s">
        <v>945</v>
      </c>
      <c r="F151" s="53" t="n">
        <f aca="false">AVERAGE(B151:D151)</f>
        <v>0.667178473513066</v>
      </c>
      <c r="G151" s="53" t="n">
        <f aca="false">MAX(B151:D151)-MIN(B151:D151)</f>
        <v>0.0842668521542848</v>
      </c>
      <c r="H151" s="54" t="n">
        <f aca="false">IF(AND(E151="Phase I",OR(F151&gt;$E$6,F151&lt;$E$7,G151&gt;$E$8)),1,0)</f>
        <v>0</v>
      </c>
      <c r="I151" s="53" t="n">
        <f aca="false">$H$4</f>
        <v>0.67278149898986</v>
      </c>
      <c r="J151" s="53" t="n">
        <f aca="false">$H$6</f>
        <v>0.959137233677579</v>
      </c>
      <c r="K151" s="53" t="n">
        <f aca="false">$H$7</f>
        <v>0.386425764302142</v>
      </c>
      <c r="L151" s="53" t="n">
        <f aca="false">$H$5</f>
        <v>0.279917629215756</v>
      </c>
      <c r="M151" s="53" t="n">
        <f aca="false">$H$8</f>
        <v>0.720507977601356</v>
      </c>
      <c r="N151" s="54" t="n">
        <f aca="false">IF(OR(F151&gt;J151,F151&lt;K151),1,0)</f>
        <v>0</v>
      </c>
      <c r="O151" s="54" t="n">
        <f aca="false">IF(G151&gt;M151,1,0)</f>
        <v>0</v>
      </c>
      <c r="P151" s="54" t="n">
        <f aca="false">SIGN(F151-I151)</f>
        <v>-1</v>
      </c>
      <c r="Q151" s="54" t="n">
        <f aca="false">IF(ABS(SUM(P144:P151))=8,1,0)</f>
        <v>0</v>
      </c>
    </row>
    <row r="152" customFormat="false" ht="15" hidden="false" customHeight="false" outlineLevel="0" collapsed="false">
      <c r="A152" s="52" t="n">
        <v>44033</v>
      </c>
      <c r="B152" s="53" t="n">
        <v>0.292579252976594</v>
      </c>
      <c r="C152" s="53" t="n">
        <v>0.740510943765905</v>
      </c>
      <c r="D152" s="53" t="n">
        <v>0.597914524539806</v>
      </c>
      <c r="E152" s="54" t="s">
        <v>945</v>
      </c>
      <c r="F152" s="53" t="n">
        <f aca="false">AVERAGE(B152:D152)</f>
        <v>0.543668240427435</v>
      </c>
      <c r="G152" s="53" t="n">
        <f aca="false">MAX(B152:D152)-MIN(B152:D152)</f>
        <v>0.447931690789312</v>
      </c>
      <c r="H152" s="54" t="n">
        <f aca="false">IF(AND(E152="Phase I",OR(F152&gt;$E$6,F152&lt;$E$7,G152&gt;$E$8)),1,0)</f>
        <v>0</v>
      </c>
      <c r="I152" s="53" t="n">
        <f aca="false">$H$4</f>
        <v>0.67278149898986</v>
      </c>
      <c r="J152" s="53" t="n">
        <f aca="false">$H$6</f>
        <v>0.959137233677579</v>
      </c>
      <c r="K152" s="53" t="n">
        <f aca="false">$H$7</f>
        <v>0.386425764302142</v>
      </c>
      <c r="L152" s="53" t="n">
        <f aca="false">$H$5</f>
        <v>0.279917629215756</v>
      </c>
      <c r="M152" s="53" t="n">
        <f aca="false">$H$8</f>
        <v>0.720507977601356</v>
      </c>
      <c r="N152" s="54" t="n">
        <f aca="false">IF(OR(F152&gt;J152,F152&lt;K152),1,0)</f>
        <v>0</v>
      </c>
      <c r="O152" s="54" t="n">
        <f aca="false">IF(G152&gt;M152,1,0)</f>
        <v>0</v>
      </c>
      <c r="P152" s="54" t="n">
        <f aca="false">SIGN(F152-I152)</f>
        <v>-1</v>
      </c>
      <c r="Q152" s="54" t="n">
        <f aca="false">IF(ABS(SUM(P145:P152))=8,1,0)</f>
        <v>0</v>
      </c>
    </row>
    <row r="153" customFormat="false" ht="15" hidden="false" customHeight="false" outlineLevel="0" collapsed="false">
      <c r="A153" s="52" t="n">
        <v>44034</v>
      </c>
      <c r="B153" s="53" t="n">
        <v>0.647709993666257</v>
      </c>
      <c r="C153" s="53" t="n">
        <v>0.831885986011306</v>
      </c>
      <c r="D153" s="53" t="n">
        <v>0.620907998112088</v>
      </c>
      <c r="E153" s="54" t="s">
        <v>945</v>
      </c>
      <c r="F153" s="53" t="n">
        <f aca="false">AVERAGE(B153:D153)</f>
        <v>0.70016799259655</v>
      </c>
      <c r="G153" s="53" t="n">
        <f aca="false">MAX(B153:D153)-MIN(B153:D153)</f>
        <v>0.210977987899218</v>
      </c>
      <c r="H153" s="54" t="n">
        <f aca="false">IF(AND(E153="Phase I",OR(F153&gt;$E$6,F153&lt;$E$7,G153&gt;$E$8)),1,0)</f>
        <v>0</v>
      </c>
      <c r="I153" s="53" t="n">
        <f aca="false">$H$4</f>
        <v>0.67278149898986</v>
      </c>
      <c r="J153" s="53" t="n">
        <f aca="false">$H$6</f>
        <v>0.959137233677579</v>
      </c>
      <c r="K153" s="53" t="n">
        <f aca="false">$H$7</f>
        <v>0.386425764302142</v>
      </c>
      <c r="L153" s="53" t="n">
        <f aca="false">$H$5</f>
        <v>0.279917629215756</v>
      </c>
      <c r="M153" s="53" t="n">
        <f aca="false">$H$8</f>
        <v>0.720507977601356</v>
      </c>
      <c r="N153" s="54" t="n">
        <f aca="false">IF(OR(F153&gt;J153,F153&lt;K153),1,0)</f>
        <v>0</v>
      </c>
      <c r="O153" s="54" t="n">
        <f aca="false">IF(G153&gt;M153,1,0)</f>
        <v>0</v>
      </c>
      <c r="P153" s="54" t="n">
        <f aca="false">SIGN(F153-I153)</f>
        <v>1</v>
      </c>
      <c r="Q153" s="54" t="n">
        <f aca="false">IF(ABS(SUM(P146:P153))=8,1,0)</f>
        <v>0</v>
      </c>
    </row>
    <row r="154" customFormat="false" ht="15" hidden="false" customHeight="false" outlineLevel="0" collapsed="false">
      <c r="A154" s="52" t="n">
        <v>44035</v>
      </c>
      <c r="B154" s="53" t="n">
        <v>0.691316133596138</v>
      </c>
      <c r="C154" s="53" t="n">
        <v>0.689145901495689</v>
      </c>
      <c r="D154" s="53" t="n">
        <v>0.832225582955799</v>
      </c>
      <c r="E154" s="54" t="s">
        <v>945</v>
      </c>
      <c r="F154" s="53" t="n">
        <f aca="false">AVERAGE(B154:D154)</f>
        <v>0.737562539349209</v>
      </c>
      <c r="G154" s="53" t="n">
        <f aca="false">MAX(B154:D154)-MIN(B154:D154)</f>
        <v>0.14307968146011</v>
      </c>
      <c r="H154" s="54" t="n">
        <f aca="false">IF(AND(E154="Phase I",OR(F154&gt;$E$6,F154&lt;$E$7,G154&gt;$E$8)),1,0)</f>
        <v>0</v>
      </c>
      <c r="I154" s="53" t="n">
        <f aca="false">$H$4</f>
        <v>0.67278149898986</v>
      </c>
      <c r="J154" s="53" t="n">
        <f aca="false">$H$6</f>
        <v>0.959137233677579</v>
      </c>
      <c r="K154" s="53" t="n">
        <f aca="false">$H$7</f>
        <v>0.386425764302142</v>
      </c>
      <c r="L154" s="53" t="n">
        <f aca="false">$H$5</f>
        <v>0.279917629215756</v>
      </c>
      <c r="M154" s="53" t="n">
        <f aca="false">$H$8</f>
        <v>0.720507977601356</v>
      </c>
      <c r="N154" s="54" t="n">
        <f aca="false">IF(OR(F154&gt;J154,F154&lt;K154),1,0)</f>
        <v>0</v>
      </c>
      <c r="O154" s="54" t="n">
        <f aca="false">IF(G154&gt;M154,1,0)</f>
        <v>0</v>
      </c>
      <c r="P154" s="54" t="n">
        <f aca="false">SIGN(F154-I154)</f>
        <v>1</v>
      </c>
      <c r="Q154" s="54" t="n">
        <f aca="false">IF(ABS(SUM(P147:P154))=8,1,0)</f>
        <v>0</v>
      </c>
    </row>
    <row r="155" customFormat="false" ht="15" hidden="false" customHeight="false" outlineLevel="0" collapsed="false">
      <c r="A155" s="52" t="n">
        <v>44036</v>
      </c>
      <c r="B155" s="53" t="n">
        <v>0.592852246980761</v>
      </c>
      <c r="C155" s="53" t="n">
        <v>0.708777934755892</v>
      </c>
      <c r="D155" s="53" t="n">
        <v>0.714112456730781</v>
      </c>
      <c r="E155" s="54" t="s">
        <v>945</v>
      </c>
      <c r="F155" s="53" t="n">
        <f aca="false">AVERAGE(B155:D155)</f>
        <v>0.671914212822478</v>
      </c>
      <c r="G155" s="53" t="n">
        <f aca="false">MAX(B155:D155)-MIN(B155:D155)</f>
        <v>0.121260209750021</v>
      </c>
      <c r="H155" s="54" t="n">
        <f aca="false">IF(AND(E155="Phase I",OR(F155&gt;$E$6,F155&lt;$E$7,G155&gt;$E$8)),1,0)</f>
        <v>0</v>
      </c>
      <c r="I155" s="53" t="n">
        <f aca="false">$H$4</f>
        <v>0.67278149898986</v>
      </c>
      <c r="J155" s="53" t="n">
        <f aca="false">$H$6</f>
        <v>0.959137233677579</v>
      </c>
      <c r="K155" s="53" t="n">
        <f aca="false">$H$7</f>
        <v>0.386425764302142</v>
      </c>
      <c r="L155" s="53" t="n">
        <f aca="false">$H$5</f>
        <v>0.279917629215756</v>
      </c>
      <c r="M155" s="53" t="n">
        <f aca="false">$H$8</f>
        <v>0.720507977601356</v>
      </c>
      <c r="N155" s="54" t="n">
        <f aca="false">IF(OR(F155&gt;J155,F155&lt;K155),1,0)</f>
        <v>0</v>
      </c>
      <c r="O155" s="54" t="n">
        <f aca="false">IF(G155&gt;M155,1,0)</f>
        <v>0</v>
      </c>
      <c r="P155" s="54" t="n">
        <f aca="false">SIGN(F155-I155)</f>
        <v>-1</v>
      </c>
      <c r="Q155" s="54" t="n">
        <f aca="false">IF(ABS(SUM(P148:P155))=8,1,0)</f>
        <v>0</v>
      </c>
    </row>
    <row r="156" customFormat="false" ht="15" hidden="false" customHeight="false" outlineLevel="0" collapsed="false">
      <c r="A156" s="52" t="n">
        <v>44039</v>
      </c>
      <c r="B156" s="53" t="n">
        <v>0.280332678835368</v>
      </c>
      <c r="C156" s="53" t="n">
        <v>0.525858916938953</v>
      </c>
      <c r="D156" s="53" t="n">
        <v>0.749530954015635</v>
      </c>
      <c r="E156" s="54" t="s">
        <v>945</v>
      </c>
      <c r="F156" s="53" t="n">
        <f aca="false">AVERAGE(B156:D156)</f>
        <v>0.518574183263319</v>
      </c>
      <c r="G156" s="53" t="n">
        <f aca="false">MAX(B156:D156)-MIN(B156:D156)</f>
        <v>0.469198275180268</v>
      </c>
      <c r="H156" s="54" t="n">
        <f aca="false">IF(AND(E156="Phase I",OR(F156&gt;$E$6,F156&lt;$E$7,G156&gt;$E$8)),1,0)</f>
        <v>0</v>
      </c>
      <c r="I156" s="53" t="n">
        <f aca="false">$H$4</f>
        <v>0.67278149898986</v>
      </c>
      <c r="J156" s="53" t="n">
        <f aca="false">$H$6</f>
        <v>0.959137233677579</v>
      </c>
      <c r="K156" s="53" t="n">
        <f aca="false">$H$7</f>
        <v>0.386425764302142</v>
      </c>
      <c r="L156" s="53" t="n">
        <f aca="false">$H$5</f>
        <v>0.279917629215756</v>
      </c>
      <c r="M156" s="53" t="n">
        <f aca="false">$H$8</f>
        <v>0.720507977601356</v>
      </c>
      <c r="N156" s="54" t="n">
        <f aca="false">IF(OR(F156&gt;J156,F156&lt;K156),1,0)</f>
        <v>0</v>
      </c>
      <c r="O156" s="54" t="n">
        <f aca="false">IF(G156&gt;M156,1,0)</f>
        <v>0</v>
      </c>
      <c r="P156" s="54" t="n">
        <f aca="false">SIGN(F156-I156)</f>
        <v>-1</v>
      </c>
      <c r="Q156" s="54" t="n">
        <f aca="false">IF(ABS(SUM(P149:P156))=8,1,0)</f>
        <v>0</v>
      </c>
    </row>
    <row r="157" customFormat="false" ht="15" hidden="false" customHeight="false" outlineLevel="0" collapsed="false">
      <c r="A157" s="52" t="n">
        <v>44040</v>
      </c>
      <c r="B157" s="53" t="n">
        <v>0.847130973948571</v>
      </c>
      <c r="C157" s="53" t="n">
        <v>0.752944803623998</v>
      </c>
      <c r="D157" s="53" t="n">
        <v>0.190149999910263</v>
      </c>
      <c r="E157" s="54" t="s">
        <v>945</v>
      </c>
      <c r="F157" s="53" t="n">
        <f aca="false">AVERAGE(B157:D157)</f>
        <v>0.596741925827611</v>
      </c>
      <c r="G157" s="53" t="n">
        <f aca="false">MAX(B157:D157)-MIN(B157:D157)</f>
        <v>0.656980974038308</v>
      </c>
      <c r="H157" s="54" t="n">
        <f aca="false">IF(AND(E157="Phase I",OR(F157&gt;$E$6,F157&lt;$E$7,G157&gt;$E$8)),1,0)</f>
        <v>0</v>
      </c>
      <c r="I157" s="53" t="n">
        <f aca="false">$H$4</f>
        <v>0.67278149898986</v>
      </c>
      <c r="J157" s="53" t="n">
        <f aca="false">$H$6</f>
        <v>0.959137233677579</v>
      </c>
      <c r="K157" s="53" t="n">
        <f aca="false">$H$7</f>
        <v>0.386425764302142</v>
      </c>
      <c r="L157" s="53" t="n">
        <f aca="false">$H$5</f>
        <v>0.279917629215756</v>
      </c>
      <c r="M157" s="53" t="n">
        <f aca="false">$H$8</f>
        <v>0.720507977601356</v>
      </c>
      <c r="N157" s="54" t="n">
        <f aca="false">IF(OR(F157&gt;J157,F157&lt;K157),1,0)</f>
        <v>0</v>
      </c>
      <c r="O157" s="54" t="n">
        <f aca="false">IF(G157&gt;M157,1,0)</f>
        <v>0</v>
      </c>
      <c r="P157" s="54" t="n">
        <f aca="false">SIGN(F157-I157)</f>
        <v>-1</v>
      </c>
      <c r="Q157" s="54" t="n">
        <f aca="false">IF(ABS(SUM(P150:P157))=8,1,0)</f>
        <v>0</v>
      </c>
    </row>
    <row r="158" customFormat="false" ht="15" hidden="false" customHeight="false" outlineLevel="0" collapsed="false">
      <c r="A158" s="52" t="n">
        <v>44041</v>
      </c>
      <c r="B158" s="53" t="n">
        <v>0</v>
      </c>
      <c r="C158" s="53" t="n">
        <v>0.764852962513983</v>
      </c>
      <c r="D158" s="53" t="n">
        <v>0.780059614843053</v>
      </c>
      <c r="E158" s="54" t="s">
        <v>945</v>
      </c>
      <c r="F158" s="53" t="n">
        <f aca="false">AVERAGE(B158:D158)</f>
        <v>0.514970859119012</v>
      </c>
      <c r="G158" s="53" t="n">
        <f aca="false">MAX(B158:D158)-MIN(B158:D158)</f>
        <v>0.780059614843053</v>
      </c>
      <c r="H158" s="54" t="n">
        <f aca="false">IF(AND(E158="Phase I",OR(F158&gt;$E$6,F158&lt;$E$7,G158&gt;$E$8)),1,0)</f>
        <v>0</v>
      </c>
      <c r="I158" s="53" t="n">
        <f aca="false">$H$4</f>
        <v>0.67278149898986</v>
      </c>
      <c r="J158" s="53" t="n">
        <f aca="false">$H$6</f>
        <v>0.959137233677579</v>
      </c>
      <c r="K158" s="53" t="n">
        <f aca="false">$H$7</f>
        <v>0.386425764302142</v>
      </c>
      <c r="L158" s="53" t="n">
        <f aca="false">$H$5</f>
        <v>0.279917629215756</v>
      </c>
      <c r="M158" s="53" t="n">
        <f aca="false">$H$8</f>
        <v>0.720507977601356</v>
      </c>
      <c r="N158" s="54" t="n">
        <f aca="false">IF(OR(F158&gt;J158,F158&lt;K158),1,0)</f>
        <v>0</v>
      </c>
      <c r="O158" s="54" t="n">
        <f aca="false">IF(G158&gt;M158,1,0)</f>
        <v>1</v>
      </c>
      <c r="P158" s="54" t="n">
        <f aca="false">SIGN(F158-I158)</f>
        <v>-1</v>
      </c>
      <c r="Q158" s="54" t="n">
        <f aca="false">IF(ABS(SUM(P151:P158))=8,1,0)</f>
        <v>0</v>
      </c>
    </row>
    <row r="159" customFormat="false" ht="15" hidden="false" customHeight="false" outlineLevel="0" collapsed="false">
      <c r="A159" s="52" t="n">
        <v>44042</v>
      </c>
      <c r="B159" s="53" t="n">
        <v>0.649035410083018</v>
      </c>
      <c r="C159" s="53" t="n">
        <v>0.450685335582021</v>
      </c>
      <c r="D159" s="53" t="n">
        <v>0.512818089271885</v>
      </c>
      <c r="E159" s="54" t="s">
        <v>945</v>
      </c>
      <c r="F159" s="53" t="n">
        <f aca="false">AVERAGE(B159:D159)</f>
        <v>0.537512944978975</v>
      </c>
      <c r="G159" s="53" t="n">
        <f aca="false">MAX(B159:D159)-MIN(B159:D159)</f>
        <v>0.198350074500996</v>
      </c>
      <c r="H159" s="54" t="n">
        <f aca="false">IF(AND(E159="Phase I",OR(F159&gt;$E$6,F159&lt;$E$7,G159&gt;$E$8)),1,0)</f>
        <v>0</v>
      </c>
      <c r="I159" s="53" t="n">
        <f aca="false">$H$4</f>
        <v>0.67278149898986</v>
      </c>
      <c r="J159" s="53" t="n">
        <f aca="false">$H$6</f>
        <v>0.959137233677579</v>
      </c>
      <c r="K159" s="53" t="n">
        <f aca="false">$H$7</f>
        <v>0.386425764302142</v>
      </c>
      <c r="L159" s="53" t="n">
        <f aca="false">$H$5</f>
        <v>0.279917629215756</v>
      </c>
      <c r="M159" s="53" t="n">
        <f aca="false">$H$8</f>
        <v>0.720507977601356</v>
      </c>
      <c r="N159" s="54" t="n">
        <f aca="false">IF(OR(F159&gt;J159,F159&lt;K159),1,0)</f>
        <v>0</v>
      </c>
      <c r="O159" s="54" t="n">
        <f aca="false">IF(G159&gt;M159,1,0)</f>
        <v>0</v>
      </c>
      <c r="P159" s="54" t="n">
        <f aca="false">SIGN(F159-I159)</f>
        <v>-1</v>
      </c>
      <c r="Q159" s="54" t="n">
        <f aca="false">IF(ABS(SUM(P152:P159))=8,1,0)</f>
        <v>0</v>
      </c>
    </row>
    <row r="160" customFormat="false" ht="15" hidden="false" customHeight="false" outlineLevel="0" collapsed="false">
      <c r="A160" s="52" t="n">
        <v>44043</v>
      </c>
      <c r="B160" s="53" t="n">
        <v>0.526980558175317</v>
      </c>
      <c r="C160" s="53" t="n">
        <v>0.721985151041345</v>
      </c>
      <c r="D160" s="53" t="n">
        <v>0.570500065461088</v>
      </c>
      <c r="E160" s="54" t="s">
        <v>945</v>
      </c>
      <c r="F160" s="53" t="n">
        <f aca="false">AVERAGE(B160:D160)</f>
        <v>0.606488591559251</v>
      </c>
      <c r="G160" s="53" t="n">
        <f aca="false">MAX(B160:D160)-MIN(B160:D160)</f>
        <v>0.195004592866028</v>
      </c>
      <c r="H160" s="54" t="n">
        <f aca="false">IF(AND(E160="Phase I",OR(F160&gt;$E$6,F160&lt;$E$7,G160&gt;$E$8)),1,0)</f>
        <v>0</v>
      </c>
      <c r="I160" s="53" t="n">
        <f aca="false">$H$4</f>
        <v>0.67278149898986</v>
      </c>
      <c r="J160" s="53" t="n">
        <f aca="false">$H$6</f>
        <v>0.959137233677579</v>
      </c>
      <c r="K160" s="53" t="n">
        <f aca="false">$H$7</f>
        <v>0.386425764302142</v>
      </c>
      <c r="L160" s="53" t="n">
        <f aca="false">$H$5</f>
        <v>0.279917629215756</v>
      </c>
      <c r="M160" s="53" t="n">
        <f aca="false">$H$8</f>
        <v>0.720507977601356</v>
      </c>
      <c r="N160" s="54" t="n">
        <f aca="false">IF(OR(F160&gt;J160,F160&lt;K160),1,0)</f>
        <v>0</v>
      </c>
      <c r="O160" s="54" t="n">
        <f aca="false">IF(G160&gt;M160,1,0)</f>
        <v>0</v>
      </c>
      <c r="P160" s="54" t="n">
        <f aca="false">SIGN(F160-I160)</f>
        <v>-1</v>
      </c>
      <c r="Q160" s="54" t="n">
        <f aca="false">IF(ABS(SUM(P153:P160))=8,1,0)</f>
        <v>0</v>
      </c>
    </row>
    <row r="161" customFormat="false" ht="15" hidden="false" customHeight="false" outlineLevel="0" collapsed="false">
      <c r="A161" s="52" t="n">
        <v>44046</v>
      </c>
      <c r="B161" s="53" t="n">
        <v>0.444343535744337</v>
      </c>
      <c r="C161" s="53" t="n">
        <v>0.705198698995944</v>
      </c>
      <c r="D161" s="53" t="n">
        <v>0.593877380537338</v>
      </c>
      <c r="E161" s="54" t="s">
        <v>945</v>
      </c>
      <c r="F161" s="53" t="n">
        <f aca="false">AVERAGE(B161:D161)</f>
        <v>0.581139871759207</v>
      </c>
      <c r="G161" s="53" t="n">
        <f aca="false">MAX(B161:D161)-MIN(B161:D161)</f>
        <v>0.260855163251607</v>
      </c>
      <c r="H161" s="54" t="n">
        <f aca="false">IF(AND(E161="Phase I",OR(F161&gt;$E$6,F161&lt;$E$7,G161&gt;$E$8)),1,0)</f>
        <v>0</v>
      </c>
      <c r="I161" s="53" t="n">
        <f aca="false">$H$4</f>
        <v>0.67278149898986</v>
      </c>
      <c r="J161" s="53" t="n">
        <f aca="false">$H$6</f>
        <v>0.959137233677579</v>
      </c>
      <c r="K161" s="53" t="n">
        <f aca="false">$H$7</f>
        <v>0.386425764302142</v>
      </c>
      <c r="L161" s="53" t="n">
        <f aca="false">$H$5</f>
        <v>0.279917629215756</v>
      </c>
      <c r="M161" s="53" t="n">
        <f aca="false">$H$8</f>
        <v>0.720507977601356</v>
      </c>
      <c r="N161" s="54" t="n">
        <f aca="false">IF(OR(F161&gt;J161,F161&lt;K161),1,0)</f>
        <v>0</v>
      </c>
      <c r="O161" s="54" t="n">
        <f aca="false">IF(G161&gt;M161,1,0)</f>
        <v>0</v>
      </c>
      <c r="P161" s="54" t="n">
        <f aca="false">SIGN(F161-I161)</f>
        <v>-1</v>
      </c>
      <c r="Q161" s="54" t="n">
        <f aca="false">IF(ABS(SUM(P154:P161))=8,1,0)</f>
        <v>0</v>
      </c>
    </row>
    <row r="162" customFormat="false" ht="15" hidden="false" customHeight="false" outlineLevel="0" collapsed="false">
      <c r="A162" s="52" t="n">
        <v>44047</v>
      </c>
      <c r="B162" s="53" t="n">
        <v>0.734218733399017</v>
      </c>
      <c r="C162" s="53" t="n">
        <v>0.786109649217179</v>
      </c>
      <c r="D162" s="53" t="n">
        <v>0.733755037813295</v>
      </c>
      <c r="E162" s="54" t="s">
        <v>945</v>
      </c>
      <c r="F162" s="53" t="n">
        <f aca="false">AVERAGE(B162:D162)</f>
        <v>0.751361140143164</v>
      </c>
      <c r="G162" s="53" t="n">
        <f aca="false">MAX(B162:D162)-MIN(B162:D162)</f>
        <v>0.0523546114038836</v>
      </c>
      <c r="H162" s="54" t="n">
        <f aca="false">IF(AND(E162="Phase I",OR(F162&gt;$E$6,F162&lt;$E$7,G162&gt;$E$8)),1,0)</f>
        <v>0</v>
      </c>
      <c r="I162" s="53" t="n">
        <f aca="false">$H$4</f>
        <v>0.67278149898986</v>
      </c>
      <c r="J162" s="53" t="n">
        <f aca="false">$H$6</f>
        <v>0.959137233677579</v>
      </c>
      <c r="K162" s="53" t="n">
        <f aca="false">$H$7</f>
        <v>0.386425764302142</v>
      </c>
      <c r="L162" s="53" t="n">
        <f aca="false">$H$5</f>
        <v>0.279917629215756</v>
      </c>
      <c r="M162" s="53" t="n">
        <f aca="false">$H$8</f>
        <v>0.720507977601356</v>
      </c>
      <c r="N162" s="54" t="n">
        <f aca="false">IF(OR(F162&gt;J162,F162&lt;K162),1,0)</f>
        <v>0</v>
      </c>
      <c r="O162" s="54" t="n">
        <f aca="false">IF(G162&gt;M162,1,0)</f>
        <v>0</v>
      </c>
      <c r="P162" s="54" t="n">
        <f aca="false">SIGN(F162-I162)</f>
        <v>1</v>
      </c>
      <c r="Q162" s="54" t="n">
        <f aca="false">IF(ABS(SUM(P155:P162))=8,1,0)</f>
        <v>0</v>
      </c>
    </row>
    <row r="163" customFormat="false" ht="15" hidden="false" customHeight="false" outlineLevel="0" collapsed="false">
      <c r="A163" s="52" t="n">
        <v>44048</v>
      </c>
      <c r="B163" s="53" t="n">
        <v>0.726095847964916</v>
      </c>
      <c r="C163" s="53" t="n">
        <v>0.806884829696887</v>
      </c>
      <c r="D163" s="53" t="n">
        <v>0.80703450722067</v>
      </c>
      <c r="E163" s="54" t="s">
        <v>945</v>
      </c>
      <c r="F163" s="53" t="n">
        <f aca="false">AVERAGE(B163:D163)</f>
        <v>0.780005061627491</v>
      </c>
      <c r="G163" s="53" t="n">
        <f aca="false">MAX(B163:D163)-MIN(B163:D163)</f>
        <v>0.0809386592557541</v>
      </c>
      <c r="H163" s="54" t="n">
        <f aca="false">IF(AND(E163="Phase I",OR(F163&gt;$E$6,F163&lt;$E$7,G163&gt;$E$8)),1,0)</f>
        <v>0</v>
      </c>
      <c r="I163" s="53" t="n">
        <f aca="false">$H$4</f>
        <v>0.67278149898986</v>
      </c>
      <c r="J163" s="53" t="n">
        <f aca="false">$H$6</f>
        <v>0.959137233677579</v>
      </c>
      <c r="K163" s="53" t="n">
        <f aca="false">$H$7</f>
        <v>0.386425764302142</v>
      </c>
      <c r="L163" s="53" t="n">
        <f aca="false">$H$5</f>
        <v>0.279917629215756</v>
      </c>
      <c r="M163" s="53" t="n">
        <f aca="false">$H$8</f>
        <v>0.720507977601356</v>
      </c>
      <c r="N163" s="54" t="n">
        <f aca="false">IF(OR(F163&gt;J163,F163&lt;K163),1,0)</f>
        <v>0</v>
      </c>
      <c r="O163" s="54" t="n">
        <f aca="false">IF(G163&gt;M163,1,0)</f>
        <v>0</v>
      </c>
      <c r="P163" s="54" t="n">
        <f aca="false">SIGN(F163-I163)</f>
        <v>1</v>
      </c>
      <c r="Q163" s="54" t="n">
        <f aca="false">IF(ABS(SUM(P156:P163))=8,1,0)</f>
        <v>0</v>
      </c>
    </row>
    <row r="164" customFormat="false" ht="15" hidden="false" customHeight="false" outlineLevel="0" collapsed="false">
      <c r="A164" s="52" t="n">
        <v>44049</v>
      </c>
      <c r="B164" s="53" t="n">
        <v>0.742711910261632</v>
      </c>
      <c r="C164" s="53" t="n">
        <v>0.569347160096078</v>
      </c>
      <c r="D164" s="53" t="n">
        <v>0.660558398435655</v>
      </c>
      <c r="E164" s="54" t="s">
        <v>945</v>
      </c>
      <c r="F164" s="53" t="n">
        <f aca="false">AVERAGE(B164:D164)</f>
        <v>0.657539156264455</v>
      </c>
      <c r="G164" s="53" t="n">
        <f aca="false">MAX(B164:D164)-MIN(B164:D164)</f>
        <v>0.173364750165554</v>
      </c>
      <c r="H164" s="54" t="n">
        <f aca="false">IF(AND(E164="Phase I",OR(F164&gt;$E$6,F164&lt;$E$7,G164&gt;$E$8)),1,0)</f>
        <v>0</v>
      </c>
      <c r="I164" s="53" t="n">
        <f aca="false">$H$4</f>
        <v>0.67278149898986</v>
      </c>
      <c r="J164" s="53" t="n">
        <f aca="false">$H$6</f>
        <v>0.959137233677579</v>
      </c>
      <c r="K164" s="53" t="n">
        <f aca="false">$H$7</f>
        <v>0.386425764302142</v>
      </c>
      <c r="L164" s="53" t="n">
        <f aca="false">$H$5</f>
        <v>0.279917629215756</v>
      </c>
      <c r="M164" s="53" t="n">
        <f aca="false">$H$8</f>
        <v>0.720507977601356</v>
      </c>
      <c r="N164" s="54" t="n">
        <f aca="false">IF(OR(F164&gt;J164,F164&lt;K164),1,0)</f>
        <v>0</v>
      </c>
      <c r="O164" s="54" t="n">
        <f aca="false">IF(G164&gt;M164,1,0)</f>
        <v>0</v>
      </c>
      <c r="P164" s="54" t="n">
        <f aca="false">SIGN(F164-I164)</f>
        <v>-1</v>
      </c>
      <c r="Q164" s="54" t="n">
        <f aca="false">IF(ABS(SUM(P157:P164))=8,1,0)</f>
        <v>0</v>
      </c>
    </row>
    <row r="165" customFormat="false" ht="15" hidden="false" customHeight="false" outlineLevel="0" collapsed="false">
      <c r="A165" s="52" t="n">
        <v>44050</v>
      </c>
      <c r="B165" s="53" t="n">
        <v>0.721611492008067</v>
      </c>
      <c r="C165" s="53" t="n">
        <v>0.753501336827479</v>
      </c>
      <c r="D165" s="53" t="n">
        <v>0.590771896910561</v>
      </c>
      <c r="E165" s="54" t="s">
        <v>945</v>
      </c>
      <c r="F165" s="53" t="n">
        <f aca="false">AVERAGE(B165:D165)</f>
        <v>0.688628241915369</v>
      </c>
      <c r="G165" s="53" t="n">
        <f aca="false">MAX(B165:D165)-MIN(B165:D165)</f>
        <v>0.162729439916918</v>
      </c>
      <c r="H165" s="54" t="n">
        <f aca="false">IF(AND(E165="Phase I",OR(F165&gt;$E$6,F165&lt;$E$7,G165&gt;$E$8)),1,0)</f>
        <v>0</v>
      </c>
      <c r="I165" s="53" t="n">
        <f aca="false">$H$4</f>
        <v>0.67278149898986</v>
      </c>
      <c r="J165" s="53" t="n">
        <f aca="false">$H$6</f>
        <v>0.959137233677579</v>
      </c>
      <c r="K165" s="53" t="n">
        <f aca="false">$H$7</f>
        <v>0.386425764302142</v>
      </c>
      <c r="L165" s="53" t="n">
        <f aca="false">$H$5</f>
        <v>0.279917629215756</v>
      </c>
      <c r="M165" s="53" t="n">
        <f aca="false">$H$8</f>
        <v>0.720507977601356</v>
      </c>
      <c r="N165" s="54" t="n">
        <f aca="false">IF(OR(F165&gt;J165,F165&lt;K165),1,0)</f>
        <v>0</v>
      </c>
      <c r="O165" s="54" t="n">
        <f aca="false">IF(G165&gt;M165,1,0)</f>
        <v>0</v>
      </c>
      <c r="P165" s="54" t="n">
        <f aca="false">SIGN(F165-I165)</f>
        <v>1</v>
      </c>
      <c r="Q165" s="54" t="n">
        <f aca="false">IF(ABS(SUM(P158:P165))=8,1,0)</f>
        <v>0</v>
      </c>
    </row>
    <row r="166" customFormat="false" ht="15" hidden="false" customHeight="false" outlineLevel="0" collapsed="false">
      <c r="A166" s="52" t="n">
        <v>44053</v>
      </c>
      <c r="B166" s="53" t="n">
        <v>0.812392628590307</v>
      </c>
      <c r="C166" s="53" t="n">
        <v>0.754123705202102</v>
      </c>
      <c r="D166" s="53" t="n">
        <v>0.701237046441442</v>
      </c>
      <c r="E166" s="54" t="s">
        <v>945</v>
      </c>
      <c r="F166" s="53" t="n">
        <f aca="false">AVERAGE(B166:D166)</f>
        <v>0.755917793411284</v>
      </c>
      <c r="G166" s="53" t="n">
        <f aca="false">MAX(B166:D166)-MIN(B166:D166)</f>
        <v>0.111155582148864</v>
      </c>
      <c r="H166" s="54" t="n">
        <f aca="false">IF(AND(E166="Phase I",OR(F166&gt;$E$6,F166&lt;$E$7,G166&gt;$E$8)),1,0)</f>
        <v>0</v>
      </c>
      <c r="I166" s="53" t="n">
        <f aca="false">$H$4</f>
        <v>0.67278149898986</v>
      </c>
      <c r="J166" s="53" t="n">
        <f aca="false">$H$6</f>
        <v>0.959137233677579</v>
      </c>
      <c r="K166" s="53" t="n">
        <f aca="false">$H$7</f>
        <v>0.386425764302142</v>
      </c>
      <c r="L166" s="53" t="n">
        <f aca="false">$H$5</f>
        <v>0.279917629215756</v>
      </c>
      <c r="M166" s="53" t="n">
        <f aca="false">$H$8</f>
        <v>0.720507977601356</v>
      </c>
      <c r="N166" s="54" t="n">
        <f aca="false">IF(OR(F166&gt;J166,F166&lt;K166),1,0)</f>
        <v>0</v>
      </c>
      <c r="O166" s="54" t="n">
        <f aca="false">IF(G166&gt;M166,1,0)</f>
        <v>0</v>
      </c>
      <c r="P166" s="54" t="n">
        <f aca="false">SIGN(F166-I166)</f>
        <v>1</v>
      </c>
      <c r="Q166" s="54" t="n">
        <f aca="false">IF(ABS(SUM(P159:P166))=8,1,0)</f>
        <v>0</v>
      </c>
    </row>
    <row r="167" customFormat="false" ht="15" hidden="false" customHeight="false" outlineLevel="0" collapsed="false">
      <c r="A167" s="52" t="n">
        <v>44054</v>
      </c>
      <c r="B167" s="53" t="n">
        <v>0.720460938787651</v>
      </c>
      <c r="C167" s="53" t="n">
        <v>0.61194286943651</v>
      </c>
      <c r="D167" s="53" t="n">
        <v>0.758727079212698</v>
      </c>
      <c r="E167" s="54" t="s">
        <v>945</v>
      </c>
      <c r="F167" s="53" t="n">
        <f aca="false">AVERAGE(B167:D167)</f>
        <v>0.69704362914562</v>
      </c>
      <c r="G167" s="53" t="n">
        <f aca="false">MAX(B167:D167)-MIN(B167:D167)</f>
        <v>0.146784209776187</v>
      </c>
      <c r="H167" s="54" t="n">
        <f aca="false">IF(AND(E167="Phase I",OR(F167&gt;$E$6,F167&lt;$E$7,G167&gt;$E$8)),1,0)</f>
        <v>0</v>
      </c>
      <c r="I167" s="53" t="n">
        <f aca="false">$H$4</f>
        <v>0.67278149898986</v>
      </c>
      <c r="J167" s="53" t="n">
        <f aca="false">$H$6</f>
        <v>0.959137233677579</v>
      </c>
      <c r="K167" s="53" t="n">
        <f aca="false">$H$7</f>
        <v>0.386425764302142</v>
      </c>
      <c r="L167" s="53" t="n">
        <f aca="false">$H$5</f>
        <v>0.279917629215756</v>
      </c>
      <c r="M167" s="53" t="n">
        <f aca="false">$H$8</f>
        <v>0.720507977601356</v>
      </c>
      <c r="N167" s="54" t="n">
        <f aca="false">IF(OR(F167&gt;J167,F167&lt;K167),1,0)</f>
        <v>0</v>
      </c>
      <c r="O167" s="54" t="n">
        <f aca="false">IF(G167&gt;M167,1,0)</f>
        <v>0</v>
      </c>
      <c r="P167" s="54" t="n">
        <f aca="false">SIGN(F167-I167)</f>
        <v>1</v>
      </c>
      <c r="Q167" s="54" t="n">
        <f aca="false">IF(ABS(SUM(P160:P167))=8,1,0)</f>
        <v>0</v>
      </c>
    </row>
    <row r="168" customFormat="false" ht="15" hidden="false" customHeight="false" outlineLevel="0" collapsed="false">
      <c r="A168" s="52" t="n">
        <v>44055</v>
      </c>
      <c r="B168" s="53" t="n">
        <v>0.813442011402204</v>
      </c>
      <c r="C168" s="53" t="n">
        <v>0.671264170962769</v>
      </c>
      <c r="D168" s="53" t="n">
        <v>0.729191232559336</v>
      </c>
      <c r="E168" s="54" t="s">
        <v>945</v>
      </c>
      <c r="F168" s="53" t="n">
        <f aca="false">AVERAGE(B168:D168)</f>
        <v>0.73796580497477</v>
      </c>
      <c r="G168" s="53" t="n">
        <f aca="false">MAX(B168:D168)-MIN(B168:D168)</f>
        <v>0.142177840439435</v>
      </c>
      <c r="H168" s="54" t="n">
        <f aca="false">IF(AND(E168="Phase I",OR(F168&gt;$E$6,F168&lt;$E$7,G168&gt;$E$8)),1,0)</f>
        <v>0</v>
      </c>
      <c r="I168" s="53" t="n">
        <f aca="false">$H$4</f>
        <v>0.67278149898986</v>
      </c>
      <c r="J168" s="53" t="n">
        <f aca="false">$H$6</f>
        <v>0.959137233677579</v>
      </c>
      <c r="K168" s="53" t="n">
        <f aca="false">$H$7</f>
        <v>0.386425764302142</v>
      </c>
      <c r="L168" s="53" t="n">
        <f aca="false">$H$5</f>
        <v>0.279917629215756</v>
      </c>
      <c r="M168" s="53" t="n">
        <f aca="false">$H$8</f>
        <v>0.720507977601356</v>
      </c>
      <c r="N168" s="54" t="n">
        <f aca="false">IF(OR(F168&gt;J168,F168&lt;K168),1,0)</f>
        <v>0</v>
      </c>
      <c r="O168" s="54" t="n">
        <f aca="false">IF(G168&gt;M168,1,0)</f>
        <v>0</v>
      </c>
      <c r="P168" s="54" t="n">
        <f aca="false">SIGN(F168-I168)</f>
        <v>1</v>
      </c>
      <c r="Q168" s="54" t="n">
        <f aca="false">IF(ABS(SUM(P161:P168))=8,1,0)</f>
        <v>0</v>
      </c>
    </row>
    <row r="169" customFormat="false" ht="15" hidden="false" customHeight="false" outlineLevel="0" collapsed="false">
      <c r="A169" s="52" t="n">
        <v>44056</v>
      </c>
      <c r="B169" s="53" t="n">
        <v>0.800502535839948</v>
      </c>
      <c r="C169" s="53" t="n">
        <v>0.679532232829769</v>
      </c>
      <c r="D169" s="53" t="n">
        <v>0.509906507438859</v>
      </c>
      <c r="E169" s="54" t="s">
        <v>945</v>
      </c>
      <c r="F169" s="53" t="n">
        <f aca="false">AVERAGE(B169:D169)</f>
        <v>0.663313758702859</v>
      </c>
      <c r="G169" s="53" t="n">
        <f aca="false">MAX(B169:D169)-MIN(B169:D169)</f>
        <v>0.290596028401089</v>
      </c>
      <c r="H169" s="54" t="n">
        <f aca="false">IF(AND(E169="Phase I",OR(F169&gt;$E$6,F169&lt;$E$7,G169&gt;$E$8)),1,0)</f>
        <v>0</v>
      </c>
      <c r="I169" s="53" t="n">
        <f aca="false">$H$4</f>
        <v>0.67278149898986</v>
      </c>
      <c r="J169" s="53" t="n">
        <f aca="false">$H$6</f>
        <v>0.959137233677579</v>
      </c>
      <c r="K169" s="53" t="n">
        <f aca="false">$H$7</f>
        <v>0.386425764302142</v>
      </c>
      <c r="L169" s="53" t="n">
        <f aca="false">$H$5</f>
        <v>0.279917629215756</v>
      </c>
      <c r="M169" s="53" t="n">
        <f aca="false">$H$8</f>
        <v>0.720507977601356</v>
      </c>
      <c r="N169" s="54" t="n">
        <f aca="false">IF(OR(F169&gt;J169,F169&lt;K169),1,0)</f>
        <v>0</v>
      </c>
      <c r="O169" s="54" t="n">
        <f aca="false">IF(G169&gt;M169,1,0)</f>
        <v>0</v>
      </c>
      <c r="P169" s="54" t="n">
        <f aca="false">SIGN(F169-I169)</f>
        <v>-1</v>
      </c>
      <c r="Q169" s="54" t="n">
        <f aca="false">IF(ABS(SUM(P162:P169))=8,1,0)</f>
        <v>0</v>
      </c>
    </row>
    <row r="170" customFormat="false" ht="15" hidden="false" customHeight="false" outlineLevel="0" collapsed="false">
      <c r="A170" s="52" t="n">
        <v>44057</v>
      </c>
      <c r="B170" s="53" t="n">
        <v>0.708076087171911</v>
      </c>
      <c r="C170" s="53" t="n">
        <v>0.779268571484206</v>
      </c>
      <c r="D170" s="53" t="n">
        <v>0.887685968034602</v>
      </c>
      <c r="E170" s="54" t="s">
        <v>945</v>
      </c>
      <c r="F170" s="53" t="n">
        <f aca="false">AVERAGE(B170:D170)</f>
        <v>0.791676875563573</v>
      </c>
      <c r="G170" s="53" t="n">
        <f aca="false">MAX(B170:D170)-MIN(B170:D170)</f>
        <v>0.179609880862691</v>
      </c>
      <c r="H170" s="54" t="n">
        <f aca="false">IF(AND(E170="Phase I",OR(F170&gt;$E$6,F170&lt;$E$7,G170&gt;$E$8)),1,0)</f>
        <v>0</v>
      </c>
      <c r="I170" s="53" t="n">
        <f aca="false">$H$4</f>
        <v>0.67278149898986</v>
      </c>
      <c r="J170" s="53" t="n">
        <f aca="false">$H$6</f>
        <v>0.959137233677579</v>
      </c>
      <c r="K170" s="53" t="n">
        <f aca="false">$H$7</f>
        <v>0.386425764302142</v>
      </c>
      <c r="L170" s="53" t="n">
        <f aca="false">$H$5</f>
        <v>0.279917629215756</v>
      </c>
      <c r="M170" s="53" t="n">
        <f aca="false">$H$8</f>
        <v>0.720507977601356</v>
      </c>
      <c r="N170" s="54" t="n">
        <f aca="false">IF(OR(F170&gt;J170,F170&lt;K170),1,0)</f>
        <v>0</v>
      </c>
      <c r="O170" s="54" t="n">
        <f aca="false">IF(G170&gt;M170,1,0)</f>
        <v>0</v>
      </c>
      <c r="P170" s="54" t="n">
        <f aca="false">SIGN(F170-I170)</f>
        <v>1</v>
      </c>
      <c r="Q170" s="54" t="n">
        <f aca="false">IF(ABS(SUM(P163:P170))=8,1,0)</f>
        <v>0</v>
      </c>
    </row>
    <row r="171" customFormat="false" ht="15" hidden="false" customHeight="false" outlineLevel="0" collapsed="false">
      <c r="A171" s="52" t="n">
        <v>44060</v>
      </c>
      <c r="B171" s="53" t="n">
        <v>0.700260729249847</v>
      </c>
      <c r="C171" s="53" t="n">
        <v>0.78762560012799</v>
      </c>
      <c r="D171" s="53" t="n">
        <v>0.692297914206556</v>
      </c>
      <c r="E171" s="54" t="s">
        <v>945</v>
      </c>
      <c r="F171" s="53" t="n">
        <f aca="false">AVERAGE(B171:D171)</f>
        <v>0.726728081194798</v>
      </c>
      <c r="G171" s="53" t="n">
        <f aca="false">MAX(B171:D171)-MIN(B171:D171)</f>
        <v>0.0953276859214339</v>
      </c>
      <c r="H171" s="54" t="n">
        <f aca="false">IF(AND(E171="Phase I",OR(F171&gt;$E$6,F171&lt;$E$7,G171&gt;$E$8)),1,0)</f>
        <v>0</v>
      </c>
      <c r="I171" s="53" t="n">
        <f aca="false">$H$4</f>
        <v>0.67278149898986</v>
      </c>
      <c r="J171" s="53" t="n">
        <f aca="false">$H$6</f>
        <v>0.959137233677579</v>
      </c>
      <c r="K171" s="53" t="n">
        <f aca="false">$H$7</f>
        <v>0.386425764302142</v>
      </c>
      <c r="L171" s="53" t="n">
        <f aca="false">$H$5</f>
        <v>0.279917629215756</v>
      </c>
      <c r="M171" s="53" t="n">
        <f aca="false">$H$8</f>
        <v>0.720507977601356</v>
      </c>
      <c r="N171" s="54" t="n">
        <f aca="false">IF(OR(F171&gt;J171,F171&lt;K171),1,0)</f>
        <v>0</v>
      </c>
      <c r="O171" s="54" t="n">
        <f aca="false">IF(G171&gt;M171,1,0)</f>
        <v>0</v>
      </c>
      <c r="P171" s="54" t="n">
        <f aca="false">SIGN(F171-I171)</f>
        <v>1</v>
      </c>
      <c r="Q171" s="54" t="n">
        <f aca="false">IF(ABS(SUM(P164:P171))=8,1,0)</f>
        <v>0</v>
      </c>
    </row>
    <row r="172" customFormat="false" ht="15" hidden="false" customHeight="false" outlineLevel="0" collapsed="false">
      <c r="A172" s="52" t="n">
        <v>44061</v>
      </c>
      <c r="B172" s="53" t="n">
        <v>0.791818679071941</v>
      </c>
      <c r="C172" s="53" t="n">
        <v>0.803734129610902</v>
      </c>
      <c r="D172" s="53" t="n">
        <v>0.696056247358657</v>
      </c>
      <c r="E172" s="54" t="s">
        <v>945</v>
      </c>
      <c r="F172" s="53" t="n">
        <f aca="false">AVERAGE(B172:D172)</f>
        <v>0.763869685347167</v>
      </c>
      <c r="G172" s="53" t="n">
        <f aca="false">MAX(B172:D172)-MIN(B172:D172)</f>
        <v>0.107677882252246</v>
      </c>
      <c r="H172" s="54" t="n">
        <f aca="false">IF(AND(E172="Phase I",OR(F172&gt;$E$6,F172&lt;$E$7,G172&gt;$E$8)),1,0)</f>
        <v>0</v>
      </c>
      <c r="I172" s="53" t="n">
        <f aca="false">$H$4</f>
        <v>0.67278149898986</v>
      </c>
      <c r="J172" s="53" t="n">
        <f aca="false">$H$6</f>
        <v>0.959137233677579</v>
      </c>
      <c r="K172" s="53" t="n">
        <f aca="false">$H$7</f>
        <v>0.386425764302142</v>
      </c>
      <c r="L172" s="53" t="n">
        <f aca="false">$H$5</f>
        <v>0.279917629215756</v>
      </c>
      <c r="M172" s="53" t="n">
        <f aca="false">$H$8</f>
        <v>0.720507977601356</v>
      </c>
      <c r="N172" s="54" t="n">
        <f aca="false">IF(OR(F172&gt;J172,F172&lt;K172),1,0)</f>
        <v>0</v>
      </c>
      <c r="O172" s="54" t="n">
        <f aca="false">IF(G172&gt;M172,1,0)</f>
        <v>0</v>
      </c>
      <c r="P172" s="54" t="n">
        <f aca="false">SIGN(F172-I172)</f>
        <v>1</v>
      </c>
      <c r="Q172" s="54" t="n">
        <f aca="false">IF(ABS(SUM(P165:P172))=8,1,0)</f>
        <v>0</v>
      </c>
    </row>
    <row r="173" customFormat="false" ht="15" hidden="false" customHeight="false" outlineLevel="0" collapsed="false">
      <c r="A173" s="52" t="n">
        <v>44062</v>
      </c>
      <c r="B173" s="53" t="n">
        <v>0.6174387779929</v>
      </c>
      <c r="C173" s="53" t="n">
        <v>0.775346824681147</v>
      </c>
      <c r="D173" s="53" t="n">
        <v>0.720264571643673</v>
      </c>
      <c r="E173" s="54" t="s">
        <v>945</v>
      </c>
      <c r="F173" s="53" t="n">
        <f aca="false">AVERAGE(B173:D173)</f>
        <v>0.704350058105907</v>
      </c>
      <c r="G173" s="53" t="n">
        <f aca="false">MAX(B173:D173)-MIN(B173:D173)</f>
        <v>0.157908046688248</v>
      </c>
      <c r="H173" s="54" t="n">
        <f aca="false">IF(AND(E173="Phase I",OR(F173&gt;$E$6,F173&lt;$E$7,G173&gt;$E$8)),1,0)</f>
        <v>0</v>
      </c>
      <c r="I173" s="53" t="n">
        <f aca="false">$H$4</f>
        <v>0.67278149898986</v>
      </c>
      <c r="J173" s="53" t="n">
        <f aca="false">$H$6</f>
        <v>0.959137233677579</v>
      </c>
      <c r="K173" s="53" t="n">
        <f aca="false">$H$7</f>
        <v>0.386425764302142</v>
      </c>
      <c r="L173" s="53" t="n">
        <f aca="false">$H$5</f>
        <v>0.279917629215756</v>
      </c>
      <c r="M173" s="53" t="n">
        <f aca="false">$H$8</f>
        <v>0.720507977601356</v>
      </c>
      <c r="N173" s="54" t="n">
        <f aca="false">IF(OR(F173&gt;J173,F173&lt;K173),1,0)</f>
        <v>0</v>
      </c>
      <c r="O173" s="54" t="n">
        <f aca="false">IF(G173&gt;M173,1,0)</f>
        <v>0</v>
      </c>
      <c r="P173" s="54" t="n">
        <f aca="false">SIGN(F173-I173)</f>
        <v>1</v>
      </c>
      <c r="Q173" s="54" t="n">
        <f aca="false">IF(ABS(SUM(P166:P173))=8,1,0)</f>
        <v>0</v>
      </c>
    </row>
    <row r="174" customFormat="false" ht="15" hidden="false" customHeight="false" outlineLevel="0" collapsed="false">
      <c r="A174" s="52" t="n">
        <v>44063</v>
      </c>
      <c r="B174" s="53" t="n">
        <v>0.672284270096103</v>
      </c>
      <c r="C174" s="53" t="n">
        <v>0.539702650060188</v>
      </c>
      <c r="D174" s="53" t="n">
        <v>0.723595683300854</v>
      </c>
      <c r="E174" s="54" t="s">
        <v>945</v>
      </c>
      <c r="F174" s="53" t="n">
        <f aca="false">AVERAGE(B174:D174)</f>
        <v>0.645194201152382</v>
      </c>
      <c r="G174" s="53" t="n">
        <f aca="false">MAX(B174:D174)-MIN(B174:D174)</f>
        <v>0.183893033240666</v>
      </c>
      <c r="H174" s="54" t="n">
        <f aca="false">IF(AND(E174="Phase I",OR(F174&gt;$E$6,F174&lt;$E$7,G174&gt;$E$8)),1,0)</f>
        <v>0</v>
      </c>
      <c r="I174" s="53" t="n">
        <f aca="false">$H$4</f>
        <v>0.67278149898986</v>
      </c>
      <c r="J174" s="53" t="n">
        <f aca="false">$H$6</f>
        <v>0.959137233677579</v>
      </c>
      <c r="K174" s="53" t="n">
        <f aca="false">$H$7</f>
        <v>0.386425764302142</v>
      </c>
      <c r="L174" s="53" t="n">
        <f aca="false">$H$5</f>
        <v>0.279917629215756</v>
      </c>
      <c r="M174" s="53" t="n">
        <f aca="false">$H$8</f>
        <v>0.720507977601356</v>
      </c>
      <c r="N174" s="54" t="n">
        <f aca="false">IF(OR(F174&gt;J174,F174&lt;K174),1,0)</f>
        <v>0</v>
      </c>
      <c r="O174" s="54" t="n">
        <f aca="false">IF(G174&gt;M174,1,0)</f>
        <v>0</v>
      </c>
      <c r="P174" s="54" t="n">
        <f aca="false">SIGN(F174-I174)</f>
        <v>-1</v>
      </c>
      <c r="Q174" s="54" t="n">
        <f aca="false">IF(ABS(SUM(P167:P174))=8,1,0)</f>
        <v>0</v>
      </c>
    </row>
    <row r="175" customFormat="false" ht="15" hidden="false" customHeight="false" outlineLevel="0" collapsed="false">
      <c r="A175" s="52" t="n">
        <v>44064</v>
      </c>
      <c r="B175" s="53" t="n">
        <v>0.700196668692897</v>
      </c>
      <c r="C175" s="53" t="n">
        <v>0.771915896451831</v>
      </c>
      <c r="D175" s="53" t="n">
        <v>0.624300919611422</v>
      </c>
      <c r="E175" s="54" t="s">
        <v>945</v>
      </c>
      <c r="F175" s="53" t="n">
        <f aca="false">AVERAGE(B175:D175)</f>
        <v>0.698804494918717</v>
      </c>
      <c r="G175" s="53" t="n">
        <f aca="false">MAX(B175:D175)-MIN(B175:D175)</f>
        <v>0.147614976840409</v>
      </c>
      <c r="H175" s="54" t="n">
        <f aca="false">IF(AND(E175="Phase I",OR(F175&gt;$E$6,F175&lt;$E$7,G175&gt;$E$8)),1,0)</f>
        <v>0</v>
      </c>
      <c r="I175" s="53" t="n">
        <f aca="false">$H$4</f>
        <v>0.67278149898986</v>
      </c>
      <c r="J175" s="53" t="n">
        <f aca="false">$H$6</f>
        <v>0.959137233677579</v>
      </c>
      <c r="K175" s="53" t="n">
        <f aca="false">$H$7</f>
        <v>0.386425764302142</v>
      </c>
      <c r="L175" s="53" t="n">
        <f aca="false">$H$5</f>
        <v>0.279917629215756</v>
      </c>
      <c r="M175" s="53" t="n">
        <f aca="false">$H$8</f>
        <v>0.720507977601356</v>
      </c>
      <c r="N175" s="54" t="n">
        <f aca="false">IF(OR(F175&gt;J175,F175&lt;K175),1,0)</f>
        <v>0</v>
      </c>
      <c r="O175" s="54" t="n">
        <f aca="false">IF(G175&gt;M175,1,0)</f>
        <v>0</v>
      </c>
      <c r="P175" s="54" t="n">
        <f aca="false">SIGN(F175-I175)</f>
        <v>1</v>
      </c>
      <c r="Q175" s="54" t="n">
        <f aca="false">IF(ABS(SUM(P168:P175))=8,1,0)</f>
        <v>0</v>
      </c>
    </row>
    <row r="176" customFormat="false" ht="15" hidden="false" customHeight="false" outlineLevel="0" collapsed="false">
      <c r="A176" s="52" t="n">
        <v>44067</v>
      </c>
      <c r="B176" s="53" t="n">
        <v>0.475385581198844</v>
      </c>
      <c r="C176" s="53" t="n">
        <v>0.708710868674596</v>
      </c>
      <c r="D176" s="53" t="n">
        <v>0.680717958361095</v>
      </c>
      <c r="E176" s="54" t="s">
        <v>945</v>
      </c>
      <c r="F176" s="53" t="n">
        <f aca="false">AVERAGE(B176:D176)</f>
        <v>0.621604802744845</v>
      </c>
      <c r="G176" s="53" t="n">
        <f aca="false">MAX(B176:D176)-MIN(B176:D176)</f>
        <v>0.233325287475752</v>
      </c>
      <c r="H176" s="54" t="n">
        <f aca="false">IF(AND(E176="Phase I",OR(F176&gt;$E$6,F176&lt;$E$7,G176&gt;$E$8)),1,0)</f>
        <v>0</v>
      </c>
      <c r="I176" s="53" t="n">
        <f aca="false">$H$4</f>
        <v>0.67278149898986</v>
      </c>
      <c r="J176" s="53" t="n">
        <f aca="false">$H$6</f>
        <v>0.959137233677579</v>
      </c>
      <c r="K176" s="53" t="n">
        <f aca="false">$H$7</f>
        <v>0.386425764302142</v>
      </c>
      <c r="L176" s="53" t="n">
        <f aca="false">$H$5</f>
        <v>0.279917629215756</v>
      </c>
      <c r="M176" s="53" t="n">
        <f aca="false">$H$8</f>
        <v>0.720507977601356</v>
      </c>
      <c r="N176" s="54" t="n">
        <f aca="false">IF(OR(F176&gt;J176,F176&lt;K176),1,0)</f>
        <v>0</v>
      </c>
      <c r="O176" s="54" t="n">
        <f aca="false">IF(G176&gt;M176,1,0)</f>
        <v>0</v>
      </c>
      <c r="P176" s="54" t="n">
        <f aca="false">SIGN(F176-I176)</f>
        <v>-1</v>
      </c>
      <c r="Q176" s="54" t="n">
        <f aca="false">IF(ABS(SUM(P169:P176))=8,1,0)</f>
        <v>0</v>
      </c>
    </row>
    <row r="177" customFormat="false" ht="15" hidden="false" customHeight="false" outlineLevel="0" collapsed="false">
      <c r="A177" s="52" t="n">
        <v>44068</v>
      </c>
      <c r="B177" s="53" t="n">
        <v>0.702118448720839</v>
      </c>
      <c r="C177" s="53" t="n">
        <v>0.703737159656967</v>
      </c>
      <c r="D177" s="53" t="n">
        <v>0.550385195548772</v>
      </c>
      <c r="E177" s="54" t="s">
        <v>945</v>
      </c>
      <c r="F177" s="53" t="n">
        <f aca="false">AVERAGE(B177:D177)</f>
        <v>0.652080267975526</v>
      </c>
      <c r="G177" s="53" t="n">
        <f aca="false">MAX(B177:D177)-MIN(B177:D177)</f>
        <v>0.153351964108195</v>
      </c>
      <c r="H177" s="54" t="n">
        <f aca="false">IF(AND(E177="Phase I",OR(F177&gt;$E$6,F177&lt;$E$7,G177&gt;$E$8)),1,0)</f>
        <v>0</v>
      </c>
      <c r="I177" s="53" t="n">
        <f aca="false">$H$4</f>
        <v>0.67278149898986</v>
      </c>
      <c r="J177" s="53" t="n">
        <f aca="false">$H$6</f>
        <v>0.959137233677579</v>
      </c>
      <c r="K177" s="53" t="n">
        <f aca="false">$H$7</f>
        <v>0.386425764302142</v>
      </c>
      <c r="L177" s="53" t="n">
        <f aca="false">$H$5</f>
        <v>0.279917629215756</v>
      </c>
      <c r="M177" s="53" t="n">
        <f aca="false">$H$8</f>
        <v>0.720507977601356</v>
      </c>
      <c r="N177" s="54" t="n">
        <f aca="false">IF(OR(F177&gt;J177,F177&lt;K177),1,0)</f>
        <v>0</v>
      </c>
      <c r="O177" s="54" t="n">
        <f aca="false">IF(G177&gt;M177,1,0)</f>
        <v>0</v>
      </c>
      <c r="P177" s="54" t="n">
        <f aca="false">SIGN(F177-I177)</f>
        <v>-1</v>
      </c>
      <c r="Q177" s="54" t="n">
        <f aca="false">IF(ABS(SUM(P170:P177))=8,1,0)</f>
        <v>0</v>
      </c>
    </row>
    <row r="178" customFormat="false" ht="15" hidden="false" customHeight="false" outlineLevel="0" collapsed="false">
      <c r="A178" s="52" t="n">
        <v>44069</v>
      </c>
      <c r="B178" s="53" t="n">
        <v>0.0026393698346157</v>
      </c>
      <c r="C178" s="53" t="n">
        <v>0.742361227682263</v>
      </c>
      <c r="D178" s="53" t="n">
        <v>0.740099588921394</v>
      </c>
      <c r="E178" s="54" t="s">
        <v>945</v>
      </c>
      <c r="F178" s="53" t="n">
        <f aca="false">AVERAGE(B178:D178)</f>
        <v>0.495033395479424</v>
      </c>
      <c r="G178" s="53" t="n">
        <f aca="false">MAX(B178:D178)-MIN(B178:D178)</f>
        <v>0.739721857847647</v>
      </c>
      <c r="H178" s="54" t="n">
        <f aca="false">IF(AND(E178="Phase I",OR(F178&gt;$E$6,F178&lt;$E$7,G178&gt;$E$8)),1,0)</f>
        <v>0</v>
      </c>
      <c r="I178" s="53" t="n">
        <f aca="false">$H$4</f>
        <v>0.67278149898986</v>
      </c>
      <c r="J178" s="53" t="n">
        <f aca="false">$H$6</f>
        <v>0.959137233677579</v>
      </c>
      <c r="K178" s="53" t="n">
        <f aca="false">$H$7</f>
        <v>0.386425764302142</v>
      </c>
      <c r="L178" s="53" t="n">
        <f aca="false">$H$5</f>
        <v>0.279917629215756</v>
      </c>
      <c r="M178" s="53" t="n">
        <f aca="false">$H$8</f>
        <v>0.720507977601356</v>
      </c>
      <c r="N178" s="54" t="n">
        <f aca="false">IF(OR(F178&gt;J178,F178&lt;K178),1,0)</f>
        <v>0</v>
      </c>
      <c r="O178" s="54" t="n">
        <f aca="false">IF(G178&gt;M178,1,0)</f>
        <v>1</v>
      </c>
      <c r="P178" s="54" t="n">
        <f aca="false">SIGN(F178-I178)</f>
        <v>-1</v>
      </c>
      <c r="Q178" s="54" t="n">
        <f aca="false">IF(ABS(SUM(P171:P178))=8,1,0)</f>
        <v>0</v>
      </c>
    </row>
    <row r="179" customFormat="false" ht="15" hidden="false" customHeight="false" outlineLevel="0" collapsed="false">
      <c r="A179" s="52" t="n">
        <v>44070</v>
      </c>
      <c r="B179" s="53" t="n">
        <v>0.908116683556415</v>
      </c>
      <c r="C179" s="53" t="n">
        <v>0.805851697280615</v>
      </c>
      <c r="D179" s="53" t="n">
        <v>0.730863170040496</v>
      </c>
      <c r="E179" s="54" t="s">
        <v>945</v>
      </c>
      <c r="F179" s="53" t="n">
        <f aca="false">AVERAGE(B179:D179)</f>
        <v>0.814943850292509</v>
      </c>
      <c r="G179" s="53" t="n">
        <f aca="false">MAX(B179:D179)-MIN(B179:D179)</f>
        <v>0.177253513515919</v>
      </c>
      <c r="H179" s="54" t="n">
        <f aca="false">IF(AND(E179="Phase I",OR(F179&gt;$E$6,F179&lt;$E$7,G179&gt;$E$8)),1,0)</f>
        <v>0</v>
      </c>
      <c r="I179" s="53" t="n">
        <f aca="false">$H$4</f>
        <v>0.67278149898986</v>
      </c>
      <c r="J179" s="53" t="n">
        <f aca="false">$H$6</f>
        <v>0.959137233677579</v>
      </c>
      <c r="K179" s="53" t="n">
        <f aca="false">$H$7</f>
        <v>0.386425764302142</v>
      </c>
      <c r="L179" s="53" t="n">
        <f aca="false">$H$5</f>
        <v>0.279917629215756</v>
      </c>
      <c r="M179" s="53" t="n">
        <f aca="false">$H$8</f>
        <v>0.720507977601356</v>
      </c>
      <c r="N179" s="54" t="n">
        <f aca="false">IF(OR(F179&gt;J179,F179&lt;K179),1,0)</f>
        <v>0</v>
      </c>
      <c r="O179" s="54" t="n">
        <f aca="false">IF(G179&gt;M179,1,0)</f>
        <v>0</v>
      </c>
      <c r="P179" s="54" t="n">
        <f aca="false">SIGN(F179-I179)</f>
        <v>1</v>
      </c>
      <c r="Q179" s="54" t="n">
        <f aca="false">IF(ABS(SUM(P172:P179))=8,1,0)</f>
        <v>0</v>
      </c>
    </row>
    <row r="180" customFormat="false" ht="15" hidden="false" customHeight="false" outlineLevel="0" collapsed="false">
      <c r="A180" s="52" t="n">
        <v>44071</v>
      </c>
      <c r="B180" s="53" t="n">
        <v>0.625088213069156</v>
      </c>
      <c r="C180" s="53" t="n">
        <v>0.796958324466332</v>
      </c>
      <c r="D180" s="53" t="n">
        <v>0.858679527604815</v>
      </c>
      <c r="E180" s="54" t="s">
        <v>945</v>
      </c>
      <c r="F180" s="53" t="n">
        <f aca="false">AVERAGE(B180:D180)</f>
        <v>0.760242021713434</v>
      </c>
      <c r="G180" s="53" t="n">
        <f aca="false">MAX(B180:D180)-MIN(B180:D180)</f>
        <v>0.233591314535659</v>
      </c>
      <c r="H180" s="54" t="n">
        <f aca="false">IF(AND(E180="Phase I",OR(F180&gt;$E$6,F180&lt;$E$7,G180&gt;$E$8)),1,0)</f>
        <v>0</v>
      </c>
      <c r="I180" s="53" t="n">
        <f aca="false">$H$4</f>
        <v>0.67278149898986</v>
      </c>
      <c r="J180" s="53" t="n">
        <f aca="false">$H$6</f>
        <v>0.959137233677579</v>
      </c>
      <c r="K180" s="53" t="n">
        <f aca="false">$H$7</f>
        <v>0.386425764302142</v>
      </c>
      <c r="L180" s="53" t="n">
        <f aca="false">$H$5</f>
        <v>0.279917629215756</v>
      </c>
      <c r="M180" s="53" t="n">
        <f aca="false">$H$8</f>
        <v>0.720507977601356</v>
      </c>
      <c r="N180" s="54" t="n">
        <f aca="false">IF(OR(F180&gt;J180,F180&lt;K180),1,0)</f>
        <v>0</v>
      </c>
      <c r="O180" s="54" t="n">
        <f aca="false">IF(G180&gt;M180,1,0)</f>
        <v>0</v>
      </c>
      <c r="P180" s="54" t="n">
        <f aca="false">SIGN(F180-I180)</f>
        <v>1</v>
      </c>
      <c r="Q180" s="54" t="n">
        <f aca="false">IF(ABS(SUM(P173:P180))=8,1,0)</f>
        <v>0</v>
      </c>
    </row>
    <row r="181" customFormat="false" ht="15" hidden="false" customHeight="false" outlineLevel="0" collapsed="false">
      <c r="A181" s="52" t="n">
        <v>44074</v>
      </c>
      <c r="B181" s="53" t="n">
        <v>0.762948632815217</v>
      </c>
      <c r="C181" s="53" t="n">
        <v>0.722801664649171</v>
      </c>
      <c r="D181" s="53" t="n">
        <v>0.66397836247625</v>
      </c>
      <c r="E181" s="54" t="s">
        <v>945</v>
      </c>
      <c r="F181" s="53" t="n">
        <f aca="false">AVERAGE(B181:D181)</f>
        <v>0.716576219980213</v>
      </c>
      <c r="G181" s="53" t="n">
        <f aca="false">MAX(B181:D181)-MIN(B181:D181)</f>
        <v>0.0989702703389673</v>
      </c>
      <c r="H181" s="54" t="n">
        <f aca="false">IF(AND(E181="Phase I",OR(F181&gt;$E$6,F181&lt;$E$7,G181&gt;$E$8)),1,0)</f>
        <v>0</v>
      </c>
      <c r="I181" s="53" t="n">
        <f aca="false">$H$4</f>
        <v>0.67278149898986</v>
      </c>
      <c r="J181" s="53" t="n">
        <f aca="false">$H$6</f>
        <v>0.959137233677579</v>
      </c>
      <c r="K181" s="53" t="n">
        <f aca="false">$H$7</f>
        <v>0.386425764302142</v>
      </c>
      <c r="L181" s="53" t="n">
        <f aca="false">$H$5</f>
        <v>0.279917629215756</v>
      </c>
      <c r="M181" s="53" t="n">
        <f aca="false">$H$8</f>
        <v>0.720507977601356</v>
      </c>
      <c r="N181" s="54" t="n">
        <f aca="false">IF(OR(F181&gt;J181,F181&lt;K181),1,0)</f>
        <v>0</v>
      </c>
      <c r="O181" s="54" t="n">
        <f aca="false">IF(G181&gt;M181,1,0)</f>
        <v>0</v>
      </c>
      <c r="P181" s="54" t="n">
        <f aca="false">SIGN(F181-I181)</f>
        <v>1</v>
      </c>
      <c r="Q181" s="54" t="n">
        <f aca="false">IF(ABS(SUM(P174:P181))=8,1,0)</f>
        <v>0</v>
      </c>
    </row>
    <row r="182" customFormat="false" ht="15" hidden="false" customHeight="false" outlineLevel="0" collapsed="false">
      <c r="A182" s="52" t="n">
        <v>44075</v>
      </c>
      <c r="B182" s="53" t="n">
        <v>0.791541576978156</v>
      </c>
      <c r="C182" s="53" t="n">
        <v>0.654064607138582</v>
      </c>
      <c r="D182" s="53" t="n">
        <v>0.839123738439844</v>
      </c>
      <c r="E182" s="54" t="s">
        <v>945</v>
      </c>
      <c r="F182" s="53" t="n">
        <f aca="false">AVERAGE(B182:D182)</f>
        <v>0.761576640852194</v>
      </c>
      <c r="G182" s="53" t="n">
        <f aca="false">MAX(B182:D182)-MIN(B182:D182)</f>
        <v>0.185059131301262</v>
      </c>
      <c r="H182" s="54" t="n">
        <f aca="false">IF(AND(E182="Phase I",OR(F182&gt;$E$6,F182&lt;$E$7,G182&gt;$E$8)),1,0)</f>
        <v>0</v>
      </c>
      <c r="I182" s="53" t="n">
        <f aca="false">$H$4</f>
        <v>0.67278149898986</v>
      </c>
      <c r="J182" s="53" t="n">
        <f aca="false">$H$6</f>
        <v>0.959137233677579</v>
      </c>
      <c r="K182" s="53" t="n">
        <f aca="false">$H$7</f>
        <v>0.386425764302142</v>
      </c>
      <c r="L182" s="53" t="n">
        <f aca="false">$H$5</f>
        <v>0.279917629215756</v>
      </c>
      <c r="M182" s="53" t="n">
        <f aca="false">$H$8</f>
        <v>0.720507977601356</v>
      </c>
      <c r="N182" s="54" t="n">
        <f aca="false">IF(OR(F182&gt;J182,F182&lt;K182),1,0)</f>
        <v>0</v>
      </c>
      <c r="O182" s="54" t="n">
        <f aca="false">IF(G182&gt;M182,1,0)</f>
        <v>0</v>
      </c>
      <c r="P182" s="54" t="n">
        <f aca="false">SIGN(F182-I182)</f>
        <v>1</v>
      </c>
      <c r="Q182" s="54" t="n">
        <f aca="false">IF(ABS(SUM(P175:P182))=8,1,0)</f>
        <v>0</v>
      </c>
    </row>
    <row r="183" customFormat="false" ht="15" hidden="false" customHeight="false" outlineLevel="0" collapsed="false">
      <c r="A183" s="52" t="n">
        <v>44076</v>
      </c>
      <c r="B183" s="53" t="n">
        <v>0.580566368865991</v>
      </c>
      <c r="C183" s="53" t="n">
        <v>0.814860664149937</v>
      </c>
      <c r="D183" s="53" t="n">
        <v>0.720606684261681</v>
      </c>
      <c r="E183" s="54" t="s">
        <v>945</v>
      </c>
      <c r="F183" s="53" t="n">
        <f aca="false">AVERAGE(B183:D183)</f>
        <v>0.70534457242587</v>
      </c>
      <c r="G183" s="53" t="n">
        <f aca="false">MAX(B183:D183)-MIN(B183:D183)</f>
        <v>0.234294295283946</v>
      </c>
      <c r="H183" s="54" t="n">
        <f aca="false">IF(AND(E183="Phase I",OR(F183&gt;$E$6,F183&lt;$E$7,G183&gt;$E$8)),1,0)</f>
        <v>0</v>
      </c>
      <c r="I183" s="53" t="n">
        <f aca="false">$H$4</f>
        <v>0.67278149898986</v>
      </c>
      <c r="J183" s="53" t="n">
        <f aca="false">$H$6</f>
        <v>0.959137233677579</v>
      </c>
      <c r="K183" s="53" t="n">
        <f aca="false">$H$7</f>
        <v>0.386425764302142</v>
      </c>
      <c r="L183" s="53" t="n">
        <f aca="false">$H$5</f>
        <v>0.279917629215756</v>
      </c>
      <c r="M183" s="53" t="n">
        <f aca="false">$H$8</f>
        <v>0.720507977601356</v>
      </c>
      <c r="N183" s="54" t="n">
        <f aca="false">IF(OR(F183&gt;J183,F183&lt;K183),1,0)</f>
        <v>0</v>
      </c>
      <c r="O183" s="54" t="n">
        <f aca="false">IF(G183&gt;M183,1,0)</f>
        <v>0</v>
      </c>
      <c r="P183" s="54" t="n">
        <f aca="false">SIGN(F183-I183)</f>
        <v>1</v>
      </c>
      <c r="Q183" s="54" t="n">
        <f aca="false">IF(ABS(SUM(P176:P183))=8,1,0)</f>
        <v>0</v>
      </c>
    </row>
    <row r="184" customFormat="false" ht="15" hidden="false" customHeight="false" outlineLevel="0" collapsed="false">
      <c r="A184" s="52" t="n">
        <v>44077</v>
      </c>
      <c r="B184" s="53" t="n">
        <v>0.838920610708442</v>
      </c>
      <c r="C184" s="53" t="n">
        <v>0.852757083037364</v>
      </c>
      <c r="D184" s="53" t="n">
        <v>0.625065745073404</v>
      </c>
      <c r="E184" s="54" t="s">
        <v>945</v>
      </c>
      <c r="F184" s="53" t="n">
        <f aca="false">AVERAGE(B184:D184)</f>
        <v>0.772247812939737</v>
      </c>
      <c r="G184" s="53" t="n">
        <f aca="false">MAX(B184:D184)-MIN(B184:D184)</f>
        <v>0.22769133796396</v>
      </c>
      <c r="H184" s="54" t="n">
        <f aca="false">IF(AND(E184="Phase I",OR(F184&gt;$E$6,F184&lt;$E$7,G184&gt;$E$8)),1,0)</f>
        <v>0</v>
      </c>
      <c r="I184" s="53" t="n">
        <f aca="false">$H$4</f>
        <v>0.67278149898986</v>
      </c>
      <c r="J184" s="53" t="n">
        <f aca="false">$H$6</f>
        <v>0.959137233677579</v>
      </c>
      <c r="K184" s="53" t="n">
        <f aca="false">$H$7</f>
        <v>0.386425764302142</v>
      </c>
      <c r="L184" s="53" t="n">
        <f aca="false">$H$5</f>
        <v>0.279917629215756</v>
      </c>
      <c r="M184" s="53" t="n">
        <f aca="false">$H$8</f>
        <v>0.720507977601356</v>
      </c>
      <c r="N184" s="54" t="n">
        <f aca="false">IF(OR(F184&gt;J184,F184&lt;K184),1,0)</f>
        <v>0</v>
      </c>
      <c r="O184" s="54" t="n">
        <f aca="false">IF(G184&gt;M184,1,0)</f>
        <v>0</v>
      </c>
      <c r="P184" s="54" t="n">
        <f aca="false">SIGN(F184-I184)</f>
        <v>1</v>
      </c>
      <c r="Q184" s="54" t="n">
        <f aca="false">IF(ABS(SUM(P177:P184))=8,1,0)</f>
        <v>0</v>
      </c>
    </row>
    <row r="185" customFormat="false" ht="15" hidden="false" customHeight="false" outlineLevel="0" collapsed="false">
      <c r="A185" s="52" t="n">
        <v>44078</v>
      </c>
      <c r="B185" s="53" t="n">
        <v>0.707082725644211</v>
      </c>
      <c r="C185" s="53" t="n">
        <v>0.703297230560986</v>
      </c>
      <c r="D185" s="53" t="n">
        <v>0.781455282191705</v>
      </c>
      <c r="E185" s="54" t="s">
        <v>945</v>
      </c>
      <c r="F185" s="53" t="n">
        <f aca="false">AVERAGE(B185:D185)</f>
        <v>0.730611746132301</v>
      </c>
      <c r="G185" s="53" t="n">
        <f aca="false">MAX(B185:D185)-MIN(B185:D185)</f>
        <v>0.078158051630719</v>
      </c>
      <c r="H185" s="54" t="n">
        <f aca="false">IF(AND(E185="Phase I",OR(F185&gt;$E$6,F185&lt;$E$7,G185&gt;$E$8)),1,0)</f>
        <v>0</v>
      </c>
      <c r="I185" s="53" t="n">
        <f aca="false">$H$4</f>
        <v>0.67278149898986</v>
      </c>
      <c r="J185" s="53" t="n">
        <f aca="false">$H$6</f>
        <v>0.959137233677579</v>
      </c>
      <c r="K185" s="53" t="n">
        <f aca="false">$H$7</f>
        <v>0.386425764302142</v>
      </c>
      <c r="L185" s="53" t="n">
        <f aca="false">$H$5</f>
        <v>0.279917629215756</v>
      </c>
      <c r="M185" s="53" t="n">
        <f aca="false">$H$8</f>
        <v>0.720507977601356</v>
      </c>
      <c r="N185" s="54" t="n">
        <f aca="false">IF(OR(F185&gt;J185,F185&lt;K185),1,0)</f>
        <v>0</v>
      </c>
      <c r="O185" s="54" t="n">
        <f aca="false">IF(G185&gt;M185,1,0)</f>
        <v>0</v>
      </c>
      <c r="P185" s="54" t="n">
        <f aca="false">SIGN(F185-I185)</f>
        <v>1</v>
      </c>
      <c r="Q185" s="54" t="n">
        <f aca="false">IF(ABS(SUM(P178:P185))=8,1,0)</f>
        <v>0</v>
      </c>
    </row>
    <row r="186" customFormat="false" ht="15" hidden="false" customHeight="false" outlineLevel="0" collapsed="false">
      <c r="A186" s="52" t="n">
        <v>44081</v>
      </c>
      <c r="B186" s="53" t="n">
        <v>0.792371495478888</v>
      </c>
      <c r="C186" s="53" t="n">
        <v>0.564937129038738</v>
      </c>
      <c r="D186" s="53" t="n">
        <v>0.665455040710167</v>
      </c>
      <c r="E186" s="54" t="s">
        <v>945</v>
      </c>
      <c r="F186" s="53" t="n">
        <f aca="false">AVERAGE(B186:D186)</f>
        <v>0.674254555075931</v>
      </c>
      <c r="G186" s="53" t="n">
        <f aca="false">MAX(B186:D186)-MIN(B186:D186)</f>
        <v>0.227434366440151</v>
      </c>
      <c r="H186" s="54" t="n">
        <f aca="false">IF(AND(E186="Phase I",OR(F186&gt;$E$6,F186&lt;$E$7,G186&gt;$E$8)),1,0)</f>
        <v>0</v>
      </c>
      <c r="I186" s="53" t="n">
        <f aca="false">$H$4</f>
        <v>0.67278149898986</v>
      </c>
      <c r="J186" s="53" t="n">
        <f aca="false">$H$6</f>
        <v>0.959137233677579</v>
      </c>
      <c r="K186" s="53" t="n">
        <f aca="false">$H$7</f>
        <v>0.386425764302142</v>
      </c>
      <c r="L186" s="53" t="n">
        <f aca="false">$H$5</f>
        <v>0.279917629215756</v>
      </c>
      <c r="M186" s="53" t="n">
        <f aca="false">$H$8</f>
        <v>0.720507977601356</v>
      </c>
      <c r="N186" s="54" t="n">
        <f aca="false">IF(OR(F186&gt;J186,F186&lt;K186),1,0)</f>
        <v>0</v>
      </c>
      <c r="O186" s="54" t="n">
        <f aca="false">IF(G186&gt;M186,1,0)</f>
        <v>0</v>
      </c>
      <c r="P186" s="54" t="n">
        <f aca="false">SIGN(F186-I186)</f>
        <v>1</v>
      </c>
      <c r="Q186" s="54" t="n">
        <f aca="false">IF(ABS(SUM(P179:P186))=8,1,0)</f>
        <v>1</v>
      </c>
    </row>
    <row r="187" customFormat="false" ht="15" hidden="false" customHeight="false" outlineLevel="0" collapsed="false">
      <c r="A187" s="52" t="n">
        <v>44082</v>
      </c>
      <c r="B187" s="53" t="n">
        <v>0.701460104674312</v>
      </c>
      <c r="C187" s="53" t="n">
        <v>0.695248962577068</v>
      </c>
      <c r="D187" s="53" t="n">
        <v>0.635976899522547</v>
      </c>
      <c r="E187" s="54" t="s">
        <v>945</v>
      </c>
      <c r="F187" s="53" t="n">
        <f aca="false">AVERAGE(B187:D187)</f>
        <v>0.677561988924642</v>
      </c>
      <c r="G187" s="53" t="n">
        <f aca="false">MAX(B187:D187)-MIN(B187:D187)</f>
        <v>0.0654832051517655</v>
      </c>
      <c r="H187" s="54" t="n">
        <f aca="false">IF(AND(E187="Phase I",OR(F187&gt;$E$6,F187&lt;$E$7,G187&gt;$E$8)),1,0)</f>
        <v>0</v>
      </c>
      <c r="I187" s="53" t="n">
        <f aca="false">$H$4</f>
        <v>0.67278149898986</v>
      </c>
      <c r="J187" s="53" t="n">
        <f aca="false">$H$6</f>
        <v>0.959137233677579</v>
      </c>
      <c r="K187" s="53" t="n">
        <f aca="false">$H$7</f>
        <v>0.386425764302142</v>
      </c>
      <c r="L187" s="53" t="n">
        <f aca="false">$H$5</f>
        <v>0.279917629215756</v>
      </c>
      <c r="M187" s="53" t="n">
        <f aca="false">$H$8</f>
        <v>0.720507977601356</v>
      </c>
      <c r="N187" s="54" t="n">
        <f aca="false">IF(OR(F187&gt;J187,F187&lt;K187),1,0)</f>
        <v>0</v>
      </c>
      <c r="O187" s="54" t="n">
        <f aca="false">IF(G187&gt;M187,1,0)</f>
        <v>0</v>
      </c>
      <c r="P187" s="54" t="n">
        <f aca="false">SIGN(F187-I187)</f>
        <v>1</v>
      </c>
      <c r="Q187" s="54" t="n">
        <f aca="false">IF(ABS(SUM(P180:P187))=8,1,0)</f>
        <v>1</v>
      </c>
    </row>
    <row r="188" customFormat="false" ht="15" hidden="false" customHeight="false" outlineLevel="0" collapsed="false">
      <c r="A188" s="52" t="n">
        <v>44083</v>
      </c>
      <c r="B188" s="53" t="n">
        <v>0.716730914603186</v>
      </c>
      <c r="C188" s="53" t="n">
        <v>0.520663179760875</v>
      </c>
      <c r="D188" s="53" t="n">
        <v>0.620133381497055</v>
      </c>
      <c r="E188" s="54" t="s">
        <v>945</v>
      </c>
      <c r="F188" s="53" t="n">
        <f aca="false">AVERAGE(B188:D188)</f>
        <v>0.619175825287039</v>
      </c>
      <c r="G188" s="53" t="n">
        <f aca="false">MAX(B188:D188)-MIN(B188:D188)</f>
        <v>0.196067734842311</v>
      </c>
      <c r="H188" s="54" t="n">
        <f aca="false">IF(AND(E188="Phase I",OR(F188&gt;$E$6,F188&lt;$E$7,G188&gt;$E$8)),1,0)</f>
        <v>0</v>
      </c>
      <c r="I188" s="53" t="n">
        <f aca="false">$H$4</f>
        <v>0.67278149898986</v>
      </c>
      <c r="J188" s="53" t="n">
        <f aca="false">$H$6</f>
        <v>0.959137233677579</v>
      </c>
      <c r="K188" s="53" t="n">
        <f aca="false">$H$7</f>
        <v>0.386425764302142</v>
      </c>
      <c r="L188" s="53" t="n">
        <f aca="false">$H$5</f>
        <v>0.279917629215756</v>
      </c>
      <c r="M188" s="53" t="n">
        <f aca="false">$H$8</f>
        <v>0.720507977601356</v>
      </c>
      <c r="N188" s="54" t="n">
        <f aca="false">IF(OR(F188&gt;J188,F188&lt;K188),1,0)</f>
        <v>0</v>
      </c>
      <c r="O188" s="54" t="n">
        <f aca="false">IF(G188&gt;M188,1,0)</f>
        <v>0</v>
      </c>
      <c r="P188" s="54" t="n">
        <f aca="false">SIGN(F188-I188)</f>
        <v>-1</v>
      </c>
      <c r="Q188" s="54" t="n">
        <f aca="false">IF(ABS(SUM(P181:P188))=8,1,0)</f>
        <v>0</v>
      </c>
    </row>
    <row r="189" customFormat="false" ht="15" hidden="false" customHeight="false" outlineLevel="0" collapsed="false">
      <c r="A189" s="52" t="n">
        <v>44084</v>
      </c>
      <c r="B189" s="53" t="n">
        <v>0.763202853320878</v>
      </c>
      <c r="C189" s="53" t="n">
        <v>0.7321559211273</v>
      </c>
      <c r="D189" s="53" t="n">
        <v>0.693240901213172</v>
      </c>
      <c r="E189" s="54" t="s">
        <v>945</v>
      </c>
      <c r="F189" s="53" t="n">
        <f aca="false">AVERAGE(B189:D189)</f>
        <v>0.72953322522045</v>
      </c>
      <c r="G189" s="53" t="n">
        <f aca="false">MAX(B189:D189)-MIN(B189:D189)</f>
        <v>0.0699619521077063</v>
      </c>
      <c r="H189" s="54" t="n">
        <f aca="false">IF(AND(E189="Phase I",OR(F189&gt;$E$6,F189&lt;$E$7,G189&gt;$E$8)),1,0)</f>
        <v>0</v>
      </c>
      <c r="I189" s="53" t="n">
        <f aca="false">$H$4</f>
        <v>0.67278149898986</v>
      </c>
      <c r="J189" s="53" t="n">
        <f aca="false">$H$6</f>
        <v>0.959137233677579</v>
      </c>
      <c r="K189" s="53" t="n">
        <f aca="false">$H$7</f>
        <v>0.386425764302142</v>
      </c>
      <c r="L189" s="53" t="n">
        <f aca="false">$H$5</f>
        <v>0.279917629215756</v>
      </c>
      <c r="M189" s="53" t="n">
        <f aca="false">$H$8</f>
        <v>0.720507977601356</v>
      </c>
      <c r="N189" s="54" t="n">
        <f aca="false">IF(OR(F189&gt;J189,F189&lt;K189),1,0)</f>
        <v>0</v>
      </c>
      <c r="O189" s="54" t="n">
        <f aca="false">IF(G189&gt;M189,1,0)</f>
        <v>0</v>
      </c>
      <c r="P189" s="54" t="n">
        <f aca="false">SIGN(F189-I189)</f>
        <v>1</v>
      </c>
      <c r="Q189" s="54" t="n">
        <f aca="false">IF(ABS(SUM(P182:P189))=8,1,0)</f>
        <v>0</v>
      </c>
    </row>
    <row r="190" customFormat="false" ht="15" hidden="false" customHeight="false" outlineLevel="0" collapsed="false">
      <c r="A190" s="52" t="n">
        <v>44085</v>
      </c>
      <c r="B190" s="53" t="n">
        <v>0.63628231569703</v>
      </c>
      <c r="C190" s="53" t="n">
        <v>0.734714844673273</v>
      </c>
      <c r="D190" s="53" t="n">
        <v>0.666887889651072</v>
      </c>
      <c r="E190" s="54" t="s">
        <v>945</v>
      </c>
      <c r="F190" s="53" t="n">
        <f aca="false">AVERAGE(B190:D190)</f>
        <v>0.679295016673792</v>
      </c>
      <c r="G190" s="53" t="n">
        <f aca="false">MAX(B190:D190)-MIN(B190:D190)</f>
        <v>0.0984325289762436</v>
      </c>
      <c r="H190" s="54" t="n">
        <f aca="false">IF(AND(E190="Phase I",OR(F190&gt;$E$6,F190&lt;$E$7,G190&gt;$E$8)),1,0)</f>
        <v>0</v>
      </c>
      <c r="I190" s="53" t="n">
        <f aca="false">$H$4</f>
        <v>0.67278149898986</v>
      </c>
      <c r="J190" s="53" t="n">
        <f aca="false">$H$6</f>
        <v>0.959137233677579</v>
      </c>
      <c r="K190" s="53" t="n">
        <f aca="false">$H$7</f>
        <v>0.386425764302142</v>
      </c>
      <c r="L190" s="53" t="n">
        <f aca="false">$H$5</f>
        <v>0.279917629215756</v>
      </c>
      <c r="M190" s="53" t="n">
        <f aca="false">$H$8</f>
        <v>0.720507977601356</v>
      </c>
      <c r="N190" s="54" t="n">
        <f aca="false">IF(OR(F190&gt;J190,F190&lt;K190),1,0)</f>
        <v>0</v>
      </c>
      <c r="O190" s="54" t="n">
        <f aca="false">IF(G190&gt;M190,1,0)</f>
        <v>0</v>
      </c>
      <c r="P190" s="54" t="n">
        <f aca="false">SIGN(F190-I190)</f>
        <v>1</v>
      </c>
      <c r="Q190" s="54" t="n">
        <f aca="false">IF(ABS(SUM(P183:P190))=8,1,0)</f>
        <v>0</v>
      </c>
    </row>
    <row r="191" customFormat="false" ht="15" hidden="false" customHeight="false" outlineLevel="0" collapsed="false">
      <c r="A191" s="52" t="n">
        <v>44088</v>
      </c>
      <c r="B191" s="53" t="n">
        <v>0.561855539885026</v>
      </c>
      <c r="C191" s="53" t="n">
        <v>0.782472023199484</v>
      </c>
      <c r="D191" s="53" t="n">
        <v>0.673302591656499</v>
      </c>
      <c r="E191" s="54" t="s">
        <v>945</v>
      </c>
      <c r="F191" s="53" t="n">
        <f aca="false">AVERAGE(B191:D191)</f>
        <v>0.672543384913669</v>
      </c>
      <c r="G191" s="53" t="n">
        <f aca="false">MAX(B191:D191)-MIN(B191:D191)</f>
        <v>0.220616483314458</v>
      </c>
      <c r="H191" s="54" t="n">
        <f aca="false">IF(AND(E191="Phase I",OR(F191&gt;$E$6,F191&lt;$E$7,G191&gt;$E$8)),1,0)</f>
        <v>0</v>
      </c>
      <c r="I191" s="53" t="n">
        <f aca="false">$H$4</f>
        <v>0.67278149898986</v>
      </c>
      <c r="J191" s="53" t="n">
        <f aca="false">$H$6</f>
        <v>0.959137233677579</v>
      </c>
      <c r="K191" s="53" t="n">
        <f aca="false">$H$7</f>
        <v>0.386425764302142</v>
      </c>
      <c r="L191" s="53" t="n">
        <f aca="false">$H$5</f>
        <v>0.279917629215756</v>
      </c>
      <c r="M191" s="53" t="n">
        <f aca="false">$H$8</f>
        <v>0.720507977601356</v>
      </c>
      <c r="N191" s="54" t="n">
        <f aca="false">IF(OR(F191&gt;J191,F191&lt;K191),1,0)</f>
        <v>0</v>
      </c>
      <c r="O191" s="54" t="n">
        <f aca="false">IF(G191&gt;M191,1,0)</f>
        <v>0</v>
      </c>
      <c r="P191" s="54" t="n">
        <f aca="false">SIGN(F191-I191)</f>
        <v>-1</v>
      </c>
      <c r="Q191" s="54" t="n">
        <f aca="false">IF(ABS(SUM(P184:P191))=8,1,0)</f>
        <v>0</v>
      </c>
    </row>
    <row r="192" customFormat="false" ht="15" hidden="false" customHeight="false" outlineLevel="0" collapsed="false">
      <c r="A192" s="52" t="n">
        <v>44089</v>
      </c>
      <c r="B192" s="53" t="n">
        <v>0.747251868045487</v>
      </c>
      <c r="C192" s="53" t="n">
        <v>0.786069611767099</v>
      </c>
      <c r="D192" s="53" t="n">
        <v>0.492622483849277</v>
      </c>
      <c r="E192" s="54" t="s">
        <v>945</v>
      </c>
      <c r="F192" s="53" t="n">
        <f aca="false">AVERAGE(B192:D192)</f>
        <v>0.675314654553954</v>
      </c>
      <c r="G192" s="53" t="n">
        <f aca="false">MAX(B192:D192)-MIN(B192:D192)</f>
        <v>0.293447127917821</v>
      </c>
      <c r="H192" s="54" t="n">
        <f aca="false">IF(AND(E192="Phase I",OR(F192&gt;$E$6,F192&lt;$E$7,G192&gt;$E$8)),1,0)</f>
        <v>0</v>
      </c>
      <c r="I192" s="53" t="n">
        <f aca="false">$H$4</f>
        <v>0.67278149898986</v>
      </c>
      <c r="J192" s="53" t="n">
        <f aca="false">$H$6</f>
        <v>0.959137233677579</v>
      </c>
      <c r="K192" s="53" t="n">
        <f aca="false">$H$7</f>
        <v>0.386425764302142</v>
      </c>
      <c r="L192" s="53" t="n">
        <f aca="false">$H$5</f>
        <v>0.279917629215756</v>
      </c>
      <c r="M192" s="53" t="n">
        <f aca="false">$H$8</f>
        <v>0.720507977601356</v>
      </c>
      <c r="N192" s="54" t="n">
        <f aca="false">IF(OR(F192&gt;J192,F192&lt;K192),1,0)</f>
        <v>0</v>
      </c>
      <c r="O192" s="54" t="n">
        <f aca="false">IF(G192&gt;M192,1,0)</f>
        <v>0</v>
      </c>
      <c r="P192" s="54" t="n">
        <f aca="false">SIGN(F192-I192)</f>
        <v>1</v>
      </c>
      <c r="Q192" s="54" t="n">
        <f aca="false">IF(ABS(SUM(P185:P192))=8,1,0)</f>
        <v>0</v>
      </c>
    </row>
    <row r="193" customFormat="false" ht="15" hidden="false" customHeight="false" outlineLevel="0" collapsed="false">
      <c r="A193" s="52" t="n">
        <v>44090</v>
      </c>
      <c r="B193" s="53" t="n">
        <v>0.625239551940915</v>
      </c>
      <c r="C193" s="53" t="n">
        <v>0.72058596881246</v>
      </c>
      <c r="D193" s="53" t="n">
        <v>0.719000866295664</v>
      </c>
      <c r="E193" s="54" t="s">
        <v>945</v>
      </c>
      <c r="F193" s="53" t="n">
        <f aca="false">AVERAGE(B193:D193)</f>
        <v>0.68827546234968</v>
      </c>
      <c r="G193" s="53" t="n">
        <f aca="false">MAX(B193:D193)-MIN(B193:D193)</f>
        <v>0.0953464168715453</v>
      </c>
      <c r="H193" s="54" t="n">
        <f aca="false">IF(AND(E193="Phase I",OR(F193&gt;$E$6,F193&lt;$E$7,G193&gt;$E$8)),1,0)</f>
        <v>0</v>
      </c>
      <c r="I193" s="53" t="n">
        <f aca="false">$H$4</f>
        <v>0.67278149898986</v>
      </c>
      <c r="J193" s="53" t="n">
        <f aca="false">$H$6</f>
        <v>0.959137233677579</v>
      </c>
      <c r="K193" s="53" t="n">
        <f aca="false">$H$7</f>
        <v>0.386425764302142</v>
      </c>
      <c r="L193" s="53" t="n">
        <f aca="false">$H$5</f>
        <v>0.279917629215756</v>
      </c>
      <c r="M193" s="53" t="n">
        <f aca="false">$H$8</f>
        <v>0.720507977601356</v>
      </c>
      <c r="N193" s="54" t="n">
        <f aca="false">IF(OR(F193&gt;J193,F193&lt;K193),1,0)</f>
        <v>0</v>
      </c>
      <c r="O193" s="54" t="n">
        <f aca="false">IF(G193&gt;M193,1,0)</f>
        <v>0</v>
      </c>
      <c r="P193" s="54" t="n">
        <f aca="false">SIGN(F193-I193)</f>
        <v>1</v>
      </c>
      <c r="Q193" s="54" t="n">
        <f aca="false">IF(ABS(SUM(P186:P193))=8,1,0)</f>
        <v>0</v>
      </c>
    </row>
    <row r="194" customFormat="false" ht="15" hidden="false" customHeight="false" outlineLevel="0" collapsed="false">
      <c r="A194" s="52" t="n">
        <v>44091</v>
      </c>
      <c r="B194" s="53" t="n">
        <v>0.833365896299627</v>
      </c>
      <c r="C194" s="53" t="n">
        <v>0.651715035497624</v>
      </c>
      <c r="D194" s="53" t="n">
        <v>0.658480599543717</v>
      </c>
      <c r="E194" s="54" t="s">
        <v>945</v>
      </c>
      <c r="F194" s="53" t="n">
        <f aca="false">AVERAGE(B194:D194)</f>
        <v>0.714520510446989</v>
      </c>
      <c r="G194" s="53" t="n">
        <f aca="false">MAX(B194:D194)-MIN(B194:D194)</f>
        <v>0.181650860802003</v>
      </c>
      <c r="H194" s="54" t="n">
        <f aca="false">IF(AND(E194="Phase I",OR(F194&gt;$E$6,F194&lt;$E$7,G194&gt;$E$8)),1,0)</f>
        <v>0</v>
      </c>
      <c r="I194" s="53" t="n">
        <f aca="false">$H$4</f>
        <v>0.67278149898986</v>
      </c>
      <c r="J194" s="53" t="n">
        <f aca="false">$H$6</f>
        <v>0.959137233677579</v>
      </c>
      <c r="K194" s="53" t="n">
        <f aca="false">$H$7</f>
        <v>0.386425764302142</v>
      </c>
      <c r="L194" s="53" t="n">
        <f aca="false">$H$5</f>
        <v>0.279917629215756</v>
      </c>
      <c r="M194" s="53" t="n">
        <f aca="false">$H$8</f>
        <v>0.720507977601356</v>
      </c>
      <c r="N194" s="54" t="n">
        <f aca="false">IF(OR(F194&gt;J194,F194&lt;K194),1,0)</f>
        <v>0</v>
      </c>
      <c r="O194" s="54" t="n">
        <f aca="false">IF(G194&gt;M194,1,0)</f>
        <v>0</v>
      </c>
      <c r="P194" s="54" t="n">
        <f aca="false">SIGN(F194-I194)</f>
        <v>1</v>
      </c>
      <c r="Q194" s="54" t="n">
        <f aca="false">IF(ABS(SUM(P187:P194))=8,1,0)</f>
        <v>0</v>
      </c>
    </row>
    <row r="195" customFormat="false" ht="15" hidden="false" customHeight="false" outlineLevel="0" collapsed="false">
      <c r="A195" s="52" t="n">
        <v>44092</v>
      </c>
      <c r="B195" s="53" t="n">
        <v>0.668388479059827</v>
      </c>
      <c r="C195" s="53" t="n">
        <v>0.828596961914874</v>
      </c>
      <c r="D195" s="53" t="n">
        <v>0.772985550318913</v>
      </c>
      <c r="E195" s="54" t="s">
        <v>945</v>
      </c>
      <c r="F195" s="53" t="n">
        <f aca="false">AVERAGE(B195:D195)</f>
        <v>0.756656997097871</v>
      </c>
      <c r="G195" s="53" t="n">
        <f aca="false">MAX(B195:D195)-MIN(B195:D195)</f>
        <v>0.160208482855047</v>
      </c>
      <c r="H195" s="54" t="n">
        <f aca="false">IF(AND(E195="Phase I",OR(F195&gt;$E$6,F195&lt;$E$7,G195&gt;$E$8)),1,0)</f>
        <v>0</v>
      </c>
      <c r="I195" s="53" t="n">
        <f aca="false">$H$4</f>
        <v>0.67278149898986</v>
      </c>
      <c r="J195" s="53" t="n">
        <f aca="false">$H$6</f>
        <v>0.959137233677579</v>
      </c>
      <c r="K195" s="53" t="n">
        <f aca="false">$H$7</f>
        <v>0.386425764302142</v>
      </c>
      <c r="L195" s="53" t="n">
        <f aca="false">$H$5</f>
        <v>0.279917629215756</v>
      </c>
      <c r="M195" s="53" t="n">
        <f aca="false">$H$8</f>
        <v>0.720507977601356</v>
      </c>
      <c r="N195" s="54" t="n">
        <f aca="false">IF(OR(F195&gt;J195,F195&lt;K195),1,0)</f>
        <v>0</v>
      </c>
      <c r="O195" s="54" t="n">
        <f aca="false">IF(G195&gt;M195,1,0)</f>
        <v>0</v>
      </c>
      <c r="P195" s="54" t="n">
        <f aca="false">SIGN(F195-I195)</f>
        <v>1</v>
      </c>
      <c r="Q195" s="54" t="n">
        <f aca="false">IF(ABS(SUM(P188:P195))=8,1,0)</f>
        <v>0</v>
      </c>
    </row>
    <row r="196" customFormat="false" ht="15" hidden="false" customHeight="false" outlineLevel="0" collapsed="false">
      <c r="A196" s="52" t="n">
        <v>44095</v>
      </c>
      <c r="B196" s="53" t="n">
        <v>0.362538931487405</v>
      </c>
      <c r="C196" s="53" t="n">
        <v>0.505432462110677</v>
      </c>
      <c r="D196" s="53" t="n">
        <v>0.72991433044545</v>
      </c>
      <c r="E196" s="54" t="s">
        <v>945</v>
      </c>
      <c r="F196" s="53" t="n">
        <f aca="false">AVERAGE(B196:D196)</f>
        <v>0.532628574681177</v>
      </c>
      <c r="G196" s="53" t="n">
        <f aca="false">MAX(B196:D196)-MIN(B196:D196)</f>
        <v>0.367375398958046</v>
      </c>
      <c r="H196" s="54" t="n">
        <f aca="false">IF(AND(E196="Phase I",OR(F196&gt;$E$6,F196&lt;$E$7,G196&gt;$E$8)),1,0)</f>
        <v>0</v>
      </c>
      <c r="I196" s="53" t="n">
        <f aca="false">$H$4</f>
        <v>0.67278149898986</v>
      </c>
      <c r="J196" s="53" t="n">
        <f aca="false">$H$6</f>
        <v>0.959137233677579</v>
      </c>
      <c r="K196" s="53" t="n">
        <f aca="false">$H$7</f>
        <v>0.386425764302142</v>
      </c>
      <c r="L196" s="53" t="n">
        <f aca="false">$H$5</f>
        <v>0.279917629215756</v>
      </c>
      <c r="M196" s="53" t="n">
        <f aca="false">$H$8</f>
        <v>0.720507977601356</v>
      </c>
      <c r="N196" s="54" t="n">
        <f aca="false">IF(OR(F196&gt;J196,F196&lt;K196),1,0)</f>
        <v>0</v>
      </c>
      <c r="O196" s="54" t="n">
        <f aca="false">IF(G196&gt;M196,1,0)</f>
        <v>0</v>
      </c>
      <c r="P196" s="54" t="n">
        <f aca="false">SIGN(F196-I196)</f>
        <v>-1</v>
      </c>
      <c r="Q196" s="54" t="n">
        <f aca="false">IF(ABS(SUM(P189:P196))=8,1,0)</f>
        <v>0</v>
      </c>
    </row>
    <row r="197" customFormat="false" ht="15" hidden="false" customHeight="false" outlineLevel="0" collapsed="false">
      <c r="A197" s="52" t="n">
        <v>44096</v>
      </c>
      <c r="B197" s="53" t="n">
        <v>0.750630356089455</v>
      </c>
      <c r="C197" s="53" t="n">
        <v>0.86149263969676</v>
      </c>
      <c r="D197" s="53" t="n">
        <v>0.192872995915084</v>
      </c>
      <c r="E197" s="54" t="s">
        <v>945</v>
      </c>
      <c r="F197" s="53" t="n">
        <f aca="false">AVERAGE(B197:D197)</f>
        <v>0.6016653305671</v>
      </c>
      <c r="G197" s="53" t="n">
        <f aca="false">MAX(B197:D197)-MIN(B197:D197)</f>
        <v>0.668619643781676</v>
      </c>
      <c r="H197" s="54" t="n">
        <f aca="false">IF(AND(E197="Phase I",OR(F197&gt;$E$6,F197&lt;$E$7,G197&gt;$E$8)),1,0)</f>
        <v>0</v>
      </c>
      <c r="I197" s="53" t="n">
        <f aca="false">$H$4</f>
        <v>0.67278149898986</v>
      </c>
      <c r="J197" s="53" t="n">
        <f aca="false">$H$6</f>
        <v>0.959137233677579</v>
      </c>
      <c r="K197" s="53" t="n">
        <f aca="false">$H$7</f>
        <v>0.386425764302142</v>
      </c>
      <c r="L197" s="53" t="n">
        <f aca="false">$H$5</f>
        <v>0.279917629215756</v>
      </c>
      <c r="M197" s="53" t="n">
        <f aca="false">$H$8</f>
        <v>0.720507977601356</v>
      </c>
      <c r="N197" s="54" t="n">
        <f aca="false">IF(OR(F197&gt;J197,F197&lt;K197),1,0)</f>
        <v>0</v>
      </c>
      <c r="O197" s="54" t="n">
        <f aca="false">IF(G197&gt;M197,1,0)</f>
        <v>0</v>
      </c>
      <c r="P197" s="54" t="n">
        <f aca="false">SIGN(F197-I197)</f>
        <v>-1</v>
      </c>
      <c r="Q197" s="54" t="n">
        <f aca="false">IF(ABS(SUM(P190:P197))=8,1,0)</f>
        <v>0</v>
      </c>
    </row>
    <row r="198" customFormat="false" ht="15" hidden="false" customHeight="false" outlineLevel="0" collapsed="false">
      <c r="A198" s="52" t="n">
        <v>44097</v>
      </c>
      <c r="B198" s="53" t="n">
        <v>0</v>
      </c>
      <c r="C198" s="53" t="n">
        <v>0.65747652420852</v>
      </c>
      <c r="D198" s="53" t="n">
        <v>0.759433156310185</v>
      </c>
      <c r="E198" s="54" t="s">
        <v>945</v>
      </c>
      <c r="F198" s="53" t="n">
        <f aca="false">AVERAGE(B198:D198)</f>
        <v>0.472303226839568</v>
      </c>
      <c r="G198" s="53" t="n">
        <f aca="false">MAX(B198:D198)-MIN(B198:D198)</f>
        <v>0.759433156310185</v>
      </c>
      <c r="H198" s="54" t="n">
        <f aca="false">IF(AND(E198="Phase I",OR(F198&gt;$E$6,F198&lt;$E$7,G198&gt;$E$8)),1,0)</f>
        <v>0</v>
      </c>
      <c r="I198" s="53" t="n">
        <f aca="false">$H$4</f>
        <v>0.67278149898986</v>
      </c>
      <c r="J198" s="53" t="n">
        <f aca="false">$H$6</f>
        <v>0.959137233677579</v>
      </c>
      <c r="K198" s="53" t="n">
        <f aca="false">$H$7</f>
        <v>0.386425764302142</v>
      </c>
      <c r="L198" s="53" t="n">
        <f aca="false">$H$5</f>
        <v>0.279917629215756</v>
      </c>
      <c r="M198" s="53" t="n">
        <f aca="false">$H$8</f>
        <v>0.720507977601356</v>
      </c>
      <c r="N198" s="54" t="n">
        <f aca="false">IF(OR(F198&gt;J198,F198&lt;K198),1,0)</f>
        <v>0</v>
      </c>
      <c r="O198" s="54" t="n">
        <f aca="false">IF(G198&gt;M198,1,0)</f>
        <v>1</v>
      </c>
      <c r="P198" s="54" t="n">
        <f aca="false">SIGN(F198-I198)</f>
        <v>-1</v>
      </c>
      <c r="Q198" s="54" t="n">
        <f aca="false">IF(ABS(SUM(P191:P198))=8,1,0)</f>
        <v>0</v>
      </c>
    </row>
    <row r="199" customFormat="false" ht="15" hidden="false" customHeight="false" outlineLevel="0" collapsed="false">
      <c r="A199" s="52" t="n">
        <v>44098</v>
      </c>
      <c r="B199" s="53" t="n">
        <v>0.797996208154724</v>
      </c>
      <c r="C199" s="53" t="n">
        <v>0.843970197672919</v>
      </c>
      <c r="D199" s="53" t="n">
        <v>0.675318297635963</v>
      </c>
      <c r="E199" s="54" t="s">
        <v>945</v>
      </c>
      <c r="F199" s="53" t="n">
        <f aca="false">AVERAGE(B199:D199)</f>
        <v>0.772428234487869</v>
      </c>
      <c r="G199" s="53" t="n">
        <f aca="false">MAX(B199:D199)-MIN(B199:D199)</f>
        <v>0.168651900036955</v>
      </c>
      <c r="H199" s="54" t="n">
        <f aca="false">IF(AND(E199="Phase I",OR(F199&gt;$E$6,F199&lt;$E$7,G199&gt;$E$8)),1,0)</f>
        <v>0</v>
      </c>
      <c r="I199" s="53" t="n">
        <f aca="false">$H$4</f>
        <v>0.67278149898986</v>
      </c>
      <c r="J199" s="53" t="n">
        <f aca="false">$H$6</f>
        <v>0.959137233677579</v>
      </c>
      <c r="K199" s="53" t="n">
        <f aca="false">$H$7</f>
        <v>0.386425764302142</v>
      </c>
      <c r="L199" s="53" t="n">
        <f aca="false">$H$5</f>
        <v>0.279917629215756</v>
      </c>
      <c r="M199" s="53" t="n">
        <f aca="false">$H$8</f>
        <v>0.720507977601356</v>
      </c>
      <c r="N199" s="54" t="n">
        <f aca="false">IF(OR(F199&gt;J199,F199&lt;K199),1,0)</f>
        <v>0</v>
      </c>
      <c r="O199" s="54" t="n">
        <f aca="false">IF(G199&gt;M199,1,0)</f>
        <v>0</v>
      </c>
      <c r="P199" s="54" t="n">
        <f aca="false">SIGN(F199-I199)</f>
        <v>1</v>
      </c>
      <c r="Q199" s="54" t="n">
        <f aca="false">IF(ABS(SUM(P192:P199))=8,1,0)</f>
        <v>0</v>
      </c>
    </row>
    <row r="200" customFormat="false" ht="15" hidden="false" customHeight="false" outlineLevel="0" collapsed="false">
      <c r="A200" s="52" t="n">
        <v>44099</v>
      </c>
      <c r="B200" s="53" t="n">
        <v>0.880139043726322</v>
      </c>
      <c r="C200" s="53" t="n">
        <v>0.930860997160554</v>
      </c>
      <c r="D200" s="53" t="n">
        <v>0.791072908724549</v>
      </c>
      <c r="E200" s="54" t="s">
        <v>945</v>
      </c>
      <c r="F200" s="53" t="n">
        <f aca="false">AVERAGE(B200:D200)</f>
        <v>0.867357649870475</v>
      </c>
      <c r="G200" s="53" t="n">
        <f aca="false">MAX(B200:D200)-MIN(B200:D200)</f>
        <v>0.139788088436005</v>
      </c>
      <c r="H200" s="54" t="n">
        <f aca="false">IF(AND(E200="Phase I",OR(F200&gt;$E$6,F200&lt;$E$7,G200&gt;$E$8)),1,0)</f>
        <v>0</v>
      </c>
      <c r="I200" s="53" t="n">
        <f aca="false">$H$4</f>
        <v>0.67278149898986</v>
      </c>
      <c r="J200" s="53" t="n">
        <f aca="false">$H$6</f>
        <v>0.959137233677579</v>
      </c>
      <c r="K200" s="53" t="n">
        <f aca="false">$H$7</f>
        <v>0.386425764302142</v>
      </c>
      <c r="L200" s="53" t="n">
        <f aca="false">$H$5</f>
        <v>0.279917629215756</v>
      </c>
      <c r="M200" s="53" t="n">
        <f aca="false">$H$8</f>
        <v>0.720507977601356</v>
      </c>
      <c r="N200" s="54" t="n">
        <f aca="false">IF(OR(F200&gt;J200,F200&lt;K200),1,0)</f>
        <v>0</v>
      </c>
      <c r="O200" s="54" t="n">
        <f aca="false">IF(G200&gt;M200,1,0)</f>
        <v>0</v>
      </c>
      <c r="P200" s="54" t="n">
        <f aca="false">SIGN(F200-I200)</f>
        <v>1</v>
      </c>
      <c r="Q200" s="54" t="n">
        <f aca="false">IF(ABS(SUM(P193:P200))=8,1,0)</f>
        <v>0</v>
      </c>
    </row>
    <row r="201" customFormat="false" ht="15" hidden="false" customHeight="false" outlineLevel="0" collapsed="false">
      <c r="A201" s="52" t="n">
        <v>44102</v>
      </c>
      <c r="B201" s="53" t="n">
        <v>0.72233280582462</v>
      </c>
      <c r="C201" s="53" t="n">
        <v>0.809634599540429</v>
      </c>
      <c r="D201" s="53" t="n">
        <v>0.697864874760255</v>
      </c>
      <c r="E201" s="54" t="s">
        <v>945</v>
      </c>
      <c r="F201" s="53" t="n">
        <f aca="false">AVERAGE(B201:D201)</f>
        <v>0.743277426708434</v>
      </c>
      <c r="G201" s="53" t="n">
        <f aca="false">MAX(B201:D201)-MIN(B201:D201)</f>
        <v>0.111769724780174</v>
      </c>
      <c r="H201" s="54" t="n">
        <f aca="false">IF(AND(E201="Phase I",OR(F201&gt;$E$6,F201&lt;$E$7,G201&gt;$E$8)),1,0)</f>
        <v>0</v>
      </c>
      <c r="I201" s="53" t="n">
        <f aca="false">$H$4</f>
        <v>0.67278149898986</v>
      </c>
      <c r="J201" s="53" t="n">
        <f aca="false">$H$6</f>
        <v>0.959137233677579</v>
      </c>
      <c r="K201" s="53" t="n">
        <f aca="false">$H$7</f>
        <v>0.386425764302142</v>
      </c>
      <c r="L201" s="53" t="n">
        <f aca="false">$H$5</f>
        <v>0.279917629215756</v>
      </c>
      <c r="M201" s="53" t="n">
        <f aca="false">$H$8</f>
        <v>0.720507977601356</v>
      </c>
      <c r="N201" s="54" t="n">
        <f aca="false">IF(OR(F201&gt;J201,F201&lt;K201),1,0)</f>
        <v>0</v>
      </c>
      <c r="O201" s="54" t="n">
        <f aca="false">IF(G201&gt;M201,1,0)</f>
        <v>0</v>
      </c>
      <c r="P201" s="54" t="n">
        <f aca="false">SIGN(F201-I201)</f>
        <v>1</v>
      </c>
      <c r="Q201" s="54" t="n">
        <f aca="false">IF(ABS(SUM(P194:P201))=8,1,0)</f>
        <v>0</v>
      </c>
    </row>
    <row r="202" customFormat="false" ht="15" hidden="false" customHeight="false" outlineLevel="0" collapsed="false">
      <c r="A202" s="52" t="n">
        <v>44103</v>
      </c>
      <c r="B202" s="53" t="n">
        <v>0.756583998302769</v>
      </c>
      <c r="C202" s="53" t="n">
        <v>0.706580081745752</v>
      </c>
      <c r="D202" s="53" t="n">
        <v>0.827316276458572</v>
      </c>
      <c r="E202" s="54" t="s">
        <v>945</v>
      </c>
      <c r="F202" s="53" t="n">
        <f aca="false">AVERAGE(B202:D202)</f>
        <v>0.763493452169031</v>
      </c>
      <c r="G202" s="53" t="n">
        <f aca="false">MAX(B202:D202)-MIN(B202:D202)</f>
        <v>0.12073619471282</v>
      </c>
      <c r="H202" s="54" t="n">
        <f aca="false">IF(AND(E202="Phase I",OR(F202&gt;$E$6,F202&lt;$E$7,G202&gt;$E$8)),1,0)</f>
        <v>0</v>
      </c>
      <c r="I202" s="53" t="n">
        <f aca="false">$H$4</f>
        <v>0.67278149898986</v>
      </c>
      <c r="J202" s="53" t="n">
        <f aca="false">$H$6</f>
        <v>0.959137233677579</v>
      </c>
      <c r="K202" s="53" t="n">
        <f aca="false">$H$7</f>
        <v>0.386425764302142</v>
      </c>
      <c r="L202" s="53" t="n">
        <f aca="false">$H$5</f>
        <v>0.279917629215756</v>
      </c>
      <c r="M202" s="53" t="n">
        <f aca="false">$H$8</f>
        <v>0.720507977601356</v>
      </c>
      <c r="N202" s="54" t="n">
        <f aca="false">IF(OR(F202&gt;J202,F202&lt;K202),1,0)</f>
        <v>0</v>
      </c>
      <c r="O202" s="54" t="n">
        <f aca="false">IF(G202&gt;M202,1,0)</f>
        <v>0</v>
      </c>
      <c r="P202" s="54" t="n">
        <f aca="false">SIGN(F202-I202)</f>
        <v>1</v>
      </c>
      <c r="Q202" s="54" t="n">
        <f aca="false">IF(ABS(SUM(P195:P202))=8,1,0)</f>
        <v>0</v>
      </c>
    </row>
    <row r="203" customFormat="false" ht="15" hidden="false" customHeight="false" outlineLevel="0" collapsed="false">
      <c r="A203" s="52" t="n">
        <v>44104</v>
      </c>
      <c r="B203" s="53" t="n">
        <v>0.588066788317475</v>
      </c>
      <c r="C203" s="53" t="n">
        <v>0.878948369720202</v>
      </c>
      <c r="D203" s="53" t="n">
        <v>0.731557510349703</v>
      </c>
      <c r="E203" s="54" t="s">
        <v>945</v>
      </c>
      <c r="F203" s="53" t="n">
        <f aca="false">AVERAGE(B203:D203)</f>
        <v>0.732857556129127</v>
      </c>
      <c r="G203" s="53" t="n">
        <f aca="false">MAX(B203:D203)-MIN(B203:D203)</f>
        <v>0.290881581402727</v>
      </c>
      <c r="H203" s="54" t="n">
        <f aca="false">IF(AND(E203="Phase I",OR(F203&gt;$E$6,F203&lt;$E$7,G203&gt;$E$8)),1,0)</f>
        <v>0</v>
      </c>
      <c r="I203" s="53" t="n">
        <f aca="false">$H$4</f>
        <v>0.67278149898986</v>
      </c>
      <c r="J203" s="53" t="n">
        <f aca="false">$H$6</f>
        <v>0.959137233677579</v>
      </c>
      <c r="K203" s="53" t="n">
        <f aca="false">$H$7</f>
        <v>0.386425764302142</v>
      </c>
      <c r="L203" s="53" t="n">
        <f aca="false">$H$5</f>
        <v>0.279917629215756</v>
      </c>
      <c r="M203" s="53" t="n">
        <f aca="false">$H$8</f>
        <v>0.720507977601356</v>
      </c>
      <c r="N203" s="54" t="n">
        <f aca="false">IF(OR(F203&gt;J203,F203&lt;K203),1,0)</f>
        <v>0</v>
      </c>
      <c r="O203" s="54" t="n">
        <f aca="false">IF(G203&gt;M203,1,0)</f>
        <v>0</v>
      </c>
      <c r="P203" s="54" t="n">
        <f aca="false">SIGN(F203-I203)</f>
        <v>1</v>
      </c>
      <c r="Q203" s="54" t="n">
        <f aca="false">IF(ABS(SUM(P196:P203))=8,1,0)</f>
        <v>0</v>
      </c>
    </row>
    <row r="204" customFormat="false" ht="15" hidden="false" customHeight="false" outlineLevel="0" collapsed="false">
      <c r="A204" s="52" t="n">
        <v>44105</v>
      </c>
      <c r="B204" s="53" t="n">
        <v>0.60281468618025</v>
      </c>
      <c r="C204" s="53" t="n">
        <v>0.699433060486039</v>
      </c>
      <c r="D204" s="53" t="n">
        <v>0.717790143367927</v>
      </c>
      <c r="E204" s="54" t="s">
        <v>945</v>
      </c>
      <c r="F204" s="53" t="n">
        <f aca="false">AVERAGE(B204:D204)</f>
        <v>0.673345963344739</v>
      </c>
      <c r="G204" s="53" t="n">
        <f aca="false">MAX(B204:D204)-MIN(B204:D204)</f>
        <v>0.114975457187677</v>
      </c>
      <c r="H204" s="54" t="n">
        <f aca="false">IF(AND(E204="Phase I",OR(F204&gt;$E$6,F204&lt;$E$7,G204&gt;$E$8)),1,0)</f>
        <v>0</v>
      </c>
      <c r="I204" s="53" t="n">
        <f aca="false">$H$4</f>
        <v>0.67278149898986</v>
      </c>
      <c r="J204" s="53" t="n">
        <f aca="false">$H$6</f>
        <v>0.959137233677579</v>
      </c>
      <c r="K204" s="53" t="n">
        <f aca="false">$H$7</f>
        <v>0.386425764302142</v>
      </c>
      <c r="L204" s="53" t="n">
        <f aca="false">$H$5</f>
        <v>0.279917629215756</v>
      </c>
      <c r="M204" s="53" t="n">
        <f aca="false">$H$8</f>
        <v>0.720507977601356</v>
      </c>
      <c r="N204" s="54" t="n">
        <f aca="false">IF(OR(F204&gt;J204,F204&lt;K204),1,0)</f>
        <v>0</v>
      </c>
      <c r="O204" s="54" t="n">
        <f aca="false">IF(G204&gt;M204,1,0)</f>
        <v>0</v>
      </c>
      <c r="P204" s="54" t="n">
        <f aca="false">SIGN(F204-I204)</f>
        <v>1</v>
      </c>
      <c r="Q204" s="54" t="n">
        <f aca="false">IF(ABS(SUM(P197:P204))=8,1,0)</f>
        <v>0</v>
      </c>
    </row>
    <row r="205" customFormat="false" ht="15" hidden="false" customHeight="false" outlineLevel="0" collapsed="false">
      <c r="A205" s="52" t="n">
        <v>44106</v>
      </c>
      <c r="B205" s="53" t="n">
        <v>0.601908557063803</v>
      </c>
      <c r="C205" s="53" t="n">
        <v>0.546327874145441</v>
      </c>
      <c r="D205" s="53" t="n">
        <v>0.739750106876829</v>
      </c>
      <c r="E205" s="54" t="s">
        <v>945</v>
      </c>
      <c r="F205" s="53" t="n">
        <f aca="false">AVERAGE(B205:D205)</f>
        <v>0.629328846028691</v>
      </c>
      <c r="G205" s="53" t="n">
        <f aca="false">MAX(B205:D205)-MIN(B205:D205)</f>
        <v>0.193422232731388</v>
      </c>
      <c r="H205" s="54" t="n">
        <f aca="false">IF(AND(E205="Phase I",OR(F205&gt;$E$6,F205&lt;$E$7,G205&gt;$E$8)),1,0)</f>
        <v>0</v>
      </c>
      <c r="I205" s="53" t="n">
        <f aca="false">$H$4</f>
        <v>0.67278149898986</v>
      </c>
      <c r="J205" s="53" t="n">
        <f aca="false">$H$6</f>
        <v>0.959137233677579</v>
      </c>
      <c r="K205" s="53" t="n">
        <f aca="false">$H$7</f>
        <v>0.386425764302142</v>
      </c>
      <c r="L205" s="53" t="n">
        <f aca="false">$H$5</f>
        <v>0.279917629215756</v>
      </c>
      <c r="M205" s="53" t="n">
        <f aca="false">$H$8</f>
        <v>0.720507977601356</v>
      </c>
      <c r="N205" s="54" t="n">
        <f aca="false">IF(OR(F205&gt;J205,F205&lt;K205),1,0)</f>
        <v>0</v>
      </c>
      <c r="O205" s="54" t="n">
        <f aca="false">IF(G205&gt;M205,1,0)</f>
        <v>0</v>
      </c>
      <c r="P205" s="54" t="n">
        <f aca="false">SIGN(F205-I205)</f>
        <v>-1</v>
      </c>
      <c r="Q205" s="54" t="n">
        <f aca="false">IF(ABS(SUM(P198:P205))=8,1,0)</f>
        <v>0</v>
      </c>
    </row>
    <row r="206" customFormat="false" ht="15" hidden="false" customHeight="false" outlineLevel="0" collapsed="false">
      <c r="A206" s="52" t="n">
        <v>44109</v>
      </c>
      <c r="B206" s="53" t="n">
        <v>0.731824791653242</v>
      </c>
      <c r="C206" s="53" t="n">
        <v>0.552196191153709</v>
      </c>
      <c r="D206" s="53" t="n">
        <v>0.689707495163589</v>
      </c>
      <c r="E206" s="54" t="s">
        <v>945</v>
      </c>
      <c r="F206" s="53" t="n">
        <f aca="false">AVERAGE(B206:D206)</f>
        <v>0.657909492656847</v>
      </c>
      <c r="G206" s="53" t="n">
        <f aca="false">MAX(B206:D206)-MIN(B206:D206)</f>
        <v>0.179628600499532</v>
      </c>
      <c r="H206" s="54" t="n">
        <f aca="false">IF(AND(E206="Phase I",OR(F206&gt;$E$6,F206&lt;$E$7,G206&gt;$E$8)),1,0)</f>
        <v>0</v>
      </c>
      <c r="I206" s="53" t="n">
        <f aca="false">$H$4</f>
        <v>0.67278149898986</v>
      </c>
      <c r="J206" s="53" t="n">
        <f aca="false">$H$6</f>
        <v>0.959137233677579</v>
      </c>
      <c r="K206" s="53" t="n">
        <f aca="false">$H$7</f>
        <v>0.386425764302142</v>
      </c>
      <c r="L206" s="53" t="n">
        <f aca="false">$H$5</f>
        <v>0.279917629215756</v>
      </c>
      <c r="M206" s="53" t="n">
        <f aca="false">$H$8</f>
        <v>0.720507977601356</v>
      </c>
      <c r="N206" s="54" t="n">
        <f aca="false">IF(OR(F206&gt;J206,F206&lt;K206),1,0)</f>
        <v>0</v>
      </c>
      <c r="O206" s="54" t="n">
        <f aca="false">IF(G206&gt;M206,1,0)</f>
        <v>0</v>
      </c>
      <c r="P206" s="54" t="n">
        <f aca="false">SIGN(F206-I206)</f>
        <v>-1</v>
      </c>
      <c r="Q206" s="54" t="n">
        <f aca="false">IF(ABS(SUM(P199:P206))=8,1,0)</f>
        <v>0</v>
      </c>
    </row>
    <row r="207" customFormat="false" ht="15" hidden="false" customHeight="false" outlineLevel="0" collapsed="false">
      <c r="A207" s="52" t="n">
        <v>44110</v>
      </c>
      <c r="B207" s="53" t="n">
        <v>0.774972668496501</v>
      </c>
      <c r="C207" s="53" t="n">
        <v>0.723996404266816</v>
      </c>
      <c r="D207" s="53" t="n">
        <v>0.727486521385233</v>
      </c>
      <c r="E207" s="54" t="s">
        <v>945</v>
      </c>
      <c r="F207" s="53" t="n">
        <f aca="false">AVERAGE(B207:D207)</f>
        <v>0.742151864716183</v>
      </c>
      <c r="G207" s="53" t="n">
        <f aca="false">MAX(B207:D207)-MIN(B207:D207)</f>
        <v>0.0509762642296855</v>
      </c>
      <c r="H207" s="54" t="n">
        <f aca="false">IF(AND(E207="Phase I",OR(F207&gt;$E$6,F207&lt;$E$7,G207&gt;$E$8)),1,0)</f>
        <v>0</v>
      </c>
      <c r="I207" s="53" t="n">
        <f aca="false">$H$4</f>
        <v>0.67278149898986</v>
      </c>
      <c r="J207" s="53" t="n">
        <f aca="false">$H$6</f>
        <v>0.959137233677579</v>
      </c>
      <c r="K207" s="53" t="n">
        <f aca="false">$H$7</f>
        <v>0.386425764302142</v>
      </c>
      <c r="L207" s="53" t="n">
        <f aca="false">$H$5</f>
        <v>0.279917629215756</v>
      </c>
      <c r="M207" s="53" t="n">
        <f aca="false">$H$8</f>
        <v>0.720507977601356</v>
      </c>
      <c r="N207" s="54" t="n">
        <f aca="false">IF(OR(F207&gt;J207,F207&lt;K207),1,0)</f>
        <v>0</v>
      </c>
      <c r="O207" s="54" t="n">
        <f aca="false">IF(G207&gt;M207,1,0)</f>
        <v>0</v>
      </c>
      <c r="P207" s="54" t="n">
        <f aca="false">SIGN(F207-I207)</f>
        <v>1</v>
      </c>
      <c r="Q207" s="54" t="n">
        <f aca="false">IF(ABS(SUM(P200:P207))=8,1,0)</f>
        <v>0</v>
      </c>
    </row>
    <row r="208" customFormat="false" ht="15" hidden="false" customHeight="false" outlineLevel="0" collapsed="false">
      <c r="A208" s="52" t="n">
        <v>44111</v>
      </c>
      <c r="B208" s="53" t="n">
        <v>0.613447125662333</v>
      </c>
      <c r="C208" s="53" t="n">
        <v>0.757747936199729</v>
      </c>
      <c r="D208" s="53" t="n">
        <v>0.69248384041642</v>
      </c>
      <c r="E208" s="54" t="s">
        <v>945</v>
      </c>
      <c r="F208" s="53" t="n">
        <f aca="false">AVERAGE(B208:D208)</f>
        <v>0.68789296742616</v>
      </c>
      <c r="G208" s="53" t="n">
        <f aca="false">MAX(B208:D208)-MIN(B208:D208)</f>
        <v>0.144300810537396</v>
      </c>
      <c r="H208" s="54" t="n">
        <f aca="false">IF(AND(E208="Phase I",OR(F208&gt;$E$6,F208&lt;$E$7,G208&gt;$E$8)),1,0)</f>
        <v>0</v>
      </c>
      <c r="I208" s="53" t="n">
        <f aca="false">$H$4</f>
        <v>0.67278149898986</v>
      </c>
      <c r="J208" s="53" t="n">
        <f aca="false">$H$6</f>
        <v>0.959137233677579</v>
      </c>
      <c r="K208" s="53" t="n">
        <f aca="false">$H$7</f>
        <v>0.386425764302142</v>
      </c>
      <c r="L208" s="53" t="n">
        <f aca="false">$H$5</f>
        <v>0.279917629215756</v>
      </c>
      <c r="M208" s="53" t="n">
        <f aca="false">$H$8</f>
        <v>0.720507977601356</v>
      </c>
      <c r="N208" s="54" t="n">
        <f aca="false">IF(OR(F208&gt;J208,F208&lt;K208),1,0)</f>
        <v>0</v>
      </c>
      <c r="O208" s="54" t="n">
        <f aca="false">IF(G208&gt;M208,1,0)</f>
        <v>0</v>
      </c>
      <c r="P208" s="54" t="n">
        <f aca="false">SIGN(F208-I208)</f>
        <v>1</v>
      </c>
      <c r="Q208" s="54" t="n">
        <f aca="false">IF(ABS(SUM(P201:P208))=8,1,0)</f>
        <v>0</v>
      </c>
    </row>
    <row r="209" customFormat="false" ht="15" hidden="false" customHeight="false" outlineLevel="0" collapsed="false">
      <c r="A209" s="52" t="n">
        <v>44112</v>
      </c>
      <c r="B209" s="53" t="n">
        <v>0.64227746283446</v>
      </c>
      <c r="C209" s="53" t="n">
        <v>0.591374885885503</v>
      </c>
      <c r="D209" s="53" t="n">
        <v>0.679387267642925</v>
      </c>
      <c r="E209" s="54" t="s">
        <v>945</v>
      </c>
      <c r="F209" s="53" t="n">
        <f aca="false">AVERAGE(B209:D209)</f>
        <v>0.637679872120962</v>
      </c>
      <c r="G209" s="53" t="n">
        <f aca="false">MAX(B209:D209)-MIN(B209:D209)</f>
        <v>0.088012381757422</v>
      </c>
      <c r="H209" s="54" t="n">
        <f aca="false">IF(AND(E209="Phase I",OR(F209&gt;$E$6,F209&lt;$E$7,G209&gt;$E$8)),1,0)</f>
        <v>0</v>
      </c>
      <c r="I209" s="53" t="n">
        <f aca="false">$H$4</f>
        <v>0.67278149898986</v>
      </c>
      <c r="J209" s="53" t="n">
        <f aca="false">$H$6</f>
        <v>0.959137233677579</v>
      </c>
      <c r="K209" s="53" t="n">
        <f aca="false">$H$7</f>
        <v>0.386425764302142</v>
      </c>
      <c r="L209" s="53" t="n">
        <f aca="false">$H$5</f>
        <v>0.279917629215756</v>
      </c>
      <c r="M209" s="53" t="n">
        <f aca="false">$H$8</f>
        <v>0.720507977601356</v>
      </c>
      <c r="N209" s="54" t="n">
        <f aca="false">IF(OR(F209&gt;J209,F209&lt;K209),1,0)</f>
        <v>0</v>
      </c>
      <c r="O209" s="54" t="n">
        <f aca="false">IF(G209&gt;M209,1,0)</f>
        <v>0</v>
      </c>
      <c r="P209" s="54" t="n">
        <f aca="false">SIGN(F209-I209)</f>
        <v>-1</v>
      </c>
      <c r="Q209" s="54" t="n">
        <f aca="false">IF(ABS(SUM(P202:P209))=8,1,0)</f>
        <v>0</v>
      </c>
    </row>
    <row r="210" customFormat="false" ht="15" hidden="false" customHeight="false" outlineLevel="0" collapsed="false">
      <c r="A210" s="52" t="n">
        <v>44113</v>
      </c>
      <c r="B210" s="53" t="n">
        <v>0.749354492904544</v>
      </c>
      <c r="C210" s="53" t="n">
        <v>0.779940891641993</v>
      </c>
      <c r="D210" s="53" t="n">
        <v>0.617311244493418</v>
      </c>
      <c r="E210" s="54" t="s">
        <v>945</v>
      </c>
      <c r="F210" s="53" t="n">
        <f aca="false">AVERAGE(B210:D210)</f>
        <v>0.715535543013318</v>
      </c>
      <c r="G210" s="53" t="n">
        <f aca="false">MAX(B210:D210)-MIN(B210:D210)</f>
        <v>0.162629647148576</v>
      </c>
      <c r="H210" s="54" t="n">
        <f aca="false">IF(AND(E210="Phase I",OR(F210&gt;$E$6,F210&lt;$E$7,G210&gt;$E$8)),1,0)</f>
        <v>0</v>
      </c>
      <c r="I210" s="53" t="n">
        <f aca="false">$H$4</f>
        <v>0.67278149898986</v>
      </c>
      <c r="J210" s="53" t="n">
        <f aca="false">$H$6</f>
        <v>0.959137233677579</v>
      </c>
      <c r="K210" s="53" t="n">
        <f aca="false">$H$7</f>
        <v>0.386425764302142</v>
      </c>
      <c r="L210" s="53" t="n">
        <f aca="false">$H$5</f>
        <v>0.279917629215756</v>
      </c>
      <c r="M210" s="53" t="n">
        <f aca="false">$H$8</f>
        <v>0.720507977601356</v>
      </c>
      <c r="N210" s="54" t="n">
        <f aca="false">IF(OR(F210&gt;J210,F210&lt;K210),1,0)</f>
        <v>0</v>
      </c>
      <c r="O210" s="54" t="n">
        <f aca="false">IF(G210&gt;M210,1,0)</f>
        <v>0</v>
      </c>
      <c r="P210" s="54" t="n">
        <f aca="false">SIGN(F210-I210)</f>
        <v>1</v>
      </c>
      <c r="Q210" s="54" t="n">
        <f aca="false">IF(ABS(SUM(P203:P210))=8,1,0)</f>
        <v>0</v>
      </c>
    </row>
    <row r="211" customFormat="false" ht="15" hidden="false" customHeight="false" outlineLevel="0" collapsed="false">
      <c r="A211" s="52" t="n">
        <v>44116</v>
      </c>
      <c r="B211" s="53" t="n">
        <v>0.699241412947288</v>
      </c>
      <c r="C211" s="53" t="n">
        <v>0.77299093819183</v>
      </c>
      <c r="D211" s="53" t="n">
        <v>0.7612288110925</v>
      </c>
      <c r="E211" s="54" t="s">
        <v>945</v>
      </c>
      <c r="F211" s="53" t="n">
        <f aca="false">AVERAGE(B211:D211)</f>
        <v>0.744487054077206</v>
      </c>
      <c r="G211" s="53" t="n">
        <f aca="false">MAX(B211:D211)-MIN(B211:D211)</f>
        <v>0.0737495252445418</v>
      </c>
      <c r="H211" s="54" t="n">
        <f aca="false">IF(AND(E211="Phase I",OR(F211&gt;$E$6,F211&lt;$E$7,G211&gt;$E$8)),1,0)</f>
        <v>0</v>
      </c>
      <c r="I211" s="53" t="n">
        <f aca="false">$H$4</f>
        <v>0.67278149898986</v>
      </c>
      <c r="J211" s="53" t="n">
        <f aca="false">$H$6</f>
        <v>0.959137233677579</v>
      </c>
      <c r="K211" s="53" t="n">
        <f aca="false">$H$7</f>
        <v>0.386425764302142</v>
      </c>
      <c r="L211" s="53" t="n">
        <f aca="false">$H$5</f>
        <v>0.279917629215756</v>
      </c>
      <c r="M211" s="53" t="n">
        <f aca="false">$H$8</f>
        <v>0.720507977601356</v>
      </c>
      <c r="N211" s="54" t="n">
        <f aca="false">IF(OR(F211&gt;J211,F211&lt;K211),1,0)</f>
        <v>0</v>
      </c>
      <c r="O211" s="54" t="n">
        <f aca="false">IF(G211&gt;M211,1,0)</f>
        <v>0</v>
      </c>
      <c r="P211" s="54" t="n">
        <f aca="false">SIGN(F211-I211)</f>
        <v>1</v>
      </c>
      <c r="Q211" s="54" t="n">
        <f aca="false">IF(ABS(SUM(P204:P211))=8,1,0)</f>
        <v>0</v>
      </c>
    </row>
    <row r="212" customFormat="false" ht="15" hidden="false" customHeight="false" outlineLevel="0" collapsed="false">
      <c r="A212" s="52" t="n">
        <v>44117</v>
      </c>
      <c r="B212" s="53" t="n">
        <v>0.558920605301028</v>
      </c>
      <c r="C212" s="53" t="n">
        <v>0.71077034838129</v>
      </c>
      <c r="D212" s="53" t="n">
        <v>0.776878905588798</v>
      </c>
      <c r="E212" s="54" t="s">
        <v>945</v>
      </c>
      <c r="F212" s="53" t="n">
        <f aca="false">AVERAGE(B212:D212)</f>
        <v>0.682189953090372</v>
      </c>
      <c r="G212" s="53" t="n">
        <f aca="false">MAX(B212:D212)-MIN(B212:D212)</f>
        <v>0.21795830028777</v>
      </c>
      <c r="H212" s="54" t="n">
        <f aca="false">IF(AND(E212="Phase I",OR(F212&gt;$E$6,F212&lt;$E$7,G212&gt;$E$8)),1,0)</f>
        <v>0</v>
      </c>
      <c r="I212" s="53" t="n">
        <f aca="false">$H$4</f>
        <v>0.67278149898986</v>
      </c>
      <c r="J212" s="53" t="n">
        <f aca="false">$H$6</f>
        <v>0.959137233677579</v>
      </c>
      <c r="K212" s="53" t="n">
        <f aca="false">$H$7</f>
        <v>0.386425764302142</v>
      </c>
      <c r="L212" s="53" t="n">
        <f aca="false">$H$5</f>
        <v>0.279917629215756</v>
      </c>
      <c r="M212" s="53" t="n">
        <f aca="false">$H$8</f>
        <v>0.720507977601356</v>
      </c>
      <c r="N212" s="54" t="n">
        <f aca="false">IF(OR(F212&gt;J212,F212&lt;K212),1,0)</f>
        <v>0</v>
      </c>
      <c r="O212" s="54" t="n">
        <f aca="false">IF(G212&gt;M212,1,0)</f>
        <v>0</v>
      </c>
      <c r="P212" s="54" t="n">
        <f aca="false">SIGN(F212-I212)</f>
        <v>1</v>
      </c>
      <c r="Q212" s="54" t="n">
        <f aca="false">IF(ABS(SUM(P205:P212))=8,1,0)</f>
        <v>0</v>
      </c>
    </row>
    <row r="213" customFormat="false" ht="15" hidden="false" customHeight="false" outlineLevel="0" collapsed="false">
      <c r="A213" s="52" t="n">
        <v>44118</v>
      </c>
      <c r="B213" s="53" t="n">
        <v>0.750918598541186</v>
      </c>
      <c r="C213" s="53" t="n">
        <v>0.463905405688226</v>
      </c>
      <c r="D213" s="53" t="n">
        <v>0.960324427204848</v>
      </c>
      <c r="E213" s="54" t="s">
        <v>945</v>
      </c>
      <c r="F213" s="53" t="n">
        <f aca="false">AVERAGE(B213:D213)</f>
        <v>0.725049477144753</v>
      </c>
      <c r="G213" s="53" t="n">
        <f aca="false">MAX(B213:D213)-MIN(B213:D213)</f>
        <v>0.496419021516622</v>
      </c>
      <c r="H213" s="54" t="n">
        <f aca="false">IF(AND(E213="Phase I",OR(F213&gt;$E$6,F213&lt;$E$7,G213&gt;$E$8)),1,0)</f>
        <v>0</v>
      </c>
      <c r="I213" s="53" t="n">
        <f aca="false">$H$4</f>
        <v>0.67278149898986</v>
      </c>
      <c r="J213" s="53" t="n">
        <f aca="false">$H$6</f>
        <v>0.959137233677579</v>
      </c>
      <c r="K213" s="53" t="n">
        <f aca="false">$H$7</f>
        <v>0.386425764302142</v>
      </c>
      <c r="L213" s="53" t="n">
        <f aca="false">$H$5</f>
        <v>0.279917629215756</v>
      </c>
      <c r="M213" s="53" t="n">
        <f aca="false">$H$8</f>
        <v>0.720507977601356</v>
      </c>
      <c r="N213" s="54" t="n">
        <f aca="false">IF(OR(F213&gt;J213,F213&lt;K213),1,0)</f>
        <v>0</v>
      </c>
      <c r="O213" s="54" t="n">
        <f aca="false">IF(G213&gt;M213,1,0)</f>
        <v>0</v>
      </c>
      <c r="P213" s="54" t="n">
        <f aca="false">SIGN(F213-I213)</f>
        <v>1</v>
      </c>
      <c r="Q213" s="54" t="n">
        <f aca="false">IF(ABS(SUM(P206:P213))=8,1,0)</f>
        <v>0</v>
      </c>
    </row>
    <row r="214" customFormat="false" ht="15" hidden="false" customHeight="false" outlineLevel="0" collapsed="false">
      <c r="A214" s="52" t="n">
        <v>44119</v>
      </c>
      <c r="B214" s="53" t="n">
        <v>0.624900179969363</v>
      </c>
      <c r="C214" s="53" t="n">
        <v>0.677988614468988</v>
      </c>
      <c r="D214" s="53" t="n">
        <v>0.732776831127055</v>
      </c>
      <c r="E214" s="54" t="s">
        <v>945</v>
      </c>
      <c r="F214" s="53" t="n">
        <f aca="false">AVERAGE(B214:D214)</f>
        <v>0.678555208521802</v>
      </c>
      <c r="G214" s="53" t="n">
        <f aca="false">MAX(B214:D214)-MIN(B214:D214)</f>
        <v>0.107876651157692</v>
      </c>
      <c r="H214" s="54" t="n">
        <f aca="false">IF(AND(E214="Phase I",OR(F214&gt;$E$6,F214&lt;$E$7,G214&gt;$E$8)),1,0)</f>
        <v>0</v>
      </c>
      <c r="I214" s="53" t="n">
        <f aca="false">$H$4</f>
        <v>0.67278149898986</v>
      </c>
      <c r="J214" s="53" t="n">
        <f aca="false">$H$6</f>
        <v>0.959137233677579</v>
      </c>
      <c r="K214" s="53" t="n">
        <f aca="false">$H$7</f>
        <v>0.386425764302142</v>
      </c>
      <c r="L214" s="53" t="n">
        <f aca="false">$H$5</f>
        <v>0.279917629215756</v>
      </c>
      <c r="M214" s="53" t="n">
        <f aca="false">$H$8</f>
        <v>0.720507977601356</v>
      </c>
      <c r="N214" s="54" t="n">
        <f aca="false">IF(OR(F214&gt;J214,F214&lt;K214),1,0)</f>
        <v>0</v>
      </c>
      <c r="O214" s="54" t="n">
        <f aca="false">IF(G214&gt;M214,1,0)</f>
        <v>0</v>
      </c>
      <c r="P214" s="54" t="n">
        <f aca="false">SIGN(F214-I214)</f>
        <v>1</v>
      </c>
      <c r="Q214" s="54" t="n">
        <f aca="false">IF(ABS(SUM(P207:P214))=8,1,0)</f>
        <v>0</v>
      </c>
    </row>
    <row r="215" customFormat="false" ht="15" hidden="false" customHeight="false" outlineLevel="0" collapsed="false">
      <c r="A215" s="52" t="n">
        <v>44120</v>
      </c>
      <c r="B215" s="53" t="n">
        <v>0.642122619027634</v>
      </c>
      <c r="C215" s="53" t="n">
        <v>0.785368884998462</v>
      </c>
      <c r="D215" s="53" t="n">
        <v>0.876482951991917</v>
      </c>
      <c r="E215" s="54" t="s">
        <v>945</v>
      </c>
      <c r="F215" s="53" t="n">
        <f aca="false">AVERAGE(B215:D215)</f>
        <v>0.767991485339338</v>
      </c>
      <c r="G215" s="53" t="n">
        <f aca="false">MAX(B215:D215)-MIN(B215:D215)</f>
        <v>0.234360332964283</v>
      </c>
      <c r="H215" s="54" t="n">
        <f aca="false">IF(AND(E215="Phase I",OR(F215&gt;$E$6,F215&lt;$E$7,G215&gt;$E$8)),1,0)</f>
        <v>0</v>
      </c>
      <c r="I215" s="53" t="n">
        <f aca="false">$H$4</f>
        <v>0.67278149898986</v>
      </c>
      <c r="J215" s="53" t="n">
        <f aca="false">$H$6</f>
        <v>0.959137233677579</v>
      </c>
      <c r="K215" s="53" t="n">
        <f aca="false">$H$7</f>
        <v>0.386425764302142</v>
      </c>
      <c r="L215" s="53" t="n">
        <f aca="false">$H$5</f>
        <v>0.279917629215756</v>
      </c>
      <c r="M215" s="53" t="n">
        <f aca="false">$H$8</f>
        <v>0.720507977601356</v>
      </c>
      <c r="N215" s="54" t="n">
        <f aca="false">IF(OR(F215&gt;J215,F215&lt;K215),1,0)</f>
        <v>0</v>
      </c>
      <c r="O215" s="54" t="n">
        <f aca="false">IF(G215&gt;M215,1,0)</f>
        <v>0</v>
      </c>
      <c r="P215" s="54" t="n">
        <f aca="false">SIGN(F215-I215)</f>
        <v>1</v>
      </c>
      <c r="Q215" s="54" t="n">
        <f aca="false">IF(ABS(SUM(P208:P215))=8,1,0)</f>
        <v>0</v>
      </c>
    </row>
    <row r="216" customFormat="false" ht="15" hidden="false" customHeight="false" outlineLevel="0" collapsed="false">
      <c r="A216" s="52" t="n">
        <v>44123</v>
      </c>
      <c r="B216" s="53" t="n">
        <v>0.653525882142545</v>
      </c>
      <c r="C216" s="53" t="n">
        <v>0.637123822423233</v>
      </c>
      <c r="D216" s="53" t="n">
        <v>0.261978364572293</v>
      </c>
      <c r="E216" s="54" t="s">
        <v>945</v>
      </c>
      <c r="F216" s="53" t="n">
        <f aca="false">AVERAGE(B216:D216)</f>
        <v>0.51754268971269</v>
      </c>
      <c r="G216" s="53" t="n">
        <f aca="false">MAX(B216:D216)-MIN(B216:D216)</f>
        <v>0.391547517570252</v>
      </c>
      <c r="H216" s="54" t="n">
        <f aca="false">IF(AND(E216="Phase I",OR(F216&gt;$E$6,F216&lt;$E$7,G216&gt;$E$8)),1,0)</f>
        <v>0</v>
      </c>
      <c r="I216" s="53" t="n">
        <f aca="false">$H$4</f>
        <v>0.67278149898986</v>
      </c>
      <c r="J216" s="53" t="n">
        <f aca="false">$H$6</f>
        <v>0.959137233677579</v>
      </c>
      <c r="K216" s="53" t="n">
        <f aca="false">$H$7</f>
        <v>0.386425764302142</v>
      </c>
      <c r="L216" s="53" t="n">
        <f aca="false">$H$5</f>
        <v>0.279917629215756</v>
      </c>
      <c r="M216" s="53" t="n">
        <f aca="false">$H$8</f>
        <v>0.720507977601356</v>
      </c>
      <c r="N216" s="54" t="n">
        <f aca="false">IF(OR(F216&gt;J216,F216&lt;K216),1,0)</f>
        <v>0</v>
      </c>
      <c r="O216" s="54" t="n">
        <f aca="false">IF(G216&gt;M216,1,0)</f>
        <v>0</v>
      </c>
      <c r="P216" s="54" t="n">
        <f aca="false">SIGN(F216-I216)</f>
        <v>-1</v>
      </c>
      <c r="Q216" s="54" t="n">
        <f aca="false">IF(ABS(SUM(P209:P216))=8,1,0)</f>
        <v>0</v>
      </c>
    </row>
    <row r="217" customFormat="false" ht="15" hidden="false" customHeight="false" outlineLevel="0" collapsed="false">
      <c r="A217" s="52" t="n">
        <v>44124</v>
      </c>
      <c r="B217" s="53" t="n">
        <v>0.690653718531447</v>
      </c>
      <c r="C217" s="53" t="n">
        <v>0.798705538365458</v>
      </c>
      <c r="D217" s="53" t="n">
        <v>0.687592183012676</v>
      </c>
      <c r="E217" s="54" t="s">
        <v>945</v>
      </c>
      <c r="F217" s="53" t="n">
        <f aca="false">AVERAGE(B217:D217)</f>
        <v>0.72565047996986</v>
      </c>
      <c r="G217" s="53" t="n">
        <f aca="false">MAX(B217:D217)-MIN(B217:D217)</f>
        <v>0.111113355352783</v>
      </c>
      <c r="H217" s="54" t="n">
        <f aca="false">IF(AND(E217="Phase I",OR(F217&gt;$E$6,F217&lt;$E$7,G217&gt;$E$8)),1,0)</f>
        <v>0</v>
      </c>
      <c r="I217" s="53" t="n">
        <f aca="false">$H$4</f>
        <v>0.67278149898986</v>
      </c>
      <c r="J217" s="53" t="n">
        <f aca="false">$H$6</f>
        <v>0.959137233677579</v>
      </c>
      <c r="K217" s="53" t="n">
        <f aca="false">$H$7</f>
        <v>0.386425764302142</v>
      </c>
      <c r="L217" s="53" t="n">
        <f aca="false">$H$5</f>
        <v>0.279917629215756</v>
      </c>
      <c r="M217" s="53" t="n">
        <f aca="false">$H$8</f>
        <v>0.720507977601356</v>
      </c>
      <c r="N217" s="54" t="n">
        <f aca="false">IF(OR(F217&gt;J217,F217&lt;K217),1,0)</f>
        <v>0</v>
      </c>
      <c r="O217" s="54" t="n">
        <f aca="false">IF(G217&gt;M217,1,0)</f>
        <v>0</v>
      </c>
      <c r="P217" s="54" t="n">
        <f aca="false">SIGN(F217-I217)</f>
        <v>1</v>
      </c>
      <c r="Q217" s="54" t="n">
        <f aca="false">IF(ABS(SUM(P210:P217))=8,1,0)</f>
        <v>0</v>
      </c>
    </row>
    <row r="218" customFormat="false" ht="15" hidden="false" customHeight="false" outlineLevel="0" collapsed="false">
      <c r="A218" s="52" t="n">
        <v>44125</v>
      </c>
      <c r="B218" s="53" t="n">
        <v>0.0613902708745593</v>
      </c>
      <c r="C218" s="53" t="n">
        <v>0.730301184806457</v>
      </c>
      <c r="D218" s="53" t="n">
        <v>0.855232110659008</v>
      </c>
      <c r="E218" s="54" t="s">
        <v>945</v>
      </c>
      <c r="F218" s="53" t="n">
        <f aca="false">AVERAGE(B218:D218)</f>
        <v>0.548974522113342</v>
      </c>
      <c r="G218" s="53" t="n">
        <f aca="false">MAX(B218:D218)-MIN(B218:D218)</f>
        <v>0.793841839784449</v>
      </c>
      <c r="H218" s="54" t="n">
        <f aca="false">IF(AND(E218="Phase I",OR(F218&gt;$E$6,F218&lt;$E$7,G218&gt;$E$8)),1,0)</f>
        <v>0</v>
      </c>
      <c r="I218" s="53" t="n">
        <f aca="false">$H$4</f>
        <v>0.67278149898986</v>
      </c>
      <c r="J218" s="53" t="n">
        <f aca="false">$H$6</f>
        <v>0.959137233677579</v>
      </c>
      <c r="K218" s="53" t="n">
        <f aca="false">$H$7</f>
        <v>0.386425764302142</v>
      </c>
      <c r="L218" s="53" t="n">
        <f aca="false">$H$5</f>
        <v>0.279917629215756</v>
      </c>
      <c r="M218" s="53" t="n">
        <f aca="false">$H$8</f>
        <v>0.720507977601356</v>
      </c>
      <c r="N218" s="54" t="n">
        <f aca="false">IF(OR(F218&gt;J218,F218&lt;K218),1,0)</f>
        <v>0</v>
      </c>
      <c r="O218" s="54" t="n">
        <f aca="false">IF(G218&gt;M218,1,0)</f>
        <v>1</v>
      </c>
      <c r="P218" s="54" t="n">
        <f aca="false">SIGN(F218-I218)</f>
        <v>-1</v>
      </c>
      <c r="Q218" s="54" t="n">
        <f aca="false">IF(ABS(SUM(P211:P218))=8,1,0)</f>
        <v>0</v>
      </c>
    </row>
    <row r="219" customFormat="false" ht="15" hidden="false" customHeight="false" outlineLevel="0" collapsed="false">
      <c r="A219" s="52" t="n">
        <v>44126</v>
      </c>
      <c r="B219" s="53" t="n">
        <v>0.669518211076292</v>
      </c>
      <c r="C219" s="53" t="n">
        <v>0.758720468747745</v>
      </c>
      <c r="D219" s="53" t="n">
        <v>0.923175380829081</v>
      </c>
      <c r="E219" s="54" t="s">
        <v>945</v>
      </c>
      <c r="F219" s="53" t="n">
        <f aca="false">AVERAGE(B219:D219)</f>
        <v>0.783804686884373</v>
      </c>
      <c r="G219" s="53" t="n">
        <f aca="false">MAX(B219:D219)-MIN(B219:D219)</f>
        <v>0.253657169752789</v>
      </c>
      <c r="H219" s="54" t="n">
        <f aca="false">IF(AND(E219="Phase I",OR(F219&gt;$E$6,F219&lt;$E$7,G219&gt;$E$8)),1,0)</f>
        <v>0</v>
      </c>
      <c r="I219" s="53" t="n">
        <f aca="false">$H$4</f>
        <v>0.67278149898986</v>
      </c>
      <c r="J219" s="53" t="n">
        <f aca="false">$H$6</f>
        <v>0.959137233677579</v>
      </c>
      <c r="K219" s="53" t="n">
        <f aca="false">$H$7</f>
        <v>0.386425764302142</v>
      </c>
      <c r="L219" s="53" t="n">
        <f aca="false">$H$5</f>
        <v>0.279917629215756</v>
      </c>
      <c r="M219" s="53" t="n">
        <f aca="false">$H$8</f>
        <v>0.720507977601356</v>
      </c>
      <c r="N219" s="54" t="n">
        <f aca="false">IF(OR(F219&gt;J219,F219&lt;K219),1,0)</f>
        <v>0</v>
      </c>
      <c r="O219" s="54" t="n">
        <f aca="false">IF(G219&gt;M219,1,0)</f>
        <v>0</v>
      </c>
      <c r="P219" s="54" t="n">
        <f aca="false">SIGN(F219-I219)</f>
        <v>1</v>
      </c>
      <c r="Q219" s="54" t="n">
        <f aca="false">IF(ABS(SUM(P212:P219))=8,1,0)</f>
        <v>0</v>
      </c>
    </row>
    <row r="220" customFormat="false" ht="15" hidden="false" customHeight="false" outlineLevel="0" collapsed="false">
      <c r="A220" s="52" t="n">
        <v>44127</v>
      </c>
      <c r="B220" s="53" t="n">
        <v>0.779764762828833</v>
      </c>
      <c r="C220" s="53" t="n">
        <v>0.8044026937677</v>
      </c>
      <c r="D220" s="53" t="n">
        <v>0.663506596940023</v>
      </c>
      <c r="E220" s="54" t="s">
        <v>945</v>
      </c>
      <c r="F220" s="53" t="n">
        <f aca="false">AVERAGE(B220:D220)</f>
        <v>0.749224684512185</v>
      </c>
      <c r="G220" s="53" t="n">
        <f aca="false">MAX(B220:D220)-MIN(B220:D220)</f>
        <v>0.140896096827677</v>
      </c>
      <c r="H220" s="54" t="n">
        <f aca="false">IF(AND(E220="Phase I",OR(F220&gt;$E$6,F220&lt;$E$7,G220&gt;$E$8)),1,0)</f>
        <v>0</v>
      </c>
      <c r="I220" s="53" t="n">
        <f aca="false">$H$4</f>
        <v>0.67278149898986</v>
      </c>
      <c r="J220" s="53" t="n">
        <f aca="false">$H$6</f>
        <v>0.959137233677579</v>
      </c>
      <c r="K220" s="53" t="n">
        <f aca="false">$H$7</f>
        <v>0.386425764302142</v>
      </c>
      <c r="L220" s="53" t="n">
        <f aca="false">$H$5</f>
        <v>0.279917629215756</v>
      </c>
      <c r="M220" s="53" t="n">
        <f aca="false">$H$8</f>
        <v>0.720507977601356</v>
      </c>
      <c r="N220" s="54" t="n">
        <f aca="false">IF(OR(F220&gt;J220,F220&lt;K220),1,0)</f>
        <v>0</v>
      </c>
      <c r="O220" s="54" t="n">
        <f aca="false">IF(G220&gt;M220,1,0)</f>
        <v>0</v>
      </c>
      <c r="P220" s="54" t="n">
        <f aca="false">SIGN(F220-I220)</f>
        <v>1</v>
      </c>
      <c r="Q220" s="54" t="n">
        <f aca="false">IF(ABS(SUM(P213:P220))=8,1,0)</f>
        <v>0</v>
      </c>
    </row>
    <row r="221" customFormat="false" ht="15" hidden="false" customHeight="false" outlineLevel="0" collapsed="false">
      <c r="A221" s="52" t="n">
        <v>44130</v>
      </c>
      <c r="B221" s="53" t="n">
        <v>0.724747054468657</v>
      </c>
      <c r="C221" s="53" t="n">
        <v>0.800159075850649</v>
      </c>
      <c r="D221" s="53" t="n">
        <v>0.436512868913416</v>
      </c>
      <c r="E221" s="54" t="s">
        <v>945</v>
      </c>
      <c r="F221" s="53" t="n">
        <f aca="false">AVERAGE(B221:D221)</f>
        <v>0.653806333077574</v>
      </c>
      <c r="G221" s="53" t="n">
        <f aca="false">MAX(B221:D221)-MIN(B221:D221)</f>
        <v>0.363646206937233</v>
      </c>
      <c r="H221" s="54" t="n">
        <f aca="false">IF(AND(E221="Phase I",OR(F221&gt;$E$6,F221&lt;$E$7,G221&gt;$E$8)),1,0)</f>
        <v>0</v>
      </c>
      <c r="I221" s="53" t="n">
        <f aca="false">$H$4</f>
        <v>0.67278149898986</v>
      </c>
      <c r="J221" s="53" t="n">
        <f aca="false">$H$6</f>
        <v>0.959137233677579</v>
      </c>
      <c r="K221" s="53" t="n">
        <f aca="false">$H$7</f>
        <v>0.386425764302142</v>
      </c>
      <c r="L221" s="53" t="n">
        <f aca="false">$H$5</f>
        <v>0.279917629215756</v>
      </c>
      <c r="M221" s="53" t="n">
        <f aca="false">$H$8</f>
        <v>0.720507977601356</v>
      </c>
      <c r="N221" s="54" t="n">
        <f aca="false">IF(OR(F221&gt;J221,F221&lt;K221),1,0)</f>
        <v>0</v>
      </c>
      <c r="O221" s="54" t="n">
        <f aca="false">IF(G221&gt;M221,1,0)</f>
        <v>0</v>
      </c>
      <c r="P221" s="54" t="n">
        <f aca="false">SIGN(F221-I221)</f>
        <v>-1</v>
      </c>
      <c r="Q221" s="54" t="n">
        <f aca="false">IF(ABS(SUM(P214:P221))=8,1,0)</f>
        <v>0</v>
      </c>
    </row>
    <row r="222" customFormat="false" ht="15" hidden="false" customHeight="false" outlineLevel="0" collapsed="false">
      <c r="A222" s="52" t="n">
        <v>44131</v>
      </c>
      <c r="B222" s="53" t="n">
        <v>0.703971985609736</v>
      </c>
      <c r="C222" s="53" t="n">
        <v>0.721968628352023</v>
      </c>
      <c r="D222" s="53" t="n">
        <v>0.740167331158</v>
      </c>
      <c r="E222" s="54" t="s">
        <v>945</v>
      </c>
      <c r="F222" s="53" t="n">
        <f aca="false">AVERAGE(B222:D222)</f>
        <v>0.722035981706586</v>
      </c>
      <c r="G222" s="53" t="n">
        <f aca="false">MAX(B222:D222)-MIN(B222:D222)</f>
        <v>0.0361953455482642</v>
      </c>
      <c r="H222" s="54" t="n">
        <f aca="false">IF(AND(E222="Phase I",OR(F222&gt;$E$6,F222&lt;$E$7,G222&gt;$E$8)),1,0)</f>
        <v>0</v>
      </c>
      <c r="I222" s="53" t="n">
        <f aca="false">$H$4</f>
        <v>0.67278149898986</v>
      </c>
      <c r="J222" s="53" t="n">
        <f aca="false">$H$6</f>
        <v>0.959137233677579</v>
      </c>
      <c r="K222" s="53" t="n">
        <f aca="false">$H$7</f>
        <v>0.386425764302142</v>
      </c>
      <c r="L222" s="53" t="n">
        <f aca="false">$H$5</f>
        <v>0.279917629215756</v>
      </c>
      <c r="M222" s="53" t="n">
        <f aca="false">$H$8</f>
        <v>0.720507977601356</v>
      </c>
      <c r="N222" s="54" t="n">
        <f aca="false">IF(OR(F222&gt;J222,F222&lt;K222),1,0)</f>
        <v>0</v>
      </c>
      <c r="O222" s="54" t="n">
        <f aca="false">IF(G222&gt;M222,1,0)</f>
        <v>0</v>
      </c>
      <c r="P222" s="54" t="n">
        <f aca="false">SIGN(F222-I222)</f>
        <v>1</v>
      </c>
      <c r="Q222" s="54" t="n">
        <f aca="false">IF(ABS(SUM(P215:P222))=8,1,0)</f>
        <v>0</v>
      </c>
    </row>
    <row r="223" customFormat="false" ht="15" hidden="false" customHeight="false" outlineLevel="0" collapsed="false">
      <c r="A223" s="52" t="n">
        <v>44132</v>
      </c>
      <c r="B223" s="53" t="n">
        <v>0.626859883005935</v>
      </c>
      <c r="C223" s="53" t="n">
        <v>0.634783276568067</v>
      </c>
      <c r="D223" s="53" t="n">
        <v>0.833586099980393</v>
      </c>
      <c r="E223" s="54" t="s">
        <v>945</v>
      </c>
      <c r="F223" s="53" t="n">
        <f aca="false">AVERAGE(B223:D223)</f>
        <v>0.698409753184798</v>
      </c>
      <c r="G223" s="53" t="n">
        <f aca="false">MAX(B223:D223)-MIN(B223:D223)</f>
        <v>0.206726216974458</v>
      </c>
      <c r="H223" s="54" t="n">
        <f aca="false">IF(AND(E223="Phase I",OR(F223&gt;$E$6,F223&lt;$E$7,G223&gt;$E$8)),1,0)</f>
        <v>0</v>
      </c>
      <c r="I223" s="53" t="n">
        <f aca="false">$H$4</f>
        <v>0.67278149898986</v>
      </c>
      <c r="J223" s="53" t="n">
        <f aca="false">$H$6</f>
        <v>0.959137233677579</v>
      </c>
      <c r="K223" s="53" t="n">
        <f aca="false">$H$7</f>
        <v>0.386425764302142</v>
      </c>
      <c r="L223" s="53" t="n">
        <f aca="false">$H$5</f>
        <v>0.279917629215756</v>
      </c>
      <c r="M223" s="53" t="n">
        <f aca="false">$H$8</f>
        <v>0.720507977601356</v>
      </c>
      <c r="N223" s="54" t="n">
        <f aca="false">IF(OR(F223&gt;J223,F223&lt;K223),1,0)</f>
        <v>0</v>
      </c>
      <c r="O223" s="54" t="n">
        <f aca="false">IF(G223&gt;M223,1,0)</f>
        <v>0</v>
      </c>
      <c r="P223" s="54" t="n">
        <f aca="false">SIGN(F223-I223)</f>
        <v>1</v>
      </c>
      <c r="Q223" s="54" t="n">
        <f aca="false">IF(ABS(SUM(P216:P223))=8,1,0)</f>
        <v>0</v>
      </c>
    </row>
    <row r="224" customFormat="false" ht="15" hidden="false" customHeight="false" outlineLevel="0" collapsed="false">
      <c r="A224" s="52" t="n">
        <v>44133</v>
      </c>
      <c r="B224" s="53" t="n">
        <v>0.797325662372534</v>
      </c>
      <c r="C224" s="53" t="n">
        <v>0.583338731313283</v>
      </c>
      <c r="D224" s="53" t="n">
        <v>0.573541749509308</v>
      </c>
      <c r="E224" s="54" t="s">
        <v>945</v>
      </c>
      <c r="F224" s="53" t="n">
        <f aca="false">AVERAGE(B224:D224)</f>
        <v>0.651402047731709</v>
      </c>
      <c r="G224" s="53" t="n">
        <f aca="false">MAX(B224:D224)-MIN(B224:D224)</f>
        <v>0.223783912863226</v>
      </c>
      <c r="H224" s="54" t="n">
        <f aca="false">IF(AND(E224="Phase I",OR(F224&gt;$E$6,F224&lt;$E$7,G224&gt;$E$8)),1,0)</f>
        <v>0</v>
      </c>
      <c r="I224" s="53" t="n">
        <f aca="false">$H$4</f>
        <v>0.67278149898986</v>
      </c>
      <c r="J224" s="53" t="n">
        <f aca="false">$H$6</f>
        <v>0.959137233677579</v>
      </c>
      <c r="K224" s="53" t="n">
        <f aca="false">$H$7</f>
        <v>0.386425764302142</v>
      </c>
      <c r="L224" s="53" t="n">
        <f aca="false">$H$5</f>
        <v>0.279917629215756</v>
      </c>
      <c r="M224" s="53" t="n">
        <f aca="false">$H$8</f>
        <v>0.720507977601356</v>
      </c>
      <c r="N224" s="54" t="n">
        <f aca="false">IF(OR(F224&gt;J224,F224&lt;K224),1,0)</f>
        <v>0</v>
      </c>
      <c r="O224" s="54" t="n">
        <f aca="false">IF(G224&gt;M224,1,0)</f>
        <v>0</v>
      </c>
      <c r="P224" s="54" t="n">
        <f aca="false">SIGN(F224-I224)</f>
        <v>-1</v>
      </c>
      <c r="Q224" s="54" t="n">
        <f aca="false">IF(ABS(SUM(P217:P224))=8,1,0)</f>
        <v>0</v>
      </c>
    </row>
    <row r="225" customFormat="false" ht="15" hidden="false" customHeight="false" outlineLevel="0" collapsed="false">
      <c r="A225" s="52" t="n">
        <v>44134</v>
      </c>
      <c r="B225" s="53" t="n">
        <v>0.761626556255729</v>
      </c>
      <c r="C225" s="53" t="n">
        <v>0.758133943000793</v>
      </c>
      <c r="D225" s="53" t="n">
        <v>0.834218810170045</v>
      </c>
      <c r="E225" s="54" t="s">
        <v>945</v>
      </c>
      <c r="F225" s="53" t="n">
        <f aca="false">AVERAGE(B225:D225)</f>
        <v>0.784659769808856</v>
      </c>
      <c r="G225" s="53" t="n">
        <f aca="false">MAX(B225:D225)-MIN(B225:D225)</f>
        <v>0.0760848671692521</v>
      </c>
      <c r="H225" s="54" t="n">
        <f aca="false">IF(AND(E225="Phase I",OR(F225&gt;$E$6,F225&lt;$E$7,G225&gt;$E$8)),1,0)</f>
        <v>0</v>
      </c>
      <c r="I225" s="53" t="n">
        <f aca="false">$H$4</f>
        <v>0.67278149898986</v>
      </c>
      <c r="J225" s="53" t="n">
        <f aca="false">$H$6</f>
        <v>0.959137233677579</v>
      </c>
      <c r="K225" s="53" t="n">
        <f aca="false">$H$7</f>
        <v>0.386425764302142</v>
      </c>
      <c r="L225" s="53" t="n">
        <f aca="false">$H$5</f>
        <v>0.279917629215756</v>
      </c>
      <c r="M225" s="53" t="n">
        <f aca="false">$H$8</f>
        <v>0.720507977601356</v>
      </c>
      <c r="N225" s="54" t="n">
        <f aca="false">IF(OR(F225&gt;J225,F225&lt;K225),1,0)</f>
        <v>0</v>
      </c>
      <c r="O225" s="54" t="n">
        <f aca="false">IF(G225&gt;M225,1,0)</f>
        <v>0</v>
      </c>
      <c r="P225" s="54" t="n">
        <f aca="false">SIGN(F225-I225)</f>
        <v>1</v>
      </c>
      <c r="Q225" s="54" t="n">
        <f aca="false">IF(ABS(SUM(P218:P225))=8,1,0)</f>
        <v>0</v>
      </c>
    </row>
    <row r="226" customFormat="false" ht="15" hidden="false" customHeight="false" outlineLevel="0" collapsed="false">
      <c r="A226" s="52" t="n">
        <v>44136</v>
      </c>
      <c r="B226" s="53" t="n">
        <v>0</v>
      </c>
      <c r="C226" s="53" t="n">
        <v>0.504556675309334</v>
      </c>
      <c r="D226" s="53" t="n">
        <v>0.647927940471729</v>
      </c>
      <c r="E226" s="54" t="s">
        <v>945</v>
      </c>
      <c r="F226" s="53" t="n">
        <f aca="false">AVERAGE(B226:D226)</f>
        <v>0.384161538593688</v>
      </c>
      <c r="G226" s="53" t="n">
        <f aca="false">MAX(B226:D226)-MIN(B226:D226)</f>
        <v>0.647927940471729</v>
      </c>
      <c r="H226" s="54" t="n">
        <f aca="false">IF(AND(E226="Phase I",OR(F226&gt;$E$6,F226&lt;$E$7,G226&gt;$E$8)),1,0)</f>
        <v>0</v>
      </c>
      <c r="I226" s="53" t="n">
        <f aca="false">$H$4</f>
        <v>0.67278149898986</v>
      </c>
      <c r="J226" s="53" t="n">
        <f aca="false">$H$6</f>
        <v>0.959137233677579</v>
      </c>
      <c r="K226" s="53" t="n">
        <f aca="false">$H$7</f>
        <v>0.386425764302142</v>
      </c>
      <c r="L226" s="53" t="n">
        <f aca="false">$H$5</f>
        <v>0.279917629215756</v>
      </c>
      <c r="M226" s="53" t="n">
        <f aca="false">$H$8</f>
        <v>0.720507977601356</v>
      </c>
      <c r="N226" s="54" t="n">
        <f aca="false">IF(OR(F226&gt;J226,F226&lt;K226),1,0)</f>
        <v>1</v>
      </c>
      <c r="O226" s="54" t="n">
        <f aca="false">IF(G226&gt;M226,1,0)</f>
        <v>0</v>
      </c>
      <c r="P226" s="54" t="n">
        <f aca="false">SIGN(F226-I226)</f>
        <v>-1</v>
      </c>
      <c r="Q226" s="54" t="n">
        <f aca="false">IF(ABS(SUM(P219:P226))=8,1,0)</f>
        <v>0</v>
      </c>
    </row>
    <row r="227" customFormat="false" ht="15" hidden="false" customHeight="false" outlineLevel="0" collapsed="false">
      <c r="A227" s="52" t="n">
        <v>44137</v>
      </c>
      <c r="B227" s="53" t="n">
        <v>0.460771434391653</v>
      </c>
      <c r="C227" s="53" t="n">
        <v>0.853196440730564</v>
      </c>
      <c r="D227" s="53" t="n">
        <v>0.525778377315208</v>
      </c>
      <c r="E227" s="54" t="s">
        <v>945</v>
      </c>
      <c r="F227" s="53" t="n">
        <f aca="false">AVERAGE(B227:D227)</f>
        <v>0.613248750812475</v>
      </c>
      <c r="G227" s="53" t="n">
        <f aca="false">MAX(B227:D227)-MIN(B227:D227)</f>
        <v>0.392425006338911</v>
      </c>
      <c r="H227" s="54" t="n">
        <f aca="false">IF(AND(E227="Phase I",OR(F227&gt;$E$6,F227&lt;$E$7,G227&gt;$E$8)),1,0)</f>
        <v>0</v>
      </c>
      <c r="I227" s="53" t="n">
        <f aca="false">$H$4</f>
        <v>0.67278149898986</v>
      </c>
      <c r="J227" s="53" t="n">
        <f aca="false">$H$6</f>
        <v>0.959137233677579</v>
      </c>
      <c r="K227" s="53" t="n">
        <f aca="false">$H$7</f>
        <v>0.386425764302142</v>
      </c>
      <c r="L227" s="53" t="n">
        <f aca="false">$H$5</f>
        <v>0.279917629215756</v>
      </c>
      <c r="M227" s="53" t="n">
        <f aca="false">$H$8</f>
        <v>0.720507977601356</v>
      </c>
      <c r="N227" s="54" t="n">
        <f aca="false">IF(OR(F227&gt;J227,F227&lt;K227),1,0)</f>
        <v>0</v>
      </c>
      <c r="O227" s="54" t="n">
        <f aca="false">IF(G227&gt;M227,1,0)</f>
        <v>0</v>
      </c>
      <c r="P227" s="54" t="n">
        <f aca="false">SIGN(F227-I227)</f>
        <v>-1</v>
      </c>
      <c r="Q227" s="54" t="n">
        <f aca="false">IF(ABS(SUM(P220:P227))=8,1,0)</f>
        <v>0</v>
      </c>
    </row>
    <row r="228" customFormat="false" ht="15" hidden="false" customHeight="false" outlineLevel="0" collapsed="false">
      <c r="A228" s="52" t="n">
        <v>44138</v>
      </c>
      <c r="B228" s="53" t="n">
        <v>0.791366028630559</v>
      </c>
      <c r="C228" s="53" t="n">
        <v>0.907822131206636</v>
      </c>
      <c r="D228" s="53" t="n">
        <v>0.69865207786988</v>
      </c>
      <c r="E228" s="54" t="s">
        <v>945</v>
      </c>
      <c r="F228" s="53" t="n">
        <f aca="false">AVERAGE(B228:D228)</f>
        <v>0.799280079235692</v>
      </c>
      <c r="G228" s="53" t="n">
        <f aca="false">MAX(B228:D228)-MIN(B228:D228)</f>
        <v>0.209170053336756</v>
      </c>
      <c r="H228" s="54" t="n">
        <f aca="false">IF(AND(E228="Phase I",OR(F228&gt;$E$6,F228&lt;$E$7,G228&gt;$E$8)),1,0)</f>
        <v>0</v>
      </c>
      <c r="I228" s="53" t="n">
        <f aca="false">$H$4</f>
        <v>0.67278149898986</v>
      </c>
      <c r="J228" s="53" t="n">
        <f aca="false">$H$6</f>
        <v>0.959137233677579</v>
      </c>
      <c r="K228" s="53" t="n">
        <f aca="false">$H$7</f>
        <v>0.386425764302142</v>
      </c>
      <c r="L228" s="53" t="n">
        <f aca="false">$H$5</f>
        <v>0.279917629215756</v>
      </c>
      <c r="M228" s="53" t="n">
        <f aca="false">$H$8</f>
        <v>0.720507977601356</v>
      </c>
      <c r="N228" s="54" t="n">
        <f aca="false">IF(OR(F228&gt;J228,F228&lt;K228),1,0)</f>
        <v>0</v>
      </c>
      <c r="O228" s="54" t="n">
        <f aca="false">IF(G228&gt;M228,1,0)</f>
        <v>0</v>
      </c>
      <c r="P228" s="54" t="n">
        <f aca="false">SIGN(F228-I228)</f>
        <v>1</v>
      </c>
      <c r="Q228" s="54" t="n">
        <f aca="false">IF(ABS(SUM(P221:P228))=8,1,0)</f>
        <v>0</v>
      </c>
    </row>
    <row r="229" customFormat="false" ht="15" hidden="false" customHeight="false" outlineLevel="0" collapsed="false">
      <c r="A229" s="52" t="n">
        <v>44139</v>
      </c>
      <c r="B229" s="53" t="n">
        <v>0.574258312572582</v>
      </c>
      <c r="C229" s="53" t="n">
        <v>0.784391268834843</v>
      </c>
      <c r="D229" s="53" t="n">
        <v>0.63103234340431</v>
      </c>
      <c r="E229" s="54" t="s">
        <v>945</v>
      </c>
      <c r="F229" s="53" t="n">
        <f aca="false">AVERAGE(B229:D229)</f>
        <v>0.663227308270578</v>
      </c>
      <c r="G229" s="53" t="n">
        <f aca="false">MAX(B229:D229)-MIN(B229:D229)</f>
        <v>0.210132956262262</v>
      </c>
      <c r="H229" s="54" t="n">
        <f aca="false">IF(AND(E229="Phase I",OR(F229&gt;$E$6,F229&lt;$E$7,G229&gt;$E$8)),1,0)</f>
        <v>0</v>
      </c>
      <c r="I229" s="53" t="n">
        <f aca="false">$H$4</f>
        <v>0.67278149898986</v>
      </c>
      <c r="J229" s="53" t="n">
        <f aca="false">$H$6</f>
        <v>0.959137233677579</v>
      </c>
      <c r="K229" s="53" t="n">
        <f aca="false">$H$7</f>
        <v>0.386425764302142</v>
      </c>
      <c r="L229" s="53" t="n">
        <f aca="false">$H$5</f>
        <v>0.279917629215756</v>
      </c>
      <c r="M229" s="53" t="n">
        <f aca="false">$H$8</f>
        <v>0.720507977601356</v>
      </c>
      <c r="N229" s="54" t="n">
        <f aca="false">IF(OR(F229&gt;J229,F229&lt;K229),1,0)</f>
        <v>0</v>
      </c>
      <c r="O229" s="54" t="n">
        <f aca="false">IF(G229&gt;M229,1,0)</f>
        <v>0</v>
      </c>
      <c r="P229" s="54" t="n">
        <f aca="false">SIGN(F229-I229)</f>
        <v>-1</v>
      </c>
      <c r="Q229" s="54" t="n">
        <f aca="false">IF(ABS(SUM(P222:P229))=8,1,0)</f>
        <v>0</v>
      </c>
    </row>
    <row r="230" customFormat="false" ht="15" hidden="false" customHeight="false" outlineLevel="0" collapsed="false">
      <c r="A230" s="52" t="n">
        <v>44140</v>
      </c>
      <c r="B230" s="53" t="n">
        <v>0.718767979700814</v>
      </c>
      <c r="C230" s="53" t="n">
        <v>0.853423654105326</v>
      </c>
      <c r="D230" s="53" t="n">
        <v>0.621467397263955</v>
      </c>
      <c r="E230" s="54" t="s">
        <v>945</v>
      </c>
      <c r="F230" s="53" t="n">
        <f aca="false">AVERAGE(B230:D230)</f>
        <v>0.731219677023365</v>
      </c>
      <c r="G230" s="53" t="n">
        <f aca="false">MAX(B230:D230)-MIN(B230:D230)</f>
        <v>0.231956256841371</v>
      </c>
      <c r="H230" s="54" t="n">
        <f aca="false">IF(AND(E230="Phase I",OR(F230&gt;$E$6,F230&lt;$E$7,G230&gt;$E$8)),1,0)</f>
        <v>0</v>
      </c>
      <c r="I230" s="53" t="n">
        <f aca="false">$H$4</f>
        <v>0.67278149898986</v>
      </c>
      <c r="J230" s="53" t="n">
        <f aca="false">$H$6</f>
        <v>0.959137233677579</v>
      </c>
      <c r="K230" s="53" t="n">
        <f aca="false">$H$7</f>
        <v>0.386425764302142</v>
      </c>
      <c r="L230" s="53" t="n">
        <f aca="false">$H$5</f>
        <v>0.279917629215756</v>
      </c>
      <c r="M230" s="53" t="n">
        <f aca="false">$H$8</f>
        <v>0.720507977601356</v>
      </c>
      <c r="N230" s="54" t="n">
        <f aca="false">IF(OR(F230&gt;J230,F230&lt;K230),1,0)</f>
        <v>0</v>
      </c>
      <c r="O230" s="54" t="n">
        <f aca="false">IF(G230&gt;M230,1,0)</f>
        <v>0</v>
      </c>
      <c r="P230" s="54" t="n">
        <f aca="false">SIGN(F230-I230)</f>
        <v>1</v>
      </c>
      <c r="Q230" s="54" t="n">
        <f aca="false">IF(ABS(SUM(P223:P230))=8,1,0)</f>
        <v>0</v>
      </c>
    </row>
    <row r="231" customFormat="false" ht="15" hidden="false" customHeight="false" outlineLevel="0" collapsed="false">
      <c r="A231" s="52" t="n">
        <v>44141</v>
      </c>
      <c r="B231" s="53" t="n">
        <v>0.688706944844115</v>
      </c>
      <c r="C231" s="53" t="n">
        <v>0.799131049875926</v>
      </c>
      <c r="D231" s="53" t="n">
        <v>0.831320065362844</v>
      </c>
      <c r="E231" s="54" t="s">
        <v>945</v>
      </c>
      <c r="F231" s="53" t="n">
        <f aca="false">AVERAGE(B231:D231)</f>
        <v>0.773052686694295</v>
      </c>
      <c r="G231" s="53" t="n">
        <f aca="false">MAX(B231:D231)-MIN(B231:D231)</f>
        <v>0.14261312051873</v>
      </c>
      <c r="H231" s="54" t="n">
        <f aca="false">IF(AND(E231="Phase I",OR(F231&gt;$E$6,F231&lt;$E$7,G231&gt;$E$8)),1,0)</f>
        <v>0</v>
      </c>
      <c r="I231" s="53" t="n">
        <f aca="false">$H$4</f>
        <v>0.67278149898986</v>
      </c>
      <c r="J231" s="53" t="n">
        <f aca="false">$H$6</f>
        <v>0.959137233677579</v>
      </c>
      <c r="K231" s="53" t="n">
        <f aca="false">$H$7</f>
        <v>0.386425764302142</v>
      </c>
      <c r="L231" s="53" t="n">
        <f aca="false">$H$5</f>
        <v>0.279917629215756</v>
      </c>
      <c r="M231" s="53" t="n">
        <f aca="false">$H$8</f>
        <v>0.720507977601356</v>
      </c>
      <c r="N231" s="54" t="n">
        <f aca="false">IF(OR(F231&gt;J231,F231&lt;K231),1,0)</f>
        <v>0</v>
      </c>
      <c r="O231" s="54" t="n">
        <f aca="false">IF(G231&gt;M231,1,0)</f>
        <v>0</v>
      </c>
      <c r="P231" s="54" t="n">
        <f aca="false">SIGN(F231-I231)</f>
        <v>1</v>
      </c>
      <c r="Q231" s="54" t="n">
        <f aca="false">IF(ABS(SUM(P224:P231))=8,1,0)</f>
        <v>0</v>
      </c>
    </row>
    <row r="232" customFormat="false" ht="15" hidden="false" customHeight="false" outlineLevel="0" collapsed="false">
      <c r="A232" s="52" t="n">
        <v>44143</v>
      </c>
      <c r="B232" s="53" t="n">
        <v>0</v>
      </c>
      <c r="C232" s="53" t="n">
        <v>0.156557381893854</v>
      </c>
      <c r="D232" s="53" t="n">
        <v>0.7837698329981</v>
      </c>
      <c r="E232" s="54" t="s">
        <v>945</v>
      </c>
      <c r="F232" s="53" t="n">
        <f aca="false">AVERAGE(B232:D232)</f>
        <v>0.313442404963985</v>
      </c>
      <c r="G232" s="53" t="n">
        <f aca="false">MAX(B232:D232)-MIN(B232:D232)</f>
        <v>0.7837698329981</v>
      </c>
      <c r="H232" s="54" t="n">
        <f aca="false">IF(AND(E232="Phase I",OR(F232&gt;$E$6,F232&lt;$E$7,G232&gt;$E$8)),1,0)</f>
        <v>0</v>
      </c>
      <c r="I232" s="53" t="n">
        <f aca="false">$H$4</f>
        <v>0.67278149898986</v>
      </c>
      <c r="J232" s="53" t="n">
        <f aca="false">$H$6</f>
        <v>0.959137233677579</v>
      </c>
      <c r="K232" s="53" t="n">
        <f aca="false">$H$7</f>
        <v>0.386425764302142</v>
      </c>
      <c r="L232" s="53" t="n">
        <f aca="false">$H$5</f>
        <v>0.279917629215756</v>
      </c>
      <c r="M232" s="53" t="n">
        <f aca="false">$H$8</f>
        <v>0.720507977601356</v>
      </c>
      <c r="N232" s="54" t="n">
        <f aca="false">IF(OR(F232&gt;J232,F232&lt;K232),1,0)</f>
        <v>1</v>
      </c>
      <c r="O232" s="54" t="n">
        <f aca="false">IF(G232&gt;M232,1,0)</f>
        <v>1</v>
      </c>
      <c r="P232" s="54" t="n">
        <f aca="false">SIGN(F232-I232)</f>
        <v>-1</v>
      </c>
      <c r="Q232" s="54" t="n">
        <f aca="false">IF(ABS(SUM(P225:P232))=8,1,0)</f>
        <v>0</v>
      </c>
    </row>
    <row r="233" customFormat="false" ht="15" hidden="false" customHeight="false" outlineLevel="0" collapsed="false">
      <c r="A233" s="52" t="n">
        <v>44144</v>
      </c>
      <c r="B233" s="53" t="n">
        <v>0.716838874971983</v>
      </c>
      <c r="C233" s="53" t="n">
        <v>0.838555019826874</v>
      </c>
      <c r="D233" s="53" t="n">
        <v>0.690622088930618</v>
      </c>
      <c r="E233" s="54" t="s">
        <v>945</v>
      </c>
      <c r="F233" s="53" t="n">
        <f aca="false">AVERAGE(B233:D233)</f>
        <v>0.748671994576492</v>
      </c>
      <c r="G233" s="53" t="n">
        <f aca="false">MAX(B233:D233)-MIN(B233:D233)</f>
        <v>0.147932930896256</v>
      </c>
      <c r="H233" s="54" t="n">
        <f aca="false">IF(AND(E233="Phase I",OR(F233&gt;$E$6,F233&lt;$E$7,G233&gt;$E$8)),1,0)</f>
        <v>0</v>
      </c>
      <c r="I233" s="53" t="n">
        <f aca="false">$H$4</f>
        <v>0.67278149898986</v>
      </c>
      <c r="J233" s="53" t="n">
        <f aca="false">$H$6</f>
        <v>0.959137233677579</v>
      </c>
      <c r="K233" s="53" t="n">
        <f aca="false">$H$7</f>
        <v>0.386425764302142</v>
      </c>
      <c r="L233" s="53" t="n">
        <f aca="false">$H$5</f>
        <v>0.279917629215756</v>
      </c>
      <c r="M233" s="53" t="n">
        <f aca="false">$H$8</f>
        <v>0.720507977601356</v>
      </c>
      <c r="N233" s="54" t="n">
        <f aca="false">IF(OR(F233&gt;J233,F233&lt;K233),1,0)</f>
        <v>0</v>
      </c>
      <c r="O233" s="54" t="n">
        <f aca="false">IF(G233&gt;M233,1,0)</f>
        <v>0</v>
      </c>
      <c r="P233" s="54" t="n">
        <f aca="false">SIGN(F233-I233)</f>
        <v>1</v>
      </c>
      <c r="Q233" s="54" t="n">
        <f aca="false">IF(ABS(SUM(P226:P233))=8,1,0)</f>
        <v>0</v>
      </c>
    </row>
    <row r="234" customFormat="false" ht="15" hidden="false" customHeight="false" outlineLevel="0" collapsed="false">
      <c r="A234" s="52" t="n">
        <v>44145</v>
      </c>
      <c r="B234" s="53" t="n">
        <v>0.777993167125741</v>
      </c>
      <c r="C234" s="53" t="n">
        <v>0.761676154931465</v>
      </c>
      <c r="D234" s="53" t="n">
        <v>0.821480116089527</v>
      </c>
      <c r="E234" s="54" t="s">
        <v>945</v>
      </c>
      <c r="F234" s="53" t="n">
        <f aca="false">AVERAGE(B234:D234)</f>
        <v>0.787049812715578</v>
      </c>
      <c r="G234" s="53" t="n">
        <f aca="false">MAX(B234:D234)-MIN(B234:D234)</f>
        <v>0.0598039611580621</v>
      </c>
      <c r="H234" s="54" t="n">
        <f aca="false">IF(AND(E234="Phase I",OR(F234&gt;$E$6,F234&lt;$E$7,G234&gt;$E$8)),1,0)</f>
        <v>0</v>
      </c>
      <c r="I234" s="53" t="n">
        <f aca="false">$H$4</f>
        <v>0.67278149898986</v>
      </c>
      <c r="J234" s="53" t="n">
        <f aca="false">$H$6</f>
        <v>0.959137233677579</v>
      </c>
      <c r="K234" s="53" t="n">
        <f aca="false">$H$7</f>
        <v>0.386425764302142</v>
      </c>
      <c r="L234" s="53" t="n">
        <f aca="false">$H$5</f>
        <v>0.279917629215756</v>
      </c>
      <c r="M234" s="53" t="n">
        <f aca="false">$H$8</f>
        <v>0.720507977601356</v>
      </c>
      <c r="N234" s="54" t="n">
        <f aca="false">IF(OR(F234&gt;J234,F234&lt;K234),1,0)</f>
        <v>0</v>
      </c>
      <c r="O234" s="54" t="n">
        <f aca="false">IF(G234&gt;M234,1,0)</f>
        <v>0</v>
      </c>
      <c r="P234" s="54" t="n">
        <f aca="false">SIGN(F234-I234)</f>
        <v>1</v>
      </c>
      <c r="Q234" s="54" t="n">
        <f aca="false">IF(ABS(SUM(P227:P234))=8,1,0)</f>
        <v>0</v>
      </c>
    </row>
    <row r="235" customFormat="false" ht="15" hidden="false" customHeight="false" outlineLevel="0" collapsed="false">
      <c r="A235" s="52" t="n">
        <v>44146</v>
      </c>
      <c r="B235" s="53" t="n">
        <v>0.609408549310959</v>
      </c>
      <c r="C235" s="53" t="n">
        <v>0.438228003168576</v>
      </c>
      <c r="D235" s="53" t="n">
        <v>0.692565016986134</v>
      </c>
      <c r="E235" s="54" t="s">
        <v>945</v>
      </c>
      <c r="F235" s="53" t="n">
        <f aca="false">AVERAGE(B235:D235)</f>
        <v>0.58006718982189</v>
      </c>
      <c r="G235" s="53" t="n">
        <f aca="false">MAX(B235:D235)-MIN(B235:D235)</f>
        <v>0.254337013817558</v>
      </c>
      <c r="H235" s="54" t="n">
        <f aca="false">IF(AND(E235="Phase I",OR(F235&gt;$E$6,F235&lt;$E$7,G235&gt;$E$8)),1,0)</f>
        <v>0</v>
      </c>
      <c r="I235" s="53" t="n">
        <f aca="false">$H$4</f>
        <v>0.67278149898986</v>
      </c>
      <c r="J235" s="53" t="n">
        <f aca="false">$H$6</f>
        <v>0.959137233677579</v>
      </c>
      <c r="K235" s="53" t="n">
        <f aca="false">$H$7</f>
        <v>0.386425764302142</v>
      </c>
      <c r="L235" s="53" t="n">
        <f aca="false">$H$5</f>
        <v>0.279917629215756</v>
      </c>
      <c r="M235" s="53" t="n">
        <f aca="false">$H$8</f>
        <v>0.720507977601356</v>
      </c>
      <c r="N235" s="54" t="n">
        <f aca="false">IF(OR(F235&gt;J235,F235&lt;K235),1,0)</f>
        <v>0</v>
      </c>
      <c r="O235" s="54" t="n">
        <f aca="false">IF(G235&gt;M235,1,0)</f>
        <v>0</v>
      </c>
      <c r="P235" s="54" t="n">
        <f aca="false">SIGN(F235-I235)</f>
        <v>-1</v>
      </c>
      <c r="Q235" s="54" t="n">
        <f aca="false">IF(ABS(SUM(P228:P235))=8,1,0)</f>
        <v>0</v>
      </c>
    </row>
    <row r="236" customFormat="false" ht="15" hidden="false" customHeight="false" outlineLevel="0" collapsed="false">
      <c r="A236" s="52" t="n">
        <v>44147</v>
      </c>
      <c r="B236" s="53" t="n">
        <v>0.7837640526596</v>
      </c>
      <c r="C236" s="53" t="n">
        <v>0.850548845379106</v>
      </c>
      <c r="D236" s="53" t="n">
        <v>0.753202266022792</v>
      </c>
      <c r="E236" s="54" t="s">
        <v>945</v>
      </c>
      <c r="F236" s="53" t="n">
        <f aca="false">AVERAGE(B236:D236)</f>
        <v>0.795838388020499</v>
      </c>
      <c r="G236" s="53" t="n">
        <f aca="false">MAX(B236:D236)-MIN(B236:D236)</f>
        <v>0.0973465793563146</v>
      </c>
      <c r="H236" s="54" t="n">
        <f aca="false">IF(AND(E236="Phase I",OR(F236&gt;$E$6,F236&lt;$E$7,G236&gt;$E$8)),1,0)</f>
        <v>0</v>
      </c>
      <c r="I236" s="53" t="n">
        <f aca="false">$H$4</f>
        <v>0.67278149898986</v>
      </c>
      <c r="J236" s="53" t="n">
        <f aca="false">$H$6</f>
        <v>0.959137233677579</v>
      </c>
      <c r="K236" s="53" t="n">
        <f aca="false">$H$7</f>
        <v>0.386425764302142</v>
      </c>
      <c r="L236" s="53" t="n">
        <f aca="false">$H$5</f>
        <v>0.279917629215756</v>
      </c>
      <c r="M236" s="53" t="n">
        <f aca="false">$H$8</f>
        <v>0.720507977601356</v>
      </c>
      <c r="N236" s="54" t="n">
        <f aca="false">IF(OR(F236&gt;J236,F236&lt;K236),1,0)</f>
        <v>0</v>
      </c>
      <c r="O236" s="54" t="n">
        <f aca="false">IF(G236&gt;M236,1,0)</f>
        <v>0</v>
      </c>
      <c r="P236" s="54" t="n">
        <f aca="false">SIGN(F236-I236)</f>
        <v>1</v>
      </c>
      <c r="Q236" s="54" t="n">
        <f aca="false">IF(ABS(SUM(P229:P236))=8,1,0)</f>
        <v>0</v>
      </c>
    </row>
    <row r="237" customFormat="false" ht="15" hidden="false" customHeight="false" outlineLevel="0" collapsed="false">
      <c r="A237" s="52" t="n">
        <v>44148</v>
      </c>
      <c r="B237" s="53" t="n">
        <v>0.706210261856952</v>
      </c>
      <c r="C237" s="53" t="n">
        <v>0.404821597278049</v>
      </c>
      <c r="D237" s="53" t="n">
        <v>0.824828434702173</v>
      </c>
      <c r="E237" s="54" t="s">
        <v>945</v>
      </c>
      <c r="F237" s="53" t="n">
        <f aca="false">AVERAGE(B237:D237)</f>
        <v>0.645286764612391</v>
      </c>
      <c r="G237" s="53" t="n">
        <f aca="false">MAX(B237:D237)-MIN(B237:D237)</f>
        <v>0.420006837424124</v>
      </c>
      <c r="H237" s="54" t="n">
        <f aca="false">IF(AND(E237="Phase I",OR(F237&gt;$E$6,F237&lt;$E$7,G237&gt;$E$8)),1,0)</f>
        <v>0</v>
      </c>
      <c r="I237" s="53" t="n">
        <f aca="false">$H$4</f>
        <v>0.67278149898986</v>
      </c>
      <c r="J237" s="53" t="n">
        <f aca="false">$H$6</f>
        <v>0.959137233677579</v>
      </c>
      <c r="K237" s="53" t="n">
        <f aca="false">$H$7</f>
        <v>0.386425764302142</v>
      </c>
      <c r="L237" s="53" t="n">
        <f aca="false">$H$5</f>
        <v>0.279917629215756</v>
      </c>
      <c r="M237" s="53" t="n">
        <f aca="false">$H$8</f>
        <v>0.720507977601356</v>
      </c>
      <c r="N237" s="54" t="n">
        <f aca="false">IF(OR(F237&gt;J237,F237&lt;K237),1,0)</f>
        <v>0</v>
      </c>
      <c r="O237" s="54" t="n">
        <f aca="false">IF(G237&gt;M237,1,0)</f>
        <v>0</v>
      </c>
      <c r="P237" s="54" t="n">
        <f aca="false">SIGN(F237-I237)</f>
        <v>-1</v>
      </c>
      <c r="Q237" s="54" t="n">
        <f aca="false">IF(ABS(SUM(P230:P237))=8,1,0)</f>
        <v>0</v>
      </c>
    </row>
    <row r="238" customFormat="false" ht="15" hidden="false" customHeight="false" outlineLevel="0" collapsed="false">
      <c r="A238" s="52" t="n">
        <v>44151</v>
      </c>
      <c r="B238" s="53" t="n">
        <v>0.829597577690417</v>
      </c>
      <c r="C238" s="53" t="n">
        <v>0.788985720706318</v>
      </c>
      <c r="D238" s="53" t="n">
        <v>0.620194839583505</v>
      </c>
      <c r="E238" s="54" t="s">
        <v>945</v>
      </c>
      <c r="F238" s="53" t="n">
        <f aca="false">AVERAGE(B238:D238)</f>
        <v>0.746259379326747</v>
      </c>
      <c r="G238" s="53" t="n">
        <f aca="false">MAX(B238:D238)-MIN(B238:D238)</f>
        <v>0.209402738106913</v>
      </c>
      <c r="H238" s="54" t="n">
        <f aca="false">IF(AND(E238="Phase I",OR(F238&gt;$E$6,F238&lt;$E$7,G238&gt;$E$8)),1,0)</f>
        <v>0</v>
      </c>
      <c r="I238" s="53" t="n">
        <f aca="false">$H$4</f>
        <v>0.67278149898986</v>
      </c>
      <c r="J238" s="53" t="n">
        <f aca="false">$H$6</f>
        <v>0.959137233677579</v>
      </c>
      <c r="K238" s="53" t="n">
        <f aca="false">$H$7</f>
        <v>0.386425764302142</v>
      </c>
      <c r="L238" s="53" t="n">
        <f aca="false">$H$5</f>
        <v>0.279917629215756</v>
      </c>
      <c r="M238" s="53" t="n">
        <f aca="false">$H$8</f>
        <v>0.720507977601356</v>
      </c>
      <c r="N238" s="54" t="n">
        <f aca="false">IF(OR(F238&gt;J238,F238&lt;K238),1,0)</f>
        <v>0</v>
      </c>
      <c r="O238" s="54" t="n">
        <f aca="false">IF(G238&gt;M238,1,0)</f>
        <v>0</v>
      </c>
      <c r="P238" s="54" t="n">
        <f aca="false">SIGN(F238-I238)</f>
        <v>1</v>
      </c>
      <c r="Q238" s="54" t="n">
        <f aca="false">IF(ABS(SUM(P231:P238))=8,1,0)</f>
        <v>0</v>
      </c>
    </row>
    <row r="239" customFormat="false" ht="15" hidden="false" customHeight="false" outlineLevel="0" collapsed="false">
      <c r="A239" s="52" t="n">
        <v>44152</v>
      </c>
      <c r="B239" s="53" t="n">
        <v>0.806447752115246</v>
      </c>
      <c r="C239" s="53" t="n">
        <v>0.916896613032697</v>
      </c>
      <c r="D239" s="53" t="n">
        <v>0.617545559120906</v>
      </c>
      <c r="E239" s="54" t="s">
        <v>945</v>
      </c>
      <c r="F239" s="53" t="n">
        <f aca="false">AVERAGE(B239:D239)</f>
        <v>0.78029664142295</v>
      </c>
      <c r="G239" s="53" t="n">
        <f aca="false">MAX(B239:D239)-MIN(B239:D239)</f>
        <v>0.299351053911791</v>
      </c>
      <c r="H239" s="54" t="n">
        <f aca="false">IF(AND(E239="Phase I",OR(F239&gt;$E$6,F239&lt;$E$7,G239&gt;$E$8)),1,0)</f>
        <v>0</v>
      </c>
      <c r="I239" s="53" t="n">
        <f aca="false">$H$4</f>
        <v>0.67278149898986</v>
      </c>
      <c r="J239" s="53" t="n">
        <f aca="false">$H$6</f>
        <v>0.959137233677579</v>
      </c>
      <c r="K239" s="53" t="n">
        <f aca="false">$H$7</f>
        <v>0.386425764302142</v>
      </c>
      <c r="L239" s="53" t="n">
        <f aca="false">$H$5</f>
        <v>0.279917629215756</v>
      </c>
      <c r="M239" s="53" t="n">
        <f aca="false">$H$8</f>
        <v>0.720507977601356</v>
      </c>
      <c r="N239" s="54" t="n">
        <f aca="false">IF(OR(F239&gt;J239,F239&lt;K239),1,0)</f>
        <v>0</v>
      </c>
      <c r="O239" s="54" t="n">
        <f aca="false">IF(G239&gt;M239,1,0)</f>
        <v>0</v>
      </c>
      <c r="P239" s="54" t="n">
        <f aca="false">SIGN(F239-I239)</f>
        <v>1</v>
      </c>
      <c r="Q239" s="54" t="n">
        <f aca="false">IF(ABS(SUM(P232:P239))=8,1,0)</f>
        <v>0</v>
      </c>
    </row>
    <row r="240" customFormat="false" ht="15" hidden="false" customHeight="false" outlineLevel="0" collapsed="false">
      <c r="A240" s="52" t="n">
        <v>44153</v>
      </c>
      <c r="B240" s="53" t="n">
        <v>0</v>
      </c>
      <c r="C240" s="53" t="n">
        <v>0.646535386410561</v>
      </c>
      <c r="D240" s="53" t="n">
        <v>0.719663438181574</v>
      </c>
      <c r="E240" s="54" t="s">
        <v>945</v>
      </c>
      <c r="F240" s="53" t="n">
        <f aca="false">AVERAGE(B240:D240)</f>
        <v>0.455399608197378</v>
      </c>
      <c r="G240" s="53" t="n">
        <f aca="false">MAX(B240:D240)-MIN(B240:D240)</f>
        <v>0.719663438181574</v>
      </c>
      <c r="H240" s="54" t="n">
        <f aca="false">IF(AND(E240="Phase I",OR(F240&gt;$E$6,F240&lt;$E$7,G240&gt;$E$8)),1,0)</f>
        <v>0</v>
      </c>
      <c r="I240" s="53" t="n">
        <f aca="false">$H$4</f>
        <v>0.67278149898986</v>
      </c>
      <c r="J240" s="53" t="n">
        <f aca="false">$H$6</f>
        <v>0.959137233677579</v>
      </c>
      <c r="K240" s="53" t="n">
        <f aca="false">$H$7</f>
        <v>0.386425764302142</v>
      </c>
      <c r="L240" s="53" t="n">
        <f aca="false">$H$5</f>
        <v>0.279917629215756</v>
      </c>
      <c r="M240" s="53" t="n">
        <f aca="false">$H$8</f>
        <v>0.720507977601356</v>
      </c>
      <c r="N240" s="54" t="n">
        <f aca="false">IF(OR(F240&gt;J240,F240&lt;K240),1,0)</f>
        <v>0</v>
      </c>
      <c r="O240" s="54" t="n">
        <f aca="false">IF(G240&gt;M240,1,0)</f>
        <v>0</v>
      </c>
      <c r="P240" s="54" t="n">
        <f aca="false">SIGN(F240-I240)</f>
        <v>-1</v>
      </c>
      <c r="Q240" s="54" t="n">
        <f aca="false">IF(ABS(SUM(P233:P240))=8,1,0)</f>
        <v>0</v>
      </c>
    </row>
    <row r="241" customFormat="false" ht="15" hidden="false" customHeight="false" outlineLevel="0" collapsed="false">
      <c r="A241" s="52" t="n">
        <v>44154</v>
      </c>
      <c r="B241" s="53" t="n">
        <v>0.543811145026635</v>
      </c>
      <c r="C241" s="53" t="n">
        <v>0.802127648613811</v>
      </c>
      <c r="D241" s="53" t="n">
        <v>0.60155467257882</v>
      </c>
      <c r="E241" s="54" t="s">
        <v>945</v>
      </c>
      <c r="F241" s="53" t="n">
        <f aca="false">AVERAGE(B241:D241)</f>
        <v>0.649164488739755</v>
      </c>
      <c r="G241" s="53" t="n">
        <f aca="false">MAX(B241:D241)-MIN(B241:D241)</f>
        <v>0.258316503587176</v>
      </c>
      <c r="H241" s="54" t="n">
        <f aca="false">IF(AND(E241="Phase I",OR(F241&gt;$E$6,F241&lt;$E$7,G241&gt;$E$8)),1,0)</f>
        <v>0</v>
      </c>
      <c r="I241" s="53" t="n">
        <f aca="false">$H$4</f>
        <v>0.67278149898986</v>
      </c>
      <c r="J241" s="53" t="n">
        <f aca="false">$H$6</f>
        <v>0.959137233677579</v>
      </c>
      <c r="K241" s="53" t="n">
        <f aca="false">$H$7</f>
        <v>0.386425764302142</v>
      </c>
      <c r="L241" s="53" t="n">
        <f aca="false">$H$5</f>
        <v>0.279917629215756</v>
      </c>
      <c r="M241" s="53" t="n">
        <f aca="false">$H$8</f>
        <v>0.720507977601356</v>
      </c>
      <c r="N241" s="54" t="n">
        <f aca="false">IF(OR(F241&gt;J241,F241&lt;K241),1,0)</f>
        <v>0</v>
      </c>
      <c r="O241" s="54" t="n">
        <f aca="false">IF(G241&gt;M241,1,0)</f>
        <v>0</v>
      </c>
      <c r="P241" s="54" t="n">
        <f aca="false">SIGN(F241-I241)</f>
        <v>-1</v>
      </c>
      <c r="Q241" s="54" t="n">
        <f aca="false">IF(ABS(SUM(P234:P241))=8,1,0)</f>
        <v>0</v>
      </c>
    </row>
    <row r="242" customFormat="false" ht="15" hidden="false" customHeight="false" outlineLevel="0" collapsed="false">
      <c r="A242" s="52" t="n">
        <v>44155</v>
      </c>
      <c r="B242" s="53" t="n">
        <v>0.504075109830501</v>
      </c>
      <c r="C242" s="53" t="n">
        <v>0.851744316662498</v>
      </c>
      <c r="D242" s="53" t="n">
        <v>0.77337533385231</v>
      </c>
      <c r="E242" s="54" t="s">
        <v>945</v>
      </c>
      <c r="F242" s="53" t="n">
        <f aca="false">AVERAGE(B242:D242)</f>
        <v>0.70973158678177</v>
      </c>
      <c r="G242" s="53" t="n">
        <f aca="false">MAX(B242:D242)-MIN(B242:D242)</f>
        <v>0.347669206831996</v>
      </c>
      <c r="H242" s="54" t="n">
        <f aca="false">IF(AND(E242="Phase I",OR(F242&gt;$E$6,F242&lt;$E$7,G242&gt;$E$8)),1,0)</f>
        <v>0</v>
      </c>
      <c r="I242" s="53" t="n">
        <f aca="false">$H$4</f>
        <v>0.67278149898986</v>
      </c>
      <c r="J242" s="53" t="n">
        <f aca="false">$H$6</f>
        <v>0.959137233677579</v>
      </c>
      <c r="K242" s="53" t="n">
        <f aca="false">$H$7</f>
        <v>0.386425764302142</v>
      </c>
      <c r="L242" s="53" t="n">
        <f aca="false">$H$5</f>
        <v>0.279917629215756</v>
      </c>
      <c r="M242" s="53" t="n">
        <f aca="false">$H$8</f>
        <v>0.720507977601356</v>
      </c>
      <c r="N242" s="54" t="n">
        <f aca="false">IF(OR(F242&gt;J242,F242&lt;K242),1,0)</f>
        <v>0</v>
      </c>
      <c r="O242" s="54" t="n">
        <f aca="false">IF(G242&gt;M242,1,0)</f>
        <v>0</v>
      </c>
      <c r="P242" s="54" t="n">
        <f aca="false">SIGN(F242-I242)</f>
        <v>1</v>
      </c>
      <c r="Q242" s="54" t="n">
        <f aca="false">IF(ABS(SUM(P235:P242))=8,1,0)</f>
        <v>0</v>
      </c>
    </row>
    <row r="243" customFormat="false" ht="15" hidden="false" customHeight="false" outlineLevel="0" collapsed="false">
      <c r="A243" s="52" t="n">
        <v>44158</v>
      </c>
      <c r="B243" s="53" t="n">
        <v>0.830624188704359</v>
      </c>
      <c r="C243" s="53" t="n">
        <v>0.920312781724583</v>
      </c>
      <c r="D243" s="53" t="n">
        <v>0.821436018335591</v>
      </c>
      <c r="E243" s="54" t="s">
        <v>945</v>
      </c>
      <c r="F243" s="53" t="n">
        <f aca="false">AVERAGE(B243:D243)</f>
        <v>0.857457662921511</v>
      </c>
      <c r="G243" s="53" t="n">
        <f aca="false">MAX(B243:D243)-MIN(B243:D243)</f>
        <v>0.0988767633889925</v>
      </c>
      <c r="H243" s="54" t="n">
        <f aca="false">IF(AND(E243="Phase I",OR(F243&gt;$E$6,F243&lt;$E$7,G243&gt;$E$8)),1,0)</f>
        <v>0</v>
      </c>
      <c r="I243" s="53" t="n">
        <f aca="false">$H$4</f>
        <v>0.67278149898986</v>
      </c>
      <c r="J243" s="53" t="n">
        <f aca="false">$H$6</f>
        <v>0.959137233677579</v>
      </c>
      <c r="K243" s="53" t="n">
        <f aca="false">$H$7</f>
        <v>0.386425764302142</v>
      </c>
      <c r="L243" s="53" t="n">
        <f aca="false">$H$5</f>
        <v>0.279917629215756</v>
      </c>
      <c r="M243" s="53" t="n">
        <f aca="false">$H$8</f>
        <v>0.720507977601356</v>
      </c>
      <c r="N243" s="54" t="n">
        <f aca="false">IF(OR(F243&gt;J243,F243&lt;K243),1,0)</f>
        <v>0</v>
      </c>
      <c r="O243" s="54" t="n">
        <f aca="false">IF(G243&gt;M243,1,0)</f>
        <v>0</v>
      </c>
      <c r="P243" s="54" t="n">
        <f aca="false">SIGN(F243-I243)</f>
        <v>1</v>
      </c>
      <c r="Q243" s="54" t="n">
        <f aca="false">IF(ABS(SUM(P236:P243))=8,1,0)</f>
        <v>0</v>
      </c>
    </row>
    <row r="244" customFormat="false" ht="15" hidden="false" customHeight="false" outlineLevel="0" collapsed="false">
      <c r="A244" s="52" t="n">
        <v>44159</v>
      </c>
      <c r="B244" s="53" t="n">
        <v>0.569880614973923</v>
      </c>
      <c r="C244" s="53" t="n">
        <v>0.907225126725601</v>
      </c>
      <c r="D244" s="53" t="n">
        <v>0.892358243483261</v>
      </c>
      <c r="E244" s="54" t="s">
        <v>945</v>
      </c>
      <c r="F244" s="53" t="n">
        <f aca="false">AVERAGE(B244:D244)</f>
        <v>0.789821328394262</v>
      </c>
      <c r="G244" s="53" t="n">
        <f aca="false">MAX(B244:D244)-MIN(B244:D244)</f>
        <v>0.337344511751679</v>
      </c>
      <c r="H244" s="54" t="n">
        <f aca="false">IF(AND(E244="Phase I",OR(F244&gt;$E$6,F244&lt;$E$7,G244&gt;$E$8)),1,0)</f>
        <v>0</v>
      </c>
      <c r="I244" s="53" t="n">
        <f aca="false">$H$4</f>
        <v>0.67278149898986</v>
      </c>
      <c r="J244" s="53" t="n">
        <f aca="false">$H$6</f>
        <v>0.959137233677579</v>
      </c>
      <c r="K244" s="53" t="n">
        <f aca="false">$H$7</f>
        <v>0.386425764302142</v>
      </c>
      <c r="L244" s="53" t="n">
        <f aca="false">$H$5</f>
        <v>0.279917629215756</v>
      </c>
      <c r="M244" s="53" t="n">
        <f aca="false">$H$8</f>
        <v>0.720507977601356</v>
      </c>
      <c r="N244" s="54" t="n">
        <f aca="false">IF(OR(F244&gt;J244,F244&lt;K244),1,0)</f>
        <v>0</v>
      </c>
      <c r="O244" s="54" t="n">
        <f aca="false">IF(G244&gt;M244,1,0)</f>
        <v>0</v>
      </c>
      <c r="P244" s="54" t="n">
        <f aca="false">SIGN(F244-I244)</f>
        <v>1</v>
      </c>
      <c r="Q244" s="54" t="n">
        <f aca="false">IF(ABS(SUM(P237:P244))=8,1,0)</f>
        <v>0</v>
      </c>
    </row>
    <row r="245" customFormat="false" ht="15" hidden="false" customHeight="false" outlineLevel="0" collapsed="false">
      <c r="A245" s="52" t="n">
        <v>44160</v>
      </c>
      <c r="B245" s="53" t="n">
        <v>0.811573780345548</v>
      </c>
      <c r="C245" s="53" t="n">
        <v>0.649786383270285</v>
      </c>
      <c r="D245" s="53" t="n">
        <v>0.868623574530875</v>
      </c>
      <c r="E245" s="54" t="s">
        <v>945</v>
      </c>
      <c r="F245" s="53" t="n">
        <f aca="false">AVERAGE(B245:D245)</f>
        <v>0.776661246048903</v>
      </c>
      <c r="G245" s="53" t="n">
        <f aca="false">MAX(B245:D245)-MIN(B245:D245)</f>
        <v>0.21883719126059</v>
      </c>
      <c r="H245" s="54" t="n">
        <f aca="false">IF(AND(E245="Phase I",OR(F245&gt;$E$6,F245&lt;$E$7,G245&gt;$E$8)),1,0)</f>
        <v>0</v>
      </c>
      <c r="I245" s="53" t="n">
        <f aca="false">$H$4</f>
        <v>0.67278149898986</v>
      </c>
      <c r="J245" s="53" t="n">
        <f aca="false">$H$6</f>
        <v>0.959137233677579</v>
      </c>
      <c r="K245" s="53" t="n">
        <f aca="false">$H$7</f>
        <v>0.386425764302142</v>
      </c>
      <c r="L245" s="53" t="n">
        <f aca="false">$H$5</f>
        <v>0.279917629215756</v>
      </c>
      <c r="M245" s="53" t="n">
        <f aca="false">$H$8</f>
        <v>0.720507977601356</v>
      </c>
      <c r="N245" s="54" t="n">
        <f aca="false">IF(OR(F245&gt;J245,F245&lt;K245),1,0)</f>
        <v>0</v>
      </c>
      <c r="O245" s="54" t="n">
        <f aca="false">IF(G245&gt;M245,1,0)</f>
        <v>0</v>
      </c>
      <c r="P245" s="54" t="n">
        <f aca="false">SIGN(F245-I245)</f>
        <v>1</v>
      </c>
      <c r="Q245" s="54" t="n">
        <f aca="false">IF(ABS(SUM(P238:P245))=8,1,0)</f>
        <v>0</v>
      </c>
    </row>
    <row r="246" customFormat="false" ht="15" hidden="false" customHeight="false" outlineLevel="0" collapsed="false">
      <c r="A246" s="52" t="n">
        <v>44161</v>
      </c>
      <c r="B246" s="53" t="n">
        <v>0.738791510013226</v>
      </c>
      <c r="C246" s="53" t="n">
        <v>0.653882364615817</v>
      </c>
      <c r="D246" s="53" t="n">
        <v>0.685709315005224</v>
      </c>
      <c r="E246" s="54" t="s">
        <v>945</v>
      </c>
      <c r="F246" s="53" t="n">
        <f aca="false">AVERAGE(B246:D246)</f>
        <v>0.692794396544756</v>
      </c>
      <c r="G246" s="53" t="n">
        <f aca="false">MAX(B246:D246)-MIN(B246:D246)</f>
        <v>0.0849091453974086</v>
      </c>
      <c r="H246" s="54" t="n">
        <f aca="false">IF(AND(E246="Phase I",OR(F246&gt;$E$6,F246&lt;$E$7,G246&gt;$E$8)),1,0)</f>
        <v>0</v>
      </c>
      <c r="I246" s="53" t="n">
        <f aca="false">$H$4</f>
        <v>0.67278149898986</v>
      </c>
      <c r="J246" s="53" t="n">
        <f aca="false">$H$6</f>
        <v>0.959137233677579</v>
      </c>
      <c r="K246" s="53" t="n">
        <f aca="false">$H$7</f>
        <v>0.386425764302142</v>
      </c>
      <c r="L246" s="53" t="n">
        <f aca="false">$H$5</f>
        <v>0.279917629215756</v>
      </c>
      <c r="M246" s="53" t="n">
        <f aca="false">$H$8</f>
        <v>0.720507977601356</v>
      </c>
      <c r="N246" s="54" t="n">
        <f aca="false">IF(OR(F246&gt;J246,F246&lt;K246),1,0)</f>
        <v>0</v>
      </c>
      <c r="O246" s="54" t="n">
        <f aca="false">IF(G246&gt;M246,1,0)</f>
        <v>0</v>
      </c>
      <c r="P246" s="54" t="n">
        <f aca="false">SIGN(F246-I246)</f>
        <v>1</v>
      </c>
      <c r="Q246" s="54" t="n">
        <f aca="false">IF(ABS(SUM(P239:P246))=8,1,0)</f>
        <v>0</v>
      </c>
    </row>
    <row r="247" customFormat="false" ht="15" hidden="false" customHeight="false" outlineLevel="0" collapsed="false">
      <c r="A247" s="52" t="n">
        <v>44162</v>
      </c>
      <c r="B247" s="53" t="n">
        <v>0.796706242982052</v>
      </c>
      <c r="C247" s="53" t="n">
        <v>0.924798365609139</v>
      </c>
      <c r="D247" s="53" t="n">
        <v>0.756798777509615</v>
      </c>
      <c r="E247" s="54" t="s">
        <v>945</v>
      </c>
      <c r="F247" s="53" t="n">
        <f aca="false">AVERAGE(B247:D247)</f>
        <v>0.826101128700269</v>
      </c>
      <c r="G247" s="53" t="n">
        <f aca="false">MAX(B247:D247)-MIN(B247:D247)</f>
        <v>0.167999588099524</v>
      </c>
      <c r="H247" s="54" t="n">
        <f aca="false">IF(AND(E247="Phase I",OR(F247&gt;$E$6,F247&lt;$E$7,G247&gt;$E$8)),1,0)</f>
        <v>0</v>
      </c>
      <c r="I247" s="53" t="n">
        <f aca="false">$H$4</f>
        <v>0.67278149898986</v>
      </c>
      <c r="J247" s="53" t="n">
        <f aca="false">$H$6</f>
        <v>0.959137233677579</v>
      </c>
      <c r="K247" s="53" t="n">
        <f aca="false">$H$7</f>
        <v>0.386425764302142</v>
      </c>
      <c r="L247" s="53" t="n">
        <f aca="false">$H$5</f>
        <v>0.279917629215756</v>
      </c>
      <c r="M247" s="53" t="n">
        <f aca="false">$H$8</f>
        <v>0.720507977601356</v>
      </c>
      <c r="N247" s="54" t="n">
        <f aca="false">IF(OR(F247&gt;J247,F247&lt;K247),1,0)</f>
        <v>0</v>
      </c>
      <c r="O247" s="54" t="n">
        <f aca="false">IF(G247&gt;M247,1,0)</f>
        <v>0</v>
      </c>
      <c r="P247" s="54" t="n">
        <f aca="false">SIGN(F247-I247)</f>
        <v>1</v>
      </c>
      <c r="Q247" s="54" t="n">
        <f aca="false">IF(ABS(SUM(P240:P247))=8,1,0)</f>
        <v>0</v>
      </c>
    </row>
    <row r="248" customFormat="false" ht="15" hidden="false" customHeight="false" outlineLevel="0" collapsed="false">
      <c r="A248" s="52" t="n">
        <v>44165</v>
      </c>
      <c r="B248" s="53" t="n">
        <v>0.468612720378959</v>
      </c>
      <c r="C248" s="53" t="n">
        <v>0.548900221079993</v>
      </c>
      <c r="D248" s="53" t="n">
        <v>0.617203507396969</v>
      </c>
      <c r="E248" s="54" t="s">
        <v>945</v>
      </c>
      <c r="F248" s="53" t="n">
        <f aca="false">AVERAGE(B248:D248)</f>
        <v>0.544905482951974</v>
      </c>
      <c r="G248" s="53" t="n">
        <f aca="false">MAX(B248:D248)-MIN(B248:D248)</f>
        <v>0.14859078701801</v>
      </c>
      <c r="H248" s="54" t="n">
        <f aca="false">IF(AND(E248="Phase I",OR(F248&gt;$E$6,F248&lt;$E$7,G248&gt;$E$8)),1,0)</f>
        <v>0</v>
      </c>
      <c r="I248" s="53" t="n">
        <f aca="false">$H$4</f>
        <v>0.67278149898986</v>
      </c>
      <c r="J248" s="53" t="n">
        <f aca="false">$H$6</f>
        <v>0.959137233677579</v>
      </c>
      <c r="K248" s="53" t="n">
        <f aca="false">$H$7</f>
        <v>0.386425764302142</v>
      </c>
      <c r="L248" s="53" t="n">
        <f aca="false">$H$5</f>
        <v>0.279917629215756</v>
      </c>
      <c r="M248" s="53" t="n">
        <f aca="false">$H$8</f>
        <v>0.720507977601356</v>
      </c>
      <c r="N248" s="54" t="n">
        <f aca="false">IF(OR(F248&gt;J248,F248&lt;K248),1,0)</f>
        <v>0</v>
      </c>
      <c r="O248" s="54" t="n">
        <f aca="false">IF(G248&gt;M248,1,0)</f>
        <v>0</v>
      </c>
      <c r="P248" s="54" t="n">
        <f aca="false">SIGN(F248-I248)</f>
        <v>-1</v>
      </c>
      <c r="Q248" s="54" t="n">
        <f aca="false">IF(ABS(SUM(P241:P248))=8,1,0)</f>
        <v>0</v>
      </c>
    </row>
    <row r="249" customFormat="false" ht="15" hidden="false" customHeight="false" outlineLevel="0" collapsed="false">
      <c r="A249" s="52" t="n">
        <v>44166</v>
      </c>
      <c r="B249" s="53" t="n">
        <v>0.711639873485948</v>
      </c>
      <c r="C249" s="53" t="n">
        <v>0.89043540225575</v>
      </c>
      <c r="D249" s="53" t="n">
        <v>0.821691908143755</v>
      </c>
      <c r="E249" s="54" t="s">
        <v>945</v>
      </c>
      <c r="F249" s="53" t="n">
        <f aca="false">AVERAGE(B249:D249)</f>
        <v>0.807922394628484</v>
      </c>
      <c r="G249" s="53" t="n">
        <f aca="false">MAX(B249:D249)-MIN(B249:D249)</f>
        <v>0.178795528769802</v>
      </c>
      <c r="H249" s="54" t="n">
        <f aca="false">IF(AND(E249="Phase I",OR(F249&gt;$E$6,F249&lt;$E$7,G249&gt;$E$8)),1,0)</f>
        <v>0</v>
      </c>
      <c r="I249" s="53" t="n">
        <f aca="false">$H$4</f>
        <v>0.67278149898986</v>
      </c>
      <c r="J249" s="53" t="n">
        <f aca="false">$H$6</f>
        <v>0.959137233677579</v>
      </c>
      <c r="K249" s="53" t="n">
        <f aca="false">$H$7</f>
        <v>0.386425764302142</v>
      </c>
      <c r="L249" s="53" t="n">
        <f aca="false">$H$5</f>
        <v>0.279917629215756</v>
      </c>
      <c r="M249" s="53" t="n">
        <f aca="false">$H$8</f>
        <v>0.720507977601356</v>
      </c>
      <c r="N249" s="54" t="n">
        <f aca="false">IF(OR(F249&gt;J249,F249&lt;K249),1,0)</f>
        <v>0</v>
      </c>
      <c r="O249" s="54" t="n">
        <f aca="false">IF(G249&gt;M249,1,0)</f>
        <v>0</v>
      </c>
      <c r="P249" s="54" t="n">
        <f aca="false">SIGN(F249-I249)</f>
        <v>1</v>
      </c>
      <c r="Q249" s="54" t="n">
        <f aca="false">IF(ABS(SUM(P242:P249))=8,1,0)</f>
        <v>0</v>
      </c>
    </row>
    <row r="250" customFormat="false" ht="15" hidden="false" customHeight="false" outlineLevel="0" collapsed="false">
      <c r="A250" s="52" t="n">
        <v>44167</v>
      </c>
      <c r="B250" s="53" t="n">
        <v>0.6993256456449</v>
      </c>
      <c r="C250" s="53" t="n">
        <v>0.801005122508323</v>
      </c>
      <c r="D250" s="53" t="n">
        <v>0.761045982134423</v>
      </c>
      <c r="E250" s="54" t="s">
        <v>945</v>
      </c>
      <c r="F250" s="53" t="n">
        <f aca="false">AVERAGE(B250:D250)</f>
        <v>0.753792250095882</v>
      </c>
      <c r="G250" s="53" t="n">
        <f aca="false">MAX(B250:D250)-MIN(B250:D250)</f>
        <v>0.101679476863422</v>
      </c>
      <c r="H250" s="54" t="n">
        <f aca="false">IF(AND(E250="Phase I",OR(F250&gt;$E$6,F250&lt;$E$7,G250&gt;$E$8)),1,0)</f>
        <v>0</v>
      </c>
      <c r="I250" s="53" t="n">
        <f aca="false">$H$4</f>
        <v>0.67278149898986</v>
      </c>
      <c r="J250" s="53" t="n">
        <f aca="false">$H$6</f>
        <v>0.959137233677579</v>
      </c>
      <c r="K250" s="53" t="n">
        <f aca="false">$H$7</f>
        <v>0.386425764302142</v>
      </c>
      <c r="L250" s="53" t="n">
        <f aca="false">$H$5</f>
        <v>0.279917629215756</v>
      </c>
      <c r="M250" s="53" t="n">
        <f aca="false">$H$8</f>
        <v>0.720507977601356</v>
      </c>
      <c r="N250" s="54" t="n">
        <f aca="false">IF(OR(F250&gt;J250,F250&lt;K250),1,0)</f>
        <v>0</v>
      </c>
      <c r="O250" s="54" t="n">
        <f aca="false">IF(G250&gt;M250,1,0)</f>
        <v>0</v>
      </c>
      <c r="P250" s="54" t="n">
        <f aca="false">SIGN(F250-I250)</f>
        <v>1</v>
      </c>
      <c r="Q250" s="54" t="n">
        <f aca="false">IF(ABS(SUM(P243:P250))=8,1,0)</f>
        <v>0</v>
      </c>
    </row>
    <row r="251" customFormat="false" ht="15" hidden="false" customHeight="false" outlineLevel="0" collapsed="false">
      <c r="A251" s="52" t="n">
        <v>44168</v>
      </c>
      <c r="B251" s="53" t="n">
        <v>0.554292882035237</v>
      </c>
      <c r="C251" s="53" t="n">
        <v>0.655549908464758</v>
      </c>
      <c r="D251" s="53" t="n">
        <v>0.537879189216725</v>
      </c>
      <c r="E251" s="54" t="s">
        <v>945</v>
      </c>
      <c r="F251" s="53" t="n">
        <f aca="false">AVERAGE(B251:D251)</f>
        <v>0.582573993238906</v>
      </c>
      <c r="G251" s="53" t="n">
        <f aca="false">MAX(B251:D251)-MIN(B251:D251)</f>
        <v>0.117670719248033</v>
      </c>
      <c r="H251" s="54" t="n">
        <f aca="false">IF(AND(E251="Phase I",OR(F251&gt;$E$6,F251&lt;$E$7,G251&gt;$E$8)),1,0)</f>
        <v>0</v>
      </c>
      <c r="I251" s="53" t="n">
        <f aca="false">$H$4</f>
        <v>0.67278149898986</v>
      </c>
      <c r="J251" s="53" t="n">
        <f aca="false">$H$6</f>
        <v>0.959137233677579</v>
      </c>
      <c r="K251" s="53" t="n">
        <f aca="false">$H$7</f>
        <v>0.386425764302142</v>
      </c>
      <c r="L251" s="53" t="n">
        <f aca="false">$H$5</f>
        <v>0.279917629215756</v>
      </c>
      <c r="M251" s="53" t="n">
        <f aca="false">$H$8</f>
        <v>0.720507977601356</v>
      </c>
      <c r="N251" s="54" t="n">
        <f aca="false">IF(OR(F251&gt;J251,F251&lt;K251),1,0)</f>
        <v>0</v>
      </c>
      <c r="O251" s="54" t="n">
        <f aca="false">IF(G251&gt;M251,1,0)</f>
        <v>0</v>
      </c>
      <c r="P251" s="54" t="n">
        <f aca="false">SIGN(F251-I251)</f>
        <v>-1</v>
      </c>
      <c r="Q251" s="54" t="n">
        <f aca="false">IF(ABS(SUM(P244:P251))=8,1,0)</f>
        <v>0</v>
      </c>
    </row>
    <row r="252" customFormat="false" ht="15" hidden="false" customHeight="false" outlineLevel="0" collapsed="false">
      <c r="A252" s="52" t="n">
        <v>44169</v>
      </c>
      <c r="B252" s="53" t="n">
        <v>0.746017181071031</v>
      </c>
      <c r="C252" s="53" t="n">
        <v>0.762607420845503</v>
      </c>
      <c r="D252" s="53" t="n">
        <v>0.0615536162315879</v>
      </c>
      <c r="E252" s="54" t="s">
        <v>945</v>
      </c>
      <c r="F252" s="53" t="n">
        <f aca="false">AVERAGE(B252:D252)</f>
        <v>0.523392739382707</v>
      </c>
      <c r="G252" s="53" t="n">
        <f aca="false">MAX(B252:D252)-MIN(B252:D252)</f>
        <v>0.701053804613915</v>
      </c>
      <c r="H252" s="54" t="n">
        <f aca="false">IF(AND(E252="Phase I",OR(F252&gt;$E$6,F252&lt;$E$7,G252&gt;$E$8)),1,0)</f>
        <v>0</v>
      </c>
      <c r="I252" s="53" t="n">
        <f aca="false">$H$4</f>
        <v>0.67278149898986</v>
      </c>
      <c r="J252" s="53" t="n">
        <f aca="false">$H$6</f>
        <v>0.959137233677579</v>
      </c>
      <c r="K252" s="53" t="n">
        <f aca="false">$H$7</f>
        <v>0.386425764302142</v>
      </c>
      <c r="L252" s="53" t="n">
        <f aca="false">$H$5</f>
        <v>0.279917629215756</v>
      </c>
      <c r="M252" s="53" t="n">
        <f aca="false">$H$8</f>
        <v>0.720507977601356</v>
      </c>
      <c r="N252" s="54" t="n">
        <f aca="false">IF(OR(F252&gt;J252,F252&lt;K252),1,0)</f>
        <v>0</v>
      </c>
      <c r="O252" s="54" t="n">
        <f aca="false">IF(G252&gt;M252,1,0)</f>
        <v>0</v>
      </c>
      <c r="P252" s="54" t="n">
        <f aca="false">SIGN(F252-I252)</f>
        <v>-1</v>
      </c>
      <c r="Q252" s="54" t="n">
        <f aca="false">IF(ABS(SUM(P245:P252))=8,1,0)</f>
        <v>0</v>
      </c>
    </row>
    <row r="253" customFormat="false" ht="15" hidden="false" customHeight="false" outlineLevel="0" collapsed="false">
      <c r="A253" s="52" t="n">
        <v>44172</v>
      </c>
      <c r="B253" s="53" t="n">
        <v>0.688791848681151</v>
      </c>
      <c r="C253" s="53" t="n">
        <v>0.731177957530241</v>
      </c>
      <c r="D253" s="53" t="n">
        <v>0.697685971182028</v>
      </c>
      <c r="E253" s="54" t="s">
        <v>945</v>
      </c>
      <c r="F253" s="53" t="n">
        <f aca="false">AVERAGE(B253:D253)</f>
        <v>0.70588525913114</v>
      </c>
      <c r="G253" s="53" t="n">
        <f aca="false">MAX(B253:D253)-MIN(B253:D253)</f>
        <v>0.0423861088490904</v>
      </c>
      <c r="H253" s="54" t="n">
        <f aca="false">IF(AND(E253="Phase I",OR(F253&gt;$E$6,F253&lt;$E$7,G253&gt;$E$8)),1,0)</f>
        <v>0</v>
      </c>
      <c r="I253" s="53" t="n">
        <f aca="false">$H$4</f>
        <v>0.67278149898986</v>
      </c>
      <c r="J253" s="53" t="n">
        <f aca="false">$H$6</f>
        <v>0.959137233677579</v>
      </c>
      <c r="K253" s="53" t="n">
        <f aca="false">$H$7</f>
        <v>0.386425764302142</v>
      </c>
      <c r="L253" s="53" t="n">
        <f aca="false">$H$5</f>
        <v>0.279917629215756</v>
      </c>
      <c r="M253" s="53" t="n">
        <f aca="false">$H$8</f>
        <v>0.720507977601356</v>
      </c>
      <c r="N253" s="54" t="n">
        <f aca="false">IF(OR(F253&gt;J253,F253&lt;K253),1,0)</f>
        <v>0</v>
      </c>
      <c r="O253" s="54" t="n">
        <f aca="false">IF(G253&gt;M253,1,0)</f>
        <v>0</v>
      </c>
      <c r="P253" s="54" t="n">
        <f aca="false">SIGN(F253-I253)</f>
        <v>1</v>
      </c>
      <c r="Q253" s="54" t="n">
        <f aca="false">IF(ABS(SUM(P246:P253))=8,1,0)</f>
        <v>0</v>
      </c>
    </row>
    <row r="254" customFormat="false" ht="15" hidden="false" customHeight="false" outlineLevel="0" collapsed="false">
      <c r="A254" s="52" t="n">
        <v>44173</v>
      </c>
      <c r="B254" s="53" t="n">
        <v>0.77894034649378</v>
      </c>
      <c r="C254" s="53" t="n">
        <v>0.889940888802434</v>
      </c>
      <c r="D254" s="53" t="n">
        <v>0.771691225203251</v>
      </c>
      <c r="E254" s="54" t="s">
        <v>945</v>
      </c>
      <c r="F254" s="53" t="n">
        <f aca="false">AVERAGE(B254:D254)</f>
        <v>0.813524153499822</v>
      </c>
      <c r="G254" s="53" t="n">
        <f aca="false">MAX(B254:D254)-MIN(B254:D254)</f>
        <v>0.118249663599183</v>
      </c>
      <c r="H254" s="54" t="n">
        <f aca="false">IF(AND(E254="Phase I",OR(F254&gt;$E$6,F254&lt;$E$7,G254&gt;$E$8)),1,0)</f>
        <v>0</v>
      </c>
      <c r="I254" s="53" t="n">
        <f aca="false">$H$4</f>
        <v>0.67278149898986</v>
      </c>
      <c r="J254" s="53" t="n">
        <f aca="false">$H$6</f>
        <v>0.959137233677579</v>
      </c>
      <c r="K254" s="53" t="n">
        <f aca="false">$H$7</f>
        <v>0.386425764302142</v>
      </c>
      <c r="L254" s="53" t="n">
        <f aca="false">$H$5</f>
        <v>0.279917629215756</v>
      </c>
      <c r="M254" s="53" t="n">
        <f aca="false">$H$8</f>
        <v>0.720507977601356</v>
      </c>
      <c r="N254" s="54" t="n">
        <f aca="false">IF(OR(F254&gt;J254,F254&lt;K254),1,0)</f>
        <v>0</v>
      </c>
      <c r="O254" s="54" t="n">
        <f aca="false">IF(G254&gt;M254,1,0)</f>
        <v>0</v>
      </c>
      <c r="P254" s="54" t="n">
        <f aca="false">SIGN(F254-I254)</f>
        <v>1</v>
      </c>
      <c r="Q254" s="54" t="n">
        <f aca="false">IF(ABS(SUM(P247:P254))=8,1,0)</f>
        <v>0</v>
      </c>
    </row>
    <row r="255" customFormat="false" ht="15" hidden="false" customHeight="false" outlineLevel="0" collapsed="false">
      <c r="A255" s="52" t="n">
        <v>44174</v>
      </c>
      <c r="B255" s="53" t="n">
        <v>0.892537416215224</v>
      </c>
      <c r="C255" s="53" t="n">
        <v>0.682049143688644</v>
      </c>
      <c r="D255" s="53" t="n">
        <v>0.839575379665869</v>
      </c>
      <c r="E255" s="54" t="s">
        <v>945</v>
      </c>
      <c r="F255" s="53" t="n">
        <f aca="false">AVERAGE(B255:D255)</f>
        <v>0.804720646523246</v>
      </c>
      <c r="G255" s="53" t="n">
        <f aca="false">MAX(B255:D255)-MIN(B255:D255)</f>
        <v>0.210488272526579</v>
      </c>
      <c r="H255" s="54" t="n">
        <f aca="false">IF(AND(E255="Phase I",OR(F255&gt;$E$6,F255&lt;$E$7,G255&gt;$E$8)),1,0)</f>
        <v>0</v>
      </c>
      <c r="I255" s="53" t="n">
        <f aca="false">$H$4</f>
        <v>0.67278149898986</v>
      </c>
      <c r="J255" s="53" t="n">
        <f aca="false">$H$6</f>
        <v>0.959137233677579</v>
      </c>
      <c r="K255" s="53" t="n">
        <f aca="false">$H$7</f>
        <v>0.386425764302142</v>
      </c>
      <c r="L255" s="53" t="n">
        <f aca="false">$H$5</f>
        <v>0.279917629215756</v>
      </c>
      <c r="M255" s="53" t="n">
        <f aca="false">$H$8</f>
        <v>0.720507977601356</v>
      </c>
      <c r="N255" s="54" t="n">
        <f aca="false">IF(OR(F255&gt;J255,F255&lt;K255),1,0)</f>
        <v>0</v>
      </c>
      <c r="O255" s="54" t="n">
        <f aca="false">IF(G255&gt;M255,1,0)</f>
        <v>0</v>
      </c>
      <c r="P255" s="54" t="n">
        <f aca="false">SIGN(F255-I255)</f>
        <v>1</v>
      </c>
      <c r="Q255" s="54" t="n">
        <f aca="false">IF(ABS(SUM(P248:P255))=8,1,0)</f>
        <v>0</v>
      </c>
    </row>
    <row r="256" customFormat="false" ht="15" hidden="false" customHeight="false" outlineLevel="0" collapsed="false">
      <c r="A256" s="52" t="n">
        <v>44175</v>
      </c>
      <c r="B256" s="53" t="n">
        <v>0.679621910920923</v>
      </c>
      <c r="C256" s="53" t="n">
        <v>0.652919964005383</v>
      </c>
      <c r="D256" s="53" t="n">
        <v>0.682219549592923</v>
      </c>
      <c r="E256" s="54" t="s">
        <v>945</v>
      </c>
      <c r="F256" s="53" t="n">
        <f aca="false">AVERAGE(B256:D256)</f>
        <v>0.67158714150641</v>
      </c>
      <c r="G256" s="53" t="n">
        <f aca="false">MAX(B256:D256)-MIN(B256:D256)</f>
        <v>0.0292995855875406</v>
      </c>
      <c r="H256" s="54" t="n">
        <f aca="false">IF(AND(E256="Phase I",OR(F256&gt;$E$6,F256&lt;$E$7,G256&gt;$E$8)),1,0)</f>
        <v>0</v>
      </c>
      <c r="I256" s="53" t="n">
        <f aca="false">$H$4</f>
        <v>0.67278149898986</v>
      </c>
      <c r="J256" s="53" t="n">
        <f aca="false">$H$6</f>
        <v>0.959137233677579</v>
      </c>
      <c r="K256" s="53" t="n">
        <f aca="false">$H$7</f>
        <v>0.386425764302142</v>
      </c>
      <c r="L256" s="53" t="n">
        <f aca="false">$H$5</f>
        <v>0.279917629215756</v>
      </c>
      <c r="M256" s="53" t="n">
        <f aca="false">$H$8</f>
        <v>0.720507977601356</v>
      </c>
      <c r="N256" s="54" t="n">
        <f aca="false">IF(OR(F256&gt;J256,F256&lt;K256),1,0)</f>
        <v>0</v>
      </c>
      <c r="O256" s="54" t="n">
        <f aca="false">IF(G256&gt;M256,1,0)</f>
        <v>0</v>
      </c>
      <c r="P256" s="54" t="n">
        <f aca="false">SIGN(F256-I256)</f>
        <v>-1</v>
      </c>
      <c r="Q256" s="54" t="n">
        <f aca="false">IF(ABS(SUM(P249:P256))=8,1,0)</f>
        <v>0</v>
      </c>
    </row>
    <row r="257" customFormat="false" ht="15" hidden="false" customHeight="false" outlineLevel="0" collapsed="false">
      <c r="A257" s="52" t="n">
        <v>44176</v>
      </c>
      <c r="B257" s="53" t="n">
        <v>0.498093199635643</v>
      </c>
      <c r="C257" s="53" t="n">
        <v>0.67357132832336</v>
      </c>
      <c r="D257" s="53" t="n">
        <v>0.88231548999732</v>
      </c>
      <c r="E257" s="54" t="s">
        <v>945</v>
      </c>
      <c r="F257" s="53" t="n">
        <f aca="false">AVERAGE(B257:D257)</f>
        <v>0.684660005985441</v>
      </c>
      <c r="G257" s="53" t="n">
        <f aca="false">MAX(B257:D257)-MIN(B257:D257)</f>
        <v>0.384222290361676</v>
      </c>
      <c r="H257" s="54" t="n">
        <f aca="false">IF(AND(E257="Phase I",OR(F257&gt;$E$6,F257&lt;$E$7,G257&gt;$E$8)),1,0)</f>
        <v>0</v>
      </c>
      <c r="I257" s="53" t="n">
        <f aca="false">$H$4</f>
        <v>0.67278149898986</v>
      </c>
      <c r="J257" s="53" t="n">
        <f aca="false">$H$6</f>
        <v>0.959137233677579</v>
      </c>
      <c r="K257" s="53" t="n">
        <f aca="false">$H$7</f>
        <v>0.386425764302142</v>
      </c>
      <c r="L257" s="53" t="n">
        <f aca="false">$H$5</f>
        <v>0.279917629215756</v>
      </c>
      <c r="M257" s="53" t="n">
        <f aca="false">$H$8</f>
        <v>0.720507977601356</v>
      </c>
      <c r="N257" s="54" t="n">
        <f aca="false">IF(OR(F257&gt;J257,F257&lt;K257),1,0)</f>
        <v>0</v>
      </c>
      <c r="O257" s="54" t="n">
        <f aca="false">IF(G257&gt;M257,1,0)</f>
        <v>0</v>
      </c>
      <c r="P257" s="54" t="n">
        <f aca="false">SIGN(F257-I257)</f>
        <v>1</v>
      </c>
      <c r="Q257" s="54" t="n">
        <f aca="false">IF(ABS(SUM(P250:P257))=8,1,0)</f>
        <v>0</v>
      </c>
    </row>
    <row r="258" customFormat="false" ht="15" hidden="false" customHeight="false" outlineLevel="0" collapsed="false">
      <c r="A258" s="52" t="n">
        <v>44179</v>
      </c>
      <c r="B258" s="53" t="n">
        <v>0.786506212249751</v>
      </c>
      <c r="C258" s="53" t="n">
        <v>0.886419590125738</v>
      </c>
      <c r="D258" s="53" t="n">
        <v>0.69621408737742</v>
      </c>
      <c r="E258" s="54" t="s">
        <v>945</v>
      </c>
      <c r="F258" s="53" t="n">
        <f aca="false">AVERAGE(B258:D258)</f>
        <v>0.789713296584303</v>
      </c>
      <c r="G258" s="53" t="n">
        <f aca="false">MAX(B258:D258)-MIN(B258:D258)</f>
        <v>0.190205502748318</v>
      </c>
      <c r="H258" s="54" t="n">
        <f aca="false">IF(AND(E258="Phase I",OR(F258&gt;$E$6,F258&lt;$E$7,G258&gt;$E$8)),1,0)</f>
        <v>0</v>
      </c>
      <c r="I258" s="53" t="n">
        <f aca="false">$H$4</f>
        <v>0.67278149898986</v>
      </c>
      <c r="J258" s="53" t="n">
        <f aca="false">$H$6</f>
        <v>0.959137233677579</v>
      </c>
      <c r="K258" s="53" t="n">
        <f aca="false">$H$7</f>
        <v>0.386425764302142</v>
      </c>
      <c r="L258" s="53" t="n">
        <f aca="false">$H$5</f>
        <v>0.279917629215756</v>
      </c>
      <c r="M258" s="53" t="n">
        <f aca="false">$H$8</f>
        <v>0.720507977601356</v>
      </c>
      <c r="N258" s="54" t="n">
        <f aca="false">IF(OR(F258&gt;J258,F258&lt;K258),1,0)</f>
        <v>0</v>
      </c>
      <c r="O258" s="54" t="n">
        <f aca="false">IF(G258&gt;M258,1,0)</f>
        <v>0</v>
      </c>
      <c r="P258" s="54" t="n">
        <f aca="false">SIGN(F258-I258)</f>
        <v>1</v>
      </c>
      <c r="Q258" s="54" t="n">
        <f aca="false">IF(ABS(SUM(P251:P258))=8,1,0)</f>
        <v>0</v>
      </c>
    </row>
    <row r="259" customFormat="false" ht="15" hidden="false" customHeight="false" outlineLevel="0" collapsed="false">
      <c r="A259" s="52" t="n">
        <v>44180</v>
      </c>
      <c r="B259" s="53" t="n">
        <v>0.67576398789667</v>
      </c>
      <c r="C259" s="53" t="n">
        <v>0.859651405129255</v>
      </c>
      <c r="D259" s="53" t="n">
        <v>0.676715463082752</v>
      </c>
      <c r="E259" s="54" t="s">
        <v>945</v>
      </c>
      <c r="F259" s="53" t="n">
        <f aca="false">AVERAGE(B259:D259)</f>
        <v>0.737376952036226</v>
      </c>
      <c r="G259" s="53" t="n">
        <f aca="false">MAX(B259:D259)-MIN(B259:D259)</f>
        <v>0.183887417232585</v>
      </c>
      <c r="H259" s="54" t="n">
        <f aca="false">IF(AND(E259="Phase I",OR(F259&gt;$E$6,F259&lt;$E$7,G259&gt;$E$8)),1,0)</f>
        <v>0</v>
      </c>
      <c r="I259" s="53" t="n">
        <f aca="false">$H$4</f>
        <v>0.67278149898986</v>
      </c>
      <c r="J259" s="53" t="n">
        <f aca="false">$H$6</f>
        <v>0.959137233677579</v>
      </c>
      <c r="K259" s="53" t="n">
        <f aca="false">$H$7</f>
        <v>0.386425764302142</v>
      </c>
      <c r="L259" s="53" t="n">
        <f aca="false">$H$5</f>
        <v>0.279917629215756</v>
      </c>
      <c r="M259" s="53" t="n">
        <f aca="false">$H$8</f>
        <v>0.720507977601356</v>
      </c>
      <c r="N259" s="54" t="n">
        <f aca="false">IF(OR(F259&gt;J259,F259&lt;K259),1,0)</f>
        <v>0</v>
      </c>
      <c r="O259" s="54" t="n">
        <f aca="false">IF(G259&gt;M259,1,0)</f>
        <v>0</v>
      </c>
      <c r="P259" s="54" t="n">
        <f aca="false">SIGN(F259-I259)</f>
        <v>1</v>
      </c>
      <c r="Q259" s="54" t="n">
        <f aca="false">IF(ABS(SUM(P252:P259))=8,1,0)</f>
        <v>0</v>
      </c>
    </row>
    <row r="260" customFormat="false" ht="15" hidden="false" customHeight="false" outlineLevel="0" collapsed="false">
      <c r="A260" s="52" t="n">
        <v>44181</v>
      </c>
      <c r="B260" s="53" t="n">
        <v>0</v>
      </c>
      <c r="C260" s="53" t="n">
        <v>0.776873101753994</v>
      </c>
      <c r="D260" s="53" t="n">
        <v>0.946619431778476</v>
      </c>
      <c r="E260" s="54" t="s">
        <v>945</v>
      </c>
      <c r="F260" s="53" t="n">
        <f aca="false">AVERAGE(B260:D260)</f>
        <v>0.57449751117749</v>
      </c>
      <c r="G260" s="53" t="n">
        <f aca="false">MAX(B260:D260)-MIN(B260:D260)</f>
        <v>0.946619431778476</v>
      </c>
      <c r="H260" s="54" t="n">
        <f aca="false">IF(AND(E260="Phase I",OR(F260&gt;$E$6,F260&lt;$E$7,G260&gt;$E$8)),1,0)</f>
        <v>1</v>
      </c>
      <c r="I260" s="53" t="n">
        <f aca="false">$H$4</f>
        <v>0.67278149898986</v>
      </c>
      <c r="J260" s="53" t="n">
        <f aca="false">$H$6</f>
        <v>0.959137233677579</v>
      </c>
      <c r="K260" s="53" t="n">
        <f aca="false">$H$7</f>
        <v>0.386425764302142</v>
      </c>
      <c r="L260" s="53" t="n">
        <f aca="false">$H$5</f>
        <v>0.279917629215756</v>
      </c>
      <c r="M260" s="53" t="n">
        <f aca="false">$H$8</f>
        <v>0.720507977601356</v>
      </c>
      <c r="N260" s="54" t="n">
        <f aca="false">IF(OR(F260&gt;J260,F260&lt;K260),1,0)</f>
        <v>0</v>
      </c>
      <c r="O260" s="54" t="n">
        <f aca="false">IF(G260&gt;M260,1,0)</f>
        <v>1</v>
      </c>
      <c r="P260" s="54" t="n">
        <f aca="false">SIGN(F260-I260)</f>
        <v>-1</v>
      </c>
      <c r="Q260" s="54" t="n">
        <f aca="false">IF(ABS(SUM(P253:P260))=8,1,0)</f>
        <v>0</v>
      </c>
    </row>
    <row r="261" customFormat="false" ht="15" hidden="false" customHeight="false" outlineLevel="0" collapsed="false">
      <c r="A261" s="52" t="n">
        <v>44182</v>
      </c>
      <c r="B261" s="53" t="n">
        <v>0.794033753345758</v>
      </c>
      <c r="C261" s="53" t="n">
        <v>0.830273828998535</v>
      </c>
      <c r="D261" s="53" t="n">
        <v>0.779446996451101</v>
      </c>
      <c r="E261" s="54" t="s">
        <v>945</v>
      </c>
      <c r="F261" s="53" t="n">
        <f aca="false">AVERAGE(B261:D261)</f>
        <v>0.801251526265132</v>
      </c>
      <c r="G261" s="53" t="n">
        <f aca="false">MAX(B261:D261)-MIN(B261:D261)</f>
        <v>0.0508268325474341</v>
      </c>
      <c r="H261" s="54" t="n">
        <f aca="false">IF(AND(E261="Phase I",OR(F261&gt;$E$6,F261&lt;$E$7,G261&gt;$E$8)),1,0)</f>
        <v>0</v>
      </c>
      <c r="I261" s="53" t="n">
        <f aca="false">$H$4</f>
        <v>0.67278149898986</v>
      </c>
      <c r="J261" s="53" t="n">
        <f aca="false">$H$6</f>
        <v>0.959137233677579</v>
      </c>
      <c r="K261" s="53" t="n">
        <f aca="false">$H$7</f>
        <v>0.386425764302142</v>
      </c>
      <c r="L261" s="53" t="n">
        <f aca="false">$H$5</f>
        <v>0.279917629215756</v>
      </c>
      <c r="M261" s="53" t="n">
        <f aca="false">$H$8</f>
        <v>0.720507977601356</v>
      </c>
      <c r="N261" s="54" t="n">
        <f aca="false">IF(OR(F261&gt;J261,F261&lt;K261),1,0)</f>
        <v>0</v>
      </c>
      <c r="O261" s="54" t="n">
        <f aca="false">IF(G261&gt;M261,1,0)</f>
        <v>0</v>
      </c>
      <c r="P261" s="54" t="n">
        <f aca="false">SIGN(F261-I261)</f>
        <v>1</v>
      </c>
      <c r="Q261" s="54" t="n">
        <f aca="false">IF(ABS(SUM(P254:P261))=8,1,0)</f>
        <v>0</v>
      </c>
    </row>
    <row r="262" customFormat="false" ht="15" hidden="false" customHeight="false" outlineLevel="0" collapsed="false">
      <c r="A262" s="52" t="n">
        <v>44183</v>
      </c>
      <c r="B262" s="53" t="n">
        <v>0.73396606678327</v>
      </c>
      <c r="C262" s="53" t="n">
        <v>0.64211793851323</v>
      </c>
      <c r="D262" s="53" t="n">
        <v>0.709420457769054</v>
      </c>
      <c r="E262" s="54" t="s">
        <v>945</v>
      </c>
      <c r="F262" s="53" t="n">
        <f aca="false">AVERAGE(B262:D262)</f>
        <v>0.695168154355184</v>
      </c>
      <c r="G262" s="53" t="n">
        <f aca="false">MAX(B262:D262)-MIN(B262:D262)</f>
        <v>0.0918481282700397</v>
      </c>
      <c r="H262" s="54" t="n">
        <f aca="false">IF(AND(E262="Phase I",OR(F262&gt;$E$6,F262&lt;$E$7,G262&gt;$E$8)),1,0)</f>
        <v>0</v>
      </c>
      <c r="I262" s="53" t="n">
        <f aca="false">$H$4</f>
        <v>0.67278149898986</v>
      </c>
      <c r="J262" s="53" t="n">
        <f aca="false">$H$6</f>
        <v>0.959137233677579</v>
      </c>
      <c r="K262" s="53" t="n">
        <f aca="false">$H$7</f>
        <v>0.386425764302142</v>
      </c>
      <c r="L262" s="53" t="n">
        <f aca="false">$H$5</f>
        <v>0.279917629215756</v>
      </c>
      <c r="M262" s="53" t="n">
        <f aca="false">$H$8</f>
        <v>0.720507977601356</v>
      </c>
      <c r="N262" s="54" t="n">
        <f aca="false">IF(OR(F262&gt;J262,F262&lt;K262),1,0)</f>
        <v>0</v>
      </c>
      <c r="O262" s="54" t="n">
        <f aca="false">IF(G262&gt;M262,1,0)</f>
        <v>0</v>
      </c>
      <c r="P262" s="54" t="n">
        <f aca="false">SIGN(F262-I262)</f>
        <v>1</v>
      </c>
      <c r="Q262" s="54" t="n">
        <f aca="false">IF(ABS(SUM(P255:P262))=8,1,0)</f>
        <v>0</v>
      </c>
    </row>
    <row r="263" customFormat="false" ht="15" hidden="false" customHeight="false" outlineLevel="0" collapsed="false">
      <c r="A263" s="52" t="n">
        <v>44185</v>
      </c>
      <c r="B263" s="53" t="n">
        <v>0</v>
      </c>
      <c r="C263" s="53" t="n">
        <v>0.583708701663329</v>
      </c>
      <c r="D263" s="53" t="n">
        <v>0.804802054001896</v>
      </c>
      <c r="E263" s="54" t="s">
        <v>945</v>
      </c>
      <c r="F263" s="53" t="n">
        <f aca="false">AVERAGE(B263:D263)</f>
        <v>0.462836918555075</v>
      </c>
      <c r="G263" s="53" t="n">
        <f aca="false">MAX(B263:D263)-MIN(B263:D263)</f>
        <v>0.804802054001896</v>
      </c>
      <c r="H263" s="54" t="n">
        <f aca="false">IF(AND(E263="Phase I",OR(F263&gt;$E$6,F263&lt;$E$7,G263&gt;$E$8)),1,0)</f>
        <v>0</v>
      </c>
      <c r="I263" s="53" t="n">
        <f aca="false">$H$4</f>
        <v>0.67278149898986</v>
      </c>
      <c r="J263" s="53" t="n">
        <f aca="false">$H$6</f>
        <v>0.959137233677579</v>
      </c>
      <c r="K263" s="53" t="n">
        <f aca="false">$H$7</f>
        <v>0.386425764302142</v>
      </c>
      <c r="L263" s="53" t="n">
        <f aca="false">$H$5</f>
        <v>0.279917629215756</v>
      </c>
      <c r="M263" s="53" t="n">
        <f aca="false">$H$8</f>
        <v>0.720507977601356</v>
      </c>
      <c r="N263" s="54" t="n">
        <f aca="false">IF(OR(F263&gt;J263,F263&lt;K263),1,0)</f>
        <v>0</v>
      </c>
      <c r="O263" s="54" t="n">
        <f aca="false">IF(G263&gt;M263,1,0)</f>
        <v>1</v>
      </c>
      <c r="P263" s="54" t="n">
        <f aca="false">SIGN(F263-I263)</f>
        <v>-1</v>
      </c>
      <c r="Q263" s="54" t="n">
        <f aca="false">IF(ABS(SUM(P256:P263))=8,1,0)</f>
        <v>0</v>
      </c>
    </row>
    <row r="264" customFormat="false" ht="15" hidden="false" customHeight="false" outlineLevel="0" collapsed="false">
      <c r="A264" s="52" t="n">
        <v>44186</v>
      </c>
      <c r="B264" s="53" t="n">
        <v>0.780185859950388</v>
      </c>
      <c r="C264" s="53" t="n">
        <v>0.748724980983599</v>
      </c>
      <c r="D264" s="53" t="n">
        <v>0.83014632673505</v>
      </c>
      <c r="E264" s="54" t="s">
        <v>945</v>
      </c>
      <c r="F264" s="53" t="n">
        <f aca="false">AVERAGE(B264:D264)</f>
        <v>0.786352389223012</v>
      </c>
      <c r="G264" s="53" t="n">
        <f aca="false">MAX(B264:D264)-MIN(B264:D264)</f>
        <v>0.0814213457514511</v>
      </c>
      <c r="H264" s="54" t="n">
        <f aca="false">IF(AND(E264="Phase I",OR(F264&gt;$E$6,F264&lt;$E$7,G264&gt;$E$8)),1,0)</f>
        <v>0</v>
      </c>
      <c r="I264" s="53" t="n">
        <f aca="false">$H$4</f>
        <v>0.67278149898986</v>
      </c>
      <c r="J264" s="53" t="n">
        <f aca="false">$H$6</f>
        <v>0.959137233677579</v>
      </c>
      <c r="K264" s="53" t="n">
        <f aca="false">$H$7</f>
        <v>0.386425764302142</v>
      </c>
      <c r="L264" s="53" t="n">
        <f aca="false">$H$5</f>
        <v>0.279917629215756</v>
      </c>
      <c r="M264" s="53" t="n">
        <f aca="false">$H$8</f>
        <v>0.720507977601356</v>
      </c>
      <c r="N264" s="54" t="n">
        <f aca="false">IF(OR(F264&gt;J264,F264&lt;K264),1,0)</f>
        <v>0</v>
      </c>
      <c r="O264" s="54" t="n">
        <f aca="false">IF(G264&gt;M264,1,0)</f>
        <v>0</v>
      </c>
      <c r="P264" s="54" t="n">
        <f aca="false">SIGN(F264-I264)</f>
        <v>1</v>
      </c>
      <c r="Q264" s="54" t="n">
        <f aca="false">IF(ABS(SUM(P257:P264))=8,1,0)</f>
        <v>0</v>
      </c>
    </row>
    <row r="265" customFormat="false" ht="15" hidden="false" customHeight="false" outlineLevel="0" collapsed="false">
      <c r="A265" s="52" t="n">
        <v>44187</v>
      </c>
      <c r="B265" s="53" t="n">
        <v>0.831343500442744</v>
      </c>
      <c r="C265" s="53" t="n">
        <v>0.724351946617072</v>
      </c>
      <c r="D265" s="53" t="n">
        <v>0.566949089000295</v>
      </c>
      <c r="E265" s="54" t="s">
        <v>945</v>
      </c>
      <c r="F265" s="53" t="n">
        <f aca="false">AVERAGE(B265:D265)</f>
        <v>0.707548178686703</v>
      </c>
      <c r="G265" s="53" t="n">
        <f aca="false">MAX(B265:D265)-MIN(B265:D265)</f>
        <v>0.264394411442449</v>
      </c>
      <c r="H265" s="54" t="n">
        <f aca="false">IF(AND(E265="Phase I",OR(F265&gt;$E$6,F265&lt;$E$7,G265&gt;$E$8)),1,0)</f>
        <v>0</v>
      </c>
      <c r="I265" s="53" t="n">
        <f aca="false">$H$4</f>
        <v>0.67278149898986</v>
      </c>
      <c r="J265" s="53" t="n">
        <f aca="false">$H$6</f>
        <v>0.959137233677579</v>
      </c>
      <c r="K265" s="53" t="n">
        <f aca="false">$H$7</f>
        <v>0.386425764302142</v>
      </c>
      <c r="L265" s="53" t="n">
        <f aca="false">$H$5</f>
        <v>0.279917629215756</v>
      </c>
      <c r="M265" s="53" t="n">
        <f aca="false">$H$8</f>
        <v>0.720507977601356</v>
      </c>
      <c r="N265" s="54" t="n">
        <f aca="false">IF(OR(F265&gt;J265,F265&lt;K265),1,0)</f>
        <v>0</v>
      </c>
      <c r="O265" s="54" t="n">
        <f aca="false">IF(G265&gt;M265,1,0)</f>
        <v>0</v>
      </c>
      <c r="P265" s="54" t="n">
        <f aca="false">SIGN(F265-I265)</f>
        <v>1</v>
      </c>
      <c r="Q265" s="54" t="n">
        <f aca="false">IF(ABS(SUM(P258:P265))=8,1,0)</f>
        <v>0</v>
      </c>
    </row>
    <row r="266" customFormat="false" ht="15" hidden="false" customHeight="false" outlineLevel="0" collapsed="false">
      <c r="A266" s="52" t="n">
        <v>44188</v>
      </c>
      <c r="B266" s="53" t="n">
        <v>0.712976763662103</v>
      </c>
      <c r="C266" s="53" t="n">
        <v>0.897147395592031</v>
      </c>
      <c r="D266" s="53" t="n">
        <v>0.820449694667639</v>
      </c>
      <c r="E266" s="54" t="s">
        <v>945</v>
      </c>
      <c r="F266" s="53" t="n">
        <f aca="false">AVERAGE(B266:D266)</f>
        <v>0.810191284640591</v>
      </c>
      <c r="G266" s="53" t="n">
        <f aca="false">MAX(B266:D266)-MIN(B266:D266)</f>
        <v>0.184170631929929</v>
      </c>
      <c r="H266" s="54" t="n">
        <f aca="false">IF(AND(E266="Phase I",OR(F266&gt;$E$6,F266&lt;$E$7,G266&gt;$E$8)),1,0)</f>
        <v>0</v>
      </c>
      <c r="I266" s="53" t="n">
        <f aca="false">$H$4</f>
        <v>0.67278149898986</v>
      </c>
      <c r="J266" s="53" t="n">
        <f aca="false">$H$6</f>
        <v>0.959137233677579</v>
      </c>
      <c r="K266" s="53" t="n">
        <f aca="false">$H$7</f>
        <v>0.386425764302142</v>
      </c>
      <c r="L266" s="53" t="n">
        <f aca="false">$H$5</f>
        <v>0.279917629215756</v>
      </c>
      <c r="M266" s="53" t="n">
        <f aca="false">$H$8</f>
        <v>0.720507977601356</v>
      </c>
      <c r="N266" s="54" t="n">
        <f aca="false">IF(OR(F266&gt;J266,F266&lt;K266),1,0)</f>
        <v>0</v>
      </c>
      <c r="O266" s="54" t="n">
        <f aca="false">IF(G266&gt;M266,1,0)</f>
        <v>0</v>
      </c>
      <c r="P266" s="54" t="n">
        <f aca="false">SIGN(F266-I266)</f>
        <v>1</v>
      </c>
      <c r="Q266" s="54" t="n">
        <f aca="false">IF(ABS(SUM(P259:P266))=8,1,0)</f>
        <v>0</v>
      </c>
    </row>
    <row r="267" customFormat="false" ht="15" hidden="false" customHeight="false" outlineLevel="0" collapsed="false">
      <c r="A267" s="52" t="n">
        <v>44192</v>
      </c>
      <c r="B267" s="53" t="n">
        <v>0.680869705857257</v>
      </c>
      <c r="C267" s="53" t="n">
        <v>0.867973441185087</v>
      </c>
      <c r="D267" s="53" t="n">
        <v>0.893968264198553</v>
      </c>
      <c r="E267" s="54" t="s">
        <v>945</v>
      </c>
      <c r="F267" s="53" t="n">
        <f aca="false">AVERAGE(B267:D267)</f>
        <v>0.814270470413632</v>
      </c>
      <c r="G267" s="53" t="n">
        <f aca="false">MAX(B267:D267)-MIN(B267:D267)</f>
        <v>0.213098558341296</v>
      </c>
      <c r="H267" s="54" t="n">
        <f aca="false">IF(AND(E267="Phase I",OR(F267&gt;$E$6,F267&lt;$E$7,G267&gt;$E$8)),1,0)</f>
        <v>0</v>
      </c>
      <c r="I267" s="53" t="n">
        <f aca="false">$H$4</f>
        <v>0.67278149898986</v>
      </c>
      <c r="J267" s="53" t="n">
        <f aca="false">$H$6</f>
        <v>0.959137233677579</v>
      </c>
      <c r="K267" s="53" t="n">
        <f aca="false">$H$7</f>
        <v>0.386425764302142</v>
      </c>
      <c r="L267" s="53" t="n">
        <f aca="false">$H$5</f>
        <v>0.279917629215756</v>
      </c>
      <c r="M267" s="53" t="n">
        <f aca="false">$H$8</f>
        <v>0.720507977601356</v>
      </c>
      <c r="N267" s="54" t="n">
        <f aca="false">IF(OR(F267&gt;J267,F267&lt;K267),1,0)</f>
        <v>0</v>
      </c>
      <c r="O267" s="54" t="n">
        <f aca="false">IF(G267&gt;M267,1,0)</f>
        <v>0</v>
      </c>
      <c r="P267" s="54" t="n">
        <f aca="false">SIGN(F267-I267)</f>
        <v>1</v>
      </c>
      <c r="Q267" s="54" t="n">
        <f aca="false">IF(ABS(SUM(P260:P267))=8,1,0)</f>
        <v>0</v>
      </c>
    </row>
    <row r="268" customFormat="false" ht="15" hidden="false" customHeight="false" outlineLevel="0" collapsed="false">
      <c r="A268" s="52" t="n">
        <v>44193</v>
      </c>
      <c r="B268" s="53" t="n">
        <v>0.699601792296836</v>
      </c>
      <c r="C268" s="53" t="n">
        <v>0.618129329113513</v>
      </c>
      <c r="D268" s="53" t="n">
        <v>0.664406207023147</v>
      </c>
      <c r="E268" s="54" t="s">
        <v>945</v>
      </c>
      <c r="F268" s="53" t="n">
        <f aca="false">AVERAGE(B268:D268)</f>
        <v>0.660712442811165</v>
      </c>
      <c r="G268" s="53" t="n">
        <f aca="false">MAX(B268:D268)-MIN(B268:D268)</f>
        <v>0.081472463183323</v>
      </c>
      <c r="H268" s="54" t="n">
        <f aca="false">IF(AND(E268="Phase I",OR(F268&gt;$E$6,F268&lt;$E$7,G268&gt;$E$8)),1,0)</f>
        <v>0</v>
      </c>
      <c r="I268" s="53" t="n">
        <f aca="false">$H$4</f>
        <v>0.67278149898986</v>
      </c>
      <c r="J268" s="53" t="n">
        <f aca="false">$H$6</f>
        <v>0.959137233677579</v>
      </c>
      <c r="K268" s="53" t="n">
        <f aca="false">$H$7</f>
        <v>0.386425764302142</v>
      </c>
      <c r="L268" s="53" t="n">
        <f aca="false">$H$5</f>
        <v>0.279917629215756</v>
      </c>
      <c r="M268" s="53" t="n">
        <f aca="false">$H$8</f>
        <v>0.720507977601356</v>
      </c>
      <c r="N268" s="54" t="n">
        <f aca="false">IF(OR(F268&gt;J268,F268&lt;K268),1,0)</f>
        <v>0</v>
      </c>
      <c r="O268" s="54" t="n">
        <f aca="false">IF(G268&gt;M268,1,0)</f>
        <v>0</v>
      </c>
      <c r="P268" s="54" t="n">
        <f aca="false">SIGN(F268-I268)</f>
        <v>-1</v>
      </c>
      <c r="Q268" s="54" t="n">
        <f aca="false">IF(ABS(SUM(P261:P268))=8,1,0)</f>
        <v>0</v>
      </c>
    </row>
    <row r="269" customFormat="false" ht="15" hidden="false" customHeight="false" outlineLevel="0" collapsed="false">
      <c r="A269" s="52" t="n">
        <v>44194</v>
      </c>
      <c r="B269" s="53" t="n">
        <v>0.82727276710674</v>
      </c>
      <c r="C269" s="53" t="n">
        <v>0.511742973080046</v>
      </c>
      <c r="D269" s="53" t="n">
        <v>0.823788313262155</v>
      </c>
      <c r="E269" s="54" t="s">
        <v>945</v>
      </c>
      <c r="F269" s="53" t="n">
        <f aca="false">AVERAGE(B269:D269)</f>
        <v>0.72093468448298</v>
      </c>
      <c r="G269" s="53" t="n">
        <f aca="false">MAX(B269:D269)-MIN(B269:D269)</f>
        <v>0.315529794026694</v>
      </c>
      <c r="H269" s="54" t="n">
        <f aca="false">IF(AND(E269="Phase I",OR(F269&gt;$E$6,F269&lt;$E$7,G269&gt;$E$8)),1,0)</f>
        <v>0</v>
      </c>
      <c r="I269" s="53" t="n">
        <f aca="false">$H$4</f>
        <v>0.67278149898986</v>
      </c>
      <c r="J269" s="53" t="n">
        <f aca="false">$H$6</f>
        <v>0.959137233677579</v>
      </c>
      <c r="K269" s="53" t="n">
        <f aca="false">$H$7</f>
        <v>0.386425764302142</v>
      </c>
      <c r="L269" s="53" t="n">
        <f aca="false">$H$5</f>
        <v>0.279917629215756</v>
      </c>
      <c r="M269" s="53" t="n">
        <f aca="false">$H$8</f>
        <v>0.720507977601356</v>
      </c>
      <c r="N269" s="54" t="n">
        <f aca="false">IF(OR(F269&gt;J269,F269&lt;K269),1,0)</f>
        <v>0</v>
      </c>
      <c r="O269" s="54" t="n">
        <f aca="false">IF(G269&gt;M269,1,0)</f>
        <v>0</v>
      </c>
      <c r="P269" s="54" t="n">
        <f aca="false">SIGN(F269-I269)</f>
        <v>1</v>
      </c>
      <c r="Q269" s="54" t="n">
        <f aca="false">IF(ABS(SUM(P262:P269))=8,1,0)</f>
        <v>0</v>
      </c>
    </row>
    <row r="270" customFormat="false" ht="15" hidden="false" customHeight="false" outlineLevel="0" collapsed="false">
      <c r="A270" s="52" t="n">
        <v>44195</v>
      </c>
      <c r="B270" s="53" t="n">
        <v>0.597049555723433</v>
      </c>
      <c r="C270" s="53" t="n">
        <v>0.683475224430767</v>
      </c>
      <c r="D270" s="53" t="n">
        <v>0.89479571400805</v>
      </c>
      <c r="E270" s="54" t="s">
        <v>945</v>
      </c>
      <c r="F270" s="53" t="n">
        <f aca="false">AVERAGE(B270:D270)</f>
        <v>0.725106831387417</v>
      </c>
      <c r="G270" s="53" t="n">
        <f aca="false">MAX(B270:D270)-MIN(B270:D270)</f>
        <v>0.297746158284617</v>
      </c>
      <c r="H270" s="54" t="n">
        <f aca="false">IF(AND(E270="Phase I",OR(F270&gt;$E$6,F270&lt;$E$7,G270&gt;$E$8)),1,0)</f>
        <v>0</v>
      </c>
      <c r="I270" s="53" t="n">
        <f aca="false">$H$4</f>
        <v>0.67278149898986</v>
      </c>
      <c r="J270" s="53" t="n">
        <f aca="false">$H$6</f>
        <v>0.959137233677579</v>
      </c>
      <c r="K270" s="53" t="n">
        <f aca="false">$H$7</f>
        <v>0.386425764302142</v>
      </c>
      <c r="L270" s="53" t="n">
        <f aca="false">$H$5</f>
        <v>0.279917629215756</v>
      </c>
      <c r="M270" s="53" t="n">
        <f aca="false">$H$8</f>
        <v>0.720507977601356</v>
      </c>
      <c r="N270" s="54" t="n">
        <f aca="false">IF(OR(F270&gt;J270,F270&lt;K270),1,0)</f>
        <v>0</v>
      </c>
      <c r="O270" s="54" t="n">
        <f aca="false">IF(G270&gt;M270,1,0)</f>
        <v>0</v>
      </c>
      <c r="P270" s="54" t="n">
        <f aca="false">SIGN(F270-I270)</f>
        <v>1</v>
      </c>
      <c r="Q270" s="54" t="n">
        <f aca="false">IF(ABS(SUM(P263:P270))=8,1,0)</f>
        <v>0</v>
      </c>
    </row>
    <row r="271" customFormat="false" ht="15" hidden="false" customHeight="false" outlineLevel="0" collapsed="false">
      <c r="A271" s="52" t="n">
        <v>44200</v>
      </c>
      <c r="B271" s="53" t="n">
        <v>0.786005335197369</v>
      </c>
      <c r="C271" s="53" t="n">
        <v>0.66538079598081</v>
      </c>
      <c r="D271" s="53" t="n">
        <v>0.707647725362966</v>
      </c>
      <c r="E271" s="54" t="s">
        <v>946</v>
      </c>
      <c r="F271" s="53" t="n">
        <f aca="false">AVERAGE(B271:D271)</f>
        <v>0.719677952180382</v>
      </c>
      <c r="G271" s="53" t="n">
        <f aca="false">MAX(B271:D271)-MIN(B271:D271)</f>
        <v>0.120624539216559</v>
      </c>
      <c r="H271" s="54" t="n">
        <f aca="false">IF(AND(E271="Phase I",OR(F271&gt;$E$6,F271&lt;$E$7,G271&gt;$E$8)),1,0)</f>
        <v>0</v>
      </c>
      <c r="I271" s="53" t="n">
        <f aca="false">$H$4</f>
        <v>0.67278149898986</v>
      </c>
      <c r="J271" s="53" t="n">
        <f aca="false">$H$6</f>
        <v>0.959137233677579</v>
      </c>
      <c r="K271" s="53" t="n">
        <f aca="false">$H$7</f>
        <v>0.386425764302142</v>
      </c>
      <c r="L271" s="53" t="n">
        <f aca="false">$H$5</f>
        <v>0.279917629215756</v>
      </c>
      <c r="M271" s="53" t="n">
        <f aca="false">$H$8</f>
        <v>0.720507977601356</v>
      </c>
      <c r="N271" s="54" t="n">
        <f aca="false">IF(OR(F271&gt;J271,F271&lt;K271),1,0)</f>
        <v>0</v>
      </c>
      <c r="O271" s="54" t="n">
        <f aca="false">IF(G271&gt;M271,1,0)</f>
        <v>0</v>
      </c>
      <c r="P271" s="54" t="n">
        <f aca="false">SIGN(F271-I271)</f>
        <v>1</v>
      </c>
      <c r="Q271" s="54" t="n">
        <f aca="false">IF(ABS(SUM(P264:P271))=8,1,0)</f>
        <v>0</v>
      </c>
    </row>
    <row r="272" customFormat="false" ht="15" hidden="false" customHeight="false" outlineLevel="0" collapsed="false">
      <c r="A272" s="52" t="n">
        <v>44201</v>
      </c>
      <c r="B272" s="53" t="n">
        <v>0.761506069816131</v>
      </c>
      <c r="C272" s="53" t="n">
        <v>0.894770194111557</v>
      </c>
      <c r="D272" s="53" t="n">
        <v>0.839091038915673</v>
      </c>
      <c r="E272" s="54" t="s">
        <v>946</v>
      </c>
      <c r="F272" s="53" t="n">
        <f aca="false">AVERAGE(B272:D272)</f>
        <v>0.831789100947787</v>
      </c>
      <c r="G272" s="53" t="n">
        <f aca="false">MAX(B272:D272)-MIN(B272:D272)</f>
        <v>0.133264124295426</v>
      </c>
      <c r="H272" s="54" t="n">
        <f aca="false">IF(AND(E272="Phase I",OR(F272&gt;$E$6,F272&lt;$E$7,G272&gt;$E$8)),1,0)</f>
        <v>0</v>
      </c>
      <c r="I272" s="53" t="n">
        <f aca="false">$H$4</f>
        <v>0.67278149898986</v>
      </c>
      <c r="J272" s="53" t="n">
        <f aca="false">$H$6</f>
        <v>0.959137233677579</v>
      </c>
      <c r="K272" s="53" t="n">
        <f aca="false">$H$7</f>
        <v>0.386425764302142</v>
      </c>
      <c r="L272" s="53" t="n">
        <f aca="false">$H$5</f>
        <v>0.279917629215756</v>
      </c>
      <c r="M272" s="53" t="n">
        <f aca="false">$H$8</f>
        <v>0.720507977601356</v>
      </c>
      <c r="N272" s="54" t="n">
        <f aca="false">IF(OR(F272&gt;J272,F272&lt;K272),1,0)</f>
        <v>0</v>
      </c>
      <c r="O272" s="54" t="n">
        <f aca="false">IF(G272&gt;M272,1,0)</f>
        <v>0</v>
      </c>
      <c r="P272" s="54" t="n">
        <f aca="false">SIGN(F272-I272)</f>
        <v>1</v>
      </c>
      <c r="Q272" s="54" t="n">
        <f aca="false">IF(ABS(SUM(P265:P272))=8,1,0)</f>
        <v>0</v>
      </c>
    </row>
    <row r="273" customFormat="false" ht="15" hidden="false" customHeight="false" outlineLevel="0" collapsed="false">
      <c r="A273" s="52" t="n">
        <v>44202</v>
      </c>
      <c r="B273" s="53" t="n">
        <v>0.776996312561839</v>
      </c>
      <c r="C273" s="53" t="n">
        <v>0.644247469948377</v>
      </c>
      <c r="D273" s="53" t="n">
        <v>0.753374186357461</v>
      </c>
      <c r="E273" s="54" t="s">
        <v>946</v>
      </c>
      <c r="F273" s="53" t="n">
        <f aca="false">AVERAGE(B273:D273)</f>
        <v>0.724872656289226</v>
      </c>
      <c r="G273" s="53" t="n">
        <f aca="false">MAX(B273:D273)-MIN(B273:D273)</f>
        <v>0.132748842613461</v>
      </c>
      <c r="H273" s="54" t="n">
        <f aca="false">IF(AND(E273="Phase I",OR(F273&gt;$E$6,F273&lt;$E$7,G273&gt;$E$8)),1,0)</f>
        <v>0</v>
      </c>
      <c r="I273" s="53" t="n">
        <f aca="false">$H$4</f>
        <v>0.67278149898986</v>
      </c>
      <c r="J273" s="53" t="n">
        <f aca="false">$H$6</f>
        <v>0.959137233677579</v>
      </c>
      <c r="K273" s="53" t="n">
        <f aca="false">$H$7</f>
        <v>0.386425764302142</v>
      </c>
      <c r="L273" s="53" t="n">
        <f aca="false">$H$5</f>
        <v>0.279917629215756</v>
      </c>
      <c r="M273" s="53" t="n">
        <f aca="false">$H$8</f>
        <v>0.720507977601356</v>
      </c>
      <c r="N273" s="54" t="n">
        <f aca="false">IF(OR(F273&gt;J273,F273&lt;K273),1,0)</f>
        <v>0</v>
      </c>
      <c r="O273" s="54" t="n">
        <f aca="false">IF(G273&gt;M273,1,0)</f>
        <v>0</v>
      </c>
      <c r="P273" s="54" t="n">
        <f aca="false">SIGN(F273-I273)</f>
        <v>1</v>
      </c>
      <c r="Q273" s="54" t="n">
        <f aca="false">IF(ABS(SUM(P266:P273))=8,1,0)</f>
        <v>0</v>
      </c>
    </row>
    <row r="274" customFormat="false" ht="15" hidden="false" customHeight="false" outlineLevel="0" collapsed="false">
      <c r="A274" s="52" t="n">
        <v>44203</v>
      </c>
      <c r="B274" s="53" t="n">
        <v>0.768136922089367</v>
      </c>
      <c r="C274" s="53" t="n">
        <v>0.745731866454009</v>
      </c>
      <c r="D274" s="53" t="n">
        <v>0.651112179901993</v>
      </c>
      <c r="E274" s="54" t="s">
        <v>946</v>
      </c>
      <c r="F274" s="53" t="n">
        <f aca="false">AVERAGE(B274:D274)</f>
        <v>0.721660322815123</v>
      </c>
      <c r="G274" s="53" t="n">
        <f aca="false">MAX(B274:D274)-MIN(B274:D274)</f>
        <v>0.117024742187374</v>
      </c>
      <c r="H274" s="54" t="n">
        <f aca="false">IF(AND(E274="Phase I",OR(F274&gt;$E$6,F274&lt;$E$7,G274&gt;$E$8)),1,0)</f>
        <v>0</v>
      </c>
      <c r="I274" s="53" t="n">
        <f aca="false">$H$4</f>
        <v>0.67278149898986</v>
      </c>
      <c r="J274" s="53" t="n">
        <f aca="false">$H$6</f>
        <v>0.959137233677579</v>
      </c>
      <c r="K274" s="53" t="n">
        <f aca="false">$H$7</f>
        <v>0.386425764302142</v>
      </c>
      <c r="L274" s="53" t="n">
        <f aca="false">$H$5</f>
        <v>0.279917629215756</v>
      </c>
      <c r="M274" s="53" t="n">
        <f aca="false">$H$8</f>
        <v>0.720507977601356</v>
      </c>
      <c r="N274" s="54" t="n">
        <f aca="false">IF(OR(F274&gt;J274,F274&lt;K274),1,0)</f>
        <v>0</v>
      </c>
      <c r="O274" s="54" t="n">
        <f aca="false">IF(G274&gt;M274,1,0)</f>
        <v>0</v>
      </c>
      <c r="P274" s="54" t="n">
        <f aca="false">SIGN(F274-I274)</f>
        <v>1</v>
      </c>
      <c r="Q274" s="54" t="n">
        <f aca="false">IF(ABS(SUM(P267:P274))=8,1,0)</f>
        <v>0</v>
      </c>
    </row>
    <row r="275" customFormat="false" ht="15" hidden="false" customHeight="false" outlineLevel="0" collapsed="false">
      <c r="A275" s="52" t="n">
        <v>44204</v>
      </c>
      <c r="B275" s="53" t="n">
        <v>0.791697500461486</v>
      </c>
      <c r="C275" s="53" t="n">
        <v>0.948479061345776</v>
      </c>
      <c r="D275" s="53" t="n">
        <v>0.915223010359695</v>
      </c>
      <c r="E275" s="54" t="s">
        <v>946</v>
      </c>
      <c r="F275" s="53" t="n">
        <f aca="false">AVERAGE(B275:D275)</f>
        <v>0.885133190722319</v>
      </c>
      <c r="G275" s="53" t="n">
        <f aca="false">MAX(B275:D275)-MIN(B275:D275)</f>
        <v>0.15678156088429</v>
      </c>
      <c r="H275" s="54" t="n">
        <f aca="false">IF(AND(E275="Phase I",OR(F275&gt;$E$6,F275&lt;$E$7,G275&gt;$E$8)),1,0)</f>
        <v>0</v>
      </c>
      <c r="I275" s="53" t="n">
        <f aca="false">$H$4</f>
        <v>0.67278149898986</v>
      </c>
      <c r="J275" s="53" t="n">
        <f aca="false">$H$6</f>
        <v>0.959137233677579</v>
      </c>
      <c r="K275" s="53" t="n">
        <f aca="false">$H$7</f>
        <v>0.386425764302142</v>
      </c>
      <c r="L275" s="53" t="n">
        <f aca="false">$H$5</f>
        <v>0.279917629215756</v>
      </c>
      <c r="M275" s="53" t="n">
        <f aca="false">$H$8</f>
        <v>0.720507977601356</v>
      </c>
      <c r="N275" s="54" t="n">
        <f aca="false">IF(OR(F275&gt;J275,F275&lt;K275),1,0)</f>
        <v>0</v>
      </c>
      <c r="O275" s="54" t="n">
        <f aca="false">IF(G275&gt;M275,1,0)</f>
        <v>0</v>
      </c>
      <c r="P275" s="54" t="n">
        <f aca="false">SIGN(F275-I275)</f>
        <v>1</v>
      </c>
      <c r="Q275" s="54" t="n">
        <f aca="false">IF(ABS(SUM(P268:P275))=8,1,0)</f>
        <v>0</v>
      </c>
    </row>
    <row r="276" customFormat="false" ht="15" hidden="false" customHeight="false" outlineLevel="0" collapsed="false">
      <c r="A276" s="52" t="n">
        <v>44207</v>
      </c>
      <c r="B276" s="53" t="n">
        <v>0.786431456896683</v>
      </c>
      <c r="C276" s="53" t="n">
        <v>0.78193283487304</v>
      </c>
      <c r="D276" s="53" t="n">
        <v>0.667936412349363</v>
      </c>
      <c r="E276" s="54" t="s">
        <v>946</v>
      </c>
      <c r="F276" s="53" t="n">
        <f aca="false">AVERAGE(B276:D276)</f>
        <v>0.745433568039695</v>
      </c>
      <c r="G276" s="53" t="n">
        <f aca="false">MAX(B276:D276)-MIN(B276:D276)</f>
        <v>0.11849504454732</v>
      </c>
      <c r="H276" s="54" t="n">
        <f aca="false">IF(AND(E276="Phase I",OR(F276&gt;$E$6,F276&lt;$E$7,G276&gt;$E$8)),1,0)</f>
        <v>0</v>
      </c>
      <c r="I276" s="53" t="n">
        <f aca="false">$H$4</f>
        <v>0.67278149898986</v>
      </c>
      <c r="J276" s="53" t="n">
        <f aca="false">$H$6</f>
        <v>0.959137233677579</v>
      </c>
      <c r="K276" s="53" t="n">
        <f aca="false">$H$7</f>
        <v>0.386425764302142</v>
      </c>
      <c r="L276" s="53" t="n">
        <f aca="false">$H$5</f>
        <v>0.279917629215756</v>
      </c>
      <c r="M276" s="53" t="n">
        <f aca="false">$H$8</f>
        <v>0.720507977601356</v>
      </c>
      <c r="N276" s="54" t="n">
        <f aca="false">IF(OR(F276&gt;J276,F276&lt;K276),1,0)</f>
        <v>0</v>
      </c>
      <c r="O276" s="54" t="n">
        <f aca="false">IF(G276&gt;M276,1,0)</f>
        <v>0</v>
      </c>
      <c r="P276" s="54" t="n">
        <f aca="false">SIGN(F276-I276)</f>
        <v>1</v>
      </c>
      <c r="Q276" s="54" t="n">
        <f aca="false">IF(ABS(SUM(P269:P276))=8,1,0)</f>
        <v>1</v>
      </c>
    </row>
    <row r="277" customFormat="false" ht="15" hidden="false" customHeight="false" outlineLevel="0" collapsed="false">
      <c r="A277" s="52" t="n">
        <v>44208</v>
      </c>
      <c r="B277" s="53" t="n">
        <v>0.513815017270809</v>
      </c>
      <c r="C277" s="53" t="n">
        <v>0.749751545825835</v>
      </c>
      <c r="D277" s="53" t="n">
        <v>0.734123225971267</v>
      </c>
      <c r="E277" s="54" t="s">
        <v>946</v>
      </c>
      <c r="F277" s="53" t="n">
        <f aca="false">AVERAGE(B277:D277)</f>
        <v>0.66589659635597</v>
      </c>
      <c r="G277" s="53" t="n">
        <f aca="false">MAX(B277:D277)-MIN(B277:D277)</f>
        <v>0.235936528555027</v>
      </c>
      <c r="H277" s="54" t="n">
        <f aca="false">IF(AND(E277="Phase I",OR(F277&gt;$E$6,F277&lt;$E$7,G277&gt;$E$8)),1,0)</f>
        <v>0</v>
      </c>
      <c r="I277" s="53" t="n">
        <f aca="false">$H$4</f>
        <v>0.67278149898986</v>
      </c>
      <c r="J277" s="53" t="n">
        <f aca="false">$H$6</f>
        <v>0.959137233677579</v>
      </c>
      <c r="K277" s="53" t="n">
        <f aca="false">$H$7</f>
        <v>0.386425764302142</v>
      </c>
      <c r="L277" s="53" t="n">
        <f aca="false">$H$5</f>
        <v>0.279917629215756</v>
      </c>
      <c r="M277" s="53" t="n">
        <f aca="false">$H$8</f>
        <v>0.720507977601356</v>
      </c>
      <c r="N277" s="54" t="n">
        <f aca="false">IF(OR(F277&gt;J277,F277&lt;K277),1,0)</f>
        <v>0</v>
      </c>
      <c r="O277" s="54" t="n">
        <f aca="false">IF(G277&gt;M277,1,0)</f>
        <v>0</v>
      </c>
      <c r="P277" s="54" t="n">
        <f aca="false">SIGN(F277-I277)</f>
        <v>-1</v>
      </c>
      <c r="Q277" s="54" t="n">
        <f aca="false">IF(ABS(SUM(P270:P277))=8,1,0)</f>
        <v>0</v>
      </c>
    </row>
    <row r="278" customFormat="false" ht="15" hidden="false" customHeight="false" outlineLevel="0" collapsed="false">
      <c r="A278" s="52" t="n">
        <v>44209</v>
      </c>
      <c r="B278" s="53" t="n">
        <v>0.649510417465991</v>
      </c>
      <c r="C278" s="53" t="n">
        <v>0.836795626145721</v>
      </c>
      <c r="D278" s="53" t="n">
        <v>0.692432161991508</v>
      </c>
      <c r="E278" s="54" t="s">
        <v>946</v>
      </c>
      <c r="F278" s="53" t="n">
        <f aca="false">AVERAGE(B278:D278)</f>
        <v>0.726246068534406</v>
      </c>
      <c r="G278" s="53" t="n">
        <f aca="false">MAX(B278:D278)-MIN(B278:D278)</f>
        <v>0.18728520867973</v>
      </c>
      <c r="H278" s="54" t="n">
        <f aca="false">IF(AND(E278="Phase I",OR(F278&gt;$E$6,F278&lt;$E$7,G278&gt;$E$8)),1,0)</f>
        <v>0</v>
      </c>
      <c r="I278" s="53" t="n">
        <f aca="false">$H$4</f>
        <v>0.67278149898986</v>
      </c>
      <c r="J278" s="53" t="n">
        <f aca="false">$H$6</f>
        <v>0.959137233677579</v>
      </c>
      <c r="K278" s="53" t="n">
        <f aca="false">$H$7</f>
        <v>0.386425764302142</v>
      </c>
      <c r="L278" s="53" t="n">
        <f aca="false">$H$5</f>
        <v>0.279917629215756</v>
      </c>
      <c r="M278" s="53" t="n">
        <f aca="false">$H$8</f>
        <v>0.720507977601356</v>
      </c>
      <c r="N278" s="54" t="n">
        <f aca="false">IF(OR(F278&gt;J278,F278&lt;K278),1,0)</f>
        <v>0</v>
      </c>
      <c r="O278" s="54" t="n">
        <f aca="false">IF(G278&gt;M278,1,0)</f>
        <v>0</v>
      </c>
      <c r="P278" s="54" t="n">
        <f aca="false">SIGN(F278-I278)</f>
        <v>1</v>
      </c>
      <c r="Q278" s="54" t="n">
        <f aca="false">IF(ABS(SUM(P271:P278))=8,1,0)</f>
        <v>0</v>
      </c>
    </row>
    <row r="279" customFormat="false" ht="15" hidden="false" customHeight="false" outlineLevel="0" collapsed="false">
      <c r="A279" s="52" t="n">
        <v>44210</v>
      </c>
      <c r="B279" s="53" t="n">
        <v>0.721979359577312</v>
      </c>
      <c r="C279" s="53" t="n">
        <v>0.802943689419842</v>
      </c>
      <c r="D279" s="53" t="n">
        <v>0.650352628673663</v>
      </c>
      <c r="E279" s="54" t="s">
        <v>946</v>
      </c>
      <c r="F279" s="53" t="n">
        <f aca="false">AVERAGE(B279:D279)</f>
        <v>0.725091892556939</v>
      </c>
      <c r="G279" s="53" t="n">
        <f aca="false">MAX(B279:D279)-MIN(B279:D279)</f>
        <v>0.152591060746179</v>
      </c>
      <c r="H279" s="54" t="n">
        <f aca="false">IF(AND(E279="Phase I",OR(F279&gt;$E$6,F279&lt;$E$7,G279&gt;$E$8)),1,0)</f>
        <v>0</v>
      </c>
      <c r="I279" s="53" t="n">
        <f aca="false">$H$4</f>
        <v>0.67278149898986</v>
      </c>
      <c r="J279" s="53" t="n">
        <f aca="false">$H$6</f>
        <v>0.959137233677579</v>
      </c>
      <c r="K279" s="53" t="n">
        <f aca="false">$H$7</f>
        <v>0.386425764302142</v>
      </c>
      <c r="L279" s="53" t="n">
        <f aca="false">$H$5</f>
        <v>0.279917629215756</v>
      </c>
      <c r="M279" s="53" t="n">
        <f aca="false">$H$8</f>
        <v>0.720507977601356</v>
      </c>
      <c r="N279" s="54" t="n">
        <f aca="false">IF(OR(F279&gt;J279,F279&lt;K279),1,0)</f>
        <v>0</v>
      </c>
      <c r="O279" s="54" t="n">
        <f aca="false">IF(G279&gt;M279,1,0)</f>
        <v>0</v>
      </c>
      <c r="P279" s="54" t="n">
        <f aca="false">SIGN(F279-I279)</f>
        <v>1</v>
      </c>
      <c r="Q279" s="54" t="n">
        <f aca="false">IF(ABS(SUM(P272:P279))=8,1,0)</f>
        <v>0</v>
      </c>
    </row>
    <row r="280" customFormat="false" ht="15" hidden="false" customHeight="false" outlineLevel="0" collapsed="false">
      <c r="A280" s="52" t="n">
        <v>44211</v>
      </c>
      <c r="B280" s="53" t="n">
        <v>0.720257705116629</v>
      </c>
      <c r="C280" s="53" t="n">
        <v>0.872726491923717</v>
      </c>
      <c r="D280" s="53" t="n">
        <v>0.827743683777289</v>
      </c>
      <c r="E280" s="54" t="s">
        <v>946</v>
      </c>
      <c r="F280" s="53" t="n">
        <f aca="false">AVERAGE(B280:D280)</f>
        <v>0.806909293605879</v>
      </c>
      <c r="G280" s="53" t="n">
        <f aca="false">MAX(B280:D280)-MIN(B280:D280)</f>
        <v>0.152468786807088</v>
      </c>
      <c r="H280" s="54" t="n">
        <f aca="false">IF(AND(E280="Phase I",OR(F280&gt;$E$6,F280&lt;$E$7,G280&gt;$E$8)),1,0)</f>
        <v>0</v>
      </c>
      <c r="I280" s="53" t="n">
        <f aca="false">$H$4</f>
        <v>0.67278149898986</v>
      </c>
      <c r="J280" s="53" t="n">
        <f aca="false">$H$6</f>
        <v>0.959137233677579</v>
      </c>
      <c r="K280" s="53" t="n">
        <f aca="false">$H$7</f>
        <v>0.386425764302142</v>
      </c>
      <c r="L280" s="53" t="n">
        <f aca="false">$H$5</f>
        <v>0.279917629215756</v>
      </c>
      <c r="M280" s="53" t="n">
        <f aca="false">$H$8</f>
        <v>0.720507977601356</v>
      </c>
      <c r="N280" s="54" t="n">
        <f aca="false">IF(OR(F280&gt;J280,F280&lt;K280),1,0)</f>
        <v>0</v>
      </c>
      <c r="O280" s="54" t="n">
        <f aca="false">IF(G280&gt;M280,1,0)</f>
        <v>0</v>
      </c>
      <c r="P280" s="54" t="n">
        <f aca="false">SIGN(F280-I280)</f>
        <v>1</v>
      </c>
      <c r="Q280" s="54" t="n">
        <f aca="false">IF(ABS(SUM(P273:P280))=8,1,0)</f>
        <v>0</v>
      </c>
    </row>
    <row r="281" customFormat="false" ht="15" hidden="false" customHeight="false" outlineLevel="0" collapsed="false">
      <c r="A281" s="52" t="n">
        <v>44214</v>
      </c>
      <c r="B281" s="53" t="n">
        <v>0.62165266075972</v>
      </c>
      <c r="C281" s="53" t="n">
        <v>0.89157711549288</v>
      </c>
      <c r="D281" s="53" t="n">
        <v>0.832073361377065</v>
      </c>
      <c r="E281" s="54" t="s">
        <v>946</v>
      </c>
      <c r="F281" s="53" t="n">
        <f aca="false">AVERAGE(B281:D281)</f>
        <v>0.781767712543222</v>
      </c>
      <c r="G281" s="53" t="n">
        <f aca="false">MAX(B281:D281)-MIN(B281:D281)</f>
        <v>0.269924454733161</v>
      </c>
      <c r="H281" s="54" t="n">
        <f aca="false">IF(AND(E281="Phase I",OR(F281&gt;$E$6,F281&lt;$E$7,G281&gt;$E$8)),1,0)</f>
        <v>0</v>
      </c>
      <c r="I281" s="53" t="n">
        <f aca="false">$H$4</f>
        <v>0.67278149898986</v>
      </c>
      <c r="J281" s="53" t="n">
        <f aca="false">$H$6</f>
        <v>0.959137233677579</v>
      </c>
      <c r="K281" s="53" t="n">
        <f aca="false">$H$7</f>
        <v>0.386425764302142</v>
      </c>
      <c r="L281" s="53" t="n">
        <f aca="false">$H$5</f>
        <v>0.279917629215756</v>
      </c>
      <c r="M281" s="53" t="n">
        <f aca="false">$H$8</f>
        <v>0.720507977601356</v>
      </c>
      <c r="N281" s="54" t="n">
        <f aca="false">IF(OR(F281&gt;J281,F281&lt;K281),1,0)</f>
        <v>0</v>
      </c>
      <c r="O281" s="54" t="n">
        <f aca="false">IF(G281&gt;M281,1,0)</f>
        <v>0</v>
      </c>
      <c r="P281" s="54" t="n">
        <f aca="false">SIGN(F281-I281)</f>
        <v>1</v>
      </c>
      <c r="Q281" s="54" t="n">
        <f aca="false">IF(ABS(SUM(P274:P281))=8,1,0)</f>
        <v>0</v>
      </c>
    </row>
    <row r="282" customFormat="false" ht="15" hidden="false" customHeight="false" outlineLevel="0" collapsed="false">
      <c r="A282" s="52" t="n">
        <v>44215</v>
      </c>
      <c r="B282" s="53" t="n">
        <v>0.550249468678279</v>
      </c>
      <c r="C282" s="53" t="n">
        <v>0.926757291389167</v>
      </c>
      <c r="D282" s="53" t="n">
        <v>0.709361988630493</v>
      </c>
      <c r="E282" s="54" t="s">
        <v>946</v>
      </c>
      <c r="F282" s="53" t="n">
        <f aca="false">AVERAGE(B282:D282)</f>
        <v>0.728789582899313</v>
      </c>
      <c r="G282" s="53" t="n">
        <f aca="false">MAX(B282:D282)-MIN(B282:D282)</f>
        <v>0.376507822710888</v>
      </c>
      <c r="H282" s="54" t="n">
        <f aca="false">IF(AND(E282="Phase I",OR(F282&gt;$E$6,F282&lt;$E$7,G282&gt;$E$8)),1,0)</f>
        <v>0</v>
      </c>
      <c r="I282" s="53" t="n">
        <f aca="false">$H$4</f>
        <v>0.67278149898986</v>
      </c>
      <c r="J282" s="53" t="n">
        <f aca="false">$H$6</f>
        <v>0.959137233677579</v>
      </c>
      <c r="K282" s="53" t="n">
        <f aca="false">$H$7</f>
        <v>0.386425764302142</v>
      </c>
      <c r="L282" s="53" t="n">
        <f aca="false">$H$5</f>
        <v>0.279917629215756</v>
      </c>
      <c r="M282" s="53" t="n">
        <f aca="false">$H$8</f>
        <v>0.720507977601356</v>
      </c>
      <c r="N282" s="54" t="n">
        <f aca="false">IF(OR(F282&gt;J282,F282&lt;K282),1,0)</f>
        <v>0</v>
      </c>
      <c r="O282" s="54" t="n">
        <f aca="false">IF(G282&gt;M282,1,0)</f>
        <v>0</v>
      </c>
      <c r="P282" s="54" t="n">
        <f aca="false">SIGN(F282-I282)</f>
        <v>1</v>
      </c>
      <c r="Q282" s="54" t="n">
        <f aca="false">IF(ABS(SUM(P275:P282))=8,1,0)</f>
        <v>0</v>
      </c>
    </row>
    <row r="283" customFormat="false" ht="15" hidden="false" customHeight="false" outlineLevel="0" collapsed="false">
      <c r="A283" s="52" t="n">
        <v>44216</v>
      </c>
      <c r="B283" s="53" t="n">
        <v>0.0037478913795983</v>
      </c>
      <c r="C283" s="53" t="n">
        <v>0.147154341711103</v>
      </c>
      <c r="D283" s="53" t="n">
        <v>0.716704222691767</v>
      </c>
      <c r="E283" s="54" t="s">
        <v>946</v>
      </c>
      <c r="F283" s="53" t="n">
        <f aca="false">AVERAGE(B283:D283)</f>
        <v>0.289202151927489</v>
      </c>
      <c r="G283" s="53" t="n">
        <f aca="false">MAX(B283:D283)-MIN(B283:D283)</f>
        <v>0.712956331312169</v>
      </c>
      <c r="H283" s="54" t="n">
        <f aca="false">IF(AND(E283="Phase I",OR(F283&gt;$E$6,F283&lt;$E$7,G283&gt;$E$8)),1,0)</f>
        <v>0</v>
      </c>
      <c r="I283" s="53" t="n">
        <f aca="false">$H$4</f>
        <v>0.67278149898986</v>
      </c>
      <c r="J283" s="53" t="n">
        <f aca="false">$H$6</f>
        <v>0.959137233677579</v>
      </c>
      <c r="K283" s="53" t="n">
        <f aca="false">$H$7</f>
        <v>0.386425764302142</v>
      </c>
      <c r="L283" s="53" t="n">
        <f aca="false">$H$5</f>
        <v>0.279917629215756</v>
      </c>
      <c r="M283" s="53" t="n">
        <f aca="false">$H$8</f>
        <v>0.720507977601356</v>
      </c>
      <c r="N283" s="54" t="n">
        <f aca="false">IF(OR(F283&gt;J283,F283&lt;K283),1,0)</f>
        <v>1</v>
      </c>
      <c r="O283" s="54" t="n">
        <f aca="false">IF(G283&gt;M283,1,0)</f>
        <v>0</v>
      </c>
      <c r="P283" s="54" t="n">
        <f aca="false">SIGN(F283-I283)</f>
        <v>-1</v>
      </c>
      <c r="Q283" s="54" t="n">
        <f aca="false">IF(ABS(SUM(P276:P283))=8,1,0)</f>
        <v>0</v>
      </c>
    </row>
    <row r="284" customFormat="false" ht="15" hidden="false" customHeight="false" outlineLevel="0" collapsed="false">
      <c r="A284" s="52" t="n">
        <v>44217</v>
      </c>
      <c r="B284" s="53" t="n">
        <v>0.643719193763867</v>
      </c>
      <c r="C284" s="53" t="n">
        <v>0.880736888454537</v>
      </c>
      <c r="D284" s="53" t="n">
        <v>0.739454208885589</v>
      </c>
      <c r="E284" s="54" t="s">
        <v>946</v>
      </c>
      <c r="F284" s="53" t="n">
        <f aca="false">AVERAGE(B284:D284)</f>
        <v>0.754636763701331</v>
      </c>
      <c r="G284" s="53" t="n">
        <f aca="false">MAX(B284:D284)-MIN(B284:D284)</f>
        <v>0.23701769469067</v>
      </c>
      <c r="H284" s="54" t="n">
        <f aca="false">IF(AND(E284="Phase I",OR(F284&gt;$E$6,F284&lt;$E$7,G284&gt;$E$8)),1,0)</f>
        <v>0</v>
      </c>
      <c r="I284" s="53" t="n">
        <f aca="false">$H$4</f>
        <v>0.67278149898986</v>
      </c>
      <c r="J284" s="53" t="n">
        <f aca="false">$H$6</f>
        <v>0.959137233677579</v>
      </c>
      <c r="K284" s="53" t="n">
        <f aca="false">$H$7</f>
        <v>0.386425764302142</v>
      </c>
      <c r="L284" s="53" t="n">
        <f aca="false">$H$5</f>
        <v>0.279917629215756</v>
      </c>
      <c r="M284" s="53" t="n">
        <f aca="false">$H$8</f>
        <v>0.720507977601356</v>
      </c>
      <c r="N284" s="54" t="n">
        <f aca="false">IF(OR(F284&gt;J284,F284&lt;K284),1,0)</f>
        <v>0</v>
      </c>
      <c r="O284" s="54" t="n">
        <f aca="false">IF(G284&gt;M284,1,0)</f>
        <v>0</v>
      </c>
      <c r="P284" s="54" t="n">
        <f aca="false">SIGN(F284-I284)</f>
        <v>1</v>
      </c>
      <c r="Q284" s="54" t="n">
        <f aca="false">IF(ABS(SUM(P277:P284))=8,1,0)</f>
        <v>0</v>
      </c>
    </row>
    <row r="285" customFormat="false" ht="15" hidden="false" customHeight="false" outlineLevel="0" collapsed="false">
      <c r="A285" s="52" t="n">
        <v>44218</v>
      </c>
      <c r="B285" s="53" t="n">
        <v>0.6847816772196</v>
      </c>
      <c r="C285" s="53" t="n">
        <v>0.930252379844049</v>
      </c>
      <c r="D285" s="53" t="n">
        <v>0.887950958453591</v>
      </c>
      <c r="E285" s="54" t="s">
        <v>946</v>
      </c>
      <c r="F285" s="53" t="n">
        <f aca="false">AVERAGE(B285:D285)</f>
        <v>0.834328338505747</v>
      </c>
      <c r="G285" s="53" t="n">
        <f aca="false">MAX(B285:D285)-MIN(B285:D285)</f>
        <v>0.24547070262445</v>
      </c>
      <c r="H285" s="54" t="n">
        <f aca="false">IF(AND(E285="Phase I",OR(F285&gt;$E$6,F285&lt;$E$7,G285&gt;$E$8)),1,0)</f>
        <v>0</v>
      </c>
      <c r="I285" s="53" t="n">
        <f aca="false">$H$4</f>
        <v>0.67278149898986</v>
      </c>
      <c r="J285" s="53" t="n">
        <f aca="false">$H$6</f>
        <v>0.959137233677579</v>
      </c>
      <c r="K285" s="53" t="n">
        <f aca="false">$H$7</f>
        <v>0.386425764302142</v>
      </c>
      <c r="L285" s="53" t="n">
        <f aca="false">$H$5</f>
        <v>0.279917629215756</v>
      </c>
      <c r="M285" s="53" t="n">
        <f aca="false">$H$8</f>
        <v>0.720507977601356</v>
      </c>
      <c r="N285" s="54" t="n">
        <f aca="false">IF(OR(F285&gt;J285,F285&lt;K285),1,0)</f>
        <v>0</v>
      </c>
      <c r="O285" s="54" t="n">
        <f aca="false">IF(G285&gt;M285,1,0)</f>
        <v>0</v>
      </c>
      <c r="P285" s="54" t="n">
        <f aca="false">SIGN(F285-I285)</f>
        <v>1</v>
      </c>
      <c r="Q285" s="54" t="n">
        <f aca="false">IF(ABS(SUM(P278:P285))=8,1,0)</f>
        <v>0</v>
      </c>
    </row>
    <row r="286" customFormat="false" ht="15" hidden="false" customHeight="false" outlineLevel="0" collapsed="false">
      <c r="A286" s="52" t="n">
        <v>44221</v>
      </c>
      <c r="B286" s="53" t="n">
        <v>0.485928706399843</v>
      </c>
      <c r="C286" s="53" t="n">
        <v>0.782024137209455</v>
      </c>
      <c r="D286" s="53" t="n">
        <v>0.653308458824796</v>
      </c>
      <c r="E286" s="54" t="s">
        <v>946</v>
      </c>
      <c r="F286" s="53" t="n">
        <f aca="false">AVERAGE(B286:D286)</f>
        <v>0.640420434144698</v>
      </c>
      <c r="G286" s="53" t="n">
        <f aca="false">MAX(B286:D286)-MIN(B286:D286)</f>
        <v>0.296095430809612</v>
      </c>
      <c r="H286" s="54" t="n">
        <f aca="false">IF(AND(E286="Phase I",OR(F286&gt;$E$6,F286&lt;$E$7,G286&gt;$E$8)),1,0)</f>
        <v>0</v>
      </c>
      <c r="I286" s="53" t="n">
        <f aca="false">$H$4</f>
        <v>0.67278149898986</v>
      </c>
      <c r="J286" s="53" t="n">
        <f aca="false">$H$6</f>
        <v>0.959137233677579</v>
      </c>
      <c r="K286" s="53" t="n">
        <f aca="false">$H$7</f>
        <v>0.386425764302142</v>
      </c>
      <c r="L286" s="53" t="n">
        <f aca="false">$H$5</f>
        <v>0.279917629215756</v>
      </c>
      <c r="M286" s="53" t="n">
        <f aca="false">$H$8</f>
        <v>0.720507977601356</v>
      </c>
      <c r="N286" s="54" t="n">
        <f aca="false">IF(OR(F286&gt;J286,F286&lt;K286),1,0)</f>
        <v>0</v>
      </c>
      <c r="O286" s="54" t="n">
        <f aca="false">IF(G286&gt;M286,1,0)</f>
        <v>0</v>
      </c>
      <c r="P286" s="54" t="n">
        <f aca="false">SIGN(F286-I286)</f>
        <v>-1</v>
      </c>
      <c r="Q286" s="54" t="n">
        <f aca="false">IF(ABS(SUM(P279:P286))=8,1,0)</f>
        <v>0</v>
      </c>
    </row>
    <row r="287" customFormat="false" ht="15" hidden="false" customHeight="false" outlineLevel="0" collapsed="false">
      <c r="A287" s="52" t="n">
        <v>44222</v>
      </c>
      <c r="B287" s="53" t="n">
        <v>0.5250030854598</v>
      </c>
      <c r="C287" s="53" t="n">
        <v>0.876746733983867</v>
      </c>
      <c r="D287" s="53" t="n">
        <v>0.391629287054067</v>
      </c>
      <c r="E287" s="54" t="s">
        <v>946</v>
      </c>
      <c r="F287" s="53" t="n">
        <f aca="false">AVERAGE(B287:D287)</f>
        <v>0.597793035499244</v>
      </c>
      <c r="G287" s="53" t="n">
        <f aca="false">MAX(B287:D287)-MIN(B287:D287)</f>
        <v>0.4851174469298</v>
      </c>
      <c r="H287" s="54" t="n">
        <f aca="false">IF(AND(E287="Phase I",OR(F287&gt;$E$6,F287&lt;$E$7,G287&gt;$E$8)),1,0)</f>
        <v>0</v>
      </c>
      <c r="I287" s="53" t="n">
        <f aca="false">$H$4</f>
        <v>0.67278149898986</v>
      </c>
      <c r="J287" s="53" t="n">
        <f aca="false">$H$6</f>
        <v>0.959137233677579</v>
      </c>
      <c r="K287" s="53" t="n">
        <f aca="false">$H$7</f>
        <v>0.386425764302142</v>
      </c>
      <c r="L287" s="53" t="n">
        <f aca="false">$H$5</f>
        <v>0.279917629215756</v>
      </c>
      <c r="M287" s="53" t="n">
        <f aca="false">$H$8</f>
        <v>0.720507977601356</v>
      </c>
      <c r="N287" s="54" t="n">
        <f aca="false">IF(OR(F287&gt;J287,F287&lt;K287),1,0)</f>
        <v>0</v>
      </c>
      <c r="O287" s="54" t="n">
        <f aca="false">IF(G287&gt;M287,1,0)</f>
        <v>0</v>
      </c>
      <c r="P287" s="54" t="n">
        <f aca="false">SIGN(F287-I287)</f>
        <v>-1</v>
      </c>
      <c r="Q287" s="54" t="n">
        <f aca="false">IF(ABS(SUM(P280:P287))=8,1,0)</f>
        <v>0</v>
      </c>
    </row>
    <row r="288" customFormat="false" ht="15" hidden="false" customHeight="false" outlineLevel="0" collapsed="false">
      <c r="A288" s="52" t="n">
        <v>44224</v>
      </c>
      <c r="B288" s="53" t="n">
        <v>0.804872021025137</v>
      </c>
      <c r="C288" s="53" t="n">
        <v>0.591156270475443</v>
      </c>
      <c r="D288" s="53" t="n">
        <v>0.798137618953776</v>
      </c>
      <c r="E288" s="54" t="s">
        <v>946</v>
      </c>
      <c r="F288" s="53" t="n">
        <f aca="false">AVERAGE(B288:D288)</f>
        <v>0.731388636818119</v>
      </c>
      <c r="G288" s="53" t="n">
        <f aca="false">MAX(B288:D288)-MIN(B288:D288)</f>
        <v>0.213715750549695</v>
      </c>
      <c r="H288" s="54" t="n">
        <f aca="false">IF(AND(E288="Phase I",OR(F288&gt;$E$6,F288&lt;$E$7,G288&gt;$E$8)),1,0)</f>
        <v>0</v>
      </c>
      <c r="I288" s="53" t="n">
        <f aca="false">$H$4</f>
        <v>0.67278149898986</v>
      </c>
      <c r="J288" s="53" t="n">
        <f aca="false">$H$6</f>
        <v>0.959137233677579</v>
      </c>
      <c r="K288" s="53" t="n">
        <f aca="false">$H$7</f>
        <v>0.386425764302142</v>
      </c>
      <c r="L288" s="53" t="n">
        <f aca="false">$H$5</f>
        <v>0.279917629215756</v>
      </c>
      <c r="M288" s="53" t="n">
        <f aca="false">$H$8</f>
        <v>0.720507977601356</v>
      </c>
      <c r="N288" s="54" t="n">
        <f aca="false">IF(OR(F288&gt;J288,F288&lt;K288),1,0)</f>
        <v>0</v>
      </c>
      <c r="O288" s="54" t="n">
        <f aca="false">IF(G288&gt;M288,1,0)</f>
        <v>0</v>
      </c>
      <c r="P288" s="54" t="n">
        <f aca="false">SIGN(F288-I288)</f>
        <v>1</v>
      </c>
      <c r="Q288" s="54" t="n">
        <f aca="false">IF(ABS(SUM(P281:P288))=8,1,0)</f>
        <v>0</v>
      </c>
    </row>
    <row r="289" customFormat="false" ht="15" hidden="false" customHeight="false" outlineLevel="0" collapsed="false">
      <c r="A289" s="52" t="n">
        <v>44225</v>
      </c>
      <c r="B289" s="53" t="n">
        <v>0.714482698831342</v>
      </c>
      <c r="C289" s="53" t="n">
        <v>0.927212755980223</v>
      </c>
      <c r="D289" s="53" t="n">
        <v>0.808504360980774</v>
      </c>
      <c r="E289" s="54" t="s">
        <v>946</v>
      </c>
      <c r="F289" s="53" t="n">
        <f aca="false">AVERAGE(B289:D289)</f>
        <v>0.81673327193078</v>
      </c>
      <c r="G289" s="53" t="n">
        <f aca="false">MAX(B289:D289)-MIN(B289:D289)</f>
        <v>0.212730057148881</v>
      </c>
      <c r="H289" s="54" t="n">
        <f aca="false">IF(AND(E289="Phase I",OR(F289&gt;$E$6,F289&lt;$E$7,G289&gt;$E$8)),1,0)</f>
        <v>0</v>
      </c>
      <c r="I289" s="53" t="n">
        <f aca="false">$H$4</f>
        <v>0.67278149898986</v>
      </c>
      <c r="J289" s="53" t="n">
        <f aca="false">$H$6</f>
        <v>0.959137233677579</v>
      </c>
      <c r="K289" s="53" t="n">
        <f aca="false">$H$7</f>
        <v>0.386425764302142</v>
      </c>
      <c r="L289" s="53" t="n">
        <f aca="false">$H$5</f>
        <v>0.279917629215756</v>
      </c>
      <c r="M289" s="53" t="n">
        <f aca="false">$H$8</f>
        <v>0.720507977601356</v>
      </c>
      <c r="N289" s="54" t="n">
        <f aca="false">IF(OR(F289&gt;J289,F289&lt;K289),1,0)</f>
        <v>0</v>
      </c>
      <c r="O289" s="54" t="n">
        <f aca="false">IF(G289&gt;M289,1,0)</f>
        <v>0</v>
      </c>
      <c r="P289" s="54" t="n">
        <f aca="false">SIGN(F289-I289)</f>
        <v>1</v>
      </c>
      <c r="Q289" s="54" t="n">
        <f aca="false">IF(ABS(SUM(P282:P289))=8,1,0)</f>
        <v>0</v>
      </c>
    </row>
    <row r="290" customFormat="false" ht="15" hidden="false" customHeight="false" outlineLevel="0" collapsed="false">
      <c r="A290" s="52" t="n">
        <v>44228</v>
      </c>
      <c r="B290" s="53" t="n">
        <v>0.784991134471211</v>
      </c>
      <c r="C290" s="53" t="n">
        <v>0.870804905191145</v>
      </c>
      <c r="D290" s="53" t="n">
        <v>0.68445216262075</v>
      </c>
      <c r="E290" s="54" t="s">
        <v>946</v>
      </c>
      <c r="F290" s="53" t="n">
        <f aca="false">AVERAGE(B290:D290)</f>
        <v>0.780082734094369</v>
      </c>
      <c r="G290" s="53" t="n">
        <f aca="false">MAX(B290:D290)-MIN(B290:D290)</f>
        <v>0.186352742570395</v>
      </c>
      <c r="H290" s="54" t="n">
        <f aca="false">IF(AND(E290="Phase I",OR(F290&gt;$E$6,F290&lt;$E$7,G290&gt;$E$8)),1,0)</f>
        <v>0</v>
      </c>
      <c r="I290" s="53" t="n">
        <f aca="false">$H$4</f>
        <v>0.67278149898986</v>
      </c>
      <c r="J290" s="53" t="n">
        <f aca="false">$H$6</f>
        <v>0.959137233677579</v>
      </c>
      <c r="K290" s="53" t="n">
        <f aca="false">$H$7</f>
        <v>0.386425764302142</v>
      </c>
      <c r="L290" s="53" t="n">
        <f aca="false">$H$5</f>
        <v>0.279917629215756</v>
      </c>
      <c r="M290" s="53" t="n">
        <f aca="false">$H$8</f>
        <v>0.720507977601356</v>
      </c>
      <c r="N290" s="54" t="n">
        <f aca="false">IF(OR(F290&gt;J290,F290&lt;K290),1,0)</f>
        <v>0</v>
      </c>
      <c r="O290" s="54" t="n">
        <f aca="false">IF(G290&gt;M290,1,0)</f>
        <v>0</v>
      </c>
      <c r="P290" s="54" t="n">
        <f aca="false">SIGN(F290-I290)</f>
        <v>1</v>
      </c>
      <c r="Q290" s="54" t="n">
        <f aca="false">IF(ABS(SUM(P283:P290))=8,1,0)</f>
        <v>0</v>
      </c>
    </row>
    <row r="291" customFormat="false" ht="15" hidden="false" customHeight="false" outlineLevel="0" collapsed="false">
      <c r="A291" s="52" t="n">
        <v>44229</v>
      </c>
      <c r="B291" s="53" t="n">
        <v>0.749250085204493</v>
      </c>
      <c r="C291" s="53" t="n">
        <v>0.714585704487981</v>
      </c>
      <c r="D291" s="53" t="n">
        <v>0.844484334040913</v>
      </c>
      <c r="E291" s="54" t="s">
        <v>946</v>
      </c>
      <c r="F291" s="53" t="n">
        <f aca="false">AVERAGE(B291:D291)</f>
        <v>0.769440041244462</v>
      </c>
      <c r="G291" s="53" t="n">
        <f aca="false">MAX(B291:D291)-MIN(B291:D291)</f>
        <v>0.129898629552932</v>
      </c>
      <c r="H291" s="54" t="n">
        <f aca="false">IF(AND(E291="Phase I",OR(F291&gt;$E$6,F291&lt;$E$7,G291&gt;$E$8)),1,0)</f>
        <v>0</v>
      </c>
      <c r="I291" s="53" t="n">
        <f aca="false">$H$4</f>
        <v>0.67278149898986</v>
      </c>
      <c r="J291" s="53" t="n">
        <f aca="false">$H$6</f>
        <v>0.959137233677579</v>
      </c>
      <c r="K291" s="53" t="n">
        <f aca="false">$H$7</f>
        <v>0.386425764302142</v>
      </c>
      <c r="L291" s="53" t="n">
        <f aca="false">$H$5</f>
        <v>0.279917629215756</v>
      </c>
      <c r="M291" s="53" t="n">
        <f aca="false">$H$8</f>
        <v>0.720507977601356</v>
      </c>
      <c r="N291" s="54" t="n">
        <f aca="false">IF(OR(F291&gt;J291,F291&lt;K291),1,0)</f>
        <v>0</v>
      </c>
      <c r="O291" s="54" t="n">
        <f aca="false">IF(G291&gt;M291,1,0)</f>
        <v>0</v>
      </c>
      <c r="P291" s="54" t="n">
        <f aca="false">SIGN(F291-I291)</f>
        <v>1</v>
      </c>
      <c r="Q291" s="54" t="n">
        <f aca="false">IF(ABS(SUM(P284:P291))=8,1,0)</f>
        <v>0</v>
      </c>
    </row>
    <row r="292" customFormat="false" ht="15" hidden="false" customHeight="false" outlineLevel="0" collapsed="false">
      <c r="A292" s="52" t="n">
        <v>44230</v>
      </c>
      <c r="B292" s="53" t="n">
        <v>0.545711693196253</v>
      </c>
      <c r="C292" s="53" t="n">
        <v>0.855349134896952</v>
      </c>
      <c r="D292" s="53" t="n">
        <v>0.727611975057583</v>
      </c>
      <c r="E292" s="54" t="s">
        <v>946</v>
      </c>
      <c r="F292" s="53" t="n">
        <f aca="false">AVERAGE(B292:D292)</f>
        <v>0.709557601050263</v>
      </c>
      <c r="G292" s="53" t="n">
        <f aca="false">MAX(B292:D292)-MIN(B292:D292)</f>
        <v>0.309637441700699</v>
      </c>
      <c r="H292" s="54" t="n">
        <f aca="false">IF(AND(E292="Phase I",OR(F292&gt;$E$6,F292&lt;$E$7,G292&gt;$E$8)),1,0)</f>
        <v>0</v>
      </c>
      <c r="I292" s="53" t="n">
        <f aca="false">$H$4</f>
        <v>0.67278149898986</v>
      </c>
      <c r="J292" s="53" t="n">
        <f aca="false">$H$6</f>
        <v>0.959137233677579</v>
      </c>
      <c r="K292" s="53" t="n">
        <f aca="false">$H$7</f>
        <v>0.386425764302142</v>
      </c>
      <c r="L292" s="53" t="n">
        <f aca="false">$H$5</f>
        <v>0.279917629215756</v>
      </c>
      <c r="M292" s="53" t="n">
        <f aca="false">$H$8</f>
        <v>0.720507977601356</v>
      </c>
      <c r="N292" s="54" t="n">
        <f aca="false">IF(OR(F292&gt;J292,F292&lt;K292),1,0)</f>
        <v>0</v>
      </c>
      <c r="O292" s="54" t="n">
        <f aca="false">IF(G292&gt;M292,1,0)</f>
        <v>0</v>
      </c>
      <c r="P292" s="54" t="n">
        <f aca="false">SIGN(F292-I292)</f>
        <v>1</v>
      </c>
      <c r="Q292" s="54" t="n">
        <f aca="false">IF(ABS(SUM(P285:P292))=8,1,0)</f>
        <v>0</v>
      </c>
    </row>
    <row r="293" customFormat="false" ht="15" hidden="false" customHeight="false" outlineLevel="0" collapsed="false">
      <c r="A293" s="52" t="n">
        <v>44231</v>
      </c>
      <c r="B293" s="53" t="n">
        <v>0.233205580238631</v>
      </c>
      <c r="C293" s="53" t="n">
        <v>0.380062365665142</v>
      </c>
      <c r="D293" s="53" t="n">
        <v>0.677438292470375</v>
      </c>
      <c r="E293" s="54" t="s">
        <v>946</v>
      </c>
      <c r="F293" s="53" t="n">
        <f aca="false">AVERAGE(B293:D293)</f>
        <v>0.430235412791382</v>
      </c>
      <c r="G293" s="53" t="n">
        <f aca="false">MAX(B293:D293)-MIN(B293:D293)</f>
        <v>0.444232712231744</v>
      </c>
      <c r="H293" s="54" t="n">
        <f aca="false">IF(AND(E293="Phase I",OR(F293&gt;$E$6,F293&lt;$E$7,G293&gt;$E$8)),1,0)</f>
        <v>0</v>
      </c>
      <c r="I293" s="53" t="n">
        <f aca="false">$H$4</f>
        <v>0.67278149898986</v>
      </c>
      <c r="J293" s="53" t="n">
        <f aca="false">$H$6</f>
        <v>0.959137233677579</v>
      </c>
      <c r="K293" s="53" t="n">
        <f aca="false">$H$7</f>
        <v>0.386425764302142</v>
      </c>
      <c r="L293" s="53" t="n">
        <f aca="false">$H$5</f>
        <v>0.279917629215756</v>
      </c>
      <c r="M293" s="53" t="n">
        <f aca="false">$H$8</f>
        <v>0.720507977601356</v>
      </c>
      <c r="N293" s="54" t="n">
        <f aca="false">IF(OR(F293&gt;J293,F293&lt;K293),1,0)</f>
        <v>0</v>
      </c>
      <c r="O293" s="54" t="n">
        <f aca="false">IF(G293&gt;M293,1,0)</f>
        <v>0</v>
      </c>
      <c r="P293" s="54" t="n">
        <f aca="false">SIGN(F293-I293)</f>
        <v>-1</v>
      </c>
      <c r="Q293" s="54" t="n">
        <f aca="false">IF(ABS(SUM(P286:P293))=8,1,0)</f>
        <v>0</v>
      </c>
    </row>
    <row r="294" customFormat="false" ht="15" hidden="false" customHeight="false" outlineLevel="0" collapsed="false">
      <c r="A294" s="52" t="n">
        <v>44232</v>
      </c>
      <c r="B294" s="53" t="n">
        <v>0.6646370385295</v>
      </c>
      <c r="C294" s="53" t="n">
        <v>0.910832460854114</v>
      </c>
      <c r="D294" s="53" t="n">
        <v>0.608542056509738</v>
      </c>
      <c r="E294" s="54" t="s">
        <v>946</v>
      </c>
      <c r="F294" s="53" t="n">
        <f aca="false">AVERAGE(B294:D294)</f>
        <v>0.728003851964451</v>
      </c>
      <c r="G294" s="53" t="n">
        <f aca="false">MAX(B294:D294)-MIN(B294:D294)</f>
        <v>0.302290404344376</v>
      </c>
      <c r="H294" s="54" t="n">
        <f aca="false">IF(AND(E294="Phase I",OR(F294&gt;$E$6,F294&lt;$E$7,G294&gt;$E$8)),1,0)</f>
        <v>0</v>
      </c>
      <c r="I294" s="53" t="n">
        <f aca="false">$H$4</f>
        <v>0.67278149898986</v>
      </c>
      <c r="J294" s="53" t="n">
        <f aca="false">$H$6</f>
        <v>0.959137233677579</v>
      </c>
      <c r="K294" s="53" t="n">
        <f aca="false">$H$7</f>
        <v>0.386425764302142</v>
      </c>
      <c r="L294" s="53" t="n">
        <f aca="false">$H$5</f>
        <v>0.279917629215756</v>
      </c>
      <c r="M294" s="53" t="n">
        <f aca="false">$H$8</f>
        <v>0.720507977601356</v>
      </c>
      <c r="N294" s="54" t="n">
        <f aca="false">IF(OR(F294&gt;J294,F294&lt;K294),1,0)</f>
        <v>0</v>
      </c>
      <c r="O294" s="54" t="n">
        <f aca="false">IF(G294&gt;M294,1,0)</f>
        <v>0</v>
      </c>
      <c r="P294" s="54" t="n">
        <f aca="false">SIGN(F294-I294)</f>
        <v>1</v>
      </c>
      <c r="Q294" s="54" t="n">
        <f aca="false">IF(ABS(SUM(P287:P294))=8,1,0)</f>
        <v>0</v>
      </c>
    </row>
    <row r="295" customFormat="false" ht="15" hidden="false" customHeight="false" outlineLevel="0" collapsed="false">
      <c r="A295" s="52" t="n">
        <v>44235</v>
      </c>
      <c r="B295" s="53" t="n">
        <v>0.451578313530599</v>
      </c>
      <c r="C295" s="53" t="n">
        <v>0.184443671716098</v>
      </c>
      <c r="D295" s="53" t="n">
        <v>0.633130965727977</v>
      </c>
      <c r="E295" s="54" t="s">
        <v>946</v>
      </c>
      <c r="F295" s="53" t="n">
        <f aca="false">AVERAGE(B295:D295)</f>
        <v>0.423050983658225</v>
      </c>
      <c r="G295" s="53" t="n">
        <f aca="false">MAX(B295:D295)-MIN(B295:D295)</f>
        <v>0.448687294011879</v>
      </c>
      <c r="H295" s="54" t="n">
        <f aca="false">IF(AND(E295="Phase I",OR(F295&gt;$E$6,F295&lt;$E$7,G295&gt;$E$8)),1,0)</f>
        <v>0</v>
      </c>
      <c r="I295" s="53" t="n">
        <f aca="false">$H$4</f>
        <v>0.67278149898986</v>
      </c>
      <c r="J295" s="53" t="n">
        <f aca="false">$H$6</f>
        <v>0.959137233677579</v>
      </c>
      <c r="K295" s="53" t="n">
        <f aca="false">$H$7</f>
        <v>0.386425764302142</v>
      </c>
      <c r="L295" s="53" t="n">
        <f aca="false">$H$5</f>
        <v>0.279917629215756</v>
      </c>
      <c r="M295" s="53" t="n">
        <f aca="false">$H$8</f>
        <v>0.720507977601356</v>
      </c>
      <c r="N295" s="54" t="n">
        <f aca="false">IF(OR(F295&gt;J295,F295&lt;K295),1,0)</f>
        <v>0</v>
      </c>
      <c r="O295" s="54" t="n">
        <f aca="false">IF(G295&gt;M295,1,0)</f>
        <v>0</v>
      </c>
      <c r="P295" s="54" t="n">
        <f aca="false">SIGN(F295-I295)</f>
        <v>-1</v>
      </c>
      <c r="Q295" s="54" t="n">
        <f aca="false">IF(ABS(SUM(P288:P295))=8,1,0)</f>
        <v>0</v>
      </c>
    </row>
    <row r="296" customFormat="false" ht="15" hidden="false" customHeight="false" outlineLevel="0" collapsed="false">
      <c r="A296" s="52" t="n">
        <v>44236</v>
      </c>
      <c r="B296" s="53" t="n">
        <v>0.681490512865917</v>
      </c>
      <c r="C296" s="53" t="n">
        <v>0.759513366843546</v>
      </c>
      <c r="D296" s="53" t="n">
        <v>0.704125225008594</v>
      </c>
      <c r="E296" s="54" t="s">
        <v>946</v>
      </c>
      <c r="F296" s="53" t="n">
        <f aca="false">AVERAGE(B296:D296)</f>
        <v>0.715043034906019</v>
      </c>
      <c r="G296" s="53" t="n">
        <f aca="false">MAX(B296:D296)-MIN(B296:D296)</f>
        <v>0.0780228539776292</v>
      </c>
      <c r="H296" s="54" t="n">
        <f aca="false">IF(AND(E296="Phase I",OR(F296&gt;$E$6,F296&lt;$E$7,G296&gt;$E$8)),1,0)</f>
        <v>0</v>
      </c>
      <c r="I296" s="53" t="n">
        <f aca="false">$H$4</f>
        <v>0.67278149898986</v>
      </c>
      <c r="J296" s="53" t="n">
        <f aca="false">$H$6</f>
        <v>0.959137233677579</v>
      </c>
      <c r="K296" s="53" t="n">
        <f aca="false">$H$7</f>
        <v>0.386425764302142</v>
      </c>
      <c r="L296" s="53" t="n">
        <f aca="false">$H$5</f>
        <v>0.279917629215756</v>
      </c>
      <c r="M296" s="53" t="n">
        <f aca="false">$H$8</f>
        <v>0.720507977601356</v>
      </c>
      <c r="N296" s="54" t="n">
        <f aca="false">IF(OR(F296&gt;J296,F296&lt;K296),1,0)</f>
        <v>0</v>
      </c>
      <c r="O296" s="54" t="n">
        <f aca="false">IF(G296&gt;M296,1,0)</f>
        <v>0</v>
      </c>
      <c r="P296" s="54" t="n">
        <f aca="false">SIGN(F296-I296)</f>
        <v>1</v>
      </c>
      <c r="Q296" s="54" t="n">
        <f aca="false">IF(ABS(SUM(P289:P296))=8,1,0)</f>
        <v>0</v>
      </c>
    </row>
    <row r="297" customFormat="false" ht="15" hidden="false" customHeight="false" outlineLevel="0" collapsed="false">
      <c r="A297" s="52" t="n">
        <v>44237</v>
      </c>
      <c r="B297" s="53" t="n">
        <v>0.515074628062423</v>
      </c>
      <c r="C297" s="53" t="n">
        <v>0.758317789798042</v>
      </c>
      <c r="D297" s="53" t="n">
        <v>0.577322520984493</v>
      </c>
      <c r="E297" s="54" t="s">
        <v>946</v>
      </c>
      <c r="F297" s="53" t="n">
        <f aca="false">AVERAGE(B297:D297)</f>
        <v>0.616904979614986</v>
      </c>
      <c r="G297" s="53" t="n">
        <f aca="false">MAX(B297:D297)-MIN(B297:D297)</f>
        <v>0.243243161735619</v>
      </c>
      <c r="H297" s="54" t="n">
        <f aca="false">IF(AND(E297="Phase I",OR(F297&gt;$E$6,F297&lt;$E$7,G297&gt;$E$8)),1,0)</f>
        <v>0</v>
      </c>
      <c r="I297" s="53" t="n">
        <f aca="false">$H$4</f>
        <v>0.67278149898986</v>
      </c>
      <c r="J297" s="53" t="n">
        <f aca="false">$H$6</f>
        <v>0.959137233677579</v>
      </c>
      <c r="K297" s="53" t="n">
        <f aca="false">$H$7</f>
        <v>0.386425764302142</v>
      </c>
      <c r="L297" s="53" t="n">
        <f aca="false">$H$5</f>
        <v>0.279917629215756</v>
      </c>
      <c r="M297" s="53" t="n">
        <f aca="false">$H$8</f>
        <v>0.720507977601356</v>
      </c>
      <c r="N297" s="54" t="n">
        <f aca="false">IF(OR(F297&gt;J297,F297&lt;K297),1,0)</f>
        <v>0</v>
      </c>
      <c r="O297" s="54" t="n">
        <f aca="false">IF(G297&gt;M297,1,0)</f>
        <v>0</v>
      </c>
      <c r="P297" s="54" t="n">
        <f aca="false">SIGN(F297-I297)</f>
        <v>-1</v>
      </c>
      <c r="Q297" s="54" t="n">
        <f aca="false">IF(ABS(SUM(P290:P297))=8,1,0)</f>
        <v>0</v>
      </c>
    </row>
    <row r="298" customFormat="false" ht="15" hidden="false" customHeight="false" outlineLevel="0" collapsed="false">
      <c r="A298" s="52" t="n">
        <v>44238</v>
      </c>
      <c r="B298" s="53" t="n">
        <v>0.45611911307163</v>
      </c>
      <c r="C298" s="53" t="n">
        <v>0.819496268034748</v>
      </c>
      <c r="D298" s="53" t="n">
        <v>0.817529529558132</v>
      </c>
      <c r="E298" s="54" t="s">
        <v>946</v>
      </c>
      <c r="F298" s="53" t="n">
        <f aca="false">AVERAGE(B298:D298)</f>
        <v>0.697714970221503</v>
      </c>
      <c r="G298" s="53" t="n">
        <f aca="false">MAX(B298:D298)-MIN(B298:D298)</f>
        <v>0.363377154963117</v>
      </c>
      <c r="H298" s="54" t="n">
        <f aca="false">IF(AND(E298="Phase I",OR(F298&gt;$E$6,F298&lt;$E$7,G298&gt;$E$8)),1,0)</f>
        <v>0</v>
      </c>
      <c r="I298" s="53" t="n">
        <f aca="false">$H$4</f>
        <v>0.67278149898986</v>
      </c>
      <c r="J298" s="53" t="n">
        <f aca="false">$H$6</f>
        <v>0.959137233677579</v>
      </c>
      <c r="K298" s="53" t="n">
        <f aca="false">$H$7</f>
        <v>0.386425764302142</v>
      </c>
      <c r="L298" s="53" t="n">
        <f aca="false">$H$5</f>
        <v>0.279917629215756</v>
      </c>
      <c r="M298" s="53" t="n">
        <f aca="false">$H$8</f>
        <v>0.720507977601356</v>
      </c>
      <c r="N298" s="54" t="n">
        <f aca="false">IF(OR(F298&gt;J298,F298&lt;K298),1,0)</f>
        <v>0</v>
      </c>
      <c r="O298" s="54" t="n">
        <f aca="false">IF(G298&gt;M298,1,0)</f>
        <v>0</v>
      </c>
      <c r="P298" s="54" t="n">
        <f aca="false">SIGN(F298-I298)</f>
        <v>1</v>
      </c>
      <c r="Q298" s="54" t="n">
        <f aca="false">IF(ABS(SUM(P291:P298))=8,1,0)</f>
        <v>0</v>
      </c>
    </row>
    <row r="299" customFormat="false" ht="15" hidden="false" customHeight="false" outlineLevel="0" collapsed="false">
      <c r="A299" s="52" t="n">
        <v>44239</v>
      </c>
      <c r="B299" s="53" t="n">
        <v>0.548880819047115</v>
      </c>
      <c r="C299" s="53" t="n">
        <v>0.815886474854168</v>
      </c>
      <c r="D299" s="53" t="n">
        <v>0.700175429899765</v>
      </c>
      <c r="E299" s="54" t="s">
        <v>946</v>
      </c>
      <c r="F299" s="53" t="n">
        <f aca="false">AVERAGE(B299:D299)</f>
        <v>0.688314241267016</v>
      </c>
      <c r="G299" s="53" t="n">
        <f aca="false">MAX(B299:D299)-MIN(B299:D299)</f>
        <v>0.267005655807053</v>
      </c>
      <c r="H299" s="54" t="n">
        <f aca="false">IF(AND(E299="Phase I",OR(F299&gt;$E$6,F299&lt;$E$7,G299&gt;$E$8)),1,0)</f>
        <v>0</v>
      </c>
      <c r="I299" s="53" t="n">
        <f aca="false">$H$4</f>
        <v>0.67278149898986</v>
      </c>
      <c r="J299" s="53" t="n">
        <f aca="false">$H$6</f>
        <v>0.959137233677579</v>
      </c>
      <c r="K299" s="53" t="n">
        <f aca="false">$H$7</f>
        <v>0.386425764302142</v>
      </c>
      <c r="L299" s="53" t="n">
        <f aca="false">$H$5</f>
        <v>0.279917629215756</v>
      </c>
      <c r="M299" s="53" t="n">
        <f aca="false">$H$8</f>
        <v>0.720507977601356</v>
      </c>
      <c r="N299" s="54" t="n">
        <f aca="false">IF(OR(F299&gt;J299,F299&lt;K299),1,0)</f>
        <v>0</v>
      </c>
      <c r="O299" s="54" t="n">
        <f aca="false">IF(G299&gt;M299,1,0)</f>
        <v>0</v>
      </c>
      <c r="P299" s="54" t="n">
        <f aca="false">SIGN(F299-I299)</f>
        <v>1</v>
      </c>
      <c r="Q299" s="54" t="n">
        <f aca="false">IF(ABS(SUM(P292:P299))=8,1,0)</f>
        <v>0</v>
      </c>
    </row>
    <row r="300" customFormat="false" ht="15" hidden="false" customHeight="false" outlineLevel="0" collapsed="false">
      <c r="A300" s="52" t="n">
        <v>44241</v>
      </c>
      <c r="B300" s="53" t="n">
        <v>0.424210287099462</v>
      </c>
      <c r="C300" s="53" t="n">
        <v>0.933007217229967</v>
      </c>
      <c r="D300" s="53" t="n">
        <v>0.729949115374555</v>
      </c>
      <c r="E300" s="54" t="s">
        <v>946</v>
      </c>
      <c r="F300" s="53" t="n">
        <f aca="false">AVERAGE(B300:D300)</f>
        <v>0.695722206567995</v>
      </c>
      <c r="G300" s="53" t="n">
        <f aca="false">MAX(B300:D300)-MIN(B300:D300)</f>
        <v>0.508796930130505</v>
      </c>
      <c r="H300" s="54" t="n">
        <f aca="false">IF(AND(E300="Phase I",OR(F300&gt;$E$6,F300&lt;$E$7,G300&gt;$E$8)),1,0)</f>
        <v>0</v>
      </c>
      <c r="I300" s="53" t="n">
        <f aca="false">$H$4</f>
        <v>0.67278149898986</v>
      </c>
      <c r="J300" s="53" t="n">
        <f aca="false">$H$6</f>
        <v>0.959137233677579</v>
      </c>
      <c r="K300" s="53" t="n">
        <f aca="false">$H$7</f>
        <v>0.386425764302142</v>
      </c>
      <c r="L300" s="53" t="n">
        <f aca="false">$H$5</f>
        <v>0.279917629215756</v>
      </c>
      <c r="M300" s="53" t="n">
        <f aca="false">$H$8</f>
        <v>0.720507977601356</v>
      </c>
      <c r="N300" s="54" t="n">
        <f aca="false">IF(OR(F300&gt;J300,F300&lt;K300),1,0)</f>
        <v>0</v>
      </c>
      <c r="O300" s="54" t="n">
        <f aca="false">IF(G300&gt;M300,1,0)</f>
        <v>0</v>
      </c>
      <c r="P300" s="54" t="n">
        <f aca="false">SIGN(F300-I300)</f>
        <v>1</v>
      </c>
      <c r="Q300" s="54" t="n">
        <f aca="false">IF(ABS(SUM(P293:P300))=8,1,0)</f>
        <v>0</v>
      </c>
    </row>
    <row r="301" customFormat="false" ht="15" hidden="false" customHeight="false" outlineLevel="0" collapsed="false">
      <c r="A301" s="52" t="n">
        <v>44242</v>
      </c>
      <c r="B301" s="53" t="n">
        <v>0.715774717620492</v>
      </c>
      <c r="C301" s="53" t="n">
        <v>0.874041821084944</v>
      </c>
      <c r="D301" s="53" t="n">
        <v>0.585597654214985</v>
      </c>
      <c r="E301" s="54" t="s">
        <v>946</v>
      </c>
      <c r="F301" s="53" t="n">
        <f aca="false">AVERAGE(B301:D301)</f>
        <v>0.725138064306807</v>
      </c>
      <c r="G301" s="53" t="n">
        <f aca="false">MAX(B301:D301)-MIN(B301:D301)</f>
        <v>0.28844416686996</v>
      </c>
      <c r="H301" s="54" t="n">
        <f aca="false">IF(AND(E301="Phase I",OR(F301&gt;$E$6,F301&lt;$E$7,G301&gt;$E$8)),1,0)</f>
        <v>0</v>
      </c>
      <c r="I301" s="53" t="n">
        <f aca="false">$H$4</f>
        <v>0.67278149898986</v>
      </c>
      <c r="J301" s="53" t="n">
        <f aca="false">$H$6</f>
        <v>0.959137233677579</v>
      </c>
      <c r="K301" s="53" t="n">
        <f aca="false">$H$7</f>
        <v>0.386425764302142</v>
      </c>
      <c r="L301" s="53" t="n">
        <f aca="false">$H$5</f>
        <v>0.279917629215756</v>
      </c>
      <c r="M301" s="53" t="n">
        <f aca="false">$H$8</f>
        <v>0.720507977601356</v>
      </c>
      <c r="N301" s="54" t="n">
        <f aca="false">IF(OR(F301&gt;J301,F301&lt;K301),1,0)</f>
        <v>0</v>
      </c>
      <c r="O301" s="54" t="n">
        <f aca="false">IF(G301&gt;M301,1,0)</f>
        <v>0</v>
      </c>
      <c r="P301" s="54" t="n">
        <f aca="false">SIGN(F301-I301)</f>
        <v>1</v>
      </c>
      <c r="Q301" s="54" t="n">
        <f aca="false">IF(ABS(SUM(P294:P301))=8,1,0)</f>
        <v>0</v>
      </c>
    </row>
    <row r="302" customFormat="false" ht="15" hidden="false" customHeight="false" outlineLevel="0" collapsed="false">
      <c r="A302" s="52" t="n">
        <v>44243</v>
      </c>
      <c r="B302" s="53" t="n">
        <v>0.472320521680248</v>
      </c>
      <c r="C302" s="53" t="n">
        <v>0.716024092077365</v>
      </c>
      <c r="D302" s="53" t="n">
        <v>0.637167757428121</v>
      </c>
      <c r="E302" s="54" t="s">
        <v>946</v>
      </c>
      <c r="F302" s="53" t="n">
        <f aca="false">AVERAGE(B302:D302)</f>
        <v>0.608504123728578</v>
      </c>
      <c r="G302" s="53" t="n">
        <f aca="false">MAX(B302:D302)-MIN(B302:D302)</f>
        <v>0.243703570397117</v>
      </c>
      <c r="H302" s="54" t="n">
        <f aca="false">IF(AND(E302="Phase I",OR(F302&gt;$E$6,F302&lt;$E$7,G302&gt;$E$8)),1,0)</f>
        <v>0</v>
      </c>
      <c r="I302" s="53" t="n">
        <f aca="false">$H$4</f>
        <v>0.67278149898986</v>
      </c>
      <c r="J302" s="53" t="n">
        <f aca="false">$H$6</f>
        <v>0.959137233677579</v>
      </c>
      <c r="K302" s="53" t="n">
        <f aca="false">$H$7</f>
        <v>0.386425764302142</v>
      </c>
      <c r="L302" s="53" t="n">
        <f aca="false">$H$5</f>
        <v>0.279917629215756</v>
      </c>
      <c r="M302" s="53" t="n">
        <f aca="false">$H$8</f>
        <v>0.720507977601356</v>
      </c>
      <c r="N302" s="54" t="n">
        <f aca="false">IF(OR(F302&gt;J302,F302&lt;K302),1,0)</f>
        <v>0</v>
      </c>
      <c r="O302" s="54" t="n">
        <f aca="false">IF(G302&gt;M302,1,0)</f>
        <v>0</v>
      </c>
      <c r="P302" s="54" t="n">
        <f aca="false">SIGN(F302-I302)</f>
        <v>-1</v>
      </c>
      <c r="Q302" s="54" t="n">
        <f aca="false">IF(ABS(SUM(P295:P302))=8,1,0)</f>
        <v>0</v>
      </c>
    </row>
    <row r="303" customFormat="false" ht="15" hidden="false" customHeight="false" outlineLevel="0" collapsed="false">
      <c r="A303" s="52" t="n">
        <v>44244</v>
      </c>
      <c r="B303" s="53" t="n">
        <v>0.437654240890113</v>
      </c>
      <c r="C303" s="53" t="n">
        <v>0.0934017357967019</v>
      </c>
      <c r="D303" s="53" t="n">
        <v>0.847705691238926</v>
      </c>
      <c r="E303" s="54" t="s">
        <v>946</v>
      </c>
      <c r="F303" s="53" t="n">
        <f aca="false">AVERAGE(B303:D303)</f>
        <v>0.459587222641914</v>
      </c>
      <c r="G303" s="53" t="n">
        <f aca="false">MAX(B303:D303)-MIN(B303:D303)</f>
        <v>0.754303955442224</v>
      </c>
      <c r="H303" s="54" t="n">
        <f aca="false">IF(AND(E303="Phase I",OR(F303&gt;$E$6,F303&lt;$E$7,G303&gt;$E$8)),1,0)</f>
        <v>0</v>
      </c>
      <c r="I303" s="53" t="n">
        <f aca="false">$H$4</f>
        <v>0.67278149898986</v>
      </c>
      <c r="J303" s="53" t="n">
        <f aca="false">$H$6</f>
        <v>0.959137233677579</v>
      </c>
      <c r="K303" s="53" t="n">
        <f aca="false">$H$7</f>
        <v>0.386425764302142</v>
      </c>
      <c r="L303" s="53" t="n">
        <f aca="false">$H$5</f>
        <v>0.279917629215756</v>
      </c>
      <c r="M303" s="53" t="n">
        <f aca="false">$H$8</f>
        <v>0.720507977601356</v>
      </c>
      <c r="N303" s="54" t="n">
        <f aca="false">IF(OR(F303&gt;J303,F303&lt;K303),1,0)</f>
        <v>0</v>
      </c>
      <c r="O303" s="54" t="n">
        <f aca="false">IF(G303&gt;M303,1,0)</f>
        <v>1</v>
      </c>
      <c r="P303" s="54" t="n">
        <f aca="false">SIGN(F303-I303)</f>
        <v>-1</v>
      </c>
      <c r="Q303" s="54" t="n">
        <f aca="false">IF(ABS(SUM(P296:P303))=8,1,0)</f>
        <v>0</v>
      </c>
    </row>
    <row r="304" customFormat="false" ht="15" hidden="false" customHeight="false" outlineLevel="0" collapsed="false">
      <c r="A304" s="52" t="n">
        <v>44272</v>
      </c>
      <c r="B304" s="53" t="n">
        <v>0</v>
      </c>
      <c r="C304" s="53" t="n">
        <v>0.255925650698715</v>
      </c>
      <c r="D304" s="53" t="n">
        <v>0.398127417451887</v>
      </c>
      <c r="E304" s="54" t="s">
        <v>946</v>
      </c>
      <c r="F304" s="53" t="n">
        <f aca="false">AVERAGE(B304:D304)</f>
        <v>0.218017689383534</v>
      </c>
      <c r="G304" s="53" t="n">
        <f aca="false">MAX(B304:D304)-MIN(B304:D304)</f>
        <v>0.398127417451887</v>
      </c>
      <c r="H304" s="54" t="n">
        <f aca="false">IF(AND(E304="Phase I",OR(F304&gt;$E$6,F304&lt;$E$7,G304&gt;$E$8)),1,0)</f>
        <v>0</v>
      </c>
      <c r="I304" s="53" t="n">
        <f aca="false">$H$4</f>
        <v>0.67278149898986</v>
      </c>
      <c r="J304" s="53" t="n">
        <f aca="false">$H$6</f>
        <v>0.959137233677579</v>
      </c>
      <c r="K304" s="53" t="n">
        <f aca="false">$H$7</f>
        <v>0.386425764302142</v>
      </c>
      <c r="L304" s="53" t="n">
        <f aca="false">$H$5</f>
        <v>0.279917629215756</v>
      </c>
      <c r="M304" s="53" t="n">
        <f aca="false">$H$8</f>
        <v>0.720507977601356</v>
      </c>
      <c r="N304" s="54" t="n">
        <f aca="false">IF(OR(F304&gt;J304,F304&lt;K304),1,0)</f>
        <v>1</v>
      </c>
      <c r="O304" s="54" t="n">
        <f aca="false">IF(G304&gt;M304,1,0)</f>
        <v>0</v>
      </c>
      <c r="P304" s="54" t="n">
        <f aca="false">SIGN(F304-I304)</f>
        <v>-1</v>
      </c>
      <c r="Q304" s="54" t="n">
        <f aca="false">IF(ABS(SUM(P297:P304))=8,1,0)</f>
        <v>0</v>
      </c>
    </row>
    <row r="305" customFormat="false" ht="15" hidden="false" customHeight="false" outlineLevel="0" collapsed="false">
      <c r="A305" s="52" t="n">
        <v>44273</v>
      </c>
      <c r="B305" s="53" t="n">
        <v>0.382601243231718</v>
      </c>
      <c r="C305" s="53" t="n">
        <v>0.497484099549462</v>
      </c>
      <c r="D305" s="53" t="n">
        <v>0.722360196922537</v>
      </c>
      <c r="E305" s="54" t="s">
        <v>946</v>
      </c>
      <c r="F305" s="53" t="n">
        <f aca="false">AVERAGE(B305:D305)</f>
        <v>0.534148513234572</v>
      </c>
      <c r="G305" s="53" t="n">
        <f aca="false">MAX(B305:D305)-MIN(B305:D305)</f>
        <v>0.339758953690819</v>
      </c>
      <c r="H305" s="54" t="n">
        <f aca="false">IF(AND(E305="Phase I",OR(F305&gt;$E$6,F305&lt;$E$7,G305&gt;$E$8)),1,0)</f>
        <v>0</v>
      </c>
      <c r="I305" s="53" t="n">
        <f aca="false">$H$4</f>
        <v>0.67278149898986</v>
      </c>
      <c r="J305" s="53" t="n">
        <f aca="false">$H$6</f>
        <v>0.959137233677579</v>
      </c>
      <c r="K305" s="53" t="n">
        <f aca="false">$H$7</f>
        <v>0.386425764302142</v>
      </c>
      <c r="L305" s="53" t="n">
        <f aca="false">$H$5</f>
        <v>0.279917629215756</v>
      </c>
      <c r="M305" s="53" t="n">
        <f aca="false">$H$8</f>
        <v>0.720507977601356</v>
      </c>
      <c r="N305" s="54" t="n">
        <f aca="false">IF(OR(F305&gt;J305,F305&lt;K305),1,0)</f>
        <v>0</v>
      </c>
      <c r="O305" s="54" t="n">
        <f aca="false">IF(G305&gt;M305,1,0)</f>
        <v>0</v>
      </c>
      <c r="P305" s="54" t="n">
        <f aca="false">SIGN(F305-I305)</f>
        <v>-1</v>
      </c>
      <c r="Q305" s="54" t="n">
        <f aca="false">IF(ABS(SUM(P298:P305))=8,1,0)</f>
        <v>0</v>
      </c>
    </row>
    <row r="306" customFormat="false" ht="15" hidden="false" customHeight="false" outlineLevel="0" collapsed="false">
      <c r="A306" s="52" t="n">
        <v>44274</v>
      </c>
      <c r="B306" s="53" t="n">
        <v>0.560231005219206</v>
      </c>
      <c r="C306" s="53" t="n">
        <v>0.735848026400723</v>
      </c>
      <c r="D306" s="53" t="n">
        <v>0.57638697585331</v>
      </c>
      <c r="E306" s="54" t="s">
        <v>946</v>
      </c>
      <c r="F306" s="53" t="n">
        <f aca="false">AVERAGE(B306:D306)</f>
        <v>0.624155335824413</v>
      </c>
      <c r="G306" s="53" t="n">
        <f aca="false">MAX(B306:D306)-MIN(B306:D306)</f>
        <v>0.175617021181518</v>
      </c>
      <c r="H306" s="54" t="n">
        <f aca="false">IF(AND(E306="Phase I",OR(F306&gt;$E$6,F306&lt;$E$7,G306&gt;$E$8)),1,0)</f>
        <v>0</v>
      </c>
      <c r="I306" s="53" t="n">
        <f aca="false">$H$4</f>
        <v>0.67278149898986</v>
      </c>
      <c r="J306" s="53" t="n">
        <f aca="false">$H$6</f>
        <v>0.959137233677579</v>
      </c>
      <c r="K306" s="53" t="n">
        <f aca="false">$H$7</f>
        <v>0.386425764302142</v>
      </c>
      <c r="L306" s="53" t="n">
        <f aca="false">$H$5</f>
        <v>0.279917629215756</v>
      </c>
      <c r="M306" s="53" t="n">
        <f aca="false">$H$8</f>
        <v>0.720507977601356</v>
      </c>
      <c r="N306" s="54" t="n">
        <f aca="false">IF(OR(F306&gt;J306,F306&lt;K306),1,0)</f>
        <v>0</v>
      </c>
      <c r="O306" s="54" t="n">
        <f aca="false">IF(G306&gt;M306,1,0)</f>
        <v>0</v>
      </c>
      <c r="P306" s="54" t="n">
        <f aca="false">SIGN(F306-I306)</f>
        <v>-1</v>
      </c>
      <c r="Q306" s="54" t="n">
        <f aca="false">IF(ABS(SUM(P299:P306))=8,1,0)</f>
        <v>0</v>
      </c>
    </row>
    <row r="307" customFormat="false" ht="15" hidden="false" customHeight="false" outlineLevel="0" collapsed="false">
      <c r="A307" s="52" t="n">
        <v>44276</v>
      </c>
      <c r="B307" s="53" t="n">
        <v>0</v>
      </c>
      <c r="C307" s="53" t="n">
        <v>0.356672955501519</v>
      </c>
      <c r="D307" s="53" t="n">
        <v>0.705391390389611</v>
      </c>
      <c r="E307" s="54" t="s">
        <v>946</v>
      </c>
      <c r="F307" s="53" t="n">
        <f aca="false">AVERAGE(B307:D307)</f>
        <v>0.354021448630377</v>
      </c>
      <c r="G307" s="53" t="n">
        <f aca="false">MAX(B307:D307)-MIN(B307:D307)</f>
        <v>0.705391390389611</v>
      </c>
      <c r="H307" s="54" t="n">
        <f aca="false">IF(AND(E307="Phase I",OR(F307&gt;$E$6,F307&lt;$E$7,G307&gt;$E$8)),1,0)</f>
        <v>0</v>
      </c>
      <c r="I307" s="53" t="n">
        <f aca="false">$H$4</f>
        <v>0.67278149898986</v>
      </c>
      <c r="J307" s="53" t="n">
        <f aca="false">$H$6</f>
        <v>0.959137233677579</v>
      </c>
      <c r="K307" s="53" t="n">
        <f aca="false">$H$7</f>
        <v>0.386425764302142</v>
      </c>
      <c r="L307" s="53" t="n">
        <f aca="false">$H$5</f>
        <v>0.279917629215756</v>
      </c>
      <c r="M307" s="53" t="n">
        <f aca="false">$H$8</f>
        <v>0.720507977601356</v>
      </c>
      <c r="N307" s="54" t="n">
        <f aca="false">IF(OR(F307&gt;J307,F307&lt;K307),1,0)</f>
        <v>1</v>
      </c>
      <c r="O307" s="54" t="n">
        <f aca="false">IF(G307&gt;M307,1,0)</f>
        <v>0</v>
      </c>
      <c r="P307" s="54" t="n">
        <f aca="false">SIGN(F307-I307)</f>
        <v>-1</v>
      </c>
      <c r="Q307" s="54" t="n">
        <f aca="false">IF(ABS(SUM(P300:P307))=8,1,0)</f>
        <v>0</v>
      </c>
    </row>
    <row r="308" customFormat="false" ht="15" hidden="false" customHeight="false" outlineLevel="0" collapsed="false">
      <c r="A308" s="52" t="n">
        <v>44277</v>
      </c>
      <c r="B308" s="53" t="n">
        <v>0.776087592287936</v>
      </c>
      <c r="C308" s="53" t="n">
        <v>0.630059658818503</v>
      </c>
      <c r="D308" s="53" t="n">
        <v>0.254896079993839</v>
      </c>
      <c r="E308" s="54" t="s">
        <v>946</v>
      </c>
      <c r="F308" s="53" t="n">
        <f aca="false">AVERAGE(B308:D308)</f>
        <v>0.553681110366759</v>
      </c>
      <c r="G308" s="53" t="n">
        <f aca="false">MAX(B308:D308)-MIN(B308:D308)</f>
        <v>0.521191512294096</v>
      </c>
      <c r="H308" s="54" t="n">
        <f aca="false">IF(AND(E308="Phase I",OR(F308&gt;$E$6,F308&lt;$E$7,G308&gt;$E$8)),1,0)</f>
        <v>0</v>
      </c>
      <c r="I308" s="53" t="n">
        <f aca="false">$H$4</f>
        <v>0.67278149898986</v>
      </c>
      <c r="J308" s="53" t="n">
        <f aca="false">$H$6</f>
        <v>0.959137233677579</v>
      </c>
      <c r="K308" s="53" t="n">
        <f aca="false">$H$7</f>
        <v>0.386425764302142</v>
      </c>
      <c r="L308" s="53" t="n">
        <f aca="false">$H$5</f>
        <v>0.279917629215756</v>
      </c>
      <c r="M308" s="53" t="n">
        <f aca="false">$H$8</f>
        <v>0.720507977601356</v>
      </c>
      <c r="N308" s="54" t="n">
        <f aca="false">IF(OR(F308&gt;J308,F308&lt;K308),1,0)</f>
        <v>0</v>
      </c>
      <c r="O308" s="54" t="n">
        <f aca="false">IF(G308&gt;M308,1,0)</f>
        <v>0</v>
      </c>
      <c r="P308" s="54" t="n">
        <f aca="false">SIGN(F308-I308)</f>
        <v>-1</v>
      </c>
      <c r="Q308" s="54" t="n">
        <f aca="false">IF(ABS(SUM(P301:P308))=8,1,0)</f>
        <v>0</v>
      </c>
    </row>
    <row r="309" customFormat="false" ht="15" hidden="false" customHeight="false" outlineLevel="0" collapsed="false">
      <c r="A309" s="52" t="n">
        <v>44278</v>
      </c>
      <c r="B309" s="53" t="n">
        <v>0.731356698026464</v>
      </c>
      <c r="C309" s="53" t="n">
        <v>0.895351600539618</v>
      </c>
      <c r="D309" s="53" t="n">
        <v>0.592425725860557</v>
      </c>
      <c r="E309" s="54" t="s">
        <v>946</v>
      </c>
      <c r="F309" s="53" t="n">
        <f aca="false">AVERAGE(B309:D309)</f>
        <v>0.739711341475546</v>
      </c>
      <c r="G309" s="53" t="n">
        <f aca="false">MAX(B309:D309)-MIN(B309:D309)</f>
        <v>0.302925874679061</v>
      </c>
      <c r="H309" s="54" t="n">
        <f aca="false">IF(AND(E309="Phase I",OR(F309&gt;$E$6,F309&lt;$E$7,G309&gt;$E$8)),1,0)</f>
        <v>0</v>
      </c>
      <c r="I309" s="53" t="n">
        <f aca="false">$H$4</f>
        <v>0.67278149898986</v>
      </c>
      <c r="J309" s="53" t="n">
        <f aca="false">$H$6</f>
        <v>0.959137233677579</v>
      </c>
      <c r="K309" s="53" t="n">
        <f aca="false">$H$7</f>
        <v>0.386425764302142</v>
      </c>
      <c r="L309" s="53" t="n">
        <f aca="false">$H$5</f>
        <v>0.279917629215756</v>
      </c>
      <c r="M309" s="53" t="n">
        <f aca="false">$H$8</f>
        <v>0.720507977601356</v>
      </c>
      <c r="N309" s="54" t="n">
        <f aca="false">IF(OR(F309&gt;J309,F309&lt;K309),1,0)</f>
        <v>0</v>
      </c>
      <c r="O309" s="54" t="n">
        <f aca="false">IF(G309&gt;M309,1,0)</f>
        <v>0</v>
      </c>
      <c r="P309" s="54" t="n">
        <f aca="false">SIGN(F309-I309)</f>
        <v>1</v>
      </c>
      <c r="Q309" s="54" t="n">
        <f aca="false">IF(ABS(SUM(P302:P309))=8,1,0)</f>
        <v>0</v>
      </c>
    </row>
    <row r="310" customFormat="false" ht="15" hidden="false" customHeight="false" outlineLevel="0" collapsed="false">
      <c r="A310" s="52" t="n">
        <v>44279</v>
      </c>
      <c r="B310" s="53" t="n">
        <v>0.092319031593341</v>
      </c>
      <c r="C310" s="53" t="n">
        <v>0.753965951843192</v>
      </c>
      <c r="D310" s="53" t="n">
        <v>0.799112589822384</v>
      </c>
      <c r="E310" s="54" t="s">
        <v>946</v>
      </c>
      <c r="F310" s="53" t="n">
        <f aca="false">AVERAGE(B310:D310)</f>
        <v>0.548465857752972</v>
      </c>
      <c r="G310" s="53" t="n">
        <f aca="false">MAX(B310:D310)-MIN(B310:D310)</f>
        <v>0.706793558229043</v>
      </c>
      <c r="H310" s="54" t="n">
        <f aca="false">IF(AND(E310="Phase I",OR(F310&gt;$E$6,F310&lt;$E$7,G310&gt;$E$8)),1,0)</f>
        <v>0</v>
      </c>
      <c r="I310" s="53" t="n">
        <f aca="false">$H$4</f>
        <v>0.67278149898986</v>
      </c>
      <c r="J310" s="53" t="n">
        <f aca="false">$H$6</f>
        <v>0.959137233677579</v>
      </c>
      <c r="K310" s="53" t="n">
        <f aca="false">$H$7</f>
        <v>0.386425764302142</v>
      </c>
      <c r="L310" s="53" t="n">
        <f aca="false">$H$5</f>
        <v>0.279917629215756</v>
      </c>
      <c r="M310" s="53" t="n">
        <f aca="false">$H$8</f>
        <v>0.720507977601356</v>
      </c>
      <c r="N310" s="54" t="n">
        <f aca="false">IF(OR(F310&gt;J310,F310&lt;K310),1,0)</f>
        <v>0</v>
      </c>
      <c r="O310" s="54" t="n">
        <f aca="false">IF(G310&gt;M310,1,0)</f>
        <v>0</v>
      </c>
      <c r="P310" s="54" t="n">
        <f aca="false">SIGN(F310-I310)</f>
        <v>-1</v>
      </c>
      <c r="Q310" s="54" t="n">
        <f aca="false">IF(ABS(SUM(P303:P310))=8,1,0)</f>
        <v>0</v>
      </c>
    </row>
    <row r="311" customFormat="false" ht="15" hidden="false" customHeight="false" outlineLevel="0" collapsed="false">
      <c r="A311" s="52" t="n">
        <v>44280</v>
      </c>
      <c r="B311" s="53" t="n">
        <v>0.648669264368331</v>
      </c>
      <c r="C311" s="53" t="n">
        <v>0.717952964822764</v>
      </c>
      <c r="D311" s="53" t="n">
        <v>0.766420371989541</v>
      </c>
      <c r="E311" s="54" t="s">
        <v>946</v>
      </c>
      <c r="F311" s="53" t="n">
        <f aca="false">AVERAGE(B311:D311)</f>
        <v>0.711014200393545</v>
      </c>
      <c r="G311" s="53" t="n">
        <f aca="false">MAX(B311:D311)-MIN(B311:D311)</f>
        <v>0.11775110762121</v>
      </c>
      <c r="H311" s="54" t="n">
        <f aca="false">IF(AND(E311="Phase I",OR(F311&gt;$E$6,F311&lt;$E$7,G311&gt;$E$8)),1,0)</f>
        <v>0</v>
      </c>
      <c r="I311" s="53" t="n">
        <f aca="false">$H$4</f>
        <v>0.67278149898986</v>
      </c>
      <c r="J311" s="53" t="n">
        <f aca="false">$H$6</f>
        <v>0.959137233677579</v>
      </c>
      <c r="K311" s="53" t="n">
        <f aca="false">$H$7</f>
        <v>0.386425764302142</v>
      </c>
      <c r="L311" s="53" t="n">
        <f aca="false">$H$5</f>
        <v>0.279917629215756</v>
      </c>
      <c r="M311" s="53" t="n">
        <f aca="false">$H$8</f>
        <v>0.720507977601356</v>
      </c>
      <c r="N311" s="54" t="n">
        <f aca="false">IF(OR(F311&gt;J311,F311&lt;K311),1,0)</f>
        <v>0</v>
      </c>
      <c r="O311" s="54" t="n">
        <f aca="false">IF(G311&gt;M311,1,0)</f>
        <v>0</v>
      </c>
      <c r="P311" s="54" t="n">
        <f aca="false">SIGN(F311-I311)</f>
        <v>1</v>
      </c>
      <c r="Q311" s="54" t="n">
        <f aca="false">IF(ABS(SUM(P304:P311))=8,1,0)</f>
        <v>0</v>
      </c>
    </row>
    <row r="312" customFormat="false" ht="15" hidden="false" customHeight="false" outlineLevel="0" collapsed="false">
      <c r="A312" s="52" t="n">
        <v>44301</v>
      </c>
      <c r="B312" s="53" t="n">
        <v>0.772984452766565</v>
      </c>
      <c r="C312" s="53" t="n">
        <v>0.546590737069982</v>
      </c>
      <c r="D312" s="53" t="n">
        <v>0.645553500671859</v>
      </c>
      <c r="E312" s="54" t="s">
        <v>946</v>
      </c>
      <c r="F312" s="53" t="n">
        <f aca="false">AVERAGE(B312:D312)</f>
        <v>0.655042896836135</v>
      </c>
      <c r="G312" s="53" t="n">
        <f aca="false">MAX(B312:D312)-MIN(B312:D312)</f>
        <v>0.226393715696583</v>
      </c>
      <c r="H312" s="54" t="n">
        <f aca="false">IF(AND(E312="Phase I",OR(F312&gt;$E$6,F312&lt;$E$7,G312&gt;$E$8)),1,0)</f>
        <v>0</v>
      </c>
      <c r="I312" s="53" t="n">
        <f aca="false">$H$4</f>
        <v>0.67278149898986</v>
      </c>
      <c r="J312" s="53" t="n">
        <f aca="false">$H$6</f>
        <v>0.959137233677579</v>
      </c>
      <c r="K312" s="53" t="n">
        <f aca="false">$H$7</f>
        <v>0.386425764302142</v>
      </c>
      <c r="L312" s="53" t="n">
        <f aca="false">$H$5</f>
        <v>0.279917629215756</v>
      </c>
      <c r="M312" s="53" t="n">
        <f aca="false">$H$8</f>
        <v>0.720507977601356</v>
      </c>
      <c r="N312" s="54" t="n">
        <f aca="false">IF(OR(F312&gt;J312,F312&lt;K312),1,0)</f>
        <v>0</v>
      </c>
      <c r="O312" s="54" t="n">
        <f aca="false">IF(G312&gt;M312,1,0)</f>
        <v>0</v>
      </c>
      <c r="P312" s="54" t="n">
        <f aca="false">SIGN(F312-I312)</f>
        <v>-1</v>
      </c>
      <c r="Q312" s="54" t="n">
        <f aca="false">IF(ABS(SUM(P305:P312))=8,1,0)</f>
        <v>0</v>
      </c>
    </row>
    <row r="313" customFormat="false" ht="15" hidden="false" customHeight="false" outlineLevel="0" collapsed="false">
      <c r="A313" s="52" t="n">
        <v>44302</v>
      </c>
      <c r="B313" s="53" t="n">
        <v>0.7614067476347</v>
      </c>
      <c r="C313" s="53" t="n">
        <v>0.649245409335523</v>
      </c>
      <c r="D313" s="53" t="n">
        <v>0.878865999105671</v>
      </c>
      <c r="E313" s="54" t="s">
        <v>946</v>
      </c>
      <c r="F313" s="53" t="n">
        <f aca="false">AVERAGE(B313:D313)</f>
        <v>0.763172718691965</v>
      </c>
      <c r="G313" s="53" t="n">
        <f aca="false">MAX(B313:D313)-MIN(B313:D313)</f>
        <v>0.229620589770148</v>
      </c>
      <c r="H313" s="54" t="n">
        <f aca="false">IF(AND(E313="Phase I",OR(F313&gt;$E$6,F313&lt;$E$7,G313&gt;$E$8)),1,0)</f>
        <v>0</v>
      </c>
      <c r="I313" s="53" t="n">
        <f aca="false">$H$4</f>
        <v>0.67278149898986</v>
      </c>
      <c r="J313" s="53" t="n">
        <f aca="false">$H$6</f>
        <v>0.959137233677579</v>
      </c>
      <c r="K313" s="53" t="n">
        <f aca="false">$H$7</f>
        <v>0.386425764302142</v>
      </c>
      <c r="L313" s="53" t="n">
        <f aca="false">$H$5</f>
        <v>0.279917629215756</v>
      </c>
      <c r="M313" s="53" t="n">
        <f aca="false">$H$8</f>
        <v>0.720507977601356</v>
      </c>
      <c r="N313" s="54" t="n">
        <f aca="false">IF(OR(F313&gt;J313,F313&lt;K313),1,0)</f>
        <v>0</v>
      </c>
      <c r="O313" s="54" t="n">
        <f aca="false">IF(G313&gt;M313,1,0)</f>
        <v>0</v>
      </c>
      <c r="P313" s="54" t="n">
        <f aca="false">SIGN(F313-I313)</f>
        <v>1</v>
      </c>
      <c r="Q313" s="54" t="n">
        <f aca="false">IF(ABS(SUM(P306:P313))=8,1,0)</f>
        <v>0</v>
      </c>
    </row>
    <row r="314" customFormat="false" ht="15" hidden="false" customHeight="false" outlineLevel="0" collapsed="false">
      <c r="A314" s="52" t="n">
        <v>44305</v>
      </c>
      <c r="B314" s="53" t="n">
        <v>0.75761839706231</v>
      </c>
      <c r="C314" s="53" t="n">
        <v>0.602205465850595</v>
      </c>
      <c r="D314" s="53" t="n">
        <v>0.557150670511286</v>
      </c>
      <c r="E314" s="54" t="s">
        <v>946</v>
      </c>
      <c r="F314" s="53" t="n">
        <f aca="false">AVERAGE(B314:D314)</f>
        <v>0.638991511141397</v>
      </c>
      <c r="G314" s="53" t="n">
        <f aca="false">MAX(B314:D314)-MIN(B314:D314)</f>
        <v>0.200467726551024</v>
      </c>
      <c r="H314" s="54" t="n">
        <f aca="false">IF(AND(E314="Phase I",OR(F314&gt;$E$6,F314&lt;$E$7,G314&gt;$E$8)),1,0)</f>
        <v>0</v>
      </c>
      <c r="I314" s="53" t="n">
        <f aca="false">$H$4</f>
        <v>0.67278149898986</v>
      </c>
      <c r="J314" s="53" t="n">
        <f aca="false">$H$6</f>
        <v>0.959137233677579</v>
      </c>
      <c r="K314" s="53" t="n">
        <f aca="false">$H$7</f>
        <v>0.386425764302142</v>
      </c>
      <c r="L314" s="53" t="n">
        <f aca="false">$H$5</f>
        <v>0.279917629215756</v>
      </c>
      <c r="M314" s="53" t="n">
        <f aca="false">$H$8</f>
        <v>0.720507977601356</v>
      </c>
      <c r="N314" s="54" t="n">
        <f aca="false">IF(OR(F314&gt;J314,F314&lt;K314),1,0)</f>
        <v>0</v>
      </c>
      <c r="O314" s="54" t="n">
        <f aca="false">IF(G314&gt;M314,1,0)</f>
        <v>0</v>
      </c>
      <c r="P314" s="54" t="n">
        <f aca="false">SIGN(F314-I314)</f>
        <v>-1</v>
      </c>
      <c r="Q314" s="54" t="n">
        <f aca="false">IF(ABS(SUM(P307:P314))=8,1,0)</f>
        <v>0</v>
      </c>
    </row>
    <row r="315" customFormat="false" ht="15" hidden="false" customHeight="false" outlineLevel="0" collapsed="false">
      <c r="A315" s="52" t="n">
        <v>44306</v>
      </c>
      <c r="B315" s="53" t="n">
        <v>0.853190589705484</v>
      </c>
      <c r="C315" s="53" t="n">
        <v>0.818390714649043</v>
      </c>
      <c r="D315" s="53" t="n">
        <v>0.734215894959982</v>
      </c>
      <c r="E315" s="54" t="s">
        <v>946</v>
      </c>
      <c r="F315" s="53" t="n">
        <f aca="false">AVERAGE(B315:D315)</f>
        <v>0.801932399771503</v>
      </c>
      <c r="G315" s="53" t="n">
        <f aca="false">MAX(B315:D315)-MIN(B315:D315)</f>
        <v>0.118974694745502</v>
      </c>
      <c r="H315" s="54" t="n">
        <f aca="false">IF(AND(E315="Phase I",OR(F315&gt;$E$6,F315&lt;$E$7,G315&gt;$E$8)),1,0)</f>
        <v>0</v>
      </c>
      <c r="I315" s="53" t="n">
        <f aca="false">$H$4</f>
        <v>0.67278149898986</v>
      </c>
      <c r="J315" s="53" t="n">
        <f aca="false">$H$6</f>
        <v>0.959137233677579</v>
      </c>
      <c r="K315" s="53" t="n">
        <f aca="false">$H$7</f>
        <v>0.386425764302142</v>
      </c>
      <c r="L315" s="53" t="n">
        <f aca="false">$H$5</f>
        <v>0.279917629215756</v>
      </c>
      <c r="M315" s="53" t="n">
        <f aca="false">$H$8</f>
        <v>0.720507977601356</v>
      </c>
      <c r="N315" s="54" t="n">
        <f aca="false">IF(OR(F315&gt;J315,F315&lt;K315),1,0)</f>
        <v>0</v>
      </c>
      <c r="O315" s="54" t="n">
        <f aca="false">IF(G315&gt;M315,1,0)</f>
        <v>0</v>
      </c>
      <c r="P315" s="54" t="n">
        <f aca="false">SIGN(F315-I315)</f>
        <v>1</v>
      </c>
      <c r="Q315" s="54" t="n">
        <f aca="false">IF(ABS(SUM(P308:P315))=8,1,0)</f>
        <v>0</v>
      </c>
    </row>
    <row r="316" customFormat="false" ht="15" hidden="false" customHeight="false" outlineLevel="0" collapsed="false">
      <c r="A316" s="52" t="n">
        <v>44307</v>
      </c>
      <c r="B316" s="53" t="n">
        <v>0.756410751716442</v>
      </c>
      <c r="C316" s="53" t="n">
        <v>0.729292556025183</v>
      </c>
      <c r="D316" s="53" t="n">
        <v>0.894748855266644</v>
      </c>
      <c r="E316" s="54" t="s">
        <v>946</v>
      </c>
      <c r="F316" s="53" t="n">
        <f aca="false">AVERAGE(B316:D316)</f>
        <v>0.79348405433609</v>
      </c>
      <c r="G316" s="53" t="n">
        <f aca="false">MAX(B316:D316)-MIN(B316:D316)</f>
        <v>0.165456299241461</v>
      </c>
      <c r="H316" s="54" t="n">
        <f aca="false">IF(AND(E316="Phase I",OR(F316&gt;$E$6,F316&lt;$E$7,G316&gt;$E$8)),1,0)</f>
        <v>0</v>
      </c>
      <c r="I316" s="53" t="n">
        <f aca="false">$H$4</f>
        <v>0.67278149898986</v>
      </c>
      <c r="J316" s="53" t="n">
        <f aca="false">$H$6</f>
        <v>0.959137233677579</v>
      </c>
      <c r="K316" s="53" t="n">
        <f aca="false">$H$7</f>
        <v>0.386425764302142</v>
      </c>
      <c r="L316" s="53" t="n">
        <f aca="false">$H$5</f>
        <v>0.279917629215756</v>
      </c>
      <c r="M316" s="53" t="n">
        <f aca="false">$H$8</f>
        <v>0.720507977601356</v>
      </c>
      <c r="N316" s="54" t="n">
        <f aca="false">IF(OR(F316&gt;J316,F316&lt;K316),1,0)</f>
        <v>0</v>
      </c>
      <c r="O316" s="54" t="n">
        <f aca="false">IF(G316&gt;M316,1,0)</f>
        <v>0</v>
      </c>
      <c r="P316" s="54" t="n">
        <f aca="false">SIGN(F316-I316)</f>
        <v>1</v>
      </c>
      <c r="Q316" s="54" t="n">
        <f aca="false">IF(ABS(SUM(P309:P316))=8,1,0)</f>
        <v>0</v>
      </c>
    </row>
    <row r="317" customFormat="false" ht="15" hidden="false" customHeight="false" outlineLevel="0" collapsed="false">
      <c r="A317" s="52" t="n">
        <v>44308</v>
      </c>
      <c r="B317" s="53" t="n">
        <v>0.830085898698872</v>
      </c>
      <c r="C317" s="53" t="n">
        <v>0.767887775769827</v>
      </c>
      <c r="D317" s="53" t="n">
        <v>0.694215127924266</v>
      </c>
      <c r="E317" s="54" t="s">
        <v>946</v>
      </c>
      <c r="F317" s="53" t="n">
        <f aca="false">AVERAGE(B317:D317)</f>
        <v>0.764062934130988</v>
      </c>
      <c r="G317" s="53" t="n">
        <f aca="false">MAX(B317:D317)-MIN(B317:D317)</f>
        <v>0.135870770774606</v>
      </c>
      <c r="H317" s="54" t="n">
        <f aca="false">IF(AND(E317="Phase I",OR(F317&gt;$E$6,F317&lt;$E$7,G317&gt;$E$8)),1,0)</f>
        <v>0</v>
      </c>
      <c r="I317" s="53" t="n">
        <f aca="false">$H$4</f>
        <v>0.67278149898986</v>
      </c>
      <c r="J317" s="53" t="n">
        <f aca="false">$H$6</f>
        <v>0.959137233677579</v>
      </c>
      <c r="K317" s="53" t="n">
        <f aca="false">$H$7</f>
        <v>0.386425764302142</v>
      </c>
      <c r="L317" s="53" t="n">
        <f aca="false">$H$5</f>
        <v>0.279917629215756</v>
      </c>
      <c r="M317" s="53" t="n">
        <f aca="false">$H$8</f>
        <v>0.720507977601356</v>
      </c>
      <c r="N317" s="54" t="n">
        <f aca="false">IF(OR(F317&gt;J317,F317&lt;K317),1,0)</f>
        <v>0</v>
      </c>
      <c r="O317" s="54" t="n">
        <f aca="false">IF(G317&gt;M317,1,0)</f>
        <v>0</v>
      </c>
      <c r="P317" s="54" t="n">
        <f aca="false">SIGN(F317-I317)</f>
        <v>1</v>
      </c>
      <c r="Q317" s="54" t="n">
        <f aca="false">IF(ABS(SUM(P310:P317))=8,1,0)</f>
        <v>0</v>
      </c>
    </row>
    <row r="318" customFormat="false" ht="15" hidden="false" customHeight="false" outlineLevel="0" collapsed="false">
      <c r="A318" s="52" t="n">
        <v>44309</v>
      </c>
      <c r="B318" s="53" t="n">
        <v>0.860243853412849</v>
      </c>
      <c r="C318" s="53" t="n">
        <v>0.454005689643459</v>
      </c>
      <c r="D318" s="53" t="n">
        <v>0.824048122058364</v>
      </c>
      <c r="E318" s="54" t="s">
        <v>946</v>
      </c>
      <c r="F318" s="53" t="n">
        <f aca="false">AVERAGE(B318:D318)</f>
        <v>0.712765888371557</v>
      </c>
      <c r="G318" s="53" t="n">
        <f aca="false">MAX(B318:D318)-MIN(B318:D318)</f>
        <v>0.406238163769389</v>
      </c>
      <c r="H318" s="54" t="n">
        <f aca="false">IF(AND(E318="Phase I",OR(F318&gt;$E$6,F318&lt;$E$7,G318&gt;$E$8)),1,0)</f>
        <v>0</v>
      </c>
      <c r="I318" s="53" t="n">
        <f aca="false">$H$4</f>
        <v>0.67278149898986</v>
      </c>
      <c r="J318" s="53" t="n">
        <f aca="false">$H$6</f>
        <v>0.959137233677579</v>
      </c>
      <c r="K318" s="53" t="n">
        <f aca="false">$H$7</f>
        <v>0.386425764302142</v>
      </c>
      <c r="L318" s="53" t="n">
        <f aca="false">$H$5</f>
        <v>0.279917629215756</v>
      </c>
      <c r="M318" s="53" t="n">
        <f aca="false">$H$8</f>
        <v>0.720507977601356</v>
      </c>
      <c r="N318" s="54" t="n">
        <f aca="false">IF(OR(F318&gt;J318,F318&lt;K318),1,0)</f>
        <v>0</v>
      </c>
      <c r="O318" s="54" t="n">
        <f aca="false">IF(G318&gt;M318,1,0)</f>
        <v>0</v>
      </c>
      <c r="P318" s="54" t="n">
        <f aca="false">SIGN(F318-I318)</f>
        <v>1</v>
      </c>
      <c r="Q318" s="54" t="n">
        <f aca="false">IF(ABS(SUM(P311:P318))=8,1,0)</f>
        <v>0</v>
      </c>
    </row>
    <row r="319" customFormat="false" ht="15" hidden="false" customHeight="false" outlineLevel="0" collapsed="false">
      <c r="A319" s="52" t="n">
        <v>44312</v>
      </c>
      <c r="B319" s="53" t="n">
        <v>0.73754064725955</v>
      </c>
      <c r="C319" s="53" t="n">
        <v>0.885876312875407</v>
      </c>
      <c r="D319" s="53" t="n">
        <v>0.701668891032809</v>
      </c>
      <c r="E319" s="54" t="s">
        <v>946</v>
      </c>
      <c r="F319" s="53" t="n">
        <f aca="false">AVERAGE(B319:D319)</f>
        <v>0.775028617055922</v>
      </c>
      <c r="G319" s="53" t="n">
        <f aca="false">MAX(B319:D319)-MIN(B319:D319)</f>
        <v>0.184207421842598</v>
      </c>
      <c r="H319" s="54" t="n">
        <f aca="false">IF(AND(E319="Phase I",OR(F319&gt;$E$6,F319&lt;$E$7,G319&gt;$E$8)),1,0)</f>
        <v>0</v>
      </c>
      <c r="I319" s="53" t="n">
        <f aca="false">$H$4</f>
        <v>0.67278149898986</v>
      </c>
      <c r="J319" s="53" t="n">
        <f aca="false">$H$6</f>
        <v>0.959137233677579</v>
      </c>
      <c r="K319" s="53" t="n">
        <f aca="false">$H$7</f>
        <v>0.386425764302142</v>
      </c>
      <c r="L319" s="53" t="n">
        <f aca="false">$H$5</f>
        <v>0.279917629215756</v>
      </c>
      <c r="M319" s="53" t="n">
        <f aca="false">$H$8</f>
        <v>0.720507977601356</v>
      </c>
      <c r="N319" s="54" t="n">
        <f aca="false">IF(OR(F319&gt;J319,F319&lt;K319),1,0)</f>
        <v>0</v>
      </c>
      <c r="O319" s="54" t="n">
        <f aca="false">IF(G319&gt;M319,1,0)</f>
        <v>0</v>
      </c>
      <c r="P319" s="54" t="n">
        <f aca="false">SIGN(F319-I319)</f>
        <v>1</v>
      </c>
      <c r="Q319" s="54" t="n">
        <f aca="false">IF(ABS(SUM(P312:P319))=8,1,0)</f>
        <v>0</v>
      </c>
    </row>
    <row r="320" customFormat="false" ht="15" hidden="false" customHeight="false" outlineLevel="0" collapsed="false">
      <c r="A320" s="52" t="n">
        <v>44314</v>
      </c>
      <c r="B320" s="53" t="n">
        <v>0.68691775740197</v>
      </c>
      <c r="C320" s="53" t="n">
        <v>0.586775603370645</v>
      </c>
      <c r="D320" s="53" t="n">
        <v>0.520069943135843</v>
      </c>
      <c r="E320" s="54" t="s">
        <v>946</v>
      </c>
      <c r="F320" s="53" t="n">
        <f aca="false">AVERAGE(B320:D320)</f>
        <v>0.59792110130282</v>
      </c>
      <c r="G320" s="53" t="n">
        <f aca="false">MAX(B320:D320)-MIN(B320:D320)</f>
        <v>0.166847814266126</v>
      </c>
      <c r="H320" s="54" t="n">
        <f aca="false">IF(AND(E320="Phase I",OR(F320&gt;$E$6,F320&lt;$E$7,G320&gt;$E$8)),1,0)</f>
        <v>0</v>
      </c>
      <c r="I320" s="53" t="n">
        <f aca="false">$H$4</f>
        <v>0.67278149898986</v>
      </c>
      <c r="J320" s="53" t="n">
        <f aca="false">$H$6</f>
        <v>0.959137233677579</v>
      </c>
      <c r="K320" s="53" t="n">
        <f aca="false">$H$7</f>
        <v>0.386425764302142</v>
      </c>
      <c r="L320" s="53" t="n">
        <f aca="false">$H$5</f>
        <v>0.279917629215756</v>
      </c>
      <c r="M320" s="53" t="n">
        <f aca="false">$H$8</f>
        <v>0.720507977601356</v>
      </c>
      <c r="N320" s="54" t="n">
        <f aca="false">IF(OR(F320&gt;J320,F320&lt;K320),1,0)</f>
        <v>0</v>
      </c>
      <c r="O320" s="54" t="n">
        <f aca="false">IF(G320&gt;M320,1,0)</f>
        <v>0</v>
      </c>
      <c r="P320" s="54" t="n">
        <f aca="false">SIGN(F320-I320)</f>
        <v>-1</v>
      </c>
      <c r="Q320" s="54" t="n">
        <f aca="false">IF(ABS(SUM(P313:P320))=8,1,0)</f>
        <v>0</v>
      </c>
    </row>
    <row r="321" customFormat="false" ht="15" hidden="false" customHeight="false" outlineLevel="0" collapsed="false">
      <c r="A321" s="52" t="n">
        <v>44315</v>
      </c>
      <c r="B321" s="53" t="n">
        <v>0.551729873855976</v>
      </c>
      <c r="C321" s="53" t="n">
        <v>0.649880663039919</v>
      </c>
      <c r="D321" s="53" t="n">
        <v>0.624262357928241</v>
      </c>
      <c r="E321" s="54" t="s">
        <v>946</v>
      </c>
      <c r="F321" s="53" t="n">
        <f aca="false">AVERAGE(B321:D321)</f>
        <v>0.608624298274712</v>
      </c>
      <c r="G321" s="53" t="n">
        <f aca="false">MAX(B321:D321)-MIN(B321:D321)</f>
        <v>0.0981507891839432</v>
      </c>
      <c r="H321" s="54" t="n">
        <f aca="false">IF(AND(E321="Phase I",OR(F321&gt;$E$6,F321&lt;$E$7,G321&gt;$E$8)),1,0)</f>
        <v>0</v>
      </c>
      <c r="I321" s="53" t="n">
        <f aca="false">$H$4</f>
        <v>0.67278149898986</v>
      </c>
      <c r="J321" s="53" t="n">
        <f aca="false">$H$6</f>
        <v>0.959137233677579</v>
      </c>
      <c r="K321" s="53" t="n">
        <f aca="false">$H$7</f>
        <v>0.386425764302142</v>
      </c>
      <c r="L321" s="53" t="n">
        <f aca="false">$H$5</f>
        <v>0.279917629215756</v>
      </c>
      <c r="M321" s="53" t="n">
        <f aca="false">$H$8</f>
        <v>0.720507977601356</v>
      </c>
      <c r="N321" s="54" t="n">
        <f aca="false">IF(OR(F321&gt;J321,F321&lt;K321),1,0)</f>
        <v>0</v>
      </c>
      <c r="O321" s="54" t="n">
        <f aca="false">IF(G321&gt;M321,1,0)</f>
        <v>0</v>
      </c>
      <c r="P321" s="54" t="n">
        <f aca="false">SIGN(F321-I321)</f>
        <v>-1</v>
      </c>
      <c r="Q321" s="54" t="n">
        <f aca="false">IF(ABS(SUM(P314:P321))=8,1,0)</f>
        <v>0</v>
      </c>
    </row>
    <row r="322" customFormat="false" ht="15" hidden="false" customHeight="false" outlineLevel="0" collapsed="false">
      <c r="A322" s="52" t="n">
        <v>44316</v>
      </c>
      <c r="B322" s="53" t="n">
        <v>0.637643075861955</v>
      </c>
      <c r="C322" s="53" t="n">
        <v>0.542266502722789</v>
      </c>
      <c r="D322" s="53" t="n">
        <v>0.793817258585654</v>
      </c>
      <c r="E322" s="54" t="s">
        <v>946</v>
      </c>
      <c r="F322" s="53" t="n">
        <f aca="false">AVERAGE(B322:D322)</f>
        <v>0.657908945723466</v>
      </c>
      <c r="G322" s="53" t="n">
        <f aca="false">MAX(B322:D322)-MIN(B322:D322)</f>
        <v>0.251550755862865</v>
      </c>
      <c r="H322" s="54" t="n">
        <f aca="false">IF(AND(E322="Phase I",OR(F322&gt;$E$6,F322&lt;$E$7,G322&gt;$E$8)),1,0)</f>
        <v>0</v>
      </c>
      <c r="I322" s="53" t="n">
        <f aca="false">$H$4</f>
        <v>0.67278149898986</v>
      </c>
      <c r="J322" s="53" t="n">
        <f aca="false">$H$6</f>
        <v>0.959137233677579</v>
      </c>
      <c r="K322" s="53" t="n">
        <f aca="false">$H$7</f>
        <v>0.386425764302142</v>
      </c>
      <c r="L322" s="53" t="n">
        <f aca="false">$H$5</f>
        <v>0.279917629215756</v>
      </c>
      <c r="M322" s="53" t="n">
        <f aca="false">$H$8</f>
        <v>0.720507977601356</v>
      </c>
      <c r="N322" s="54" t="n">
        <f aca="false">IF(OR(F322&gt;J322,F322&lt;K322),1,0)</f>
        <v>0</v>
      </c>
      <c r="O322" s="54" t="n">
        <f aca="false">IF(G322&gt;M322,1,0)</f>
        <v>0</v>
      </c>
      <c r="P322" s="54" t="n">
        <f aca="false">SIGN(F322-I322)</f>
        <v>-1</v>
      </c>
      <c r="Q322" s="54" t="n">
        <f aca="false">IF(ABS(SUM(P315:P322))=8,1,0)</f>
        <v>0</v>
      </c>
    </row>
    <row r="323" customFormat="false" ht="15" hidden="false" customHeight="false" outlineLevel="0" collapsed="false">
      <c r="A323" s="52" t="n">
        <v>44318</v>
      </c>
      <c r="B323" s="53" t="n">
        <v>0</v>
      </c>
      <c r="C323" s="53" t="n">
        <v>0.483502165992502</v>
      </c>
      <c r="D323" s="53" t="n">
        <v>0.792186507210216</v>
      </c>
      <c r="E323" s="54" t="s">
        <v>946</v>
      </c>
      <c r="F323" s="53" t="n">
        <f aca="false">AVERAGE(B323:D323)</f>
        <v>0.42522955773424</v>
      </c>
      <c r="G323" s="53" t="n">
        <f aca="false">MAX(B323:D323)-MIN(B323:D323)</f>
        <v>0.792186507210216</v>
      </c>
      <c r="H323" s="54" t="n">
        <f aca="false">IF(AND(E323="Phase I",OR(F323&gt;$E$6,F323&lt;$E$7,G323&gt;$E$8)),1,0)</f>
        <v>0</v>
      </c>
      <c r="I323" s="53" t="n">
        <f aca="false">$H$4</f>
        <v>0.67278149898986</v>
      </c>
      <c r="J323" s="53" t="n">
        <f aca="false">$H$6</f>
        <v>0.959137233677579</v>
      </c>
      <c r="K323" s="53" t="n">
        <f aca="false">$H$7</f>
        <v>0.386425764302142</v>
      </c>
      <c r="L323" s="53" t="n">
        <f aca="false">$H$5</f>
        <v>0.279917629215756</v>
      </c>
      <c r="M323" s="53" t="n">
        <f aca="false">$H$8</f>
        <v>0.720507977601356</v>
      </c>
      <c r="N323" s="54" t="n">
        <f aca="false">IF(OR(F323&gt;J323,F323&lt;K323),1,0)</f>
        <v>0</v>
      </c>
      <c r="O323" s="54" t="n">
        <f aca="false">IF(G323&gt;M323,1,0)</f>
        <v>1</v>
      </c>
      <c r="P323" s="54" t="n">
        <f aca="false">SIGN(F323-I323)</f>
        <v>-1</v>
      </c>
      <c r="Q323" s="54" t="n">
        <f aca="false">IF(ABS(SUM(P316:P323))=8,1,0)</f>
        <v>0</v>
      </c>
    </row>
    <row r="324" customFormat="false" ht="15" hidden="false" customHeight="false" outlineLevel="0" collapsed="false">
      <c r="A324" s="52" t="n">
        <v>44319</v>
      </c>
      <c r="B324" s="53" t="n">
        <v>0.73184203462841</v>
      </c>
      <c r="C324" s="53" t="n">
        <v>0.696499543573393</v>
      </c>
      <c r="D324" s="53" t="n">
        <v>0.646135335653221</v>
      </c>
      <c r="E324" s="54" t="s">
        <v>946</v>
      </c>
      <c r="F324" s="53" t="n">
        <f aca="false">AVERAGE(B324:D324)</f>
        <v>0.691492304618341</v>
      </c>
      <c r="G324" s="53" t="n">
        <f aca="false">MAX(B324:D324)-MIN(B324:D324)</f>
        <v>0.0857066989751897</v>
      </c>
      <c r="H324" s="54" t="n">
        <f aca="false">IF(AND(E324="Phase I",OR(F324&gt;$E$6,F324&lt;$E$7,G324&gt;$E$8)),1,0)</f>
        <v>0</v>
      </c>
      <c r="I324" s="53" t="n">
        <f aca="false">$H$4</f>
        <v>0.67278149898986</v>
      </c>
      <c r="J324" s="53" t="n">
        <f aca="false">$H$6</f>
        <v>0.959137233677579</v>
      </c>
      <c r="K324" s="53" t="n">
        <f aca="false">$H$7</f>
        <v>0.386425764302142</v>
      </c>
      <c r="L324" s="53" t="n">
        <f aca="false">$H$5</f>
        <v>0.279917629215756</v>
      </c>
      <c r="M324" s="53" t="n">
        <f aca="false">$H$8</f>
        <v>0.720507977601356</v>
      </c>
      <c r="N324" s="54" t="n">
        <f aca="false">IF(OR(F324&gt;J324,F324&lt;K324),1,0)</f>
        <v>0</v>
      </c>
      <c r="O324" s="54" t="n">
        <f aca="false">IF(G324&gt;M324,1,0)</f>
        <v>0</v>
      </c>
      <c r="P324" s="54" t="n">
        <f aca="false">SIGN(F324-I324)</f>
        <v>1</v>
      </c>
      <c r="Q324" s="54" t="n">
        <f aca="false">IF(ABS(SUM(P317:P324))=8,1,0)</f>
        <v>0</v>
      </c>
    </row>
    <row r="325" customFormat="false" ht="15" hidden="false" customHeight="false" outlineLevel="0" collapsed="false">
      <c r="A325" s="52" t="n">
        <v>44320</v>
      </c>
      <c r="B325" s="53" t="n">
        <v>0.739332057699595</v>
      </c>
      <c r="C325" s="53" t="n">
        <v>0.717476876011822</v>
      </c>
      <c r="D325" s="53" t="n">
        <v>0.644592945636277</v>
      </c>
      <c r="E325" s="54" t="s">
        <v>946</v>
      </c>
      <c r="F325" s="53" t="n">
        <f aca="false">AVERAGE(B325:D325)</f>
        <v>0.700467293115898</v>
      </c>
      <c r="G325" s="53" t="n">
        <f aca="false">MAX(B325:D325)-MIN(B325:D325)</f>
        <v>0.0947391120633172</v>
      </c>
      <c r="H325" s="54" t="n">
        <f aca="false">IF(AND(E325="Phase I",OR(F325&gt;$E$6,F325&lt;$E$7,G325&gt;$E$8)),1,0)</f>
        <v>0</v>
      </c>
      <c r="I325" s="53" t="n">
        <f aca="false">$H$4</f>
        <v>0.67278149898986</v>
      </c>
      <c r="J325" s="53" t="n">
        <f aca="false">$H$6</f>
        <v>0.959137233677579</v>
      </c>
      <c r="K325" s="53" t="n">
        <f aca="false">$H$7</f>
        <v>0.386425764302142</v>
      </c>
      <c r="L325" s="53" t="n">
        <f aca="false">$H$5</f>
        <v>0.279917629215756</v>
      </c>
      <c r="M325" s="53" t="n">
        <f aca="false">$H$8</f>
        <v>0.720507977601356</v>
      </c>
      <c r="N325" s="54" t="n">
        <f aca="false">IF(OR(F325&gt;J325,F325&lt;K325),1,0)</f>
        <v>0</v>
      </c>
      <c r="O325" s="54" t="n">
        <f aca="false">IF(G325&gt;M325,1,0)</f>
        <v>0</v>
      </c>
      <c r="P325" s="54" t="n">
        <f aca="false">SIGN(F325-I325)</f>
        <v>1</v>
      </c>
      <c r="Q325" s="54" t="n">
        <f aca="false">IF(ABS(SUM(P318:P325))=8,1,0)</f>
        <v>0</v>
      </c>
    </row>
    <row r="326" customFormat="false" ht="15" hidden="false" customHeight="false" outlineLevel="0" collapsed="false">
      <c r="A326" s="52" t="n">
        <v>44321</v>
      </c>
      <c r="B326" s="53" t="n">
        <v>0.779619688464741</v>
      </c>
      <c r="C326" s="53" t="n">
        <v>0.551377483743012</v>
      </c>
      <c r="D326" s="53" t="n">
        <v>0.763919366130164</v>
      </c>
      <c r="E326" s="54" t="s">
        <v>946</v>
      </c>
      <c r="F326" s="53" t="n">
        <f aca="false">AVERAGE(B326:D326)</f>
        <v>0.698305512779306</v>
      </c>
      <c r="G326" s="53" t="n">
        <f aca="false">MAX(B326:D326)-MIN(B326:D326)</f>
        <v>0.228242204721729</v>
      </c>
      <c r="H326" s="54" t="n">
        <f aca="false">IF(AND(E326="Phase I",OR(F326&gt;$E$6,F326&lt;$E$7,G326&gt;$E$8)),1,0)</f>
        <v>0</v>
      </c>
      <c r="I326" s="53" t="n">
        <f aca="false">$H$4</f>
        <v>0.67278149898986</v>
      </c>
      <c r="J326" s="53" t="n">
        <f aca="false">$H$6</f>
        <v>0.959137233677579</v>
      </c>
      <c r="K326" s="53" t="n">
        <f aca="false">$H$7</f>
        <v>0.386425764302142</v>
      </c>
      <c r="L326" s="53" t="n">
        <f aca="false">$H$5</f>
        <v>0.279917629215756</v>
      </c>
      <c r="M326" s="53" t="n">
        <f aca="false">$H$8</f>
        <v>0.720507977601356</v>
      </c>
      <c r="N326" s="54" t="n">
        <f aca="false">IF(OR(F326&gt;J326,F326&lt;K326),1,0)</f>
        <v>0</v>
      </c>
      <c r="O326" s="54" t="n">
        <f aca="false">IF(G326&gt;M326,1,0)</f>
        <v>0</v>
      </c>
      <c r="P326" s="54" t="n">
        <f aca="false">SIGN(F326-I326)</f>
        <v>1</v>
      </c>
      <c r="Q326" s="54" t="n">
        <f aca="false">IF(ABS(SUM(P319:P326))=8,1,0)</f>
        <v>0</v>
      </c>
    </row>
    <row r="327" customFormat="false" ht="15" hidden="false" customHeight="false" outlineLevel="0" collapsed="false">
      <c r="A327" s="52" t="n">
        <v>44322</v>
      </c>
      <c r="B327" s="53" t="n">
        <v>0.78850093434125</v>
      </c>
      <c r="C327" s="53" t="n">
        <v>0.839359314613024</v>
      </c>
      <c r="D327" s="53" t="n">
        <v>0.785643648135719</v>
      </c>
      <c r="E327" s="54" t="s">
        <v>946</v>
      </c>
      <c r="F327" s="53" t="n">
        <f aca="false">AVERAGE(B327:D327)</f>
        <v>0.804501299029998</v>
      </c>
      <c r="G327" s="53" t="n">
        <f aca="false">MAX(B327:D327)-MIN(B327:D327)</f>
        <v>0.0537156664773054</v>
      </c>
      <c r="H327" s="54" t="n">
        <f aca="false">IF(AND(E327="Phase I",OR(F327&gt;$E$6,F327&lt;$E$7,G327&gt;$E$8)),1,0)</f>
        <v>0</v>
      </c>
      <c r="I327" s="53" t="n">
        <f aca="false">$H$4</f>
        <v>0.67278149898986</v>
      </c>
      <c r="J327" s="53" t="n">
        <f aca="false">$H$6</f>
        <v>0.959137233677579</v>
      </c>
      <c r="K327" s="53" t="n">
        <f aca="false">$H$7</f>
        <v>0.386425764302142</v>
      </c>
      <c r="L327" s="53" t="n">
        <f aca="false">$H$5</f>
        <v>0.279917629215756</v>
      </c>
      <c r="M327" s="53" t="n">
        <f aca="false">$H$8</f>
        <v>0.720507977601356</v>
      </c>
      <c r="N327" s="54" t="n">
        <f aca="false">IF(OR(F327&gt;J327,F327&lt;K327),1,0)</f>
        <v>0</v>
      </c>
      <c r="O327" s="54" t="n">
        <f aca="false">IF(G327&gt;M327,1,0)</f>
        <v>0</v>
      </c>
      <c r="P327" s="54" t="n">
        <f aca="false">SIGN(F327-I327)</f>
        <v>1</v>
      </c>
      <c r="Q327" s="54" t="n">
        <f aca="false">IF(ABS(SUM(P320:P327))=8,1,0)</f>
        <v>0</v>
      </c>
    </row>
    <row r="328" customFormat="false" ht="15" hidden="false" customHeight="false" outlineLevel="0" collapsed="false">
      <c r="A328" s="52" t="n">
        <v>44323</v>
      </c>
      <c r="B328" s="53" t="n">
        <v>0.652267629481897</v>
      </c>
      <c r="C328" s="53" t="n">
        <v>0.78312944021435</v>
      </c>
      <c r="D328" s="53" t="n">
        <v>0.572550285994316</v>
      </c>
      <c r="E328" s="54" t="s">
        <v>946</v>
      </c>
      <c r="F328" s="53" t="n">
        <f aca="false">AVERAGE(B328:D328)</f>
        <v>0.669315785230188</v>
      </c>
      <c r="G328" s="53" t="n">
        <f aca="false">MAX(B328:D328)-MIN(B328:D328)</f>
        <v>0.210579154220034</v>
      </c>
      <c r="H328" s="54" t="n">
        <f aca="false">IF(AND(E328="Phase I",OR(F328&gt;$E$6,F328&lt;$E$7,G328&gt;$E$8)),1,0)</f>
        <v>0</v>
      </c>
      <c r="I328" s="53" t="n">
        <f aca="false">$H$4</f>
        <v>0.67278149898986</v>
      </c>
      <c r="J328" s="53" t="n">
        <f aca="false">$H$6</f>
        <v>0.959137233677579</v>
      </c>
      <c r="K328" s="53" t="n">
        <f aca="false">$H$7</f>
        <v>0.386425764302142</v>
      </c>
      <c r="L328" s="53" t="n">
        <f aca="false">$H$5</f>
        <v>0.279917629215756</v>
      </c>
      <c r="M328" s="53" t="n">
        <f aca="false">$H$8</f>
        <v>0.720507977601356</v>
      </c>
      <c r="N328" s="54" t="n">
        <f aca="false">IF(OR(F328&gt;J328,F328&lt;K328),1,0)</f>
        <v>0</v>
      </c>
      <c r="O328" s="54" t="n">
        <f aca="false">IF(G328&gt;M328,1,0)</f>
        <v>0</v>
      </c>
      <c r="P328" s="54" t="n">
        <f aca="false">SIGN(F328-I328)</f>
        <v>-1</v>
      </c>
      <c r="Q328" s="54" t="n">
        <f aca="false">IF(ABS(SUM(P321:P328))=8,1,0)</f>
        <v>0</v>
      </c>
    </row>
    <row r="329" customFormat="false" ht="15" hidden="false" customHeight="false" outlineLevel="0" collapsed="false">
      <c r="A329" s="52" t="n">
        <v>44326</v>
      </c>
      <c r="B329" s="53" t="n">
        <v>0.648731312393887</v>
      </c>
      <c r="C329" s="53" t="n">
        <v>0.687209151512107</v>
      </c>
      <c r="D329" s="53" t="n">
        <v>0.233874031362646</v>
      </c>
      <c r="E329" s="54" t="s">
        <v>946</v>
      </c>
      <c r="F329" s="53" t="n">
        <f aca="false">AVERAGE(B329:D329)</f>
        <v>0.52327149842288</v>
      </c>
      <c r="G329" s="53" t="n">
        <f aca="false">MAX(B329:D329)-MIN(B329:D329)</f>
        <v>0.453335120149461</v>
      </c>
      <c r="H329" s="54" t="n">
        <f aca="false">IF(AND(E329="Phase I",OR(F329&gt;$E$6,F329&lt;$E$7,G329&gt;$E$8)),1,0)</f>
        <v>0</v>
      </c>
      <c r="I329" s="53" t="n">
        <f aca="false">$H$4</f>
        <v>0.67278149898986</v>
      </c>
      <c r="J329" s="53" t="n">
        <f aca="false">$H$6</f>
        <v>0.959137233677579</v>
      </c>
      <c r="K329" s="53" t="n">
        <f aca="false">$H$7</f>
        <v>0.386425764302142</v>
      </c>
      <c r="L329" s="53" t="n">
        <f aca="false">$H$5</f>
        <v>0.279917629215756</v>
      </c>
      <c r="M329" s="53" t="n">
        <f aca="false">$H$8</f>
        <v>0.720507977601356</v>
      </c>
      <c r="N329" s="54" t="n">
        <f aca="false">IF(OR(F329&gt;J329,F329&lt;K329),1,0)</f>
        <v>0</v>
      </c>
      <c r="O329" s="54" t="n">
        <f aca="false">IF(G329&gt;M329,1,0)</f>
        <v>0</v>
      </c>
      <c r="P329" s="54" t="n">
        <f aca="false">SIGN(F329-I329)</f>
        <v>-1</v>
      </c>
      <c r="Q329" s="54" t="n">
        <f aca="false">IF(ABS(SUM(P322:P329))=8,1,0)</f>
        <v>0</v>
      </c>
    </row>
    <row r="330" customFormat="false" ht="15" hidden="false" customHeight="false" outlineLevel="0" collapsed="false">
      <c r="A330" s="52" t="n">
        <v>44332</v>
      </c>
      <c r="B330" s="53" t="n">
        <v>0.826506291420643</v>
      </c>
      <c r="C330" s="53" t="n">
        <v>0.809882185336381</v>
      </c>
      <c r="D330" s="53" t="n">
        <v>0.790361784316833</v>
      </c>
      <c r="E330" s="54" t="s">
        <v>946</v>
      </c>
      <c r="F330" s="53" t="n">
        <f aca="false">AVERAGE(B330:D330)</f>
        <v>0.808916753691285</v>
      </c>
      <c r="G330" s="53" t="n">
        <f aca="false">MAX(B330:D330)-MIN(B330:D330)</f>
        <v>0.0361445071038103</v>
      </c>
      <c r="H330" s="54" t="n">
        <f aca="false">IF(AND(E330="Phase I",OR(F330&gt;$E$6,F330&lt;$E$7,G330&gt;$E$8)),1,0)</f>
        <v>0</v>
      </c>
      <c r="I330" s="53" t="n">
        <f aca="false">$H$4</f>
        <v>0.67278149898986</v>
      </c>
      <c r="J330" s="53" t="n">
        <f aca="false">$H$6</f>
        <v>0.959137233677579</v>
      </c>
      <c r="K330" s="53" t="n">
        <f aca="false">$H$7</f>
        <v>0.386425764302142</v>
      </c>
      <c r="L330" s="53" t="n">
        <f aca="false">$H$5</f>
        <v>0.279917629215756</v>
      </c>
      <c r="M330" s="53" t="n">
        <f aca="false">$H$8</f>
        <v>0.720507977601356</v>
      </c>
      <c r="N330" s="54" t="n">
        <f aca="false">IF(OR(F330&gt;J330,F330&lt;K330),1,0)</f>
        <v>0</v>
      </c>
      <c r="O330" s="54" t="n">
        <f aca="false">IF(G330&gt;M330,1,0)</f>
        <v>0</v>
      </c>
      <c r="P330" s="54" t="n">
        <f aca="false">SIGN(F330-I330)</f>
        <v>1</v>
      </c>
      <c r="Q330" s="54" t="n">
        <f aca="false">IF(ABS(SUM(P323:P330))=8,1,0)</f>
        <v>0</v>
      </c>
    </row>
    <row r="331" customFormat="false" ht="15" hidden="false" customHeight="false" outlineLevel="0" collapsed="false">
      <c r="A331" s="52" t="n">
        <v>44333</v>
      </c>
      <c r="B331" s="53" t="n">
        <v>0.465885456871362</v>
      </c>
      <c r="C331" s="53" t="n">
        <v>0.790975500125687</v>
      </c>
      <c r="D331" s="53" t="n">
        <v>0.616930702767329</v>
      </c>
      <c r="E331" s="54" t="s">
        <v>946</v>
      </c>
      <c r="F331" s="53" t="n">
        <f aca="false">AVERAGE(B331:D331)</f>
        <v>0.624597219921459</v>
      </c>
      <c r="G331" s="53" t="n">
        <f aca="false">MAX(B331:D331)-MIN(B331:D331)</f>
        <v>0.325090043254325</v>
      </c>
      <c r="H331" s="54" t="n">
        <f aca="false">IF(AND(E331="Phase I",OR(F331&gt;$E$6,F331&lt;$E$7,G331&gt;$E$8)),1,0)</f>
        <v>0</v>
      </c>
      <c r="I331" s="53" t="n">
        <f aca="false">$H$4</f>
        <v>0.67278149898986</v>
      </c>
      <c r="J331" s="53" t="n">
        <f aca="false">$H$6</f>
        <v>0.959137233677579</v>
      </c>
      <c r="K331" s="53" t="n">
        <f aca="false">$H$7</f>
        <v>0.386425764302142</v>
      </c>
      <c r="L331" s="53" t="n">
        <f aca="false">$H$5</f>
        <v>0.279917629215756</v>
      </c>
      <c r="M331" s="53" t="n">
        <f aca="false">$H$8</f>
        <v>0.720507977601356</v>
      </c>
      <c r="N331" s="54" t="n">
        <f aca="false">IF(OR(F331&gt;J331,F331&lt;K331),1,0)</f>
        <v>0</v>
      </c>
      <c r="O331" s="54" t="n">
        <f aca="false">IF(G331&gt;M331,1,0)</f>
        <v>0</v>
      </c>
      <c r="P331" s="54" t="n">
        <f aca="false">SIGN(F331-I331)</f>
        <v>-1</v>
      </c>
      <c r="Q331" s="54" t="n">
        <f aca="false">IF(ABS(SUM(P324:P331))=8,1,0)</f>
        <v>0</v>
      </c>
    </row>
    <row r="332" customFormat="false" ht="15" hidden="false" customHeight="false" outlineLevel="0" collapsed="false">
      <c r="A332" s="52" t="n">
        <v>44334</v>
      </c>
      <c r="B332" s="53" t="n">
        <v>0.396569386118086</v>
      </c>
      <c r="C332" s="53" t="n">
        <v>0.766870511520009</v>
      </c>
      <c r="D332" s="53" t="n">
        <v>0.495640297468795</v>
      </c>
      <c r="E332" s="54" t="s">
        <v>946</v>
      </c>
      <c r="F332" s="53" t="n">
        <f aca="false">AVERAGE(B332:D332)</f>
        <v>0.553026731702297</v>
      </c>
      <c r="G332" s="53" t="n">
        <f aca="false">MAX(B332:D332)-MIN(B332:D332)</f>
        <v>0.370301125401923</v>
      </c>
      <c r="H332" s="54" t="n">
        <f aca="false">IF(AND(E332="Phase I",OR(F332&gt;$E$6,F332&lt;$E$7,G332&gt;$E$8)),1,0)</f>
        <v>0</v>
      </c>
      <c r="I332" s="53" t="n">
        <f aca="false">$H$4</f>
        <v>0.67278149898986</v>
      </c>
      <c r="J332" s="53" t="n">
        <f aca="false">$H$6</f>
        <v>0.959137233677579</v>
      </c>
      <c r="K332" s="53" t="n">
        <f aca="false">$H$7</f>
        <v>0.386425764302142</v>
      </c>
      <c r="L332" s="53" t="n">
        <f aca="false">$H$5</f>
        <v>0.279917629215756</v>
      </c>
      <c r="M332" s="53" t="n">
        <f aca="false">$H$8</f>
        <v>0.720507977601356</v>
      </c>
      <c r="N332" s="54" t="n">
        <f aca="false">IF(OR(F332&gt;J332,F332&lt;K332),1,0)</f>
        <v>0</v>
      </c>
      <c r="O332" s="54" t="n">
        <f aca="false">IF(G332&gt;M332,1,0)</f>
        <v>0</v>
      </c>
      <c r="P332" s="54" t="n">
        <f aca="false">SIGN(F332-I332)</f>
        <v>-1</v>
      </c>
      <c r="Q332" s="54" t="n">
        <f aca="false">IF(ABS(SUM(P325:P332))=8,1,0)</f>
        <v>0</v>
      </c>
    </row>
    <row r="333" customFormat="false" ht="15" hidden="false" customHeight="false" outlineLevel="0" collapsed="false">
      <c r="A333" s="52" t="n">
        <v>44335</v>
      </c>
      <c r="B333" s="53" t="n">
        <v>0.233992865719981</v>
      </c>
      <c r="C333" s="53" t="n">
        <v>0.670990300986264</v>
      </c>
      <c r="D333" s="53" t="n">
        <v>0.646483267960435</v>
      </c>
      <c r="E333" s="54" t="s">
        <v>946</v>
      </c>
      <c r="F333" s="53" t="n">
        <f aca="false">AVERAGE(B333:D333)</f>
        <v>0.517155478222227</v>
      </c>
      <c r="G333" s="53" t="n">
        <f aca="false">MAX(B333:D333)-MIN(B333:D333)</f>
        <v>0.436997435266284</v>
      </c>
      <c r="H333" s="54" t="n">
        <f aca="false">IF(AND(E333="Phase I",OR(F333&gt;$E$6,F333&lt;$E$7,G333&gt;$E$8)),1,0)</f>
        <v>0</v>
      </c>
      <c r="I333" s="53" t="n">
        <f aca="false">$H$4</f>
        <v>0.67278149898986</v>
      </c>
      <c r="J333" s="53" t="n">
        <f aca="false">$H$6</f>
        <v>0.959137233677579</v>
      </c>
      <c r="K333" s="53" t="n">
        <f aca="false">$H$7</f>
        <v>0.386425764302142</v>
      </c>
      <c r="L333" s="53" t="n">
        <f aca="false">$H$5</f>
        <v>0.279917629215756</v>
      </c>
      <c r="M333" s="53" t="n">
        <f aca="false">$H$8</f>
        <v>0.720507977601356</v>
      </c>
      <c r="N333" s="54" t="n">
        <f aca="false">IF(OR(F333&gt;J333,F333&lt;K333),1,0)</f>
        <v>0</v>
      </c>
      <c r="O333" s="54" t="n">
        <f aca="false">IF(G333&gt;M333,1,0)</f>
        <v>0</v>
      </c>
      <c r="P333" s="54" t="n">
        <f aca="false">SIGN(F333-I333)</f>
        <v>-1</v>
      </c>
      <c r="Q333" s="54" t="n">
        <f aca="false">IF(ABS(SUM(P326:P333))=8,1,0)</f>
        <v>0</v>
      </c>
    </row>
    <row r="334" customFormat="false" ht="15" hidden="false" customHeight="false" outlineLevel="0" collapsed="false">
      <c r="A334" s="52" t="n">
        <v>44336</v>
      </c>
      <c r="B334" s="53" t="n">
        <v>0.729436352642115</v>
      </c>
      <c r="C334" s="53" t="n">
        <v>0.781452141414035</v>
      </c>
      <c r="D334" s="53" t="n">
        <v>0.836502354093558</v>
      </c>
      <c r="E334" s="54" t="s">
        <v>946</v>
      </c>
      <c r="F334" s="53" t="n">
        <f aca="false">AVERAGE(B334:D334)</f>
        <v>0.782463616049903</v>
      </c>
      <c r="G334" s="53" t="n">
        <f aca="false">MAX(B334:D334)-MIN(B334:D334)</f>
        <v>0.107066001451443</v>
      </c>
      <c r="H334" s="54" t="n">
        <f aca="false">IF(AND(E334="Phase I",OR(F334&gt;$E$6,F334&lt;$E$7,G334&gt;$E$8)),1,0)</f>
        <v>0</v>
      </c>
      <c r="I334" s="53" t="n">
        <f aca="false">$H$4</f>
        <v>0.67278149898986</v>
      </c>
      <c r="J334" s="53" t="n">
        <f aca="false">$H$6</f>
        <v>0.959137233677579</v>
      </c>
      <c r="K334" s="53" t="n">
        <f aca="false">$H$7</f>
        <v>0.386425764302142</v>
      </c>
      <c r="L334" s="53" t="n">
        <f aca="false">$H$5</f>
        <v>0.279917629215756</v>
      </c>
      <c r="M334" s="53" t="n">
        <f aca="false">$H$8</f>
        <v>0.720507977601356</v>
      </c>
      <c r="N334" s="54" t="n">
        <f aca="false">IF(OR(F334&gt;J334,F334&lt;K334),1,0)</f>
        <v>0</v>
      </c>
      <c r="O334" s="54" t="n">
        <f aca="false">IF(G334&gt;M334,1,0)</f>
        <v>0</v>
      </c>
      <c r="P334" s="54" t="n">
        <f aca="false">SIGN(F334-I334)</f>
        <v>1</v>
      </c>
      <c r="Q334" s="54" t="n">
        <f aca="false">IF(ABS(SUM(P327:P334))=8,1,0)</f>
        <v>0</v>
      </c>
    </row>
    <row r="335" customFormat="false" ht="15" hidden="false" customHeight="false" outlineLevel="0" collapsed="false">
      <c r="A335" s="52" t="n">
        <v>44337</v>
      </c>
      <c r="B335" s="53" t="n">
        <v>0.764930654967075</v>
      </c>
      <c r="C335" s="53" t="n">
        <v>0.746794443708613</v>
      </c>
      <c r="D335" s="53" t="n">
        <v>0.649970592660475</v>
      </c>
      <c r="E335" s="54" t="s">
        <v>946</v>
      </c>
      <c r="F335" s="53" t="n">
        <f aca="false">AVERAGE(B335:D335)</f>
        <v>0.720565230445388</v>
      </c>
      <c r="G335" s="53" t="n">
        <f aca="false">MAX(B335:D335)-MIN(B335:D335)</f>
        <v>0.1149600623066</v>
      </c>
      <c r="H335" s="54" t="n">
        <f aca="false">IF(AND(E335="Phase I",OR(F335&gt;$E$6,F335&lt;$E$7,G335&gt;$E$8)),1,0)</f>
        <v>0</v>
      </c>
      <c r="I335" s="53" t="n">
        <f aca="false">$H$4</f>
        <v>0.67278149898986</v>
      </c>
      <c r="J335" s="53" t="n">
        <f aca="false">$H$6</f>
        <v>0.959137233677579</v>
      </c>
      <c r="K335" s="53" t="n">
        <f aca="false">$H$7</f>
        <v>0.386425764302142</v>
      </c>
      <c r="L335" s="53" t="n">
        <f aca="false">$H$5</f>
        <v>0.279917629215756</v>
      </c>
      <c r="M335" s="53" t="n">
        <f aca="false">$H$8</f>
        <v>0.720507977601356</v>
      </c>
      <c r="N335" s="54" t="n">
        <f aca="false">IF(OR(F335&gt;J335,F335&lt;K335),1,0)</f>
        <v>0</v>
      </c>
      <c r="O335" s="54" t="n">
        <f aca="false">IF(G335&gt;M335,1,0)</f>
        <v>0</v>
      </c>
      <c r="P335" s="54" t="n">
        <f aca="false">SIGN(F335-I335)</f>
        <v>1</v>
      </c>
      <c r="Q335" s="54" t="n">
        <f aca="false">IF(ABS(SUM(P328:P335))=8,1,0)</f>
        <v>0</v>
      </c>
    </row>
    <row r="336" customFormat="false" ht="15" hidden="false" customHeight="false" outlineLevel="0" collapsed="false">
      <c r="A336" s="52" t="n">
        <v>44340</v>
      </c>
      <c r="B336" s="53" t="n">
        <v>0.569267794782829</v>
      </c>
      <c r="C336" s="53" t="n">
        <v>0.776402780004933</v>
      </c>
      <c r="D336" s="53" t="n">
        <v>0.392677262458971</v>
      </c>
      <c r="E336" s="54" t="s">
        <v>946</v>
      </c>
      <c r="F336" s="53" t="n">
        <f aca="false">AVERAGE(B336:D336)</f>
        <v>0.579449279082244</v>
      </c>
      <c r="G336" s="53" t="n">
        <f aca="false">MAX(B336:D336)-MIN(B336:D336)</f>
        <v>0.383725517545961</v>
      </c>
      <c r="H336" s="54" t="n">
        <f aca="false">IF(AND(E336="Phase I",OR(F336&gt;$E$6,F336&lt;$E$7,G336&gt;$E$8)),1,0)</f>
        <v>0</v>
      </c>
      <c r="I336" s="53" t="n">
        <f aca="false">$H$4</f>
        <v>0.67278149898986</v>
      </c>
      <c r="J336" s="53" t="n">
        <f aca="false">$H$6</f>
        <v>0.959137233677579</v>
      </c>
      <c r="K336" s="53" t="n">
        <f aca="false">$H$7</f>
        <v>0.386425764302142</v>
      </c>
      <c r="L336" s="53" t="n">
        <f aca="false">$H$5</f>
        <v>0.279917629215756</v>
      </c>
      <c r="M336" s="53" t="n">
        <f aca="false">$H$8</f>
        <v>0.720507977601356</v>
      </c>
      <c r="N336" s="54" t="n">
        <f aca="false">IF(OR(F336&gt;J336,F336&lt;K336),1,0)</f>
        <v>0</v>
      </c>
      <c r="O336" s="54" t="n">
        <f aca="false">IF(G336&gt;M336,1,0)</f>
        <v>0</v>
      </c>
      <c r="P336" s="54" t="n">
        <f aca="false">SIGN(F336-I336)</f>
        <v>-1</v>
      </c>
      <c r="Q336" s="54" t="n">
        <f aca="false">IF(ABS(SUM(P329:P336))=8,1,0)</f>
        <v>0</v>
      </c>
    </row>
    <row r="337" customFormat="false" ht="15" hidden="false" customHeight="false" outlineLevel="0" collapsed="false">
      <c r="A337" s="52" t="n">
        <v>44341</v>
      </c>
      <c r="B337" s="53" t="n">
        <v>0.528414089103207</v>
      </c>
      <c r="C337" s="53" t="n">
        <v>0.899271578575078</v>
      </c>
      <c r="D337" s="53" t="n">
        <v>0.704348959270765</v>
      </c>
      <c r="E337" s="54" t="s">
        <v>946</v>
      </c>
      <c r="F337" s="53" t="n">
        <f aca="false">AVERAGE(B337:D337)</f>
        <v>0.710678208983017</v>
      </c>
      <c r="G337" s="53" t="n">
        <f aca="false">MAX(B337:D337)-MIN(B337:D337)</f>
        <v>0.370857489471872</v>
      </c>
      <c r="H337" s="54" t="n">
        <f aca="false">IF(AND(E337="Phase I",OR(F337&gt;$E$6,F337&lt;$E$7,G337&gt;$E$8)),1,0)</f>
        <v>0</v>
      </c>
      <c r="I337" s="53" t="n">
        <f aca="false">$H$4</f>
        <v>0.67278149898986</v>
      </c>
      <c r="J337" s="53" t="n">
        <f aca="false">$H$6</f>
        <v>0.959137233677579</v>
      </c>
      <c r="K337" s="53" t="n">
        <f aca="false">$H$7</f>
        <v>0.386425764302142</v>
      </c>
      <c r="L337" s="53" t="n">
        <f aca="false">$H$5</f>
        <v>0.279917629215756</v>
      </c>
      <c r="M337" s="53" t="n">
        <f aca="false">$H$8</f>
        <v>0.720507977601356</v>
      </c>
      <c r="N337" s="54" t="n">
        <f aca="false">IF(OR(F337&gt;J337,F337&lt;K337),1,0)</f>
        <v>0</v>
      </c>
      <c r="O337" s="54" t="n">
        <f aca="false">IF(G337&gt;M337,1,0)</f>
        <v>0</v>
      </c>
      <c r="P337" s="54" t="n">
        <f aca="false">SIGN(F337-I337)</f>
        <v>1</v>
      </c>
      <c r="Q337" s="54" t="n">
        <f aca="false">IF(ABS(SUM(P330:P337))=8,1,0)</f>
        <v>0</v>
      </c>
    </row>
    <row r="338" customFormat="false" ht="15" hidden="false" customHeight="false" outlineLevel="0" collapsed="false">
      <c r="A338" s="52" t="n">
        <v>44342</v>
      </c>
      <c r="B338" s="53" t="n">
        <v>0.70285990380791</v>
      </c>
      <c r="C338" s="53" t="n">
        <v>0.656306232473877</v>
      </c>
      <c r="D338" s="53" t="n">
        <v>0.583952519214502</v>
      </c>
      <c r="E338" s="54" t="s">
        <v>946</v>
      </c>
      <c r="F338" s="53" t="n">
        <f aca="false">AVERAGE(B338:D338)</f>
        <v>0.647706218498763</v>
      </c>
      <c r="G338" s="53" t="n">
        <f aca="false">MAX(B338:D338)-MIN(B338:D338)</f>
        <v>0.118907384593408</v>
      </c>
      <c r="H338" s="54" t="n">
        <f aca="false">IF(AND(E338="Phase I",OR(F338&gt;$E$6,F338&lt;$E$7,G338&gt;$E$8)),1,0)</f>
        <v>0</v>
      </c>
      <c r="I338" s="53" t="n">
        <f aca="false">$H$4</f>
        <v>0.67278149898986</v>
      </c>
      <c r="J338" s="53" t="n">
        <f aca="false">$H$6</f>
        <v>0.959137233677579</v>
      </c>
      <c r="K338" s="53" t="n">
        <f aca="false">$H$7</f>
        <v>0.386425764302142</v>
      </c>
      <c r="L338" s="53" t="n">
        <f aca="false">$H$5</f>
        <v>0.279917629215756</v>
      </c>
      <c r="M338" s="53" t="n">
        <f aca="false">$H$8</f>
        <v>0.720507977601356</v>
      </c>
      <c r="N338" s="54" t="n">
        <f aca="false">IF(OR(F338&gt;J338,F338&lt;K338),1,0)</f>
        <v>0</v>
      </c>
      <c r="O338" s="54" t="n">
        <f aca="false">IF(G338&gt;M338,1,0)</f>
        <v>0</v>
      </c>
      <c r="P338" s="54" t="n">
        <f aca="false">SIGN(F338-I338)</f>
        <v>-1</v>
      </c>
      <c r="Q338" s="54" t="n">
        <f aca="false">IF(ABS(SUM(P331:P338))=8,1,0)</f>
        <v>0</v>
      </c>
    </row>
    <row r="339" customFormat="false" ht="15" hidden="false" customHeight="false" outlineLevel="0" collapsed="false">
      <c r="A339" s="52" t="n">
        <v>44343</v>
      </c>
      <c r="B339" s="53" t="n">
        <v>0.766517718117889</v>
      </c>
      <c r="C339" s="53" t="n">
        <v>0.61499977542143</v>
      </c>
      <c r="D339" s="53" t="n">
        <v>0.76327030406192</v>
      </c>
      <c r="E339" s="54" t="s">
        <v>946</v>
      </c>
      <c r="F339" s="53" t="n">
        <f aca="false">AVERAGE(B339:D339)</f>
        <v>0.71492926586708</v>
      </c>
      <c r="G339" s="53" t="n">
        <f aca="false">MAX(B339:D339)-MIN(B339:D339)</f>
        <v>0.151517942696459</v>
      </c>
      <c r="H339" s="54" t="n">
        <f aca="false">IF(AND(E339="Phase I",OR(F339&gt;$E$6,F339&lt;$E$7,G339&gt;$E$8)),1,0)</f>
        <v>0</v>
      </c>
      <c r="I339" s="53" t="n">
        <f aca="false">$H$4</f>
        <v>0.67278149898986</v>
      </c>
      <c r="J339" s="53" t="n">
        <f aca="false">$H$6</f>
        <v>0.959137233677579</v>
      </c>
      <c r="K339" s="53" t="n">
        <f aca="false">$H$7</f>
        <v>0.386425764302142</v>
      </c>
      <c r="L339" s="53" t="n">
        <f aca="false">$H$5</f>
        <v>0.279917629215756</v>
      </c>
      <c r="M339" s="53" t="n">
        <f aca="false">$H$8</f>
        <v>0.720507977601356</v>
      </c>
      <c r="N339" s="54" t="n">
        <f aca="false">IF(OR(F339&gt;J339,F339&lt;K339),1,0)</f>
        <v>0</v>
      </c>
      <c r="O339" s="54" t="n">
        <f aca="false">IF(G339&gt;M339,1,0)</f>
        <v>0</v>
      </c>
      <c r="P339" s="54" t="n">
        <f aca="false">SIGN(F339-I339)</f>
        <v>1</v>
      </c>
      <c r="Q339" s="54" t="n">
        <f aca="false">IF(ABS(SUM(P332:P339))=8,1,0)</f>
        <v>0</v>
      </c>
    </row>
    <row r="340" customFormat="false" ht="15" hidden="false" customHeight="false" outlineLevel="0" collapsed="false">
      <c r="A340" s="52" t="n">
        <v>44344</v>
      </c>
      <c r="B340" s="53" t="n">
        <v>0.423109986590692</v>
      </c>
      <c r="C340" s="53" t="n">
        <v>0.593303505943854</v>
      </c>
      <c r="D340" s="53" t="n">
        <v>0.708013781341285</v>
      </c>
      <c r="E340" s="54" t="s">
        <v>946</v>
      </c>
      <c r="F340" s="53" t="n">
        <f aca="false">AVERAGE(B340:D340)</f>
        <v>0.574809091291944</v>
      </c>
      <c r="G340" s="53" t="n">
        <f aca="false">MAX(B340:D340)-MIN(B340:D340)</f>
        <v>0.284903794750593</v>
      </c>
      <c r="H340" s="54" t="n">
        <f aca="false">IF(AND(E340="Phase I",OR(F340&gt;$E$6,F340&lt;$E$7,G340&gt;$E$8)),1,0)</f>
        <v>0</v>
      </c>
      <c r="I340" s="53" t="n">
        <f aca="false">$H$4</f>
        <v>0.67278149898986</v>
      </c>
      <c r="J340" s="53" t="n">
        <f aca="false">$H$6</f>
        <v>0.959137233677579</v>
      </c>
      <c r="K340" s="53" t="n">
        <f aca="false">$H$7</f>
        <v>0.386425764302142</v>
      </c>
      <c r="L340" s="53" t="n">
        <f aca="false">$H$5</f>
        <v>0.279917629215756</v>
      </c>
      <c r="M340" s="53" t="n">
        <f aca="false">$H$8</f>
        <v>0.720507977601356</v>
      </c>
      <c r="N340" s="54" t="n">
        <f aca="false">IF(OR(F340&gt;J340,F340&lt;K340),1,0)</f>
        <v>0</v>
      </c>
      <c r="O340" s="54" t="n">
        <f aca="false">IF(G340&gt;M340,1,0)</f>
        <v>0</v>
      </c>
      <c r="P340" s="54" t="n">
        <f aca="false">SIGN(F340-I340)</f>
        <v>-1</v>
      </c>
      <c r="Q340" s="54" t="n">
        <f aca="false">IF(ABS(SUM(P333:P340))=8,1,0)</f>
        <v>0</v>
      </c>
    </row>
    <row r="341" customFormat="false" ht="15" hidden="false" customHeight="false" outlineLevel="0" collapsed="false">
      <c r="A341" s="52" t="n">
        <v>44347</v>
      </c>
      <c r="B341" s="53" t="n">
        <v>0.479059446521126</v>
      </c>
      <c r="C341" s="53" t="n">
        <v>0.769109088169625</v>
      </c>
      <c r="D341" s="53" t="n">
        <v>0.302966993851043</v>
      </c>
      <c r="E341" s="54" t="s">
        <v>946</v>
      </c>
      <c r="F341" s="53" t="n">
        <f aca="false">AVERAGE(B341:D341)</f>
        <v>0.517045176180598</v>
      </c>
      <c r="G341" s="53" t="n">
        <f aca="false">MAX(B341:D341)-MIN(B341:D341)</f>
        <v>0.466142094318582</v>
      </c>
      <c r="H341" s="54" t="n">
        <f aca="false">IF(AND(E341="Phase I",OR(F341&gt;$E$6,F341&lt;$E$7,G341&gt;$E$8)),1,0)</f>
        <v>0</v>
      </c>
      <c r="I341" s="53" t="n">
        <f aca="false">$H$4</f>
        <v>0.67278149898986</v>
      </c>
      <c r="J341" s="53" t="n">
        <f aca="false">$H$6</f>
        <v>0.959137233677579</v>
      </c>
      <c r="K341" s="53" t="n">
        <f aca="false">$H$7</f>
        <v>0.386425764302142</v>
      </c>
      <c r="L341" s="53" t="n">
        <f aca="false">$H$5</f>
        <v>0.279917629215756</v>
      </c>
      <c r="M341" s="53" t="n">
        <f aca="false">$H$8</f>
        <v>0.720507977601356</v>
      </c>
      <c r="N341" s="54" t="n">
        <f aca="false">IF(OR(F341&gt;J341,F341&lt;K341),1,0)</f>
        <v>0</v>
      </c>
      <c r="O341" s="54" t="n">
        <f aca="false">IF(G341&gt;M341,1,0)</f>
        <v>0</v>
      </c>
      <c r="P341" s="54" t="n">
        <f aca="false">SIGN(F341-I341)</f>
        <v>-1</v>
      </c>
      <c r="Q341" s="54" t="n">
        <f aca="false">IF(ABS(SUM(P334:P341))=8,1,0)</f>
        <v>0</v>
      </c>
    </row>
    <row r="342" customFormat="false" ht="15" hidden="false" customHeight="false" outlineLevel="0" collapsed="false">
      <c r="A342" s="52" t="n">
        <v>44348</v>
      </c>
      <c r="B342" s="53" t="n">
        <v>0.614184691964439</v>
      </c>
      <c r="C342" s="53" t="n">
        <v>0.747410128127693</v>
      </c>
      <c r="D342" s="53" t="n">
        <v>0.533172247843496</v>
      </c>
      <c r="E342" s="54" t="s">
        <v>946</v>
      </c>
      <c r="F342" s="53" t="n">
        <f aca="false">AVERAGE(B342:D342)</f>
        <v>0.631589022645209</v>
      </c>
      <c r="G342" s="53" t="n">
        <f aca="false">MAX(B342:D342)-MIN(B342:D342)</f>
        <v>0.214237880284196</v>
      </c>
      <c r="H342" s="54" t="n">
        <f aca="false">IF(AND(E342="Phase I",OR(F342&gt;$E$6,F342&lt;$E$7,G342&gt;$E$8)),1,0)</f>
        <v>0</v>
      </c>
      <c r="I342" s="53" t="n">
        <f aca="false">$H$4</f>
        <v>0.67278149898986</v>
      </c>
      <c r="J342" s="53" t="n">
        <f aca="false">$H$6</f>
        <v>0.959137233677579</v>
      </c>
      <c r="K342" s="53" t="n">
        <f aca="false">$H$7</f>
        <v>0.386425764302142</v>
      </c>
      <c r="L342" s="53" t="n">
        <f aca="false">$H$5</f>
        <v>0.279917629215756</v>
      </c>
      <c r="M342" s="53" t="n">
        <f aca="false">$H$8</f>
        <v>0.720507977601356</v>
      </c>
      <c r="N342" s="54" t="n">
        <f aca="false">IF(OR(F342&gt;J342,F342&lt;K342),1,0)</f>
        <v>0</v>
      </c>
      <c r="O342" s="54" t="n">
        <f aca="false">IF(G342&gt;M342,1,0)</f>
        <v>0</v>
      </c>
      <c r="P342" s="54" t="n">
        <f aca="false">SIGN(F342-I342)</f>
        <v>-1</v>
      </c>
      <c r="Q342" s="54" t="n">
        <f aca="false">IF(ABS(SUM(P335:P342))=8,1,0)</f>
        <v>0</v>
      </c>
    </row>
    <row r="343" customFormat="false" ht="15" hidden="false" customHeight="false" outlineLevel="0" collapsed="false">
      <c r="A343" s="52" t="n">
        <v>44349</v>
      </c>
      <c r="B343" s="53" t="n">
        <v>0.247039653202713</v>
      </c>
      <c r="C343" s="53" t="n">
        <v>0.432950311304015</v>
      </c>
      <c r="D343" s="53" t="n">
        <v>0.430815597225207</v>
      </c>
      <c r="E343" s="54" t="s">
        <v>946</v>
      </c>
      <c r="F343" s="53" t="n">
        <f aca="false">AVERAGE(B343:D343)</f>
        <v>0.370268520577312</v>
      </c>
      <c r="G343" s="53" t="n">
        <f aca="false">MAX(B343:D343)-MIN(B343:D343)</f>
        <v>0.185910658101302</v>
      </c>
      <c r="H343" s="54" t="n">
        <f aca="false">IF(AND(E343="Phase I",OR(F343&gt;$E$6,F343&lt;$E$7,G343&gt;$E$8)),1,0)</f>
        <v>0</v>
      </c>
      <c r="I343" s="53" t="n">
        <f aca="false">$H$4</f>
        <v>0.67278149898986</v>
      </c>
      <c r="J343" s="53" t="n">
        <f aca="false">$H$6</f>
        <v>0.959137233677579</v>
      </c>
      <c r="K343" s="53" t="n">
        <f aca="false">$H$7</f>
        <v>0.386425764302142</v>
      </c>
      <c r="L343" s="53" t="n">
        <f aca="false">$H$5</f>
        <v>0.279917629215756</v>
      </c>
      <c r="M343" s="53" t="n">
        <f aca="false">$H$8</f>
        <v>0.720507977601356</v>
      </c>
      <c r="N343" s="54" t="n">
        <f aca="false">IF(OR(F343&gt;J343,F343&lt;K343),1,0)</f>
        <v>1</v>
      </c>
      <c r="O343" s="54" t="n">
        <f aca="false">IF(G343&gt;M343,1,0)</f>
        <v>0</v>
      </c>
      <c r="P343" s="54" t="n">
        <f aca="false">SIGN(F343-I343)</f>
        <v>-1</v>
      </c>
      <c r="Q343" s="54" t="n">
        <f aca="false">IF(ABS(SUM(P336:P343))=8,1,0)</f>
        <v>0</v>
      </c>
    </row>
    <row r="344" customFormat="false" ht="15" hidden="false" customHeight="false" outlineLevel="0" collapsed="false">
      <c r="A344" s="52" t="n">
        <v>44350</v>
      </c>
      <c r="B344" s="53" t="n">
        <v>0.573546528509287</v>
      </c>
      <c r="C344" s="53" t="n">
        <v>0.541477231514207</v>
      </c>
      <c r="D344" s="53" t="n">
        <v>0.573300128963015</v>
      </c>
      <c r="E344" s="54" t="s">
        <v>946</v>
      </c>
      <c r="F344" s="53" t="n">
        <f aca="false">AVERAGE(B344:D344)</f>
        <v>0.56277462966217</v>
      </c>
      <c r="G344" s="53" t="n">
        <f aca="false">MAX(B344:D344)-MIN(B344:D344)</f>
        <v>0.0320692969950805</v>
      </c>
      <c r="H344" s="54" t="n">
        <f aca="false">IF(AND(E344="Phase I",OR(F344&gt;$E$6,F344&lt;$E$7,G344&gt;$E$8)),1,0)</f>
        <v>0</v>
      </c>
      <c r="I344" s="53" t="n">
        <f aca="false">$H$4</f>
        <v>0.67278149898986</v>
      </c>
      <c r="J344" s="53" t="n">
        <f aca="false">$H$6</f>
        <v>0.959137233677579</v>
      </c>
      <c r="K344" s="53" t="n">
        <f aca="false">$H$7</f>
        <v>0.386425764302142</v>
      </c>
      <c r="L344" s="53" t="n">
        <f aca="false">$H$5</f>
        <v>0.279917629215756</v>
      </c>
      <c r="M344" s="53" t="n">
        <f aca="false">$H$8</f>
        <v>0.720507977601356</v>
      </c>
      <c r="N344" s="54" t="n">
        <f aca="false">IF(OR(F344&gt;J344,F344&lt;K344),1,0)</f>
        <v>0</v>
      </c>
      <c r="O344" s="54" t="n">
        <f aca="false">IF(G344&gt;M344,1,0)</f>
        <v>0</v>
      </c>
      <c r="P344" s="54" t="n">
        <f aca="false">SIGN(F344-I344)</f>
        <v>-1</v>
      </c>
      <c r="Q344" s="54" t="n">
        <f aca="false">IF(ABS(SUM(P337:P344))=8,1,0)</f>
        <v>0</v>
      </c>
    </row>
    <row r="345" customFormat="false" ht="15" hidden="false" customHeight="false" outlineLevel="0" collapsed="false">
      <c r="A345" s="52" t="n">
        <v>44351</v>
      </c>
      <c r="B345" s="53" t="n">
        <v>0.420766223651875</v>
      </c>
      <c r="C345" s="53" t="n">
        <v>0.745335367111115</v>
      </c>
      <c r="D345" s="53" t="n">
        <v>0.831080428514314</v>
      </c>
      <c r="E345" s="54" t="s">
        <v>946</v>
      </c>
      <c r="F345" s="53" t="n">
        <f aca="false">AVERAGE(B345:D345)</f>
        <v>0.665727339759101</v>
      </c>
      <c r="G345" s="53" t="n">
        <f aca="false">MAX(B345:D345)-MIN(B345:D345)</f>
        <v>0.410314204862439</v>
      </c>
      <c r="H345" s="54" t="n">
        <f aca="false">IF(AND(E345="Phase I",OR(F345&gt;$E$6,F345&lt;$E$7,G345&gt;$E$8)),1,0)</f>
        <v>0</v>
      </c>
      <c r="I345" s="53" t="n">
        <f aca="false">$H$4</f>
        <v>0.67278149898986</v>
      </c>
      <c r="J345" s="53" t="n">
        <f aca="false">$H$6</f>
        <v>0.959137233677579</v>
      </c>
      <c r="K345" s="53" t="n">
        <f aca="false">$H$7</f>
        <v>0.386425764302142</v>
      </c>
      <c r="L345" s="53" t="n">
        <f aca="false">$H$5</f>
        <v>0.279917629215756</v>
      </c>
      <c r="M345" s="53" t="n">
        <f aca="false">$H$8</f>
        <v>0.720507977601356</v>
      </c>
      <c r="N345" s="54" t="n">
        <f aca="false">IF(OR(F345&gt;J345,F345&lt;K345),1,0)</f>
        <v>0</v>
      </c>
      <c r="O345" s="54" t="n">
        <f aca="false">IF(G345&gt;M345,1,0)</f>
        <v>0</v>
      </c>
      <c r="P345" s="54" t="n">
        <f aca="false">SIGN(F345-I345)</f>
        <v>-1</v>
      </c>
      <c r="Q345" s="54" t="n">
        <f aca="false">IF(ABS(SUM(P338:P345))=8,1,0)</f>
        <v>0</v>
      </c>
    </row>
    <row r="346" customFormat="false" ht="15" hidden="false" customHeight="false" outlineLevel="0" collapsed="false">
      <c r="A346" s="52" t="n">
        <v>44353</v>
      </c>
      <c r="B346" s="53" t="n">
        <v>0.652875815832812</v>
      </c>
      <c r="C346" s="53" t="n">
        <v>0.764310827301356</v>
      </c>
      <c r="D346" s="53" t="n">
        <v>0.487141345781807</v>
      </c>
      <c r="E346" s="54" t="s">
        <v>946</v>
      </c>
      <c r="F346" s="53" t="n">
        <f aca="false">AVERAGE(B346:D346)</f>
        <v>0.634775996305325</v>
      </c>
      <c r="G346" s="53" t="n">
        <f aca="false">MAX(B346:D346)-MIN(B346:D346)</f>
        <v>0.277169481519549</v>
      </c>
      <c r="H346" s="54" t="n">
        <f aca="false">IF(AND(E346="Phase I",OR(F346&gt;$E$6,F346&lt;$E$7,G346&gt;$E$8)),1,0)</f>
        <v>0</v>
      </c>
      <c r="I346" s="53" t="n">
        <f aca="false">$H$4</f>
        <v>0.67278149898986</v>
      </c>
      <c r="J346" s="53" t="n">
        <f aca="false">$H$6</f>
        <v>0.959137233677579</v>
      </c>
      <c r="K346" s="53" t="n">
        <f aca="false">$H$7</f>
        <v>0.386425764302142</v>
      </c>
      <c r="L346" s="53" t="n">
        <f aca="false">$H$5</f>
        <v>0.279917629215756</v>
      </c>
      <c r="M346" s="53" t="n">
        <f aca="false">$H$8</f>
        <v>0.720507977601356</v>
      </c>
      <c r="N346" s="54" t="n">
        <f aca="false">IF(OR(F346&gt;J346,F346&lt;K346),1,0)</f>
        <v>0</v>
      </c>
      <c r="O346" s="54" t="n">
        <f aca="false">IF(G346&gt;M346,1,0)</f>
        <v>0</v>
      </c>
      <c r="P346" s="54" t="n">
        <f aca="false">SIGN(F346-I346)</f>
        <v>-1</v>
      </c>
      <c r="Q346" s="54" t="n">
        <f aca="false">IF(ABS(SUM(P339:P346))=8,1,0)</f>
        <v>0</v>
      </c>
    </row>
    <row r="347" customFormat="false" ht="15" hidden="false" customHeight="false" outlineLevel="0" collapsed="false">
      <c r="A347" s="52" t="n">
        <v>44354</v>
      </c>
      <c r="B347" s="53" t="n">
        <v>0.644987429724392</v>
      </c>
      <c r="C347" s="53" t="n">
        <v>0.27085886194796</v>
      </c>
      <c r="D347" s="53" t="n">
        <v>0.778331828567867</v>
      </c>
      <c r="E347" s="54" t="s">
        <v>946</v>
      </c>
      <c r="F347" s="53" t="n">
        <f aca="false">AVERAGE(B347:D347)</f>
        <v>0.564726040080073</v>
      </c>
      <c r="G347" s="53" t="n">
        <f aca="false">MAX(B347:D347)-MIN(B347:D347)</f>
        <v>0.507472966619907</v>
      </c>
      <c r="H347" s="54" t="n">
        <f aca="false">IF(AND(E347="Phase I",OR(F347&gt;$E$6,F347&lt;$E$7,G347&gt;$E$8)),1,0)</f>
        <v>0</v>
      </c>
      <c r="I347" s="53" t="n">
        <f aca="false">$H$4</f>
        <v>0.67278149898986</v>
      </c>
      <c r="J347" s="53" t="n">
        <f aca="false">$H$6</f>
        <v>0.959137233677579</v>
      </c>
      <c r="K347" s="53" t="n">
        <f aca="false">$H$7</f>
        <v>0.386425764302142</v>
      </c>
      <c r="L347" s="53" t="n">
        <f aca="false">$H$5</f>
        <v>0.279917629215756</v>
      </c>
      <c r="M347" s="53" t="n">
        <f aca="false">$H$8</f>
        <v>0.720507977601356</v>
      </c>
      <c r="N347" s="54" t="n">
        <f aca="false">IF(OR(F347&gt;J347,F347&lt;K347),1,0)</f>
        <v>0</v>
      </c>
      <c r="O347" s="54" t="n">
        <f aca="false">IF(G347&gt;M347,1,0)</f>
        <v>0</v>
      </c>
      <c r="P347" s="54" t="n">
        <f aca="false">SIGN(F347-I347)</f>
        <v>-1</v>
      </c>
      <c r="Q347" s="54" t="n">
        <f aca="false">IF(ABS(SUM(P340:P347))=8,1,0)</f>
        <v>1</v>
      </c>
    </row>
    <row r="348" customFormat="false" ht="15" hidden="false" customHeight="false" outlineLevel="0" collapsed="false">
      <c r="A348" s="52" t="n">
        <v>44355</v>
      </c>
      <c r="B348" s="53" t="n">
        <v>0.102044117161153</v>
      </c>
      <c r="C348" s="53" t="n">
        <v>0.54243682388003</v>
      </c>
      <c r="D348" s="53" t="n">
        <v>0.203094245154758</v>
      </c>
      <c r="E348" s="54" t="s">
        <v>946</v>
      </c>
      <c r="F348" s="53" t="n">
        <f aca="false">AVERAGE(B348:D348)</f>
        <v>0.282525062065314</v>
      </c>
      <c r="G348" s="53" t="n">
        <f aca="false">MAX(B348:D348)-MIN(B348:D348)</f>
        <v>0.440392706718877</v>
      </c>
      <c r="H348" s="54" t="n">
        <f aca="false">IF(AND(E348="Phase I",OR(F348&gt;$E$6,F348&lt;$E$7,G348&gt;$E$8)),1,0)</f>
        <v>0</v>
      </c>
      <c r="I348" s="53" t="n">
        <f aca="false">$H$4</f>
        <v>0.67278149898986</v>
      </c>
      <c r="J348" s="53" t="n">
        <f aca="false">$H$6</f>
        <v>0.959137233677579</v>
      </c>
      <c r="K348" s="53" t="n">
        <f aca="false">$H$7</f>
        <v>0.386425764302142</v>
      </c>
      <c r="L348" s="53" t="n">
        <f aca="false">$H$5</f>
        <v>0.279917629215756</v>
      </c>
      <c r="M348" s="53" t="n">
        <f aca="false">$H$8</f>
        <v>0.720507977601356</v>
      </c>
      <c r="N348" s="54" t="n">
        <f aca="false">IF(OR(F348&gt;J348,F348&lt;K348),1,0)</f>
        <v>1</v>
      </c>
      <c r="O348" s="54" t="n">
        <f aca="false">IF(G348&gt;M348,1,0)</f>
        <v>0</v>
      </c>
      <c r="P348" s="54" t="n">
        <f aca="false">SIGN(F348-I348)</f>
        <v>-1</v>
      </c>
      <c r="Q348" s="54" t="n">
        <f aca="false">IF(ABS(SUM(P341:P348))=8,1,0)</f>
        <v>1</v>
      </c>
    </row>
    <row r="349" customFormat="false" ht="15" hidden="false" customHeight="false" outlineLevel="0" collapsed="false">
      <c r="A349" s="52" t="n">
        <v>44357</v>
      </c>
      <c r="B349" s="53" t="n">
        <v>0.507882056105875</v>
      </c>
      <c r="C349" s="53" t="n">
        <v>0.823054615825894</v>
      </c>
      <c r="D349" s="53" t="n">
        <v>0.574285145946798</v>
      </c>
      <c r="E349" s="54" t="s">
        <v>946</v>
      </c>
      <c r="F349" s="53" t="n">
        <f aca="false">AVERAGE(B349:D349)</f>
        <v>0.635073939292856</v>
      </c>
      <c r="G349" s="53" t="n">
        <f aca="false">MAX(B349:D349)-MIN(B349:D349)</f>
        <v>0.315172559720019</v>
      </c>
      <c r="H349" s="54" t="n">
        <f aca="false">IF(AND(E349="Phase I",OR(F349&gt;$E$6,F349&lt;$E$7,G349&gt;$E$8)),1,0)</f>
        <v>0</v>
      </c>
      <c r="I349" s="53" t="n">
        <f aca="false">$H$4</f>
        <v>0.67278149898986</v>
      </c>
      <c r="J349" s="53" t="n">
        <f aca="false">$H$6</f>
        <v>0.959137233677579</v>
      </c>
      <c r="K349" s="53" t="n">
        <f aca="false">$H$7</f>
        <v>0.386425764302142</v>
      </c>
      <c r="L349" s="53" t="n">
        <f aca="false">$H$5</f>
        <v>0.279917629215756</v>
      </c>
      <c r="M349" s="53" t="n">
        <f aca="false">$H$8</f>
        <v>0.720507977601356</v>
      </c>
      <c r="N349" s="54" t="n">
        <f aca="false">IF(OR(F349&gt;J349,F349&lt;K349),1,0)</f>
        <v>0</v>
      </c>
      <c r="O349" s="54" t="n">
        <f aca="false">IF(G349&gt;M349,1,0)</f>
        <v>0</v>
      </c>
      <c r="P349" s="54" t="n">
        <f aca="false">SIGN(F349-I349)</f>
        <v>-1</v>
      </c>
      <c r="Q349" s="54" t="n">
        <f aca="false">IF(ABS(SUM(P342:P349))=8,1,0)</f>
        <v>1</v>
      </c>
    </row>
    <row r="350" customFormat="false" ht="15" hidden="false" customHeight="false" outlineLevel="0" collapsed="false">
      <c r="A350" s="52" t="n">
        <v>44358</v>
      </c>
      <c r="B350" s="53" t="n">
        <v>0.552269584787688</v>
      </c>
      <c r="C350" s="53" t="n">
        <v>0.787508697559579</v>
      </c>
      <c r="D350" s="53" t="n">
        <v>0.552639595863699</v>
      </c>
      <c r="E350" s="54" t="s">
        <v>946</v>
      </c>
      <c r="F350" s="53" t="n">
        <f aca="false">AVERAGE(B350:D350)</f>
        <v>0.630805959403655</v>
      </c>
      <c r="G350" s="53" t="n">
        <f aca="false">MAX(B350:D350)-MIN(B350:D350)</f>
        <v>0.235239112771892</v>
      </c>
      <c r="H350" s="54" t="n">
        <f aca="false">IF(AND(E350="Phase I",OR(F350&gt;$E$6,F350&lt;$E$7,G350&gt;$E$8)),1,0)</f>
        <v>0</v>
      </c>
      <c r="I350" s="53" t="n">
        <f aca="false">$H$4</f>
        <v>0.67278149898986</v>
      </c>
      <c r="J350" s="53" t="n">
        <f aca="false">$H$6</f>
        <v>0.959137233677579</v>
      </c>
      <c r="K350" s="53" t="n">
        <f aca="false">$H$7</f>
        <v>0.386425764302142</v>
      </c>
      <c r="L350" s="53" t="n">
        <f aca="false">$H$5</f>
        <v>0.279917629215756</v>
      </c>
      <c r="M350" s="53" t="n">
        <f aca="false">$H$8</f>
        <v>0.720507977601356</v>
      </c>
      <c r="N350" s="54" t="n">
        <f aca="false">IF(OR(F350&gt;J350,F350&lt;K350),1,0)</f>
        <v>0</v>
      </c>
      <c r="O350" s="54" t="n">
        <f aca="false">IF(G350&gt;M350,1,0)</f>
        <v>0</v>
      </c>
      <c r="P350" s="54" t="n">
        <f aca="false">SIGN(F350-I350)</f>
        <v>-1</v>
      </c>
      <c r="Q350" s="54" t="n">
        <f aca="false">IF(ABS(SUM(P343:P350))=8,1,0)</f>
        <v>1</v>
      </c>
    </row>
    <row r="351" customFormat="false" ht="15" hidden="false" customHeight="false" outlineLevel="0" collapsed="false">
      <c r="A351" s="52" t="n">
        <v>44361</v>
      </c>
      <c r="B351" s="53" t="n">
        <v>0.59948437368199</v>
      </c>
      <c r="C351" s="53" t="n">
        <v>0.666153699812676</v>
      </c>
      <c r="D351" s="53" t="n">
        <v>0.709284490734662</v>
      </c>
      <c r="E351" s="54" t="s">
        <v>946</v>
      </c>
      <c r="F351" s="53" t="n">
        <f aca="false">AVERAGE(B351:D351)</f>
        <v>0.658307521409776</v>
      </c>
      <c r="G351" s="53" t="n">
        <f aca="false">MAX(B351:D351)-MIN(B351:D351)</f>
        <v>0.109800117052672</v>
      </c>
      <c r="H351" s="54" t="n">
        <f aca="false">IF(AND(E351="Phase I",OR(F351&gt;$E$6,F351&lt;$E$7,G351&gt;$E$8)),1,0)</f>
        <v>0</v>
      </c>
      <c r="I351" s="53" t="n">
        <f aca="false">$H$4</f>
        <v>0.67278149898986</v>
      </c>
      <c r="J351" s="53" t="n">
        <f aca="false">$H$6</f>
        <v>0.959137233677579</v>
      </c>
      <c r="K351" s="53" t="n">
        <f aca="false">$H$7</f>
        <v>0.386425764302142</v>
      </c>
      <c r="L351" s="53" t="n">
        <f aca="false">$H$5</f>
        <v>0.279917629215756</v>
      </c>
      <c r="M351" s="53" t="n">
        <f aca="false">$H$8</f>
        <v>0.720507977601356</v>
      </c>
      <c r="N351" s="54" t="n">
        <f aca="false">IF(OR(F351&gt;J351,F351&lt;K351),1,0)</f>
        <v>0</v>
      </c>
      <c r="O351" s="54" t="n">
        <f aca="false">IF(G351&gt;M351,1,0)</f>
        <v>0</v>
      </c>
      <c r="P351" s="54" t="n">
        <f aca="false">SIGN(F351-I351)</f>
        <v>-1</v>
      </c>
      <c r="Q351" s="54" t="n">
        <f aca="false">IF(ABS(SUM(P344:P351))=8,1,0)</f>
        <v>1</v>
      </c>
    </row>
    <row r="352" customFormat="false" ht="15" hidden="false" customHeight="false" outlineLevel="0" collapsed="false">
      <c r="A352" s="52" t="n">
        <v>44362</v>
      </c>
      <c r="B352" s="53" t="n">
        <v>0.516876891337777</v>
      </c>
      <c r="C352" s="53" t="n">
        <v>0.567442950563997</v>
      </c>
      <c r="D352" s="53" t="n">
        <v>0.694405580162107</v>
      </c>
      <c r="E352" s="54" t="s">
        <v>946</v>
      </c>
      <c r="F352" s="53" t="n">
        <f aca="false">AVERAGE(B352:D352)</f>
        <v>0.592908474021293</v>
      </c>
      <c r="G352" s="53" t="n">
        <f aca="false">MAX(B352:D352)-MIN(B352:D352)</f>
        <v>0.17752868882433</v>
      </c>
      <c r="H352" s="54" t="n">
        <f aca="false">IF(AND(E352="Phase I",OR(F352&gt;$E$6,F352&lt;$E$7,G352&gt;$E$8)),1,0)</f>
        <v>0</v>
      </c>
      <c r="I352" s="53" t="n">
        <f aca="false">$H$4</f>
        <v>0.67278149898986</v>
      </c>
      <c r="J352" s="53" t="n">
        <f aca="false">$H$6</f>
        <v>0.959137233677579</v>
      </c>
      <c r="K352" s="53" t="n">
        <f aca="false">$H$7</f>
        <v>0.386425764302142</v>
      </c>
      <c r="L352" s="53" t="n">
        <f aca="false">$H$5</f>
        <v>0.279917629215756</v>
      </c>
      <c r="M352" s="53" t="n">
        <f aca="false">$H$8</f>
        <v>0.720507977601356</v>
      </c>
      <c r="N352" s="54" t="n">
        <f aca="false">IF(OR(F352&gt;J352,F352&lt;K352),1,0)</f>
        <v>0</v>
      </c>
      <c r="O352" s="54" t="n">
        <f aca="false">IF(G352&gt;M352,1,0)</f>
        <v>0</v>
      </c>
      <c r="P352" s="54" t="n">
        <f aca="false">SIGN(F352-I352)</f>
        <v>-1</v>
      </c>
      <c r="Q352" s="54" t="n">
        <f aca="false">IF(ABS(SUM(P345:P352))=8,1,0)</f>
        <v>1</v>
      </c>
    </row>
    <row r="353" customFormat="false" ht="15" hidden="false" customHeight="false" outlineLevel="0" collapsed="false">
      <c r="A353" s="52" t="n">
        <v>44363</v>
      </c>
      <c r="B353" s="53" t="n">
        <v>0.743079696029896</v>
      </c>
      <c r="C353" s="53" t="n">
        <v>0.777853468518405</v>
      </c>
      <c r="D353" s="53" t="n">
        <v>0.918716980546666</v>
      </c>
      <c r="E353" s="54" t="s">
        <v>946</v>
      </c>
      <c r="F353" s="53" t="n">
        <f aca="false">AVERAGE(B353:D353)</f>
        <v>0.813216715031656</v>
      </c>
      <c r="G353" s="53" t="n">
        <f aca="false">MAX(B353:D353)-MIN(B353:D353)</f>
        <v>0.17563728451677</v>
      </c>
      <c r="H353" s="54" t="n">
        <f aca="false">IF(AND(E353="Phase I",OR(F353&gt;$E$6,F353&lt;$E$7,G353&gt;$E$8)),1,0)</f>
        <v>0</v>
      </c>
      <c r="I353" s="53" t="n">
        <f aca="false">$H$4</f>
        <v>0.67278149898986</v>
      </c>
      <c r="J353" s="53" t="n">
        <f aca="false">$H$6</f>
        <v>0.959137233677579</v>
      </c>
      <c r="K353" s="53" t="n">
        <f aca="false">$H$7</f>
        <v>0.386425764302142</v>
      </c>
      <c r="L353" s="53" t="n">
        <f aca="false">$H$5</f>
        <v>0.279917629215756</v>
      </c>
      <c r="M353" s="53" t="n">
        <f aca="false">$H$8</f>
        <v>0.720507977601356</v>
      </c>
      <c r="N353" s="54" t="n">
        <f aca="false">IF(OR(F353&gt;J353,F353&lt;K353),1,0)</f>
        <v>0</v>
      </c>
      <c r="O353" s="54" t="n">
        <f aca="false">IF(G353&gt;M353,1,0)</f>
        <v>0</v>
      </c>
      <c r="P353" s="54" t="n">
        <f aca="false">SIGN(F353-I353)</f>
        <v>1</v>
      </c>
      <c r="Q353" s="54" t="n">
        <f aca="false">IF(ABS(SUM(P346:P353))=8,1,0)</f>
        <v>0</v>
      </c>
    </row>
    <row r="354" customFormat="false" ht="15" hidden="false" customHeight="false" outlineLevel="0" collapsed="false">
      <c r="A354" s="52" t="n">
        <v>44364</v>
      </c>
      <c r="B354" s="53" t="n">
        <v>0.377722732042699</v>
      </c>
      <c r="C354" s="53" t="n">
        <v>0.569132942245941</v>
      </c>
      <c r="D354" s="53" t="n">
        <v>0.740159770590328</v>
      </c>
      <c r="E354" s="54" t="s">
        <v>946</v>
      </c>
      <c r="F354" s="53" t="n">
        <f aca="false">AVERAGE(B354:D354)</f>
        <v>0.562338481626323</v>
      </c>
      <c r="G354" s="53" t="n">
        <f aca="false">MAX(B354:D354)-MIN(B354:D354)</f>
        <v>0.362437038547629</v>
      </c>
      <c r="H354" s="54" t="n">
        <f aca="false">IF(AND(E354="Phase I",OR(F354&gt;$E$6,F354&lt;$E$7,G354&gt;$E$8)),1,0)</f>
        <v>0</v>
      </c>
      <c r="I354" s="53" t="n">
        <f aca="false">$H$4</f>
        <v>0.67278149898986</v>
      </c>
      <c r="J354" s="53" t="n">
        <f aca="false">$H$6</f>
        <v>0.959137233677579</v>
      </c>
      <c r="K354" s="53" t="n">
        <f aca="false">$H$7</f>
        <v>0.386425764302142</v>
      </c>
      <c r="L354" s="53" t="n">
        <f aca="false">$H$5</f>
        <v>0.279917629215756</v>
      </c>
      <c r="M354" s="53" t="n">
        <f aca="false">$H$8</f>
        <v>0.720507977601356</v>
      </c>
      <c r="N354" s="54" t="n">
        <f aca="false">IF(OR(F354&gt;J354,F354&lt;K354),1,0)</f>
        <v>0</v>
      </c>
      <c r="O354" s="54" t="n">
        <f aca="false">IF(G354&gt;M354,1,0)</f>
        <v>0</v>
      </c>
      <c r="P354" s="54" t="n">
        <f aca="false">SIGN(F354-I354)</f>
        <v>-1</v>
      </c>
      <c r="Q354" s="54" t="n">
        <f aca="false">IF(ABS(SUM(P347:P354))=8,1,0)</f>
        <v>0</v>
      </c>
    </row>
    <row r="355" customFormat="false" ht="15" hidden="false" customHeight="false" outlineLevel="0" collapsed="false">
      <c r="A355" s="52" t="n">
        <v>44365</v>
      </c>
      <c r="B355" s="53" t="n">
        <v>0.723107009533378</v>
      </c>
      <c r="C355" s="53" t="n">
        <v>0.682817260565084</v>
      </c>
      <c r="D355" s="53" t="n">
        <v>0.405930945414037</v>
      </c>
      <c r="E355" s="54" t="s">
        <v>946</v>
      </c>
      <c r="F355" s="53" t="n">
        <f aca="false">AVERAGE(B355:D355)</f>
        <v>0.603951738504166</v>
      </c>
      <c r="G355" s="53" t="n">
        <f aca="false">MAX(B355:D355)-MIN(B355:D355)</f>
        <v>0.31717606411934</v>
      </c>
      <c r="H355" s="54" t="n">
        <f aca="false">IF(AND(E355="Phase I",OR(F355&gt;$E$6,F355&lt;$E$7,G355&gt;$E$8)),1,0)</f>
        <v>0</v>
      </c>
      <c r="I355" s="53" t="n">
        <f aca="false">$H$4</f>
        <v>0.67278149898986</v>
      </c>
      <c r="J355" s="53" t="n">
        <f aca="false">$H$6</f>
        <v>0.959137233677579</v>
      </c>
      <c r="K355" s="53" t="n">
        <f aca="false">$H$7</f>
        <v>0.386425764302142</v>
      </c>
      <c r="L355" s="53" t="n">
        <f aca="false">$H$5</f>
        <v>0.279917629215756</v>
      </c>
      <c r="M355" s="53" t="n">
        <f aca="false">$H$8</f>
        <v>0.720507977601356</v>
      </c>
      <c r="N355" s="54" t="n">
        <f aca="false">IF(OR(F355&gt;J355,F355&lt;K355),1,0)</f>
        <v>0</v>
      </c>
      <c r="O355" s="54" t="n">
        <f aca="false">IF(G355&gt;M355,1,0)</f>
        <v>0</v>
      </c>
      <c r="P355" s="54" t="n">
        <f aca="false">SIGN(F355-I355)</f>
        <v>-1</v>
      </c>
      <c r="Q355" s="54" t="n">
        <f aca="false">IF(ABS(SUM(P348:P355))=8,1,0)</f>
        <v>0</v>
      </c>
    </row>
    <row r="356" customFormat="false" ht="15" hidden="false" customHeight="false" outlineLevel="0" collapsed="false">
      <c r="A356" s="52" t="n">
        <v>44368</v>
      </c>
      <c r="B356" s="53" t="n">
        <v>0.646678328355246</v>
      </c>
      <c r="C356" s="53" t="n">
        <v>0.705113513635471</v>
      </c>
      <c r="D356" s="53" t="n">
        <v>0.467466990586759</v>
      </c>
      <c r="E356" s="54" t="s">
        <v>946</v>
      </c>
      <c r="F356" s="53" t="n">
        <f aca="false">AVERAGE(B356:D356)</f>
        <v>0.606419610859159</v>
      </c>
      <c r="G356" s="53" t="n">
        <f aca="false">MAX(B356:D356)-MIN(B356:D356)</f>
        <v>0.237646523048713</v>
      </c>
      <c r="H356" s="54" t="n">
        <f aca="false">IF(AND(E356="Phase I",OR(F356&gt;$E$6,F356&lt;$E$7,G356&gt;$E$8)),1,0)</f>
        <v>0</v>
      </c>
      <c r="I356" s="53" t="n">
        <f aca="false">$H$4</f>
        <v>0.67278149898986</v>
      </c>
      <c r="J356" s="53" t="n">
        <f aca="false">$H$6</f>
        <v>0.959137233677579</v>
      </c>
      <c r="K356" s="53" t="n">
        <f aca="false">$H$7</f>
        <v>0.386425764302142</v>
      </c>
      <c r="L356" s="53" t="n">
        <f aca="false">$H$5</f>
        <v>0.279917629215756</v>
      </c>
      <c r="M356" s="53" t="n">
        <f aca="false">$H$8</f>
        <v>0.720507977601356</v>
      </c>
      <c r="N356" s="54" t="n">
        <f aca="false">IF(OR(F356&gt;J356,F356&lt;K356),1,0)</f>
        <v>0</v>
      </c>
      <c r="O356" s="54" t="n">
        <f aca="false">IF(G356&gt;M356,1,0)</f>
        <v>0</v>
      </c>
      <c r="P356" s="54" t="n">
        <f aca="false">SIGN(F356-I356)</f>
        <v>-1</v>
      </c>
      <c r="Q356" s="54" t="n">
        <f aca="false">IF(ABS(SUM(P349:P356))=8,1,0)</f>
        <v>0</v>
      </c>
    </row>
    <row r="357" customFormat="false" ht="15" hidden="false" customHeight="false" outlineLevel="0" collapsed="false">
      <c r="A357" s="52" t="n">
        <v>44369</v>
      </c>
      <c r="B357" s="53" t="n">
        <v>0.642764375423828</v>
      </c>
      <c r="C357" s="53" t="n">
        <v>0.647113287486291</v>
      </c>
      <c r="D357" s="53" t="n">
        <v>0.212375124787628</v>
      </c>
      <c r="E357" s="54" t="s">
        <v>946</v>
      </c>
      <c r="F357" s="53" t="n">
        <f aca="false">AVERAGE(B357:D357)</f>
        <v>0.500750929232582</v>
      </c>
      <c r="G357" s="53" t="n">
        <f aca="false">MAX(B357:D357)-MIN(B357:D357)</f>
        <v>0.434738162698664</v>
      </c>
      <c r="H357" s="54" t="n">
        <f aca="false">IF(AND(E357="Phase I",OR(F357&gt;$E$6,F357&lt;$E$7,G357&gt;$E$8)),1,0)</f>
        <v>0</v>
      </c>
      <c r="I357" s="53" t="n">
        <f aca="false">$H$4</f>
        <v>0.67278149898986</v>
      </c>
      <c r="J357" s="53" t="n">
        <f aca="false">$H$6</f>
        <v>0.959137233677579</v>
      </c>
      <c r="K357" s="53" t="n">
        <f aca="false">$H$7</f>
        <v>0.386425764302142</v>
      </c>
      <c r="L357" s="53" t="n">
        <f aca="false">$H$5</f>
        <v>0.279917629215756</v>
      </c>
      <c r="M357" s="53" t="n">
        <f aca="false">$H$8</f>
        <v>0.720507977601356</v>
      </c>
      <c r="N357" s="54" t="n">
        <f aca="false">IF(OR(F357&gt;J357,F357&lt;K357),1,0)</f>
        <v>0</v>
      </c>
      <c r="O357" s="54" t="n">
        <f aca="false">IF(G357&gt;M357,1,0)</f>
        <v>0</v>
      </c>
      <c r="P357" s="54" t="n">
        <f aca="false">SIGN(F357-I357)</f>
        <v>-1</v>
      </c>
      <c r="Q357" s="54" t="n">
        <f aca="false">IF(ABS(SUM(P350:P357))=8,1,0)</f>
        <v>0</v>
      </c>
    </row>
    <row r="358" customFormat="false" ht="15" hidden="false" customHeight="false" outlineLevel="0" collapsed="false">
      <c r="A358" s="52" t="n">
        <v>44374</v>
      </c>
      <c r="B358" s="53" t="n">
        <v>0.247685921736814</v>
      </c>
      <c r="C358" s="53" t="n">
        <v>0.657853421522914</v>
      </c>
      <c r="D358" s="53" t="n">
        <v>0.715550639203431</v>
      </c>
      <c r="E358" s="54" t="s">
        <v>946</v>
      </c>
      <c r="F358" s="53" t="n">
        <f aca="false">AVERAGE(B358:D358)</f>
        <v>0.540363327487719</v>
      </c>
      <c r="G358" s="53" t="n">
        <f aca="false">MAX(B358:D358)-MIN(B358:D358)</f>
        <v>0.467864717466617</v>
      </c>
      <c r="H358" s="54" t="n">
        <f aca="false">IF(AND(E358="Phase I",OR(F358&gt;$E$6,F358&lt;$E$7,G358&gt;$E$8)),1,0)</f>
        <v>0</v>
      </c>
      <c r="I358" s="53" t="n">
        <f aca="false">$H$4</f>
        <v>0.67278149898986</v>
      </c>
      <c r="J358" s="53" t="n">
        <f aca="false">$H$6</f>
        <v>0.959137233677579</v>
      </c>
      <c r="K358" s="53" t="n">
        <f aca="false">$H$7</f>
        <v>0.386425764302142</v>
      </c>
      <c r="L358" s="53" t="n">
        <f aca="false">$H$5</f>
        <v>0.279917629215756</v>
      </c>
      <c r="M358" s="53" t="n">
        <f aca="false">$H$8</f>
        <v>0.720507977601356</v>
      </c>
      <c r="N358" s="54" t="n">
        <f aca="false">IF(OR(F358&gt;J358,F358&lt;K358),1,0)</f>
        <v>0</v>
      </c>
      <c r="O358" s="54" t="n">
        <f aca="false">IF(G358&gt;M358,1,0)</f>
        <v>0</v>
      </c>
      <c r="P358" s="54" t="n">
        <f aca="false">SIGN(F358-I358)</f>
        <v>-1</v>
      </c>
      <c r="Q358" s="54" t="n">
        <f aca="false">IF(ABS(SUM(P351:P358))=8,1,0)</f>
        <v>0</v>
      </c>
    </row>
    <row r="359" customFormat="false" ht="15" hidden="false" customHeight="false" outlineLevel="0" collapsed="false">
      <c r="A359" s="52" t="n">
        <v>44375</v>
      </c>
      <c r="B359" s="53" t="n">
        <v>0.663698068599509</v>
      </c>
      <c r="C359" s="53" t="n">
        <v>0.752646436037686</v>
      </c>
      <c r="D359" s="53" t="n">
        <v>0.630599143323109</v>
      </c>
      <c r="E359" s="54" t="s">
        <v>946</v>
      </c>
      <c r="F359" s="53" t="n">
        <f aca="false">AVERAGE(B359:D359)</f>
        <v>0.682314549320101</v>
      </c>
      <c r="G359" s="53" t="n">
        <f aca="false">MAX(B359:D359)-MIN(B359:D359)</f>
        <v>0.122047292714577</v>
      </c>
      <c r="H359" s="54" t="n">
        <f aca="false">IF(AND(E359="Phase I",OR(F359&gt;$E$6,F359&lt;$E$7,G359&gt;$E$8)),1,0)</f>
        <v>0</v>
      </c>
      <c r="I359" s="53" t="n">
        <f aca="false">$H$4</f>
        <v>0.67278149898986</v>
      </c>
      <c r="J359" s="53" t="n">
        <f aca="false">$H$6</f>
        <v>0.959137233677579</v>
      </c>
      <c r="K359" s="53" t="n">
        <f aca="false">$H$7</f>
        <v>0.386425764302142</v>
      </c>
      <c r="L359" s="53" t="n">
        <f aca="false">$H$5</f>
        <v>0.279917629215756</v>
      </c>
      <c r="M359" s="53" t="n">
        <f aca="false">$H$8</f>
        <v>0.720507977601356</v>
      </c>
      <c r="N359" s="54" t="n">
        <f aca="false">IF(OR(F359&gt;J359,F359&lt;K359),1,0)</f>
        <v>0</v>
      </c>
      <c r="O359" s="54" t="n">
        <f aca="false">IF(G359&gt;M359,1,0)</f>
        <v>0</v>
      </c>
      <c r="P359" s="54" t="n">
        <f aca="false">SIGN(F359-I359)</f>
        <v>1</v>
      </c>
      <c r="Q359" s="54" t="n">
        <f aca="false">IF(ABS(SUM(P352:P359))=8,1,0)</f>
        <v>0</v>
      </c>
    </row>
    <row r="360" customFormat="false" ht="15" hidden="false" customHeight="false" outlineLevel="0" collapsed="false">
      <c r="A360" s="52" t="n">
        <v>44376</v>
      </c>
      <c r="B360" s="53" t="n">
        <v>0.722936574932065</v>
      </c>
      <c r="C360" s="53" t="n">
        <v>0.907046180445328</v>
      </c>
      <c r="D360" s="53" t="n">
        <v>0.857017755767605</v>
      </c>
      <c r="E360" s="54" t="s">
        <v>946</v>
      </c>
      <c r="F360" s="53" t="n">
        <f aca="false">AVERAGE(B360:D360)</f>
        <v>0.829000170381666</v>
      </c>
      <c r="G360" s="53" t="n">
        <f aca="false">MAX(B360:D360)-MIN(B360:D360)</f>
        <v>0.184109605513263</v>
      </c>
      <c r="H360" s="54" t="n">
        <f aca="false">IF(AND(E360="Phase I",OR(F360&gt;$E$6,F360&lt;$E$7,G360&gt;$E$8)),1,0)</f>
        <v>0</v>
      </c>
      <c r="I360" s="53" t="n">
        <f aca="false">$H$4</f>
        <v>0.67278149898986</v>
      </c>
      <c r="J360" s="53" t="n">
        <f aca="false">$H$6</f>
        <v>0.959137233677579</v>
      </c>
      <c r="K360" s="53" t="n">
        <f aca="false">$H$7</f>
        <v>0.386425764302142</v>
      </c>
      <c r="L360" s="53" t="n">
        <f aca="false">$H$5</f>
        <v>0.279917629215756</v>
      </c>
      <c r="M360" s="53" t="n">
        <f aca="false">$H$8</f>
        <v>0.720507977601356</v>
      </c>
      <c r="N360" s="54" t="n">
        <f aca="false">IF(OR(F360&gt;J360,F360&lt;K360),1,0)</f>
        <v>0</v>
      </c>
      <c r="O360" s="54" t="n">
        <f aca="false">IF(G360&gt;M360,1,0)</f>
        <v>0</v>
      </c>
      <c r="P360" s="54" t="n">
        <f aca="false">SIGN(F360-I360)</f>
        <v>1</v>
      </c>
      <c r="Q360" s="54" t="n">
        <f aca="false">IF(ABS(SUM(P353:P360))=8,1,0)</f>
        <v>0</v>
      </c>
    </row>
    <row r="361" customFormat="false" ht="15" hidden="false" customHeight="false" outlineLevel="0" collapsed="false">
      <c r="A361" s="52" t="n">
        <v>44377</v>
      </c>
      <c r="B361" s="53" t="n">
        <v>0.0649349341101303</v>
      </c>
      <c r="C361" s="53" t="n">
        <v>0.817364570413668</v>
      </c>
      <c r="D361" s="53" t="n">
        <v>0.719535600544074</v>
      </c>
      <c r="E361" s="54" t="s">
        <v>946</v>
      </c>
      <c r="F361" s="53" t="n">
        <f aca="false">AVERAGE(B361:D361)</f>
        <v>0.533945035022624</v>
      </c>
      <c r="G361" s="53" t="n">
        <f aca="false">MAX(B361:D361)-MIN(B361:D361)</f>
        <v>0.752429636303537</v>
      </c>
      <c r="H361" s="54" t="n">
        <f aca="false">IF(AND(E361="Phase I",OR(F361&gt;$E$6,F361&lt;$E$7,G361&gt;$E$8)),1,0)</f>
        <v>0</v>
      </c>
      <c r="I361" s="53" t="n">
        <f aca="false">$H$4</f>
        <v>0.67278149898986</v>
      </c>
      <c r="J361" s="53" t="n">
        <f aca="false">$H$6</f>
        <v>0.959137233677579</v>
      </c>
      <c r="K361" s="53" t="n">
        <f aca="false">$H$7</f>
        <v>0.386425764302142</v>
      </c>
      <c r="L361" s="53" t="n">
        <f aca="false">$H$5</f>
        <v>0.279917629215756</v>
      </c>
      <c r="M361" s="53" t="n">
        <f aca="false">$H$8</f>
        <v>0.720507977601356</v>
      </c>
      <c r="N361" s="54" t="n">
        <f aca="false">IF(OR(F361&gt;J361,F361&lt;K361),1,0)</f>
        <v>0</v>
      </c>
      <c r="O361" s="54" t="n">
        <f aca="false">IF(G361&gt;M361,1,0)</f>
        <v>1</v>
      </c>
      <c r="P361" s="54" t="n">
        <f aca="false">SIGN(F361-I361)</f>
        <v>-1</v>
      </c>
      <c r="Q361" s="54" t="n">
        <f aca="false">IF(ABS(SUM(P354:P361))=8,1,0)</f>
        <v>0</v>
      </c>
    </row>
    <row r="362" customFormat="false" ht="15" hidden="false" customHeight="false" outlineLevel="0" collapsed="false">
      <c r="A362" s="52" t="n">
        <v>44378</v>
      </c>
      <c r="B362" s="53" t="n">
        <v>0.279214688572059</v>
      </c>
      <c r="C362" s="53" t="n">
        <v>0.670486527150388</v>
      </c>
      <c r="D362" s="53" t="n">
        <v>0.343194565320523</v>
      </c>
      <c r="E362" s="54" t="s">
        <v>946</v>
      </c>
      <c r="F362" s="53" t="n">
        <f aca="false">AVERAGE(B362:D362)</f>
        <v>0.430965260347657</v>
      </c>
      <c r="G362" s="53" t="n">
        <f aca="false">MAX(B362:D362)-MIN(B362:D362)</f>
        <v>0.391271838578329</v>
      </c>
      <c r="H362" s="54" t="n">
        <f aca="false">IF(AND(E362="Phase I",OR(F362&gt;$E$6,F362&lt;$E$7,G362&gt;$E$8)),1,0)</f>
        <v>0</v>
      </c>
      <c r="I362" s="53" t="n">
        <f aca="false">$H$4</f>
        <v>0.67278149898986</v>
      </c>
      <c r="J362" s="53" t="n">
        <f aca="false">$H$6</f>
        <v>0.959137233677579</v>
      </c>
      <c r="K362" s="53" t="n">
        <f aca="false">$H$7</f>
        <v>0.386425764302142</v>
      </c>
      <c r="L362" s="53" t="n">
        <f aca="false">$H$5</f>
        <v>0.279917629215756</v>
      </c>
      <c r="M362" s="53" t="n">
        <f aca="false">$H$8</f>
        <v>0.720507977601356</v>
      </c>
      <c r="N362" s="54" t="n">
        <f aca="false">IF(OR(F362&gt;J362,F362&lt;K362),1,0)</f>
        <v>0</v>
      </c>
      <c r="O362" s="54" t="n">
        <f aca="false">IF(G362&gt;M362,1,0)</f>
        <v>0</v>
      </c>
      <c r="P362" s="54" t="n">
        <f aca="false">SIGN(F362-I362)</f>
        <v>-1</v>
      </c>
      <c r="Q362" s="54" t="n">
        <f aca="false">IF(ABS(SUM(P355:P362))=8,1,0)</f>
        <v>0</v>
      </c>
    </row>
    <row r="363" customFormat="false" ht="15" hidden="false" customHeight="false" outlineLevel="0" collapsed="false">
      <c r="A363" s="52" t="n">
        <v>44379</v>
      </c>
      <c r="B363" s="53" t="n">
        <v>0</v>
      </c>
      <c r="C363" s="53" t="n">
        <v>0.343272136497561</v>
      </c>
      <c r="D363" s="53" t="n">
        <v>0.0197874098681348</v>
      </c>
      <c r="E363" s="54" t="s">
        <v>946</v>
      </c>
      <c r="F363" s="53" t="n">
        <f aca="false">AVERAGE(B363:D363)</f>
        <v>0.121019848788565</v>
      </c>
      <c r="G363" s="53" t="n">
        <f aca="false">MAX(B363:D363)-MIN(B363:D363)</f>
        <v>0.343272136497561</v>
      </c>
      <c r="H363" s="54" t="n">
        <f aca="false">IF(AND(E363="Phase I",OR(F363&gt;$E$6,F363&lt;$E$7,G363&gt;$E$8)),1,0)</f>
        <v>0</v>
      </c>
      <c r="I363" s="53" t="n">
        <f aca="false">$H$4</f>
        <v>0.67278149898986</v>
      </c>
      <c r="J363" s="53" t="n">
        <f aca="false">$H$6</f>
        <v>0.959137233677579</v>
      </c>
      <c r="K363" s="53" t="n">
        <f aca="false">$H$7</f>
        <v>0.386425764302142</v>
      </c>
      <c r="L363" s="53" t="n">
        <f aca="false">$H$5</f>
        <v>0.279917629215756</v>
      </c>
      <c r="M363" s="53" t="n">
        <f aca="false">$H$8</f>
        <v>0.720507977601356</v>
      </c>
      <c r="N363" s="54" t="n">
        <f aca="false">IF(OR(F363&gt;J363,F363&lt;K363),1,0)</f>
        <v>1</v>
      </c>
      <c r="O363" s="54" t="n">
        <f aca="false">IF(G363&gt;M363,1,0)</f>
        <v>0</v>
      </c>
      <c r="P363" s="54" t="n">
        <f aca="false">SIGN(F363-I363)</f>
        <v>-1</v>
      </c>
      <c r="Q363" s="54" t="n">
        <f aca="false">IF(ABS(SUM(P356:P363))=8,1,0)</f>
        <v>0</v>
      </c>
    </row>
    <row r="364" customFormat="false" ht="15" hidden="false" customHeight="false" outlineLevel="0" collapsed="false">
      <c r="A364" s="52" t="n">
        <v>44382</v>
      </c>
      <c r="B364" s="53" t="n">
        <v>0.576044603249496</v>
      </c>
      <c r="C364" s="53" t="n">
        <v>0.811611211576708</v>
      </c>
      <c r="D364" s="53" t="n">
        <v>0.571138208483399</v>
      </c>
      <c r="E364" s="54" t="s">
        <v>946</v>
      </c>
      <c r="F364" s="53" t="n">
        <f aca="false">AVERAGE(B364:D364)</f>
        <v>0.652931341103201</v>
      </c>
      <c r="G364" s="53" t="n">
        <f aca="false">MAX(B364:D364)-MIN(B364:D364)</f>
        <v>0.240473003093308</v>
      </c>
      <c r="H364" s="54" t="n">
        <f aca="false">IF(AND(E364="Phase I",OR(F364&gt;$E$6,F364&lt;$E$7,G364&gt;$E$8)),1,0)</f>
        <v>0</v>
      </c>
      <c r="I364" s="53" t="n">
        <f aca="false">$H$4</f>
        <v>0.67278149898986</v>
      </c>
      <c r="J364" s="53" t="n">
        <f aca="false">$H$6</f>
        <v>0.959137233677579</v>
      </c>
      <c r="K364" s="53" t="n">
        <f aca="false">$H$7</f>
        <v>0.386425764302142</v>
      </c>
      <c r="L364" s="53" t="n">
        <f aca="false">$H$5</f>
        <v>0.279917629215756</v>
      </c>
      <c r="M364" s="53" t="n">
        <f aca="false">$H$8</f>
        <v>0.720507977601356</v>
      </c>
      <c r="N364" s="54" t="n">
        <f aca="false">IF(OR(F364&gt;J364,F364&lt;K364),1,0)</f>
        <v>0</v>
      </c>
      <c r="O364" s="54" t="n">
        <f aca="false">IF(G364&gt;M364,1,0)</f>
        <v>0</v>
      </c>
      <c r="P364" s="54" t="n">
        <f aca="false">SIGN(F364-I364)</f>
        <v>-1</v>
      </c>
      <c r="Q364" s="54" t="n">
        <f aca="false">IF(ABS(SUM(P357:P364))=8,1,0)</f>
        <v>0</v>
      </c>
    </row>
    <row r="365" customFormat="false" ht="15" hidden="false" customHeight="false" outlineLevel="0" collapsed="false">
      <c r="A365" s="52" t="n">
        <v>44383</v>
      </c>
      <c r="B365" s="53" t="n">
        <v>0.561220777796319</v>
      </c>
      <c r="C365" s="53" t="n">
        <v>0.688808240574777</v>
      </c>
      <c r="D365" s="53" t="n">
        <v>0.325504614748969</v>
      </c>
      <c r="E365" s="54" t="s">
        <v>946</v>
      </c>
      <c r="F365" s="53" t="n">
        <f aca="false">AVERAGE(B365:D365)</f>
        <v>0.525177877706688</v>
      </c>
      <c r="G365" s="53" t="n">
        <f aca="false">MAX(B365:D365)-MIN(B365:D365)</f>
        <v>0.363303625825809</v>
      </c>
      <c r="H365" s="54" t="n">
        <f aca="false">IF(AND(E365="Phase I",OR(F365&gt;$E$6,F365&lt;$E$7,G365&gt;$E$8)),1,0)</f>
        <v>0</v>
      </c>
      <c r="I365" s="53" t="n">
        <f aca="false">$H$4</f>
        <v>0.67278149898986</v>
      </c>
      <c r="J365" s="53" t="n">
        <f aca="false">$H$6</f>
        <v>0.959137233677579</v>
      </c>
      <c r="K365" s="53" t="n">
        <f aca="false">$H$7</f>
        <v>0.386425764302142</v>
      </c>
      <c r="L365" s="53" t="n">
        <f aca="false">$H$5</f>
        <v>0.279917629215756</v>
      </c>
      <c r="M365" s="53" t="n">
        <f aca="false">$H$8</f>
        <v>0.720507977601356</v>
      </c>
      <c r="N365" s="54" t="n">
        <f aca="false">IF(OR(F365&gt;J365,F365&lt;K365),1,0)</f>
        <v>0</v>
      </c>
      <c r="O365" s="54" t="n">
        <f aca="false">IF(G365&gt;M365,1,0)</f>
        <v>0</v>
      </c>
      <c r="P365" s="54" t="n">
        <f aca="false">SIGN(F365-I365)</f>
        <v>-1</v>
      </c>
      <c r="Q365" s="54" t="n">
        <f aca="false">IF(ABS(SUM(P358:P365))=8,1,0)</f>
        <v>0</v>
      </c>
    </row>
    <row r="366" customFormat="false" ht="15" hidden="false" customHeight="false" outlineLevel="0" collapsed="false">
      <c r="A366" s="52" t="n">
        <v>44384</v>
      </c>
      <c r="B366" s="53" t="n">
        <v>0.0125686933433595</v>
      </c>
      <c r="C366" s="53" t="n">
        <v>0.718534668670648</v>
      </c>
      <c r="D366" s="53" t="n">
        <v>0.720529143630332</v>
      </c>
      <c r="E366" s="54" t="s">
        <v>946</v>
      </c>
      <c r="F366" s="53" t="n">
        <f aca="false">AVERAGE(B366:D366)</f>
        <v>0.483877501881446</v>
      </c>
      <c r="G366" s="53" t="n">
        <f aca="false">MAX(B366:D366)-MIN(B366:D366)</f>
        <v>0.707960450286972</v>
      </c>
      <c r="H366" s="54" t="n">
        <f aca="false">IF(AND(E366="Phase I",OR(F366&gt;$E$6,F366&lt;$E$7,G366&gt;$E$8)),1,0)</f>
        <v>0</v>
      </c>
      <c r="I366" s="53" t="n">
        <f aca="false">$H$4</f>
        <v>0.67278149898986</v>
      </c>
      <c r="J366" s="53" t="n">
        <f aca="false">$H$6</f>
        <v>0.959137233677579</v>
      </c>
      <c r="K366" s="53" t="n">
        <f aca="false">$H$7</f>
        <v>0.386425764302142</v>
      </c>
      <c r="L366" s="53" t="n">
        <f aca="false">$H$5</f>
        <v>0.279917629215756</v>
      </c>
      <c r="M366" s="53" t="n">
        <f aca="false">$H$8</f>
        <v>0.720507977601356</v>
      </c>
      <c r="N366" s="54" t="n">
        <f aca="false">IF(OR(F366&gt;J366,F366&lt;K366),1,0)</f>
        <v>0</v>
      </c>
      <c r="O366" s="54" t="n">
        <f aca="false">IF(G366&gt;M366,1,0)</f>
        <v>0</v>
      </c>
      <c r="P366" s="54" t="n">
        <f aca="false">SIGN(F366-I366)</f>
        <v>-1</v>
      </c>
      <c r="Q366" s="54" t="n">
        <f aca="false">IF(ABS(SUM(P359:P366))=8,1,0)</f>
        <v>0</v>
      </c>
    </row>
    <row r="367" customFormat="false" ht="15" hidden="false" customHeight="false" outlineLevel="0" collapsed="false">
      <c r="A367" s="52" t="n">
        <v>44385</v>
      </c>
      <c r="B367" s="53" t="n">
        <v>0.599291158660692</v>
      </c>
      <c r="C367" s="53" t="n">
        <v>0.722466187740634</v>
      </c>
      <c r="D367" s="53" t="n">
        <v>0.217190972016138</v>
      </c>
      <c r="E367" s="54" t="s">
        <v>946</v>
      </c>
      <c r="F367" s="53" t="n">
        <f aca="false">AVERAGE(B367:D367)</f>
        <v>0.512982772805821</v>
      </c>
      <c r="G367" s="53" t="n">
        <f aca="false">MAX(B367:D367)-MIN(B367:D367)</f>
        <v>0.505275215724497</v>
      </c>
      <c r="H367" s="54" t="n">
        <f aca="false">IF(AND(E367="Phase I",OR(F367&gt;$E$6,F367&lt;$E$7,G367&gt;$E$8)),1,0)</f>
        <v>0</v>
      </c>
      <c r="I367" s="53" t="n">
        <f aca="false">$H$4</f>
        <v>0.67278149898986</v>
      </c>
      <c r="J367" s="53" t="n">
        <f aca="false">$H$6</f>
        <v>0.959137233677579</v>
      </c>
      <c r="K367" s="53" t="n">
        <f aca="false">$H$7</f>
        <v>0.386425764302142</v>
      </c>
      <c r="L367" s="53" t="n">
        <f aca="false">$H$5</f>
        <v>0.279917629215756</v>
      </c>
      <c r="M367" s="53" t="n">
        <f aca="false">$H$8</f>
        <v>0.720507977601356</v>
      </c>
      <c r="N367" s="54" t="n">
        <f aca="false">IF(OR(F367&gt;J367,F367&lt;K367),1,0)</f>
        <v>0</v>
      </c>
      <c r="O367" s="54" t="n">
        <f aca="false">IF(G367&gt;M367,1,0)</f>
        <v>0</v>
      </c>
      <c r="P367" s="54" t="n">
        <f aca="false">SIGN(F367-I367)</f>
        <v>-1</v>
      </c>
      <c r="Q367" s="54" t="n">
        <f aca="false">IF(ABS(SUM(P360:P367))=8,1,0)</f>
        <v>0</v>
      </c>
    </row>
    <row r="368" customFormat="false" ht="15" hidden="false" customHeight="false" outlineLevel="0" collapsed="false">
      <c r="A368" s="52" t="n">
        <v>44388</v>
      </c>
      <c r="B368" s="53" t="n">
        <v>0.184981531045946</v>
      </c>
      <c r="C368" s="53" t="n">
        <v>0.635767294462308</v>
      </c>
      <c r="D368" s="53" t="n">
        <v>0.718075136490454</v>
      </c>
      <c r="E368" s="54" t="s">
        <v>946</v>
      </c>
      <c r="F368" s="53" t="n">
        <f aca="false">AVERAGE(B368:D368)</f>
        <v>0.512941320666236</v>
      </c>
      <c r="G368" s="53" t="n">
        <f aca="false">MAX(B368:D368)-MIN(B368:D368)</f>
        <v>0.533093605444508</v>
      </c>
      <c r="H368" s="54" t="n">
        <f aca="false">IF(AND(E368="Phase I",OR(F368&gt;$E$6,F368&lt;$E$7,G368&gt;$E$8)),1,0)</f>
        <v>0</v>
      </c>
      <c r="I368" s="53" t="n">
        <f aca="false">$H$4</f>
        <v>0.67278149898986</v>
      </c>
      <c r="J368" s="53" t="n">
        <f aca="false">$H$6</f>
        <v>0.959137233677579</v>
      </c>
      <c r="K368" s="53" t="n">
        <f aca="false">$H$7</f>
        <v>0.386425764302142</v>
      </c>
      <c r="L368" s="53" t="n">
        <f aca="false">$H$5</f>
        <v>0.279917629215756</v>
      </c>
      <c r="M368" s="53" t="n">
        <f aca="false">$H$8</f>
        <v>0.720507977601356</v>
      </c>
      <c r="N368" s="54" t="n">
        <f aca="false">IF(OR(F368&gt;J368,F368&lt;K368),1,0)</f>
        <v>0</v>
      </c>
      <c r="O368" s="54" t="n">
        <f aca="false">IF(G368&gt;M368,1,0)</f>
        <v>0</v>
      </c>
      <c r="P368" s="54" t="n">
        <f aca="false">SIGN(F368-I368)</f>
        <v>-1</v>
      </c>
      <c r="Q368" s="54" t="n">
        <f aca="false">IF(ABS(SUM(P361:P368))=8,1,0)</f>
        <v>1</v>
      </c>
    </row>
    <row r="369" customFormat="false" ht="15" hidden="false" customHeight="false" outlineLevel="0" collapsed="false">
      <c r="A369" s="52" t="n">
        <v>44389</v>
      </c>
      <c r="B369" s="53" t="n">
        <v>0.730770228703108</v>
      </c>
      <c r="C369" s="53" t="n">
        <v>0.822309126529906</v>
      </c>
      <c r="D369" s="53" t="n">
        <v>0.368821135427694</v>
      </c>
      <c r="E369" s="54" t="s">
        <v>946</v>
      </c>
      <c r="F369" s="53" t="n">
        <f aca="false">AVERAGE(B369:D369)</f>
        <v>0.640633496886903</v>
      </c>
      <c r="G369" s="53" t="n">
        <f aca="false">MAX(B369:D369)-MIN(B369:D369)</f>
        <v>0.453487991102212</v>
      </c>
      <c r="H369" s="54" t="n">
        <f aca="false">IF(AND(E369="Phase I",OR(F369&gt;$E$6,F369&lt;$E$7,G369&gt;$E$8)),1,0)</f>
        <v>0</v>
      </c>
      <c r="I369" s="53" t="n">
        <f aca="false">$H$4</f>
        <v>0.67278149898986</v>
      </c>
      <c r="J369" s="53" t="n">
        <f aca="false">$H$6</f>
        <v>0.959137233677579</v>
      </c>
      <c r="K369" s="53" t="n">
        <f aca="false">$H$7</f>
        <v>0.386425764302142</v>
      </c>
      <c r="L369" s="53" t="n">
        <f aca="false">$H$5</f>
        <v>0.279917629215756</v>
      </c>
      <c r="M369" s="53" t="n">
        <f aca="false">$H$8</f>
        <v>0.720507977601356</v>
      </c>
      <c r="N369" s="54" t="n">
        <f aca="false">IF(OR(F369&gt;J369,F369&lt;K369),1,0)</f>
        <v>0</v>
      </c>
      <c r="O369" s="54" t="n">
        <f aca="false">IF(G369&gt;M369,1,0)</f>
        <v>0</v>
      </c>
      <c r="P369" s="54" t="n">
        <f aca="false">SIGN(F369-I369)</f>
        <v>-1</v>
      </c>
      <c r="Q369" s="54" t="n">
        <f aca="false">IF(ABS(SUM(P362:P369))=8,1,0)</f>
        <v>1</v>
      </c>
    </row>
    <row r="370" customFormat="false" ht="15" hidden="false" customHeight="false" outlineLevel="0" collapsed="false">
      <c r="A370" s="52" t="n">
        <v>44390</v>
      </c>
      <c r="B370" s="53" t="n">
        <v>0.700596862411011</v>
      </c>
      <c r="C370" s="53" t="n">
        <v>0.105625119829162</v>
      </c>
      <c r="D370" s="53" t="n">
        <v>0.364789316483084</v>
      </c>
      <c r="E370" s="54" t="s">
        <v>946</v>
      </c>
      <c r="F370" s="53" t="n">
        <f aca="false">AVERAGE(B370:D370)</f>
        <v>0.390337099574419</v>
      </c>
      <c r="G370" s="53" t="n">
        <f aca="false">MAX(B370:D370)-MIN(B370:D370)</f>
        <v>0.594971742581849</v>
      </c>
      <c r="H370" s="54" t="n">
        <f aca="false">IF(AND(E370="Phase I",OR(F370&gt;$E$6,F370&lt;$E$7,G370&gt;$E$8)),1,0)</f>
        <v>0</v>
      </c>
      <c r="I370" s="53" t="n">
        <f aca="false">$H$4</f>
        <v>0.67278149898986</v>
      </c>
      <c r="J370" s="53" t="n">
        <f aca="false">$H$6</f>
        <v>0.959137233677579</v>
      </c>
      <c r="K370" s="53" t="n">
        <f aca="false">$H$7</f>
        <v>0.386425764302142</v>
      </c>
      <c r="L370" s="53" t="n">
        <f aca="false">$H$5</f>
        <v>0.279917629215756</v>
      </c>
      <c r="M370" s="53" t="n">
        <f aca="false">$H$8</f>
        <v>0.720507977601356</v>
      </c>
      <c r="N370" s="54" t="n">
        <f aca="false">IF(OR(F370&gt;J370,F370&lt;K370),1,0)</f>
        <v>0</v>
      </c>
      <c r="O370" s="54" t="n">
        <f aca="false">IF(G370&gt;M370,1,0)</f>
        <v>0</v>
      </c>
      <c r="P370" s="54" t="n">
        <f aca="false">SIGN(F370-I370)</f>
        <v>-1</v>
      </c>
      <c r="Q370" s="54" t="n">
        <f aca="false">IF(ABS(SUM(P363:P370))=8,1,0)</f>
        <v>1</v>
      </c>
    </row>
    <row r="371" customFormat="false" ht="15" hidden="false" customHeight="false" outlineLevel="0" collapsed="false">
      <c r="A371" s="52" t="n">
        <v>44391</v>
      </c>
      <c r="B371" s="53" t="n">
        <v>0.700656191550934</v>
      </c>
      <c r="C371" s="53" t="n">
        <v>0.588840406249547</v>
      </c>
      <c r="D371" s="53" t="n">
        <v>0.391429083736776</v>
      </c>
      <c r="E371" s="54" t="s">
        <v>946</v>
      </c>
      <c r="F371" s="53" t="n">
        <f aca="false">AVERAGE(B371:D371)</f>
        <v>0.560308560512419</v>
      </c>
      <c r="G371" s="53" t="n">
        <f aca="false">MAX(B371:D371)-MIN(B371:D371)</f>
        <v>0.309227107814158</v>
      </c>
      <c r="H371" s="54" t="n">
        <f aca="false">IF(AND(E371="Phase I",OR(F371&gt;$E$6,F371&lt;$E$7,G371&gt;$E$8)),1,0)</f>
        <v>0</v>
      </c>
      <c r="I371" s="53" t="n">
        <f aca="false">$H$4</f>
        <v>0.67278149898986</v>
      </c>
      <c r="J371" s="53" t="n">
        <f aca="false">$H$6</f>
        <v>0.959137233677579</v>
      </c>
      <c r="K371" s="53" t="n">
        <f aca="false">$H$7</f>
        <v>0.386425764302142</v>
      </c>
      <c r="L371" s="53" t="n">
        <f aca="false">$H$5</f>
        <v>0.279917629215756</v>
      </c>
      <c r="M371" s="53" t="n">
        <f aca="false">$H$8</f>
        <v>0.720507977601356</v>
      </c>
      <c r="N371" s="54" t="n">
        <f aca="false">IF(OR(F371&gt;J371,F371&lt;K371),1,0)</f>
        <v>0</v>
      </c>
      <c r="O371" s="54" t="n">
        <f aca="false">IF(G371&gt;M371,1,0)</f>
        <v>0</v>
      </c>
      <c r="P371" s="54" t="n">
        <f aca="false">SIGN(F371-I371)</f>
        <v>-1</v>
      </c>
      <c r="Q371" s="54" t="n">
        <f aca="false">IF(ABS(SUM(P364:P371))=8,1,0)</f>
        <v>1</v>
      </c>
    </row>
    <row r="372" customFormat="false" ht="15" hidden="false" customHeight="false" outlineLevel="0" collapsed="false">
      <c r="A372" s="52" t="n">
        <v>44393</v>
      </c>
      <c r="B372" s="53" t="n">
        <v>0.719134248569175</v>
      </c>
      <c r="C372" s="53" t="n">
        <v>0.654589841987666</v>
      </c>
      <c r="D372" s="53" t="n">
        <v>0.567288092939417</v>
      </c>
      <c r="E372" s="54" t="s">
        <v>946</v>
      </c>
      <c r="F372" s="53" t="n">
        <f aca="false">AVERAGE(B372:D372)</f>
        <v>0.647004061165419</v>
      </c>
      <c r="G372" s="53" t="n">
        <f aca="false">MAX(B372:D372)-MIN(B372:D372)</f>
        <v>0.151846155629758</v>
      </c>
      <c r="H372" s="54" t="n">
        <f aca="false">IF(AND(E372="Phase I",OR(F372&gt;$E$6,F372&lt;$E$7,G372&gt;$E$8)),1,0)</f>
        <v>0</v>
      </c>
      <c r="I372" s="53" t="n">
        <f aca="false">$H$4</f>
        <v>0.67278149898986</v>
      </c>
      <c r="J372" s="53" t="n">
        <f aca="false">$H$6</f>
        <v>0.959137233677579</v>
      </c>
      <c r="K372" s="53" t="n">
        <f aca="false">$H$7</f>
        <v>0.386425764302142</v>
      </c>
      <c r="L372" s="53" t="n">
        <f aca="false">$H$5</f>
        <v>0.279917629215756</v>
      </c>
      <c r="M372" s="53" t="n">
        <f aca="false">$H$8</f>
        <v>0.720507977601356</v>
      </c>
      <c r="N372" s="54" t="n">
        <f aca="false">IF(OR(F372&gt;J372,F372&lt;K372),1,0)</f>
        <v>0</v>
      </c>
      <c r="O372" s="54" t="n">
        <f aca="false">IF(G372&gt;M372,1,0)</f>
        <v>0</v>
      </c>
      <c r="P372" s="54" t="n">
        <f aca="false">SIGN(F372-I372)</f>
        <v>-1</v>
      </c>
      <c r="Q372" s="54" t="n">
        <f aca="false">IF(ABS(SUM(P365:P372))=8,1,0)</f>
        <v>1</v>
      </c>
    </row>
    <row r="373" customFormat="false" ht="15" hidden="false" customHeight="false" outlineLevel="0" collapsed="false">
      <c r="A373" s="52" t="n">
        <v>44402</v>
      </c>
      <c r="B373" s="53" t="n">
        <v>0.40846230224106</v>
      </c>
      <c r="C373" s="53" t="n">
        <v>0.529470462497647</v>
      </c>
      <c r="D373" s="53" t="n">
        <v>0.634300844139748</v>
      </c>
      <c r="E373" s="54" t="s">
        <v>946</v>
      </c>
      <c r="F373" s="53" t="n">
        <f aca="false">AVERAGE(B373:D373)</f>
        <v>0.524077869626152</v>
      </c>
      <c r="G373" s="53" t="n">
        <f aca="false">MAX(B373:D373)-MIN(B373:D373)</f>
        <v>0.225838541898687</v>
      </c>
      <c r="H373" s="54" t="n">
        <f aca="false">IF(AND(E373="Phase I",OR(F373&gt;$E$6,F373&lt;$E$7,G373&gt;$E$8)),1,0)</f>
        <v>0</v>
      </c>
      <c r="I373" s="53" t="n">
        <f aca="false">$H$4</f>
        <v>0.67278149898986</v>
      </c>
      <c r="J373" s="53" t="n">
        <f aca="false">$H$6</f>
        <v>0.959137233677579</v>
      </c>
      <c r="K373" s="53" t="n">
        <f aca="false">$H$7</f>
        <v>0.386425764302142</v>
      </c>
      <c r="L373" s="53" t="n">
        <f aca="false">$H$5</f>
        <v>0.279917629215756</v>
      </c>
      <c r="M373" s="53" t="n">
        <f aca="false">$H$8</f>
        <v>0.720507977601356</v>
      </c>
      <c r="N373" s="54" t="n">
        <f aca="false">IF(OR(F373&gt;J373,F373&lt;K373),1,0)</f>
        <v>0</v>
      </c>
      <c r="O373" s="54" t="n">
        <f aca="false">IF(G373&gt;M373,1,0)</f>
        <v>0</v>
      </c>
      <c r="P373" s="54" t="n">
        <f aca="false">SIGN(F373-I373)</f>
        <v>-1</v>
      </c>
      <c r="Q373" s="54" t="n">
        <f aca="false">IF(ABS(SUM(P366:P373))=8,1,0)</f>
        <v>1</v>
      </c>
    </row>
    <row r="374" customFormat="false" ht="15" hidden="false" customHeight="false" outlineLevel="0" collapsed="false">
      <c r="A374" s="52" t="n">
        <v>44403</v>
      </c>
      <c r="B374" s="53" t="n">
        <v>0.617506618103541</v>
      </c>
      <c r="C374" s="53" t="n">
        <v>0.642403091222618</v>
      </c>
      <c r="D374" s="53" t="n">
        <v>0.543266223243417</v>
      </c>
      <c r="E374" s="54" t="s">
        <v>946</v>
      </c>
      <c r="F374" s="53" t="n">
        <f aca="false">AVERAGE(B374:D374)</f>
        <v>0.601058644189859</v>
      </c>
      <c r="G374" s="53" t="n">
        <f aca="false">MAX(B374:D374)-MIN(B374:D374)</f>
        <v>0.0991368679792011</v>
      </c>
      <c r="H374" s="54" t="n">
        <f aca="false">IF(AND(E374="Phase I",OR(F374&gt;$E$6,F374&lt;$E$7,G374&gt;$E$8)),1,0)</f>
        <v>0</v>
      </c>
      <c r="I374" s="53" t="n">
        <f aca="false">$H$4</f>
        <v>0.67278149898986</v>
      </c>
      <c r="J374" s="53" t="n">
        <f aca="false">$H$6</f>
        <v>0.959137233677579</v>
      </c>
      <c r="K374" s="53" t="n">
        <f aca="false">$H$7</f>
        <v>0.386425764302142</v>
      </c>
      <c r="L374" s="53" t="n">
        <f aca="false">$H$5</f>
        <v>0.279917629215756</v>
      </c>
      <c r="M374" s="53" t="n">
        <f aca="false">$H$8</f>
        <v>0.720507977601356</v>
      </c>
      <c r="N374" s="54" t="n">
        <f aca="false">IF(OR(F374&gt;J374,F374&lt;K374),1,0)</f>
        <v>0</v>
      </c>
      <c r="O374" s="54" t="n">
        <f aca="false">IF(G374&gt;M374,1,0)</f>
        <v>0</v>
      </c>
      <c r="P374" s="54" t="n">
        <f aca="false">SIGN(F374-I374)</f>
        <v>-1</v>
      </c>
      <c r="Q374" s="54" t="n">
        <f aca="false">IF(ABS(SUM(P367:P374))=8,1,0)</f>
        <v>1</v>
      </c>
    </row>
    <row r="375" customFormat="false" ht="15" hidden="false" customHeight="false" outlineLevel="0" collapsed="false">
      <c r="A375" s="52" t="n">
        <v>44404</v>
      </c>
      <c r="B375" s="53" t="n">
        <v>0.824528307438855</v>
      </c>
      <c r="C375" s="53" t="n">
        <v>0.746840751274574</v>
      </c>
      <c r="D375" s="53" t="n">
        <v>0.661371410052497</v>
      </c>
      <c r="E375" s="54" t="s">
        <v>946</v>
      </c>
      <c r="F375" s="53" t="n">
        <f aca="false">AVERAGE(B375:D375)</f>
        <v>0.744246822921975</v>
      </c>
      <c r="G375" s="53" t="n">
        <f aca="false">MAX(B375:D375)-MIN(B375:D375)</f>
        <v>0.163156897386358</v>
      </c>
      <c r="H375" s="54" t="n">
        <f aca="false">IF(AND(E375="Phase I",OR(F375&gt;$E$6,F375&lt;$E$7,G375&gt;$E$8)),1,0)</f>
        <v>0</v>
      </c>
      <c r="I375" s="53" t="n">
        <f aca="false">$H$4</f>
        <v>0.67278149898986</v>
      </c>
      <c r="J375" s="53" t="n">
        <f aca="false">$H$6</f>
        <v>0.959137233677579</v>
      </c>
      <c r="K375" s="53" t="n">
        <f aca="false">$H$7</f>
        <v>0.386425764302142</v>
      </c>
      <c r="L375" s="53" t="n">
        <f aca="false">$H$5</f>
        <v>0.279917629215756</v>
      </c>
      <c r="M375" s="53" t="n">
        <f aca="false">$H$8</f>
        <v>0.720507977601356</v>
      </c>
      <c r="N375" s="54" t="n">
        <f aca="false">IF(OR(F375&gt;J375,F375&lt;K375),1,0)</f>
        <v>0</v>
      </c>
      <c r="O375" s="54" t="n">
        <f aca="false">IF(G375&gt;M375,1,0)</f>
        <v>0</v>
      </c>
      <c r="P375" s="54" t="n">
        <f aca="false">SIGN(F375-I375)</f>
        <v>1</v>
      </c>
      <c r="Q375" s="54" t="n">
        <f aca="false">IF(ABS(SUM(P368:P375))=8,1,0)</f>
        <v>0</v>
      </c>
    </row>
    <row r="376" customFormat="false" ht="15" hidden="false" customHeight="false" outlineLevel="0" collapsed="false">
      <c r="A376" s="52" t="n">
        <v>44405</v>
      </c>
      <c r="B376" s="53" t="n">
        <v>0.632838763199564</v>
      </c>
      <c r="C376" s="53" t="n">
        <v>0.669669035588696</v>
      </c>
      <c r="D376" s="53" t="n">
        <v>0.368457169150786</v>
      </c>
      <c r="E376" s="54" t="s">
        <v>946</v>
      </c>
      <c r="F376" s="53" t="n">
        <f aca="false">AVERAGE(B376:D376)</f>
        <v>0.556988322646349</v>
      </c>
      <c r="G376" s="53" t="n">
        <f aca="false">MAX(B376:D376)-MIN(B376:D376)</f>
        <v>0.301211866437911</v>
      </c>
      <c r="H376" s="54" t="n">
        <f aca="false">IF(AND(E376="Phase I",OR(F376&gt;$E$6,F376&lt;$E$7,G376&gt;$E$8)),1,0)</f>
        <v>0</v>
      </c>
      <c r="I376" s="53" t="n">
        <f aca="false">$H$4</f>
        <v>0.67278149898986</v>
      </c>
      <c r="J376" s="53" t="n">
        <f aca="false">$H$6</f>
        <v>0.959137233677579</v>
      </c>
      <c r="K376" s="53" t="n">
        <f aca="false">$H$7</f>
        <v>0.386425764302142</v>
      </c>
      <c r="L376" s="53" t="n">
        <f aca="false">$H$5</f>
        <v>0.279917629215756</v>
      </c>
      <c r="M376" s="53" t="n">
        <f aca="false">$H$8</f>
        <v>0.720507977601356</v>
      </c>
      <c r="N376" s="54" t="n">
        <f aca="false">IF(OR(F376&gt;J376,F376&lt;K376),1,0)</f>
        <v>0</v>
      </c>
      <c r="O376" s="54" t="n">
        <f aca="false">IF(G376&gt;M376,1,0)</f>
        <v>0</v>
      </c>
      <c r="P376" s="54" t="n">
        <f aca="false">SIGN(F376-I376)</f>
        <v>-1</v>
      </c>
      <c r="Q376" s="54" t="n">
        <f aca="false">IF(ABS(SUM(P369:P376))=8,1,0)</f>
        <v>0</v>
      </c>
    </row>
    <row r="377" customFormat="false" ht="15" hidden="false" customHeight="false" outlineLevel="0" collapsed="false">
      <c r="A377" s="52" t="n">
        <v>44406</v>
      </c>
      <c r="B377" s="53" t="n">
        <v>0.382511481324192</v>
      </c>
      <c r="C377" s="53" t="n">
        <v>0.704846535439544</v>
      </c>
      <c r="D377" s="53" t="n">
        <v>0.646997369085456</v>
      </c>
      <c r="E377" s="54" t="s">
        <v>946</v>
      </c>
      <c r="F377" s="53" t="n">
        <f aca="false">AVERAGE(B377:D377)</f>
        <v>0.57811846194973</v>
      </c>
      <c r="G377" s="53" t="n">
        <f aca="false">MAX(B377:D377)-MIN(B377:D377)</f>
        <v>0.322335054115352</v>
      </c>
      <c r="H377" s="54" t="n">
        <f aca="false">IF(AND(E377="Phase I",OR(F377&gt;$E$6,F377&lt;$E$7,G377&gt;$E$8)),1,0)</f>
        <v>0</v>
      </c>
      <c r="I377" s="53" t="n">
        <f aca="false">$H$4</f>
        <v>0.67278149898986</v>
      </c>
      <c r="J377" s="53" t="n">
        <f aca="false">$H$6</f>
        <v>0.959137233677579</v>
      </c>
      <c r="K377" s="53" t="n">
        <f aca="false">$H$7</f>
        <v>0.386425764302142</v>
      </c>
      <c r="L377" s="53" t="n">
        <f aca="false">$H$5</f>
        <v>0.279917629215756</v>
      </c>
      <c r="M377" s="53" t="n">
        <f aca="false">$H$8</f>
        <v>0.720507977601356</v>
      </c>
      <c r="N377" s="54" t="n">
        <f aca="false">IF(OR(F377&gt;J377,F377&lt;K377),1,0)</f>
        <v>0</v>
      </c>
      <c r="O377" s="54" t="n">
        <f aca="false">IF(G377&gt;M377,1,0)</f>
        <v>0</v>
      </c>
      <c r="P377" s="54" t="n">
        <f aca="false">SIGN(F377-I377)</f>
        <v>-1</v>
      </c>
      <c r="Q377" s="54" t="n">
        <f aca="false">IF(ABS(SUM(P370:P377))=8,1,0)</f>
        <v>0</v>
      </c>
    </row>
    <row r="378" customFormat="false" ht="15" hidden="false" customHeight="false" outlineLevel="0" collapsed="false">
      <c r="A378" s="52" t="n">
        <v>44407</v>
      </c>
      <c r="B378" s="53" t="n">
        <v>0.713987193271698</v>
      </c>
      <c r="C378" s="53" t="n">
        <v>0.656732901705342</v>
      </c>
      <c r="D378" s="53" t="n">
        <v>0.727183001536751</v>
      </c>
      <c r="E378" s="54" t="s">
        <v>946</v>
      </c>
      <c r="F378" s="53" t="n">
        <f aca="false">AVERAGE(B378:D378)</f>
        <v>0.699301032171264</v>
      </c>
      <c r="G378" s="53" t="n">
        <f aca="false">MAX(B378:D378)-MIN(B378:D378)</f>
        <v>0.0704500998314087</v>
      </c>
      <c r="H378" s="54" t="n">
        <f aca="false">IF(AND(E378="Phase I",OR(F378&gt;$E$6,F378&lt;$E$7,G378&gt;$E$8)),1,0)</f>
        <v>0</v>
      </c>
      <c r="I378" s="53" t="n">
        <f aca="false">$H$4</f>
        <v>0.67278149898986</v>
      </c>
      <c r="J378" s="53" t="n">
        <f aca="false">$H$6</f>
        <v>0.959137233677579</v>
      </c>
      <c r="K378" s="53" t="n">
        <f aca="false">$H$7</f>
        <v>0.386425764302142</v>
      </c>
      <c r="L378" s="53" t="n">
        <f aca="false">$H$5</f>
        <v>0.279917629215756</v>
      </c>
      <c r="M378" s="53" t="n">
        <f aca="false">$H$8</f>
        <v>0.720507977601356</v>
      </c>
      <c r="N378" s="54" t="n">
        <f aca="false">IF(OR(F378&gt;J378,F378&lt;K378),1,0)</f>
        <v>0</v>
      </c>
      <c r="O378" s="54" t="n">
        <f aca="false">IF(G378&gt;M378,1,0)</f>
        <v>0</v>
      </c>
      <c r="P378" s="54" t="n">
        <f aca="false">SIGN(F378-I378)</f>
        <v>1</v>
      </c>
      <c r="Q378" s="54" t="n">
        <f aca="false">IF(ABS(SUM(P371:P378))=8,1,0)</f>
        <v>0</v>
      </c>
    </row>
    <row r="379" customFormat="false" ht="15" hidden="false" customHeight="false" outlineLevel="0" collapsed="false">
      <c r="A379" s="52" t="n">
        <v>44410</v>
      </c>
      <c r="B379" s="53" t="n">
        <v>0.676773598643497</v>
      </c>
      <c r="C379" s="53" t="n">
        <v>0.724834791005936</v>
      </c>
      <c r="D379" s="53" t="n">
        <v>0.833267457475773</v>
      </c>
      <c r="E379" s="54" t="s">
        <v>946</v>
      </c>
      <c r="F379" s="53" t="n">
        <f aca="false">AVERAGE(B379:D379)</f>
        <v>0.744958615708402</v>
      </c>
      <c r="G379" s="53" t="n">
        <f aca="false">MAX(B379:D379)-MIN(B379:D379)</f>
        <v>0.156493858832276</v>
      </c>
      <c r="H379" s="54" t="n">
        <f aca="false">IF(AND(E379="Phase I",OR(F379&gt;$E$6,F379&lt;$E$7,G379&gt;$E$8)),1,0)</f>
        <v>0</v>
      </c>
      <c r="I379" s="53" t="n">
        <f aca="false">$H$4</f>
        <v>0.67278149898986</v>
      </c>
      <c r="J379" s="53" t="n">
        <f aca="false">$H$6</f>
        <v>0.959137233677579</v>
      </c>
      <c r="K379" s="53" t="n">
        <f aca="false">$H$7</f>
        <v>0.386425764302142</v>
      </c>
      <c r="L379" s="53" t="n">
        <f aca="false">$H$5</f>
        <v>0.279917629215756</v>
      </c>
      <c r="M379" s="53" t="n">
        <f aca="false">$H$8</f>
        <v>0.720507977601356</v>
      </c>
      <c r="N379" s="54" t="n">
        <f aca="false">IF(OR(F379&gt;J379,F379&lt;K379),1,0)</f>
        <v>0</v>
      </c>
      <c r="O379" s="54" t="n">
        <f aca="false">IF(G379&gt;M379,1,0)</f>
        <v>0</v>
      </c>
      <c r="P379" s="54" t="n">
        <f aca="false">SIGN(F379-I379)</f>
        <v>1</v>
      </c>
      <c r="Q379" s="54" t="n">
        <f aca="false">IF(ABS(SUM(P372:P379))=8,1,0)</f>
        <v>0</v>
      </c>
    </row>
    <row r="380" customFormat="false" ht="15" hidden="false" customHeight="false" outlineLevel="0" collapsed="false">
      <c r="A380" s="52" t="n">
        <v>44411</v>
      </c>
      <c r="B380" s="53" t="n">
        <v>0.720715275749908</v>
      </c>
      <c r="C380" s="53" t="n">
        <v>0.608170021957859</v>
      </c>
      <c r="D380" s="53" t="n">
        <v>0.670486499947403</v>
      </c>
      <c r="E380" s="54" t="s">
        <v>946</v>
      </c>
      <c r="F380" s="53" t="n">
        <f aca="false">AVERAGE(B380:D380)</f>
        <v>0.666457265885057</v>
      </c>
      <c r="G380" s="53" t="n">
        <f aca="false">MAX(B380:D380)-MIN(B380:D380)</f>
        <v>0.11254525379205</v>
      </c>
      <c r="H380" s="54" t="n">
        <f aca="false">IF(AND(E380="Phase I",OR(F380&gt;$E$6,F380&lt;$E$7,G380&gt;$E$8)),1,0)</f>
        <v>0</v>
      </c>
      <c r="I380" s="53" t="n">
        <f aca="false">$H$4</f>
        <v>0.67278149898986</v>
      </c>
      <c r="J380" s="53" t="n">
        <f aca="false">$H$6</f>
        <v>0.959137233677579</v>
      </c>
      <c r="K380" s="53" t="n">
        <f aca="false">$H$7</f>
        <v>0.386425764302142</v>
      </c>
      <c r="L380" s="53" t="n">
        <f aca="false">$H$5</f>
        <v>0.279917629215756</v>
      </c>
      <c r="M380" s="53" t="n">
        <f aca="false">$H$8</f>
        <v>0.720507977601356</v>
      </c>
      <c r="N380" s="54" t="n">
        <f aca="false">IF(OR(F380&gt;J380,F380&lt;K380),1,0)</f>
        <v>0</v>
      </c>
      <c r="O380" s="54" t="n">
        <f aca="false">IF(G380&gt;M380,1,0)</f>
        <v>0</v>
      </c>
      <c r="P380" s="54" t="n">
        <f aca="false">SIGN(F380-I380)</f>
        <v>-1</v>
      </c>
      <c r="Q380" s="54" t="n">
        <f aca="false">IF(ABS(SUM(P373:P380))=8,1,0)</f>
        <v>0</v>
      </c>
    </row>
    <row r="381" customFormat="false" ht="15" hidden="false" customHeight="false" outlineLevel="0" collapsed="false">
      <c r="A381" s="52" t="n">
        <v>44412</v>
      </c>
      <c r="B381" s="53" t="n">
        <v>0.884210737888446</v>
      </c>
      <c r="C381" s="53" t="n">
        <v>0.71953483752168</v>
      </c>
      <c r="D381" s="53" t="n">
        <v>0.733371304472556</v>
      </c>
      <c r="E381" s="54" t="s">
        <v>946</v>
      </c>
      <c r="F381" s="53" t="n">
        <f aca="false">AVERAGE(B381:D381)</f>
        <v>0.779038959960894</v>
      </c>
      <c r="G381" s="53" t="n">
        <f aca="false">MAX(B381:D381)-MIN(B381:D381)</f>
        <v>0.164675900366766</v>
      </c>
      <c r="H381" s="54" t="n">
        <f aca="false">IF(AND(E381="Phase I",OR(F381&gt;$E$6,F381&lt;$E$7,G381&gt;$E$8)),1,0)</f>
        <v>0</v>
      </c>
      <c r="I381" s="53" t="n">
        <f aca="false">$H$4</f>
        <v>0.67278149898986</v>
      </c>
      <c r="J381" s="53" t="n">
        <f aca="false">$H$6</f>
        <v>0.959137233677579</v>
      </c>
      <c r="K381" s="53" t="n">
        <f aca="false">$H$7</f>
        <v>0.386425764302142</v>
      </c>
      <c r="L381" s="53" t="n">
        <f aca="false">$H$5</f>
        <v>0.279917629215756</v>
      </c>
      <c r="M381" s="53" t="n">
        <f aca="false">$H$8</f>
        <v>0.720507977601356</v>
      </c>
      <c r="N381" s="54" t="n">
        <f aca="false">IF(OR(F381&gt;J381,F381&lt;K381),1,0)</f>
        <v>0</v>
      </c>
      <c r="O381" s="54" t="n">
        <f aca="false">IF(G381&gt;M381,1,0)</f>
        <v>0</v>
      </c>
      <c r="P381" s="54" t="n">
        <f aca="false">SIGN(F381-I381)</f>
        <v>1</v>
      </c>
      <c r="Q381" s="54" t="n">
        <f aca="false">IF(ABS(SUM(P374:P381))=8,1,0)</f>
        <v>0</v>
      </c>
    </row>
    <row r="382" customFormat="false" ht="15" hidden="false" customHeight="false" outlineLevel="0" collapsed="false">
      <c r="A382" s="52" t="n">
        <v>44413</v>
      </c>
      <c r="B382" s="53" t="n">
        <v>0.875947622671487</v>
      </c>
      <c r="C382" s="53" t="n">
        <v>0.719209502767011</v>
      </c>
      <c r="D382" s="53" t="n">
        <v>0.849488506605736</v>
      </c>
      <c r="E382" s="54" t="s">
        <v>946</v>
      </c>
      <c r="F382" s="53" t="n">
        <f aca="false">AVERAGE(B382:D382)</f>
        <v>0.814881877348078</v>
      </c>
      <c r="G382" s="53" t="n">
        <f aca="false">MAX(B382:D382)-MIN(B382:D382)</f>
        <v>0.156738119904476</v>
      </c>
      <c r="H382" s="54" t="n">
        <f aca="false">IF(AND(E382="Phase I",OR(F382&gt;$E$6,F382&lt;$E$7,G382&gt;$E$8)),1,0)</f>
        <v>0</v>
      </c>
      <c r="I382" s="53" t="n">
        <f aca="false">$H$4</f>
        <v>0.67278149898986</v>
      </c>
      <c r="J382" s="53" t="n">
        <f aca="false">$H$6</f>
        <v>0.959137233677579</v>
      </c>
      <c r="K382" s="53" t="n">
        <f aca="false">$H$7</f>
        <v>0.386425764302142</v>
      </c>
      <c r="L382" s="53" t="n">
        <f aca="false">$H$5</f>
        <v>0.279917629215756</v>
      </c>
      <c r="M382" s="53" t="n">
        <f aca="false">$H$8</f>
        <v>0.720507977601356</v>
      </c>
      <c r="N382" s="54" t="n">
        <f aca="false">IF(OR(F382&gt;J382,F382&lt;K382),1,0)</f>
        <v>0</v>
      </c>
      <c r="O382" s="54" t="n">
        <f aca="false">IF(G382&gt;M382,1,0)</f>
        <v>0</v>
      </c>
      <c r="P382" s="54" t="n">
        <f aca="false">SIGN(F382-I382)</f>
        <v>1</v>
      </c>
      <c r="Q382" s="54" t="n">
        <f aca="false">IF(ABS(SUM(P375:P382))=8,1,0)</f>
        <v>0</v>
      </c>
    </row>
    <row r="383" customFormat="false" ht="15" hidden="false" customHeight="false" outlineLevel="0" collapsed="false">
      <c r="A383" s="52" t="n">
        <v>44414</v>
      </c>
      <c r="B383" s="53" t="n">
        <v>0.640031826079834</v>
      </c>
      <c r="C383" s="53" t="n">
        <v>0.679752525877974</v>
      </c>
      <c r="D383" s="53" t="n">
        <v>0.726581115619422</v>
      </c>
      <c r="E383" s="54" t="s">
        <v>946</v>
      </c>
      <c r="F383" s="53" t="n">
        <f aca="false">AVERAGE(B383:D383)</f>
        <v>0.682121822525743</v>
      </c>
      <c r="G383" s="53" t="n">
        <f aca="false">MAX(B383:D383)-MIN(B383:D383)</f>
        <v>0.0865492895395875</v>
      </c>
      <c r="H383" s="54" t="n">
        <f aca="false">IF(AND(E383="Phase I",OR(F383&gt;$E$6,F383&lt;$E$7,G383&gt;$E$8)),1,0)</f>
        <v>0</v>
      </c>
      <c r="I383" s="53" t="n">
        <f aca="false">$H$4</f>
        <v>0.67278149898986</v>
      </c>
      <c r="J383" s="53" t="n">
        <f aca="false">$H$6</f>
        <v>0.959137233677579</v>
      </c>
      <c r="K383" s="53" t="n">
        <f aca="false">$H$7</f>
        <v>0.386425764302142</v>
      </c>
      <c r="L383" s="53" t="n">
        <f aca="false">$H$5</f>
        <v>0.279917629215756</v>
      </c>
      <c r="M383" s="53" t="n">
        <f aca="false">$H$8</f>
        <v>0.720507977601356</v>
      </c>
      <c r="N383" s="54" t="n">
        <f aca="false">IF(OR(F383&gt;J383,F383&lt;K383),1,0)</f>
        <v>0</v>
      </c>
      <c r="O383" s="54" t="n">
        <f aca="false">IF(G383&gt;M383,1,0)</f>
        <v>0</v>
      </c>
      <c r="P383" s="54" t="n">
        <f aca="false">SIGN(F383-I383)</f>
        <v>1</v>
      </c>
      <c r="Q383" s="54" t="n">
        <f aca="false">IF(ABS(SUM(P376:P383))=8,1,0)</f>
        <v>0</v>
      </c>
    </row>
    <row r="384" customFormat="false" ht="15" hidden="false" customHeight="false" outlineLevel="0" collapsed="false">
      <c r="A384" s="52" t="n">
        <v>44416</v>
      </c>
      <c r="B384" s="53" t="n">
        <v>0.0660761320650109</v>
      </c>
      <c r="C384" s="53" t="n">
        <v>0.65082362908815</v>
      </c>
      <c r="D384" s="53" t="n">
        <v>0.786069137887114</v>
      </c>
      <c r="E384" s="54" t="s">
        <v>946</v>
      </c>
      <c r="F384" s="53" t="n">
        <f aca="false">AVERAGE(B384:D384)</f>
        <v>0.500989633013425</v>
      </c>
      <c r="G384" s="53" t="n">
        <f aca="false">MAX(B384:D384)-MIN(B384:D384)</f>
        <v>0.719993005822103</v>
      </c>
      <c r="H384" s="54" t="n">
        <f aca="false">IF(AND(E384="Phase I",OR(F384&gt;$E$6,F384&lt;$E$7,G384&gt;$E$8)),1,0)</f>
        <v>0</v>
      </c>
      <c r="I384" s="53" t="n">
        <f aca="false">$H$4</f>
        <v>0.67278149898986</v>
      </c>
      <c r="J384" s="53" t="n">
        <f aca="false">$H$6</f>
        <v>0.959137233677579</v>
      </c>
      <c r="K384" s="53" t="n">
        <f aca="false">$H$7</f>
        <v>0.386425764302142</v>
      </c>
      <c r="L384" s="53" t="n">
        <f aca="false">$H$5</f>
        <v>0.279917629215756</v>
      </c>
      <c r="M384" s="53" t="n">
        <f aca="false">$H$8</f>
        <v>0.720507977601356</v>
      </c>
      <c r="N384" s="54" t="n">
        <f aca="false">IF(OR(F384&gt;J384,F384&lt;K384),1,0)</f>
        <v>0</v>
      </c>
      <c r="O384" s="54" t="n">
        <f aca="false">IF(G384&gt;M384,1,0)</f>
        <v>0</v>
      </c>
      <c r="P384" s="54" t="n">
        <f aca="false">SIGN(F384-I384)</f>
        <v>-1</v>
      </c>
      <c r="Q384" s="54" t="n">
        <f aca="false">IF(ABS(SUM(P377:P384))=8,1,0)</f>
        <v>0</v>
      </c>
    </row>
    <row r="385" customFormat="false" ht="15" hidden="false" customHeight="false" outlineLevel="0" collapsed="false">
      <c r="A385" s="52" t="n">
        <v>44417</v>
      </c>
      <c r="B385" s="53" t="n">
        <v>0.688086277302788</v>
      </c>
      <c r="C385" s="53" t="n">
        <v>0.437415291159014</v>
      </c>
      <c r="D385" s="53" t="n">
        <v>0.782129769243983</v>
      </c>
      <c r="E385" s="54" t="s">
        <v>946</v>
      </c>
      <c r="F385" s="53" t="n">
        <f aca="false">AVERAGE(B385:D385)</f>
        <v>0.635877112568595</v>
      </c>
      <c r="G385" s="53" t="n">
        <f aca="false">MAX(B385:D385)-MIN(B385:D385)</f>
        <v>0.344714478084969</v>
      </c>
      <c r="H385" s="54" t="n">
        <f aca="false">IF(AND(E385="Phase I",OR(F385&gt;$E$6,F385&lt;$E$7,G385&gt;$E$8)),1,0)</f>
        <v>0</v>
      </c>
      <c r="I385" s="53" t="n">
        <f aca="false">$H$4</f>
        <v>0.67278149898986</v>
      </c>
      <c r="J385" s="53" t="n">
        <f aca="false">$H$6</f>
        <v>0.959137233677579</v>
      </c>
      <c r="K385" s="53" t="n">
        <f aca="false">$H$7</f>
        <v>0.386425764302142</v>
      </c>
      <c r="L385" s="53" t="n">
        <f aca="false">$H$5</f>
        <v>0.279917629215756</v>
      </c>
      <c r="M385" s="53" t="n">
        <f aca="false">$H$8</f>
        <v>0.720507977601356</v>
      </c>
      <c r="N385" s="54" t="n">
        <f aca="false">IF(OR(F385&gt;J385,F385&lt;K385),1,0)</f>
        <v>0</v>
      </c>
      <c r="O385" s="54" t="n">
        <f aca="false">IF(G385&gt;M385,1,0)</f>
        <v>0</v>
      </c>
      <c r="P385" s="54" t="n">
        <f aca="false">SIGN(F385-I385)</f>
        <v>-1</v>
      </c>
      <c r="Q385" s="54" t="n">
        <f aca="false">IF(ABS(SUM(P378:P385))=8,1,0)</f>
        <v>0</v>
      </c>
    </row>
    <row r="386" customFormat="false" ht="15" hidden="false" customHeight="false" outlineLevel="0" collapsed="false">
      <c r="A386" s="52" t="n">
        <v>44418</v>
      </c>
      <c r="B386" s="53" t="n">
        <v>0.646714944347021</v>
      </c>
      <c r="C386" s="53" t="n">
        <v>0.692462236423155</v>
      </c>
      <c r="D386" s="53" t="n">
        <v>0.712630110103516</v>
      </c>
      <c r="E386" s="54" t="s">
        <v>946</v>
      </c>
      <c r="F386" s="53" t="n">
        <f aca="false">AVERAGE(B386:D386)</f>
        <v>0.683935763624564</v>
      </c>
      <c r="G386" s="53" t="n">
        <f aca="false">MAX(B386:D386)-MIN(B386:D386)</f>
        <v>0.0659151657564949</v>
      </c>
      <c r="H386" s="54" t="n">
        <f aca="false">IF(AND(E386="Phase I",OR(F386&gt;$E$6,F386&lt;$E$7,G386&gt;$E$8)),1,0)</f>
        <v>0</v>
      </c>
      <c r="I386" s="53" t="n">
        <f aca="false">$H$4</f>
        <v>0.67278149898986</v>
      </c>
      <c r="J386" s="53" t="n">
        <f aca="false">$H$6</f>
        <v>0.959137233677579</v>
      </c>
      <c r="K386" s="53" t="n">
        <f aca="false">$H$7</f>
        <v>0.386425764302142</v>
      </c>
      <c r="L386" s="53" t="n">
        <f aca="false">$H$5</f>
        <v>0.279917629215756</v>
      </c>
      <c r="M386" s="53" t="n">
        <f aca="false">$H$8</f>
        <v>0.720507977601356</v>
      </c>
      <c r="N386" s="54" t="n">
        <f aca="false">IF(OR(F386&gt;J386,F386&lt;K386),1,0)</f>
        <v>0</v>
      </c>
      <c r="O386" s="54" t="n">
        <f aca="false">IF(G386&gt;M386,1,0)</f>
        <v>0</v>
      </c>
      <c r="P386" s="54" t="n">
        <f aca="false">SIGN(F386-I386)</f>
        <v>1</v>
      </c>
      <c r="Q386" s="54" t="n">
        <f aca="false">IF(ABS(SUM(P379:P386))=8,1,0)</f>
        <v>0</v>
      </c>
    </row>
    <row r="387" customFormat="false" ht="15" hidden="false" customHeight="false" outlineLevel="0" collapsed="false">
      <c r="A387" s="52" t="n">
        <v>44419</v>
      </c>
      <c r="B387" s="53" t="n">
        <v>0.817121949044887</v>
      </c>
      <c r="C387" s="53" t="n">
        <v>0.802262829561552</v>
      </c>
      <c r="D387" s="53" t="n">
        <v>0.61184151064417</v>
      </c>
      <c r="E387" s="54" t="s">
        <v>946</v>
      </c>
      <c r="F387" s="53" t="n">
        <f aca="false">AVERAGE(B387:D387)</f>
        <v>0.743742096416869</v>
      </c>
      <c r="G387" s="53" t="n">
        <f aca="false">MAX(B387:D387)-MIN(B387:D387)</f>
        <v>0.205280438400717</v>
      </c>
      <c r="H387" s="54" t="n">
        <f aca="false">IF(AND(E387="Phase I",OR(F387&gt;$E$6,F387&lt;$E$7,G387&gt;$E$8)),1,0)</f>
        <v>0</v>
      </c>
      <c r="I387" s="53" t="n">
        <f aca="false">$H$4</f>
        <v>0.67278149898986</v>
      </c>
      <c r="J387" s="53" t="n">
        <f aca="false">$H$6</f>
        <v>0.959137233677579</v>
      </c>
      <c r="K387" s="53" t="n">
        <f aca="false">$H$7</f>
        <v>0.386425764302142</v>
      </c>
      <c r="L387" s="53" t="n">
        <f aca="false">$H$5</f>
        <v>0.279917629215756</v>
      </c>
      <c r="M387" s="53" t="n">
        <f aca="false">$H$8</f>
        <v>0.720507977601356</v>
      </c>
      <c r="N387" s="54" t="n">
        <f aca="false">IF(OR(F387&gt;J387,F387&lt;K387),1,0)</f>
        <v>0</v>
      </c>
      <c r="O387" s="54" t="n">
        <f aca="false">IF(G387&gt;M387,1,0)</f>
        <v>0</v>
      </c>
      <c r="P387" s="54" t="n">
        <f aca="false">SIGN(F387-I387)</f>
        <v>1</v>
      </c>
      <c r="Q387" s="54" t="n">
        <f aca="false">IF(ABS(SUM(P380:P387))=8,1,0)</f>
        <v>0</v>
      </c>
    </row>
    <row r="388" customFormat="false" ht="15" hidden="false" customHeight="false" outlineLevel="0" collapsed="false">
      <c r="A388" s="52" t="n">
        <v>44420</v>
      </c>
      <c r="B388" s="53" t="n">
        <v>0.790752451462145</v>
      </c>
      <c r="C388" s="53" t="n">
        <v>0.720870276814587</v>
      </c>
      <c r="D388" s="53" t="n">
        <v>0.480219587461849</v>
      </c>
      <c r="E388" s="54" t="s">
        <v>946</v>
      </c>
      <c r="F388" s="53" t="n">
        <f aca="false">AVERAGE(B388:D388)</f>
        <v>0.663947438579527</v>
      </c>
      <c r="G388" s="53" t="n">
        <f aca="false">MAX(B388:D388)-MIN(B388:D388)</f>
        <v>0.310532864000295</v>
      </c>
      <c r="H388" s="54" t="n">
        <f aca="false">IF(AND(E388="Phase I",OR(F388&gt;$E$6,F388&lt;$E$7,G388&gt;$E$8)),1,0)</f>
        <v>0</v>
      </c>
      <c r="I388" s="53" t="n">
        <f aca="false">$H$4</f>
        <v>0.67278149898986</v>
      </c>
      <c r="J388" s="53" t="n">
        <f aca="false">$H$6</f>
        <v>0.959137233677579</v>
      </c>
      <c r="K388" s="53" t="n">
        <f aca="false">$H$7</f>
        <v>0.386425764302142</v>
      </c>
      <c r="L388" s="53" t="n">
        <f aca="false">$H$5</f>
        <v>0.279917629215756</v>
      </c>
      <c r="M388" s="53" t="n">
        <f aca="false">$H$8</f>
        <v>0.720507977601356</v>
      </c>
      <c r="N388" s="54" t="n">
        <f aca="false">IF(OR(F388&gt;J388,F388&lt;K388),1,0)</f>
        <v>0</v>
      </c>
      <c r="O388" s="54" t="n">
        <f aca="false">IF(G388&gt;M388,1,0)</f>
        <v>0</v>
      </c>
      <c r="P388" s="54" t="n">
        <f aca="false">SIGN(F388-I388)</f>
        <v>-1</v>
      </c>
      <c r="Q388" s="54" t="n">
        <f aca="false">IF(ABS(SUM(P381:P388))=8,1,0)</f>
        <v>0</v>
      </c>
    </row>
    <row r="389" customFormat="false" ht="15" hidden="false" customHeight="false" outlineLevel="0" collapsed="false">
      <c r="A389" s="52" t="n">
        <v>44421</v>
      </c>
      <c r="B389" s="53" t="n">
        <v>0.642575101546117</v>
      </c>
      <c r="C389" s="53" t="n">
        <v>0.703132477933869</v>
      </c>
      <c r="D389" s="53" t="n">
        <v>0.663585493789046</v>
      </c>
      <c r="E389" s="54" t="s">
        <v>946</v>
      </c>
      <c r="F389" s="53" t="n">
        <f aca="false">AVERAGE(B389:D389)</f>
        <v>0.669764357756344</v>
      </c>
      <c r="G389" s="53" t="n">
        <f aca="false">MAX(B389:D389)-MIN(B389:D389)</f>
        <v>0.0605573763877516</v>
      </c>
      <c r="H389" s="54" t="n">
        <f aca="false">IF(AND(E389="Phase I",OR(F389&gt;$E$6,F389&lt;$E$7,G389&gt;$E$8)),1,0)</f>
        <v>0</v>
      </c>
      <c r="I389" s="53" t="n">
        <f aca="false">$H$4</f>
        <v>0.67278149898986</v>
      </c>
      <c r="J389" s="53" t="n">
        <f aca="false">$H$6</f>
        <v>0.959137233677579</v>
      </c>
      <c r="K389" s="53" t="n">
        <f aca="false">$H$7</f>
        <v>0.386425764302142</v>
      </c>
      <c r="L389" s="53" t="n">
        <f aca="false">$H$5</f>
        <v>0.279917629215756</v>
      </c>
      <c r="M389" s="53" t="n">
        <f aca="false">$H$8</f>
        <v>0.720507977601356</v>
      </c>
      <c r="N389" s="54" t="n">
        <f aca="false">IF(OR(F389&gt;J389,F389&lt;K389),1,0)</f>
        <v>0</v>
      </c>
      <c r="O389" s="54" t="n">
        <f aca="false">IF(G389&gt;M389,1,0)</f>
        <v>0</v>
      </c>
      <c r="P389" s="54" t="n">
        <f aca="false">SIGN(F389-I389)</f>
        <v>-1</v>
      </c>
      <c r="Q389" s="54" t="n">
        <f aca="false">IF(ABS(SUM(P382:P389))=8,1,0)</f>
        <v>0</v>
      </c>
    </row>
    <row r="390" customFormat="false" ht="15" hidden="false" customHeight="false" outlineLevel="0" collapsed="false">
      <c r="A390" s="52" t="n">
        <v>44423</v>
      </c>
      <c r="B390" s="53" t="n">
        <v>0.414646799063408</v>
      </c>
      <c r="C390" s="53" t="n">
        <v>0.7441292461174</v>
      </c>
      <c r="D390" s="53" t="n">
        <v>0.610062569043231</v>
      </c>
      <c r="E390" s="54" t="s">
        <v>946</v>
      </c>
      <c r="F390" s="53" t="n">
        <f aca="false">AVERAGE(B390:D390)</f>
        <v>0.589612871408013</v>
      </c>
      <c r="G390" s="53" t="n">
        <f aca="false">MAX(B390:D390)-MIN(B390:D390)</f>
        <v>0.329482447053992</v>
      </c>
      <c r="H390" s="54" t="n">
        <f aca="false">IF(AND(E390="Phase I",OR(F390&gt;$E$6,F390&lt;$E$7,G390&gt;$E$8)),1,0)</f>
        <v>0</v>
      </c>
      <c r="I390" s="53" t="n">
        <f aca="false">$H$4</f>
        <v>0.67278149898986</v>
      </c>
      <c r="J390" s="53" t="n">
        <f aca="false">$H$6</f>
        <v>0.959137233677579</v>
      </c>
      <c r="K390" s="53" t="n">
        <f aca="false">$H$7</f>
        <v>0.386425764302142</v>
      </c>
      <c r="L390" s="53" t="n">
        <f aca="false">$H$5</f>
        <v>0.279917629215756</v>
      </c>
      <c r="M390" s="53" t="n">
        <f aca="false">$H$8</f>
        <v>0.720507977601356</v>
      </c>
      <c r="N390" s="54" t="n">
        <f aca="false">IF(OR(F390&gt;J390,F390&lt;K390),1,0)</f>
        <v>0</v>
      </c>
      <c r="O390" s="54" t="n">
        <f aca="false">IF(G390&gt;M390,1,0)</f>
        <v>0</v>
      </c>
      <c r="P390" s="54" t="n">
        <f aca="false">SIGN(F390-I390)</f>
        <v>-1</v>
      </c>
      <c r="Q390" s="54" t="n">
        <f aca="false">IF(ABS(SUM(P383:P390))=8,1,0)</f>
        <v>0</v>
      </c>
    </row>
    <row r="391" customFormat="false" ht="15" hidden="false" customHeight="false" outlineLevel="0" collapsed="false">
      <c r="A391" s="52" t="n">
        <v>44424</v>
      </c>
      <c r="B391" s="53" t="n">
        <v>0.772715482844217</v>
      </c>
      <c r="C391" s="53" t="n">
        <v>0.636965943045936</v>
      </c>
      <c r="D391" s="53" t="n">
        <v>0.698998637226451</v>
      </c>
      <c r="E391" s="54" t="s">
        <v>946</v>
      </c>
      <c r="F391" s="53" t="n">
        <f aca="false">AVERAGE(B391:D391)</f>
        <v>0.702893354372201</v>
      </c>
      <c r="G391" s="53" t="n">
        <f aca="false">MAX(B391:D391)-MIN(B391:D391)</f>
        <v>0.135749539798281</v>
      </c>
      <c r="H391" s="54" t="n">
        <f aca="false">IF(AND(E391="Phase I",OR(F391&gt;$E$6,F391&lt;$E$7,G391&gt;$E$8)),1,0)</f>
        <v>0</v>
      </c>
      <c r="I391" s="53" t="n">
        <f aca="false">$H$4</f>
        <v>0.67278149898986</v>
      </c>
      <c r="J391" s="53" t="n">
        <f aca="false">$H$6</f>
        <v>0.959137233677579</v>
      </c>
      <c r="K391" s="53" t="n">
        <f aca="false">$H$7</f>
        <v>0.386425764302142</v>
      </c>
      <c r="L391" s="53" t="n">
        <f aca="false">$H$5</f>
        <v>0.279917629215756</v>
      </c>
      <c r="M391" s="53" t="n">
        <f aca="false">$H$8</f>
        <v>0.720507977601356</v>
      </c>
      <c r="N391" s="54" t="n">
        <f aca="false">IF(OR(F391&gt;J391,F391&lt;K391),1,0)</f>
        <v>0</v>
      </c>
      <c r="O391" s="54" t="n">
        <f aca="false">IF(G391&gt;M391,1,0)</f>
        <v>0</v>
      </c>
      <c r="P391" s="54" t="n">
        <f aca="false">SIGN(F391-I391)</f>
        <v>1</v>
      </c>
      <c r="Q391" s="54" t="n">
        <f aca="false">IF(ABS(SUM(P384:P391))=8,1,0)</f>
        <v>0</v>
      </c>
    </row>
    <row r="392" customFormat="false" ht="15" hidden="false" customHeight="false" outlineLevel="0" collapsed="false">
      <c r="A392" s="52" t="n">
        <v>44425</v>
      </c>
      <c r="B392" s="53" t="n">
        <v>0.802224915053287</v>
      </c>
      <c r="C392" s="53" t="n">
        <v>0.871085160187613</v>
      </c>
      <c r="D392" s="53" t="n">
        <v>0.610259328805095</v>
      </c>
      <c r="E392" s="54" t="s">
        <v>946</v>
      </c>
      <c r="F392" s="53" t="n">
        <f aca="false">AVERAGE(B392:D392)</f>
        <v>0.761189801348665</v>
      </c>
      <c r="G392" s="53" t="n">
        <f aca="false">MAX(B392:D392)-MIN(B392:D392)</f>
        <v>0.260825831382518</v>
      </c>
      <c r="H392" s="54" t="n">
        <f aca="false">IF(AND(E392="Phase I",OR(F392&gt;$E$6,F392&lt;$E$7,G392&gt;$E$8)),1,0)</f>
        <v>0</v>
      </c>
      <c r="I392" s="53" t="n">
        <f aca="false">$H$4</f>
        <v>0.67278149898986</v>
      </c>
      <c r="J392" s="53" t="n">
        <f aca="false">$H$6</f>
        <v>0.959137233677579</v>
      </c>
      <c r="K392" s="53" t="n">
        <f aca="false">$H$7</f>
        <v>0.386425764302142</v>
      </c>
      <c r="L392" s="53" t="n">
        <f aca="false">$H$5</f>
        <v>0.279917629215756</v>
      </c>
      <c r="M392" s="53" t="n">
        <f aca="false">$H$8</f>
        <v>0.720507977601356</v>
      </c>
      <c r="N392" s="54" t="n">
        <f aca="false">IF(OR(F392&gt;J392,F392&lt;K392),1,0)</f>
        <v>0</v>
      </c>
      <c r="O392" s="54" t="n">
        <f aca="false">IF(G392&gt;M392,1,0)</f>
        <v>0</v>
      </c>
      <c r="P392" s="54" t="n">
        <f aca="false">SIGN(F392-I392)</f>
        <v>1</v>
      </c>
      <c r="Q392" s="54" t="n">
        <f aca="false">IF(ABS(SUM(P385:P392))=8,1,0)</f>
        <v>0</v>
      </c>
    </row>
    <row r="393" customFormat="false" ht="15" hidden="false" customHeight="false" outlineLevel="0" collapsed="false">
      <c r="A393" s="52" t="n">
        <v>44426</v>
      </c>
      <c r="B393" s="53" t="n">
        <v>0.771997368733278</v>
      </c>
      <c r="C393" s="53" t="n">
        <v>0.732339388205179</v>
      </c>
      <c r="D393" s="53" t="n">
        <v>0.416991372018739</v>
      </c>
      <c r="E393" s="54" t="s">
        <v>946</v>
      </c>
      <c r="F393" s="53" t="n">
        <f aca="false">AVERAGE(B393:D393)</f>
        <v>0.640442709652399</v>
      </c>
      <c r="G393" s="53" t="n">
        <f aca="false">MAX(B393:D393)-MIN(B393:D393)</f>
        <v>0.355005996714539</v>
      </c>
      <c r="H393" s="54" t="n">
        <f aca="false">IF(AND(E393="Phase I",OR(F393&gt;$E$6,F393&lt;$E$7,G393&gt;$E$8)),1,0)</f>
        <v>0</v>
      </c>
      <c r="I393" s="53" t="n">
        <f aca="false">$H$4</f>
        <v>0.67278149898986</v>
      </c>
      <c r="J393" s="53" t="n">
        <f aca="false">$H$6</f>
        <v>0.959137233677579</v>
      </c>
      <c r="K393" s="53" t="n">
        <f aca="false">$H$7</f>
        <v>0.386425764302142</v>
      </c>
      <c r="L393" s="53" t="n">
        <f aca="false">$H$5</f>
        <v>0.279917629215756</v>
      </c>
      <c r="M393" s="53" t="n">
        <f aca="false">$H$8</f>
        <v>0.720507977601356</v>
      </c>
      <c r="N393" s="54" t="n">
        <f aca="false">IF(OR(F393&gt;J393,F393&lt;K393),1,0)</f>
        <v>0</v>
      </c>
      <c r="O393" s="54" t="n">
        <f aca="false">IF(G393&gt;M393,1,0)</f>
        <v>0</v>
      </c>
      <c r="P393" s="54" t="n">
        <f aca="false">SIGN(F393-I393)</f>
        <v>-1</v>
      </c>
      <c r="Q393" s="54" t="n">
        <f aca="false">IF(ABS(SUM(P386:P393))=8,1,0)</f>
        <v>0</v>
      </c>
    </row>
    <row r="394" customFormat="false" ht="15" hidden="false" customHeight="false" outlineLevel="0" collapsed="false">
      <c r="A394" s="52" t="n">
        <v>44427</v>
      </c>
      <c r="B394" s="53" t="n">
        <v>0.769753147296927</v>
      </c>
      <c r="C394" s="53" t="n">
        <v>0.811230457930451</v>
      </c>
      <c r="D394" s="53" t="n">
        <v>0.596918870723346</v>
      </c>
      <c r="E394" s="54" t="s">
        <v>946</v>
      </c>
      <c r="F394" s="53" t="n">
        <f aca="false">AVERAGE(B394:D394)</f>
        <v>0.725967491983574</v>
      </c>
      <c r="G394" s="53" t="n">
        <f aca="false">MAX(B394:D394)-MIN(B394:D394)</f>
        <v>0.214311587207105</v>
      </c>
      <c r="H394" s="54" t="n">
        <f aca="false">IF(AND(E394="Phase I",OR(F394&gt;$E$6,F394&lt;$E$7,G394&gt;$E$8)),1,0)</f>
        <v>0</v>
      </c>
      <c r="I394" s="53" t="n">
        <f aca="false">$H$4</f>
        <v>0.67278149898986</v>
      </c>
      <c r="J394" s="53" t="n">
        <f aca="false">$H$6</f>
        <v>0.959137233677579</v>
      </c>
      <c r="K394" s="53" t="n">
        <f aca="false">$H$7</f>
        <v>0.386425764302142</v>
      </c>
      <c r="L394" s="53" t="n">
        <f aca="false">$H$5</f>
        <v>0.279917629215756</v>
      </c>
      <c r="M394" s="53" t="n">
        <f aca="false">$H$8</f>
        <v>0.720507977601356</v>
      </c>
      <c r="N394" s="54" t="n">
        <f aca="false">IF(OR(F394&gt;J394,F394&lt;K394),1,0)</f>
        <v>0</v>
      </c>
      <c r="O394" s="54" t="n">
        <f aca="false">IF(G394&gt;M394,1,0)</f>
        <v>0</v>
      </c>
      <c r="P394" s="54" t="n">
        <f aca="false">SIGN(F394-I394)</f>
        <v>1</v>
      </c>
      <c r="Q394" s="54" t="n">
        <f aca="false">IF(ABS(SUM(P387:P394))=8,1,0)</f>
        <v>0</v>
      </c>
    </row>
    <row r="395" customFormat="false" ht="15" hidden="false" customHeight="false" outlineLevel="0" collapsed="false">
      <c r="A395" s="52" t="n">
        <v>44428</v>
      </c>
      <c r="B395" s="53" t="n">
        <v>0.635322304541936</v>
      </c>
      <c r="C395" s="53" t="n">
        <v>0.781604765010526</v>
      </c>
      <c r="D395" s="53" t="n">
        <v>0.676826536482428</v>
      </c>
      <c r="E395" s="54" t="s">
        <v>946</v>
      </c>
      <c r="F395" s="53" t="n">
        <f aca="false">AVERAGE(B395:D395)</f>
        <v>0.697917868678297</v>
      </c>
      <c r="G395" s="53" t="n">
        <f aca="false">MAX(B395:D395)-MIN(B395:D395)</f>
        <v>0.14628246046859</v>
      </c>
      <c r="H395" s="54" t="n">
        <f aca="false">IF(AND(E395="Phase I",OR(F395&gt;$E$6,F395&lt;$E$7,G395&gt;$E$8)),1,0)</f>
        <v>0</v>
      </c>
      <c r="I395" s="53" t="n">
        <f aca="false">$H$4</f>
        <v>0.67278149898986</v>
      </c>
      <c r="J395" s="53" t="n">
        <f aca="false">$H$6</f>
        <v>0.959137233677579</v>
      </c>
      <c r="K395" s="53" t="n">
        <f aca="false">$H$7</f>
        <v>0.386425764302142</v>
      </c>
      <c r="L395" s="53" t="n">
        <f aca="false">$H$5</f>
        <v>0.279917629215756</v>
      </c>
      <c r="M395" s="53" t="n">
        <f aca="false">$H$8</f>
        <v>0.720507977601356</v>
      </c>
      <c r="N395" s="54" t="n">
        <f aca="false">IF(OR(F395&gt;J395,F395&lt;K395),1,0)</f>
        <v>0</v>
      </c>
      <c r="O395" s="54" t="n">
        <f aca="false">IF(G395&gt;M395,1,0)</f>
        <v>0</v>
      </c>
      <c r="P395" s="54" t="n">
        <f aca="false">SIGN(F395-I395)</f>
        <v>1</v>
      </c>
      <c r="Q395" s="54" t="n">
        <f aca="false">IF(ABS(SUM(P388:P395))=8,1,0)</f>
        <v>0</v>
      </c>
    </row>
    <row r="396" customFormat="false" ht="15" hidden="false" customHeight="false" outlineLevel="0" collapsed="false">
      <c r="A396" s="52" t="n">
        <v>44430</v>
      </c>
      <c r="B396" s="53" t="n">
        <v>0.156884951189724</v>
      </c>
      <c r="C396" s="53" t="n">
        <v>0.822618711871515</v>
      </c>
      <c r="D396" s="53" t="n">
        <v>0.754432716468545</v>
      </c>
      <c r="E396" s="54" t="s">
        <v>946</v>
      </c>
      <c r="F396" s="53" t="n">
        <f aca="false">AVERAGE(B396:D396)</f>
        <v>0.577978793176595</v>
      </c>
      <c r="G396" s="53" t="n">
        <f aca="false">MAX(B396:D396)-MIN(B396:D396)</f>
        <v>0.665733760681792</v>
      </c>
      <c r="H396" s="54" t="n">
        <f aca="false">IF(AND(E396="Phase I",OR(F396&gt;$E$6,F396&lt;$E$7,G396&gt;$E$8)),1,0)</f>
        <v>0</v>
      </c>
      <c r="I396" s="53" t="n">
        <f aca="false">$H$4</f>
        <v>0.67278149898986</v>
      </c>
      <c r="J396" s="53" t="n">
        <f aca="false">$H$6</f>
        <v>0.959137233677579</v>
      </c>
      <c r="K396" s="53" t="n">
        <f aca="false">$H$7</f>
        <v>0.386425764302142</v>
      </c>
      <c r="L396" s="53" t="n">
        <f aca="false">$H$5</f>
        <v>0.279917629215756</v>
      </c>
      <c r="M396" s="53" t="n">
        <f aca="false">$H$8</f>
        <v>0.720507977601356</v>
      </c>
      <c r="N396" s="54" t="n">
        <f aca="false">IF(OR(F396&gt;J396,F396&lt;K396),1,0)</f>
        <v>0</v>
      </c>
      <c r="O396" s="54" t="n">
        <f aca="false">IF(G396&gt;M396,1,0)</f>
        <v>0</v>
      </c>
      <c r="P396" s="54" t="n">
        <f aca="false">SIGN(F396-I396)</f>
        <v>-1</v>
      </c>
      <c r="Q396" s="54" t="n">
        <f aca="false">IF(ABS(SUM(P389:P396))=8,1,0)</f>
        <v>0</v>
      </c>
    </row>
    <row r="397" customFormat="false" ht="15" hidden="false" customHeight="false" outlineLevel="0" collapsed="false">
      <c r="A397" s="52" t="n">
        <v>44431</v>
      </c>
      <c r="B397" s="53" t="n">
        <v>0.770578937747974</v>
      </c>
      <c r="C397" s="53" t="n">
        <v>0.77408019774166</v>
      </c>
      <c r="D397" s="53" t="n">
        <v>0.602771257131887</v>
      </c>
      <c r="E397" s="54" t="s">
        <v>946</v>
      </c>
      <c r="F397" s="53" t="n">
        <f aca="false">AVERAGE(B397:D397)</f>
        <v>0.71581013087384</v>
      </c>
      <c r="G397" s="53" t="n">
        <f aca="false">MAX(B397:D397)-MIN(B397:D397)</f>
        <v>0.171308940609774</v>
      </c>
      <c r="H397" s="54" t="n">
        <f aca="false">IF(AND(E397="Phase I",OR(F397&gt;$E$6,F397&lt;$E$7,G397&gt;$E$8)),1,0)</f>
        <v>0</v>
      </c>
      <c r="I397" s="53" t="n">
        <f aca="false">$H$4</f>
        <v>0.67278149898986</v>
      </c>
      <c r="J397" s="53" t="n">
        <f aca="false">$H$6</f>
        <v>0.959137233677579</v>
      </c>
      <c r="K397" s="53" t="n">
        <f aca="false">$H$7</f>
        <v>0.386425764302142</v>
      </c>
      <c r="L397" s="53" t="n">
        <f aca="false">$H$5</f>
        <v>0.279917629215756</v>
      </c>
      <c r="M397" s="53" t="n">
        <f aca="false">$H$8</f>
        <v>0.720507977601356</v>
      </c>
      <c r="N397" s="54" t="n">
        <f aca="false">IF(OR(F397&gt;J397,F397&lt;K397),1,0)</f>
        <v>0</v>
      </c>
      <c r="O397" s="54" t="n">
        <f aca="false">IF(G397&gt;M397,1,0)</f>
        <v>0</v>
      </c>
      <c r="P397" s="54" t="n">
        <f aca="false">SIGN(F397-I397)</f>
        <v>1</v>
      </c>
      <c r="Q397" s="54" t="n">
        <f aca="false">IF(ABS(SUM(P390:P397))=8,1,0)</f>
        <v>0</v>
      </c>
    </row>
    <row r="398" customFormat="false" ht="15" hidden="false" customHeight="false" outlineLevel="0" collapsed="false">
      <c r="A398" s="52" t="n">
        <v>44432</v>
      </c>
      <c r="B398" s="53" t="n">
        <v>0.706043468198607</v>
      </c>
      <c r="C398" s="53" t="n">
        <v>0.629584916150412</v>
      </c>
      <c r="D398" s="53" t="n">
        <v>0.719211297778979</v>
      </c>
      <c r="E398" s="54" t="s">
        <v>946</v>
      </c>
      <c r="F398" s="53" t="n">
        <f aca="false">AVERAGE(B398:D398)</f>
        <v>0.684946560709333</v>
      </c>
      <c r="G398" s="53" t="n">
        <f aca="false">MAX(B398:D398)-MIN(B398:D398)</f>
        <v>0.0896263816285673</v>
      </c>
      <c r="H398" s="54" t="n">
        <f aca="false">IF(AND(E398="Phase I",OR(F398&gt;$E$6,F398&lt;$E$7,G398&gt;$E$8)),1,0)</f>
        <v>0</v>
      </c>
      <c r="I398" s="53" t="n">
        <f aca="false">$H$4</f>
        <v>0.67278149898986</v>
      </c>
      <c r="J398" s="53" t="n">
        <f aca="false">$H$6</f>
        <v>0.959137233677579</v>
      </c>
      <c r="K398" s="53" t="n">
        <f aca="false">$H$7</f>
        <v>0.386425764302142</v>
      </c>
      <c r="L398" s="53" t="n">
        <f aca="false">$H$5</f>
        <v>0.279917629215756</v>
      </c>
      <c r="M398" s="53" t="n">
        <f aca="false">$H$8</f>
        <v>0.720507977601356</v>
      </c>
      <c r="N398" s="54" t="n">
        <f aca="false">IF(OR(F398&gt;J398,F398&lt;K398),1,0)</f>
        <v>0</v>
      </c>
      <c r="O398" s="54" t="n">
        <f aca="false">IF(G398&gt;M398,1,0)</f>
        <v>0</v>
      </c>
      <c r="P398" s="54" t="n">
        <f aca="false">SIGN(F398-I398)</f>
        <v>1</v>
      </c>
      <c r="Q398" s="54" t="n">
        <f aca="false">IF(ABS(SUM(P391:P398))=8,1,0)</f>
        <v>0</v>
      </c>
    </row>
    <row r="399" customFormat="false" ht="15" hidden="false" customHeight="false" outlineLevel="0" collapsed="false">
      <c r="A399" s="52" t="n">
        <v>44433</v>
      </c>
      <c r="B399" s="53" t="n">
        <v>0.614143476906244</v>
      </c>
      <c r="C399" s="53" t="n">
        <v>0.899330162059311</v>
      </c>
      <c r="D399" s="53" t="n">
        <v>0.722283938111711</v>
      </c>
      <c r="E399" s="54" t="s">
        <v>946</v>
      </c>
      <c r="F399" s="53" t="n">
        <f aca="false">AVERAGE(B399:D399)</f>
        <v>0.745252525692422</v>
      </c>
      <c r="G399" s="53" t="n">
        <f aca="false">MAX(B399:D399)-MIN(B399:D399)</f>
        <v>0.285186685153067</v>
      </c>
      <c r="H399" s="54" t="n">
        <f aca="false">IF(AND(E399="Phase I",OR(F399&gt;$E$6,F399&lt;$E$7,G399&gt;$E$8)),1,0)</f>
        <v>0</v>
      </c>
      <c r="I399" s="53" t="n">
        <f aca="false">$H$4</f>
        <v>0.67278149898986</v>
      </c>
      <c r="J399" s="53" t="n">
        <f aca="false">$H$6</f>
        <v>0.959137233677579</v>
      </c>
      <c r="K399" s="53" t="n">
        <f aca="false">$H$7</f>
        <v>0.386425764302142</v>
      </c>
      <c r="L399" s="53" t="n">
        <f aca="false">$H$5</f>
        <v>0.279917629215756</v>
      </c>
      <c r="M399" s="53" t="n">
        <f aca="false">$H$8</f>
        <v>0.720507977601356</v>
      </c>
      <c r="N399" s="54" t="n">
        <f aca="false">IF(OR(F399&gt;J399,F399&lt;K399),1,0)</f>
        <v>0</v>
      </c>
      <c r="O399" s="54" t="n">
        <f aca="false">IF(G399&gt;M399,1,0)</f>
        <v>0</v>
      </c>
      <c r="P399" s="54" t="n">
        <f aca="false">SIGN(F399-I399)</f>
        <v>1</v>
      </c>
      <c r="Q399" s="54" t="n">
        <f aca="false">IF(ABS(SUM(P392:P399))=8,1,0)</f>
        <v>0</v>
      </c>
    </row>
    <row r="400" customFormat="false" ht="15" hidden="false" customHeight="false" outlineLevel="0" collapsed="false">
      <c r="A400" s="52" t="n">
        <v>44434</v>
      </c>
      <c r="B400" s="53" t="n">
        <v>0.527058872171536</v>
      </c>
      <c r="C400" s="53" t="n">
        <v>0.659567457993628</v>
      </c>
      <c r="D400" s="53" t="n">
        <v>0.791331214704109</v>
      </c>
      <c r="E400" s="54" t="s">
        <v>946</v>
      </c>
      <c r="F400" s="53" t="n">
        <f aca="false">AVERAGE(B400:D400)</f>
        <v>0.659319181623091</v>
      </c>
      <c r="G400" s="53" t="n">
        <f aca="false">MAX(B400:D400)-MIN(B400:D400)</f>
        <v>0.264272342532574</v>
      </c>
      <c r="H400" s="54" t="n">
        <f aca="false">IF(AND(E400="Phase I",OR(F400&gt;$E$6,F400&lt;$E$7,G400&gt;$E$8)),1,0)</f>
        <v>0</v>
      </c>
      <c r="I400" s="53" t="n">
        <f aca="false">$H$4</f>
        <v>0.67278149898986</v>
      </c>
      <c r="J400" s="53" t="n">
        <f aca="false">$H$6</f>
        <v>0.959137233677579</v>
      </c>
      <c r="K400" s="53" t="n">
        <f aca="false">$H$7</f>
        <v>0.386425764302142</v>
      </c>
      <c r="L400" s="53" t="n">
        <f aca="false">$H$5</f>
        <v>0.279917629215756</v>
      </c>
      <c r="M400" s="53" t="n">
        <f aca="false">$H$8</f>
        <v>0.720507977601356</v>
      </c>
      <c r="N400" s="54" t="n">
        <f aca="false">IF(OR(F400&gt;J400,F400&lt;K400),1,0)</f>
        <v>0</v>
      </c>
      <c r="O400" s="54" t="n">
        <f aca="false">IF(G400&gt;M400,1,0)</f>
        <v>0</v>
      </c>
      <c r="P400" s="54" t="n">
        <f aca="false">SIGN(F400-I400)</f>
        <v>-1</v>
      </c>
      <c r="Q400" s="54" t="n">
        <f aca="false">IF(ABS(SUM(P393:P400))=8,1,0)</f>
        <v>0</v>
      </c>
    </row>
    <row r="401" customFormat="false" ht="15" hidden="false" customHeight="false" outlineLevel="0" collapsed="false">
      <c r="A401" s="52" t="n">
        <v>44435</v>
      </c>
      <c r="B401" s="53" t="n">
        <v>0.675436766033806</v>
      </c>
      <c r="C401" s="53" t="n">
        <v>0.732052454874403</v>
      </c>
      <c r="D401" s="53" t="n">
        <v>0.77888222798255</v>
      </c>
      <c r="E401" s="54" t="s">
        <v>946</v>
      </c>
      <c r="F401" s="53" t="n">
        <f aca="false">AVERAGE(B401:D401)</f>
        <v>0.728790482963586</v>
      </c>
      <c r="G401" s="53" t="n">
        <f aca="false">MAX(B401:D401)-MIN(B401:D401)</f>
        <v>0.103445461948743</v>
      </c>
      <c r="H401" s="54" t="n">
        <f aca="false">IF(AND(E401="Phase I",OR(F401&gt;$E$6,F401&lt;$E$7,G401&gt;$E$8)),1,0)</f>
        <v>0</v>
      </c>
      <c r="I401" s="53" t="n">
        <f aca="false">$H$4</f>
        <v>0.67278149898986</v>
      </c>
      <c r="J401" s="53" t="n">
        <f aca="false">$H$6</f>
        <v>0.959137233677579</v>
      </c>
      <c r="K401" s="53" t="n">
        <f aca="false">$H$7</f>
        <v>0.386425764302142</v>
      </c>
      <c r="L401" s="53" t="n">
        <f aca="false">$H$5</f>
        <v>0.279917629215756</v>
      </c>
      <c r="M401" s="53" t="n">
        <f aca="false">$H$8</f>
        <v>0.720507977601356</v>
      </c>
      <c r="N401" s="54" t="n">
        <f aca="false">IF(OR(F401&gt;J401,F401&lt;K401),1,0)</f>
        <v>0</v>
      </c>
      <c r="O401" s="54" t="n">
        <f aca="false">IF(G401&gt;M401,1,0)</f>
        <v>0</v>
      </c>
      <c r="P401" s="54" t="n">
        <f aca="false">SIGN(F401-I401)</f>
        <v>1</v>
      </c>
      <c r="Q401" s="54" t="n">
        <f aca="false">IF(ABS(SUM(P394:P401))=8,1,0)</f>
        <v>0</v>
      </c>
    </row>
    <row r="402" customFormat="false" ht="15" hidden="false" customHeight="false" outlineLevel="0" collapsed="false">
      <c r="A402" s="52" t="n">
        <v>44437</v>
      </c>
      <c r="B402" s="53" t="n">
        <v>0.574824934381789</v>
      </c>
      <c r="C402" s="53" t="n">
        <v>0.727658447471638</v>
      </c>
      <c r="D402" s="53" t="n">
        <v>0.573259230025334</v>
      </c>
      <c r="E402" s="54" t="s">
        <v>946</v>
      </c>
      <c r="F402" s="53" t="n">
        <f aca="false">AVERAGE(B402:D402)</f>
        <v>0.62524753729292</v>
      </c>
      <c r="G402" s="53" t="n">
        <f aca="false">MAX(B402:D402)-MIN(B402:D402)</f>
        <v>0.154399217446304</v>
      </c>
      <c r="H402" s="54" t="n">
        <f aca="false">IF(AND(E402="Phase I",OR(F402&gt;$E$6,F402&lt;$E$7,G402&gt;$E$8)),1,0)</f>
        <v>0</v>
      </c>
      <c r="I402" s="53" t="n">
        <f aca="false">$H$4</f>
        <v>0.67278149898986</v>
      </c>
      <c r="J402" s="53" t="n">
        <f aca="false">$H$6</f>
        <v>0.959137233677579</v>
      </c>
      <c r="K402" s="53" t="n">
        <f aca="false">$H$7</f>
        <v>0.386425764302142</v>
      </c>
      <c r="L402" s="53" t="n">
        <f aca="false">$H$5</f>
        <v>0.279917629215756</v>
      </c>
      <c r="M402" s="53" t="n">
        <f aca="false">$H$8</f>
        <v>0.720507977601356</v>
      </c>
      <c r="N402" s="54" t="n">
        <f aca="false">IF(OR(F402&gt;J402,F402&lt;K402),1,0)</f>
        <v>0</v>
      </c>
      <c r="O402" s="54" t="n">
        <f aca="false">IF(G402&gt;M402,1,0)</f>
        <v>0</v>
      </c>
      <c r="P402" s="54" t="n">
        <f aca="false">SIGN(F402-I402)</f>
        <v>-1</v>
      </c>
      <c r="Q402" s="54" t="n">
        <f aca="false">IF(ABS(SUM(P395:P402))=8,1,0)</f>
        <v>0</v>
      </c>
    </row>
    <row r="403" customFormat="false" ht="15" hidden="false" customHeight="false" outlineLevel="0" collapsed="false">
      <c r="A403" s="52" t="n">
        <v>44438</v>
      </c>
      <c r="B403" s="53" t="n">
        <v>0.62588165978121</v>
      </c>
      <c r="C403" s="53" t="n">
        <v>0.662105833842474</v>
      </c>
      <c r="D403" s="53" t="n">
        <v>0.620005910065161</v>
      </c>
      <c r="E403" s="54" t="s">
        <v>946</v>
      </c>
      <c r="F403" s="53" t="n">
        <f aca="false">AVERAGE(B403:D403)</f>
        <v>0.635997801229615</v>
      </c>
      <c r="G403" s="53" t="n">
        <f aca="false">MAX(B403:D403)-MIN(B403:D403)</f>
        <v>0.0420999237773125</v>
      </c>
      <c r="H403" s="54" t="n">
        <f aca="false">IF(AND(E403="Phase I",OR(F403&gt;$E$6,F403&lt;$E$7,G403&gt;$E$8)),1,0)</f>
        <v>0</v>
      </c>
      <c r="I403" s="53" t="n">
        <f aca="false">$H$4</f>
        <v>0.67278149898986</v>
      </c>
      <c r="J403" s="53" t="n">
        <f aca="false">$H$6</f>
        <v>0.959137233677579</v>
      </c>
      <c r="K403" s="53" t="n">
        <f aca="false">$H$7</f>
        <v>0.386425764302142</v>
      </c>
      <c r="L403" s="53" t="n">
        <f aca="false">$H$5</f>
        <v>0.279917629215756</v>
      </c>
      <c r="M403" s="53" t="n">
        <f aca="false">$H$8</f>
        <v>0.720507977601356</v>
      </c>
      <c r="N403" s="54" t="n">
        <f aca="false">IF(OR(F403&gt;J403,F403&lt;K403),1,0)</f>
        <v>0</v>
      </c>
      <c r="O403" s="54" t="n">
        <f aca="false">IF(G403&gt;M403,1,0)</f>
        <v>0</v>
      </c>
      <c r="P403" s="54" t="n">
        <f aca="false">SIGN(F403-I403)</f>
        <v>-1</v>
      </c>
      <c r="Q403" s="54" t="n">
        <f aca="false">IF(ABS(SUM(P396:P403))=8,1,0)</f>
        <v>0</v>
      </c>
    </row>
    <row r="404" customFormat="false" ht="15" hidden="false" customHeight="false" outlineLevel="0" collapsed="false">
      <c r="A404" s="52" t="n">
        <v>44439</v>
      </c>
      <c r="B404" s="53" t="n">
        <v>0.701026367826784</v>
      </c>
      <c r="C404" s="53" t="n">
        <v>0.779330412676584</v>
      </c>
      <c r="D404" s="53" t="n">
        <v>0.293359306282263</v>
      </c>
      <c r="E404" s="54" t="s">
        <v>946</v>
      </c>
      <c r="F404" s="53" t="n">
        <f aca="false">AVERAGE(B404:D404)</f>
        <v>0.591238695595211</v>
      </c>
      <c r="G404" s="53" t="n">
        <f aca="false">MAX(B404:D404)-MIN(B404:D404)</f>
        <v>0.485971106394321</v>
      </c>
      <c r="H404" s="54" t="n">
        <f aca="false">IF(AND(E404="Phase I",OR(F404&gt;$E$6,F404&lt;$E$7,G404&gt;$E$8)),1,0)</f>
        <v>0</v>
      </c>
      <c r="I404" s="53" t="n">
        <f aca="false">$H$4</f>
        <v>0.67278149898986</v>
      </c>
      <c r="J404" s="53" t="n">
        <f aca="false">$H$6</f>
        <v>0.959137233677579</v>
      </c>
      <c r="K404" s="53" t="n">
        <f aca="false">$H$7</f>
        <v>0.386425764302142</v>
      </c>
      <c r="L404" s="53" t="n">
        <f aca="false">$H$5</f>
        <v>0.279917629215756</v>
      </c>
      <c r="M404" s="53" t="n">
        <f aca="false">$H$8</f>
        <v>0.720507977601356</v>
      </c>
      <c r="N404" s="54" t="n">
        <f aca="false">IF(OR(F404&gt;J404,F404&lt;K404),1,0)</f>
        <v>0</v>
      </c>
      <c r="O404" s="54" t="n">
        <f aca="false">IF(G404&gt;M404,1,0)</f>
        <v>0</v>
      </c>
      <c r="P404" s="54" t="n">
        <f aca="false">SIGN(F404-I404)</f>
        <v>-1</v>
      </c>
      <c r="Q404" s="54" t="n">
        <f aca="false">IF(ABS(SUM(P397:P404))=8,1,0)</f>
        <v>0</v>
      </c>
    </row>
    <row r="405" customFormat="false" ht="15" hidden="false" customHeight="false" outlineLevel="0" collapsed="false">
      <c r="A405" s="52" t="n">
        <v>44440</v>
      </c>
      <c r="B405" s="53" t="n">
        <v>0</v>
      </c>
      <c r="C405" s="53" t="n">
        <v>0.613580448769282</v>
      </c>
      <c r="D405" s="53" t="n">
        <v>0.601532303605353</v>
      </c>
      <c r="E405" s="54" t="s">
        <v>946</v>
      </c>
      <c r="F405" s="53" t="n">
        <f aca="false">AVERAGE(B405:D405)</f>
        <v>0.405037584124878</v>
      </c>
      <c r="G405" s="53" t="n">
        <f aca="false">MAX(B405:D405)-MIN(B405:D405)</f>
        <v>0.613580448769282</v>
      </c>
      <c r="H405" s="54" t="n">
        <f aca="false">IF(AND(E405="Phase I",OR(F405&gt;$E$6,F405&lt;$E$7,G405&gt;$E$8)),1,0)</f>
        <v>0</v>
      </c>
      <c r="I405" s="53" t="n">
        <f aca="false">$H$4</f>
        <v>0.67278149898986</v>
      </c>
      <c r="J405" s="53" t="n">
        <f aca="false">$H$6</f>
        <v>0.959137233677579</v>
      </c>
      <c r="K405" s="53" t="n">
        <f aca="false">$H$7</f>
        <v>0.386425764302142</v>
      </c>
      <c r="L405" s="53" t="n">
        <f aca="false">$H$5</f>
        <v>0.279917629215756</v>
      </c>
      <c r="M405" s="53" t="n">
        <f aca="false">$H$8</f>
        <v>0.720507977601356</v>
      </c>
      <c r="N405" s="54" t="n">
        <f aca="false">IF(OR(F405&gt;J405,F405&lt;K405),1,0)</f>
        <v>0</v>
      </c>
      <c r="O405" s="54" t="n">
        <f aca="false">IF(G405&gt;M405,1,0)</f>
        <v>0</v>
      </c>
      <c r="P405" s="54" t="n">
        <f aca="false">SIGN(F405-I405)</f>
        <v>-1</v>
      </c>
      <c r="Q405" s="54" t="n">
        <f aca="false">IF(ABS(SUM(P398:P405))=8,1,0)</f>
        <v>0</v>
      </c>
    </row>
    <row r="406" customFormat="false" ht="15" hidden="false" customHeight="false" outlineLevel="0" collapsed="false">
      <c r="A406" s="52" t="n">
        <v>44441</v>
      </c>
      <c r="B406" s="53" t="n">
        <v>0.483175603317548</v>
      </c>
      <c r="C406" s="53" t="n">
        <v>0.83606945712477</v>
      </c>
      <c r="D406" s="53" t="n">
        <v>0.422301401146941</v>
      </c>
      <c r="E406" s="54" t="s">
        <v>946</v>
      </c>
      <c r="F406" s="53" t="n">
        <f aca="false">AVERAGE(B406:D406)</f>
        <v>0.58051548719642</v>
      </c>
      <c r="G406" s="53" t="n">
        <f aca="false">MAX(B406:D406)-MIN(B406:D406)</f>
        <v>0.413768055977828</v>
      </c>
      <c r="H406" s="54" t="n">
        <f aca="false">IF(AND(E406="Phase I",OR(F406&gt;$E$6,F406&lt;$E$7,G406&gt;$E$8)),1,0)</f>
        <v>0</v>
      </c>
      <c r="I406" s="53" t="n">
        <f aca="false">$H$4</f>
        <v>0.67278149898986</v>
      </c>
      <c r="J406" s="53" t="n">
        <f aca="false">$H$6</f>
        <v>0.959137233677579</v>
      </c>
      <c r="K406" s="53" t="n">
        <f aca="false">$H$7</f>
        <v>0.386425764302142</v>
      </c>
      <c r="L406" s="53" t="n">
        <f aca="false">$H$5</f>
        <v>0.279917629215756</v>
      </c>
      <c r="M406" s="53" t="n">
        <f aca="false">$H$8</f>
        <v>0.720507977601356</v>
      </c>
      <c r="N406" s="54" t="n">
        <f aca="false">IF(OR(F406&gt;J406,F406&lt;K406),1,0)</f>
        <v>0</v>
      </c>
      <c r="O406" s="54" t="n">
        <f aca="false">IF(G406&gt;M406,1,0)</f>
        <v>0</v>
      </c>
      <c r="P406" s="54" t="n">
        <f aca="false">SIGN(F406-I406)</f>
        <v>-1</v>
      </c>
      <c r="Q406" s="54" t="n">
        <f aca="false">IF(ABS(SUM(P399:P406))=8,1,0)</f>
        <v>0</v>
      </c>
    </row>
    <row r="407" customFormat="false" ht="15" hidden="false" customHeight="false" outlineLevel="0" collapsed="false">
      <c r="A407" s="52" t="n">
        <v>44442</v>
      </c>
      <c r="B407" s="53" t="n">
        <v>0.573090686901485</v>
      </c>
      <c r="C407" s="53" t="n">
        <v>0.872763258540114</v>
      </c>
      <c r="D407" s="53" t="n">
        <v>0.684657685776418</v>
      </c>
      <c r="E407" s="54" t="s">
        <v>946</v>
      </c>
      <c r="F407" s="53" t="n">
        <f aca="false">AVERAGE(B407:D407)</f>
        <v>0.710170543739339</v>
      </c>
      <c r="G407" s="53" t="n">
        <f aca="false">MAX(B407:D407)-MIN(B407:D407)</f>
        <v>0.299672571638629</v>
      </c>
      <c r="H407" s="54" t="n">
        <f aca="false">IF(AND(E407="Phase I",OR(F407&gt;$E$6,F407&lt;$E$7,G407&gt;$E$8)),1,0)</f>
        <v>0</v>
      </c>
      <c r="I407" s="53" t="n">
        <f aca="false">$H$4</f>
        <v>0.67278149898986</v>
      </c>
      <c r="J407" s="53" t="n">
        <f aca="false">$H$6</f>
        <v>0.959137233677579</v>
      </c>
      <c r="K407" s="53" t="n">
        <f aca="false">$H$7</f>
        <v>0.386425764302142</v>
      </c>
      <c r="L407" s="53" t="n">
        <f aca="false">$H$5</f>
        <v>0.279917629215756</v>
      </c>
      <c r="M407" s="53" t="n">
        <f aca="false">$H$8</f>
        <v>0.720507977601356</v>
      </c>
      <c r="N407" s="54" t="n">
        <f aca="false">IF(OR(F407&gt;J407,F407&lt;K407),1,0)</f>
        <v>0</v>
      </c>
      <c r="O407" s="54" t="n">
        <f aca="false">IF(G407&gt;M407,1,0)</f>
        <v>0</v>
      </c>
      <c r="P407" s="54" t="n">
        <f aca="false">SIGN(F407-I407)</f>
        <v>1</v>
      </c>
      <c r="Q407" s="54" t="n">
        <f aca="false">IF(ABS(SUM(P400:P407))=8,1,0)</f>
        <v>0</v>
      </c>
    </row>
    <row r="408" customFormat="false" ht="15" hidden="false" customHeight="false" outlineLevel="0" collapsed="false">
      <c r="A408" s="52" t="n">
        <v>44443</v>
      </c>
      <c r="B408" s="53" t="n">
        <v>0.62708635955023</v>
      </c>
      <c r="C408" s="53" t="n">
        <v>0.708293136375168</v>
      </c>
      <c r="D408" s="53" t="n">
        <v>0</v>
      </c>
      <c r="E408" s="54" t="s">
        <v>946</v>
      </c>
      <c r="F408" s="53" t="n">
        <f aca="false">AVERAGE(B408:D408)</f>
        <v>0.445126498641799</v>
      </c>
      <c r="G408" s="53" t="n">
        <f aca="false">MAX(B408:D408)-MIN(B408:D408)</f>
        <v>0.708293136375168</v>
      </c>
      <c r="H408" s="54" t="n">
        <f aca="false">IF(AND(E408="Phase I",OR(F408&gt;$E$6,F408&lt;$E$7,G408&gt;$E$8)),1,0)</f>
        <v>0</v>
      </c>
      <c r="I408" s="53" t="n">
        <f aca="false">$H$4</f>
        <v>0.67278149898986</v>
      </c>
      <c r="J408" s="53" t="n">
        <f aca="false">$H$6</f>
        <v>0.959137233677579</v>
      </c>
      <c r="K408" s="53" t="n">
        <f aca="false">$H$7</f>
        <v>0.386425764302142</v>
      </c>
      <c r="L408" s="53" t="n">
        <f aca="false">$H$5</f>
        <v>0.279917629215756</v>
      </c>
      <c r="M408" s="53" t="n">
        <f aca="false">$H$8</f>
        <v>0.720507977601356</v>
      </c>
      <c r="N408" s="54" t="n">
        <f aca="false">IF(OR(F408&gt;J408,F408&lt;K408),1,0)</f>
        <v>0</v>
      </c>
      <c r="O408" s="54" t="n">
        <f aca="false">IF(G408&gt;M408,1,0)</f>
        <v>0</v>
      </c>
      <c r="P408" s="54" t="n">
        <f aca="false">SIGN(F408-I408)</f>
        <v>-1</v>
      </c>
      <c r="Q408" s="54" t="n">
        <f aca="false">IF(ABS(SUM(P401:P408))=8,1,0)</f>
        <v>0</v>
      </c>
    </row>
    <row r="409" customFormat="false" ht="15" hidden="false" customHeight="false" outlineLevel="0" collapsed="false">
      <c r="A409" s="52" t="n">
        <v>44445</v>
      </c>
      <c r="B409" s="53" t="n">
        <v>0.755658468538152</v>
      </c>
      <c r="C409" s="53" t="n">
        <v>0.813791598687634</v>
      </c>
      <c r="D409" s="53" t="n">
        <v>0.737074340633348</v>
      </c>
      <c r="E409" s="54" t="s">
        <v>946</v>
      </c>
      <c r="F409" s="53" t="n">
        <f aca="false">AVERAGE(B409:D409)</f>
        <v>0.768841469286378</v>
      </c>
      <c r="G409" s="53" t="n">
        <f aca="false">MAX(B409:D409)-MIN(B409:D409)</f>
        <v>0.0767172580542854</v>
      </c>
      <c r="H409" s="54" t="n">
        <f aca="false">IF(AND(E409="Phase I",OR(F409&gt;$E$6,F409&lt;$E$7,G409&gt;$E$8)),1,0)</f>
        <v>0</v>
      </c>
      <c r="I409" s="53" t="n">
        <f aca="false">$H$4</f>
        <v>0.67278149898986</v>
      </c>
      <c r="J409" s="53" t="n">
        <f aca="false">$H$6</f>
        <v>0.959137233677579</v>
      </c>
      <c r="K409" s="53" t="n">
        <f aca="false">$H$7</f>
        <v>0.386425764302142</v>
      </c>
      <c r="L409" s="53" t="n">
        <f aca="false">$H$5</f>
        <v>0.279917629215756</v>
      </c>
      <c r="M409" s="53" t="n">
        <f aca="false">$H$8</f>
        <v>0.720507977601356</v>
      </c>
      <c r="N409" s="54" t="n">
        <f aca="false">IF(OR(F409&gt;J409,F409&lt;K409),1,0)</f>
        <v>0</v>
      </c>
      <c r="O409" s="54" t="n">
        <f aca="false">IF(G409&gt;M409,1,0)</f>
        <v>0</v>
      </c>
      <c r="P409" s="54" t="n">
        <f aca="false">SIGN(F409-I409)</f>
        <v>1</v>
      </c>
      <c r="Q409" s="54" t="n">
        <f aca="false">IF(ABS(SUM(P402:P409))=8,1,0)</f>
        <v>0</v>
      </c>
    </row>
    <row r="410" customFormat="false" ht="15" hidden="false" customHeight="false" outlineLevel="0" collapsed="false">
      <c r="A410" s="52" t="n">
        <v>44446</v>
      </c>
      <c r="B410" s="53" t="n">
        <v>0.671658878847891</v>
      </c>
      <c r="C410" s="53" t="n">
        <v>0.520209783401726</v>
      </c>
      <c r="D410" s="53" t="n">
        <v>0.72143121046653</v>
      </c>
      <c r="E410" s="54" t="s">
        <v>946</v>
      </c>
      <c r="F410" s="53" t="n">
        <f aca="false">AVERAGE(B410:D410)</f>
        <v>0.637766624238716</v>
      </c>
      <c r="G410" s="53" t="n">
        <f aca="false">MAX(B410:D410)-MIN(B410:D410)</f>
        <v>0.201221427064804</v>
      </c>
      <c r="H410" s="54" t="n">
        <f aca="false">IF(AND(E410="Phase I",OR(F410&gt;$E$6,F410&lt;$E$7,G410&gt;$E$8)),1,0)</f>
        <v>0</v>
      </c>
      <c r="I410" s="53" t="n">
        <f aca="false">$H$4</f>
        <v>0.67278149898986</v>
      </c>
      <c r="J410" s="53" t="n">
        <f aca="false">$H$6</f>
        <v>0.959137233677579</v>
      </c>
      <c r="K410" s="53" t="n">
        <f aca="false">$H$7</f>
        <v>0.386425764302142</v>
      </c>
      <c r="L410" s="53" t="n">
        <f aca="false">$H$5</f>
        <v>0.279917629215756</v>
      </c>
      <c r="M410" s="53" t="n">
        <f aca="false">$H$8</f>
        <v>0.720507977601356</v>
      </c>
      <c r="N410" s="54" t="n">
        <f aca="false">IF(OR(F410&gt;J410,F410&lt;K410),1,0)</f>
        <v>0</v>
      </c>
      <c r="O410" s="54" t="n">
        <f aca="false">IF(G410&gt;M410,1,0)</f>
        <v>0</v>
      </c>
      <c r="P410" s="54" t="n">
        <f aca="false">SIGN(F410-I410)</f>
        <v>-1</v>
      </c>
      <c r="Q410" s="54" t="n">
        <f aca="false">IF(ABS(SUM(P403:P410))=8,1,0)</f>
        <v>0</v>
      </c>
    </row>
    <row r="411" customFormat="false" ht="15" hidden="false" customHeight="false" outlineLevel="0" collapsed="false">
      <c r="A411" s="52" t="n">
        <v>44447</v>
      </c>
      <c r="B411" s="53" t="n">
        <v>0.538446199681388</v>
      </c>
      <c r="C411" s="53" t="n">
        <v>0.665191095320416</v>
      </c>
      <c r="D411" s="53" t="n">
        <v>0.616824173074964</v>
      </c>
      <c r="E411" s="54" t="s">
        <v>946</v>
      </c>
      <c r="F411" s="53" t="n">
        <f aca="false">AVERAGE(B411:D411)</f>
        <v>0.606820489358923</v>
      </c>
      <c r="G411" s="53" t="n">
        <f aca="false">MAX(B411:D411)-MIN(B411:D411)</f>
        <v>0.126744895639028</v>
      </c>
      <c r="H411" s="54" t="n">
        <f aca="false">IF(AND(E411="Phase I",OR(F411&gt;$E$6,F411&lt;$E$7,G411&gt;$E$8)),1,0)</f>
        <v>0</v>
      </c>
      <c r="I411" s="53" t="n">
        <f aca="false">$H$4</f>
        <v>0.67278149898986</v>
      </c>
      <c r="J411" s="53" t="n">
        <f aca="false">$H$6</f>
        <v>0.959137233677579</v>
      </c>
      <c r="K411" s="53" t="n">
        <f aca="false">$H$7</f>
        <v>0.386425764302142</v>
      </c>
      <c r="L411" s="53" t="n">
        <f aca="false">$H$5</f>
        <v>0.279917629215756</v>
      </c>
      <c r="M411" s="53" t="n">
        <f aca="false">$H$8</f>
        <v>0.720507977601356</v>
      </c>
      <c r="N411" s="54" t="n">
        <f aca="false">IF(OR(F411&gt;J411,F411&lt;K411),1,0)</f>
        <v>0</v>
      </c>
      <c r="O411" s="54" t="n">
        <f aca="false">IF(G411&gt;M411,1,0)</f>
        <v>0</v>
      </c>
      <c r="P411" s="54" t="n">
        <f aca="false">SIGN(F411-I411)</f>
        <v>-1</v>
      </c>
      <c r="Q411" s="54" t="n">
        <f aca="false">IF(ABS(SUM(P404:P411))=8,1,0)</f>
        <v>0</v>
      </c>
    </row>
    <row r="412" customFormat="false" ht="15" hidden="false" customHeight="false" outlineLevel="0" collapsed="false">
      <c r="A412" s="52" t="n">
        <v>44448</v>
      </c>
      <c r="B412" s="53" t="n">
        <v>0.514927575411754</v>
      </c>
      <c r="C412" s="53" t="n">
        <v>0.150970034359142</v>
      </c>
      <c r="D412" s="53" t="n">
        <v>0.725204992475611</v>
      </c>
      <c r="E412" s="54" t="s">
        <v>946</v>
      </c>
      <c r="F412" s="53" t="n">
        <f aca="false">AVERAGE(B412:D412)</f>
        <v>0.463700867415503</v>
      </c>
      <c r="G412" s="53" t="n">
        <f aca="false">MAX(B412:D412)-MIN(B412:D412)</f>
        <v>0.574234958116469</v>
      </c>
      <c r="H412" s="54" t="n">
        <f aca="false">IF(AND(E412="Phase I",OR(F412&gt;$E$6,F412&lt;$E$7,G412&gt;$E$8)),1,0)</f>
        <v>0</v>
      </c>
      <c r="I412" s="53" t="n">
        <f aca="false">$H$4</f>
        <v>0.67278149898986</v>
      </c>
      <c r="J412" s="53" t="n">
        <f aca="false">$H$6</f>
        <v>0.959137233677579</v>
      </c>
      <c r="K412" s="53" t="n">
        <f aca="false">$H$7</f>
        <v>0.386425764302142</v>
      </c>
      <c r="L412" s="53" t="n">
        <f aca="false">$H$5</f>
        <v>0.279917629215756</v>
      </c>
      <c r="M412" s="53" t="n">
        <f aca="false">$H$8</f>
        <v>0.720507977601356</v>
      </c>
      <c r="N412" s="54" t="n">
        <f aca="false">IF(OR(F412&gt;J412,F412&lt;K412),1,0)</f>
        <v>0</v>
      </c>
      <c r="O412" s="54" t="n">
        <f aca="false">IF(G412&gt;M412,1,0)</f>
        <v>0</v>
      </c>
      <c r="P412" s="54" t="n">
        <f aca="false">SIGN(F412-I412)</f>
        <v>-1</v>
      </c>
      <c r="Q412" s="54" t="n">
        <f aca="false">IF(ABS(SUM(P405:P412))=8,1,0)</f>
        <v>0</v>
      </c>
    </row>
    <row r="413" customFormat="false" ht="15" hidden="false" customHeight="false" outlineLevel="0" collapsed="false">
      <c r="A413" s="52" t="n">
        <v>44449</v>
      </c>
      <c r="B413" s="53" t="n">
        <v>0.641994696175554</v>
      </c>
      <c r="C413" s="53" t="n">
        <v>0.439295326415177</v>
      </c>
      <c r="D413" s="53" t="n">
        <v>0.502605575872526</v>
      </c>
      <c r="E413" s="54" t="s">
        <v>946</v>
      </c>
      <c r="F413" s="53" t="n">
        <f aca="false">AVERAGE(B413:D413)</f>
        <v>0.527965199487752</v>
      </c>
      <c r="G413" s="53" t="n">
        <f aca="false">MAX(B413:D413)-MIN(B413:D413)</f>
        <v>0.202699369760377</v>
      </c>
      <c r="H413" s="54" t="n">
        <f aca="false">IF(AND(E413="Phase I",OR(F413&gt;$E$6,F413&lt;$E$7,G413&gt;$E$8)),1,0)</f>
        <v>0</v>
      </c>
      <c r="I413" s="53" t="n">
        <f aca="false">$H$4</f>
        <v>0.67278149898986</v>
      </c>
      <c r="J413" s="53" t="n">
        <f aca="false">$H$6</f>
        <v>0.959137233677579</v>
      </c>
      <c r="K413" s="53" t="n">
        <f aca="false">$H$7</f>
        <v>0.386425764302142</v>
      </c>
      <c r="L413" s="53" t="n">
        <f aca="false">$H$5</f>
        <v>0.279917629215756</v>
      </c>
      <c r="M413" s="53" t="n">
        <f aca="false">$H$8</f>
        <v>0.720507977601356</v>
      </c>
      <c r="N413" s="54" t="n">
        <f aca="false">IF(OR(F413&gt;J413,F413&lt;K413),1,0)</f>
        <v>0</v>
      </c>
      <c r="O413" s="54" t="n">
        <f aca="false">IF(G413&gt;M413,1,0)</f>
        <v>0</v>
      </c>
      <c r="P413" s="54" t="n">
        <f aca="false">SIGN(F413-I413)</f>
        <v>-1</v>
      </c>
      <c r="Q413" s="54" t="n">
        <f aca="false">IF(ABS(SUM(P406:P413))=8,1,0)</f>
        <v>0</v>
      </c>
    </row>
    <row r="414" customFormat="false" ht="15" hidden="false" customHeight="false" outlineLevel="0" collapsed="false">
      <c r="A414" s="52" t="n">
        <v>44452</v>
      </c>
      <c r="B414" s="53" t="n">
        <v>0.372523175808895</v>
      </c>
      <c r="C414" s="53" t="n">
        <v>0.615251036584659</v>
      </c>
      <c r="D414" s="53" t="n">
        <v>0.700513300377857</v>
      </c>
      <c r="E414" s="54" t="s">
        <v>946</v>
      </c>
      <c r="F414" s="53" t="n">
        <f aca="false">AVERAGE(B414:D414)</f>
        <v>0.562762504257137</v>
      </c>
      <c r="G414" s="53" t="n">
        <f aca="false">MAX(B414:D414)-MIN(B414:D414)</f>
        <v>0.327990124568961</v>
      </c>
      <c r="H414" s="54" t="n">
        <f aca="false">IF(AND(E414="Phase I",OR(F414&gt;$E$6,F414&lt;$E$7,G414&gt;$E$8)),1,0)</f>
        <v>0</v>
      </c>
      <c r="I414" s="53" t="n">
        <f aca="false">$H$4</f>
        <v>0.67278149898986</v>
      </c>
      <c r="J414" s="53" t="n">
        <f aca="false">$H$6</f>
        <v>0.959137233677579</v>
      </c>
      <c r="K414" s="53" t="n">
        <f aca="false">$H$7</f>
        <v>0.386425764302142</v>
      </c>
      <c r="L414" s="53" t="n">
        <f aca="false">$H$5</f>
        <v>0.279917629215756</v>
      </c>
      <c r="M414" s="53" t="n">
        <f aca="false">$H$8</f>
        <v>0.720507977601356</v>
      </c>
      <c r="N414" s="54" t="n">
        <f aca="false">IF(OR(F414&gt;J414,F414&lt;K414),1,0)</f>
        <v>0</v>
      </c>
      <c r="O414" s="54" t="n">
        <f aca="false">IF(G414&gt;M414,1,0)</f>
        <v>0</v>
      </c>
      <c r="P414" s="54" t="n">
        <f aca="false">SIGN(F414-I414)</f>
        <v>-1</v>
      </c>
      <c r="Q414" s="54" t="n">
        <f aca="false">IF(ABS(SUM(P407:P414))=8,1,0)</f>
        <v>0</v>
      </c>
    </row>
    <row r="415" customFormat="false" ht="15" hidden="false" customHeight="false" outlineLevel="0" collapsed="false">
      <c r="A415" s="52" t="n">
        <v>44453</v>
      </c>
      <c r="B415" s="53" t="n">
        <v>0.395880388794162</v>
      </c>
      <c r="C415" s="53" t="n">
        <v>0.908636402997131</v>
      </c>
      <c r="D415" s="53" t="n">
        <v>0.79269467661196</v>
      </c>
      <c r="E415" s="54" t="s">
        <v>946</v>
      </c>
      <c r="F415" s="53" t="n">
        <f aca="false">AVERAGE(B415:D415)</f>
        <v>0.699070489467751</v>
      </c>
      <c r="G415" s="53" t="n">
        <f aca="false">MAX(B415:D415)-MIN(B415:D415)</f>
        <v>0.512756014202969</v>
      </c>
      <c r="H415" s="54" t="n">
        <f aca="false">IF(AND(E415="Phase I",OR(F415&gt;$E$6,F415&lt;$E$7,G415&gt;$E$8)),1,0)</f>
        <v>0</v>
      </c>
      <c r="I415" s="53" t="n">
        <f aca="false">$H$4</f>
        <v>0.67278149898986</v>
      </c>
      <c r="J415" s="53" t="n">
        <f aca="false">$H$6</f>
        <v>0.959137233677579</v>
      </c>
      <c r="K415" s="53" t="n">
        <f aca="false">$H$7</f>
        <v>0.386425764302142</v>
      </c>
      <c r="L415" s="53" t="n">
        <f aca="false">$H$5</f>
        <v>0.279917629215756</v>
      </c>
      <c r="M415" s="53" t="n">
        <f aca="false">$H$8</f>
        <v>0.720507977601356</v>
      </c>
      <c r="N415" s="54" t="n">
        <f aca="false">IF(OR(F415&gt;J415,F415&lt;K415),1,0)</f>
        <v>0</v>
      </c>
      <c r="O415" s="54" t="n">
        <f aca="false">IF(G415&gt;M415,1,0)</f>
        <v>0</v>
      </c>
      <c r="P415" s="54" t="n">
        <f aca="false">SIGN(F415-I415)</f>
        <v>1</v>
      </c>
      <c r="Q415" s="54" t="n">
        <f aca="false">IF(ABS(SUM(P408:P415))=8,1,0)</f>
        <v>0</v>
      </c>
    </row>
    <row r="416" customFormat="false" ht="15" hidden="false" customHeight="false" outlineLevel="0" collapsed="false">
      <c r="A416" s="52" t="n">
        <v>44454</v>
      </c>
      <c r="B416" s="53" t="n">
        <v>0.570734088233959</v>
      </c>
      <c r="C416" s="53" t="n">
        <v>0.719723700646543</v>
      </c>
      <c r="D416" s="53" t="n">
        <v>0.929956179364015</v>
      </c>
      <c r="E416" s="54" t="s">
        <v>946</v>
      </c>
      <c r="F416" s="53" t="n">
        <f aca="false">AVERAGE(B416:D416)</f>
        <v>0.740137989414839</v>
      </c>
      <c r="G416" s="53" t="n">
        <f aca="false">MAX(B416:D416)-MIN(B416:D416)</f>
        <v>0.359222091130056</v>
      </c>
      <c r="H416" s="54" t="n">
        <f aca="false">IF(AND(E416="Phase I",OR(F416&gt;$E$6,F416&lt;$E$7,G416&gt;$E$8)),1,0)</f>
        <v>0</v>
      </c>
      <c r="I416" s="53" t="n">
        <f aca="false">$H$4</f>
        <v>0.67278149898986</v>
      </c>
      <c r="J416" s="53" t="n">
        <f aca="false">$H$6</f>
        <v>0.959137233677579</v>
      </c>
      <c r="K416" s="53" t="n">
        <f aca="false">$H$7</f>
        <v>0.386425764302142</v>
      </c>
      <c r="L416" s="53" t="n">
        <f aca="false">$H$5</f>
        <v>0.279917629215756</v>
      </c>
      <c r="M416" s="53" t="n">
        <f aca="false">$H$8</f>
        <v>0.720507977601356</v>
      </c>
      <c r="N416" s="54" t="n">
        <f aca="false">IF(OR(F416&gt;J416,F416&lt;K416),1,0)</f>
        <v>0</v>
      </c>
      <c r="O416" s="54" t="n">
        <f aca="false">IF(G416&gt;M416,1,0)</f>
        <v>0</v>
      </c>
      <c r="P416" s="54" t="n">
        <f aca="false">SIGN(F416-I416)</f>
        <v>1</v>
      </c>
      <c r="Q416" s="54" t="n">
        <f aca="false">IF(ABS(SUM(P409:P416))=8,1,0)</f>
        <v>0</v>
      </c>
    </row>
    <row r="417" customFormat="false" ht="15" hidden="false" customHeight="false" outlineLevel="0" collapsed="false">
      <c r="A417" s="52" t="n">
        <v>44455</v>
      </c>
      <c r="B417" s="53" t="n">
        <v>0.594397010980226</v>
      </c>
      <c r="C417" s="53" t="n">
        <v>0.890010507618126</v>
      </c>
      <c r="D417" s="53" t="n">
        <v>0.642771837525531</v>
      </c>
      <c r="E417" s="54" t="s">
        <v>946</v>
      </c>
      <c r="F417" s="53" t="n">
        <f aca="false">AVERAGE(B417:D417)</f>
        <v>0.709059785374628</v>
      </c>
      <c r="G417" s="53" t="n">
        <f aca="false">MAX(B417:D417)-MIN(B417:D417)</f>
        <v>0.2956134966379</v>
      </c>
      <c r="H417" s="54" t="n">
        <f aca="false">IF(AND(E417="Phase I",OR(F417&gt;$E$6,F417&lt;$E$7,G417&gt;$E$8)),1,0)</f>
        <v>0</v>
      </c>
      <c r="I417" s="53" t="n">
        <f aca="false">$H$4</f>
        <v>0.67278149898986</v>
      </c>
      <c r="J417" s="53" t="n">
        <f aca="false">$H$6</f>
        <v>0.959137233677579</v>
      </c>
      <c r="K417" s="53" t="n">
        <f aca="false">$H$7</f>
        <v>0.386425764302142</v>
      </c>
      <c r="L417" s="53" t="n">
        <f aca="false">$H$5</f>
        <v>0.279917629215756</v>
      </c>
      <c r="M417" s="53" t="n">
        <f aca="false">$H$8</f>
        <v>0.720507977601356</v>
      </c>
      <c r="N417" s="54" t="n">
        <f aca="false">IF(OR(F417&gt;J417,F417&lt;K417),1,0)</f>
        <v>0</v>
      </c>
      <c r="O417" s="54" t="n">
        <f aca="false">IF(G417&gt;M417,1,0)</f>
        <v>0</v>
      </c>
      <c r="P417" s="54" t="n">
        <f aca="false">SIGN(F417-I417)</f>
        <v>1</v>
      </c>
      <c r="Q417" s="54" t="n">
        <f aca="false">IF(ABS(SUM(P410:P417))=8,1,0)</f>
        <v>0</v>
      </c>
    </row>
    <row r="418" customFormat="false" ht="15" hidden="false" customHeight="false" outlineLevel="0" collapsed="false">
      <c r="A418" s="52" t="n">
        <v>44456</v>
      </c>
      <c r="B418" s="53" t="n">
        <v>0.755295191537461</v>
      </c>
      <c r="C418" s="53" t="n">
        <v>0.683582705847389</v>
      </c>
      <c r="D418" s="53" t="n">
        <v>0.67484486352889</v>
      </c>
      <c r="E418" s="54" t="s">
        <v>946</v>
      </c>
      <c r="F418" s="53" t="n">
        <f aca="false">AVERAGE(B418:D418)</f>
        <v>0.704574253637913</v>
      </c>
      <c r="G418" s="53" t="n">
        <f aca="false">MAX(B418:D418)-MIN(B418:D418)</f>
        <v>0.0804503280085711</v>
      </c>
      <c r="H418" s="54" t="n">
        <f aca="false">IF(AND(E418="Phase I",OR(F418&gt;$E$6,F418&lt;$E$7,G418&gt;$E$8)),1,0)</f>
        <v>0</v>
      </c>
      <c r="I418" s="53" t="n">
        <f aca="false">$H$4</f>
        <v>0.67278149898986</v>
      </c>
      <c r="J418" s="53" t="n">
        <f aca="false">$H$6</f>
        <v>0.959137233677579</v>
      </c>
      <c r="K418" s="53" t="n">
        <f aca="false">$H$7</f>
        <v>0.386425764302142</v>
      </c>
      <c r="L418" s="53" t="n">
        <f aca="false">$H$5</f>
        <v>0.279917629215756</v>
      </c>
      <c r="M418" s="53" t="n">
        <f aca="false">$H$8</f>
        <v>0.720507977601356</v>
      </c>
      <c r="N418" s="54" t="n">
        <f aca="false">IF(OR(F418&gt;J418,F418&lt;K418),1,0)</f>
        <v>0</v>
      </c>
      <c r="O418" s="54" t="n">
        <f aca="false">IF(G418&gt;M418,1,0)</f>
        <v>0</v>
      </c>
      <c r="P418" s="54" t="n">
        <f aca="false">SIGN(F418-I418)</f>
        <v>1</v>
      </c>
      <c r="Q418" s="54" t="n">
        <f aca="false">IF(ABS(SUM(P411:P418))=8,1,0)</f>
        <v>0</v>
      </c>
    </row>
    <row r="419" customFormat="false" ht="15" hidden="false" customHeight="false" outlineLevel="0" collapsed="false">
      <c r="A419" s="52" t="n">
        <v>44458</v>
      </c>
      <c r="B419" s="53" t="n">
        <v>0.290539813927035</v>
      </c>
      <c r="C419" s="53" t="n">
        <v>0.399346792296622</v>
      </c>
      <c r="D419" s="53" t="n">
        <v>0.7089210429884</v>
      </c>
      <c r="E419" s="54" t="s">
        <v>946</v>
      </c>
      <c r="F419" s="53" t="n">
        <f aca="false">AVERAGE(B419:D419)</f>
        <v>0.466269216404019</v>
      </c>
      <c r="G419" s="53" t="n">
        <f aca="false">MAX(B419:D419)-MIN(B419:D419)</f>
        <v>0.418381229061365</v>
      </c>
      <c r="H419" s="54" t="n">
        <f aca="false">IF(AND(E419="Phase I",OR(F419&gt;$E$6,F419&lt;$E$7,G419&gt;$E$8)),1,0)</f>
        <v>0</v>
      </c>
      <c r="I419" s="53" t="n">
        <f aca="false">$H$4</f>
        <v>0.67278149898986</v>
      </c>
      <c r="J419" s="53" t="n">
        <f aca="false">$H$6</f>
        <v>0.959137233677579</v>
      </c>
      <c r="K419" s="53" t="n">
        <f aca="false">$H$7</f>
        <v>0.386425764302142</v>
      </c>
      <c r="L419" s="53" t="n">
        <f aca="false">$H$5</f>
        <v>0.279917629215756</v>
      </c>
      <c r="M419" s="53" t="n">
        <f aca="false">$H$8</f>
        <v>0.720507977601356</v>
      </c>
      <c r="N419" s="54" t="n">
        <f aca="false">IF(OR(F419&gt;J419,F419&lt;K419),1,0)</f>
        <v>0</v>
      </c>
      <c r="O419" s="54" t="n">
        <f aca="false">IF(G419&gt;M419,1,0)</f>
        <v>0</v>
      </c>
      <c r="P419" s="54" t="n">
        <f aca="false">SIGN(F419-I419)</f>
        <v>-1</v>
      </c>
      <c r="Q419" s="54" t="n">
        <f aca="false">IF(ABS(SUM(P412:P419))=8,1,0)</f>
        <v>0</v>
      </c>
    </row>
    <row r="420" customFormat="false" ht="15" hidden="false" customHeight="false" outlineLevel="0" collapsed="false">
      <c r="A420" s="52" t="n">
        <v>44459</v>
      </c>
      <c r="B420" s="53" t="n">
        <v>0.798875323815485</v>
      </c>
      <c r="C420" s="53" t="n">
        <v>0.581724660191183</v>
      </c>
      <c r="D420" s="53" t="n">
        <v>0.554047430152269</v>
      </c>
      <c r="E420" s="54" t="s">
        <v>946</v>
      </c>
      <c r="F420" s="53" t="n">
        <f aca="false">AVERAGE(B420:D420)</f>
        <v>0.644882471386313</v>
      </c>
      <c r="G420" s="53" t="n">
        <f aca="false">MAX(B420:D420)-MIN(B420:D420)</f>
        <v>0.244827893663216</v>
      </c>
      <c r="H420" s="54" t="n">
        <f aca="false">IF(AND(E420="Phase I",OR(F420&gt;$E$6,F420&lt;$E$7,G420&gt;$E$8)),1,0)</f>
        <v>0</v>
      </c>
      <c r="I420" s="53" t="n">
        <f aca="false">$H$4</f>
        <v>0.67278149898986</v>
      </c>
      <c r="J420" s="53" t="n">
        <f aca="false">$H$6</f>
        <v>0.959137233677579</v>
      </c>
      <c r="K420" s="53" t="n">
        <f aca="false">$H$7</f>
        <v>0.386425764302142</v>
      </c>
      <c r="L420" s="53" t="n">
        <f aca="false">$H$5</f>
        <v>0.279917629215756</v>
      </c>
      <c r="M420" s="53" t="n">
        <f aca="false">$H$8</f>
        <v>0.720507977601356</v>
      </c>
      <c r="N420" s="54" t="n">
        <f aca="false">IF(OR(F420&gt;J420,F420&lt;K420),1,0)</f>
        <v>0</v>
      </c>
      <c r="O420" s="54" t="n">
        <f aca="false">IF(G420&gt;M420,1,0)</f>
        <v>0</v>
      </c>
      <c r="P420" s="54" t="n">
        <f aca="false">SIGN(F420-I420)</f>
        <v>-1</v>
      </c>
      <c r="Q420" s="54" t="n">
        <f aca="false">IF(ABS(SUM(P413:P420))=8,1,0)</f>
        <v>0</v>
      </c>
    </row>
    <row r="421" customFormat="false" ht="15" hidden="false" customHeight="false" outlineLevel="0" collapsed="false">
      <c r="A421" s="52" t="n">
        <v>44460</v>
      </c>
      <c r="B421" s="53" t="n">
        <v>0.590309656166478</v>
      </c>
      <c r="C421" s="53" t="n">
        <v>0.812621119563981</v>
      </c>
      <c r="D421" s="53" t="n">
        <v>0.483009409062448</v>
      </c>
      <c r="E421" s="54" t="s">
        <v>946</v>
      </c>
      <c r="F421" s="53" t="n">
        <f aca="false">AVERAGE(B421:D421)</f>
        <v>0.628646728264302</v>
      </c>
      <c r="G421" s="53" t="n">
        <f aca="false">MAX(B421:D421)-MIN(B421:D421)</f>
        <v>0.329611710501533</v>
      </c>
      <c r="H421" s="54" t="n">
        <f aca="false">IF(AND(E421="Phase I",OR(F421&gt;$E$6,F421&lt;$E$7,G421&gt;$E$8)),1,0)</f>
        <v>0</v>
      </c>
      <c r="I421" s="53" t="n">
        <f aca="false">$H$4</f>
        <v>0.67278149898986</v>
      </c>
      <c r="J421" s="53" t="n">
        <f aca="false">$H$6</f>
        <v>0.959137233677579</v>
      </c>
      <c r="K421" s="53" t="n">
        <f aca="false">$H$7</f>
        <v>0.386425764302142</v>
      </c>
      <c r="L421" s="53" t="n">
        <f aca="false">$H$5</f>
        <v>0.279917629215756</v>
      </c>
      <c r="M421" s="53" t="n">
        <f aca="false">$H$8</f>
        <v>0.720507977601356</v>
      </c>
      <c r="N421" s="54" t="n">
        <f aca="false">IF(OR(F421&gt;J421,F421&lt;K421),1,0)</f>
        <v>0</v>
      </c>
      <c r="O421" s="54" t="n">
        <f aca="false">IF(G421&gt;M421,1,0)</f>
        <v>0</v>
      </c>
      <c r="P421" s="54" t="n">
        <f aca="false">SIGN(F421-I421)</f>
        <v>-1</v>
      </c>
      <c r="Q421" s="54" t="n">
        <f aca="false">IF(ABS(SUM(P414:P421))=8,1,0)</f>
        <v>0</v>
      </c>
    </row>
    <row r="422" customFormat="false" ht="15" hidden="false" customHeight="false" outlineLevel="0" collapsed="false">
      <c r="A422" s="52" t="n">
        <v>44461</v>
      </c>
      <c r="B422" s="53" t="n">
        <v>0.610433391750997</v>
      </c>
      <c r="C422" s="53" t="n">
        <v>0.757866888305398</v>
      </c>
      <c r="D422" s="53" t="n">
        <v>0.757632116872439</v>
      </c>
      <c r="E422" s="54" t="s">
        <v>946</v>
      </c>
      <c r="F422" s="53" t="n">
        <f aca="false">AVERAGE(B422:D422)</f>
        <v>0.708644132309611</v>
      </c>
      <c r="G422" s="53" t="n">
        <f aca="false">MAX(B422:D422)-MIN(B422:D422)</f>
        <v>0.147433496554401</v>
      </c>
      <c r="H422" s="54" t="n">
        <f aca="false">IF(AND(E422="Phase I",OR(F422&gt;$E$6,F422&lt;$E$7,G422&gt;$E$8)),1,0)</f>
        <v>0</v>
      </c>
      <c r="I422" s="53" t="n">
        <f aca="false">$H$4</f>
        <v>0.67278149898986</v>
      </c>
      <c r="J422" s="53" t="n">
        <f aca="false">$H$6</f>
        <v>0.959137233677579</v>
      </c>
      <c r="K422" s="53" t="n">
        <f aca="false">$H$7</f>
        <v>0.386425764302142</v>
      </c>
      <c r="L422" s="53" t="n">
        <f aca="false">$H$5</f>
        <v>0.279917629215756</v>
      </c>
      <c r="M422" s="53" t="n">
        <f aca="false">$H$8</f>
        <v>0.720507977601356</v>
      </c>
      <c r="N422" s="54" t="n">
        <f aca="false">IF(OR(F422&gt;J422,F422&lt;K422),1,0)</f>
        <v>0</v>
      </c>
      <c r="O422" s="54" t="n">
        <f aca="false">IF(G422&gt;M422,1,0)</f>
        <v>0</v>
      </c>
      <c r="P422" s="54" t="n">
        <f aca="false">SIGN(F422-I422)</f>
        <v>1</v>
      </c>
      <c r="Q422" s="54" t="n">
        <f aca="false">IF(ABS(SUM(P415:P422))=8,1,0)</f>
        <v>0</v>
      </c>
    </row>
    <row r="423" customFormat="false" ht="15" hidden="false" customHeight="false" outlineLevel="0" collapsed="false">
      <c r="A423" s="52" t="n">
        <v>44462</v>
      </c>
      <c r="B423" s="53" t="n">
        <v>0.640461207306995</v>
      </c>
      <c r="C423" s="53" t="n">
        <v>0.646584104148095</v>
      </c>
      <c r="D423" s="53" t="n">
        <v>0.613985619764613</v>
      </c>
      <c r="E423" s="54" t="s">
        <v>946</v>
      </c>
      <c r="F423" s="53" t="n">
        <f aca="false">AVERAGE(B423:D423)</f>
        <v>0.633676977073234</v>
      </c>
      <c r="G423" s="53" t="n">
        <f aca="false">MAX(B423:D423)-MIN(B423:D423)</f>
        <v>0.0325984843834821</v>
      </c>
      <c r="H423" s="54" t="n">
        <f aca="false">IF(AND(E423="Phase I",OR(F423&gt;$E$6,F423&lt;$E$7,G423&gt;$E$8)),1,0)</f>
        <v>0</v>
      </c>
      <c r="I423" s="53" t="n">
        <f aca="false">$H$4</f>
        <v>0.67278149898986</v>
      </c>
      <c r="J423" s="53" t="n">
        <f aca="false">$H$6</f>
        <v>0.959137233677579</v>
      </c>
      <c r="K423" s="53" t="n">
        <f aca="false">$H$7</f>
        <v>0.386425764302142</v>
      </c>
      <c r="L423" s="53" t="n">
        <f aca="false">$H$5</f>
        <v>0.279917629215756</v>
      </c>
      <c r="M423" s="53" t="n">
        <f aca="false">$H$8</f>
        <v>0.720507977601356</v>
      </c>
      <c r="N423" s="54" t="n">
        <f aca="false">IF(OR(F423&gt;J423,F423&lt;K423),1,0)</f>
        <v>0</v>
      </c>
      <c r="O423" s="54" t="n">
        <f aca="false">IF(G423&gt;M423,1,0)</f>
        <v>0</v>
      </c>
      <c r="P423" s="54" t="n">
        <f aca="false">SIGN(F423-I423)</f>
        <v>-1</v>
      </c>
      <c r="Q423" s="54" t="n">
        <f aca="false">IF(ABS(SUM(P416:P423))=8,1,0)</f>
        <v>0</v>
      </c>
    </row>
    <row r="424" customFormat="false" ht="15" hidden="false" customHeight="false" outlineLevel="0" collapsed="false">
      <c r="A424" s="52" t="n">
        <v>44463</v>
      </c>
      <c r="B424" s="53" t="n">
        <v>0.665472312756634</v>
      </c>
      <c r="C424" s="53" t="n">
        <v>0.898612276163108</v>
      </c>
      <c r="D424" s="53" t="n">
        <v>0.623889490484156</v>
      </c>
      <c r="E424" s="54" t="s">
        <v>946</v>
      </c>
      <c r="F424" s="53" t="n">
        <f aca="false">AVERAGE(B424:D424)</f>
        <v>0.729324693134633</v>
      </c>
      <c r="G424" s="53" t="n">
        <f aca="false">MAX(B424:D424)-MIN(B424:D424)</f>
        <v>0.274722785678952</v>
      </c>
      <c r="H424" s="54" t="n">
        <f aca="false">IF(AND(E424="Phase I",OR(F424&gt;$E$6,F424&lt;$E$7,G424&gt;$E$8)),1,0)</f>
        <v>0</v>
      </c>
      <c r="I424" s="53" t="n">
        <f aca="false">$H$4</f>
        <v>0.67278149898986</v>
      </c>
      <c r="J424" s="53" t="n">
        <f aca="false">$H$6</f>
        <v>0.959137233677579</v>
      </c>
      <c r="K424" s="53" t="n">
        <f aca="false">$H$7</f>
        <v>0.386425764302142</v>
      </c>
      <c r="L424" s="53" t="n">
        <f aca="false">$H$5</f>
        <v>0.279917629215756</v>
      </c>
      <c r="M424" s="53" t="n">
        <f aca="false">$H$8</f>
        <v>0.720507977601356</v>
      </c>
      <c r="N424" s="54" t="n">
        <f aca="false">IF(OR(F424&gt;J424,F424&lt;K424),1,0)</f>
        <v>0</v>
      </c>
      <c r="O424" s="54" t="n">
        <f aca="false">IF(G424&gt;M424,1,0)</f>
        <v>0</v>
      </c>
      <c r="P424" s="54" t="n">
        <f aca="false">SIGN(F424-I424)</f>
        <v>1</v>
      </c>
      <c r="Q424" s="54" t="n">
        <f aca="false">IF(ABS(SUM(P417:P424))=8,1,0)</f>
        <v>0</v>
      </c>
    </row>
    <row r="425" customFormat="false" ht="15" hidden="false" customHeight="false" outlineLevel="0" collapsed="false">
      <c r="A425" s="52" t="n">
        <v>44466</v>
      </c>
      <c r="B425" s="53" t="n">
        <v>0.760964253787404</v>
      </c>
      <c r="C425" s="53" t="n">
        <v>0.578414800680319</v>
      </c>
      <c r="D425" s="53" t="n">
        <v>0.725312658269624</v>
      </c>
      <c r="E425" s="54" t="s">
        <v>946</v>
      </c>
      <c r="F425" s="53" t="n">
        <f aca="false">AVERAGE(B425:D425)</f>
        <v>0.688230570912449</v>
      </c>
      <c r="G425" s="53" t="n">
        <f aca="false">MAX(B425:D425)-MIN(B425:D425)</f>
        <v>0.182549453107086</v>
      </c>
      <c r="H425" s="54" t="n">
        <f aca="false">IF(AND(E425="Phase I",OR(F425&gt;$E$6,F425&lt;$E$7,G425&gt;$E$8)),1,0)</f>
        <v>0</v>
      </c>
      <c r="I425" s="53" t="n">
        <f aca="false">$H$4</f>
        <v>0.67278149898986</v>
      </c>
      <c r="J425" s="53" t="n">
        <f aca="false">$H$6</f>
        <v>0.959137233677579</v>
      </c>
      <c r="K425" s="53" t="n">
        <f aca="false">$H$7</f>
        <v>0.386425764302142</v>
      </c>
      <c r="L425" s="53" t="n">
        <f aca="false">$H$5</f>
        <v>0.279917629215756</v>
      </c>
      <c r="M425" s="53" t="n">
        <f aca="false">$H$8</f>
        <v>0.720507977601356</v>
      </c>
      <c r="N425" s="54" t="n">
        <f aca="false">IF(OR(F425&gt;J425,F425&lt;K425),1,0)</f>
        <v>0</v>
      </c>
      <c r="O425" s="54" t="n">
        <f aca="false">IF(G425&gt;M425,1,0)</f>
        <v>0</v>
      </c>
      <c r="P425" s="54" t="n">
        <f aca="false">SIGN(F425-I425)</f>
        <v>1</v>
      </c>
      <c r="Q425" s="54" t="n">
        <f aca="false">IF(ABS(SUM(P418:P425))=8,1,0)</f>
        <v>0</v>
      </c>
    </row>
    <row r="426" customFormat="false" ht="15" hidden="false" customHeight="false" outlineLevel="0" collapsed="false">
      <c r="A426" s="52" t="n">
        <v>44467</v>
      </c>
      <c r="B426" s="53" t="n">
        <v>0.518386134228272</v>
      </c>
      <c r="C426" s="53" t="n">
        <v>0.814098399628596</v>
      </c>
      <c r="D426" s="53" t="n">
        <v>0.154949108627493</v>
      </c>
      <c r="E426" s="54" t="s">
        <v>946</v>
      </c>
      <c r="F426" s="53" t="n">
        <f aca="false">AVERAGE(B426:D426)</f>
        <v>0.495811214161453</v>
      </c>
      <c r="G426" s="53" t="n">
        <f aca="false">MAX(B426:D426)-MIN(B426:D426)</f>
        <v>0.659149291001103</v>
      </c>
      <c r="H426" s="54" t="n">
        <f aca="false">IF(AND(E426="Phase I",OR(F426&gt;$E$6,F426&lt;$E$7,G426&gt;$E$8)),1,0)</f>
        <v>0</v>
      </c>
      <c r="I426" s="53" t="n">
        <f aca="false">$H$4</f>
        <v>0.67278149898986</v>
      </c>
      <c r="J426" s="53" t="n">
        <f aca="false">$H$6</f>
        <v>0.959137233677579</v>
      </c>
      <c r="K426" s="53" t="n">
        <f aca="false">$H$7</f>
        <v>0.386425764302142</v>
      </c>
      <c r="L426" s="53" t="n">
        <f aca="false">$H$5</f>
        <v>0.279917629215756</v>
      </c>
      <c r="M426" s="53" t="n">
        <f aca="false">$H$8</f>
        <v>0.720507977601356</v>
      </c>
      <c r="N426" s="54" t="n">
        <f aca="false">IF(OR(F426&gt;J426,F426&lt;K426),1,0)</f>
        <v>0</v>
      </c>
      <c r="O426" s="54" t="n">
        <f aca="false">IF(G426&gt;M426,1,0)</f>
        <v>0</v>
      </c>
      <c r="P426" s="54" t="n">
        <f aca="false">SIGN(F426-I426)</f>
        <v>-1</v>
      </c>
      <c r="Q426" s="54" t="n">
        <f aca="false">IF(ABS(SUM(P419:P426))=8,1,0)</f>
        <v>0</v>
      </c>
    </row>
    <row r="427" customFormat="false" ht="15" hidden="false" customHeight="false" outlineLevel="0" collapsed="false">
      <c r="A427" s="52" t="n">
        <v>44469</v>
      </c>
      <c r="B427" s="53" t="n">
        <v>0.752677148055723</v>
      </c>
      <c r="C427" s="53" t="n">
        <v>0.830068928198881</v>
      </c>
      <c r="D427" s="53" t="n">
        <v>0.425593302423714</v>
      </c>
      <c r="E427" s="54" t="s">
        <v>946</v>
      </c>
      <c r="F427" s="53" t="n">
        <f aca="false">AVERAGE(B427:D427)</f>
        <v>0.66944645955944</v>
      </c>
      <c r="G427" s="53" t="n">
        <f aca="false">MAX(B427:D427)-MIN(B427:D427)</f>
        <v>0.404475625775166</v>
      </c>
      <c r="H427" s="54" t="n">
        <f aca="false">IF(AND(E427="Phase I",OR(F427&gt;$E$6,F427&lt;$E$7,G427&gt;$E$8)),1,0)</f>
        <v>0</v>
      </c>
      <c r="I427" s="53" t="n">
        <f aca="false">$H$4</f>
        <v>0.67278149898986</v>
      </c>
      <c r="J427" s="53" t="n">
        <f aca="false">$H$6</f>
        <v>0.959137233677579</v>
      </c>
      <c r="K427" s="53" t="n">
        <f aca="false">$H$7</f>
        <v>0.386425764302142</v>
      </c>
      <c r="L427" s="53" t="n">
        <f aca="false">$H$5</f>
        <v>0.279917629215756</v>
      </c>
      <c r="M427" s="53" t="n">
        <f aca="false">$H$8</f>
        <v>0.720507977601356</v>
      </c>
      <c r="N427" s="54" t="n">
        <f aca="false">IF(OR(F427&gt;J427,F427&lt;K427),1,0)</f>
        <v>0</v>
      </c>
      <c r="O427" s="54" t="n">
        <f aca="false">IF(G427&gt;M427,1,0)</f>
        <v>0</v>
      </c>
      <c r="P427" s="54" t="n">
        <f aca="false">SIGN(F427-I427)</f>
        <v>-1</v>
      </c>
      <c r="Q427" s="54" t="n">
        <f aca="false">IF(ABS(SUM(P420:P427))=8,1,0)</f>
        <v>0</v>
      </c>
    </row>
    <row r="428" customFormat="false" ht="15" hidden="false" customHeight="false" outlineLevel="0" collapsed="false">
      <c r="A428" s="52" t="n">
        <v>44470</v>
      </c>
      <c r="B428" s="53" t="n">
        <v>0.415778032163423</v>
      </c>
      <c r="C428" s="53" t="n">
        <v>0.775508115046831</v>
      </c>
      <c r="D428" s="53" t="n">
        <v>0.703059040915463</v>
      </c>
      <c r="E428" s="54" t="s">
        <v>946</v>
      </c>
      <c r="F428" s="53" t="n">
        <f aca="false">AVERAGE(B428:D428)</f>
        <v>0.631448396041906</v>
      </c>
      <c r="G428" s="53" t="n">
        <f aca="false">MAX(B428:D428)-MIN(B428:D428)</f>
        <v>0.359730082883408</v>
      </c>
      <c r="H428" s="54" t="n">
        <f aca="false">IF(AND(E428="Phase I",OR(F428&gt;$E$6,F428&lt;$E$7,G428&gt;$E$8)),1,0)</f>
        <v>0</v>
      </c>
      <c r="I428" s="53" t="n">
        <f aca="false">$H$4</f>
        <v>0.67278149898986</v>
      </c>
      <c r="J428" s="53" t="n">
        <f aca="false">$H$6</f>
        <v>0.959137233677579</v>
      </c>
      <c r="K428" s="53" t="n">
        <f aca="false">$H$7</f>
        <v>0.386425764302142</v>
      </c>
      <c r="L428" s="53" t="n">
        <f aca="false">$H$5</f>
        <v>0.279917629215756</v>
      </c>
      <c r="M428" s="53" t="n">
        <f aca="false">$H$8</f>
        <v>0.720507977601356</v>
      </c>
      <c r="N428" s="54" t="n">
        <f aca="false">IF(OR(F428&gt;J428,F428&lt;K428),1,0)</f>
        <v>0</v>
      </c>
      <c r="O428" s="54" t="n">
        <f aca="false">IF(G428&gt;M428,1,0)</f>
        <v>0</v>
      </c>
      <c r="P428" s="54" t="n">
        <f aca="false">SIGN(F428-I428)</f>
        <v>-1</v>
      </c>
      <c r="Q428" s="54" t="n">
        <f aca="false">IF(ABS(SUM(P421:P428))=8,1,0)</f>
        <v>0</v>
      </c>
    </row>
    <row r="429" customFormat="false" ht="15" hidden="false" customHeight="false" outlineLevel="0" collapsed="false">
      <c r="A429" s="52" t="n">
        <v>44471</v>
      </c>
      <c r="B429" s="53" t="n">
        <v>0.701771036470009</v>
      </c>
      <c r="C429" s="53" t="n">
        <v>0.479511214357303</v>
      </c>
      <c r="D429" s="53" t="n">
        <v>0</v>
      </c>
      <c r="E429" s="54" t="s">
        <v>946</v>
      </c>
      <c r="F429" s="53" t="n">
        <f aca="false">AVERAGE(B429:D429)</f>
        <v>0.39376075027577</v>
      </c>
      <c r="G429" s="53" t="n">
        <f aca="false">MAX(B429:D429)-MIN(B429:D429)</f>
        <v>0.701771036470009</v>
      </c>
      <c r="H429" s="54" t="n">
        <f aca="false">IF(AND(E429="Phase I",OR(F429&gt;$E$6,F429&lt;$E$7,G429&gt;$E$8)),1,0)</f>
        <v>0</v>
      </c>
      <c r="I429" s="53" t="n">
        <f aca="false">$H$4</f>
        <v>0.67278149898986</v>
      </c>
      <c r="J429" s="53" t="n">
        <f aca="false">$H$6</f>
        <v>0.959137233677579</v>
      </c>
      <c r="K429" s="53" t="n">
        <f aca="false">$H$7</f>
        <v>0.386425764302142</v>
      </c>
      <c r="L429" s="53" t="n">
        <f aca="false">$H$5</f>
        <v>0.279917629215756</v>
      </c>
      <c r="M429" s="53" t="n">
        <f aca="false">$H$8</f>
        <v>0.720507977601356</v>
      </c>
      <c r="N429" s="54" t="n">
        <f aca="false">IF(OR(F429&gt;J429,F429&lt;K429),1,0)</f>
        <v>0</v>
      </c>
      <c r="O429" s="54" t="n">
        <f aca="false">IF(G429&gt;M429,1,0)</f>
        <v>0</v>
      </c>
      <c r="P429" s="54" t="n">
        <f aca="false">SIGN(F429-I429)</f>
        <v>-1</v>
      </c>
      <c r="Q429" s="54" t="n">
        <f aca="false">IF(ABS(SUM(P422:P429))=8,1,0)</f>
        <v>0</v>
      </c>
    </row>
    <row r="430" customFormat="false" ht="15" hidden="false" customHeight="false" outlineLevel="0" collapsed="false">
      <c r="A430" s="52" t="n">
        <v>44472</v>
      </c>
      <c r="B430" s="53" t="n">
        <v>0.442772397347934</v>
      </c>
      <c r="C430" s="53" t="n">
        <v>0.73517249931754</v>
      </c>
      <c r="D430" s="53" t="n">
        <v>0.832162404891065</v>
      </c>
      <c r="E430" s="54" t="s">
        <v>946</v>
      </c>
      <c r="F430" s="53" t="n">
        <f aca="false">AVERAGE(B430:D430)</f>
        <v>0.670035767185513</v>
      </c>
      <c r="G430" s="53" t="n">
        <f aca="false">MAX(B430:D430)-MIN(B430:D430)</f>
        <v>0.389390007543131</v>
      </c>
      <c r="H430" s="54" t="n">
        <f aca="false">IF(AND(E430="Phase I",OR(F430&gt;$E$6,F430&lt;$E$7,G430&gt;$E$8)),1,0)</f>
        <v>0</v>
      </c>
      <c r="I430" s="53" t="n">
        <f aca="false">$H$4</f>
        <v>0.67278149898986</v>
      </c>
      <c r="J430" s="53" t="n">
        <f aca="false">$H$6</f>
        <v>0.959137233677579</v>
      </c>
      <c r="K430" s="53" t="n">
        <f aca="false">$H$7</f>
        <v>0.386425764302142</v>
      </c>
      <c r="L430" s="53" t="n">
        <f aca="false">$H$5</f>
        <v>0.279917629215756</v>
      </c>
      <c r="M430" s="53" t="n">
        <f aca="false">$H$8</f>
        <v>0.720507977601356</v>
      </c>
      <c r="N430" s="54" t="n">
        <f aca="false">IF(OR(F430&gt;J430,F430&lt;K430),1,0)</f>
        <v>0</v>
      </c>
      <c r="O430" s="54" t="n">
        <f aca="false">IF(G430&gt;M430,1,0)</f>
        <v>0</v>
      </c>
      <c r="P430" s="54" t="n">
        <f aca="false">SIGN(F430-I430)</f>
        <v>-1</v>
      </c>
      <c r="Q430" s="54" t="n">
        <f aca="false">IF(ABS(SUM(P423:P430))=8,1,0)</f>
        <v>0</v>
      </c>
    </row>
    <row r="431" customFormat="false" ht="15" hidden="false" customHeight="false" outlineLevel="0" collapsed="false">
      <c r="A431" s="52" t="n">
        <v>44473</v>
      </c>
      <c r="B431" s="53" t="n">
        <v>0.638981880441803</v>
      </c>
      <c r="C431" s="53" t="n">
        <v>0.654374420443783</v>
      </c>
      <c r="D431" s="53" t="n">
        <v>0.838648228877866</v>
      </c>
      <c r="E431" s="54" t="s">
        <v>946</v>
      </c>
      <c r="F431" s="53" t="n">
        <f aca="false">AVERAGE(B431:D431)</f>
        <v>0.710668176587818</v>
      </c>
      <c r="G431" s="53" t="n">
        <f aca="false">MAX(B431:D431)-MIN(B431:D431)</f>
        <v>0.199666348436063</v>
      </c>
      <c r="H431" s="54" t="n">
        <f aca="false">IF(AND(E431="Phase I",OR(F431&gt;$E$6,F431&lt;$E$7,G431&gt;$E$8)),1,0)</f>
        <v>0</v>
      </c>
      <c r="I431" s="53" t="n">
        <f aca="false">$H$4</f>
        <v>0.67278149898986</v>
      </c>
      <c r="J431" s="53" t="n">
        <f aca="false">$H$6</f>
        <v>0.959137233677579</v>
      </c>
      <c r="K431" s="53" t="n">
        <f aca="false">$H$7</f>
        <v>0.386425764302142</v>
      </c>
      <c r="L431" s="53" t="n">
        <f aca="false">$H$5</f>
        <v>0.279917629215756</v>
      </c>
      <c r="M431" s="53" t="n">
        <f aca="false">$H$8</f>
        <v>0.720507977601356</v>
      </c>
      <c r="N431" s="54" t="n">
        <f aca="false">IF(OR(F431&gt;J431,F431&lt;K431),1,0)</f>
        <v>0</v>
      </c>
      <c r="O431" s="54" t="n">
        <f aca="false">IF(G431&gt;M431,1,0)</f>
        <v>0</v>
      </c>
      <c r="P431" s="54" t="n">
        <f aca="false">SIGN(F431-I431)</f>
        <v>1</v>
      </c>
      <c r="Q431" s="54" t="n">
        <f aca="false">IF(ABS(SUM(P424:P431))=8,1,0)</f>
        <v>0</v>
      </c>
    </row>
    <row r="432" customFormat="false" ht="15" hidden="false" customHeight="false" outlineLevel="0" collapsed="false">
      <c r="A432" s="52" t="n">
        <v>44474</v>
      </c>
      <c r="B432" s="53" t="n">
        <v>0.639973303007102</v>
      </c>
      <c r="C432" s="53" t="n">
        <v>0.726125172653274</v>
      </c>
      <c r="D432" s="53" t="n">
        <v>0.259160425828325</v>
      </c>
      <c r="E432" s="54" t="s">
        <v>946</v>
      </c>
      <c r="F432" s="53" t="n">
        <f aca="false">AVERAGE(B432:D432)</f>
        <v>0.5417529671629</v>
      </c>
      <c r="G432" s="53" t="n">
        <f aca="false">MAX(B432:D432)-MIN(B432:D432)</f>
        <v>0.466964746824948</v>
      </c>
      <c r="H432" s="54" t="n">
        <f aca="false">IF(AND(E432="Phase I",OR(F432&gt;$E$6,F432&lt;$E$7,G432&gt;$E$8)),1,0)</f>
        <v>0</v>
      </c>
      <c r="I432" s="53" t="n">
        <f aca="false">$H$4</f>
        <v>0.67278149898986</v>
      </c>
      <c r="J432" s="53" t="n">
        <f aca="false">$H$6</f>
        <v>0.959137233677579</v>
      </c>
      <c r="K432" s="53" t="n">
        <f aca="false">$H$7</f>
        <v>0.386425764302142</v>
      </c>
      <c r="L432" s="53" t="n">
        <f aca="false">$H$5</f>
        <v>0.279917629215756</v>
      </c>
      <c r="M432" s="53" t="n">
        <f aca="false">$H$8</f>
        <v>0.720507977601356</v>
      </c>
      <c r="N432" s="54" t="n">
        <f aca="false">IF(OR(F432&gt;J432,F432&lt;K432),1,0)</f>
        <v>0</v>
      </c>
      <c r="O432" s="54" t="n">
        <f aca="false">IF(G432&gt;M432,1,0)</f>
        <v>0</v>
      </c>
      <c r="P432" s="54" t="n">
        <f aca="false">SIGN(F432-I432)</f>
        <v>-1</v>
      </c>
      <c r="Q432" s="54" t="n">
        <f aca="false">IF(ABS(SUM(P425:P432))=8,1,0)</f>
        <v>0</v>
      </c>
    </row>
    <row r="433" customFormat="false" ht="15" hidden="false" customHeight="false" outlineLevel="0" collapsed="false">
      <c r="A433" s="52" t="n">
        <v>44475</v>
      </c>
      <c r="B433" s="53" t="n">
        <v>0.164269525088347</v>
      </c>
      <c r="C433" s="53" t="n">
        <v>0.402030967313686</v>
      </c>
      <c r="D433" s="53" t="n">
        <v>0.756870333438713</v>
      </c>
      <c r="E433" s="54" t="s">
        <v>946</v>
      </c>
      <c r="F433" s="53" t="n">
        <f aca="false">AVERAGE(B433:D433)</f>
        <v>0.441056941946915</v>
      </c>
      <c r="G433" s="53" t="n">
        <f aca="false">MAX(B433:D433)-MIN(B433:D433)</f>
        <v>0.592600808350366</v>
      </c>
      <c r="H433" s="54" t="n">
        <f aca="false">IF(AND(E433="Phase I",OR(F433&gt;$E$6,F433&lt;$E$7,G433&gt;$E$8)),1,0)</f>
        <v>0</v>
      </c>
      <c r="I433" s="53" t="n">
        <f aca="false">$H$4</f>
        <v>0.67278149898986</v>
      </c>
      <c r="J433" s="53" t="n">
        <f aca="false">$H$6</f>
        <v>0.959137233677579</v>
      </c>
      <c r="K433" s="53" t="n">
        <f aca="false">$H$7</f>
        <v>0.386425764302142</v>
      </c>
      <c r="L433" s="53" t="n">
        <f aca="false">$H$5</f>
        <v>0.279917629215756</v>
      </c>
      <c r="M433" s="53" t="n">
        <f aca="false">$H$8</f>
        <v>0.720507977601356</v>
      </c>
      <c r="N433" s="54" t="n">
        <f aca="false">IF(OR(F433&gt;J433,F433&lt;K433),1,0)</f>
        <v>0</v>
      </c>
      <c r="O433" s="54" t="n">
        <f aca="false">IF(G433&gt;M433,1,0)</f>
        <v>0</v>
      </c>
      <c r="P433" s="54" t="n">
        <f aca="false">SIGN(F433-I433)</f>
        <v>-1</v>
      </c>
      <c r="Q433" s="54" t="n">
        <f aca="false">IF(ABS(SUM(P426:P433))=8,1,0)</f>
        <v>0</v>
      </c>
    </row>
    <row r="434" customFormat="false" ht="15" hidden="false" customHeight="false" outlineLevel="0" collapsed="false">
      <c r="A434" s="52" t="n">
        <v>44476</v>
      </c>
      <c r="B434" s="53" t="n">
        <v>0.674798016454308</v>
      </c>
      <c r="C434" s="53" t="n">
        <v>0.659409989512863</v>
      </c>
      <c r="D434" s="53" t="n">
        <v>0.372939769984455</v>
      </c>
      <c r="E434" s="54" t="s">
        <v>946</v>
      </c>
      <c r="F434" s="53" t="n">
        <f aca="false">AVERAGE(B434:D434)</f>
        <v>0.569049258650542</v>
      </c>
      <c r="G434" s="53" t="n">
        <f aca="false">MAX(B434:D434)-MIN(B434:D434)</f>
        <v>0.301858246469853</v>
      </c>
      <c r="H434" s="54" t="n">
        <f aca="false">IF(AND(E434="Phase I",OR(F434&gt;$E$6,F434&lt;$E$7,G434&gt;$E$8)),1,0)</f>
        <v>0</v>
      </c>
      <c r="I434" s="53" t="n">
        <f aca="false">$H$4</f>
        <v>0.67278149898986</v>
      </c>
      <c r="J434" s="53" t="n">
        <f aca="false">$H$6</f>
        <v>0.959137233677579</v>
      </c>
      <c r="K434" s="53" t="n">
        <f aca="false">$H$7</f>
        <v>0.386425764302142</v>
      </c>
      <c r="L434" s="53" t="n">
        <f aca="false">$H$5</f>
        <v>0.279917629215756</v>
      </c>
      <c r="M434" s="53" t="n">
        <f aca="false">$H$8</f>
        <v>0.720507977601356</v>
      </c>
      <c r="N434" s="54" t="n">
        <f aca="false">IF(OR(F434&gt;J434,F434&lt;K434),1,0)</f>
        <v>0</v>
      </c>
      <c r="O434" s="54" t="n">
        <f aca="false">IF(G434&gt;M434,1,0)</f>
        <v>0</v>
      </c>
      <c r="P434" s="54" t="n">
        <f aca="false">SIGN(F434-I434)</f>
        <v>-1</v>
      </c>
      <c r="Q434" s="54" t="n">
        <f aca="false">IF(ABS(SUM(P427:P434))=8,1,0)</f>
        <v>0</v>
      </c>
    </row>
    <row r="435" customFormat="false" ht="15" hidden="false" customHeight="false" outlineLevel="0" collapsed="false">
      <c r="A435" s="52" t="n">
        <v>44477</v>
      </c>
      <c r="B435" s="53" t="n">
        <v>0.638312093356894</v>
      </c>
      <c r="C435" s="53" t="n">
        <v>0.652048504845184</v>
      </c>
      <c r="D435" s="53" t="n">
        <v>0.75692837127954</v>
      </c>
      <c r="E435" s="54" t="s">
        <v>946</v>
      </c>
      <c r="F435" s="53" t="n">
        <f aca="false">AVERAGE(B435:D435)</f>
        <v>0.682429656493873</v>
      </c>
      <c r="G435" s="53" t="n">
        <f aca="false">MAX(B435:D435)-MIN(B435:D435)</f>
        <v>0.118616277922646</v>
      </c>
      <c r="H435" s="54" t="n">
        <f aca="false">IF(AND(E435="Phase I",OR(F435&gt;$E$6,F435&lt;$E$7,G435&gt;$E$8)),1,0)</f>
        <v>0</v>
      </c>
      <c r="I435" s="53" t="n">
        <f aca="false">$H$4</f>
        <v>0.67278149898986</v>
      </c>
      <c r="J435" s="53" t="n">
        <f aca="false">$H$6</f>
        <v>0.959137233677579</v>
      </c>
      <c r="K435" s="53" t="n">
        <f aca="false">$H$7</f>
        <v>0.386425764302142</v>
      </c>
      <c r="L435" s="53" t="n">
        <f aca="false">$H$5</f>
        <v>0.279917629215756</v>
      </c>
      <c r="M435" s="53" t="n">
        <f aca="false">$H$8</f>
        <v>0.720507977601356</v>
      </c>
      <c r="N435" s="54" t="n">
        <f aca="false">IF(OR(F435&gt;J435,F435&lt;K435),1,0)</f>
        <v>0</v>
      </c>
      <c r="O435" s="54" t="n">
        <f aca="false">IF(G435&gt;M435,1,0)</f>
        <v>0</v>
      </c>
      <c r="P435" s="54" t="n">
        <f aca="false">SIGN(F435-I435)</f>
        <v>1</v>
      </c>
      <c r="Q435" s="54" t="n">
        <f aca="false">IF(ABS(SUM(P428:P435))=8,1,0)</f>
        <v>0</v>
      </c>
    </row>
    <row r="436" customFormat="false" ht="15" hidden="false" customHeight="false" outlineLevel="0" collapsed="false">
      <c r="A436" s="52" t="n">
        <v>44486</v>
      </c>
      <c r="B436" s="53" t="n">
        <v>0.2605317467029</v>
      </c>
      <c r="C436" s="53" t="n">
        <v>0.529476389959133</v>
      </c>
      <c r="D436" s="53" t="n">
        <v>0.639633968370488</v>
      </c>
      <c r="E436" s="54" t="s">
        <v>946</v>
      </c>
      <c r="F436" s="53" t="n">
        <f aca="false">AVERAGE(B436:D436)</f>
        <v>0.476547368344174</v>
      </c>
      <c r="G436" s="53" t="n">
        <f aca="false">MAX(B436:D436)-MIN(B436:D436)</f>
        <v>0.379102221667589</v>
      </c>
      <c r="H436" s="54" t="n">
        <f aca="false">IF(AND(E436="Phase I",OR(F436&gt;$E$6,F436&lt;$E$7,G436&gt;$E$8)),1,0)</f>
        <v>0</v>
      </c>
      <c r="I436" s="53" t="n">
        <f aca="false">$H$4</f>
        <v>0.67278149898986</v>
      </c>
      <c r="J436" s="53" t="n">
        <f aca="false">$H$6</f>
        <v>0.959137233677579</v>
      </c>
      <c r="K436" s="53" t="n">
        <f aca="false">$H$7</f>
        <v>0.386425764302142</v>
      </c>
      <c r="L436" s="53" t="n">
        <f aca="false">$H$5</f>
        <v>0.279917629215756</v>
      </c>
      <c r="M436" s="53" t="n">
        <f aca="false">$H$8</f>
        <v>0.720507977601356</v>
      </c>
      <c r="N436" s="54" t="n">
        <f aca="false">IF(OR(F436&gt;J436,F436&lt;K436),1,0)</f>
        <v>0</v>
      </c>
      <c r="O436" s="54" t="n">
        <f aca="false">IF(G436&gt;M436,1,0)</f>
        <v>0</v>
      </c>
      <c r="P436" s="54" t="n">
        <f aca="false">SIGN(F436-I436)</f>
        <v>-1</v>
      </c>
      <c r="Q436" s="54" t="n">
        <f aca="false">IF(ABS(SUM(P429:P436))=8,1,0)</f>
        <v>0</v>
      </c>
    </row>
    <row r="437" customFormat="false" ht="15" hidden="false" customHeight="false" outlineLevel="0" collapsed="false">
      <c r="A437" s="52" t="n">
        <v>44487</v>
      </c>
      <c r="B437" s="53" t="n">
        <v>0.55670544321368</v>
      </c>
      <c r="C437" s="53" t="n">
        <v>0.550622733036018</v>
      </c>
      <c r="D437" s="53" t="n">
        <v>0.713810527048332</v>
      </c>
      <c r="E437" s="54" t="s">
        <v>946</v>
      </c>
      <c r="F437" s="53" t="n">
        <f aca="false">AVERAGE(B437:D437)</f>
        <v>0.607046234432677</v>
      </c>
      <c r="G437" s="53" t="n">
        <f aca="false">MAX(B437:D437)-MIN(B437:D437)</f>
        <v>0.163187794012314</v>
      </c>
      <c r="H437" s="54" t="n">
        <f aca="false">IF(AND(E437="Phase I",OR(F437&gt;$E$6,F437&lt;$E$7,G437&gt;$E$8)),1,0)</f>
        <v>0</v>
      </c>
      <c r="I437" s="53" t="n">
        <f aca="false">$H$4</f>
        <v>0.67278149898986</v>
      </c>
      <c r="J437" s="53" t="n">
        <f aca="false">$H$6</f>
        <v>0.959137233677579</v>
      </c>
      <c r="K437" s="53" t="n">
        <f aca="false">$H$7</f>
        <v>0.386425764302142</v>
      </c>
      <c r="L437" s="53" t="n">
        <f aca="false">$H$5</f>
        <v>0.279917629215756</v>
      </c>
      <c r="M437" s="53" t="n">
        <f aca="false">$H$8</f>
        <v>0.720507977601356</v>
      </c>
      <c r="N437" s="54" t="n">
        <f aca="false">IF(OR(F437&gt;J437,F437&lt;K437),1,0)</f>
        <v>0</v>
      </c>
      <c r="O437" s="54" t="n">
        <f aca="false">IF(G437&gt;M437,1,0)</f>
        <v>0</v>
      </c>
      <c r="P437" s="54" t="n">
        <f aca="false">SIGN(F437-I437)</f>
        <v>-1</v>
      </c>
      <c r="Q437" s="54" t="n">
        <f aca="false">IF(ABS(SUM(P430:P437))=8,1,0)</f>
        <v>0</v>
      </c>
    </row>
    <row r="438" customFormat="false" ht="15" hidden="false" customHeight="false" outlineLevel="0" collapsed="false">
      <c r="A438" s="52" t="n">
        <v>44488</v>
      </c>
      <c r="B438" s="53" t="n">
        <v>0.662825264584934</v>
      </c>
      <c r="C438" s="53" t="n">
        <v>0.55921329853977</v>
      </c>
      <c r="D438" s="53" t="n">
        <v>0.498425501516071</v>
      </c>
      <c r="E438" s="54" t="s">
        <v>946</v>
      </c>
      <c r="F438" s="53" t="n">
        <f aca="false">AVERAGE(B438:D438)</f>
        <v>0.573488021546925</v>
      </c>
      <c r="G438" s="53" t="n">
        <f aca="false">MAX(B438:D438)-MIN(B438:D438)</f>
        <v>0.164399763068863</v>
      </c>
      <c r="H438" s="54" t="n">
        <f aca="false">IF(AND(E438="Phase I",OR(F438&gt;$E$6,F438&lt;$E$7,G438&gt;$E$8)),1,0)</f>
        <v>0</v>
      </c>
      <c r="I438" s="53" t="n">
        <f aca="false">$H$4</f>
        <v>0.67278149898986</v>
      </c>
      <c r="J438" s="53" t="n">
        <f aca="false">$H$6</f>
        <v>0.959137233677579</v>
      </c>
      <c r="K438" s="53" t="n">
        <f aca="false">$H$7</f>
        <v>0.386425764302142</v>
      </c>
      <c r="L438" s="53" t="n">
        <f aca="false">$H$5</f>
        <v>0.279917629215756</v>
      </c>
      <c r="M438" s="53" t="n">
        <f aca="false">$H$8</f>
        <v>0.720507977601356</v>
      </c>
      <c r="N438" s="54" t="n">
        <f aca="false">IF(OR(F438&gt;J438,F438&lt;K438),1,0)</f>
        <v>0</v>
      </c>
      <c r="O438" s="54" t="n">
        <f aca="false">IF(G438&gt;M438,1,0)</f>
        <v>0</v>
      </c>
      <c r="P438" s="54" t="n">
        <f aca="false">SIGN(F438-I438)</f>
        <v>-1</v>
      </c>
      <c r="Q438" s="54" t="n">
        <f aca="false">IF(ABS(SUM(P431:P438))=8,1,0)</f>
        <v>0</v>
      </c>
    </row>
    <row r="439" customFormat="false" ht="15" hidden="false" customHeight="false" outlineLevel="0" collapsed="false">
      <c r="A439" s="52" t="n">
        <v>44489</v>
      </c>
      <c r="B439" s="53" t="n">
        <v>0.544386160890558</v>
      </c>
      <c r="C439" s="53" t="n">
        <v>0.670944120639833</v>
      </c>
      <c r="D439" s="53" t="n">
        <v>0.672783132167529</v>
      </c>
      <c r="E439" s="54" t="s">
        <v>946</v>
      </c>
      <c r="F439" s="53" t="n">
        <f aca="false">AVERAGE(B439:D439)</f>
        <v>0.629371137899306</v>
      </c>
      <c r="G439" s="53" t="n">
        <f aca="false">MAX(B439:D439)-MIN(B439:D439)</f>
        <v>0.128396971276971</v>
      </c>
      <c r="H439" s="54" t="n">
        <f aca="false">IF(AND(E439="Phase I",OR(F439&gt;$E$6,F439&lt;$E$7,G439&gt;$E$8)),1,0)</f>
        <v>0</v>
      </c>
      <c r="I439" s="53" t="n">
        <f aca="false">$H$4</f>
        <v>0.67278149898986</v>
      </c>
      <c r="J439" s="53" t="n">
        <f aca="false">$H$6</f>
        <v>0.959137233677579</v>
      </c>
      <c r="K439" s="53" t="n">
        <f aca="false">$H$7</f>
        <v>0.386425764302142</v>
      </c>
      <c r="L439" s="53" t="n">
        <f aca="false">$H$5</f>
        <v>0.279917629215756</v>
      </c>
      <c r="M439" s="53" t="n">
        <f aca="false">$H$8</f>
        <v>0.720507977601356</v>
      </c>
      <c r="N439" s="54" t="n">
        <f aca="false">IF(OR(F439&gt;J439,F439&lt;K439),1,0)</f>
        <v>0</v>
      </c>
      <c r="O439" s="54" t="n">
        <f aca="false">IF(G439&gt;M439,1,0)</f>
        <v>0</v>
      </c>
      <c r="P439" s="54" t="n">
        <f aca="false">SIGN(F439-I439)</f>
        <v>-1</v>
      </c>
      <c r="Q439" s="54" t="n">
        <f aca="false">IF(ABS(SUM(P432:P439))=8,1,0)</f>
        <v>0</v>
      </c>
    </row>
    <row r="440" customFormat="false" ht="15" hidden="false" customHeight="false" outlineLevel="0" collapsed="false">
      <c r="A440" s="52" t="n">
        <v>44490</v>
      </c>
      <c r="B440" s="53" t="n">
        <v>0.791388712646404</v>
      </c>
      <c r="C440" s="53" t="n">
        <v>0.397756247759697</v>
      </c>
      <c r="D440" s="53" t="n">
        <v>0.693113621451724</v>
      </c>
      <c r="E440" s="54" t="s">
        <v>946</v>
      </c>
      <c r="F440" s="53" t="n">
        <f aca="false">AVERAGE(B440:D440)</f>
        <v>0.627419527285942</v>
      </c>
      <c r="G440" s="53" t="n">
        <f aca="false">MAX(B440:D440)-MIN(B440:D440)</f>
        <v>0.393632464886707</v>
      </c>
      <c r="H440" s="54" t="n">
        <f aca="false">IF(AND(E440="Phase I",OR(F440&gt;$E$6,F440&lt;$E$7,G440&gt;$E$8)),1,0)</f>
        <v>0</v>
      </c>
      <c r="I440" s="53" t="n">
        <f aca="false">$H$4</f>
        <v>0.67278149898986</v>
      </c>
      <c r="J440" s="53" t="n">
        <f aca="false">$H$6</f>
        <v>0.959137233677579</v>
      </c>
      <c r="K440" s="53" t="n">
        <f aca="false">$H$7</f>
        <v>0.386425764302142</v>
      </c>
      <c r="L440" s="53" t="n">
        <f aca="false">$H$5</f>
        <v>0.279917629215756</v>
      </c>
      <c r="M440" s="53" t="n">
        <f aca="false">$H$8</f>
        <v>0.720507977601356</v>
      </c>
      <c r="N440" s="54" t="n">
        <f aca="false">IF(OR(F440&gt;J440,F440&lt;K440),1,0)</f>
        <v>0</v>
      </c>
      <c r="O440" s="54" t="n">
        <f aca="false">IF(G440&gt;M440,1,0)</f>
        <v>0</v>
      </c>
      <c r="P440" s="54" t="n">
        <f aca="false">SIGN(F440-I440)</f>
        <v>-1</v>
      </c>
      <c r="Q440" s="54" t="n">
        <f aca="false">IF(ABS(SUM(P433:P440))=8,1,0)</f>
        <v>0</v>
      </c>
    </row>
    <row r="441" customFormat="false" ht="15" hidden="false" customHeight="false" outlineLevel="0" collapsed="false">
      <c r="A441" s="52" t="n">
        <v>44491</v>
      </c>
      <c r="B441" s="53" t="n">
        <v>0.546041546269209</v>
      </c>
      <c r="C441" s="53" t="n">
        <v>0.505253592865562</v>
      </c>
      <c r="D441" s="53" t="n">
        <v>0.6495116620471</v>
      </c>
      <c r="E441" s="54" t="s">
        <v>946</v>
      </c>
      <c r="F441" s="53" t="n">
        <f aca="false">AVERAGE(B441:D441)</f>
        <v>0.566935600393957</v>
      </c>
      <c r="G441" s="53" t="n">
        <f aca="false">MAX(B441:D441)-MIN(B441:D441)</f>
        <v>0.144258069181538</v>
      </c>
      <c r="H441" s="54" t="n">
        <f aca="false">IF(AND(E441="Phase I",OR(F441&gt;$E$6,F441&lt;$E$7,G441&gt;$E$8)),1,0)</f>
        <v>0</v>
      </c>
      <c r="I441" s="53" t="n">
        <f aca="false">$H$4</f>
        <v>0.67278149898986</v>
      </c>
      <c r="J441" s="53" t="n">
        <f aca="false">$H$6</f>
        <v>0.959137233677579</v>
      </c>
      <c r="K441" s="53" t="n">
        <f aca="false">$H$7</f>
        <v>0.386425764302142</v>
      </c>
      <c r="L441" s="53" t="n">
        <f aca="false">$H$5</f>
        <v>0.279917629215756</v>
      </c>
      <c r="M441" s="53" t="n">
        <f aca="false">$H$8</f>
        <v>0.720507977601356</v>
      </c>
      <c r="N441" s="54" t="n">
        <f aca="false">IF(OR(F441&gt;J441,F441&lt;K441),1,0)</f>
        <v>0</v>
      </c>
      <c r="O441" s="54" t="n">
        <f aca="false">IF(G441&gt;M441,1,0)</f>
        <v>0</v>
      </c>
      <c r="P441" s="54" t="n">
        <f aca="false">SIGN(F441-I441)</f>
        <v>-1</v>
      </c>
      <c r="Q441" s="54" t="n">
        <f aca="false">IF(ABS(SUM(P434:P441))=8,1,0)</f>
        <v>0</v>
      </c>
    </row>
    <row r="442" customFormat="false" ht="15" hidden="false" customHeight="false" outlineLevel="0" collapsed="false">
      <c r="A442" s="52" t="n">
        <v>44493</v>
      </c>
      <c r="B442" s="53" t="n">
        <v>0.578624395943892</v>
      </c>
      <c r="C442" s="53" t="n">
        <v>0.588958671207345</v>
      </c>
      <c r="D442" s="53" t="n">
        <v>0.807179977561996</v>
      </c>
      <c r="E442" s="54" t="s">
        <v>946</v>
      </c>
      <c r="F442" s="53" t="n">
        <f aca="false">AVERAGE(B442:D442)</f>
        <v>0.658254348237744</v>
      </c>
      <c r="G442" s="53" t="n">
        <f aca="false">MAX(B442:D442)-MIN(B442:D442)</f>
        <v>0.228555581618104</v>
      </c>
      <c r="H442" s="54" t="n">
        <f aca="false">IF(AND(E442="Phase I",OR(F442&gt;$E$6,F442&lt;$E$7,G442&gt;$E$8)),1,0)</f>
        <v>0</v>
      </c>
      <c r="I442" s="53" t="n">
        <f aca="false">$H$4</f>
        <v>0.67278149898986</v>
      </c>
      <c r="J442" s="53" t="n">
        <f aca="false">$H$6</f>
        <v>0.959137233677579</v>
      </c>
      <c r="K442" s="53" t="n">
        <f aca="false">$H$7</f>
        <v>0.386425764302142</v>
      </c>
      <c r="L442" s="53" t="n">
        <f aca="false">$H$5</f>
        <v>0.279917629215756</v>
      </c>
      <c r="M442" s="53" t="n">
        <f aca="false">$H$8</f>
        <v>0.720507977601356</v>
      </c>
      <c r="N442" s="54" t="n">
        <f aca="false">IF(OR(F442&gt;J442,F442&lt;K442),1,0)</f>
        <v>0</v>
      </c>
      <c r="O442" s="54" t="n">
        <f aca="false">IF(G442&gt;M442,1,0)</f>
        <v>0</v>
      </c>
      <c r="P442" s="54" t="n">
        <f aca="false">SIGN(F442-I442)</f>
        <v>-1</v>
      </c>
      <c r="Q442" s="54" t="n">
        <f aca="false">IF(ABS(SUM(P435:P442))=8,1,0)</f>
        <v>0</v>
      </c>
    </row>
    <row r="443" customFormat="false" ht="15" hidden="false" customHeight="false" outlineLevel="0" collapsed="false">
      <c r="A443" s="52" t="n">
        <v>44494</v>
      </c>
      <c r="B443" s="53" t="n">
        <v>0.576555783109724</v>
      </c>
      <c r="C443" s="53" t="n">
        <v>0.757154501806656</v>
      </c>
      <c r="D443" s="53" t="n">
        <v>0.679566549305677</v>
      </c>
      <c r="E443" s="54" t="s">
        <v>946</v>
      </c>
      <c r="F443" s="53" t="n">
        <f aca="false">AVERAGE(B443:D443)</f>
        <v>0.671092278074019</v>
      </c>
      <c r="G443" s="53" t="n">
        <f aca="false">MAX(B443:D443)-MIN(B443:D443)</f>
        <v>0.180598718696932</v>
      </c>
      <c r="H443" s="54" t="n">
        <f aca="false">IF(AND(E443="Phase I",OR(F443&gt;$E$6,F443&lt;$E$7,G443&gt;$E$8)),1,0)</f>
        <v>0</v>
      </c>
      <c r="I443" s="53" t="n">
        <f aca="false">$H$4</f>
        <v>0.67278149898986</v>
      </c>
      <c r="J443" s="53" t="n">
        <f aca="false">$H$6</f>
        <v>0.959137233677579</v>
      </c>
      <c r="K443" s="53" t="n">
        <f aca="false">$H$7</f>
        <v>0.386425764302142</v>
      </c>
      <c r="L443" s="53" t="n">
        <f aca="false">$H$5</f>
        <v>0.279917629215756</v>
      </c>
      <c r="M443" s="53" t="n">
        <f aca="false">$H$8</f>
        <v>0.720507977601356</v>
      </c>
      <c r="N443" s="54" t="n">
        <f aca="false">IF(OR(F443&gt;J443,F443&lt;K443),1,0)</f>
        <v>0</v>
      </c>
      <c r="O443" s="54" t="n">
        <f aca="false">IF(G443&gt;M443,1,0)</f>
        <v>0</v>
      </c>
      <c r="P443" s="54" t="n">
        <f aca="false">SIGN(F443-I443)</f>
        <v>-1</v>
      </c>
      <c r="Q443" s="54" t="n">
        <f aca="false">IF(ABS(SUM(P436:P443))=8,1,0)</f>
        <v>1</v>
      </c>
    </row>
    <row r="444" customFormat="false" ht="15" hidden="false" customHeight="false" outlineLevel="0" collapsed="false">
      <c r="A444" s="52" t="n">
        <v>44495</v>
      </c>
      <c r="B444" s="53" t="n">
        <v>0.539233946584698</v>
      </c>
      <c r="C444" s="53" t="n">
        <v>0.73183161579015</v>
      </c>
      <c r="D444" s="53" t="n">
        <v>0.309517133277716</v>
      </c>
      <c r="E444" s="54" t="s">
        <v>946</v>
      </c>
      <c r="F444" s="53" t="n">
        <f aca="false">AVERAGE(B444:D444)</f>
        <v>0.526860898550855</v>
      </c>
      <c r="G444" s="53" t="n">
        <f aca="false">MAX(B444:D444)-MIN(B444:D444)</f>
        <v>0.422314482512434</v>
      </c>
      <c r="H444" s="54" t="n">
        <f aca="false">IF(AND(E444="Phase I",OR(F444&gt;$E$6,F444&lt;$E$7,G444&gt;$E$8)),1,0)</f>
        <v>0</v>
      </c>
      <c r="I444" s="53" t="n">
        <f aca="false">$H$4</f>
        <v>0.67278149898986</v>
      </c>
      <c r="J444" s="53" t="n">
        <f aca="false">$H$6</f>
        <v>0.959137233677579</v>
      </c>
      <c r="K444" s="53" t="n">
        <f aca="false">$H$7</f>
        <v>0.386425764302142</v>
      </c>
      <c r="L444" s="53" t="n">
        <f aca="false">$H$5</f>
        <v>0.279917629215756</v>
      </c>
      <c r="M444" s="53" t="n">
        <f aca="false">$H$8</f>
        <v>0.720507977601356</v>
      </c>
      <c r="N444" s="54" t="n">
        <f aca="false">IF(OR(F444&gt;J444,F444&lt;K444),1,0)</f>
        <v>0</v>
      </c>
      <c r="O444" s="54" t="n">
        <f aca="false">IF(G444&gt;M444,1,0)</f>
        <v>0</v>
      </c>
      <c r="P444" s="54" t="n">
        <f aca="false">SIGN(F444-I444)</f>
        <v>-1</v>
      </c>
      <c r="Q444" s="54" t="n">
        <f aca="false">IF(ABS(SUM(P437:P444))=8,1,0)</f>
        <v>1</v>
      </c>
    </row>
    <row r="445" customFormat="false" ht="15" hidden="false" customHeight="false" outlineLevel="0" collapsed="false">
      <c r="A445" s="52" t="n">
        <v>44496</v>
      </c>
      <c r="B445" s="53" t="n">
        <v>0.616052767653512</v>
      </c>
      <c r="C445" s="53" t="n">
        <v>0.747324411263532</v>
      </c>
      <c r="D445" s="53" t="n">
        <v>0.748545736528597</v>
      </c>
      <c r="E445" s="54" t="s">
        <v>946</v>
      </c>
      <c r="F445" s="53" t="n">
        <f aca="false">AVERAGE(B445:D445)</f>
        <v>0.703974305148547</v>
      </c>
      <c r="G445" s="53" t="n">
        <f aca="false">MAX(B445:D445)-MIN(B445:D445)</f>
        <v>0.132492968875085</v>
      </c>
      <c r="H445" s="54" t="n">
        <f aca="false">IF(AND(E445="Phase I",OR(F445&gt;$E$6,F445&lt;$E$7,G445&gt;$E$8)),1,0)</f>
        <v>0</v>
      </c>
      <c r="I445" s="53" t="n">
        <f aca="false">$H$4</f>
        <v>0.67278149898986</v>
      </c>
      <c r="J445" s="53" t="n">
        <f aca="false">$H$6</f>
        <v>0.959137233677579</v>
      </c>
      <c r="K445" s="53" t="n">
        <f aca="false">$H$7</f>
        <v>0.386425764302142</v>
      </c>
      <c r="L445" s="53" t="n">
        <f aca="false">$H$5</f>
        <v>0.279917629215756</v>
      </c>
      <c r="M445" s="53" t="n">
        <f aca="false">$H$8</f>
        <v>0.720507977601356</v>
      </c>
      <c r="N445" s="54" t="n">
        <f aca="false">IF(OR(F445&gt;J445,F445&lt;K445),1,0)</f>
        <v>0</v>
      </c>
      <c r="O445" s="54" t="n">
        <f aca="false">IF(G445&gt;M445,1,0)</f>
        <v>0</v>
      </c>
      <c r="P445" s="54" t="n">
        <f aca="false">SIGN(F445-I445)</f>
        <v>1</v>
      </c>
      <c r="Q445" s="54" t="n">
        <f aca="false">IF(ABS(SUM(P438:P445))=8,1,0)</f>
        <v>0</v>
      </c>
    </row>
    <row r="446" customFormat="false" ht="15" hidden="false" customHeight="false" outlineLevel="0" collapsed="false">
      <c r="A446" s="52" t="n">
        <v>44497</v>
      </c>
      <c r="B446" s="53" t="n">
        <v>0.803940160344838</v>
      </c>
      <c r="C446" s="53" t="n">
        <v>0.874900641012141</v>
      </c>
      <c r="D446" s="53" t="n">
        <v>0.461049621519729</v>
      </c>
      <c r="E446" s="54" t="s">
        <v>946</v>
      </c>
      <c r="F446" s="53" t="n">
        <f aca="false">AVERAGE(B446:D446)</f>
        <v>0.713296807625569</v>
      </c>
      <c r="G446" s="53" t="n">
        <f aca="false">MAX(B446:D446)-MIN(B446:D446)</f>
        <v>0.413851019492412</v>
      </c>
      <c r="H446" s="54" t="n">
        <f aca="false">IF(AND(E446="Phase I",OR(F446&gt;$E$6,F446&lt;$E$7,G446&gt;$E$8)),1,0)</f>
        <v>0</v>
      </c>
      <c r="I446" s="53" t="n">
        <f aca="false">$H$4</f>
        <v>0.67278149898986</v>
      </c>
      <c r="J446" s="53" t="n">
        <f aca="false">$H$6</f>
        <v>0.959137233677579</v>
      </c>
      <c r="K446" s="53" t="n">
        <f aca="false">$H$7</f>
        <v>0.386425764302142</v>
      </c>
      <c r="L446" s="53" t="n">
        <f aca="false">$H$5</f>
        <v>0.279917629215756</v>
      </c>
      <c r="M446" s="53" t="n">
        <f aca="false">$H$8</f>
        <v>0.720507977601356</v>
      </c>
      <c r="N446" s="54" t="n">
        <f aca="false">IF(OR(F446&gt;J446,F446&lt;K446),1,0)</f>
        <v>0</v>
      </c>
      <c r="O446" s="54" t="n">
        <f aca="false">IF(G446&gt;M446,1,0)</f>
        <v>0</v>
      </c>
      <c r="P446" s="54" t="n">
        <f aca="false">SIGN(F446-I446)</f>
        <v>1</v>
      </c>
      <c r="Q446" s="54" t="n">
        <f aca="false">IF(ABS(SUM(P439:P446))=8,1,0)</f>
        <v>0</v>
      </c>
    </row>
    <row r="447" customFormat="false" ht="15" hidden="false" customHeight="false" outlineLevel="0" collapsed="false">
      <c r="A447" s="52" t="n">
        <v>44498</v>
      </c>
      <c r="B447" s="53" t="n">
        <v>0.69167334658336</v>
      </c>
      <c r="C447" s="53" t="n">
        <v>0.714426996632692</v>
      </c>
      <c r="D447" s="53" t="n">
        <v>0.685977470834567</v>
      </c>
      <c r="E447" s="54" t="s">
        <v>946</v>
      </c>
      <c r="F447" s="53" t="n">
        <f aca="false">AVERAGE(B447:D447)</f>
        <v>0.697359271350206</v>
      </c>
      <c r="G447" s="53" t="n">
        <f aca="false">MAX(B447:D447)-MIN(B447:D447)</f>
        <v>0.0284495257981251</v>
      </c>
      <c r="H447" s="54" t="n">
        <f aca="false">IF(AND(E447="Phase I",OR(F447&gt;$E$6,F447&lt;$E$7,G447&gt;$E$8)),1,0)</f>
        <v>0</v>
      </c>
      <c r="I447" s="53" t="n">
        <f aca="false">$H$4</f>
        <v>0.67278149898986</v>
      </c>
      <c r="J447" s="53" t="n">
        <f aca="false">$H$6</f>
        <v>0.959137233677579</v>
      </c>
      <c r="K447" s="53" t="n">
        <f aca="false">$H$7</f>
        <v>0.386425764302142</v>
      </c>
      <c r="L447" s="53" t="n">
        <f aca="false">$H$5</f>
        <v>0.279917629215756</v>
      </c>
      <c r="M447" s="53" t="n">
        <f aca="false">$H$8</f>
        <v>0.720507977601356</v>
      </c>
      <c r="N447" s="54" t="n">
        <f aca="false">IF(OR(F447&gt;J447,F447&lt;K447),1,0)</f>
        <v>0</v>
      </c>
      <c r="O447" s="54" t="n">
        <f aca="false">IF(G447&gt;M447,1,0)</f>
        <v>0</v>
      </c>
      <c r="P447" s="54" t="n">
        <f aca="false">SIGN(F447-I447)</f>
        <v>1</v>
      </c>
      <c r="Q447" s="54" t="n">
        <f aca="false">IF(ABS(SUM(P440:P447))=8,1,0)</f>
        <v>0</v>
      </c>
    </row>
    <row r="448" customFormat="false" ht="15" hidden="false" customHeight="false" outlineLevel="0" collapsed="false">
      <c r="A448" s="52" t="n">
        <v>44500</v>
      </c>
      <c r="B448" s="53" t="n">
        <v>0</v>
      </c>
      <c r="C448" s="53" t="n">
        <v>0</v>
      </c>
      <c r="D448" s="53" t="n">
        <v>0</v>
      </c>
      <c r="E448" s="54" t="s">
        <v>946</v>
      </c>
      <c r="F448" s="53" t="n">
        <f aca="false">AVERAGE(B448:D448)</f>
        <v>0</v>
      </c>
      <c r="G448" s="53" t="n">
        <f aca="false">MAX(B448:D448)-MIN(B448:D448)</f>
        <v>0</v>
      </c>
      <c r="H448" s="54" t="n">
        <f aca="false">IF(AND(E448="Phase I",OR(F448&gt;$E$6,F448&lt;$E$7,G448&gt;$E$8)),1,0)</f>
        <v>0</v>
      </c>
      <c r="I448" s="53" t="n">
        <f aca="false">$H$4</f>
        <v>0.67278149898986</v>
      </c>
      <c r="J448" s="53" t="n">
        <f aca="false">$H$6</f>
        <v>0.959137233677579</v>
      </c>
      <c r="K448" s="53" t="n">
        <f aca="false">$H$7</f>
        <v>0.386425764302142</v>
      </c>
      <c r="L448" s="53" t="n">
        <f aca="false">$H$5</f>
        <v>0.279917629215756</v>
      </c>
      <c r="M448" s="53" t="n">
        <f aca="false">$H$8</f>
        <v>0.720507977601356</v>
      </c>
      <c r="N448" s="54" t="n">
        <f aca="false">IF(OR(F448&gt;J448,F448&lt;K448),1,0)</f>
        <v>1</v>
      </c>
      <c r="O448" s="54" t="n">
        <f aca="false">IF(G448&gt;M448,1,0)</f>
        <v>0</v>
      </c>
      <c r="P448" s="54" t="n">
        <f aca="false">SIGN(F448-I448)</f>
        <v>-1</v>
      </c>
      <c r="Q448" s="54" t="n">
        <f aca="false">IF(ABS(SUM(P441:P448))=8,1,0)</f>
        <v>0</v>
      </c>
    </row>
    <row r="449" customFormat="false" ht="15" hidden="false" customHeight="false" outlineLevel="0" collapsed="false">
      <c r="A449" s="52" t="n">
        <v>44501</v>
      </c>
      <c r="B449" s="53" t="n">
        <v>0.244950865424164</v>
      </c>
      <c r="C449" s="53" t="n">
        <v>0.851962182224056</v>
      </c>
      <c r="D449" s="53" t="n">
        <v>0.623510666563387</v>
      </c>
      <c r="E449" s="54" t="s">
        <v>946</v>
      </c>
      <c r="F449" s="53" t="n">
        <f aca="false">AVERAGE(B449:D449)</f>
        <v>0.573474571403869</v>
      </c>
      <c r="G449" s="53" t="n">
        <f aca="false">MAX(B449:D449)-MIN(B449:D449)</f>
        <v>0.607011316799892</v>
      </c>
      <c r="H449" s="54" t="n">
        <f aca="false">IF(AND(E449="Phase I",OR(F449&gt;$E$6,F449&lt;$E$7,G449&gt;$E$8)),1,0)</f>
        <v>0</v>
      </c>
      <c r="I449" s="53" t="n">
        <f aca="false">$H$4</f>
        <v>0.67278149898986</v>
      </c>
      <c r="J449" s="53" t="n">
        <f aca="false">$H$6</f>
        <v>0.959137233677579</v>
      </c>
      <c r="K449" s="53" t="n">
        <f aca="false">$H$7</f>
        <v>0.386425764302142</v>
      </c>
      <c r="L449" s="53" t="n">
        <f aca="false">$H$5</f>
        <v>0.279917629215756</v>
      </c>
      <c r="M449" s="53" t="n">
        <f aca="false">$H$8</f>
        <v>0.720507977601356</v>
      </c>
      <c r="N449" s="54" t="n">
        <f aca="false">IF(OR(F449&gt;J449,F449&lt;K449),1,0)</f>
        <v>0</v>
      </c>
      <c r="O449" s="54" t="n">
        <f aca="false">IF(G449&gt;M449,1,0)</f>
        <v>0</v>
      </c>
      <c r="P449" s="54" t="n">
        <f aca="false">SIGN(F449-I449)</f>
        <v>-1</v>
      </c>
      <c r="Q449" s="54" t="n">
        <f aca="false">IF(ABS(SUM(P442:P449))=8,1,0)</f>
        <v>0</v>
      </c>
    </row>
    <row r="450" customFormat="false" ht="15" hidden="false" customHeight="false" outlineLevel="0" collapsed="false">
      <c r="A450" s="52" t="n">
        <v>44502</v>
      </c>
      <c r="B450" s="53" t="n">
        <v>0.768846588115365</v>
      </c>
      <c r="C450" s="53" t="n">
        <v>0.392103222190304</v>
      </c>
      <c r="D450" s="53" t="n">
        <v>0.741896644200528</v>
      </c>
      <c r="E450" s="54" t="s">
        <v>946</v>
      </c>
      <c r="F450" s="53" t="n">
        <f aca="false">AVERAGE(B450:D450)</f>
        <v>0.634282151502066</v>
      </c>
      <c r="G450" s="53" t="n">
        <f aca="false">MAX(B450:D450)-MIN(B450:D450)</f>
        <v>0.37674336592506</v>
      </c>
      <c r="H450" s="54" t="n">
        <f aca="false">IF(AND(E450="Phase I",OR(F450&gt;$E$6,F450&lt;$E$7,G450&gt;$E$8)),1,0)</f>
        <v>0</v>
      </c>
      <c r="I450" s="53" t="n">
        <f aca="false">$H$4</f>
        <v>0.67278149898986</v>
      </c>
      <c r="J450" s="53" t="n">
        <f aca="false">$H$6</f>
        <v>0.959137233677579</v>
      </c>
      <c r="K450" s="53" t="n">
        <f aca="false">$H$7</f>
        <v>0.386425764302142</v>
      </c>
      <c r="L450" s="53" t="n">
        <f aca="false">$H$5</f>
        <v>0.279917629215756</v>
      </c>
      <c r="M450" s="53" t="n">
        <f aca="false">$H$8</f>
        <v>0.720507977601356</v>
      </c>
      <c r="N450" s="54" t="n">
        <f aca="false">IF(OR(F450&gt;J450,F450&lt;K450),1,0)</f>
        <v>0</v>
      </c>
      <c r="O450" s="54" t="n">
        <f aca="false">IF(G450&gt;M450,1,0)</f>
        <v>0</v>
      </c>
      <c r="P450" s="54" t="n">
        <f aca="false">SIGN(F450-I450)</f>
        <v>-1</v>
      </c>
      <c r="Q450" s="54" t="n">
        <f aca="false">IF(ABS(SUM(P443:P450))=8,1,0)</f>
        <v>0</v>
      </c>
    </row>
    <row r="451" customFormat="false" ht="15" hidden="false" customHeight="false" outlineLevel="0" collapsed="false">
      <c r="A451" s="52" t="n">
        <v>44503</v>
      </c>
      <c r="B451" s="53" t="n">
        <v>0.649812084984811</v>
      </c>
      <c r="C451" s="53" t="n">
        <v>0.82328856614423</v>
      </c>
      <c r="D451" s="53" t="n">
        <v>0.632934530473572</v>
      </c>
      <c r="E451" s="54" t="s">
        <v>946</v>
      </c>
      <c r="F451" s="53" t="n">
        <f aca="false">AVERAGE(B451:D451)</f>
        <v>0.702011727200871</v>
      </c>
      <c r="G451" s="53" t="n">
        <f aca="false">MAX(B451:D451)-MIN(B451:D451)</f>
        <v>0.190354035670658</v>
      </c>
      <c r="H451" s="54" t="n">
        <f aca="false">IF(AND(E451="Phase I",OR(F451&gt;$E$6,F451&lt;$E$7,G451&gt;$E$8)),1,0)</f>
        <v>0</v>
      </c>
      <c r="I451" s="53" t="n">
        <f aca="false">$H$4</f>
        <v>0.67278149898986</v>
      </c>
      <c r="J451" s="53" t="n">
        <f aca="false">$H$6</f>
        <v>0.959137233677579</v>
      </c>
      <c r="K451" s="53" t="n">
        <f aca="false">$H$7</f>
        <v>0.386425764302142</v>
      </c>
      <c r="L451" s="53" t="n">
        <f aca="false">$H$5</f>
        <v>0.279917629215756</v>
      </c>
      <c r="M451" s="53" t="n">
        <f aca="false">$H$8</f>
        <v>0.720507977601356</v>
      </c>
      <c r="N451" s="54" t="n">
        <f aca="false">IF(OR(F451&gt;J451,F451&lt;K451),1,0)</f>
        <v>0</v>
      </c>
      <c r="O451" s="54" t="n">
        <f aca="false">IF(G451&gt;M451,1,0)</f>
        <v>0</v>
      </c>
      <c r="P451" s="54" t="n">
        <f aca="false">SIGN(F451-I451)</f>
        <v>1</v>
      </c>
      <c r="Q451" s="54" t="n">
        <f aca="false">IF(ABS(SUM(P444:P451))=8,1,0)</f>
        <v>0</v>
      </c>
    </row>
    <row r="452" customFormat="false" ht="15" hidden="false" customHeight="false" outlineLevel="0" collapsed="false">
      <c r="A452" s="52" t="n">
        <v>44504</v>
      </c>
      <c r="B452" s="53" t="n">
        <v>0.540532730486019</v>
      </c>
      <c r="C452" s="53" t="n">
        <v>0.358930263805578</v>
      </c>
      <c r="D452" s="53" t="n">
        <v>0.791324579433869</v>
      </c>
      <c r="E452" s="54" t="s">
        <v>946</v>
      </c>
      <c r="F452" s="53" t="n">
        <f aca="false">AVERAGE(B452:D452)</f>
        <v>0.563595857908489</v>
      </c>
      <c r="G452" s="53" t="n">
        <f aca="false">MAX(B452:D452)-MIN(B452:D452)</f>
        <v>0.432394315628291</v>
      </c>
      <c r="H452" s="54" t="n">
        <f aca="false">IF(AND(E452="Phase I",OR(F452&gt;$E$6,F452&lt;$E$7,G452&gt;$E$8)),1,0)</f>
        <v>0</v>
      </c>
      <c r="I452" s="53" t="n">
        <f aca="false">$H$4</f>
        <v>0.67278149898986</v>
      </c>
      <c r="J452" s="53" t="n">
        <f aca="false">$H$6</f>
        <v>0.959137233677579</v>
      </c>
      <c r="K452" s="53" t="n">
        <f aca="false">$H$7</f>
        <v>0.386425764302142</v>
      </c>
      <c r="L452" s="53" t="n">
        <f aca="false">$H$5</f>
        <v>0.279917629215756</v>
      </c>
      <c r="M452" s="53" t="n">
        <f aca="false">$H$8</f>
        <v>0.720507977601356</v>
      </c>
      <c r="N452" s="54" t="n">
        <f aca="false">IF(OR(F452&gt;J452,F452&lt;K452),1,0)</f>
        <v>0</v>
      </c>
      <c r="O452" s="54" t="n">
        <f aca="false">IF(G452&gt;M452,1,0)</f>
        <v>0</v>
      </c>
      <c r="P452" s="54" t="n">
        <f aca="false">SIGN(F452-I452)</f>
        <v>-1</v>
      </c>
      <c r="Q452" s="54" t="n">
        <f aca="false">IF(ABS(SUM(P445:P452))=8,1,0)</f>
        <v>0</v>
      </c>
    </row>
    <row r="453" customFormat="false" ht="15" hidden="false" customHeight="false" outlineLevel="0" collapsed="false">
      <c r="A453" s="52" t="n">
        <v>44505</v>
      </c>
      <c r="B453" s="53" t="n">
        <v>0.50573627262687</v>
      </c>
      <c r="C453" s="53" t="n">
        <v>0.814380150344411</v>
      </c>
      <c r="D453" s="53" t="n">
        <v>0.731834716619864</v>
      </c>
      <c r="E453" s="54" t="s">
        <v>946</v>
      </c>
      <c r="F453" s="53" t="n">
        <f aca="false">AVERAGE(B453:D453)</f>
        <v>0.683983713197048</v>
      </c>
      <c r="G453" s="53" t="n">
        <f aca="false">MAX(B453:D453)-MIN(B453:D453)</f>
        <v>0.308643877717541</v>
      </c>
      <c r="H453" s="54" t="n">
        <f aca="false">IF(AND(E453="Phase I",OR(F453&gt;$E$6,F453&lt;$E$7,G453&gt;$E$8)),1,0)</f>
        <v>0</v>
      </c>
      <c r="I453" s="53" t="n">
        <f aca="false">$H$4</f>
        <v>0.67278149898986</v>
      </c>
      <c r="J453" s="53" t="n">
        <f aca="false">$H$6</f>
        <v>0.959137233677579</v>
      </c>
      <c r="K453" s="53" t="n">
        <f aca="false">$H$7</f>
        <v>0.386425764302142</v>
      </c>
      <c r="L453" s="53" t="n">
        <f aca="false">$H$5</f>
        <v>0.279917629215756</v>
      </c>
      <c r="M453" s="53" t="n">
        <f aca="false">$H$8</f>
        <v>0.720507977601356</v>
      </c>
      <c r="N453" s="54" t="n">
        <f aca="false">IF(OR(F453&gt;J453,F453&lt;K453),1,0)</f>
        <v>0</v>
      </c>
      <c r="O453" s="54" t="n">
        <f aca="false">IF(G453&gt;M453,1,0)</f>
        <v>0</v>
      </c>
      <c r="P453" s="54" t="n">
        <f aca="false">SIGN(F453-I453)</f>
        <v>1</v>
      </c>
      <c r="Q453" s="54" t="n">
        <f aca="false">IF(ABS(SUM(P446:P453))=8,1,0)</f>
        <v>0</v>
      </c>
    </row>
    <row r="454" customFormat="false" ht="15" hidden="false" customHeight="false" outlineLevel="0" collapsed="false">
      <c r="A454" s="52" t="n">
        <v>44508</v>
      </c>
      <c r="B454" s="53" t="n">
        <v>0.724499376552113</v>
      </c>
      <c r="C454" s="53" t="n">
        <v>0.69258544802665</v>
      </c>
      <c r="D454" s="53" t="n">
        <v>0.673359286606106</v>
      </c>
      <c r="E454" s="54" t="s">
        <v>946</v>
      </c>
      <c r="F454" s="53" t="n">
        <f aca="false">AVERAGE(B454:D454)</f>
        <v>0.696814703728289</v>
      </c>
      <c r="G454" s="53" t="n">
        <f aca="false">MAX(B454:D454)-MIN(B454:D454)</f>
        <v>0.0511400899460065</v>
      </c>
      <c r="H454" s="54" t="n">
        <f aca="false">IF(AND(E454="Phase I",OR(F454&gt;$E$6,F454&lt;$E$7,G454&gt;$E$8)),1,0)</f>
        <v>0</v>
      </c>
      <c r="I454" s="53" t="n">
        <f aca="false">$H$4</f>
        <v>0.67278149898986</v>
      </c>
      <c r="J454" s="53" t="n">
        <f aca="false">$H$6</f>
        <v>0.959137233677579</v>
      </c>
      <c r="K454" s="53" t="n">
        <f aca="false">$H$7</f>
        <v>0.386425764302142</v>
      </c>
      <c r="L454" s="53" t="n">
        <f aca="false">$H$5</f>
        <v>0.279917629215756</v>
      </c>
      <c r="M454" s="53" t="n">
        <f aca="false">$H$8</f>
        <v>0.720507977601356</v>
      </c>
      <c r="N454" s="54" t="n">
        <f aca="false">IF(OR(F454&gt;J454,F454&lt;K454),1,0)</f>
        <v>0</v>
      </c>
      <c r="O454" s="54" t="n">
        <f aca="false">IF(G454&gt;M454,1,0)</f>
        <v>0</v>
      </c>
      <c r="P454" s="54" t="n">
        <f aca="false">SIGN(F454-I454)</f>
        <v>1</v>
      </c>
      <c r="Q454" s="54" t="n">
        <f aca="false">IF(ABS(SUM(P447:P454))=8,1,0)</f>
        <v>0</v>
      </c>
    </row>
    <row r="455" customFormat="false" ht="15" hidden="false" customHeight="false" outlineLevel="0" collapsed="false">
      <c r="A455" s="52" t="n">
        <v>44509</v>
      </c>
      <c r="B455" s="53" t="n">
        <v>0.79233674964123</v>
      </c>
      <c r="C455" s="53" t="n">
        <v>0.846158923509383</v>
      </c>
      <c r="D455" s="53" t="n">
        <v>0.600072444343105</v>
      </c>
      <c r="E455" s="54" t="s">
        <v>946</v>
      </c>
      <c r="F455" s="53" t="n">
        <f aca="false">AVERAGE(B455:D455)</f>
        <v>0.746189372497906</v>
      </c>
      <c r="G455" s="53" t="n">
        <f aca="false">MAX(B455:D455)-MIN(B455:D455)</f>
        <v>0.246086479166277</v>
      </c>
      <c r="H455" s="54" t="n">
        <f aca="false">IF(AND(E455="Phase I",OR(F455&gt;$E$6,F455&lt;$E$7,G455&gt;$E$8)),1,0)</f>
        <v>0</v>
      </c>
      <c r="I455" s="53" t="n">
        <f aca="false">$H$4</f>
        <v>0.67278149898986</v>
      </c>
      <c r="J455" s="53" t="n">
        <f aca="false">$H$6</f>
        <v>0.959137233677579</v>
      </c>
      <c r="K455" s="53" t="n">
        <f aca="false">$H$7</f>
        <v>0.386425764302142</v>
      </c>
      <c r="L455" s="53" t="n">
        <f aca="false">$H$5</f>
        <v>0.279917629215756</v>
      </c>
      <c r="M455" s="53" t="n">
        <f aca="false">$H$8</f>
        <v>0.720507977601356</v>
      </c>
      <c r="N455" s="54" t="n">
        <f aca="false">IF(OR(F455&gt;J455,F455&lt;K455),1,0)</f>
        <v>0</v>
      </c>
      <c r="O455" s="54" t="n">
        <f aca="false">IF(G455&gt;M455,1,0)</f>
        <v>0</v>
      </c>
      <c r="P455" s="54" t="n">
        <f aca="false">SIGN(F455-I455)</f>
        <v>1</v>
      </c>
      <c r="Q455" s="54" t="n">
        <f aca="false">IF(ABS(SUM(P448:P455))=8,1,0)</f>
        <v>0</v>
      </c>
    </row>
    <row r="456" customFormat="false" ht="15" hidden="false" customHeight="false" outlineLevel="0" collapsed="false">
      <c r="A456" s="52" t="n">
        <v>44510</v>
      </c>
      <c r="B456" s="53" t="n">
        <v>0.476448196183448</v>
      </c>
      <c r="C456" s="53" t="n">
        <v>0.726539895030967</v>
      </c>
      <c r="D456" s="53" t="n">
        <v>0.663370035253038</v>
      </c>
      <c r="E456" s="54" t="s">
        <v>946</v>
      </c>
      <c r="F456" s="53" t="n">
        <f aca="false">AVERAGE(B456:D456)</f>
        <v>0.622119375489151</v>
      </c>
      <c r="G456" s="53" t="n">
        <f aca="false">MAX(B456:D456)-MIN(B456:D456)</f>
        <v>0.250091698847518</v>
      </c>
      <c r="H456" s="54" t="n">
        <f aca="false">IF(AND(E456="Phase I",OR(F456&gt;$E$6,F456&lt;$E$7,G456&gt;$E$8)),1,0)</f>
        <v>0</v>
      </c>
      <c r="I456" s="53" t="n">
        <f aca="false">$H$4</f>
        <v>0.67278149898986</v>
      </c>
      <c r="J456" s="53" t="n">
        <f aca="false">$H$6</f>
        <v>0.959137233677579</v>
      </c>
      <c r="K456" s="53" t="n">
        <f aca="false">$H$7</f>
        <v>0.386425764302142</v>
      </c>
      <c r="L456" s="53" t="n">
        <f aca="false">$H$5</f>
        <v>0.279917629215756</v>
      </c>
      <c r="M456" s="53" t="n">
        <f aca="false">$H$8</f>
        <v>0.720507977601356</v>
      </c>
      <c r="N456" s="54" t="n">
        <f aca="false">IF(OR(F456&gt;J456,F456&lt;K456),1,0)</f>
        <v>0</v>
      </c>
      <c r="O456" s="54" t="n">
        <f aca="false">IF(G456&gt;M456,1,0)</f>
        <v>0</v>
      </c>
      <c r="P456" s="54" t="n">
        <f aca="false">SIGN(F456-I456)</f>
        <v>-1</v>
      </c>
      <c r="Q456" s="54" t="n">
        <f aca="false">IF(ABS(SUM(P449:P456))=8,1,0)</f>
        <v>0</v>
      </c>
    </row>
    <row r="457" customFormat="false" ht="15" hidden="false" customHeight="false" outlineLevel="0" collapsed="false">
      <c r="A457" s="52" t="n">
        <v>44511</v>
      </c>
      <c r="B457" s="53" t="n">
        <v>0.11549270149348</v>
      </c>
      <c r="C457" s="53" t="n">
        <v>0.239636189298146</v>
      </c>
      <c r="D457" s="53" t="n">
        <v>0.527896740755347</v>
      </c>
      <c r="E457" s="54" t="s">
        <v>946</v>
      </c>
      <c r="F457" s="53" t="n">
        <f aca="false">AVERAGE(B457:D457)</f>
        <v>0.294341877182324</v>
      </c>
      <c r="G457" s="53" t="n">
        <f aca="false">MAX(B457:D457)-MIN(B457:D457)</f>
        <v>0.412404039261866</v>
      </c>
      <c r="H457" s="54" t="n">
        <f aca="false">IF(AND(E457="Phase I",OR(F457&gt;$E$6,F457&lt;$E$7,G457&gt;$E$8)),1,0)</f>
        <v>0</v>
      </c>
      <c r="I457" s="53" t="n">
        <f aca="false">$H$4</f>
        <v>0.67278149898986</v>
      </c>
      <c r="J457" s="53" t="n">
        <f aca="false">$H$6</f>
        <v>0.959137233677579</v>
      </c>
      <c r="K457" s="53" t="n">
        <f aca="false">$H$7</f>
        <v>0.386425764302142</v>
      </c>
      <c r="L457" s="53" t="n">
        <f aca="false">$H$5</f>
        <v>0.279917629215756</v>
      </c>
      <c r="M457" s="53" t="n">
        <f aca="false">$H$8</f>
        <v>0.720507977601356</v>
      </c>
      <c r="N457" s="54" t="n">
        <f aca="false">IF(OR(F457&gt;J457,F457&lt;K457),1,0)</f>
        <v>1</v>
      </c>
      <c r="O457" s="54" t="n">
        <f aca="false">IF(G457&gt;M457,1,0)</f>
        <v>0</v>
      </c>
      <c r="P457" s="54" t="n">
        <f aca="false">SIGN(F457-I457)</f>
        <v>-1</v>
      </c>
      <c r="Q457" s="54" t="n">
        <f aca="false">IF(ABS(SUM(P450:P457))=8,1,0)</f>
        <v>0</v>
      </c>
    </row>
    <row r="458" customFormat="false" ht="15" hidden="false" customHeight="false" outlineLevel="0" collapsed="false">
      <c r="A458" s="52" t="n">
        <v>44512</v>
      </c>
      <c r="B458" s="53" t="n">
        <v>0.444075326042716</v>
      </c>
      <c r="C458" s="53" t="n">
        <v>0.66585999934744</v>
      </c>
      <c r="D458" s="53" t="n">
        <v>0.669728220335289</v>
      </c>
      <c r="E458" s="54" t="s">
        <v>946</v>
      </c>
      <c r="F458" s="53" t="n">
        <f aca="false">AVERAGE(B458:D458)</f>
        <v>0.593221181908482</v>
      </c>
      <c r="G458" s="53" t="n">
        <f aca="false">MAX(B458:D458)-MIN(B458:D458)</f>
        <v>0.225652894292574</v>
      </c>
      <c r="H458" s="54" t="n">
        <f aca="false">IF(AND(E458="Phase I",OR(F458&gt;$E$6,F458&lt;$E$7,G458&gt;$E$8)),1,0)</f>
        <v>0</v>
      </c>
      <c r="I458" s="53" t="n">
        <f aca="false">$H$4</f>
        <v>0.67278149898986</v>
      </c>
      <c r="J458" s="53" t="n">
        <f aca="false">$H$6</f>
        <v>0.959137233677579</v>
      </c>
      <c r="K458" s="53" t="n">
        <f aca="false">$H$7</f>
        <v>0.386425764302142</v>
      </c>
      <c r="L458" s="53" t="n">
        <f aca="false">$H$5</f>
        <v>0.279917629215756</v>
      </c>
      <c r="M458" s="53" t="n">
        <f aca="false">$H$8</f>
        <v>0.720507977601356</v>
      </c>
      <c r="N458" s="54" t="n">
        <f aca="false">IF(OR(F458&gt;J458,F458&lt;K458),1,0)</f>
        <v>0</v>
      </c>
      <c r="O458" s="54" t="n">
        <f aca="false">IF(G458&gt;M458,1,0)</f>
        <v>0</v>
      </c>
      <c r="P458" s="54" t="n">
        <f aca="false">SIGN(F458-I458)</f>
        <v>-1</v>
      </c>
      <c r="Q458" s="54" t="n">
        <f aca="false">IF(ABS(SUM(P451:P458))=8,1,0)</f>
        <v>0</v>
      </c>
    </row>
    <row r="459" customFormat="false" ht="15" hidden="false" customHeight="false" outlineLevel="0" collapsed="false">
      <c r="A459" s="52" t="n">
        <v>44515</v>
      </c>
      <c r="B459" s="53" t="n">
        <v>0.591271363000245</v>
      </c>
      <c r="C459" s="53" t="n">
        <v>0.764906436997761</v>
      </c>
      <c r="D459" s="53" t="n">
        <v>0.742182314788858</v>
      </c>
      <c r="E459" s="54" t="s">
        <v>946</v>
      </c>
      <c r="F459" s="53" t="n">
        <f aca="false">AVERAGE(B459:D459)</f>
        <v>0.699453371595621</v>
      </c>
      <c r="G459" s="53" t="n">
        <f aca="false">MAX(B459:D459)-MIN(B459:D459)</f>
        <v>0.173635073997516</v>
      </c>
      <c r="H459" s="54" t="n">
        <f aca="false">IF(AND(E459="Phase I",OR(F459&gt;$E$6,F459&lt;$E$7,G459&gt;$E$8)),1,0)</f>
        <v>0</v>
      </c>
      <c r="I459" s="53" t="n">
        <f aca="false">$H$4</f>
        <v>0.67278149898986</v>
      </c>
      <c r="J459" s="53" t="n">
        <f aca="false">$H$6</f>
        <v>0.959137233677579</v>
      </c>
      <c r="K459" s="53" t="n">
        <f aca="false">$H$7</f>
        <v>0.386425764302142</v>
      </c>
      <c r="L459" s="53" t="n">
        <f aca="false">$H$5</f>
        <v>0.279917629215756</v>
      </c>
      <c r="M459" s="53" t="n">
        <f aca="false">$H$8</f>
        <v>0.720507977601356</v>
      </c>
      <c r="N459" s="54" t="n">
        <f aca="false">IF(OR(F459&gt;J459,F459&lt;K459),1,0)</f>
        <v>0</v>
      </c>
      <c r="O459" s="54" t="n">
        <f aca="false">IF(G459&gt;M459,1,0)</f>
        <v>0</v>
      </c>
      <c r="P459" s="54" t="n">
        <f aca="false">SIGN(F459-I459)</f>
        <v>1</v>
      </c>
      <c r="Q459" s="54" t="n">
        <f aca="false">IF(ABS(SUM(P452:P459))=8,1,0)</f>
        <v>0</v>
      </c>
    </row>
    <row r="460" customFormat="false" ht="15" hidden="false" customHeight="false" outlineLevel="0" collapsed="false">
      <c r="A460" s="52" t="n">
        <v>44516</v>
      </c>
      <c r="B460" s="53" t="n">
        <v>0.407718140921008</v>
      </c>
      <c r="C460" s="53" t="n">
        <v>0.738964862722705</v>
      </c>
      <c r="D460" s="53" t="n">
        <v>0.490423097714402</v>
      </c>
      <c r="E460" s="54" t="s">
        <v>946</v>
      </c>
      <c r="F460" s="53" t="n">
        <f aca="false">AVERAGE(B460:D460)</f>
        <v>0.545702033786038</v>
      </c>
      <c r="G460" s="53" t="n">
        <f aca="false">MAX(B460:D460)-MIN(B460:D460)</f>
        <v>0.331246721801697</v>
      </c>
      <c r="H460" s="54" t="n">
        <f aca="false">IF(AND(E460="Phase I",OR(F460&gt;$E$6,F460&lt;$E$7,G460&gt;$E$8)),1,0)</f>
        <v>0</v>
      </c>
      <c r="I460" s="53" t="n">
        <f aca="false">$H$4</f>
        <v>0.67278149898986</v>
      </c>
      <c r="J460" s="53" t="n">
        <f aca="false">$H$6</f>
        <v>0.959137233677579</v>
      </c>
      <c r="K460" s="53" t="n">
        <f aca="false">$H$7</f>
        <v>0.386425764302142</v>
      </c>
      <c r="L460" s="53" t="n">
        <f aca="false">$H$5</f>
        <v>0.279917629215756</v>
      </c>
      <c r="M460" s="53" t="n">
        <f aca="false">$H$8</f>
        <v>0.720507977601356</v>
      </c>
      <c r="N460" s="54" t="n">
        <f aca="false">IF(OR(F460&gt;J460,F460&lt;K460),1,0)</f>
        <v>0</v>
      </c>
      <c r="O460" s="54" t="n">
        <f aca="false">IF(G460&gt;M460,1,0)</f>
        <v>0</v>
      </c>
      <c r="P460" s="54" t="n">
        <f aca="false">SIGN(F460-I460)</f>
        <v>-1</v>
      </c>
      <c r="Q460" s="54" t="n">
        <f aca="false">IF(ABS(SUM(P453:P460))=8,1,0)</f>
        <v>0</v>
      </c>
    </row>
    <row r="461" customFormat="false" ht="15" hidden="false" customHeight="false" outlineLevel="0" collapsed="false">
      <c r="A461" s="52" t="n">
        <v>44517</v>
      </c>
      <c r="B461" s="53" t="n">
        <v>0.588059369996845</v>
      </c>
      <c r="C461" s="53" t="n">
        <v>0.816145631030216</v>
      </c>
      <c r="D461" s="53" t="n">
        <v>0.679149420572456</v>
      </c>
      <c r="E461" s="54" t="s">
        <v>946</v>
      </c>
      <c r="F461" s="53" t="n">
        <f aca="false">AVERAGE(B461:D461)</f>
        <v>0.694451473866506</v>
      </c>
      <c r="G461" s="53" t="n">
        <f aca="false">MAX(B461:D461)-MIN(B461:D461)</f>
        <v>0.228086261033371</v>
      </c>
      <c r="H461" s="54" t="n">
        <f aca="false">IF(AND(E461="Phase I",OR(F461&gt;$E$6,F461&lt;$E$7,G461&gt;$E$8)),1,0)</f>
        <v>0</v>
      </c>
      <c r="I461" s="53" t="n">
        <f aca="false">$H$4</f>
        <v>0.67278149898986</v>
      </c>
      <c r="J461" s="53" t="n">
        <f aca="false">$H$6</f>
        <v>0.959137233677579</v>
      </c>
      <c r="K461" s="53" t="n">
        <f aca="false">$H$7</f>
        <v>0.386425764302142</v>
      </c>
      <c r="L461" s="53" t="n">
        <f aca="false">$H$5</f>
        <v>0.279917629215756</v>
      </c>
      <c r="M461" s="53" t="n">
        <f aca="false">$H$8</f>
        <v>0.720507977601356</v>
      </c>
      <c r="N461" s="54" t="n">
        <f aca="false">IF(OR(F461&gt;J461,F461&lt;K461),1,0)</f>
        <v>0</v>
      </c>
      <c r="O461" s="54" t="n">
        <f aca="false">IF(G461&gt;M461,1,0)</f>
        <v>0</v>
      </c>
      <c r="P461" s="54" t="n">
        <f aca="false">SIGN(F461-I461)</f>
        <v>1</v>
      </c>
      <c r="Q461" s="54" t="n">
        <f aca="false">IF(ABS(SUM(P454:P461))=8,1,0)</f>
        <v>0</v>
      </c>
    </row>
    <row r="462" customFormat="false" ht="15" hidden="false" customHeight="false" outlineLevel="0" collapsed="false">
      <c r="A462" s="52" t="n">
        <v>44518</v>
      </c>
      <c r="B462" s="53" t="n">
        <v>0.741314804661452</v>
      </c>
      <c r="C462" s="53" t="n">
        <v>0.702192880438445</v>
      </c>
      <c r="D462" s="53" t="n">
        <v>0.711015692972248</v>
      </c>
      <c r="E462" s="54" t="s">
        <v>946</v>
      </c>
      <c r="F462" s="53" t="n">
        <f aca="false">AVERAGE(B462:D462)</f>
        <v>0.718174459357381</v>
      </c>
      <c r="G462" s="53" t="n">
        <f aca="false">MAX(B462:D462)-MIN(B462:D462)</f>
        <v>0.0391219242230073</v>
      </c>
      <c r="H462" s="54" t="n">
        <f aca="false">IF(AND(E462="Phase I",OR(F462&gt;$E$6,F462&lt;$E$7,G462&gt;$E$8)),1,0)</f>
        <v>0</v>
      </c>
      <c r="I462" s="53" t="n">
        <f aca="false">$H$4</f>
        <v>0.67278149898986</v>
      </c>
      <c r="J462" s="53" t="n">
        <f aca="false">$H$6</f>
        <v>0.959137233677579</v>
      </c>
      <c r="K462" s="53" t="n">
        <f aca="false">$H$7</f>
        <v>0.386425764302142</v>
      </c>
      <c r="L462" s="53" t="n">
        <f aca="false">$H$5</f>
        <v>0.279917629215756</v>
      </c>
      <c r="M462" s="53" t="n">
        <f aca="false">$H$8</f>
        <v>0.720507977601356</v>
      </c>
      <c r="N462" s="54" t="n">
        <f aca="false">IF(OR(F462&gt;J462,F462&lt;K462),1,0)</f>
        <v>0</v>
      </c>
      <c r="O462" s="54" t="n">
        <f aca="false">IF(G462&gt;M462,1,0)</f>
        <v>0</v>
      </c>
      <c r="P462" s="54" t="n">
        <f aca="false">SIGN(F462-I462)</f>
        <v>1</v>
      </c>
      <c r="Q462" s="54" t="n">
        <f aca="false">IF(ABS(SUM(P455:P462))=8,1,0)</f>
        <v>0</v>
      </c>
    </row>
    <row r="463" customFormat="false" ht="15" hidden="false" customHeight="false" outlineLevel="0" collapsed="false">
      <c r="A463" s="52" t="n">
        <v>44519</v>
      </c>
      <c r="B463" s="53" t="n">
        <v>0.731240309487025</v>
      </c>
      <c r="C463" s="53" t="n">
        <v>0.741721411646052</v>
      </c>
      <c r="D463" s="53" t="n">
        <v>0.661909276156302</v>
      </c>
      <c r="E463" s="54" t="s">
        <v>946</v>
      </c>
      <c r="F463" s="53" t="n">
        <f aca="false">AVERAGE(B463:D463)</f>
        <v>0.711623665763126</v>
      </c>
      <c r="G463" s="53" t="n">
        <f aca="false">MAX(B463:D463)-MIN(B463:D463)</f>
        <v>0.0798121354897508</v>
      </c>
      <c r="H463" s="54" t="n">
        <f aca="false">IF(AND(E463="Phase I",OR(F463&gt;$E$6,F463&lt;$E$7,G463&gt;$E$8)),1,0)</f>
        <v>0</v>
      </c>
      <c r="I463" s="53" t="n">
        <f aca="false">$H$4</f>
        <v>0.67278149898986</v>
      </c>
      <c r="J463" s="53" t="n">
        <f aca="false">$H$6</f>
        <v>0.959137233677579</v>
      </c>
      <c r="K463" s="53" t="n">
        <f aca="false">$H$7</f>
        <v>0.386425764302142</v>
      </c>
      <c r="L463" s="53" t="n">
        <f aca="false">$H$5</f>
        <v>0.279917629215756</v>
      </c>
      <c r="M463" s="53" t="n">
        <f aca="false">$H$8</f>
        <v>0.720507977601356</v>
      </c>
      <c r="N463" s="54" t="n">
        <f aca="false">IF(OR(F463&gt;J463,F463&lt;K463),1,0)</f>
        <v>0</v>
      </c>
      <c r="O463" s="54" t="n">
        <f aca="false">IF(G463&gt;M463,1,0)</f>
        <v>0</v>
      </c>
      <c r="P463" s="54" t="n">
        <f aca="false">SIGN(F463-I463)</f>
        <v>1</v>
      </c>
      <c r="Q463" s="54" t="n">
        <f aca="false">IF(ABS(SUM(P456:P463))=8,1,0)</f>
        <v>0</v>
      </c>
    </row>
    <row r="464" customFormat="false" ht="15" hidden="false" customHeight="false" outlineLevel="0" collapsed="false">
      <c r="A464" s="52" t="n">
        <v>44522</v>
      </c>
      <c r="B464" s="53" t="n">
        <v>0.765661492724418</v>
      </c>
      <c r="C464" s="53" t="n">
        <v>0.457624218202185</v>
      </c>
      <c r="D464" s="53" t="n">
        <v>0.685049762563857</v>
      </c>
      <c r="E464" s="54" t="s">
        <v>946</v>
      </c>
      <c r="F464" s="53" t="n">
        <f aca="false">AVERAGE(B464:D464)</f>
        <v>0.63611182449682</v>
      </c>
      <c r="G464" s="53" t="n">
        <f aca="false">MAX(B464:D464)-MIN(B464:D464)</f>
        <v>0.308037274522233</v>
      </c>
      <c r="H464" s="54" t="n">
        <f aca="false">IF(AND(E464="Phase I",OR(F464&gt;$E$6,F464&lt;$E$7,G464&gt;$E$8)),1,0)</f>
        <v>0</v>
      </c>
      <c r="I464" s="53" t="n">
        <f aca="false">$H$4</f>
        <v>0.67278149898986</v>
      </c>
      <c r="J464" s="53" t="n">
        <f aca="false">$H$6</f>
        <v>0.959137233677579</v>
      </c>
      <c r="K464" s="53" t="n">
        <f aca="false">$H$7</f>
        <v>0.386425764302142</v>
      </c>
      <c r="L464" s="53" t="n">
        <f aca="false">$H$5</f>
        <v>0.279917629215756</v>
      </c>
      <c r="M464" s="53" t="n">
        <f aca="false">$H$8</f>
        <v>0.720507977601356</v>
      </c>
      <c r="N464" s="54" t="n">
        <f aca="false">IF(OR(F464&gt;J464,F464&lt;K464),1,0)</f>
        <v>0</v>
      </c>
      <c r="O464" s="54" t="n">
        <f aca="false">IF(G464&gt;M464,1,0)</f>
        <v>0</v>
      </c>
      <c r="P464" s="54" t="n">
        <f aca="false">SIGN(F464-I464)</f>
        <v>-1</v>
      </c>
      <c r="Q464" s="54" t="n">
        <f aca="false">IF(ABS(SUM(P457:P464))=8,1,0)</f>
        <v>0</v>
      </c>
    </row>
    <row r="465" customFormat="false" ht="15" hidden="false" customHeight="false" outlineLevel="0" collapsed="false">
      <c r="A465" s="52" t="n">
        <v>44523</v>
      </c>
      <c r="B465" s="53" t="n">
        <v>0.660685197388346</v>
      </c>
      <c r="C465" s="53" t="n">
        <v>0.531801948606488</v>
      </c>
      <c r="D465" s="53" t="n">
        <v>0.398748096210343</v>
      </c>
      <c r="E465" s="54" t="s">
        <v>946</v>
      </c>
      <c r="F465" s="53" t="n">
        <f aca="false">AVERAGE(B465:D465)</f>
        <v>0.530411747401726</v>
      </c>
      <c r="G465" s="53" t="n">
        <f aca="false">MAX(B465:D465)-MIN(B465:D465)</f>
        <v>0.261937101178003</v>
      </c>
      <c r="H465" s="54" t="n">
        <f aca="false">IF(AND(E465="Phase I",OR(F465&gt;$E$6,F465&lt;$E$7,G465&gt;$E$8)),1,0)</f>
        <v>0</v>
      </c>
      <c r="I465" s="53" t="n">
        <f aca="false">$H$4</f>
        <v>0.67278149898986</v>
      </c>
      <c r="J465" s="53" t="n">
        <f aca="false">$H$6</f>
        <v>0.959137233677579</v>
      </c>
      <c r="K465" s="53" t="n">
        <f aca="false">$H$7</f>
        <v>0.386425764302142</v>
      </c>
      <c r="L465" s="53" t="n">
        <f aca="false">$H$5</f>
        <v>0.279917629215756</v>
      </c>
      <c r="M465" s="53" t="n">
        <f aca="false">$H$8</f>
        <v>0.720507977601356</v>
      </c>
      <c r="N465" s="54" t="n">
        <f aca="false">IF(OR(F465&gt;J465,F465&lt;K465),1,0)</f>
        <v>0</v>
      </c>
      <c r="O465" s="54" t="n">
        <f aca="false">IF(G465&gt;M465,1,0)</f>
        <v>0</v>
      </c>
      <c r="P465" s="54" t="n">
        <f aca="false">SIGN(F465-I465)</f>
        <v>-1</v>
      </c>
      <c r="Q465" s="54" t="n">
        <f aca="false">IF(ABS(SUM(P458:P465))=8,1,0)</f>
        <v>0</v>
      </c>
    </row>
    <row r="466" customFormat="false" ht="15" hidden="false" customHeight="false" outlineLevel="0" collapsed="false">
      <c r="A466" s="52" t="n">
        <v>44524</v>
      </c>
      <c r="B466" s="53" t="n">
        <v>0.0011835206206992</v>
      </c>
      <c r="C466" s="53" t="n">
        <v>0.656555486388216</v>
      </c>
      <c r="D466" s="53" t="n">
        <v>0.630419752393324</v>
      </c>
      <c r="E466" s="54" t="s">
        <v>946</v>
      </c>
      <c r="F466" s="53" t="n">
        <f aca="false">AVERAGE(B466:D466)</f>
        <v>0.42938625313408</v>
      </c>
      <c r="G466" s="53" t="n">
        <f aca="false">MAX(B466:D466)-MIN(B466:D466)</f>
        <v>0.655371965767517</v>
      </c>
      <c r="H466" s="54" t="n">
        <f aca="false">IF(AND(E466="Phase I",OR(F466&gt;$E$6,F466&lt;$E$7,G466&gt;$E$8)),1,0)</f>
        <v>0</v>
      </c>
      <c r="I466" s="53" t="n">
        <f aca="false">$H$4</f>
        <v>0.67278149898986</v>
      </c>
      <c r="J466" s="53" t="n">
        <f aca="false">$H$6</f>
        <v>0.959137233677579</v>
      </c>
      <c r="K466" s="53" t="n">
        <f aca="false">$H$7</f>
        <v>0.386425764302142</v>
      </c>
      <c r="L466" s="53" t="n">
        <f aca="false">$H$5</f>
        <v>0.279917629215756</v>
      </c>
      <c r="M466" s="53" t="n">
        <f aca="false">$H$8</f>
        <v>0.720507977601356</v>
      </c>
      <c r="N466" s="54" t="n">
        <f aca="false">IF(OR(F466&gt;J466,F466&lt;K466),1,0)</f>
        <v>0</v>
      </c>
      <c r="O466" s="54" t="n">
        <f aca="false">IF(G466&gt;M466,1,0)</f>
        <v>0</v>
      </c>
      <c r="P466" s="54" t="n">
        <f aca="false">SIGN(F466-I466)</f>
        <v>-1</v>
      </c>
      <c r="Q466" s="54" t="n">
        <f aca="false">IF(ABS(SUM(P459:P466))=8,1,0)</f>
        <v>0</v>
      </c>
    </row>
    <row r="467" customFormat="false" ht="15" hidden="false" customHeight="false" outlineLevel="0" collapsed="false">
      <c r="A467" s="52" t="n">
        <v>44525</v>
      </c>
      <c r="B467" s="53" t="n">
        <v>0.715705839804722</v>
      </c>
      <c r="C467" s="53" t="n">
        <v>0.703378437437346</v>
      </c>
      <c r="D467" s="53" t="n">
        <v>0.570770186528131</v>
      </c>
      <c r="E467" s="54" t="s">
        <v>946</v>
      </c>
      <c r="F467" s="53" t="n">
        <f aca="false">AVERAGE(B467:D467)</f>
        <v>0.663284821256733</v>
      </c>
      <c r="G467" s="53" t="n">
        <f aca="false">MAX(B467:D467)-MIN(B467:D467)</f>
        <v>0.144935653276591</v>
      </c>
      <c r="H467" s="54" t="n">
        <f aca="false">IF(AND(E467="Phase I",OR(F467&gt;$E$6,F467&lt;$E$7,G467&gt;$E$8)),1,0)</f>
        <v>0</v>
      </c>
      <c r="I467" s="53" t="n">
        <f aca="false">$H$4</f>
        <v>0.67278149898986</v>
      </c>
      <c r="J467" s="53" t="n">
        <f aca="false">$H$6</f>
        <v>0.959137233677579</v>
      </c>
      <c r="K467" s="53" t="n">
        <f aca="false">$H$7</f>
        <v>0.386425764302142</v>
      </c>
      <c r="L467" s="53" t="n">
        <f aca="false">$H$5</f>
        <v>0.279917629215756</v>
      </c>
      <c r="M467" s="53" t="n">
        <f aca="false">$H$8</f>
        <v>0.720507977601356</v>
      </c>
      <c r="N467" s="54" t="n">
        <f aca="false">IF(OR(F467&gt;J467,F467&lt;K467),1,0)</f>
        <v>0</v>
      </c>
      <c r="O467" s="54" t="n">
        <f aca="false">IF(G467&gt;M467,1,0)</f>
        <v>0</v>
      </c>
      <c r="P467" s="54" t="n">
        <f aca="false">SIGN(F467-I467)</f>
        <v>-1</v>
      </c>
      <c r="Q467" s="54" t="n">
        <f aca="false">IF(ABS(SUM(P460:P467))=8,1,0)</f>
        <v>0</v>
      </c>
    </row>
    <row r="468" customFormat="false" ht="15" hidden="false" customHeight="false" outlineLevel="0" collapsed="false">
      <c r="A468" s="52" t="n">
        <v>44526</v>
      </c>
      <c r="B468" s="53" t="n">
        <v>0.550057270318333</v>
      </c>
      <c r="C468" s="53" t="n">
        <v>0.711541804174643</v>
      </c>
      <c r="D468" s="53" t="n">
        <v>0.670720430277033</v>
      </c>
      <c r="E468" s="54" t="s">
        <v>946</v>
      </c>
      <c r="F468" s="53" t="n">
        <f aca="false">AVERAGE(B468:D468)</f>
        <v>0.644106501590003</v>
      </c>
      <c r="G468" s="53" t="n">
        <f aca="false">MAX(B468:D468)-MIN(B468:D468)</f>
        <v>0.16148453385631</v>
      </c>
      <c r="H468" s="54" t="n">
        <f aca="false">IF(AND(E468="Phase I",OR(F468&gt;$E$6,F468&lt;$E$7,G468&gt;$E$8)),1,0)</f>
        <v>0</v>
      </c>
      <c r="I468" s="53" t="n">
        <f aca="false">$H$4</f>
        <v>0.67278149898986</v>
      </c>
      <c r="J468" s="53" t="n">
        <f aca="false">$H$6</f>
        <v>0.959137233677579</v>
      </c>
      <c r="K468" s="53" t="n">
        <f aca="false">$H$7</f>
        <v>0.386425764302142</v>
      </c>
      <c r="L468" s="53" t="n">
        <f aca="false">$H$5</f>
        <v>0.279917629215756</v>
      </c>
      <c r="M468" s="53" t="n">
        <f aca="false">$H$8</f>
        <v>0.720507977601356</v>
      </c>
      <c r="N468" s="54" t="n">
        <f aca="false">IF(OR(F468&gt;J468,F468&lt;K468),1,0)</f>
        <v>0</v>
      </c>
      <c r="O468" s="54" t="n">
        <f aca="false">IF(G468&gt;M468,1,0)</f>
        <v>0</v>
      </c>
      <c r="P468" s="54" t="n">
        <f aca="false">SIGN(F468-I468)</f>
        <v>-1</v>
      </c>
      <c r="Q468" s="54" t="n">
        <f aca="false">IF(ABS(SUM(P461:P468))=8,1,0)</f>
        <v>0</v>
      </c>
    </row>
    <row r="469" customFormat="false" ht="15" hidden="false" customHeight="false" outlineLevel="0" collapsed="false">
      <c r="A469" s="52" t="n">
        <v>44528</v>
      </c>
      <c r="B469" s="53" t="n">
        <v>0</v>
      </c>
      <c r="C469" s="53" t="n">
        <v>0.667398359132534</v>
      </c>
      <c r="D469" s="53" t="n">
        <v>0.791611103074821</v>
      </c>
      <c r="E469" s="54" t="s">
        <v>946</v>
      </c>
      <c r="F469" s="53" t="n">
        <f aca="false">AVERAGE(B469:D469)</f>
        <v>0.486336487402452</v>
      </c>
      <c r="G469" s="53" t="n">
        <f aca="false">MAX(B469:D469)-MIN(B469:D469)</f>
        <v>0.791611103074821</v>
      </c>
      <c r="H469" s="54" t="n">
        <f aca="false">IF(AND(E469="Phase I",OR(F469&gt;$E$6,F469&lt;$E$7,G469&gt;$E$8)),1,0)</f>
        <v>0</v>
      </c>
      <c r="I469" s="53" t="n">
        <f aca="false">$H$4</f>
        <v>0.67278149898986</v>
      </c>
      <c r="J469" s="53" t="n">
        <f aca="false">$H$6</f>
        <v>0.959137233677579</v>
      </c>
      <c r="K469" s="53" t="n">
        <f aca="false">$H$7</f>
        <v>0.386425764302142</v>
      </c>
      <c r="L469" s="53" t="n">
        <f aca="false">$H$5</f>
        <v>0.279917629215756</v>
      </c>
      <c r="M469" s="53" t="n">
        <f aca="false">$H$8</f>
        <v>0.720507977601356</v>
      </c>
      <c r="N469" s="54" t="n">
        <f aca="false">IF(OR(F469&gt;J469,F469&lt;K469),1,0)</f>
        <v>0</v>
      </c>
      <c r="O469" s="54" t="n">
        <f aca="false">IF(G469&gt;M469,1,0)</f>
        <v>1</v>
      </c>
      <c r="P469" s="54" t="n">
        <f aca="false">SIGN(F469-I469)</f>
        <v>-1</v>
      </c>
      <c r="Q469" s="54" t="n">
        <f aca="false">IF(ABS(SUM(P462:P469))=8,1,0)</f>
        <v>0</v>
      </c>
    </row>
    <row r="470" customFormat="false" ht="15" hidden="false" customHeight="false" outlineLevel="0" collapsed="false">
      <c r="A470" s="52" t="n">
        <v>44529</v>
      </c>
      <c r="B470" s="53" t="n">
        <v>0.701098952853686</v>
      </c>
      <c r="C470" s="53" t="n">
        <v>0.690532118493465</v>
      </c>
      <c r="D470" s="53" t="n">
        <v>0.61970549435389</v>
      </c>
      <c r="E470" s="54" t="s">
        <v>946</v>
      </c>
      <c r="F470" s="53" t="n">
        <f aca="false">AVERAGE(B470:D470)</f>
        <v>0.670445521900347</v>
      </c>
      <c r="G470" s="53" t="n">
        <f aca="false">MAX(B470:D470)-MIN(B470:D470)</f>
        <v>0.0813934584997968</v>
      </c>
      <c r="H470" s="54" t="n">
        <f aca="false">IF(AND(E470="Phase I",OR(F470&gt;$E$6,F470&lt;$E$7,G470&gt;$E$8)),1,0)</f>
        <v>0</v>
      </c>
      <c r="I470" s="53" t="n">
        <f aca="false">$H$4</f>
        <v>0.67278149898986</v>
      </c>
      <c r="J470" s="53" t="n">
        <f aca="false">$H$6</f>
        <v>0.959137233677579</v>
      </c>
      <c r="K470" s="53" t="n">
        <f aca="false">$H$7</f>
        <v>0.386425764302142</v>
      </c>
      <c r="L470" s="53" t="n">
        <f aca="false">$H$5</f>
        <v>0.279917629215756</v>
      </c>
      <c r="M470" s="53" t="n">
        <f aca="false">$H$8</f>
        <v>0.720507977601356</v>
      </c>
      <c r="N470" s="54" t="n">
        <f aca="false">IF(OR(F470&gt;J470,F470&lt;K470),1,0)</f>
        <v>0</v>
      </c>
      <c r="O470" s="54" t="n">
        <f aca="false">IF(G470&gt;M470,1,0)</f>
        <v>0</v>
      </c>
      <c r="P470" s="54" t="n">
        <f aca="false">SIGN(F470-I470)</f>
        <v>-1</v>
      </c>
      <c r="Q470" s="54" t="n">
        <f aca="false">IF(ABS(SUM(P463:P470))=8,1,0)</f>
        <v>0</v>
      </c>
    </row>
    <row r="471" customFormat="false" ht="15" hidden="false" customHeight="false" outlineLevel="0" collapsed="false">
      <c r="A471" s="52" t="n">
        <v>44530</v>
      </c>
      <c r="B471" s="53" t="n">
        <v>0.537766574120169</v>
      </c>
      <c r="C471" s="53" t="n">
        <v>0.890063473899098</v>
      </c>
      <c r="D471" s="53" t="n">
        <v>0.680984722086993</v>
      </c>
      <c r="E471" s="54" t="s">
        <v>946</v>
      </c>
      <c r="F471" s="53" t="n">
        <f aca="false">AVERAGE(B471:D471)</f>
        <v>0.702938256702086</v>
      </c>
      <c r="G471" s="53" t="n">
        <f aca="false">MAX(B471:D471)-MIN(B471:D471)</f>
        <v>0.352296899778929</v>
      </c>
      <c r="H471" s="54" t="n">
        <f aca="false">IF(AND(E471="Phase I",OR(F471&gt;$E$6,F471&lt;$E$7,G471&gt;$E$8)),1,0)</f>
        <v>0</v>
      </c>
      <c r="I471" s="53" t="n">
        <f aca="false">$H$4</f>
        <v>0.67278149898986</v>
      </c>
      <c r="J471" s="53" t="n">
        <f aca="false">$H$6</f>
        <v>0.959137233677579</v>
      </c>
      <c r="K471" s="53" t="n">
        <f aca="false">$H$7</f>
        <v>0.386425764302142</v>
      </c>
      <c r="L471" s="53" t="n">
        <f aca="false">$H$5</f>
        <v>0.279917629215756</v>
      </c>
      <c r="M471" s="53" t="n">
        <f aca="false">$H$8</f>
        <v>0.720507977601356</v>
      </c>
      <c r="N471" s="54" t="n">
        <f aca="false">IF(OR(F471&gt;J471,F471&lt;K471),1,0)</f>
        <v>0</v>
      </c>
      <c r="O471" s="54" t="n">
        <f aca="false">IF(G471&gt;M471,1,0)</f>
        <v>0</v>
      </c>
      <c r="P471" s="54" t="n">
        <f aca="false">SIGN(F471-I471)</f>
        <v>1</v>
      </c>
      <c r="Q471" s="54" t="n">
        <f aca="false">IF(ABS(SUM(P464:P471))=8,1,0)</f>
        <v>0</v>
      </c>
    </row>
    <row r="472" customFormat="false" ht="15" hidden="false" customHeight="false" outlineLevel="0" collapsed="false">
      <c r="A472" s="52" t="n">
        <v>44531</v>
      </c>
      <c r="B472" s="53" t="n">
        <v>0.71812366473985</v>
      </c>
      <c r="C472" s="53" t="n">
        <v>0.934261004723584</v>
      </c>
      <c r="D472" s="53" t="n">
        <v>0.703510587856695</v>
      </c>
      <c r="E472" s="54" t="s">
        <v>946</v>
      </c>
      <c r="F472" s="53" t="n">
        <f aca="false">AVERAGE(B472:D472)</f>
        <v>0.78529841910671</v>
      </c>
      <c r="G472" s="53" t="n">
        <f aca="false">MAX(B472:D472)-MIN(B472:D472)</f>
        <v>0.230750416866889</v>
      </c>
      <c r="H472" s="54" t="n">
        <f aca="false">IF(AND(E472="Phase I",OR(F472&gt;$E$6,F472&lt;$E$7,G472&gt;$E$8)),1,0)</f>
        <v>0</v>
      </c>
      <c r="I472" s="53" t="n">
        <f aca="false">$H$4</f>
        <v>0.67278149898986</v>
      </c>
      <c r="J472" s="53" t="n">
        <f aca="false">$H$6</f>
        <v>0.959137233677579</v>
      </c>
      <c r="K472" s="53" t="n">
        <f aca="false">$H$7</f>
        <v>0.386425764302142</v>
      </c>
      <c r="L472" s="53" t="n">
        <f aca="false">$H$5</f>
        <v>0.279917629215756</v>
      </c>
      <c r="M472" s="53" t="n">
        <f aca="false">$H$8</f>
        <v>0.720507977601356</v>
      </c>
      <c r="N472" s="54" t="n">
        <f aca="false">IF(OR(F472&gt;J472,F472&lt;K472),1,0)</f>
        <v>0</v>
      </c>
      <c r="O472" s="54" t="n">
        <f aca="false">IF(G472&gt;M472,1,0)</f>
        <v>0</v>
      </c>
      <c r="P472" s="54" t="n">
        <f aca="false">SIGN(F472-I472)</f>
        <v>1</v>
      </c>
      <c r="Q472" s="54" t="n">
        <f aca="false">IF(ABS(SUM(P465:P472))=8,1,0)</f>
        <v>0</v>
      </c>
    </row>
    <row r="473" customFormat="false" ht="15" hidden="false" customHeight="false" outlineLevel="0" collapsed="false">
      <c r="A473" s="52" t="n">
        <v>44532</v>
      </c>
      <c r="B473" s="53" t="n">
        <v>0.426772843299562</v>
      </c>
      <c r="C473" s="53" t="n">
        <v>0.596018584518619</v>
      </c>
      <c r="D473" s="53" t="n">
        <v>0.692496427054827</v>
      </c>
      <c r="E473" s="54" t="s">
        <v>946</v>
      </c>
      <c r="F473" s="53" t="n">
        <f aca="false">AVERAGE(B473:D473)</f>
        <v>0.571762618291003</v>
      </c>
      <c r="G473" s="53" t="n">
        <f aca="false">MAX(B473:D473)-MIN(B473:D473)</f>
        <v>0.265723583755265</v>
      </c>
      <c r="H473" s="54" t="n">
        <f aca="false">IF(AND(E473="Phase I",OR(F473&gt;$E$6,F473&lt;$E$7,G473&gt;$E$8)),1,0)</f>
        <v>0</v>
      </c>
      <c r="I473" s="53" t="n">
        <f aca="false">$H$4</f>
        <v>0.67278149898986</v>
      </c>
      <c r="J473" s="53" t="n">
        <f aca="false">$H$6</f>
        <v>0.959137233677579</v>
      </c>
      <c r="K473" s="53" t="n">
        <f aca="false">$H$7</f>
        <v>0.386425764302142</v>
      </c>
      <c r="L473" s="53" t="n">
        <f aca="false">$H$5</f>
        <v>0.279917629215756</v>
      </c>
      <c r="M473" s="53" t="n">
        <f aca="false">$H$8</f>
        <v>0.720507977601356</v>
      </c>
      <c r="N473" s="54" t="n">
        <f aca="false">IF(OR(F473&gt;J473,F473&lt;K473),1,0)</f>
        <v>0</v>
      </c>
      <c r="O473" s="54" t="n">
        <f aca="false">IF(G473&gt;M473,1,0)</f>
        <v>0</v>
      </c>
      <c r="P473" s="54" t="n">
        <f aca="false">SIGN(F473-I473)</f>
        <v>-1</v>
      </c>
      <c r="Q473" s="54" t="n">
        <f aca="false">IF(ABS(SUM(P466:P473))=8,1,0)</f>
        <v>0</v>
      </c>
    </row>
    <row r="474" customFormat="false" ht="15" hidden="false" customHeight="false" outlineLevel="0" collapsed="false">
      <c r="A474" s="52" t="n">
        <v>44533</v>
      </c>
      <c r="B474" s="53" t="n">
        <v>0.743387916966028</v>
      </c>
      <c r="C474" s="53" t="n">
        <v>0.642166022128209</v>
      </c>
      <c r="D474" s="53" t="n">
        <v>0.68232006725822</v>
      </c>
      <c r="E474" s="54" t="s">
        <v>946</v>
      </c>
      <c r="F474" s="53" t="n">
        <f aca="false">AVERAGE(B474:D474)</f>
        <v>0.689291335450819</v>
      </c>
      <c r="G474" s="53" t="n">
        <f aca="false">MAX(B474:D474)-MIN(B474:D474)</f>
        <v>0.101221894837819</v>
      </c>
      <c r="H474" s="54" t="n">
        <f aca="false">IF(AND(E474="Phase I",OR(F474&gt;$E$6,F474&lt;$E$7,G474&gt;$E$8)),1,0)</f>
        <v>0</v>
      </c>
      <c r="I474" s="53" t="n">
        <f aca="false">$H$4</f>
        <v>0.67278149898986</v>
      </c>
      <c r="J474" s="53" t="n">
        <f aca="false">$H$6</f>
        <v>0.959137233677579</v>
      </c>
      <c r="K474" s="53" t="n">
        <f aca="false">$H$7</f>
        <v>0.386425764302142</v>
      </c>
      <c r="L474" s="53" t="n">
        <f aca="false">$H$5</f>
        <v>0.279917629215756</v>
      </c>
      <c r="M474" s="53" t="n">
        <f aca="false">$H$8</f>
        <v>0.720507977601356</v>
      </c>
      <c r="N474" s="54" t="n">
        <f aca="false">IF(OR(F474&gt;J474,F474&lt;K474),1,0)</f>
        <v>0</v>
      </c>
      <c r="O474" s="54" t="n">
        <f aca="false">IF(G474&gt;M474,1,0)</f>
        <v>0</v>
      </c>
      <c r="P474" s="54" t="n">
        <f aca="false">SIGN(F474-I474)</f>
        <v>1</v>
      </c>
      <c r="Q474" s="54" t="n">
        <f aca="false">IF(ABS(SUM(P467:P474))=8,1,0)</f>
        <v>0</v>
      </c>
    </row>
    <row r="475" customFormat="false" ht="15" hidden="false" customHeight="false" outlineLevel="0" collapsed="false">
      <c r="A475" s="52" t="n">
        <v>44536</v>
      </c>
      <c r="B475" s="53" t="n">
        <v>0.695663004835914</v>
      </c>
      <c r="C475" s="53" t="n">
        <v>0.696572743949524</v>
      </c>
      <c r="D475" s="53" t="n">
        <v>0.62296068613523</v>
      </c>
      <c r="E475" s="54" t="s">
        <v>946</v>
      </c>
      <c r="F475" s="53" t="n">
        <f aca="false">AVERAGE(B475:D475)</f>
        <v>0.671732144973556</v>
      </c>
      <c r="G475" s="53" t="n">
        <f aca="false">MAX(B475:D475)-MIN(B475:D475)</f>
        <v>0.0736120578142941</v>
      </c>
      <c r="H475" s="54" t="n">
        <f aca="false">IF(AND(E475="Phase I",OR(F475&gt;$E$6,F475&lt;$E$7,G475&gt;$E$8)),1,0)</f>
        <v>0</v>
      </c>
      <c r="I475" s="53" t="n">
        <f aca="false">$H$4</f>
        <v>0.67278149898986</v>
      </c>
      <c r="J475" s="53" t="n">
        <f aca="false">$H$6</f>
        <v>0.959137233677579</v>
      </c>
      <c r="K475" s="53" t="n">
        <f aca="false">$H$7</f>
        <v>0.386425764302142</v>
      </c>
      <c r="L475" s="53" t="n">
        <f aca="false">$H$5</f>
        <v>0.279917629215756</v>
      </c>
      <c r="M475" s="53" t="n">
        <f aca="false">$H$8</f>
        <v>0.720507977601356</v>
      </c>
      <c r="N475" s="54" t="n">
        <f aca="false">IF(OR(F475&gt;J475,F475&lt;K475),1,0)</f>
        <v>0</v>
      </c>
      <c r="O475" s="54" t="n">
        <f aca="false">IF(G475&gt;M475,1,0)</f>
        <v>0</v>
      </c>
      <c r="P475" s="54" t="n">
        <f aca="false">SIGN(F475-I475)</f>
        <v>-1</v>
      </c>
      <c r="Q475" s="54" t="n">
        <f aca="false">IF(ABS(SUM(P468:P475))=8,1,0)</f>
        <v>0</v>
      </c>
    </row>
    <row r="476" customFormat="false" ht="15" hidden="false" customHeight="false" outlineLevel="0" collapsed="false">
      <c r="A476" s="52" t="n">
        <v>44537</v>
      </c>
      <c r="B476" s="53" t="n">
        <v>0.473187788891882</v>
      </c>
      <c r="C476" s="53" t="n">
        <v>0.707103199888591</v>
      </c>
      <c r="D476" s="53" t="n">
        <v>0.73638544855446</v>
      </c>
      <c r="E476" s="54" t="s">
        <v>946</v>
      </c>
      <c r="F476" s="53" t="n">
        <f aca="false">AVERAGE(B476:D476)</f>
        <v>0.638892145778311</v>
      </c>
      <c r="G476" s="53" t="n">
        <f aca="false">MAX(B476:D476)-MIN(B476:D476)</f>
        <v>0.263197659662578</v>
      </c>
      <c r="H476" s="54" t="n">
        <f aca="false">IF(AND(E476="Phase I",OR(F476&gt;$E$6,F476&lt;$E$7,G476&gt;$E$8)),1,0)</f>
        <v>0</v>
      </c>
      <c r="I476" s="53" t="n">
        <f aca="false">$H$4</f>
        <v>0.67278149898986</v>
      </c>
      <c r="J476" s="53" t="n">
        <f aca="false">$H$6</f>
        <v>0.959137233677579</v>
      </c>
      <c r="K476" s="53" t="n">
        <f aca="false">$H$7</f>
        <v>0.386425764302142</v>
      </c>
      <c r="L476" s="53" t="n">
        <f aca="false">$H$5</f>
        <v>0.279917629215756</v>
      </c>
      <c r="M476" s="53" t="n">
        <f aca="false">$H$8</f>
        <v>0.720507977601356</v>
      </c>
      <c r="N476" s="54" t="n">
        <f aca="false">IF(OR(F476&gt;J476,F476&lt;K476),1,0)</f>
        <v>0</v>
      </c>
      <c r="O476" s="54" t="n">
        <f aca="false">IF(G476&gt;M476,1,0)</f>
        <v>0</v>
      </c>
      <c r="P476" s="54" t="n">
        <f aca="false">SIGN(F476-I476)</f>
        <v>-1</v>
      </c>
      <c r="Q476" s="54" t="n">
        <f aca="false">IF(ABS(SUM(P469:P476))=8,1,0)</f>
        <v>0</v>
      </c>
    </row>
    <row r="477" customFormat="false" ht="15" hidden="false" customHeight="false" outlineLevel="0" collapsed="false">
      <c r="A477" s="52" t="n">
        <v>44538</v>
      </c>
      <c r="B477" s="53" t="n">
        <v>0.0162745231222148</v>
      </c>
      <c r="C477" s="53" t="n">
        <v>0.828919472507977</v>
      </c>
      <c r="D477" s="53" t="n">
        <v>0.770824259010583</v>
      </c>
      <c r="E477" s="54" t="s">
        <v>946</v>
      </c>
      <c r="F477" s="53" t="n">
        <f aca="false">AVERAGE(B477:D477)</f>
        <v>0.538672751546925</v>
      </c>
      <c r="G477" s="53" t="n">
        <f aca="false">MAX(B477:D477)-MIN(B477:D477)</f>
        <v>0.812644949385762</v>
      </c>
      <c r="H477" s="54" t="n">
        <f aca="false">IF(AND(E477="Phase I",OR(F477&gt;$E$6,F477&lt;$E$7,G477&gt;$E$8)),1,0)</f>
        <v>0</v>
      </c>
      <c r="I477" s="53" t="n">
        <f aca="false">$H$4</f>
        <v>0.67278149898986</v>
      </c>
      <c r="J477" s="53" t="n">
        <f aca="false">$H$6</f>
        <v>0.959137233677579</v>
      </c>
      <c r="K477" s="53" t="n">
        <f aca="false">$H$7</f>
        <v>0.386425764302142</v>
      </c>
      <c r="L477" s="53" t="n">
        <f aca="false">$H$5</f>
        <v>0.279917629215756</v>
      </c>
      <c r="M477" s="53" t="n">
        <f aca="false">$H$8</f>
        <v>0.720507977601356</v>
      </c>
      <c r="N477" s="54" t="n">
        <f aca="false">IF(OR(F477&gt;J477,F477&lt;K477),1,0)</f>
        <v>0</v>
      </c>
      <c r="O477" s="54" t="n">
        <f aca="false">IF(G477&gt;M477,1,0)</f>
        <v>1</v>
      </c>
      <c r="P477" s="54" t="n">
        <f aca="false">SIGN(F477-I477)</f>
        <v>-1</v>
      </c>
      <c r="Q477" s="54" t="n">
        <f aca="false">IF(ABS(SUM(P470:P477))=8,1,0)</f>
        <v>0</v>
      </c>
    </row>
    <row r="478" customFormat="false" ht="15" hidden="false" customHeight="false" outlineLevel="0" collapsed="false">
      <c r="A478" s="52" t="n">
        <v>44539</v>
      </c>
      <c r="B478" s="53" t="n">
        <v>0.327225232501912</v>
      </c>
      <c r="C478" s="53" t="n">
        <v>0.816078346070899</v>
      </c>
      <c r="D478" s="53" t="n">
        <v>0.571888528274297</v>
      </c>
      <c r="E478" s="54" t="s">
        <v>946</v>
      </c>
      <c r="F478" s="53" t="n">
        <f aca="false">AVERAGE(B478:D478)</f>
        <v>0.571730702282369</v>
      </c>
      <c r="G478" s="53" t="n">
        <f aca="false">MAX(B478:D478)-MIN(B478:D478)</f>
        <v>0.488853113568987</v>
      </c>
      <c r="H478" s="54" t="n">
        <f aca="false">IF(AND(E478="Phase I",OR(F478&gt;$E$6,F478&lt;$E$7,G478&gt;$E$8)),1,0)</f>
        <v>0</v>
      </c>
      <c r="I478" s="53" t="n">
        <f aca="false">$H$4</f>
        <v>0.67278149898986</v>
      </c>
      <c r="J478" s="53" t="n">
        <f aca="false">$H$6</f>
        <v>0.959137233677579</v>
      </c>
      <c r="K478" s="53" t="n">
        <f aca="false">$H$7</f>
        <v>0.386425764302142</v>
      </c>
      <c r="L478" s="53" t="n">
        <f aca="false">$H$5</f>
        <v>0.279917629215756</v>
      </c>
      <c r="M478" s="53" t="n">
        <f aca="false">$H$8</f>
        <v>0.720507977601356</v>
      </c>
      <c r="N478" s="54" t="n">
        <f aca="false">IF(OR(F478&gt;J478,F478&lt;K478),1,0)</f>
        <v>0</v>
      </c>
      <c r="O478" s="54" t="n">
        <f aca="false">IF(G478&gt;M478,1,0)</f>
        <v>0</v>
      </c>
      <c r="P478" s="54" t="n">
        <f aca="false">SIGN(F478-I478)</f>
        <v>-1</v>
      </c>
      <c r="Q478" s="54" t="n">
        <f aca="false">IF(ABS(SUM(P471:P478))=8,1,0)</f>
        <v>0</v>
      </c>
    </row>
    <row r="479" customFormat="false" ht="15" hidden="false" customHeight="false" outlineLevel="0" collapsed="false">
      <c r="A479" s="52" t="n">
        <v>44540</v>
      </c>
      <c r="B479" s="53" t="n">
        <v>0.501494580202244</v>
      </c>
      <c r="C479" s="53" t="n">
        <v>0.599892770782816</v>
      </c>
      <c r="D479" s="53" t="n">
        <v>0.408524056486636</v>
      </c>
      <c r="E479" s="54" t="s">
        <v>946</v>
      </c>
      <c r="F479" s="53" t="n">
        <f aca="false">AVERAGE(B479:D479)</f>
        <v>0.503303802490565</v>
      </c>
      <c r="G479" s="53" t="n">
        <f aca="false">MAX(B479:D479)-MIN(B479:D479)</f>
        <v>0.19136871429618</v>
      </c>
      <c r="H479" s="54" t="n">
        <f aca="false">IF(AND(E479="Phase I",OR(F479&gt;$E$6,F479&lt;$E$7,G479&gt;$E$8)),1,0)</f>
        <v>0</v>
      </c>
      <c r="I479" s="53" t="n">
        <f aca="false">$H$4</f>
        <v>0.67278149898986</v>
      </c>
      <c r="J479" s="53" t="n">
        <f aca="false">$H$6</f>
        <v>0.959137233677579</v>
      </c>
      <c r="K479" s="53" t="n">
        <f aca="false">$H$7</f>
        <v>0.386425764302142</v>
      </c>
      <c r="L479" s="53" t="n">
        <f aca="false">$H$5</f>
        <v>0.279917629215756</v>
      </c>
      <c r="M479" s="53" t="n">
        <f aca="false">$H$8</f>
        <v>0.720507977601356</v>
      </c>
      <c r="N479" s="54" t="n">
        <f aca="false">IF(OR(F479&gt;J479,F479&lt;K479),1,0)</f>
        <v>0</v>
      </c>
      <c r="O479" s="54" t="n">
        <f aca="false">IF(G479&gt;M479,1,0)</f>
        <v>0</v>
      </c>
      <c r="P479" s="54" t="n">
        <f aca="false">SIGN(F479-I479)</f>
        <v>-1</v>
      </c>
      <c r="Q479" s="54" t="n">
        <f aca="false">IF(ABS(SUM(P472:P479))=8,1,0)</f>
        <v>0</v>
      </c>
    </row>
    <row r="480" customFormat="false" ht="15" hidden="false" customHeight="false" outlineLevel="0" collapsed="false">
      <c r="A480" s="52" t="n">
        <v>44541</v>
      </c>
      <c r="B480" s="53" t="n">
        <v>0.716232628659101</v>
      </c>
      <c r="C480" s="53" t="n">
        <v>0.623061090690041</v>
      </c>
      <c r="D480" s="53" t="n">
        <v>0</v>
      </c>
      <c r="E480" s="54" t="s">
        <v>946</v>
      </c>
      <c r="F480" s="53" t="n">
        <f aca="false">AVERAGE(B480:D480)</f>
        <v>0.446431239783048</v>
      </c>
      <c r="G480" s="53" t="n">
        <f aca="false">MAX(B480:D480)-MIN(B480:D480)</f>
        <v>0.716232628659101</v>
      </c>
      <c r="H480" s="54" t="n">
        <f aca="false">IF(AND(E480="Phase I",OR(F480&gt;$E$6,F480&lt;$E$7,G480&gt;$E$8)),1,0)</f>
        <v>0</v>
      </c>
      <c r="I480" s="53" t="n">
        <f aca="false">$H$4</f>
        <v>0.67278149898986</v>
      </c>
      <c r="J480" s="53" t="n">
        <f aca="false">$H$6</f>
        <v>0.959137233677579</v>
      </c>
      <c r="K480" s="53" t="n">
        <f aca="false">$H$7</f>
        <v>0.386425764302142</v>
      </c>
      <c r="L480" s="53" t="n">
        <f aca="false">$H$5</f>
        <v>0.279917629215756</v>
      </c>
      <c r="M480" s="53" t="n">
        <f aca="false">$H$8</f>
        <v>0.720507977601356</v>
      </c>
      <c r="N480" s="54" t="n">
        <f aca="false">IF(OR(F480&gt;J480,F480&lt;K480),1,0)</f>
        <v>0</v>
      </c>
      <c r="O480" s="54" t="n">
        <f aca="false">IF(G480&gt;M480,1,0)</f>
        <v>0</v>
      </c>
      <c r="P480" s="54" t="n">
        <f aca="false">SIGN(F480-I480)</f>
        <v>-1</v>
      </c>
      <c r="Q480" s="54" t="n">
        <f aca="false">IF(ABS(SUM(P473:P480))=8,1,0)</f>
        <v>0</v>
      </c>
    </row>
    <row r="481" customFormat="false" ht="15" hidden="false" customHeight="false" outlineLevel="0" collapsed="false">
      <c r="A481" s="52" t="n">
        <v>44544</v>
      </c>
      <c r="B481" s="53" t="n">
        <v>0.316504961919162</v>
      </c>
      <c r="C481" s="53" t="n">
        <v>0.646255248458391</v>
      </c>
      <c r="D481" s="53" t="n">
        <v>0.847343697881247</v>
      </c>
      <c r="E481" s="54" t="s">
        <v>946</v>
      </c>
      <c r="F481" s="53" t="n">
        <f aca="false">AVERAGE(B481:D481)</f>
        <v>0.6033679694196</v>
      </c>
      <c r="G481" s="53" t="n">
        <f aca="false">MAX(B481:D481)-MIN(B481:D481)</f>
        <v>0.530838735962085</v>
      </c>
      <c r="H481" s="54" t="n">
        <f aca="false">IF(AND(E481="Phase I",OR(F481&gt;$E$6,F481&lt;$E$7,G481&gt;$E$8)),1,0)</f>
        <v>0</v>
      </c>
      <c r="I481" s="53" t="n">
        <f aca="false">$H$4</f>
        <v>0.67278149898986</v>
      </c>
      <c r="J481" s="53" t="n">
        <f aca="false">$H$6</f>
        <v>0.959137233677579</v>
      </c>
      <c r="K481" s="53" t="n">
        <f aca="false">$H$7</f>
        <v>0.386425764302142</v>
      </c>
      <c r="L481" s="53" t="n">
        <f aca="false">$H$5</f>
        <v>0.279917629215756</v>
      </c>
      <c r="M481" s="53" t="n">
        <f aca="false">$H$8</f>
        <v>0.720507977601356</v>
      </c>
      <c r="N481" s="54" t="n">
        <f aca="false">IF(OR(F481&gt;J481,F481&lt;K481),1,0)</f>
        <v>0</v>
      </c>
      <c r="O481" s="54" t="n">
        <f aca="false">IF(G481&gt;M481,1,0)</f>
        <v>0</v>
      </c>
      <c r="P481" s="54" t="n">
        <f aca="false">SIGN(F481-I481)</f>
        <v>-1</v>
      </c>
      <c r="Q481" s="54" t="n">
        <f aca="false">IF(ABS(SUM(P474:P481))=8,1,0)</f>
        <v>0</v>
      </c>
    </row>
    <row r="482" customFormat="false" ht="15" hidden="false" customHeight="false" outlineLevel="0" collapsed="false">
      <c r="A482" s="52" t="n">
        <v>44545</v>
      </c>
      <c r="B482" s="53" t="n">
        <v>0.677168737574817</v>
      </c>
      <c r="C482" s="53" t="n">
        <v>0.726622136627883</v>
      </c>
      <c r="D482" s="53" t="n">
        <v>0.644293095832434</v>
      </c>
      <c r="E482" s="54" t="s">
        <v>946</v>
      </c>
      <c r="F482" s="53" t="n">
        <f aca="false">AVERAGE(B482:D482)</f>
        <v>0.682694656678378</v>
      </c>
      <c r="G482" s="53" t="n">
        <f aca="false">MAX(B482:D482)-MIN(B482:D482)</f>
        <v>0.0823290407954489</v>
      </c>
      <c r="H482" s="54" t="n">
        <f aca="false">IF(AND(E482="Phase I",OR(F482&gt;$E$6,F482&lt;$E$7,G482&gt;$E$8)),1,0)</f>
        <v>0</v>
      </c>
      <c r="I482" s="53" t="n">
        <f aca="false">$H$4</f>
        <v>0.67278149898986</v>
      </c>
      <c r="J482" s="53" t="n">
        <f aca="false">$H$6</f>
        <v>0.959137233677579</v>
      </c>
      <c r="K482" s="53" t="n">
        <f aca="false">$H$7</f>
        <v>0.386425764302142</v>
      </c>
      <c r="L482" s="53" t="n">
        <f aca="false">$H$5</f>
        <v>0.279917629215756</v>
      </c>
      <c r="M482" s="53" t="n">
        <f aca="false">$H$8</f>
        <v>0.720507977601356</v>
      </c>
      <c r="N482" s="54" t="n">
        <f aca="false">IF(OR(F482&gt;J482,F482&lt;K482),1,0)</f>
        <v>0</v>
      </c>
      <c r="O482" s="54" t="n">
        <f aca="false">IF(G482&gt;M482,1,0)</f>
        <v>0</v>
      </c>
      <c r="P482" s="54" t="n">
        <f aca="false">SIGN(F482-I482)</f>
        <v>1</v>
      </c>
      <c r="Q482" s="54" t="n">
        <f aca="false">IF(ABS(SUM(P475:P482))=8,1,0)</f>
        <v>0</v>
      </c>
    </row>
    <row r="483" customFormat="false" ht="15" hidden="false" customHeight="false" outlineLevel="0" collapsed="false">
      <c r="A483" s="52" t="n">
        <v>44546</v>
      </c>
      <c r="B483" s="53" t="n">
        <v>0.688895233016461</v>
      </c>
      <c r="C483" s="53" t="n">
        <v>0.730744253224043</v>
      </c>
      <c r="D483" s="53" t="n">
        <v>0.644194938895828</v>
      </c>
      <c r="E483" s="54" t="s">
        <v>946</v>
      </c>
      <c r="F483" s="53" t="n">
        <f aca="false">AVERAGE(B483:D483)</f>
        <v>0.687944808378777</v>
      </c>
      <c r="G483" s="53" t="n">
        <f aca="false">MAX(B483:D483)-MIN(B483:D483)</f>
        <v>0.0865493143282148</v>
      </c>
      <c r="H483" s="54" t="n">
        <f aca="false">IF(AND(E483="Phase I",OR(F483&gt;$E$6,F483&lt;$E$7,G483&gt;$E$8)),1,0)</f>
        <v>0</v>
      </c>
      <c r="I483" s="53" t="n">
        <f aca="false">$H$4</f>
        <v>0.67278149898986</v>
      </c>
      <c r="J483" s="53" t="n">
        <f aca="false">$H$6</f>
        <v>0.959137233677579</v>
      </c>
      <c r="K483" s="53" t="n">
        <f aca="false">$H$7</f>
        <v>0.386425764302142</v>
      </c>
      <c r="L483" s="53" t="n">
        <f aca="false">$H$5</f>
        <v>0.279917629215756</v>
      </c>
      <c r="M483" s="53" t="n">
        <f aca="false">$H$8</f>
        <v>0.720507977601356</v>
      </c>
      <c r="N483" s="54" t="n">
        <f aca="false">IF(OR(F483&gt;J483,F483&lt;K483),1,0)</f>
        <v>0</v>
      </c>
      <c r="O483" s="54" t="n">
        <f aca="false">IF(G483&gt;M483,1,0)</f>
        <v>0</v>
      </c>
      <c r="P483" s="54" t="n">
        <f aca="false">SIGN(F483-I483)</f>
        <v>1</v>
      </c>
      <c r="Q483" s="54" t="n">
        <f aca="false">IF(ABS(SUM(P476:P483))=8,1,0)</f>
        <v>0</v>
      </c>
    </row>
    <row r="484" customFormat="false" ht="15" hidden="false" customHeight="false" outlineLevel="0" collapsed="false">
      <c r="A484" s="52" t="n">
        <v>44547</v>
      </c>
      <c r="B484" s="53" t="n">
        <v>0.648308307365105</v>
      </c>
      <c r="C484" s="53" t="n">
        <v>0.794479556035941</v>
      </c>
      <c r="D484" s="53" t="n">
        <v>0.723885825691933</v>
      </c>
      <c r="E484" s="54" t="s">
        <v>946</v>
      </c>
      <c r="F484" s="53" t="n">
        <f aca="false">AVERAGE(B484:D484)</f>
        <v>0.722224563030993</v>
      </c>
      <c r="G484" s="53" t="n">
        <f aca="false">MAX(B484:D484)-MIN(B484:D484)</f>
        <v>0.146171248670836</v>
      </c>
      <c r="H484" s="54" t="n">
        <f aca="false">IF(AND(E484="Phase I",OR(F484&gt;$E$6,F484&lt;$E$7,G484&gt;$E$8)),1,0)</f>
        <v>0</v>
      </c>
      <c r="I484" s="53" t="n">
        <f aca="false">$H$4</f>
        <v>0.67278149898986</v>
      </c>
      <c r="J484" s="53" t="n">
        <f aca="false">$H$6</f>
        <v>0.959137233677579</v>
      </c>
      <c r="K484" s="53" t="n">
        <f aca="false">$H$7</f>
        <v>0.386425764302142</v>
      </c>
      <c r="L484" s="53" t="n">
        <f aca="false">$H$5</f>
        <v>0.279917629215756</v>
      </c>
      <c r="M484" s="53" t="n">
        <f aca="false">$H$8</f>
        <v>0.720507977601356</v>
      </c>
      <c r="N484" s="54" t="n">
        <f aca="false">IF(OR(F484&gt;J484,F484&lt;K484),1,0)</f>
        <v>0</v>
      </c>
      <c r="O484" s="54" t="n">
        <f aca="false">IF(G484&gt;M484,1,0)</f>
        <v>0</v>
      </c>
      <c r="P484" s="54" t="n">
        <f aca="false">SIGN(F484-I484)</f>
        <v>1</v>
      </c>
      <c r="Q484" s="54" t="n">
        <f aca="false">IF(ABS(SUM(P477:P484))=8,1,0)</f>
        <v>0</v>
      </c>
    </row>
    <row r="485" customFormat="false" ht="15" hidden="false" customHeight="false" outlineLevel="0" collapsed="false">
      <c r="A485" s="52" t="n">
        <v>44549</v>
      </c>
      <c r="B485" s="53" t="n">
        <v>0.0780277875638842</v>
      </c>
      <c r="C485" s="53" t="n">
        <v>0.774939710286237</v>
      </c>
      <c r="D485" s="53" t="n">
        <v>0.645935350968634</v>
      </c>
      <c r="E485" s="54" t="s">
        <v>946</v>
      </c>
      <c r="F485" s="53" t="n">
        <f aca="false">AVERAGE(B485:D485)</f>
        <v>0.499634282939585</v>
      </c>
      <c r="G485" s="53" t="n">
        <f aca="false">MAX(B485:D485)-MIN(B485:D485)</f>
        <v>0.696911922722352</v>
      </c>
      <c r="H485" s="54" t="n">
        <f aca="false">IF(AND(E485="Phase I",OR(F485&gt;$E$6,F485&lt;$E$7,G485&gt;$E$8)),1,0)</f>
        <v>0</v>
      </c>
      <c r="I485" s="53" t="n">
        <f aca="false">$H$4</f>
        <v>0.67278149898986</v>
      </c>
      <c r="J485" s="53" t="n">
        <f aca="false">$H$6</f>
        <v>0.959137233677579</v>
      </c>
      <c r="K485" s="53" t="n">
        <f aca="false">$H$7</f>
        <v>0.386425764302142</v>
      </c>
      <c r="L485" s="53" t="n">
        <f aca="false">$H$5</f>
        <v>0.279917629215756</v>
      </c>
      <c r="M485" s="53" t="n">
        <f aca="false">$H$8</f>
        <v>0.720507977601356</v>
      </c>
      <c r="N485" s="54" t="n">
        <f aca="false">IF(OR(F485&gt;J485,F485&lt;K485),1,0)</f>
        <v>0</v>
      </c>
      <c r="O485" s="54" t="n">
        <f aca="false">IF(G485&gt;M485,1,0)</f>
        <v>0</v>
      </c>
      <c r="P485" s="54" t="n">
        <f aca="false">SIGN(F485-I485)</f>
        <v>-1</v>
      </c>
      <c r="Q485" s="54" t="n">
        <f aca="false">IF(ABS(SUM(P478:P485))=8,1,0)</f>
        <v>0</v>
      </c>
    </row>
    <row r="486" customFormat="false" ht="15" hidden="false" customHeight="false" outlineLevel="0" collapsed="false">
      <c r="A486" s="52" t="n">
        <v>44550</v>
      </c>
      <c r="B486" s="53" t="n">
        <v>0.680247388698691</v>
      </c>
      <c r="C486" s="53" t="n">
        <v>0.65636716036672</v>
      </c>
      <c r="D486" s="53" t="n">
        <v>0.58831257630152</v>
      </c>
      <c r="E486" s="54" t="s">
        <v>946</v>
      </c>
      <c r="F486" s="53" t="n">
        <f aca="false">AVERAGE(B486:D486)</f>
        <v>0.64164237512231</v>
      </c>
      <c r="G486" s="53" t="n">
        <f aca="false">MAX(B486:D486)-MIN(B486:D486)</f>
        <v>0.0919348123971716</v>
      </c>
      <c r="H486" s="54" t="n">
        <f aca="false">IF(AND(E486="Phase I",OR(F486&gt;$E$6,F486&lt;$E$7,G486&gt;$E$8)),1,0)</f>
        <v>0</v>
      </c>
      <c r="I486" s="53" t="n">
        <f aca="false">$H$4</f>
        <v>0.67278149898986</v>
      </c>
      <c r="J486" s="53" t="n">
        <f aca="false">$H$6</f>
        <v>0.959137233677579</v>
      </c>
      <c r="K486" s="53" t="n">
        <f aca="false">$H$7</f>
        <v>0.386425764302142</v>
      </c>
      <c r="L486" s="53" t="n">
        <f aca="false">$H$5</f>
        <v>0.279917629215756</v>
      </c>
      <c r="M486" s="53" t="n">
        <f aca="false">$H$8</f>
        <v>0.720507977601356</v>
      </c>
      <c r="N486" s="54" t="n">
        <f aca="false">IF(OR(F486&gt;J486,F486&lt;K486),1,0)</f>
        <v>0</v>
      </c>
      <c r="O486" s="54" t="n">
        <f aca="false">IF(G486&gt;M486,1,0)</f>
        <v>0</v>
      </c>
      <c r="P486" s="54" t="n">
        <f aca="false">SIGN(F486-I486)</f>
        <v>-1</v>
      </c>
      <c r="Q486" s="54" t="n">
        <f aca="false">IF(ABS(SUM(P479:P486))=8,1,0)</f>
        <v>0</v>
      </c>
    </row>
    <row r="487" customFormat="false" ht="15" hidden="false" customHeight="false" outlineLevel="0" collapsed="false">
      <c r="A487" s="52" t="n">
        <v>44551</v>
      </c>
      <c r="B487" s="53" t="n">
        <v>0.540815757460348</v>
      </c>
      <c r="C487" s="53" t="n">
        <v>0.793130297915474</v>
      </c>
      <c r="D487" s="53" t="n">
        <v>0.513659624323652</v>
      </c>
      <c r="E487" s="54" t="s">
        <v>946</v>
      </c>
      <c r="F487" s="53" t="n">
        <f aca="false">AVERAGE(B487:D487)</f>
        <v>0.615868559899825</v>
      </c>
      <c r="G487" s="53" t="n">
        <f aca="false">MAX(B487:D487)-MIN(B487:D487)</f>
        <v>0.279470673591822</v>
      </c>
      <c r="H487" s="54" t="n">
        <f aca="false">IF(AND(E487="Phase I",OR(F487&gt;$E$6,F487&lt;$E$7,G487&gt;$E$8)),1,0)</f>
        <v>0</v>
      </c>
      <c r="I487" s="53" t="n">
        <f aca="false">$H$4</f>
        <v>0.67278149898986</v>
      </c>
      <c r="J487" s="53" t="n">
        <f aca="false">$H$6</f>
        <v>0.959137233677579</v>
      </c>
      <c r="K487" s="53" t="n">
        <f aca="false">$H$7</f>
        <v>0.386425764302142</v>
      </c>
      <c r="L487" s="53" t="n">
        <f aca="false">$H$5</f>
        <v>0.279917629215756</v>
      </c>
      <c r="M487" s="53" t="n">
        <f aca="false">$H$8</f>
        <v>0.720507977601356</v>
      </c>
      <c r="N487" s="54" t="n">
        <f aca="false">IF(OR(F487&gt;J487,F487&lt;K487),1,0)</f>
        <v>0</v>
      </c>
      <c r="O487" s="54" t="n">
        <f aca="false">IF(G487&gt;M487,1,0)</f>
        <v>0</v>
      </c>
      <c r="P487" s="54" t="n">
        <f aca="false">SIGN(F487-I487)</f>
        <v>-1</v>
      </c>
      <c r="Q487" s="54" t="n">
        <f aca="false">IF(ABS(SUM(P480:P487))=8,1,0)</f>
        <v>0</v>
      </c>
    </row>
    <row r="488" customFormat="false" ht="15" hidden="false" customHeight="false" outlineLevel="0" collapsed="false">
      <c r="A488" s="52" t="n">
        <v>44552</v>
      </c>
      <c r="B488" s="53" t="n">
        <v>0.22688470785141</v>
      </c>
      <c r="C488" s="53" t="n">
        <v>0.902744611569856</v>
      </c>
      <c r="D488" s="53" t="n">
        <v>0.457848096808744</v>
      </c>
      <c r="E488" s="54" t="s">
        <v>946</v>
      </c>
      <c r="F488" s="53" t="n">
        <f aca="false">AVERAGE(B488:D488)</f>
        <v>0.529159138743336</v>
      </c>
      <c r="G488" s="53" t="n">
        <f aca="false">MAX(B488:D488)-MIN(B488:D488)</f>
        <v>0.675859903718446</v>
      </c>
      <c r="H488" s="54" t="n">
        <f aca="false">IF(AND(E488="Phase I",OR(F488&gt;$E$6,F488&lt;$E$7,G488&gt;$E$8)),1,0)</f>
        <v>0</v>
      </c>
      <c r="I488" s="53" t="n">
        <f aca="false">$H$4</f>
        <v>0.67278149898986</v>
      </c>
      <c r="J488" s="53" t="n">
        <f aca="false">$H$6</f>
        <v>0.959137233677579</v>
      </c>
      <c r="K488" s="53" t="n">
        <f aca="false">$H$7</f>
        <v>0.386425764302142</v>
      </c>
      <c r="L488" s="53" t="n">
        <f aca="false">$H$5</f>
        <v>0.279917629215756</v>
      </c>
      <c r="M488" s="53" t="n">
        <f aca="false">$H$8</f>
        <v>0.720507977601356</v>
      </c>
      <c r="N488" s="54" t="n">
        <f aca="false">IF(OR(F488&gt;J488,F488&lt;K488),1,0)</f>
        <v>0</v>
      </c>
      <c r="O488" s="54" t="n">
        <f aca="false">IF(G488&gt;M488,1,0)</f>
        <v>0</v>
      </c>
      <c r="P488" s="54" t="n">
        <f aca="false">SIGN(F488-I488)</f>
        <v>-1</v>
      </c>
      <c r="Q488" s="54" t="n">
        <f aca="false">IF(ABS(SUM(P481:P488))=8,1,0)</f>
        <v>0</v>
      </c>
    </row>
    <row r="489" customFormat="false" ht="15" hidden="false" customHeight="false" outlineLevel="0" collapsed="false">
      <c r="A489" s="52" t="n">
        <v>44553</v>
      </c>
      <c r="B489" s="53" t="n">
        <v>0.507888378900469</v>
      </c>
      <c r="C489" s="53" t="n">
        <v>0.676347622205956</v>
      </c>
      <c r="D489" s="53" t="n">
        <v>0.740250812295017</v>
      </c>
      <c r="E489" s="54" t="s">
        <v>946</v>
      </c>
      <c r="F489" s="53" t="n">
        <f aca="false">AVERAGE(B489:D489)</f>
        <v>0.641495604467147</v>
      </c>
      <c r="G489" s="53" t="n">
        <f aca="false">MAX(B489:D489)-MIN(B489:D489)</f>
        <v>0.232362433394548</v>
      </c>
      <c r="H489" s="54" t="n">
        <f aca="false">IF(AND(E489="Phase I",OR(F489&gt;$E$6,F489&lt;$E$7,G489&gt;$E$8)),1,0)</f>
        <v>0</v>
      </c>
      <c r="I489" s="53" t="n">
        <f aca="false">$H$4</f>
        <v>0.67278149898986</v>
      </c>
      <c r="J489" s="53" t="n">
        <f aca="false">$H$6</f>
        <v>0.959137233677579</v>
      </c>
      <c r="K489" s="53" t="n">
        <f aca="false">$H$7</f>
        <v>0.386425764302142</v>
      </c>
      <c r="L489" s="53" t="n">
        <f aca="false">$H$5</f>
        <v>0.279917629215756</v>
      </c>
      <c r="M489" s="53" t="n">
        <f aca="false">$H$8</f>
        <v>0.720507977601356</v>
      </c>
      <c r="N489" s="54" t="n">
        <f aca="false">IF(OR(F489&gt;J489,F489&lt;K489),1,0)</f>
        <v>0</v>
      </c>
      <c r="O489" s="54" t="n">
        <f aca="false">IF(G489&gt;M489,1,0)</f>
        <v>0</v>
      </c>
      <c r="P489" s="54" t="n">
        <f aca="false">SIGN(F489-I489)</f>
        <v>-1</v>
      </c>
      <c r="Q489" s="54" t="n">
        <f aca="false">IF(ABS(SUM(P482:P489))=8,1,0)</f>
        <v>0</v>
      </c>
    </row>
    <row r="490" customFormat="false" ht="15" hidden="false" customHeight="false" outlineLevel="0" collapsed="false">
      <c r="A490" s="52" t="n">
        <v>44556</v>
      </c>
      <c r="B490" s="53" t="n">
        <v>0.0180290668768656</v>
      </c>
      <c r="C490" s="53" t="n">
        <v>0.797289601626159</v>
      </c>
      <c r="D490" s="53" t="n">
        <v>0.603743753935178</v>
      </c>
      <c r="E490" s="54" t="s">
        <v>946</v>
      </c>
      <c r="F490" s="53" t="n">
        <f aca="false">AVERAGE(B490:D490)</f>
        <v>0.473020807479401</v>
      </c>
      <c r="G490" s="53" t="n">
        <f aca="false">MAX(B490:D490)-MIN(B490:D490)</f>
        <v>0.779260534749294</v>
      </c>
      <c r="H490" s="54" t="n">
        <f aca="false">IF(AND(E490="Phase I",OR(F490&gt;$E$6,F490&lt;$E$7,G490&gt;$E$8)),1,0)</f>
        <v>0</v>
      </c>
      <c r="I490" s="53" t="n">
        <f aca="false">$H$4</f>
        <v>0.67278149898986</v>
      </c>
      <c r="J490" s="53" t="n">
        <f aca="false">$H$6</f>
        <v>0.959137233677579</v>
      </c>
      <c r="K490" s="53" t="n">
        <f aca="false">$H$7</f>
        <v>0.386425764302142</v>
      </c>
      <c r="L490" s="53" t="n">
        <f aca="false">$H$5</f>
        <v>0.279917629215756</v>
      </c>
      <c r="M490" s="53" t="n">
        <f aca="false">$H$8</f>
        <v>0.720507977601356</v>
      </c>
      <c r="N490" s="54" t="n">
        <f aca="false">IF(OR(F490&gt;J490,F490&lt;K490),1,0)</f>
        <v>0</v>
      </c>
      <c r="O490" s="54" t="n">
        <f aca="false">IF(G490&gt;M490,1,0)</f>
        <v>1</v>
      </c>
      <c r="P490" s="54" t="n">
        <f aca="false">SIGN(F490-I490)</f>
        <v>-1</v>
      </c>
      <c r="Q490" s="54" t="n">
        <f aca="false">IF(ABS(SUM(P483:P490))=8,1,0)</f>
        <v>0</v>
      </c>
    </row>
    <row r="491" customFormat="false" ht="15" hidden="false" customHeight="false" outlineLevel="0" collapsed="false">
      <c r="A491" s="52" t="n">
        <v>44557</v>
      </c>
      <c r="B491" s="53" t="n">
        <v>0.717978557515226</v>
      </c>
      <c r="C491" s="53" t="n">
        <v>0.515036013004708</v>
      </c>
      <c r="D491" s="53" t="n">
        <v>0.668788035376867</v>
      </c>
      <c r="E491" s="54" t="s">
        <v>946</v>
      </c>
      <c r="F491" s="53" t="n">
        <f aca="false">AVERAGE(B491:D491)</f>
        <v>0.6339342019656</v>
      </c>
      <c r="G491" s="53" t="n">
        <f aca="false">MAX(B491:D491)-MIN(B491:D491)</f>
        <v>0.202942544510517</v>
      </c>
      <c r="H491" s="54" t="n">
        <f aca="false">IF(AND(E491="Phase I",OR(F491&gt;$E$6,F491&lt;$E$7,G491&gt;$E$8)),1,0)</f>
        <v>0</v>
      </c>
      <c r="I491" s="53" t="n">
        <f aca="false">$H$4</f>
        <v>0.67278149898986</v>
      </c>
      <c r="J491" s="53" t="n">
        <f aca="false">$H$6</f>
        <v>0.959137233677579</v>
      </c>
      <c r="K491" s="53" t="n">
        <f aca="false">$H$7</f>
        <v>0.386425764302142</v>
      </c>
      <c r="L491" s="53" t="n">
        <f aca="false">$H$5</f>
        <v>0.279917629215756</v>
      </c>
      <c r="M491" s="53" t="n">
        <f aca="false">$H$8</f>
        <v>0.720507977601356</v>
      </c>
      <c r="N491" s="54" t="n">
        <f aca="false">IF(OR(F491&gt;J491,F491&lt;K491),1,0)</f>
        <v>0</v>
      </c>
      <c r="O491" s="54" t="n">
        <f aca="false">IF(G491&gt;M491,1,0)</f>
        <v>0</v>
      </c>
      <c r="P491" s="54" t="n">
        <f aca="false">SIGN(F491-I491)</f>
        <v>-1</v>
      </c>
      <c r="Q491" s="54" t="n">
        <f aca="false">IF(ABS(SUM(P484:P491))=8,1,0)</f>
        <v>0</v>
      </c>
    </row>
    <row r="492" customFormat="false" ht="15" hidden="false" customHeight="false" outlineLevel="0" collapsed="false">
      <c r="A492" s="52" t="n">
        <v>44558</v>
      </c>
      <c r="B492" s="53" t="n">
        <v>0.780955940224174</v>
      </c>
      <c r="C492" s="53" t="n">
        <v>0.683671407828332</v>
      </c>
      <c r="D492" s="53" t="n">
        <v>0.0802366860914062</v>
      </c>
      <c r="E492" s="54" t="s">
        <v>946</v>
      </c>
      <c r="F492" s="53" t="n">
        <f aca="false">AVERAGE(B492:D492)</f>
        <v>0.514954678047971</v>
      </c>
      <c r="G492" s="53" t="n">
        <f aca="false">MAX(B492:D492)-MIN(B492:D492)</f>
        <v>0.700719254132768</v>
      </c>
      <c r="H492" s="54" t="n">
        <f aca="false">IF(AND(E492="Phase I",OR(F492&gt;$E$6,F492&lt;$E$7,G492&gt;$E$8)),1,0)</f>
        <v>0</v>
      </c>
      <c r="I492" s="53" t="n">
        <f aca="false">$H$4</f>
        <v>0.67278149898986</v>
      </c>
      <c r="J492" s="53" t="n">
        <f aca="false">$H$6</f>
        <v>0.959137233677579</v>
      </c>
      <c r="K492" s="53" t="n">
        <f aca="false">$H$7</f>
        <v>0.386425764302142</v>
      </c>
      <c r="L492" s="53" t="n">
        <f aca="false">$H$5</f>
        <v>0.279917629215756</v>
      </c>
      <c r="M492" s="53" t="n">
        <f aca="false">$H$8</f>
        <v>0.720507977601356</v>
      </c>
      <c r="N492" s="54" t="n">
        <f aca="false">IF(OR(F492&gt;J492,F492&lt;K492),1,0)</f>
        <v>0</v>
      </c>
      <c r="O492" s="54" t="n">
        <f aca="false">IF(G492&gt;M492,1,0)</f>
        <v>0</v>
      </c>
      <c r="P492" s="54" t="n">
        <f aca="false">SIGN(F492-I492)</f>
        <v>-1</v>
      </c>
      <c r="Q492" s="54" t="n">
        <f aca="false">IF(ABS(SUM(P485:P492))=8,1,0)</f>
        <v>1</v>
      </c>
    </row>
    <row r="493" customFormat="false" ht="15" hidden="false" customHeight="false" outlineLevel="0" collapsed="false">
      <c r="A493" s="52" t="n">
        <v>44559</v>
      </c>
      <c r="B493" s="53" t="n">
        <v>0.793391551384939</v>
      </c>
      <c r="C493" s="53" t="n">
        <v>0.682370261057642</v>
      </c>
      <c r="D493" s="53" t="n">
        <v>0.509970579172489</v>
      </c>
      <c r="E493" s="54" t="s">
        <v>946</v>
      </c>
      <c r="F493" s="53" t="n">
        <f aca="false">AVERAGE(B493:D493)</f>
        <v>0.661910797205023</v>
      </c>
      <c r="G493" s="53" t="n">
        <f aca="false">MAX(B493:D493)-MIN(B493:D493)</f>
        <v>0.283420972212449</v>
      </c>
      <c r="H493" s="54" t="n">
        <f aca="false">IF(AND(E493="Phase I",OR(F493&gt;$E$6,F493&lt;$E$7,G493&gt;$E$8)),1,0)</f>
        <v>0</v>
      </c>
      <c r="I493" s="53" t="n">
        <f aca="false">$H$4</f>
        <v>0.67278149898986</v>
      </c>
      <c r="J493" s="53" t="n">
        <f aca="false">$H$6</f>
        <v>0.959137233677579</v>
      </c>
      <c r="K493" s="53" t="n">
        <f aca="false">$H$7</f>
        <v>0.386425764302142</v>
      </c>
      <c r="L493" s="53" t="n">
        <f aca="false">$H$5</f>
        <v>0.279917629215756</v>
      </c>
      <c r="M493" s="53" t="n">
        <f aca="false">$H$8</f>
        <v>0.720507977601356</v>
      </c>
      <c r="N493" s="54" t="n">
        <f aca="false">IF(OR(F493&gt;J493,F493&lt;K493),1,0)</f>
        <v>0</v>
      </c>
      <c r="O493" s="54" t="n">
        <f aca="false">IF(G493&gt;M493,1,0)</f>
        <v>0</v>
      </c>
      <c r="P493" s="54" t="n">
        <f aca="false">SIGN(F493-I493)</f>
        <v>-1</v>
      </c>
      <c r="Q493" s="54" t="n">
        <f aca="false">IF(ABS(SUM(P486:P493))=8,1,0)</f>
        <v>1</v>
      </c>
    </row>
    <row r="494" customFormat="false" ht="15" hidden="false" customHeight="false" outlineLevel="0" collapsed="false">
      <c r="A494" s="52" t="n">
        <v>44560</v>
      </c>
      <c r="B494" s="53" t="n">
        <v>0.672098678202175</v>
      </c>
      <c r="C494" s="53" t="n">
        <v>0.726751618910801</v>
      </c>
      <c r="D494" s="53" t="n">
        <v>0.71177801324202</v>
      </c>
      <c r="E494" s="54" t="s">
        <v>946</v>
      </c>
      <c r="F494" s="53" t="n">
        <f aca="false">AVERAGE(B494:D494)</f>
        <v>0.703542770118332</v>
      </c>
      <c r="G494" s="53" t="n">
        <f aca="false">MAX(B494:D494)-MIN(B494:D494)</f>
        <v>0.0546529407086263</v>
      </c>
      <c r="H494" s="54" t="n">
        <f aca="false">IF(AND(E494="Phase I",OR(F494&gt;$E$6,F494&lt;$E$7,G494&gt;$E$8)),1,0)</f>
        <v>0</v>
      </c>
      <c r="I494" s="53" t="n">
        <f aca="false">$H$4</f>
        <v>0.67278149898986</v>
      </c>
      <c r="J494" s="53" t="n">
        <f aca="false">$H$6</f>
        <v>0.959137233677579</v>
      </c>
      <c r="K494" s="53" t="n">
        <f aca="false">$H$7</f>
        <v>0.386425764302142</v>
      </c>
      <c r="L494" s="53" t="n">
        <f aca="false">$H$5</f>
        <v>0.279917629215756</v>
      </c>
      <c r="M494" s="53" t="n">
        <f aca="false">$H$8</f>
        <v>0.720507977601356</v>
      </c>
      <c r="N494" s="54" t="n">
        <f aca="false">IF(OR(F494&gt;J494,F494&lt;K494),1,0)</f>
        <v>0</v>
      </c>
      <c r="O494" s="54" t="n">
        <f aca="false">IF(G494&gt;M494,1,0)</f>
        <v>0</v>
      </c>
      <c r="P494" s="54" t="n">
        <f aca="false">SIGN(F494-I494)</f>
        <v>1</v>
      </c>
      <c r="Q494" s="54" t="n">
        <f aca="false">IF(ABS(SUM(P487:P494))=8,1,0)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97A"/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947</v>
      </c>
    </row>
    <row r="2" customFormat="false" ht="15" hidden="false" customHeight="false" outlineLevel="0" collapsed="false">
      <c r="A2" s="2" t="s">
        <v>948</v>
      </c>
    </row>
    <row r="5" customFormat="false" ht="15" hidden="false" customHeight="false" outlineLevel="0" collapsed="false">
      <c r="A5" s="5" t="s">
        <v>949</v>
      </c>
      <c r="B5" s="30" t="n">
        <f aca="false">Inputs!$B$5</f>
        <v>0.65</v>
      </c>
    </row>
    <row r="6" customFormat="false" ht="15" hidden="false" customHeight="false" outlineLevel="0" collapsed="false">
      <c r="A6" s="5" t="s">
        <v>950</v>
      </c>
      <c r="B6" s="30" t="n">
        <f aca="false">AVERAGE(C1_XbarR_s1!B16:D494)</f>
        <v>0.620291958585423</v>
      </c>
    </row>
    <row r="7" customFormat="false" ht="15" hidden="false" customHeight="false" outlineLevel="0" collapsed="false">
      <c r="A7" s="5" t="s">
        <v>951</v>
      </c>
      <c r="B7" s="45" t="n">
        <f aca="false">STDEV(C1_XbarR_s1!B16:D494)</f>
        <v>0.239169583681836</v>
      </c>
    </row>
    <row r="8" customFormat="false" ht="15" hidden="false" customHeight="false" outlineLevel="0" collapsed="false">
      <c r="A8" s="5" t="s">
        <v>952</v>
      </c>
      <c r="B8" s="45" t="n">
        <f aca="false">C1_XbarR_s1!H10</f>
        <v>0.165338233441085</v>
      </c>
    </row>
    <row r="9" customFormat="false" ht="15" hidden="false" customHeight="false" outlineLevel="0" collapsed="false">
      <c r="A9" s="5" t="s">
        <v>953</v>
      </c>
      <c r="B9" s="26" t="n">
        <f aca="false">(B6-B5)/(3*B8)</f>
        <v>-0.0598934696798633</v>
      </c>
    </row>
    <row r="10" customFormat="false" ht="15" hidden="false" customHeight="false" outlineLevel="0" collapsed="false">
      <c r="A10" s="5" t="s">
        <v>954</v>
      </c>
      <c r="B10" s="26" t="n">
        <f aca="false">(B6-B5)/(3*B7)</f>
        <v>-0.0414044307770304</v>
      </c>
    </row>
    <row r="11" customFormat="false" ht="15" hidden="false" customHeight="false" outlineLevel="0" collapsed="false">
      <c r="A11" s="5" t="s">
        <v>955</v>
      </c>
      <c r="B11" s="30" t="n">
        <f aca="false">COUNTIF(C1_XbarR_s1!B16:D494,"&lt;"&amp;B5)/COUNT(C1_XbarR_s1!B16:D494)</f>
        <v>0.39874739039666</v>
      </c>
    </row>
    <row r="12" customFormat="false" ht="15" hidden="false" customHeight="false" outlineLevel="0" collapsed="false">
      <c r="A12" s="5" t="s">
        <v>956</v>
      </c>
      <c r="B12" s="30" t="n">
        <f aca="false">COUNTIF(C1_XbarR_s1!F16:F494,"&lt;"&amp;B5)/COUNT(C1_XbarR_s1!F16:F494)</f>
        <v>0.461377870563674</v>
      </c>
    </row>
    <row r="13" customFormat="false" ht="15" hidden="false" customHeight="false" outlineLevel="0" collapsed="false">
      <c r="A13" s="5" t="s">
        <v>957</v>
      </c>
      <c r="B13" s="26" t="n">
        <f aca="false">NORMSINV(1-B11)</f>
        <v>0.256590666622524</v>
      </c>
    </row>
    <row r="14" customFormat="false" ht="15" hidden="false" customHeight="false" outlineLevel="0" collapsed="false">
      <c r="A14" s="5" t="s">
        <v>958</v>
      </c>
      <c r="B14" s="7" t="str">
        <f aca="false">IF(B10&gt;=1.33,"Capable",IF(B10&gt;=1,"Marginal","NOT capable - centred below target and drifting down in 2021: improve first, then monitor"))</f>
        <v>NOT capable - centred below target and drifting down in 2021: improve first, then monitor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97A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959</v>
      </c>
    </row>
    <row r="2" customFormat="false" ht="15" hidden="false" customHeight="false" outlineLevel="0" collapsed="false">
      <c r="A2" s="2" t="s">
        <v>960</v>
      </c>
    </row>
    <row r="4" customFormat="false" ht="15" hidden="false" customHeight="false" outlineLevel="0" collapsed="false">
      <c r="A4" s="3" t="s">
        <v>961</v>
      </c>
      <c r="B4" s="3" t="s">
        <v>962</v>
      </c>
      <c r="C4" s="3" t="s">
        <v>963</v>
      </c>
      <c r="D4" s="3" t="s">
        <v>964</v>
      </c>
      <c r="E4" s="3" t="s">
        <v>965</v>
      </c>
      <c r="F4" s="3" t="s">
        <v>966</v>
      </c>
      <c r="G4" s="3" t="s">
        <v>649</v>
      </c>
    </row>
    <row r="5" customFormat="false" ht="23.85" hidden="false" customHeight="false" outlineLevel="0" collapsed="false">
      <c r="A5" s="4" t="s">
        <v>967</v>
      </c>
      <c r="B5" s="4" t="s">
        <v>968</v>
      </c>
      <c r="C5" s="4" t="s">
        <v>969</v>
      </c>
      <c r="D5" s="4" t="s">
        <v>970</v>
      </c>
      <c r="E5" s="4" t="s">
        <v>971</v>
      </c>
      <c r="F5" s="4" t="s">
        <v>972</v>
      </c>
      <c r="G5" s="4" t="s">
        <v>973</v>
      </c>
    </row>
    <row r="6" customFormat="false" ht="15" hidden="false" customHeight="false" outlineLevel="0" collapsed="false">
      <c r="A6" s="4" t="s">
        <v>974</v>
      </c>
      <c r="B6" s="4" t="s">
        <v>975</v>
      </c>
      <c r="C6" s="4" t="s">
        <v>976</v>
      </c>
      <c r="D6" s="4" t="s">
        <v>977</v>
      </c>
      <c r="E6" s="4" t="s">
        <v>978</v>
      </c>
      <c r="F6" s="4" t="s">
        <v>979</v>
      </c>
      <c r="G6" s="4" t="s">
        <v>657</v>
      </c>
    </row>
    <row r="7" customFormat="false" ht="15" hidden="false" customHeight="false" outlineLevel="0" collapsed="false">
      <c r="A7" s="4" t="s">
        <v>980</v>
      </c>
      <c r="B7" s="4" t="s">
        <v>981</v>
      </c>
      <c r="C7" s="4" t="s">
        <v>982</v>
      </c>
      <c r="D7" s="4" t="s">
        <v>228</v>
      </c>
      <c r="E7" s="4" t="s">
        <v>983</v>
      </c>
      <c r="F7" s="4" t="s">
        <v>984</v>
      </c>
      <c r="G7" s="4" t="s">
        <v>985</v>
      </c>
    </row>
    <row r="8" customFormat="false" ht="15" hidden="false" customHeight="false" outlineLevel="0" collapsed="false">
      <c r="A8" s="4" t="s">
        <v>986</v>
      </c>
      <c r="B8" s="4" t="s">
        <v>987</v>
      </c>
      <c r="C8" s="4" t="s">
        <v>988</v>
      </c>
      <c r="D8" s="4" t="s">
        <v>989</v>
      </c>
      <c r="E8" s="4" t="s">
        <v>990</v>
      </c>
      <c r="F8" s="4" t="s">
        <v>991</v>
      </c>
      <c r="G8" s="4" t="s">
        <v>127</v>
      </c>
    </row>
    <row r="9" customFormat="false" ht="15" hidden="false" customHeight="false" outlineLevel="0" collapsed="false">
      <c r="A9" s="4" t="s">
        <v>992</v>
      </c>
      <c r="B9" s="4" t="s">
        <v>993</v>
      </c>
      <c r="C9" s="4" t="s">
        <v>994</v>
      </c>
      <c r="D9" s="4" t="s">
        <v>995</v>
      </c>
      <c r="E9" s="4" t="s">
        <v>996</v>
      </c>
      <c r="F9" s="4" t="s">
        <v>997</v>
      </c>
      <c r="G9" s="4" t="s">
        <v>998</v>
      </c>
    </row>
    <row r="10" customFormat="false" ht="15" hidden="false" customHeight="false" outlineLevel="0" collapsed="false">
      <c r="A10" s="4" t="s">
        <v>999</v>
      </c>
      <c r="B10" s="4" t="s">
        <v>1000</v>
      </c>
      <c r="C10" s="4" t="s">
        <v>1001</v>
      </c>
      <c r="D10" s="4" t="s">
        <v>228</v>
      </c>
      <c r="E10" s="4" t="s">
        <v>1002</v>
      </c>
      <c r="F10" s="4" t="s">
        <v>1003</v>
      </c>
      <c r="G10" s="4" t="s">
        <v>1004</v>
      </c>
    </row>
    <row r="11" customFormat="false" ht="23.85" hidden="false" customHeight="false" outlineLevel="0" collapsed="false">
      <c r="A11" s="4" t="s">
        <v>1005</v>
      </c>
      <c r="B11" s="4" t="s">
        <v>1006</v>
      </c>
      <c r="C11" s="4" t="s">
        <v>1007</v>
      </c>
      <c r="D11" s="4" t="s">
        <v>1008</v>
      </c>
      <c r="E11" s="4" t="s">
        <v>1009</v>
      </c>
      <c r="F11" s="4" t="s">
        <v>1010</v>
      </c>
      <c r="G11" s="4" t="s">
        <v>679</v>
      </c>
    </row>
    <row r="12" customFormat="false" ht="15" hidden="false" customHeight="false" outlineLevel="0" collapsed="false">
      <c r="A12" s="4" t="s">
        <v>1011</v>
      </c>
      <c r="B12" s="4" t="s">
        <v>1012</v>
      </c>
      <c r="C12" s="4" t="s">
        <v>1013</v>
      </c>
      <c r="D12" s="4" t="s">
        <v>1014</v>
      </c>
      <c r="E12" s="4" t="s">
        <v>1015</v>
      </c>
      <c r="F12" s="4" t="s">
        <v>1016</v>
      </c>
      <c r="G12" s="4" t="s">
        <v>1017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597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1018</v>
      </c>
    </row>
    <row r="2" customFormat="false" ht="15" hidden="false" customHeight="false" outlineLevel="0" collapsed="false">
      <c r="A2" s="2" t="s">
        <v>1019</v>
      </c>
    </row>
    <row r="4" customFormat="false" ht="15" hidden="false" customHeight="false" outlineLevel="0" collapsed="false">
      <c r="A4" s="3" t="s">
        <v>1020</v>
      </c>
      <c r="B4" s="3" t="s">
        <v>1021</v>
      </c>
      <c r="C4" s="3" t="s">
        <v>1022</v>
      </c>
      <c r="D4" s="3" t="s">
        <v>1023</v>
      </c>
    </row>
    <row r="5" customFormat="false" ht="23.85" hidden="false" customHeight="false" outlineLevel="0" collapsed="false">
      <c r="A5" s="4" t="s">
        <v>1024</v>
      </c>
      <c r="B5" s="4" t="s">
        <v>1025</v>
      </c>
      <c r="C5" s="4" t="s">
        <v>1026</v>
      </c>
      <c r="D5" s="4" t="s">
        <v>1027</v>
      </c>
    </row>
    <row r="6" customFormat="false" ht="15" hidden="false" customHeight="false" outlineLevel="0" collapsed="false">
      <c r="A6" s="4" t="s">
        <v>1028</v>
      </c>
      <c r="B6" s="4" t="s">
        <v>1029</v>
      </c>
      <c r="C6" s="4" t="s">
        <v>1030</v>
      </c>
      <c r="D6" s="4" t="s">
        <v>667</v>
      </c>
    </row>
    <row r="7" customFormat="false" ht="15" hidden="false" customHeight="false" outlineLevel="0" collapsed="false">
      <c r="A7" s="4" t="s">
        <v>1031</v>
      </c>
      <c r="B7" s="4" t="s">
        <v>1032</v>
      </c>
      <c r="C7" s="4" t="s">
        <v>1033</v>
      </c>
      <c r="D7" s="4" t="s">
        <v>1034</v>
      </c>
    </row>
    <row r="8" customFormat="false" ht="15" hidden="false" customHeight="false" outlineLevel="0" collapsed="false">
      <c r="A8" s="4" t="s">
        <v>1035</v>
      </c>
      <c r="B8" s="4" t="s">
        <v>1036</v>
      </c>
      <c r="C8" s="4" t="s">
        <v>1037</v>
      </c>
      <c r="D8" s="4" t="s">
        <v>1038</v>
      </c>
    </row>
    <row r="9" customFormat="false" ht="15" hidden="false" customHeight="false" outlineLevel="0" collapsed="false">
      <c r="A9" s="4" t="s">
        <v>1039</v>
      </c>
      <c r="B9" s="4" t="s">
        <v>1040</v>
      </c>
      <c r="C9" s="4" t="s">
        <v>1041</v>
      </c>
      <c r="D9" s="4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46.25" hidden="false" customHeight="false" outlineLevel="0" collapsed="false">
      <c r="A1" s="3" t="s">
        <v>1042</v>
      </c>
      <c r="B1" s="3" t="s">
        <v>1043</v>
      </c>
      <c r="C1" s="3" t="s">
        <v>1044</v>
      </c>
      <c r="D1" s="3" t="s">
        <v>1045</v>
      </c>
      <c r="E1" s="3" t="s">
        <v>1046</v>
      </c>
      <c r="F1" s="3" t="s">
        <v>1047</v>
      </c>
      <c r="G1" s="3" t="s">
        <v>1048</v>
      </c>
      <c r="H1" s="3" t="s">
        <v>1049</v>
      </c>
      <c r="I1" s="3" t="s">
        <v>1050</v>
      </c>
      <c r="J1" s="3" t="s">
        <v>1051</v>
      </c>
      <c r="K1" s="3" t="s">
        <v>1052</v>
      </c>
      <c r="L1" s="3" t="s">
        <v>1053</v>
      </c>
      <c r="M1" s="3" t="s">
        <v>1054</v>
      </c>
      <c r="N1" s="3" t="s">
        <v>1055</v>
      </c>
      <c r="O1" s="3" t="s">
        <v>1056</v>
      </c>
      <c r="P1" s="3" t="s">
        <v>1057</v>
      </c>
      <c r="Q1" s="3" t="s">
        <v>1058</v>
      </c>
      <c r="R1" s="3" t="s">
        <v>1059</v>
      </c>
    </row>
    <row r="2" customFormat="false" ht="15" hidden="false" customHeight="false" outlineLevel="0" collapsed="false">
      <c r="A2" s="0" t="s">
        <v>258</v>
      </c>
      <c r="B2" s="52" t="n">
        <v>43831</v>
      </c>
      <c r="C2" s="0" t="n">
        <v>67907.517</v>
      </c>
      <c r="D2" s="0" t="n">
        <v>8669.459</v>
      </c>
      <c r="E2" s="0" t="n">
        <v>59238.058</v>
      </c>
      <c r="F2" s="0" t="n">
        <v>48169.553</v>
      </c>
      <c r="G2" s="0" t="n">
        <v>42397.835</v>
      </c>
      <c r="H2" s="0" t="n">
        <v>5771.718</v>
      </c>
      <c r="I2" s="0" t="n">
        <v>7956.862</v>
      </c>
      <c r="J2" s="0" t="n">
        <v>3111.643</v>
      </c>
      <c r="K2" s="0" t="n">
        <v>34361.770625</v>
      </c>
      <c r="L2" s="0" t="n">
        <v>35647</v>
      </c>
      <c r="M2" s="0" t="n">
        <v>35449</v>
      </c>
      <c r="N2" s="0" t="n">
        <v>43</v>
      </c>
      <c r="O2" s="54" t="n">
        <f aca="false">YEAR(B2)</f>
        <v>2020</v>
      </c>
      <c r="P2" s="54" t="n">
        <f aca="false">IF(AND(E2&gt;=14400,K2&gt;0,L2&gt;0),1,0)</f>
        <v>1</v>
      </c>
      <c r="Q2" s="53" t="n">
        <f aca="false">IF(P2=1,F2/E2*MIN(L2/K2,1)*MIN(MAX(M2/L2,0),1),0)</f>
        <v>0.808635504602768</v>
      </c>
      <c r="R2" s="55" t="n">
        <f aca="false">IF(F2&gt;0,N2/(F2/3600),0)</f>
        <v>3.21364825619204</v>
      </c>
    </row>
    <row r="3" customFormat="false" ht="15" hidden="false" customHeight="false" outlineLevel="0" collapsed="false">
      <c r="A3" s="0" t="s">
        <v>258</v>
      </c>
      <c r="B3" s="52" t="n">
        <v>43832</v>
      </c>
      <c r="C3" s="0" t="n">
        <v>86162.098</v>
      </c>
      <c r="D3" s="0" t="n">
        <v>8016.058</v>
      </c>
      <c r="E3" s="0" t="n">
        <v>78146.04</v>
      </c>
      <c r="F3" s="0" t="n">
        <v>62934.874</v>
      </c>
      <c r="G3" s="0" t="n">
        <v>48460.113</v>
      </c>
      <c r="H3" s="0" t="n">
        <v>14474.761</v>
      </c>
      <c r="I3" s="0" t="n">
        <v>12097.257</v>
      </c>
      <c r="J3" s="0" t="n">
        <v>3113.909</v>
      </c>
      <c r="K3" s="0" t="n">
        <v>52255.6787083333</v>
      </c>
      <c r="L3" s="0" t="n">
        <v>46903</v>
      </c>
      <c r="M3" s="0" t="n">
        <v>46627</v>
      </c>
      <c r="N3" s="0" t="n">
        <v>85</v>
      </c>
      <c r="O3" s="54" t="n">
        <f aca="false">YEAR(B3)</f>
        <v>2020</v>
      </c>
      <c r="P3" s="54" t="n">
        <f aca="false">IF(AND(E3&gt;=14400,K3&gt;0,L3&gt;0),1,0)</f>
        <v>1</v>
      </c>
      <c r="Q3" s="53" t="n">
        <f aca="false">IF(P3=1,F3/E3*MIN(L3/K3,1)*MIN(MAX(M3/L3,0),1),0)</f>
        <v>0.718601918890154</v>
      </c>
      <c r="R3" s="55" t="n">
        <f aca="false">IF(F3&gt;0,N3/(F3/3600),0)</f>
        <v>4.862169105161</v>
      </c>
    </row>
    <row r="4" customFormat="false" ht="15" hidden="false" customHeight="false" outlineLevel="0" collapsed="false">
      <c r="A4" s="0" t="s">
        <v>258</v>
      </c>
      <c r="B4" s="52" t="n">
        <v>43833</v>
      </c>
      <c r="C4" s="0" t="n">
        <v>82386.926</v>
      </c>
      <c r="D4" s="0" t="n">
        <v>7362.958</v>
      </c>
      <c r="E4" s="0" t="n">
        <v>75023.968</v>
      </c>
      <c r="F4" s="0" t="n">
        <v>61655.218</v>
      </c>
      <c r="G4" s="0" t="n">
        <v>49086.719</v>
      </c>
      <c r="H4" s="0" t="n">
        <v>12568.499</v>
      </c>
      <c r="I4" s="0" t="n">
        <v>10712.968</v>
      </c>
      <c r="J4" s="0" t="n">
        <v>2655.782</v>
      </c>
      <c r="K4" s="0" t="n">
        <v>66283.0787569445</v>
      </c>
      <c r="L4" s="0" t="n">
        <v>52163</v>
      </c>
      <c r="M4" s="0" t="n">
        <v>51963</v>
      </c>
      <c r="N4" s="0" t="n">
        <v>78</v>
      </c>
      <c r="O4" s="54" t="n">
        <f aca="false">YEAR(B4)</f>
        <v>2020</v>
      </c>
      <c r="P4" s="54" t="n">
        <f aca="false">IF(AND(E4&gt;=14400,K4&gt;0,L4&gt;0),1,0)</f>
        <v>1</v>
      </c>
      <c r="Q4" s="53" t="n">
        <f aca="false">IF(P4=1,F4/E4*MIN(L4/K4,1)*MIN(MAX(M4/L4,0),1),0)</f>
        <v>0.64426027159226</v>
      </c>
      <c r="R4" s="55" t="n">
        <f aca="false">IF(F4&gt;0,N4/(F4/3600),0)</f>
        <v>4.55435904873453</v>
      </c>
    </row>
    <row r="5" customFormat="false" ht="15" hidden="false" customHeight="false" outlineLevel="0" collapsed="false">
      <c r="A5" s="0" t="s">
        <v>258</v>
      </c>
      <c r="B5" s="52" t="n">
        <v>43834</v>
      </c>
      <c r="C5" s="0" t="n">
        <v>25415.72</v>
      </c>
      <c r="D5" s="0" t="n">
        <v>5582.28</v>
      </c>
      <c r="E5" s="0" t="n">
        <v>19833.44</v>
      </c>
      <c r="F5" s="0" t="n">
        <v>15456.741</v>
      </c>
      <c r="G5" s="0" t="n">
        <v>14646.769</v>
      </c>
      <c r="H5" s="0" t="n">
        <v>809.972</v>
      </c>
      <c r="I5" s="0" t="n">
        <v>1310.509</v>
      </c>
      <c r="J5" s="0" t="n">
        <v>3066.19</v>
      </c>
      <c r="K5" s="0" t="n">
        <v>19320.92625</v>
      </c>
      <c r="L5" s="0" t="n">
        <v>18340</v>
      </c>
      <c r="M5" s="0" t="n">
        <v>18293</v>
      </c>
      <c r="N5" s="0" t="n">
        <v>10</v>
      </c>
      <c r="O5" s="54" t="n">
        <f aca="false">YEAR(B5)</f>
        <v>2020</v>
      </c>
      <c r="P5" s="54" t="n">
        <f aca="false">IF(AND(E5&gt;=14400,K5&gt;0,L5&gt;0),1,0)</f>
        <v>1</v>
      </c>
      <c r="Q5" s="53" t="n">
        <f aca="false">IF(P5=1,F5/E5*MIN(L5/K5,1)*MIN(MAX(M5/L5,0),1),0)</f>
        <v>0.737864939213772</v>
      </c>
      <c r="R5" s="55" t="n">
        <f aca="false">IF(F5&gt;0,N5/(F5/3600),0)</f>
        <v>2.32908088451505</v>
      </c>
    </row>
    <row r="6" customFormat="false" ht="15" hidden="false" customHeight="false" outlineLevel="0" collapsed="false">
      <c r="A6" s="0" t="s">
        <v>258</v>
      </c>
      <c r="B6" s="52" t="n">
        <v>43835</v>
      </c>
      <c r="C6" s="0" t="n">
        <v>58239.147</v>
      </c>
      <c r="D6" s="0" t="n">
        <v>3416.9</v>
      </c>
      <c r="E6" s="0" t="n">
        <v>54822.247</v>
      </c>
      <c r="F6" s="0" t="n">
        <v>47207.492</v>
      </c>
      <c r="G6" s="0" t="n">
        <v>38274.067</v>
      </c>
      <c r="H6" s="0" t="n">
        <v>8933.425</v>
      </c>
      <c r="I6" s="0" t="n">
        <v>5181.792</v>
      </c>
      <c r="J6" s="0" t="n">
        <v>2432.963</v>
      </c>
      <c r="K6" s="0" t="n">
        <v>36173.7028611111</v>
      </c>
      <c r="L6" s="0" t="n">
        <v>31613</v>
      </c>
      <c r="M6" s="0" t="n">
        <v>31408</v>
      </c>
      <c r="N6" s="0" t="n">
        <v>29</v>
      </c>
      <c r="O6" s="54" t="n">
        <f aca="false">YEAR(B6)</f>
        <v>2020</v>
      </c>
      <c r="P6" s="54" t="n">
        <f aca="false">IF(AND(E6&gt;=14400,K6&gt;0,L6&gt;0),1,0)</f>
        <v>1</v>
      </c>
      <c r="Q6" s="53" t="n">
        <f aca="false">IF(P6=1,F6/E6*MIN(L6/K6,1)*MIN(MAX(M6/L6,0),1),0)</f>
        <v>0.747655291904247</v>
      </c>
      <c r="R6" s="55" t="n">
        <f aca="false">IF(F6&gt;0,N6/(F6/3600),0)</f>
        <v>2.21151337588534</v>
      </c>
    </row>
    <row r="7" customFormat="false" ht="15" hidden="false" customHeight="false" outlineLevel="0" collapsed="false">
      <c r="A7" s="0" t="s">
        <v>258</v>
      </c>
      <c r="B7" s="52" t="n">
        <v>43836</v>
      </c>
      <c r="C7" s="0" t="n">
        <v>86088.328</v>
      </c>
      <c r="D7" s="0" t="n">
        <v>8458.929</v>
      </c>
      <c r="E7" s="0" t="n">
        <v>77629.399</v>
      </c>
      <c r="F7" s="0" t="n">
        <v>70259.159</v>
      </c>
      <c r="G7" s="0" t="n">
        <v>54746.669</v>
      </c>
      <c r="H7" s="0" t="n">
        <v>15512.49</v>
      </c>
      <c r="I7" s="0" t="n">
        <v>4665.739</v>
      </c>
      <c r="J7" s="0" t="n">
        <v>2704.501</v>
      </c>
      <c r="K7" s="0" t="n">
        <v>28878.7345555556</v>
      </c>
      <c r="L7" s="0" t="n">
        <v>28633</v>
      </c>
      <c r="M7" s="0" t="n">
        <v>28489</v>
      </c>
      <c r="N7" s="0" t="n">
        <v>39</v>
      </c>
      <c r="O7" s="54" t="n">
        <f aca="false">YEAR(B7)</f>
        <v>2020</v>
      </c>
      <c r="P7" s="54" t="n">
        <f aca="false">IF(AND(E7&gt;=14400,K7&gt;0,L7&gt;0),1,0)</f>
        <v>1</v>
      </c>
      <c r="Q7" s="53" t="n">
        <f aca="false">IF(P7=1,F7/E7*MIN(L7/K7,1)*MIN(MAX(M7/L7,0),1),0)</f>
        <v>0.89284438030008</v>
      </c>
      <c r="R7" s="55" t="n">
        <f aca="false">IF(F7&gt;0,N7/(F7/3600),0)</f>
        <v>1.99831597756529</v>
      </c>
    </row>
    <row r="8" customFormat="false" ht="15" hidden="false" customHeight="false" outlineLevel="0" collapsed="false">
      <c r="A8" s="0" t="s">
        <v>258</v>
      </c>
      <c r="B8" s="52" t="n">
        <v>43837</v>
      </c>
      <c r="C8" s="0" t="n">
        <v>82572.118</v>
      </c>
      <c r="D8" s="0" t="n">
        <v>8139.317</v>
      </c>
      <c r="E8" s="0" t="n">
        <v>74432.801</v>
      </c>
      <c r="F8" s="0" t="n">
        <v>68556.59</v>
      </c>
      <c r="G8" s="0" t="n">
        <v>54436.541</v>
      </c>
      <c r="H8" s="0" t="n">
        <v>14120.049</v>
      </c>
      <c r="I8" s="0" t="n">
        <v>3518.649</v>
      </c>
      <c r="J8" s="0" t="n">
        <v>2357.562</v>
      </c>
      <c r="K8" s="0" t="n">
        <v>84249.5429027778</v>
      </c>
      <c r="L8" s="0" t="n">
        <v>65782</v>
      </c>
      <c r="M8" s="0" t="n">
        <v>65552</v>
      </c>
      <c r="N8" s="0" t="n">
        <v>34</v>
      </c>
      <c r="O8" s="54" t="n">
        <f aca="false">YEAR(B8)</f>
        <v>2020</v>
      </c>
      <c r="P8" s="54" t="n">
        <f aca="false">IF(AND(E8&gt;=14400,K8&gt;0,L8&gt;0),1,0)</f>
        <v>1</v>
      </c>
      <c r="Q8" s="53" t="n">
        <f aca="false">IF(P8=1,F8/E8*MIN(L8/K8,1)*MIN(MAX(M8/L8,0),1),0)</f>
        <v>0.716643619653034</v>
      </c>
      <c r="R8" s="55" t="n">
        <f aca="false">IF(F8&gt;0,N8/(F8/3600),0)</f>
        <v>1.78538635016707</v>
      </c>
    </row>
    <row r="9" customFormat="false" ht="15" hidden="false" customHeight="false" outlineLevel="0" collapsed="false">
      <c r="A9" s="0" t="s">
        <v>258</v>
      </c>
      <c r="B9" s="52" t="n">
        <v>43838</v>
      </c>
      <c r="C9" s="0" t="n">
        <v>85891.307</v>
      </c>
      <c r="D9" s="0" t="n">
        <v>3396.818</v>
      </c>
      <c r="E9" s="0" t="n">
        <v>82494.489</v>
      </c>
      <c r="F9" s="0" t="n">
        <v>74698.129</v>
      </c>
      <c r="G9" s="0" t="n">
        <v>62210.077</v>
      </c>
      <c r="H9" s="0" t="n">
        <v>12488.052</v>
      </c>
      <c r="I9" s="0" t="n">
        <v>7354.94</v>
      </c>
      <c r="J9" s="0" t="n">
        <v>441.42</v>
      </c>
      <c r="K9" s="0" t="n">
        <v>63552.7873333333</v>
      </c>
      <c r="L9" s="0" t="n">
        <v>54051</v>
      </c>
      <c r="M9" s="0" t="n">
        <v>53783</v>
      </c>
      <c r="N9" s="0" t="n">
        <v>55</v>
      </c>
      <c r="O9" s="54" t="n">
        <f aca="false">YEAR(B9)</f>
        <v>2020</v>
      </c>
      <c r="P9" s="54" t="n">
        <f aca="false">IF(AND(E9&gt;=14400,K9&gt;0,L9&gt;0),1,0)</f>
        <v>1</v>
      </c>
      <c r="Q9" s="53" t="n">
        <f aca="false">IF(P9=1,F9/E9*MIN(L9/K9,1)*MIN(MAX(M9/L9,0),1),0)</f>
        <v>0.766293616609842</v>
      </c>
      <c r="R9" s="55" t="n">
        <f aca="false">IF(F9&gt;0,N9/(F9/3600),0)</f>
        <v>2.65066880055322</v>
      </c>
    </row>
    <row r="10" customFormat="false" ht="15" hidden="false" customHeight="false" outlineLevel="0" collapsed="false">
      <c r="A10" s="0" t="s">
        <v>258</v>
      </c>
      <c r="B10" s="52" t="n">
        <v>43839</v>
      </c>
      <c r="C10" s="0" t="n">
        <v>85224.727</v>
      </c>
      <c r="D10" s="0" t="n">
        <v>10182.098</v>
      </c>
      <c r="E10" s="0" t="n">
        <v>75042.629</v>
      </c>
      <c r="F10" s="0" t="n">
        <v>63126.28</v>
      </c>
      <c r="G10" s="0" t="n">
        <v>50783.68</v>
      </c>
      <c r="H10" s="0" t="n">
        <v>12342.6</v>
      </c>
      <c r="I10" s="0" t="n">
        <v>6968.291</v>
      </c>
      <c r="J10" s="0" t="n">
        <v>4948.058</v>
      </c>
      <c r="K10" s="0" t="n">
        <v>49046.0343611111</v>
      </c>
      <c r="L10" s="0" t="n">
        <v>41253</v>
      </c>
      <c r="M10" s="0" t="n">
        <v>40971</v>
      </c>
      <c r="N10" s="0" t="n">
        <v>47</v>
      </c>
      <c r="O10" s="54" t="n">
        <f aca="false">YEAR(B10)</f>
        <v>2020</v>
      </c>
      <c r="P10" s="54" t="n">
        <f aca="false">IF(AND(E10&gt;=14400,K10&gt;0,L10&gt;0),1,0)</f>
        <v>1</v>
      </c>
      <c r="Q10" s="53" t="n">
        <f aca="false">IF(P10=1,F10/E10*MIN(L10/K10,1)*MIN(MAX(M10/L10,0),1),0)</f>
        <v>0.702707878855479</v>
      </c>
      <c r="R10" s="55" t="n">
        <f aca="false">IF(F10&gt;0,N10/(F10/3600),0)</f>
        <v>2.68034168970514</v>
      </c>
    </row>
    <row r="11" customFormat="false" ht="15" hidden="false" customHeight="false" outlineLevel="0" collapsed="false">
      <c r="A11" s="0" t="s">
        <v>258</v>
      </c>
      <c r="B11" s="52" t="n">
        <v>43840</v>
      </c>
      <c r="C11" s="0" t="n">
        <v>85147.38</v>
      </c>
      <c r="D11" s="0" t="n">
        <v>7184.638</v>
      </c>
      <c r="E11" s="0" t="n">
        <v>77962.742</v>
      </c>
      <c r="F11" s="0" t="n">
        <v>63786.086</v>
      </c>
      <c r="G11" s="0" t="n">
        <v>55895.504</v>
      </c>
      <c r="H11" s="0" t="n">
        <v>7890.582</v>
      </c>
      <c r="I11" s="0" t="n">
        <v>11470.177</v>
      </c>
      <c r="J11" s="0" t="n">
        <v>2706.479</v>
      </c>
      <c r="K11" s="0" t="n">
        <v>80584.5450555556</v>
      </c>
      <c r="L11" s="0" t="n">
        <v>70715</v>
      </c>
      <c r="M11" s="0" t="n">
        <v>70551</v>
      </c>
      <c r="N11" s="0" t="n">
        <v>68</v>
      </c>
      <c r="O11" s="54" t="n">
        <f aca="false">YEAR(B11)</f>
        <v>2020</v>
      </c>
      <c r="P11" s="54" t="n">
        <f aca="false">IF(AND(E11&gt;=14400,K11&gt;0,L11&gt;0),1,0)</f>
        <v>1</v>
      </c>
      <c r="Q11" s="53" t="n">
        <f aca="false">IF(P11=1,F11/E11*MIN(L11/K11,1)*MIN(MAX(M11/L11,0),1),0)</f>
        <v>0.716292269987438</v>
      </c>
      <c r="R11" s="55" t="n">
        <f aca="false">IF(F11&gt;0,N11/(F11/3600),0)</f>
        <v>3.83782757888609</v>
      </c>
    </row>
    <row r="12" customFormat="false" ht="15" hidden="false" customHeight="false" outlineLevel="0" collapsed="false">
      <c r="A12" s="0" t="s">
        <v>258</v>
      </c>
      <c r="B12" s="52" t="n">
        <v>43841</v>
      </c>
      <c r="C12" s="0" t="n">
        <v>23148.88</v>
      </c>
      <c r="D12" s="0" t="n">
        <v>5660.24</v>
      </c>
      <c r="E12" s="0" t="n">
        <v>17488.64</v>
      </c>
      <c r="F12" s="0" t="n">
        <v>13282.39</v>
      </c>
      <c r="G12" s="0" t="n">
        <v>10732.66</v>
      </c>
      <c r="H12" s="0" t="n">
        <v>2549.73</v>
      </c>
      <c r="I12" s="0" t="n">
        <v>1333.13</v>
      </c>
      <c r="J12" s="0" t="n">
        <v>2873.12</v>
      </c>
      <c r="K12" s="0" t="n">
        <v>16602.9875</v>
      </c>
      <c r="L12" s="0" t="n">
        <v>13423</v>
      </c>
      <c r="M12" s="0" t="n">
        <v>13399</v>
      </c>
      <c r="N12" s="0" t="n">
        <v>11</v>
      </c>
      <c r="O12" s="54" t="n">
        <f aca="false">YEAR(B12)</f>
        <v>2020</v>
      </c>
      <c r="P12" s="54" t="n">
        <f aca="false">IF(AND(E12&gt;=14400,K12&gt;0,L12&gt;0),1,0)</f>
        <v>1</v>
      </c>
      <c r="Q12" s="53" t="n">
        <f aca="false">IF(P12=1,F12/E12*MIN(L12/K12,1)*MIN(MAX(M12/L12,0),1),0)</f>
        <v>0.612923589255654</v>
      </c>
      <c r="R12" s="55" t="n">
        <f aca="false">IF(F12&gt;0,N12/(F12/3600),0)</f>
        <v>2.98139115023727</v>
      </c>
    </row>
    <row r="13" customFormat="false" ht="15" hidden="false" customHeight="false" outlineLevel="0" collapsed="false">
      <c r="A13" s="0" t="s">
        <v>258</v>
      </c>
      <c r="B13" s="52" t="n">
        <v>43842</v>
      </c>
      <c r="C13" s="0" t="n">
        <v>81649.76</v>
      </c>
      <c r="D13" s="0" t="n">
        <v>21089.571</v>
      </c>
      <c r="E13" s="0" t="n">
        <v>60560.189</v>
      </c>
      <c r="F13" s="0" t="n">
        <v>19313.038</v>
      </c>
      <c r="G13" s="0" t="n">
        <v>14631.368</v>
      </c>
      <c r="H13" s="0" t="n">
        <v>4681.67</v>
      </c>
      <c r="I13" s="0" t="n">
        <v>7918.622</v>
      </c>
      <c r="J13" s="0" t="n">
        <v>33328.529</v>
      </c>
      <c r="K13" s="0" t="n">
        <v>0</v>
      </c>
      <c r="L13" s="0" t="n">
        <v>1991</v>
      </c>
      <c r="M13" s="0" t="n">
        <v>1950</v>
      </c>
      <c r="N13" s="0" t="n">
        <v>14</v>
      </c>
      <c r="O13" s="54" t="n">
        <f aca="false">YEAR(B13)</f>
        <v>2020</v>
      </c>
      <c r="P13" s="54" t="n">
        <f aca="false">IF(AND(E13&gt;=14400,K13&gt;0,L13&gt;0),1,0)</f>
        <v>0</v>
      </c>
      <c r="Q13" s="53" t="n">
        <f aca="false">IF(P13=1,F13/E13*MIN(L13/K13,1)*MIN(MAX(M13/L13,0),1),0)</f>
        <v>0</v>
      </c>
      <c r="R13" s="55" t="n">
        <f aca="false">IF(F13&gt;0,N13/(F13/3600),0)</f>
        <v>2.60963603965363</v>
      </c>
    </row>
    <row r="14" customFormat="false" ht="15" hidden="false" customHeight="false" outlineLevel="0" collapsed="false">
      <c r="A14" s="0" t="s">
        <v>258</v>
      </c>
      <c r="B14" s="52" t="n">
        <v>43843</v>
      </c>
      <c r="C14" s="0" t="n">
        <v>84128.803</v>
      </c>
      <c r="D14" s="0" t="n">
        <v>16330.315</v>
      </c>
      <c r="E14" s="0" t="n">
        <v>67798.488</v>
      </c>
      <c r="F14" s="0" t="n">
        <v>51597.502</v>
      </c>
      <c r="G14" s="0" t="n">
        <v>39053.68</v>
      </c>
      <c r="H14" s="0" t="n">
        <v>12543.822</v>
      </c>
      <c r="I14" s="0" t="n">
        <v>11311.53</v>
      </c>
      <c r="J14" s="0" t="n">
        <v>4889.456</v>
      </c>
      <c r="K14" s="0" t="n">
        <v>14415.7369444444</v>
      </c>
      <c r="L14" s="0" t="n">
        <v>13444</v>
      </c>
      <c r="M14" s="0" t="n">
        <v>13312</v>
      </c>
      <c r="N14" s="0" t="n">
        <v>53</v>
      </c>
      <c r="O14" s="54" t="n">
        <f aca="false">YEAR(B14)</f>
        <v>2020</v>
      </c>
      <c r="P14" s="54" t="n">
        <f aca="false">IF(AND(E14&gt;=14400,K14&gt;0,L14&gt;0),1,0)</f>
        <v>1</v>
      </c>
      <c r="Q14" s="53" t="n">
        <f aca="false">IF(P14=1,F14/E14*MIN(L14/K14,1)*MIN(MAX(M14/L14,0),1),0)</f>
        <v>0.702773097450907</v>
      </c>
      <c r="R14" s="55" t="n">
        <f aca="false">IF(F14&gt;0,N14/(F14/3600),0)</f>
        <v>3.69785343484264</v>
      </c>
    </row>
    <row r="15" customFormat="false" ht="15" hidden="false" customHeight="false" outlineLevel="0" collapsed="false">
      <c r="A15" s="0" t="s">
        <v>258</v>
      </c>
      <c r="B15" s="52" t="n">
        <v>43844</v>
      </c>
      <c r="C15" s="0" t="n">
        <v>86246.487</v>
      </c>
      <c r="D15" s="0" t="n">
        <v>3682.459</v>
      </c>
      <c r="E15" s="0" t="n">
        <v>82564.028</v>
      </c>
      <c r="F15" s="0" t="n">
        <v>71343.292</v>
      </c>
      <c r="G15" s="0" t="n">
        <v>64387.086</v>
      </c>
      <c r="H15" s="0" t="n">
        <v>6956.206</v>
      </c>
      <c r="I15" s="0" t="n">
        <v>10621.024</v>
      </c>
      <c r="J15" s="0" t="n">
        <v>599.712</v>
      </c>
      <c r="K15" s="0" t="n">
        <v>74973.20555</v>
      </c>
      <c r="L15" s="0" t="n">
        <v>68773</v>
      </c>
      <c r="M15" s="0" t="n">
        <v>68565</v>
      </c>
      <c r="N15" s="0" t="n">
        <v>67</v>
      </c>
      <c r="O15" s="54" t="n">
        <f aca="false">YEAR(B15)</f>
        <v>2020</v>
      </c>
      <c r="P15" s="54" t="n">
        <f aca="false">IF(AND(E15&gt;=14400,K15&gt;0,L15&gt;0),1,0)</f>
        <v>1</v>
      </c>
      <c r="Q15" s="53" t="n">
        <f aca="false">IF(P15=1,F15/E15*MIN(L15/K15,1)*MIN(MAX(M15/L15,0),1),0)</f>
        <v>0.790239389187652</v>
      </c>
      <c r="R15" s="55" t="n">
        <f aca="false">IF(F15&gt;0,N15/(F15/3600),0)</f>
        <v>3.38083642117328</v>
      </c>
    </row>
    <row r="16" customFormat="false" ht="15" hidden="false" customHeight="false" outlineLevel="0" collapsed="false">
      <c r="A16" s="0" t="s">
        <v>258</v>
      </c>
      <c r="B16" s="52" t="n">
        <v>43845</v>
      </c>
      <c r="C16" s="0" t="n">
        <v>83409.478</v>
      </c>
      <c r="D16" s="0" t="n">
        <v>7587.059</v>
      </c>
      <c r="E16" s="0" t="n">
        <v>75822.419</v>
      </c>
      <c r="F16" s="0" t="n">
        <v>52756.094</v>
      </c>
      <c r="G16" s="0" t="n">
        <v>49003.062</v>
      </c>
      <c r="H16" s="0" t="n">
        <v>3753.032</v>
      </c>
      <c r="I16" s="0" t="n">
        <v>18224.706</v>
      </c>
      <c r="J16" s="0" t="n">
        <v>4841.619</v>
      </c>
      <c r="K16" s="0" t="n">
        <v>52770.3176527778</v>
      </c>
      <c r="L16" s="0" t="n">
        <v>51027</v>
      </c>
      <c r="M16" s="0" t="n">
        <v>50904</v>
      </c>
      <c r="N16" s="0" t="n">
        <v>47</v>
      </c>
      <c r="O16" s="54" t="n">
        <f aca="false">YEAR(B16)</f>
        <v>2020</v>
      </c>
      <c r="P16" s="54" t="n">
        <f aca="false">IF(AND(E16&gt;=14400,K16&gt;0,L16&gt;0),1,0)</f>
        <v>1</v>
      </c>
      <c r="Q16" s="53" t="n">
        <f aca="false">IF(P16=1,F16/E16*MIN(L16/K16,1)*MIN(MAX(M16/L16,0),1),0)</f>
        <v>0.671177206736287</v>
      </c>
      <c r="R16" s="55" t="n">
        <f aca="false">IF(F16&gt;0,N16/(F16/3600),0)</f>
        <v>3.20721242175359</v>
      </c>
    </row>
    <row r="17" customFormat="false" ht="15" hidden="false" customHeight="false" outlineLevel="0" collapsed="false">
      <c r="A17" s="0" t="s">
        <v>258</v>
      </c>
      <c r="B17" s="52" t="n">
        <v>43846</v>
      </c>
      <c r="C17" s="0" t="n">
        <v>86103.494</v>
      </c>
      <c r="D17" s="0" t="n">
        <v>10402.644</v>
      </c>
      <c r="E17" s="0" t="n">
        <v>75700.85</v>
      </c>
      <c r="F17" s="0" t="n">
        <v>63591.505</v>
      </c>
      <c r="G17" s="0" t="n">
        <v>50445.495</v>
      </c>
      <c r="H17" s="0" t="n">
        <v>13146.01</v>
      </c>
      <c r="I17" s="0" t="n">
        <v>8384.024</v>
      </c>
      <c r="J17" s="0" t="n">
        <v>3725.321</v>
      </c>
      <c r="K17" s="0" t="n">
        <v>66879.5815</v>
      </c>
      <c r="L17" s="0" t="n">
        <v>55648</v>
      </c>
      <c r="M17" s="0" t="n">
        <v>55462</v>
      </c>
      <c r="N17" s="0" t="n">
        <v>45</v>
      </c>
      <c r="O17" s="54" t="n">
        <f aca="false">YEAR(B17)</f>
        <v>2020</v>
      </c>
      <c r="P17" s="54" t="n">
        <f aca="false">IF(AND(E17&gt;=14400,K17&gt;0,L17&gt;0),1,0)</f>
        <v>1</v>
      </c>
      <c r="Q17" s="53" t="n">
        <f aca="false">IF(P17=1,F17/E17*MIN(L17/K17,1)*MIN(MAX(M17/L17,0),1),0)</f>
        <v>0.696627038818313</v>
      </c>
      <c r="R17" s="55" t="n">
        <f aca="false">IF(F17&gt;0,N17/(F17/3600),0)</f>
        <v>2.54751008015929</v>
      </c>
    </row>
    <row r="18" customFormat="false" ht="15" hidden="false" customHeight="false" outlineLevel="0" collapsed="false">
      <c r="A18" s="0" t="s">
        <v>258</v>
      </c>
      <c r="B18" s="52" t="n">
        <v>43847</v>
      </c>
      <c r="C18" s="0" t="n">
        <v>82864.847</v>
      </c>
      <c r="D18" s="0" t="n">
        <v>4517.893</v>
      </c>
      <c r="E18" s="0" t="n">
        <v>78346.954</v>
      </c>
      <c r="F18" s="0" t="n">
        <v>71238.153</v>
      </c>
      <c r="G18" s="0" t="n">
        <v>59752.529</v>
      </c>
      <c r="H18" s="0" t="n">
        <v>11485.624</v>
      </c>
      <c r="I18" s="0" t="n">
        <v>6369.781</v>
      </c>
      <c r="J18" s="0" t="n">
        <v>739.02</v>
      </c>
      <c r="K18" s="0" t="n">
        <v>85907.0865069444</v>
      </c>
      <c r="L18" s="0" t="n">
        <v>73789</v>
      </c>
      <c r="M18" s="0" t="n">
        <v>73509</v>
      </c>
      <c r="N18" s="0" t="n">
        <v>59</v>
      </c>
      <c r="O18" s="54" t="n">
        <f aca="false">YEAR(B18)</f>
        <v>2020</v>
      </c>
      <c r="P18" s="54" t="n">
        <f aca="false">IF(AND(E18&gt;=14400,K18&gt;0,L18&gt;0),1,0)</f>
        <v>1</v>
      </c>
      <c r="Q18" s="53" t="n">
        <f aca="false">IF(P18=1,F18/E18*MIN(L18/K18,1)*MIN(MAX(M18/L18,0),1),0)</f>
        <v>0.778040239337383</v>
      </c>
      <c r="R18" s="55" t="n">
        <f aca="false">IF(F18&gt;0,N18/(F18/3600),0)</f>
        <v>2.98154838461351</v>
      </c>
    </row>
    <row r="19" customFormat="false" ht="15" hidden="false" customHeight="false" outlineLevel="0" collapsed="false">
      <c r="A19" s="0" t="s">
        <v>258</v>
      </c>
      <c r="B19" s="52" t="n">
        <v>43848</v>
      </c>
      <c r="C19" s="0" t="n">
        <v>21996.431</v>
      </c>
      <c r="D19" s="0" t="n">
        <v>1048.609</v>
      </c>
      <c r="E19" s="0" t="n">
        <v>20947.822</v>
      </c>
      <c r="F19" s="0" t="n">
        <v>12452.453</v>
      </c>
      <c r="G19" s="0" t="n">
        <v>8029.481</v>
      </c>
      <c r="H19" s="0" t="n">
        <v>4422.972</v>
      </c>
      <c r="I19" s="0" t="n">
        <v>6759.759</v>
      </c>
      <c r="J19" s="0" t="n">
        <v>1735.61</v>
      </c>
      <c r="K19" s="0" t="n">
        <v>16022.312125</v>
      </c>
      <c r="L19" s="0" t="n">
        <v>10248</v>
      </c>
      <c r="M19" s="0" t="n">
        <v>10159</v>
      </c>
      <c r="N19" s="0" t="n">
        <v>35</v>
      </c>
      <c r="O19" s="54" t="n">
        <f aca="false">YEAR(B19)</f>
        <v>2020</v>
      </c>
      <c r="P19" s="54" t="n">
        <f aca="false">IF(AND(E19&gt;=14400,K19&gt;0,L19&gt;0),1,0)</f>
        <v>1</v>
      </c>
      <c r="Q19" s="53" t="n">
        <f aca="false">IF(P19=1,F19/E19*MIN(L19/K19,1)*MIN(MAX(M19/L19,0),1),0)</f>
        <v>0.376913600551843</v>
      </c>
      <c r="R19" s="55" t="n">
        <f aca="false">IF(F19&gt;0,N19/(F19/3600),0)</f>
        <v>10.11848830106</v>
      </c>
    </row>
    <row r="20" customFormat="false" ht="15" hidden="false" customHeight="false" outlineLevel="0" collapsed="false">
      <c r="A20" s="0" t="s">
        <v>258</v>
      </c>
      <c r="B20" s="52" t="n">
        <v>43849</v>
      </c>
      <c r="C20" s="0" t="n">
        <v>38548.299</v>
      </c>
      <c r="D20" s="0" t="n">
        <v>8545.36</v>
      </c>
      <c r="E20" s="0" t="n">
        <v>30002.939</v>
      </c>
      <c r="F20" s="0" t="n">
        <v>24761.049</v>
      </c>
      <c r="G20" s="0" t="n">
        <v>17997.249</v>
      </c>
      <c r="H20" s="0" t="n">
        <v>6763.8</v>
      </c>
      <c r="I20" s="0" t="n">
        <v>1306.038</v>
      </c>
      <c r="J20" s="0" t="n">
        <v>3935.852</v>
      </c>
      <c r="K20" s="0" t="n">
        <v>7510.04795138889</v>
      </c>
      <c r="L20" s="0" t="n">
        <v>10205</v>
      </c>
      <c r="M20" s="0" t="n">
        <v>10154</v>
      </c>
      <c r="N20" s="0" t="n">
        <v>31</v>
      </c>
      <c r="O20" s="54" t="n">
        <f aca="false">YEAR(B20)</f>
        <v>2020</v>
      </c>
      <c r="P20" s="54" t="n">
        <f aca="false">IF(AND(E20&gt;=14400,K20&gt;0,L20&gt;0),1,0)</f>
        <v>1</v>
      </c>
      <c r="Q20" s="53" t="n">
        <f aca="false">IF(P20=1,F20/E20*MIN(L20/K20,1)*MIN(MAX(M20/L20,0),1),0)</f>
        <v>0.82116303386514</v>
      </c>
      <c r="R20" s="55" t="n">
        <f aca="false">IF(F20&gt;0,N20/(F20/3600),0)</f>
        <v>4.50707883983429</v>
      </c>
    </row>
    <row r="21" customFormat="false" ht="15" hidden="false" customHeight="false" outlineLevel="0" collapsed="false">
      <c r="A21" s="0" t="s">
        <v>258</v>
      </c>
      <c r="B21" s="52" t="n">
        <v>43850</v>
      </c>
      <c r="C21" s="0" t="n">
        <v>87861.197</v>
      </c>
      <c r="D21" s="0" t="n">
        <v>9505.482</v>
      </c>
      <c r="E21" s="0" t="n">
        <v>78355.715</v>
      </c>
      <c r="F21" s="0" t="n">
        <v>56278.851</v>
      </c>
      <c r="G21" s="0" t="n">
        <v>42613.725</v>
      </c>
      <c r="H21" s="0" t="n">
        <v>13665.126</v>
      </c>
      <c r="I21" s="0" t="n">
        <v>14769.442</v>
      </c>
      <c r="J21" s="0" t="n">
        <v>7307.422</v>
      </c>
      <c r="K21" s="0" t="n">
        <v>0</v>
      </c>
      <c r="L21" s="0" t="n">
        <v>8857</v>
      </c>
      <c r="M21" s="0" t="n">
        <v>8448</v>
      </c>
      <c r="N21" s="0" t="n">
        <v>60</v>
      </c>
      <c r="O21" s="54" t="n">
        <f aca="false">YEAR(B21)</f>
        <v>2020</v>
      </c>
      <c r="P21" s="54" t="n">
        <f aca="false">IF(AND(E21&gt;=14400,K21&gt;0,L21&gt;0),1,0)</f>
        <v>0</v>
      </c>
      <c r="Q21" s="53" t="n">
        <f aca="false">IF(P21=1,F21/E21*MIN(L21/K21,1)*MIN(MAX(M21/L21,0),1),0)</f>
        <v>0</v>
      </c>
      <c r="R21" s="55" t="n">
        <f aca="false">IF(F21&gt;0,N21/(F21/3600),0)</f>
        <v>3.8380314480834</v>
      </c>
    </row>
    <row r="22" customFormat="false" ht="15" hidden="false" customHeight="false" outlineLevel="0" collapsed="false">
      <c r="A22" s="0" t="s">
        <v>258</v>
      </c>
      <c r="B22" s="52" t="n">
        <v>43851</v>
      </c>
      <c r="C22" s="0" t="n">
        <v>80932.288</v>
      </c>
      <c r="D22" s="0" t="n">
        <v>3851.614</v>
      </c>
      <c r="E22" s="0" t="n">
        <v>77080.674</v>
      </c>
      <c r="F22" s="0" t="n">
        <v>63320.472</v>
      </c>
      <c r="G22" s="0" t="n">
        <v>49106.27</v>
      </c>
      <c r="H22" s="0" t="n">
        <v>14214.202</v>
      </c>
      <c r="I22" s="0" t="n">
        <v>6074.675</v>
      </c>
      <c r="J22" s="0" t="n">
        <v>7685.527</v>
      </c>
      <c r="K22" s="0" t="n">
        <v>19283.1130208333</v>
      </c>
      <c r="L22" s="0" t="n">
        <v>17232</v>
      </c>
      <c r="M22" s="0" t="n">
        <v>17013</v>
      </c>
      <c r="N22" s="0" t="n">
        <v>52</v>
      </c>
      <c r="O22" s="54" t="n">
        <f aca="false">YEAR(B22)</f>
        <v>2020</v>
      </c>
      <c r="P22" s="54" t="n">
        <f aca="false">IF(AND(E22&gt;=14400,K22&gt;0,L22&gt;0),1,0)</f>
        <v>1</v>
      </c>
      <c r="Q22" s="53" t="n">
        <f aca="false">IF(P22=1,F22/E22*MIN(L22/K22,1)*MIN(MAX(M22/L22,0),1),0)</f>
        <v>0.724773649349226</v>
      </c>
      <c r="R22" s="55" t="n">
        <f aca="false">IF(F22&gt;0,N22/(F22/3600),0)</f>
        <v>2.95638983866071</v>
      </c>
    </row>
    <row r="23" customFormat="false" ht="15" hidden="false" customHeight="false" outlineLevel="0" collapsed="false">
      <c r="A23" s="0" t="s">
        <v>258</v>
      </c>
      <c r="B23" s="52" t="n">
        <v>43852</v>
      </c>
      <c r="C23" s="0" t="n">
        <v>84417.819</v>
      </c>
      <c r="D23" s="0" t="n">
        <v>8802.758</v>
      </c>
      <c r="E23" s="0" t="n">
        <v>75615.061</v>
      </c>
      <c r="F23" s="0" t="n">
        <v>67075.655</v>
      </c>
      <c r="G23" s="0" t="n">
        <v>61307.636</v>
      </c>
      <c r="H23" s="0" t="n">
        <v>5768.019</v>
      </c>
      <c r="I23" s="0" t="n">
        <v>6256.597</v>
      </c>
      <c r="J23" s="0" t="n">
        <v>2282.809</v>
      </c>
      <c r="K23" s="0" t="n">
        <v>56210.4675</v>
      </c>
      <c r="L23" s="0" t="n">
        <v>52997</v>
      </c>
      <c r="M23" s="0" t="n">
        <v>52842</v>
      </c>
      <c r="N23" s="0" t="n">
        <v>55</v>
      </c>
      <c r="O23" s="54" t="n">
        <f aca="false">YEAR(B23)</f>
        <v>2020</v>
      </c>
      <c r="P23" s="54" t="n">
        <f aca="false">IF(AND(E23&gt;=14400,K23&gt;0,L23&gt;0),1,0)</f>
        <v>1</v>
      </c>
      <c r="Q23" s="53" t="n">
        <f aca="false">IF(P23=1,F23/E23*MIN(L23/K23,1)*MIN(MAX(M23/L23,0),1),0)</f>
        <v>0.833909007392266</v>
      </c>
      <c r="R23" s="55" t="n">
        <f aca="false">IF(F23&gt;0,N23/(F23/3600),0)</f>
        <v>2.95189066733676</v>
      </c>
    </row>
    <row r="24" customFormat="false" ht="15" hidden="false" customHeight="false" outlineLevel="0" collapsed="false">
      <c r="A24" s="0" t="s">
        <v>258</v>
      </c>
      <c r="B24" s="52" t="n">
        <v>43853</v>
      </c>
      <c r="C24" s="0" t="n">
        <v>83551.208</v>
      </c>
      <c r="D24" s="0" t="n">
        <v>7801.949</v>
      </c>
      <c r="E24" s="0" t="n">
        <v>75749.259</v>
      </c>
      <c r="F24" s="0" t="n">
        <v>56862.428</v>
      </c>
      <c r="G24" s="0" t="n">
        <v>50257.75</v>
      </c>
      <c r="H24" s="0" t="n">
        <v>6604.678</v>
      </c>
      <c r="I24" s="0" t="n">
        <v>8210.869</v>
      </c>
      <c r="J24" s="0" t="n">
        <v>10675.962</v>
      </c>
      <c r="K24" s="0" t="n">
        <v>23659.3296347222</v>
      </c>
      <c r="L24" s="0" t="n">
        <v>22284</v>
      </c>
      <c r="M24" s="0" t="n">
        <v>22145</v>
      </c>
      <c r="N24" s="0" t="n">
        <v>70</v>
      </c>
      <c r="O24" s="54" t="n">
        <f aca="false">YEAR(B24)</f>
        <v>2020</v>
      </c>
      <c r="P24" s="54" t="n">
        <f aca="false">IF(AND(E24&gt;=14400,K24&gt;0,L24&gt;0),1,0)</f>
        <v>1</v>
      </c>
      <c r="Q24" s="53" t="n">
        <f aca="false">IF(P24=1,F24/E24*MIN(L24/K24,1)*MIN(MAX(M24/L24,0),1),0)</f>
        <v>0.702619600123064</v>
      </c>
      <c r="R24" s="55" t="n">
        <f aca="false">IF(F24&gt;0,N24/(F24/3600),0)</f>
        <v>4.43174885180774</v>
      </c>
    </row>
    <row r="25" customFormat="false" ht="15" hidden="false" customHeight="false" outlineLevel="0" collapsed="false">
      <c r="A25" s="0" t="s">
        <v>258</v>
      </c>
      <c r="B25" s="52" t="n">
        <v>43854</v>
      </c>
      <c r="C25" s="0" t="n">
        <v>86413.806</v>
      </c>
      <c r="D25" s="0" t="n">
        <v>2913.138</v>
      </c>
      <c r="E25" s="0" t="n">
        <v>83500.668</v>
      </c>
      <c r="F25" s="0" t="n">
        <v>69675.902</v>
      </c>
      <c r="G25" s="0" t="n">
        <v>58454.298</v>
      </c>
      <c r="H25" s="0" t="n">
        <v>11221.604</v>
      </c>
      <c r="I25" s="0" t="n">
        <v>13654.826</v>
      </c>
      <c r="J25" s="0" t="n">
        <v>169.94</v>
      </c>
      <c r="K25" s="0" t="n">
        <v>60337.69</v>
      </c>
      <c r="L25" s="0" t="n">
        <v>57301</v>
      </c>
      <c r="M25" s="0" t="n">
        <v>56817</v>
      </c>
      <c r="N25" s="0" t="n">
        <v>80</v>
      </c>
      <c r="O25" s="54" t="n">
        <f aca="false">YEAR(B25)</f>
        <v>2020</v>
      </c>
      <c r="P25" s="54" t="n">
        <f aca="false">IF(AND(E25&gt;=14400,K25&gt;0,L25&gt;0),1,0)</f>
        <v>1</v>
      </c>
      <c r="Q25" s="53" t="n">
        <f aca="false">IF(P25=1,F25/E25*MIN(L25/K25,1)*MIN(MAX(M25/L25,0),1),0)</f>
        <v>0.785746163482841</v>
      </c>
      <c r="R25" s="55" t="n">
        <f aca="false">IF(F25&gt;0,N25/(F25/3600),0)</f>
        <v>4.13342334628119</v>
      </c>
    </row>
    <row r="26" customFormat="false" ht="15" hidden="false" customHeight="false" outlineLevel="0" collapsed="false">
      <c r="A26" s="0" t="s">
        <v>258</v>
      </c>
      <c r="B26" s="52" t="n">
        <v>43855</v>
      </c>
      <c r="C26" s="0" t="n">
        <v>25162.85</v>
      </c>
      <c r="D26" s="0" t="n">
        <v>7001.779</v>
      </c>
      <c r="E26" s="0" t="n">
        <v>18161.071</v>
      </c>
      <c r="F26" s="0" t="n">
        <v>10280.86</v>
      </c>
      <c r="G26" s="0" t="n">
        <v>9246.372</v>
      </c>
      <c r="H26" s="0" t="n">
        <v>1034.488</v>
      </c>
      <c r="I26" s="0" t="n">
        <v>3318.219</v>
      </c>
      <c r="J26" s="0" t="n">
        <v>4561.992</v>
      </c>
      <c r="K26" s="0" t="n">
        <v>0</v>
      </c>
      <c r="L26" s="0" t="n">
        <v>2016</v>
      </c>
      <c r="M26" s="0" t="n">
        <v>1865</v>
      </c>
      <c r="N26" s="0" t="n">
        <v>18</v>
      </c>
      <c r="O26" s="54" t="n">
        <f aca="false">YEAR(B26)</f>
        <v>2020</v>
      </c>
      <c r="P26" s="54" t="n">
        <f aca="false">IF(AND(E26&gt;=14400,K26&gt;0,L26&gt;0),1,0)</f>
        <v>0</v>
      </c>
      <c r="Q26" s="53" t="n">
        <f aca="false">IF(P26=1,F26/E26*MIN(L26/K26,1)*MIN(MAX(M26/L26,0),1),0)</f>
        <v>0</v>
      </c>
      <c r="R26" s="55" t="n">
        <f aca="false">IF(F26&gt;0,N26/(F26/3600),0)</f>
        <v>6.30297465387137</v>
      </c>
    </row>
    <row r="27" customFormat="false" ht="15" hidden="false" customHeight="false" outlineLevel="0" collapsed="false">
      <c r="A27" s="0" t="s">
        <v>258</v>
      </c>
      <c r="B27" s="52" t="n">
        <v>43856</v>
      </c>
      <c r="C27" s="0" t="n">
        <v>85767.096</v>
      </c>
      <c r="D27" s="0" t="n">
        <v>26250.042</v>
      </c>
      <c r="E27" s="0" t="n">
        <v>59517.054</v>
      </c>
      <c r="F27" s="0" t="n">
        <v>24511.643</v>
      </c>
      <c r="G27" s="0" t="n">
        <v>19067.965</v>
      </c>
      <c r="H27" s="0" t="n">
        <v>5443.678</v>
      </c>
      <c r="I27" s="0" t="n">
        <v>4602.341</v>
      </c>
      <c r="J27" s="0" t="n">
        <v>30403.07</v>
      </c>
      <c r="K27" s="0" t="n">
        <v>29649.4165625</v>
      </c>
      <c r="L27" s="0" t="n">
        <v>23223</v>
      </c>
      <c r="M27" s="0" t="n">
        <v>22926</v>
      </c>
      <c r="N27" s="0" t="n">
        <v>17</v>
      </c>
      <c r="O27" s="54" t="n">
        <f aca="false">YEAR(B27)</f>
        <v>2020</v>
      </c>
      <c r="P27" s="54" t="n">
        <f aca="false">IF(AND(E27&gt;=14400,K27&gt;0,L27&gt;0),1,0)</f>
        <v>1</v>
      </c>
      <c r="Q27" s="53" t="n">
        <f aca="false">IF(P27=1,F27/E27*MIN(L27/K27,1)*MIN(MAX(M27/L27,0),1),0)</f>
        <v>0.318451378229028</v>
      </c>
      <c r="R27" s="55" t="n">
        <f aca="false">IF(F27&gt;0,N27/(F27/3600),0)</f>
        <v>2.49677265616181</v>
      </c>
    </row>
    <row r="28" customFormat="false" ht="15" hidden="false" customHeight="false" outlineLevel="0" collapsed="false">
      <c r="A28" s="0" t="s">
        <v>258</v>
      </c>
      <c r="B28" s="52" t="n">
        <v>43857</v>
      </c>
      <c r="C28" s="0" t="n">
        <v>83916.978</v>
      </c>
      <c r="D28" s="0" t="n">
        <v>8709.489</v>
      </c>
      <c r="E28" s="0" t="n">
        <v>75207.489</v>
      </c>
      <c r="F28" s="0" t="n">
        <v>64868.823</v>
      </c>
      <c r="G28" s="0" t="n">
        <v>56567.19</v>
      </c>
      <c r="H28" s="0" t="n">
        <v>8301.633</v>
      </c>
      <c r="I28" s="0" t="n">
        <v>8006.647</v>
      </c>
      <c r="J28" s="0" t="n">
        <v>2332.019</v>
      </c>
      <c r="K28" s="0" t="n">
        <v>80399.4933333333</v>
      </c>
      <c r="L28" s="0" t="n">
        <v>68772</v>
      </c>
      <c r="M28" s="0" t="n">
        <v>68532</v>
      </c>
      <c r="N28" s="0" t="n">
        <v>50</v>
      </c>
      <c r="O28" s="54" t="n">
        <f aca="false">YEAR(B28)</f>
        <v>2020</v>
      </c>
      <c r="P28" s="54" t="n">
        <f aca="false">IF(AND(E28&gt;=14400,K28&gt;0,L28&gt;0),1,0)</f>
        <v>1</v>
      </c>
      <c r="Q28" s="53" t="n">
        <f aca="false">IF(P28=1,F28/E28*MIN(L28/K28,1)*MIN(MAX(M28/L28,0),1),0)</f>
        <v>0.735216124868049</v>
      </c>
      <c r="R28" s="55" t="n">
        <f aca="false">IF(F28&gt;0,N28/(F28/3600),0)</f>
        <v>2.77483067636359</v>
      </c>
    </row>
    <row r="29" customFormat="false" ht="15" hidden="false" customHeight="false" outlineLevel="0" collapsed="false">
      <c r="A29" s="0" t="s">
        <v>258</v>
      </c>
      <c r="B29" s="52" t="n">
        <v>43858</v>
      </c>
      <c r="C29" s="0" t="n">
        <v>80964.727</v>
      </c>
      <c r="D29" s="0" t="n">
        <v>3450.526</v>
      </c>
      <c r="E29" s="0" t="n">
        <v>77514.201</v>
      </c>
      <c r="F29" s="0" t="n">
        <v>63121.329</v>
      </c>
      <c r="G29" s="0" t="n">
        <v>52821.579</v>
      </c>
      <c r="H29" s="0" t="n">
        <v>10299.75</v>
      </c>
      <c r="I29" s="0" t="n">
        <v>14050.81</v>
      </c>
      <c r="J29" s="0" t="n">
        <v>342.062</v>
      </c>
      <c r="K29" s="0" t="n">
        <v>77771.3071527778</v>
      </c>
      <c r="L29" s="0" t="n">
        <v>63713</v>
      </c>
      <c r="M29" s="0" t="n">
        <v>63389</v>
      </c>
      <c r="N29" s="0" t="n">
        <v>81</v>
      </c>
      <c r="O29" s="54" t="n">
        <f aca="false">YEAR(B29)</f>
        <v>2020</v>
      </c>
      <c r="P29" s="54" t="n">
        <f aca="false">IF(AND(E29&gt;=14400,K29&gt;0,L29&gt;0),1,0)</f>
        <v>1</v>
      </c>
      <c r="Q29" s="53" t="n">
        <f aca="false">IF(P29=1,F29/E29*MIN(L29/K29,1)*MIN(MAX(M29/L29,0),1),0)</f>
        <v>0.663726811574375</v>
      </c>
      <c r="R29" s="55" t="n">
        <f aca="false">IF(F29&gt;0,N29/(F29/3600),0)</f>
        <v>4.61967459525448</v>
      </c>
    </row>
    <row r="30" customFormat="false" ht="15" hidden="false" customHeight="false" outlineLevel="0" collapsed="false">
      <c r="A30" s="0" t="s">
        <v>258</v>
      </c>
      <c r="B30" s="52" t="n">
        <v>43859</v>
      </c>
      <c r="C30" s="0" t="n">
        <v>85987.428</v>
      </c>
      <c r="D30" s="0" t="n">
        <v>8195.68</v>
      </c>
      <c r="E30" s="0" t="n">
        <v>77791.748</v>
      </c>
      <c r="F30" s="0" t="n">
        <v>55268.458</v>
      </c>
      <c r="G30" s="0" t="n">
        <v>44839.892</v>
      </c>
      <c r="H30" s="0" t="n">
        <v>10428.566</v>
      </c>
      <c r="I30" s="0" t="n">
        <v>7279.84</v>
      </c>
      <c r="J30" s="0" t="n">
        <v>15243.45</v>
      </c>
      <c r="K30" s="0" t="n">
        <v>39556.5563888889</v>
      </c>
      <c r="L30" s="0" t="n">
        <v>32788</v>
      </c>
      <c r="M30" s="0" t="n">
        <v>32596</v>
      </c>
      <c r="N30" s="0" t="n">
        <v>25</v>
      </c>
      <c r="O30" s="54" t="n">
        <f aca="false">YEAR(B30)</f>
        <v>2020</v>
      </c>
      <c r="P30" s="54" t="n">
        <f aca="false">IF(AND(E30&gt;=14400,K30&gt;0,L30&gt;0),1,0)</f>
        <v>1</v>
      </c>
      <c r="Q30" s="53" t="n">
        <f aca="false">IF(P30=1,F30/E30*MIN(L30/K30,1)*MIN(MAX(M30/L30,0),1),0)</f>
        <v>0.585449783568304</v>
      </c>
      <c r="R30" s="55" t="n">
        <f aca="false">IF(F30&gt;0,N30/(F30/3600),0)</f>
        <v>1.62841525269259</v>
      </c>
    </row>
    <row r="31" customFormat="false" ht="15" hidden="false" customHeight="false" outlineLevel="0" collapsed="false">
      <c r="A31" s="0" t="s">
        <v>258</v>
      </c>
      <c r="B31" s="52" t="n">
        <v>43860</v>
      </c>
      <c r="C31" s="0" t="n">
        <v>82687.969</v>
      </c>
      <c r="D31" s="0" t="n">
        <v>9382.109</v>
      </c>
      <c r="E31" s="0" t="n">
        <v>73305.86</v>
      </c>
      <c r="F31" s="0" t="n">
        <v>57274.699</v>
      </c>
      <c r="G31" s="0" t="n">
        <v>47346.758</v>
      </c>
      <c r="H31" s="0" t="n">
        <v>9927.941</v>
      </c>
      <c r="I31" s="0" t="n">
        <v>13254.61</v>
      </c>
      <c r="J31" s="0" t="n">
        <v>2776.551</v>
      </c>
      <c r="K31" s="0" t="n">
        <v>23969.07375</v>
      </c>
      <c r="L31" s="0" t="n">
        <v>27597</v>
      </c>
      <c r="M31" s="0" t="n">
        <v>27464</v>
      </c>
      <c r="N31" s="0" t="n">
        <v>69</v>
      </c>
      <c r="O31" s="54" t="n">
        <f aca="false">YEAR(B31)</f>
        <v>2020</v>
      </c>
      <c r="P31" s="54" t="n">
        <f aca="false">IF(AND(E31&gt;=14400,K31&gt;0,L31&gt;0),1,0)</f>
        <v>1</v>
      </c>
      <c r="Q31" s="53" t="n">
        <f aca="false">IF(P31=1,F31/E31*MIN(L31/K31,1)*MIN(MAX(M31/L31,0),1),0)</f>
        <v>0.777545906333587</v>
      </c>
      <c r="R31" s="55" t="n">
        <f aca="false">IF(F31&gt;0,N31/(F31/3600),0)</f>
        <v>4.33699354753484</v>
      </c>
    </row>
    <row r="32" customFormat="false" ht="15" hidden="false" customHeight="false" outlineLevel="0" collapsed="false">
      <c r="A32" s="0" t="s">
        <v>258</v>
      </c>
      <c r="B32" s="52" t="n">
        <v>43861</v>
      </c>
      <c r="C32" s="0" t="n">
        <v>86015.216</v>
      </c>
      <c r="D32" s="0" t="n">
        <v>8043.048</v>
      </c>
      <c r="E32" s="0" t="n">
        <v>77972.168</v>
      </c>
      <c r="F32" s="0" t="n">
        <v>58577.093</v>
      </c>
      <c r="G32" s="0" t="n">
        <v>51448.042</v>
      </c>
      <c r="H32" s="0" t="n">
        <v>7129.051</v>
      </c>
      <c r="I32" s="0" t="n">
        <v>17015.613</v>
      </c>
      <c r="J32" s="0" t="n">
        <v>2379.462</v>
      </c>
      <c r="K32" s="0" t="n">
        <v>7752.00648611111</v>
      </c>
      <c r="L32" s="0" t="n">
        <v>20718</v>
      </c>
      <c r="M32" s="0" t="n">
        <v>20511</v>
      </c>
      <c r="N32" s="0" t="n">
        <v>102</v>
      </c>
      <c r="O32" s="54" t="n">
        <f aca="false">YEAR(B32)</f>
        <v>2020</v>
      </c>
      <c r="P32" s="54" t="n">
        <f aca="false">IF(AND(E32&gt;=14400,K32&gt;0,L32&gt;0),1,0)</f>
        <v>1</v>
      </c>
      <c r="Q32" s="53" t="n">
        <f aca="false">IF(P32=1,F32/E32*MIN(L32/K32,1)*MIN(MAX(M32/L32,0),1),0)</f>
        <v>0.743750398135447</v>
      </c>
      <c r="R32" s="55" t="n">
        <f aca="false">IF(F32&gt;0,N32/(F32/3600),0)</f>
        <v>6.26866205190483</v>
      </c>
    </row>
    <row r="33" customFormat="false" ht="15" hidden="false" customHeight="false" outlineLevel="0" collapsed="false">
      <c r="A33" s="0" t="s">
        <v>258</v>
      </c>
      <c r="B33" s="52" t="n">
        <v>43862</v>
      </c>
      <c r="C33" s="0" t="n">
        <v>20717.548</v>
      </c>
      <c r="D33" s="0" t="n">
        <v>5674.979</v>
      </c>
      <c r="E33" s="0" t="n">
        <v>15042.569</v>
      </c>
      <c r="F33" s="0" t="n">
        <v>8243.243</v>
      </c>
      <c r="G33" s="0" t="n">
        <v>7468.373</v>
      </c>
      <c r="H33" s="0" t="n">
        <v>774.87</v>
      </c>
      <c r="I33" s="0" t="n">
        <v>5791.155</v>
      </c>
      <c r="J33" s="0" t="n">
        <v>1008.171</v>
      </c>
      <c r="K33" s="0" t="n">
        <v>9731.60631944445</v>
      </c>
      <c r="L33" s="0" t="n">
        <v>8750</v>
      </c>
      <c r="M33" s="0" t="n">
        <v>8730</v>
      </c>
      <c r="N33" s="0" t="n">
        <v>23</v>
      </c>
      <c r="O33" s="54" t="n">
        <f aca="false">YEAR(B33)</f>
        <v>2020</v>
      </c>
      <c r="P33" s="54" t="n">
        <f aca="false">IF(AND(E33&gt;=14400,K33&gt;0,L33&gt;0),1,0)</f>
        <v>1</v>
      </c>
      <c r="Q33" s="53" t="n">
        <f aca="false">IF(P33=1,F33/E33*MIN(L33/K33,1)*MIN(MAX(M33/L33,0),1),0)</f>
        <v>0.49159312677321</v>
      </c>
      <c r="R33" s="55" t="n">
        <f aca="false">IF(F33&gt;0,N33/(F33/3600),0)</f>
        <v>10.0445904603322</v>
      </c>
    </row>
    <row r="34" customFormat="false" ht="15" hidden="false" customHeight="false" outlineLevel="0" collapsed="false">
      <c r="A34" s="0" t="s">
        <v>258</v>
      </c>
      <c r="B34" s="52" t="n">
        <v>43863</v>
      </c>
      <c r="C34" s="0" t="n">
        <v>34709.037</v>
      </c>
      <c r="D34" s="0" t="n">
        <v>2731.668</v>
      </c>
      <c r="E34" s="0" t="n">
        <v>31977.369</v>
      </c>
      <c r="F34" s="0" t="n">
        <v>21129.718</v>
      </c>
      <c r="G34" s="0" t="n">
        <v>15174.288</v>
      </c>
      <c r="H34" s="0" t="n">
        <v>5955.43</v>
      </c>
      <c r="I34" s="0" t="n">
        <v>8801.01</v>
      </c>
      <c r="J34" s="0" t="n">
        <v>2046.641</v>
      </c>
      <c r="K34" s="0" t="n">
        <v>16600.7908333333</v>
      </c>
      <c r="L34" s="0" t="n">
        <v>14173</v>
      </c>
      <c r="M34" s="0" t="n">
        <v>14088</v>
      </c>
      <c r="N34" s="0" t="n">
        <v>30</v>
      </c>
      <c r="O34" s="54" t="n">
        <f aca="false">YEAR(B34)</f>
        <v>2020</v>
      </c>
      <c r="P34" s="54" t="n">
        <f aca="false">IF(AND(E34&gt;=14400,K34&gt;0,L34&gt;0),1,0)</f>
        <v>1</v>
      </c>
      <c r="Q34" s="53" t="n">
        <f aca="false">IF(P34=1,F34/E34*MIN(L34/K34,1)*MIN(MAX(M34/L34,0),1),0)</f>
        <v>0.560752912385192</v>
      </c>
      <c r="R34" s="55" t="n">
        <f aca="false">IF(F34&gt;0,N34/(F34/3600),0)</f>
        <v>5.11128449513619</v>
      </c>
    </row>
    <row r="35" customFormat="false" ht="15" hidden="false" customHeight="false" outlineLevel="0" collapsed="false">
      <c r="A35" s="0" t="s">
        <v>258</v>
      </c>
      <c r="B35" s="52" t="n">
        <v>43864</v>
      </c>
      <c r="C35" s="0" t="n">
        <v>82184.169</v>
      </c>
      <c r="D35" s="0" t="n">
        <v>10700.578</v>
      </c>
      <c r="E35" s="0" t="n">
        <v>71483.591</v>
      </c>
      <c r="F35" s="0" t="n">
        <v>53722.212</v>
      </c>
      <c r="G35" s="0" t="n">
        <v>44478.993</v>
      </c>
      <c r="H35" s="0" t="n">
        <v>9243.219</v>
      </c>
      <c r="I35" s="0" t="n">
        <v>12689.088</v>
      </c>
      <c r="J35" s="0" t="n">
        <v>5072.291</v>
      </c>
      <c r="K35" s="0" t="n">
        <v>52213.4668541667</v>
      </c>
      <c r="L35" s="0" t="n">
        <v>42172</v>
      </c>
      <c r="M35" s="0" t="n">
        <v>41972</v>
      </c>
      <c r="N35" s="0" t="n">
        <v>69</v>
      </c>
      <c r="O35" s="54" t="n">
        <f aca="false">YEAR(B35)</f>
        <v>2020</v>
      </c>
      <c r="P35" s="54" t="n">
        <f aca="false">IF(AND(E35&gt;=14400,K35&gt;0,L35&gt;0),1,0)</f>
        <v>1</v>
      </c>
      <c r="Q35" s="53" t="n">
        <f aca="false">IF(P35=1,F35/E35*MIN(L35/K35,1)*MIN(MAX(M35/L35,0),1),0)</f>
        <v>0.604122010316214</v>
      </c>
      <c r="R35" s="55" t="n">
        <f aca="false">IF(F35&gt;0,N35/(F35/3600),0)</f>
        <v>4.62378578156834</v>
      </c>
    </row>
    <row r="36" customFormat="false" ht="15" hidden="false" customHeight="false" outlineLevel="0" collapsed="false">
      <c r="A36" s="0" t="s">
        <v>258</v>
      </c>
      <c r="B36" s="52" t="n">
        <v>43865</v>
      </c>
      <c r="C36" s="0" t="n">
        <v>85170.468</v>
      </c>
      <c r="D36" s="0" t="n">
        <v>3797.688</v>
      </c>
      <c r="E36" s="0" t="n">
        <v>81372.78</v>
      </c>
      <c r="F36" s="0" t="n">
        <v>70885.958</v>
      </c>
      <c r="G36" s="0" t="n">
        <v>59376.456</v>
      </c>
      <c r="H36" s="0" t="n">
        <v>11509.502</v>
      </c>
      <c r="I36" s="0" t="n">
        <v>9483.353</v>
      </c>
      <c r="J36" s="0" t="n">
        <v>1003.469</v>
      </c>
      <c r="K36" s="0" t="n">
        <v>81173.1335486111</v>
      </c>
      <c r="L36" s="0" t="n">
        <v>69034</v>
      </c>
      <c r="M36" s="0" t="n">
        <v>68543</v>
      </c>
      <c r="N36" s="0" t="n">
        <v>85</v>
      </c>
      <c r="O36" s="54" t="n">
        <f aca="false">YEAR(B36)</f>
        <v>2020</v>
      </c>
      <c r="P36" s="54" t="n">
        <f aca="false">IF(AND(E36&gt;=14400,K36&gt;0,L36&gt;0),1,0)</f>
        <v>1</v>
      </c>
      <c r="Q36" s="53" t="n">
        <f aca="false">IF(P36=1,F36/E36*MIN(L36/K36,1)*MIN(MAX(M36/L36,0),1),0)</f>
        <v>0.735583293453317</v>
      </c>
      <c r="R36" s="55" t="n">
        <f aca="false">IF(F36&gt;0,N36/(F36/3600),0)</f>
        <v>4.31679289712075</v>
      </c>
    </row>
    <row r="37" customFormat="false" ht="15" hidden="false" customHeight="false" outlineLevel="0" collapsed="false">
      <c r="A37" s="0" t="s">
        <v>258</v>
      </c>
      <c r="B37" s="52" t="n">
        <v>43866</v>
      </c>
      <c r="C37" s="0" t="n">
        <v>86402.915</v>
      </c>
      <c r="D37" s="0" t="n">
        <v>7784.974</v>
      </c>
      <c r="E37" s="0" t="n">
        <v>78617.941</v>
      </c>
      <c r="F37" s="0" t="n">
        <v>54800.845</v>
      </c>
      <c r="G37" s="0" t="n">
        <v>45683.365</v>
      </c>
      <c r="H37" s="0" t="n">
        <v>9117.48</v>
      </c>
      <c r="I37" s="0" t="n">
        <v>11147.304</v>
      </c>
      <c r="J37" s="0" t="n">
        <v>12669.792</v>
      </c>
      <c r="K37" s="0" t="n">
        <v>42259.5402916667</v>
      </c>
      <c r="L37" s="0" t="n">
        <v>36548</v>
      </c>
      <c r="M37" s="0" t="n">
        <v>36159</v>
      </c>
      <c r="N37" s="0" t="n">
        <v>77</v>
      </c>
      <c r="O37" s="54" t="n">
        <f aca="false">YEAR(B37)</f>
        <v>2020</v>
      </c>
      <c r="P37" s="54" t="n">
        <f aca="false">IF(AND(E37&gt;=14400,K37&gt;0,L37&gt;0),1,0)</f>
        <v>1</v>
      </c>
      <c r="Q37" s="53" t="n">
        <f aca="false">IF(P37=1,F37/E37*MIN(L37/K37,1)*MIN(MAX(M37/L37,0),1),0)</f>
        <v>0.596426913449596</v>
      </c>
      <c r="R37" s="55" t="n">
        <f aca="false">IF(F37&gt;0,N37/(F37/3600),0)</f>
        <v>5.05831616282559</v>
      </c>
    </row>
    <row r="38" customFormat="false" ht="15" hidden="false" customHeight="false" outlineLevel="0" collapsed="false">
      <c r="A38" s="0" t="s">
        <v>258</v>
      </c>
      <c r="B38" s="52" t="n">
        <v>43867</v>
      </c>
      <c r="C38" s="0" t="n">
        <v>80125.109</v>
      </c>
      <c r="D38" s="0" t="n">
        <v>8340.719</v>
      </c>
      <c r="E38" s="0" t="n">
        <v>71784.39</v>
      </c>
      <c r="F38" s="0" t="n">
        <v>64573.895</v>
      </c>
      <c r="G38" s="0" t="n">
        <v>58411.839</v>
      </c>
      <c r="H38" s="0" t="n">
        <v>6162.056</v>
      </c>
      <c r="I38" s="0" t="n">
        <v>5506.815</v>
      </c>
      <c r="J38" s="0" t="n">
        <v>1703.68</v>
      </c>
      <c r="K38" s="0" t="n">
        <v>71015.040625</v>
      </c>
      <c r="L38" s="0" t="n">
        <v>67269</v>
      </c>
      <c r="M38" s="0" t="n">
        <v>67000</v>
      </c>
      <c r="N38" s="0" t="n">
        <v>51</v>
      </c>
      <c r="O38" s="54" t="n">
        <f aca="false">YEAR(B38)</f>
        <v>2020</v>
      </c>
      <c r="P38" s="54" t="n">
        <f aca="false">IF(AND(E38&gt;=14400,K38&gt;0,L38&gt;0),1,0)</f>
        <v>1</v>
      </c>
      <c r="Q38" s="53" t="n">
        <f aca="false">IF(P38=1,F38/E38*MIN(L38/K38,1)*MIN(MAX(M38/L38,0),1),0)</f>
        <v>0.848694586164917</v>
      </c>
      <c r="R38" s="55" t="n">
        <f aca="false">IF(F38&gt;0,N38/(F38/3600),0)</f>
        <v>2.84325422835342</v>
      </c>
    </row>
    <row r="39" customFormat="false" ht="15" hidden="false" customHeight="false" outlineLevel="0" collapsed="false">
      <c r="A39" s="0" t="s">
        <v>258</v>
      </c>
      <c r="B39" s="52" t="n">
        <v>43868</v>
      </c>
      <c r="C39" s="0" t="n">
        <v>85077.476</v>
      </c>
      <c r="D39" s="0" t="n">
        <v>2526.261</v>
      </c>
      <c r="E39" s="0" t="n">
        <v>82551.215</v>
      </c>
      <c r="F39" s="0" t="n">
        <v>66180.314</v>
      </c>
      <c r="G39" s="0" t="n">
        <v>47734.593</v>
      </c>
      <c r="H39" s="0" t="n">
        <v>18445.721</v>
      </c>
      <c r="I39" s="0" t="n">
        <v>10186.751</v>
      </c>
      <c r="J39" s="0" t="n">
        <v>6184.15</v>
      </c>
      <c r="K39" s="0" t="n">
        <v>84936.6647916667</v>
      </c>
      <c r="L39" s="0" t="n">
        <v>64428</v>
      </c>
      <c r="M39" s="0" t="n">
        <v>64062</v>
      </c>
      <c r="N39" s="0" t="n">
        <v>70</v>
      </c>
      <c r="O39" s="54" t="n">
        <f aca="false">YEAR(B39)</f>
        <v>2020</v>
      </c>
      <c r="P39" s="54" t="n">
        <f aca="false">IF(AND(E39&gt;=14400,K39&gt;0,L39&gt;0),1,0)</f>
        <v>1</v>
      </c>
      <c r="Q39" s="53" t="n">
        <f aca="false">IF(P39=1,F39/E39*MIN(L39/K39,1)*MIN(MAX(M39/L39,0),1),0)</f>
        <v>0.6046591696052</v>
      </c>
      <c r="R39" s="55" t="n">
        <f aca="false">IF(F39&gt;0,N39/(F39/3600),0)</f>
        <v>3.80777885097372</v>
      </c>
    </row>
    <row r="40" customFormat="false" ht="15" hidden="false" customHeight="false" outlineLevel="0" collapsed="false">
      <c r="A40" s="0" t="s">
        <v>258</v>
      </c>
      <c r="B40" s="52" t="n">
        <v>43869</v>
      </c>
      <c r="C40" s="0" t="n">
        <v>23999.01</v>
      </c>
      <c r="D40" s="0" t="n">
        <v>6239.67</v>
      </c>
      <c r="E40" s="0" t="n">
        <v>17759.34</v>
      </c>
      <c r="F40" s="0" t="n">
        <v>9818.759</v>
      </c>
      <c r="G40" s="0" t="n">
        <v>6467.609</v>
      </c>
      <c r="H40" s="0" t="n">
        <v>3351.15</v>
      </c>
      <c r="I40" s="0" t="n">
        <v>1435.621</v>
      </c>
      <c r="J40" s="0" t="n">
        <v>6504.96</v>
      </c>
      <c r="K40" s="0" t="n">
        <v>12273.44875</v>
      </c>
      <c r="L40" s="0" t="n">
        <v>8054</v>
      </c>
      <c r="M40" s="0" t="n">
        <v>7967</v>
      </c>
      <c r="N40" s="0" t="n">
        <v>15</v>
      </c>
      <c r="O40" s="54" t="n">
        <f aca="false">YEAR(B40)</f>
        <v>2020</v>
      </c>
      <c r="P40" s="54" t="n">
        <f aca="false">IF(AND(E40&gt;=14400,K40&gt;0,L40&gt;0),1,0)</f>
        <v>1</v>
      </c>
      <c r="Q40" s="53" t="n">
        <f aca="false">IF(P40=1,F40/E40*MIN(L40/K40,1)*MIN(MAX(M40/L40,0),1),0)</f>
        <v>0.358887210898603</v>
      </c>
      <c r="R40" s="55" t="n">
        <f aca="false">IF(F40&gt;0,N40/(F40/3600),0)</f>
        <v>5.49967669030272</v>
      </c>
    </row>
    <row r="41" customFormat="false" ht="15" hidden="false" customHeight="false" outlineLevel="0" collapsed="false">
      <c r="A41" s="0" t="s">
        <v>258</v>
      </c>
      <c r="B41" s="52" t="n">
        <v>43870</v>
      </c>
      <c r="C41" s="0" t="n">
        <v>84785.029</v>
      </c>
      <c r="D41" s="0" t="n">
        <v>20146.64</v>
      </c>
      <c r="E41" s="0" t="n">
        <v>64638.389</v>
      </c>
      <c r="F41" s="0" t="n">
        <v>28454.438</v>
      </c>
      <c r="G41" s="0" t="n">
        <v>22822.858</v>
      </c>
      <c r="H41" s="0" t="n">
        <v>5631.58</v>
      </c>
      <c r="I41" s="0" t="n">
        <v>825.42</v>
      </c>
      <c r="J41" s="0" t="n">
        <v>35358.531</v>
      </c>
      <c r="K41" s="0" t="n">
        <v>0</v>
      </c>
      <c r="L41" s="0" t="n">
        <v>2409</v>
      </c>
      <c r="M41" s="0" t="n">
        <v>2349</v>
      </c>
      <c r="N41" s="0" t="n">
        <v>12</v>
      </c>
      <c r="O41" s="54" t="n">
        <f aca="false">YEAR(B41)</f>
        <v>2020</v>
      </c>
      <c r="P41" s="54" t="n">
        <f aca="false">IF(AND(E41&gt;=14400,K41&gt;0,L41&gt;0),1,0)</f>
        <v>0</v>
      </c>
      <c r="Q41" s="53" t="n">
        <f aca="false">IF(P41=1,F41/E41*MIN(L41/K41,1)*MIN(MAX(M41/L41,0),1),0)</f>
        <v>0</v>
      </c>
      <c r="R41" s="55" t="n">
        <f aca="false">IF(F41&gt;0,N41/(F41/3600),0)</f>
        <v>1.51821659594893</v>
      </c>
    </row>
    <row r="42" customFormat="false" ht="15" hidden="false" customHeight="false" outlineLevel="0" collapsed="false">
      <c r="A42" s="0" t="s">
        <v>258</v>
      </c>
      <c r="B42" s="52" t="n">
        <v>43871</v>
      </c>
      <c r="C42" s="0" t="n">
        <v>86275.177</v>
      </c>
      <c r="D42" s="0" t="n">
        <v>7993.809</v>
      </c>
      <c r="E42" s="0" t="n">
        <v>78281.368</v>
      </c>
      <c r="F42" s="0" t="n">
        <v>66452.248</v>
      </c>
      <c r="G42" s="0" t="n">
        <v>58729.779</v>
      </c>
      <c r="H42" s="0" t="n">
        <v>7722.469</v>
      </c>
      <c r="I42" s="0" t="n">
        <v>9910.58</v>
      </c>
      <c r="J42" s="0" t="n">
        <v>1918.54</v>
      </c>
      <c r="K42" s="0" t="n">
        <v>0</v>
      </c>
      <c r="L42" s="0" t="n">
        <v>13721</v>
      </c>
      <c r="M42" s="0" t="n">
        <v>13539</v>
      </c>
      <c r="N42" s="0" t="n">
        <v>86</v>
      </c>
      <c r="O42" s="54" t="n">
        <f aca="false">YEAR(B42)</f>
        <v>2020</v>
      </c>
      <c r="P42" s="54" t="n">
        <f aca="false">IF(AND(E42&gt;=14400,K42&gt;0,L42&gt;0),1,0)</f>
        <v>0</v>
      </c>
      <c r="Q42" s="53" t="n">
        <f aca="false">IF(P42=1,F42/E42*MIN(L42/K42,1)*MIN(MAX(M42/L42,0),1),0)</f>
        <v>0</v>
      </c>
      <c r="R42" s="55" t="n">
        <f aca="false">IF(F42&gt;0,N42/(F42/3600),0)</f>
        <v>4.65898459898603</v>
      </c>
    </row>
    <row r="43" customFormat="false" ht="15" hidden="false" customHeight="false" outlineLevel="0" collapsed="false">
      <c r="A43" s="0" t="s">
        <v>258</v>
      </c>
      <c r="B43" s="52" t="n">
        <v>43872</v>
      </c>
      <c r="C43" s="0" t="n">
        <v>86891.458</v>
      </c>
      <c r="D43" s="0" t="n">
        <v>3560.377</v>
      </c>
      <c r="E43" s="0" t="n">
        <v>83331.081</v>
      </c>
      <c r="F43" s="0" t="n">
        <v>74662.077</v>
      </c>
      <c r="G43" s="0" t="n">
        <v>63051.357</v>
      </c>
      <c r="H43" s="0" t="n">
        <v>11610.72</v>
      </c>
      <c r="I43" s="0" t="n">
        <v>6627.723</v>
      </c>
      <c r="J43" s="0" t="n">
        <v>2041.281</v>
      </c>
      <c r="K43" s="0" t="n">
        <v>35112.624375</v>
      </c>
      <c r="L43" s="0" t="n">
        <v>41127</v>
      </c>
      <c r="M43" s="0" t="n">
        <v>40816</v>
      </c>
      <c r="N43" s="0" t="n">
        <v>73</v>
      </c>
      <c r="O43" s="54" t="n">
        <f aca="false">YEAR(B43)</f>
        <v>2020</v>
      </c>
      <c r="P43" s="54" t="n">
        <f aca="false">IF(AND(E43&gt;=14400,K43&gt;0,L43&gt;0),1,0)</f>
        <v>1</v>
      </c>
      <c r="Q43" s="53" t="n">
        <f aca="false">IF(P43=1,F43/E43*MIN(L43/K43,1)*MIN(MAX(M43/L43,0),1),0)</f>
        <v>0.88919387333392</v>
      </c>
      <c r="R43" s="55" t="n">
        <f aca="false">IF(F43&gt;0,N43/(F43/3600),0)</f>
        <v>3.51985921848919</v>
      </c>
    </row>
    <row r="44" customFormat="false" ht="15" hidden="false" customHeight="false" outlineLevel="0" collapsed="false">
      <c r="A44" s="0" t="s">
        <v>258</v>
      </c>
      <c r="B44" s="52" t="n">
        <v>43873</v>
      </c>
      <c r="C44" s="0" t="n">
        <v>84669.49</v>
      </c>
      <c r="D44" s="0" t="n">
        <v>9198.868</v>
      </c>
      <c r="E44" s="0" t="n">
        <v>75470.622</v>
      </c>
      <c r="F44" s="0" t="n">
        <v>34296.305</v>
      </c>
      <c r="G44" s="0" t="n">
        <v>31922.907</v>
      </c>
      <c r="H44" s="0" t="n">
        <v>2373.398</v>
      </c>
      <c r="I44" s="0" t="n">
        <v>7325.695</v>
      </c>
      <c r="J44" s="0" t="n">
        <v>33848.622</v>
      </c>
      <c r="K44" s="0" t="n">
        <v>15600.211875</v>
      </c>
      <c r="L44" s="0" t="n">
        <v>16674</v>
      </c>
      <c r="M44" s="0" t="n">
        <v>16571</v>
      </c>
      <c r="N44" s="0" t="n">
        <v>56</v>
      </c>
      <c r="O44" s="54" t="n">
        <f aca="false">YEAR(B44)</f>
        <v>2020</v>
      </c>
      <c r="P44" s="54" t="n">
        <f aca="false">IF(AND(E44&gt;=14400,K44&gt;0,L44&gt;0),1,0)</f>
        <v>1</v>
      </c>
      <c r="Q44" s="53" t="n">
        <f aca="false">IF(P44=1,F44/E44*MIN(L44/K44,1)*MIN(MAX(M44/L44,0),1),0)</f>
        <v>0.451625362947146</v>
      </c>
      <c r="R44" s="55" t="n">
        <f aca="false">IF(F44&gt;0,N44/(F44/3600),0)</f>
        <v>5.87818425337657</v>
      </c>
    </row>
    <row r="45" customFormat="false" ht="15" hidden="false" customHeight="false" outlineLevel="0" collapsed="false">
      <c r="A45" s="0" t="s">
        <v>258</v>
      </c>
      <c r="B45" s="52" t="n">
        <v>43874</v>
      </c>
      <c r="C45" s="0" t="n">
        <v>80884.589</v>
      </c>
      <c r="D45" s="0" t="n">
        <v>8153.74</v>
      </c>
      <c r="E45" s="0" t="n">
        <v>72730.849</v>
      </c>
      <c r="F45" s="0" t="n">
        <v>61140.015</v>
      </c>
      <c r="G45" s="0" t="n">
        <v>51211.754</v>
      </c>
      <c r="H45" s="0" t="n">
        <v>9928.261</v>
      </c>
      <c r="I45" s="0" t="n">
        <v>6680.624</v>
      </c>
      <c r="J45" s="0" t="n">
        <v>4910.21</v>
      </c>
      <c r="K45" s="0" t="n">
        <v>12734.4871527778</v>
      </c>
      <c r="L45" s="0" t="n">
        <v>17424</v>
      </c>
      <c r="M45" s="0" t="n">
        <v>17262</v>
      </c>
      <c r="N45" s="0" t="n">
        <v>53</v>
      </c>
      <c r="O45" s="54" t="n">
        <f aca="false">YEAR(B45)</f>
        <v>2020</v>
      </c>
      <c r="P45" s="54" t="n">
        <f aca="false">IF(AND(E45&gt;=14400,K45&gt;0,L45&gt;0),1,0)</f>
        <v>1</v>
      </c>
      <c r="Q45" s="53" t="n">
        <f aca="false">IF(P45=1,F45/E45*MIN(L45/K45,1)*MIN(MAX(M45/L45,0),1),0)</f>
        <v>0.832818058363571</v>
      </c>
      <c r="R45" s="55" t="n">
        <f aca="false">IF(F45&gt;0,N45/(F45/3600),0)</f>
        <v>3.12070580944411</v>
      </c>
    </row>
    <row r="46" customFormat="false" ht="15" hidden="false" customHeight="false" outlineLevel="0" collapsed="false">
      <c r="A46" s="0" t="s">
        <v>258</v>
      </c>
      <c r="B46" s="52" t="n">
        <v>43875</v>
      </c>
      <c r="C46" s="0" t="n">
        <v>85114.978</v>
      </c>
      <c r="D46" s="0" t="n">
        <v>2915.83</v>
      </c>
      <c r="E46" s="0" t="n">
        <v>82199.148</v>
      </c>
      <c r="F46" s="0" t="n">
        <v>73586.838</v>
      </c>
      <c r="G46" s="0" t="n">
        <v>60655.957</v>
      </c>
      <c r="H46" s="0" t="n">
        <v>12930.881</v>
      </c>
      <c r="I46" s="0" t="n">
        <v>6681.76</v>
      </c>
      <c r="J46" s="0" t="n">
        <v>1930.55</v>
      </c>
      <c r="K46" s="0" t="n">
        <v>43739.0125</v>
      </c>
      <c r="L46" s="0" t="n">
        <v>41003</v>
      </c>
      <c r="M46" s="0" t="n">
        <v>40756</v>
      </c>
      <c r="N46" s="0" t="n">
        <v>62</v>
      </c>
      <c r="O46" s="54" t="n">
        <f aca="false">YEAR(B46)</f>
        <v>2020</v>
      </c>
      <c r="P46" s="54" t="n">
        <f aca="false">IF(AND(E46&gt;=14400,K46&gt;0,L46&gt;0),1,0)</f>
        <v>1</v>
      </c>
      <c r="Q46" s="53" t="n">
        <f aca="false">IF(P46=1,F46/E46*MIN(L46/K46,1)*MIN(MAX(M46/L46,0),1),0)</f>
        <v>0.8341716110741</v>
      </c>
      <c r="R46" s="55" t="n">
        <f aca="false">IF(F46&gt;0,N46/(F46/3600),0)</f>
        <v>3.03315111868239</v>
      </c>
    </row>
    <row r="47" customFormat="false" ht="15" hidden="false" customHeight="false" outlineLevel="0" collapsed="false">
      <c r="A47" s="0" t="s">
        <v>258</v>
      </c>
      <c r="B47" s="52" t="n">
        <v>43876</v>
      </c>
      <c r="C47" s="0" t="n">
        <v>18795.29</v>
      </c>
      <c r="D47" s="0" t="n">
        <v>265.33</v>
      </c>
      <c r="E47" s="0" t="n">
        <v>18529.96</v>
      </c>
      <c r="F47" s="0" t="n">
        <v>11968.581</v>
      </c>
      <c r="G47" s="0" t="n">
        <v>10469.121</v>
      </c>
      <c r="H47" s="0" t="n">
        <v>1499.46</v>
      </c>
      <c r="I47" s="0" t="n">
        <v>5536.099</v>
      </c>
      <c r="J47" s="0" t="n">
        <v>1025.28</v>
      </c>
      <c r="K47" s="0" t="n">
        <v>0</v>
      </c>
      <c r="L47" s="0" t="n">
        <v>5289</v>
      </c>
      <c r="M47" s="0" t="n">
        <v>5242</v>
      </c>
      <c r="N47" s="0" t="n">
        <v>36</v>
      </c>
      <c r="O47" s="54" t="n">
        <f aca="false">YEAR(B47)</f>
        <v>2020</v>
      </c>
      <c r="P47" s="54" t="n">
        <f aca="false">IF(AND(E47&gt;=14400,K47&gt;0,L47&gt;0),1,0)</f>
        <v>0</v>
      </c>
      <c r="Q47" s="53" t="n">
        <f aca="false">IF(P47=1,F47/E47*MIN(L47/K47,1)*MIN(MAX(M47/L47,0),1),0)</f>
        <v>0</v>
      </c>
      <c r="R47" s="55" t="n">
        <f aca="false">IF(F47&gt;0,N47/(F47/3600),0)</f>
        <v>10.8283513308721</v>
      </c>
    </row>
    <row r="48" customFormat="false" ht="15" hidden="false" customHeight="false" outlineLevel="0" collapsed="false">
      <c r="A48" s="0" t="s">
        <v>258</v>
      </c>
      <c r="B48" s="52" t="n">
        <v>43877</v>
      </c>
      <c r="C48" s="0" t="n">
        <v>40182.567</v>
      </c>
      <c r="D48" s="0" t="n">
        <v>6282.59</v>
      </c>
      <c r="E48" s="0" t="n">
        <v>33899.977</v>
      </c>
      <c r="F48" s="0" t="n">
        <v>18708.49</v>
      </c>
      <c r="G48" s="0" t="n">
        <v>15330.41</v>
      </c>
      <c r="H48" s="0" t="n">
        <v>3378.08</v>
      </c>
      <c r="I48" s="0" t="n">
        <v>12699.799</v>
      </c>
      <c r="J48" s="0" t="n">
        <v>2491.688</v>
      </c>
      <c r="K48" s="0" t="n">
        <v>5700.24166666667</v>
      </c>
      <c r="L48" s="0" t="n">
        <v>7837</v>
      </c>
      <c r="M48" s="0" t="n">
        <v>7747</v>
      </c>
      <c r="N48" s="0" t="n">
        <v>26</v>
      </c>
      <c r="O48" s="54" t="n">
        <f aca="false">YEAR(B48)</f>
        <v>2020</v>
      </c>
      <c r="P48" s="54" t="n">
        <f aca="false">IF(AND(E48&gt;=14400,K48&gt;0,L48&gt;0),1,0)</f>
        <v>1</v>
      </c>
      <c r="Q48" s="53" t="n">
        <f aca="false">IF(P48=1,F48/E48*MIN(L48/K48,1)*MIN(MAX(M48/L48,0),1),0)</f>
        <v>0.545535531149701</v>
      </c>
      <c r="R48" s="55" t="n">
        <f aca="false">IF(F48&gt;0,N48/(F48/3600),0)</f>
        <v>5.0030761435049</v>
      </c>
    </row>
    <row r="49" customFormat="false" ht="15" hidden="false" customHeight="false" outlineLevel="0" collapsed="false">
      <c r="A49" s="0" t="s">
        <v>258</v>
      </c>
      <c r="B49" s="52" t="n">
        <v>43878</v>
      </c>
      <c r="C49" s="0" t="n">
        <v>83215.02</v>
      </c>
      <c r="D49" s="0" t="n">
        <v>3512.569</v>
      </c>
      <c r="E49" s="0" t="n">
        <v>79702.451</v>
      </c>
      <c r="F49" s="0" t="n">
        <v>71811.004</v>
      </c>
      <c r="G49" s="0" t="n">
        <v>64036.86</v>
      </c>
      <c r="H49" s="0" t="n">
        <v>7774.144</v>
      </c>
      <c r="I49" s="0" t="n">
        <v>7034.481</v>
      </c>
      <c r="J49" s="0" t="n">
        <v>856.966</v>
      </c>
      <c r="K49" s="0" t="n">
        <v>60230.5969444445</v>
      </c>
      <c r="L49" s="0" t="n">
        <v>61956</v>
      </c>
      <c r="M49" s="0" t="n">
        <v>61526</v>
      </c>
      <c r="N49" s="0" t="n">
        <v>44</v>
      </c>
      <c r="O49" s="54" t="n">
        <f aca="false">YEAR(B49)</f>
        <v>2020</v>
      </c>
      <c r="P49" s="54" t="n">
        <f aca="false">IF(AND(E49&gt;=14400,K49&gt;0,L49&gt;0),1,0)</f>
        <v>1</v>
      </c>
      <c r="Q49" s="53" t="n">
        <f aca="false">IF(P49=1,F49/E49*MIN(L49/K49,1)*MIN(MAX(M49/L49,0),1),0)</f>
        <v>0.894735423360603</v>
      </c>
      <c r="R49" s="55" t="n">
        <f aca="false">IF(F49&gt;0,N49/(F49/3600),0)</f>
        <v>2.20579007640667</v>
      </c>
    </row>
    <row r="50" customFormat="false" ht="15" hidden="false" customHeight="false" outlineLevel="0" collapsed="false">
      <c r="A50" s="0" t="s">
        <v>258</v>
      </c>
      <c r="B50" s="52" t="n">
        <v>43879</v>
      </c>
      <c r="C50" s="0" t="n">
        <v>81373.049</v>
      </c>
      <c r="D50" s="0" t="n">
        <v>8350.583</v>
      </c>
      <c r="E50" s="0" t="n">
        <v>73022.466</v>
      </c>
      <c r="F50" s="0" t="n">
        <v>57882.956</v>
      </c>
      <c r="G50" s="0" t="n">
        <v>50957.276</v>
      </c>
      <c r="H50" s="0" t="n">
        <v>6925.68</v>
      </c>
      <c r="I50" s="0" t="n">
        <v>9066.16</v>
      </c>
      <c r="J50" s="0" t="n">
        <v>6073.35</v>
      </c>
      <c r="K50" s="0" t="n">
        <v>72069.0446527778</v>
      </c>
      <c r="L50" s="0" t="n">
        <v>62353</v>
      </c>
      <c r="M50" s="0" t="n">
        <v>62080</v>
      </c>
      <c r="N50" s="0" t="n">
        <v>40</v>
      </c>
      <c r="O50" s="54" t="n">
        <f aca="false">YEAR(B50)</f>
        <v>2020</v>
      </c>
      <c r="P50" s="54" t="n">
        <f aca="false">IF(AND(E50&gt;=14400,K50&gt;0,L50&gt;0),1,0)</f>
        <v>1</v>
      </c>
      <c r="Q50" s="53" t="n">
        <f aca="false">IF(P50=1,F50/E50*MIN(L50/K50,1)*MIN(MAX(M50/L50,0),1),0)</f>
        <v>0.682805718696821</v>
      </c>
      <c r="R50" s="55" t="n">
        <f aca="false">IF(F50&gt;0,N50/(F50/3600),0)</f>
        <v>2.48777895862817</v>
      </c>
    </row>
    <row r="51" customFormat="false" ht="15" hidden="false" customHeight="false" outlineLevel="0" collapsed="false">
      <c r="A51" s="0" t="s">
        <v>258</v>
      </c>
      <c r="B51" s="52" t="n">
        <v>43880</v>
      </c>
      <c r="C51" s="0" t="n">
        <v>80168.128</v>
      </c>
      <c r="D51" s="0" t="n">
        <v>8050.179</v>
      </c>
      <c r="E51" s="0" t="n">
        <v>72117.949</v>
      </c>
      <c r="F51" s="0" t="n">
        <v>62964.909</v>
      </c>
      <c r="G51" s="0" t="n">
        <v>59623.608</v>
      </c>
      <c r="H51" s="0" t="n">
        <v>3341.301</v>
      </c>
      <c r="I51" s="0" t="n">
        <v>5088.61</v>
      </c>
      <c r="J51" s="0" t="n">
        <v>4064.43</v>
      </c>
      <c r="K51" s="0" t="n">
        <v>52917.6350694445</v>
      </c>
      <c r="L51" s="0" t="n">
        <v>50552</v>
      </c>
      <c r="M51" s="0" t="n">
        <v>50420</v>
      </c>
      <c r="N51" s="0" t="n">
        <v>52</v>
      </c>
      <c r="O51" s="54" t="n">
        <f aca="false">YEAR(B51)</f>
        <v>2020</v>
      </c>
      <c r="P51" s="54" t="n">
        <f aca="false">IF(AND(E51&gt;=14400,K51&gt;0,L51&gt;0),1,0)</f>
        <v>1</v>
      </c>
      <c r="Q51" s="53" t="n">
        <f aca="false">IF(P51=1,F51/E51*MIN(L51/K51,1)*MIN(MAX(M51/L51,0),1),0)</f>
        <v>0.831874146598421</v>
      </c>
      <c r="R51" s="55" t="n">
        <f aca="false">IF(F51&gt;0,N51/(F51/3600),0)</f>
        <v>2.97308457953937</v>
      </c>
    </row>
    <row r="52" customFormat="false" ht="15" hidden="false" customHeight="false" outlineLevel="0" collapsed="false">
      <c r="A52" s="0" t="s">
        <v>258</v>
      </c>
      <c r="B52" s="52" t="n">
        <v>43881</v>
      </c>
      <c r="C52" s="0" t="n">
        <v>80043.561</v>
      </c>
      <c r="D52" s="0" t="n">
        <v>9750.966</v>
      </c>
      <c r="E52" s="0" t="n">
        <v>70292.595</v>
      </c>
      <c r="F52" s="0" t="n">
        <v>51366.651</v>
      </c>
      <c r="G52" s="0" t="n">
        <v>37383.429</v>
      </c>
      <c r="H52" s="0" t="n">
        <v>13983.222</v>
      </c>
      <c r="I52" s="0" t="n">
        <v>8644.008</v>
      </c>
      <c r="J52" s="0" t="n">
        <v>10281.936</v>
      </c>
      <c r="K52" s="0" t="n">
        <v>19220.7798333333</v>
      </c>
      <c r="L52" s="0" t="n">
        <v>16956</v>
      </c>
      <c r="M52" s="0" t="n">
        <v>16652</v>
      </c>
      <c r="N52" s="0" t="n">
        <v>66</v>
      </c>
      <c r="O52" s="54" t="n">
        <f aca="false">YEAR(B52)</f>
        <v>2020</v>
      </c>
      <c r="P52" s="54" t="n">
        <f aca="false">IF(AND(E52&gt;=14400,K52&gt;0,L52&gt;0),1,0)</f>
        <v>1</v>
      </c>
      <c r="Q52" s="53" t="n">
        <f aca="false">IF(P52=1,F52/E52*MIN(L52/K52,1)*MIN(MAX(M52/L52,0),1),0)</f>
        <v>0.63309236084951</v>
      </c>
      <c r="R52" s="55" t="n">
        <f aca="false">IF(F52&gt;0,N52/(F52/3600),0)</f>
        <v>4.62556922389198</v>
      </c>
    </row>
    <row r="53" customFormat="false" ht="15" hidden="false" customHeight="false" outlineLevel="0" collapsed="false">
      <c r="A53" s="0" t="s">
        <v>258</v>
      </c>
      <c r="B53" s="52" t="n">
        <v>43882</v>
      </c>
      <c r="C53" s="0" t="n">
        <v>83502.06</v>
      </c>
      <c r="D53" s="0" t="n">
        <v>3170.72</v>
      </c>
      <c r="E53" s="0" t="n">
        <v>80331.34</v>
      </c>
      <c r="F53" s="0" t="n">
        <v>73932.442</v>
      </c>
      <c r="G53" s="0" t="n">
        <v>59443.832</v>
      </c>
      <c r="H53" s="0" t="n">
        <v>14488.61</v>
      </c>
      <c r="I53" s="0" t="n">
        <v>6344.218</v>
      </c>
      <c r="J53" s="0" t="n">
        <v>54.68</v>
      </c>
      <c r="K53" s="0" t="n">
        <v>0</v>
      </c>
      <c r="L53" s="0" t="n">
        <v>10785</v>
      </c>
      <c r="M53" s="0" t="n">
        <v>10574</v>
      </c>
      <c r="N53" s="0" t="n">
        <v>51</v>
      </c>
      <c r="O53" s="54" t="n">
        <f aca="false">YEAR(B53)</f>
        <v>2020</v>
      </c>
      <c r="P53" s="54" t="n">
        <f aca="false">IF(AND(E53&gt;=14400,K53&gt;0,L53&gt;0),1,0)</f>
        <v>0</v>
      </c>
      <c r="Q53" s="53" t="n">
        <f aca="false">IF(P53=1,F53/E53*MIN(L53/K53,1)*MIN(MAX(M53/L53,0),1),0)</f>
        <v>0</v>
      </c>
      <c r="R53" s="55" t="n">
        <f aca="false">IF(F53&gt;0,N53/(F53/3600),0)</f>
        <v>2.48334824379262</v>
      </c>
    </row>
    <row r="54" customFormat="false" ht="15" hidden="false" customHeight="false" outlineLevel="0" collapsed="false">
      <c r="A54" s="0" t="s">
        <v>258</v>
      </c>
      <c r="B54" s="52" t="n">
        <v>43883</v>
      </c>
      <c r="C54" s="0" t="n">
        <v>26339.21</v>
      </c>
      <c r="D54" s="0" t="n">
        <v>5433.53</v>
      </c>
      <c r="E54" s="0" t="n">
        <v>20905.68</v>
      </c>
      <c r="F54" s="0" t="n">
        <v>10584.788</v>
      </c>
      <c r="G54" s="0" t="n">
        <v>9869.038</v>
      </c>
      <c r="H54" s="0" t="n">
        <v>715.75</v>
      </c>
      <c r="I54" s="0" t="n">
        <v>1872.842</v>
      </c>
      <c r="J54" s="0" t="n">
        <v>8448.05</v>
      </c>
      <c r="K54" s="0" t="n">
        <v>0</v>
      </c>
      <c r="L54" s="0" t="n">
        <v>2246</v>
      </c>
      <c r="M54" s="0" t="n">
        <v>2209</v>
      </c>
      <c r="N54" s="0" t="n">
        <v>19</v>
      </c>
      <c r="O54" s="54" t="n">
        <f aca="false">YEAR(B54)</f>
        <v>2020</v>
      </c>
      <c r="P54" s="54" t="n">
        <f aca="false">IF(AND(E54&gt;=14400,K54&gt;0,L54&gt;0),1,0)</f>
        <v>0</v>
      </c>
      <c r="Q54" s="53" t="n">
        <f aca="false">IF(P54=1,F54/E54*MIN(L54/K54,1)*MIN(MAX(M54/L54,0),1),0)</f>
        <v>0</v>
      </c>
      <c r="R54" s="55" t="n">
        <f aca="false">IF(F54&gt;0,N54/(F54/3600),0)</f>
        <v>6.46210391743321</v>
      </c>
    </row>
    <row r="55" customFormat="false" ht="15" hidden="false" customHeight="false" outlineLevel="0" collapsed="false">
      <c r="A55" s="0" t="s">
        <v>258</v>
      </c>
      <c r="B55" s="52" t="n">
        <v>43884</v>
      </c>
      <c r="C55" s="0" t="n">
        <v>83624.36</v>
      </c>
      <c r="D55" s="0" t="n">
        <v>32612.761</v>
      </c>
      <c r="E55" s="0" t="n">
        <v>51011.599</v>
      </c>
      <c r="F55" s="0" t="n">
        <v>22475.751</v>
      </c>
      <c r="G55" s="0" t="n">
        <v>18549.951</v>
      </c>
      <c r="H55" s="0" t="n">
        <v>3925.8</v>
      </c>
      <c r="I55" s="0" t="n">
        <v>4709.309</v>
      </c>
      <c r="J55" s="0" t="n">
        <v>23826.539</v>
      </c>
      <c r="K55" s="0" t="n">
        <v>27908.6977777778</v>
      </c>
      <c r="L55" s="0" t="n">
        <v>25620</v>
      </c>
      <c r="M55" s="0" t="n">
        <v>25565</v>
      </c>
      <c r="N55" s="0" t="n">
        <v>9</v>
      </c>
      <c r="O55" s="54" t="n">
        <f aca="false">YEAR(B55)</f>
        <v>2020</v>
      </c>
      <c r="P55" s="54" t="n">
        <f aca="false">IF(AND(E55&gt;=14400,K55&gt;0,L55&gt;0),1,0)</f>
        <v>1</v>
      </c>
      <c r="Q55" s="53" t="n">
        <f aca="false">IF(P55=1,F55/E55*MIN(L55/K55,1)*MIN(MAX(M55/L55,0),1),0)</f>
        <v>0.403600317613094</v>
      </c>
      <c r="R55" s="55" t="n">
        <f aca="false">IF(F55&gt;0,N55/(F55/3600),0)</f>
        <v>1.44155361037769</v>
      </c>
    </row>
    <row r="56" customFormat="false" ht="15" hidden="false" customHeight="false" outlineLevel="0" collapsed="false">
      <c r="A56" s="0" t="s">
        <v>258</v>
      </c>
      <c r="B56" s="52" t="n">
        <v>43885</v>
      </c>
      <c r="C56" s="0" t="n">
        <v>85273.319</v>
      </c>
      <c r="D56" s="0" t="n">
        <v>7795.67</v>
      </c>
      <c r="E56" s="0" t="n">
        <v>77477.649</v>
      </c>
      <c r="F56" s="0" t="n">
        <v>68801.76</v>
      </c>
      <c r="G56" s="0" t="n">
        <v>57258.393</v>
      </c>
      <c r="H56" s="0" t="n">
        <v>11543.367</v>
      </c>
      <c r="I56" s="0" t="n">
        <v>7130.489</v>
      </c>
      <c r="J56" s="0" t="n">
        <v>1545.4</v>
      </c>
      <c r="K56" s="0" t="n">
        <v>63790.475</v>
      </c>
      <c r="L56" s="0" t="n">
        <v>55279</v>
      </c>
      <c r="M56" s="0" t="n">
        <v>55132</v>
      </c>
      <c r="N56" s="0" t="n">
        <v>43</v>
      </c>
      <c r="O56" s="54" t="n">
        <f aca="false">YEAR(B56)</f>
        <v>2020</v>
      </c>
      <c r="P56" s="54" t="n">
        <f aca="false">IF(AND(E56&gt;=14400,K56&gt;0,L56&gt;0),1,0)</f>
        <v>1</v>
      </c>
      <c r="Q56" s="53" t="n">
        <f aca="false">IF(P56=1,F56/E56*MIN(L56/K56,1)*MIN(MAX(M56/L56,0),1),0)</f>
        <v>0.767486995637806</v>
      </c>
      <c r="R56" s="55" t="n">
        <f aca="false">IF(F56&gt;0,N56/(F56/3600),0)</f>
        <v>2.24994244333285</v>
      </c>
    </row>
    <row r="57" customFormat="false" ht="15" hidden="false" customHeight="false" outlineLevel="0" collapsed="false">
      <c r="A57" s="0" t="s">
        <v>258</v>
      </c>
      <c r="B57" s="52" t="n">
        <v>43886</v>
      </c>
      <c r="C57" s="0" t="n">
        <v>86541.737</v>
      </c>
      <c r="D57" s="0" t="n">
        <v>3421.07</v>
      </c>
      <c r="E57" s="0" t="n">
        <v>83120.667</v>
      </c>
      <c r="F57" s="0" t="n">
        <v>73530.146</v>
      </c>
      <c r="G57" s="0" t="n">
        <v>67067.547</v>
      </c>
      <c r="H57" s="0" t="n">
        <v>6462.599</v>
      </c>
      <c r="I57" s="0" t="n">
        <v>9188.832</v>
      </c>
      <c r="J57" s="0" t="n">
        <v>401.689</v>
      </c>
      <c r="K57" s="0" t="n">
        <v>27605.853125</v>
      </c>
      <c r="L57" s="0" t="n">
        <v>27088</v>
      </c>
      <c r="M57" s="0" t="n">
        <v>26934</v>
      </c>
      <c r="N57" s="0" t="n">
        <v>55</v>
      </c>
      <c r="O57" s="54" t="n">
        <f aca="false">YEAR(B57)</f>
        <v>2020</v>
      </c>
      <c r="P57" s="54" t="n">
        <f aca="false">IF(AND(E57&gt;=14400,K57&gt;0,L57&gt;0),1,0)</f>
        <v>1</v>
      </c>
      <c r="Q57" s="53" t="n">
        <f aca="false">IF(P57=1,F57/E57*MIN(L57/K57,1)*MIN(MAX(M57/L57,0),1),0)</f>
        <v>0.863090013375536</v>
      </c>
      <c r="R57" s="55" t="n">
        <f aca="false">IF(F57&gt;0,N57/(F57/3600),0)</f>
        <v>2.69277311104482</v>
      </c>
    </row>
    <row r="58" customFormat="false" ht="15" hidden="false" customHeight="false" outlineLevel="0" collapsed="false">
      <c r="A58" s="0" t="s">
        <v>258</v>
      </c>
      <c r="B58" s="52" t="n">
        <v>43887</v>
      </c>
      <c r="C58" s="0" t="n">
        <v>81239.407</v>
      </c>
      <c r="D58" s="0" t="n">
        <v>8570.57</v>
      </c>
      <c r="E58" s="0" t="n">
        <v>72668.837</v>
      </c>
      <c r="F58" s="0" t="n">
        <v>54143.425</v>
      </c>
      <c r="G58" s="0" t="n">
        <v>45725.084</v>
      </c>
      <c r="H58" s="0" t="n">
        <v>8418.341</v>
      </c>
      <c r="I58" s="0" t="n">
        <v>8127.641</v>
      </c>
      <c r="J58" s="0" t="n">
        <v>10397.771</v>
      </c>
      <c r="K58" s="0" t="n">
        <v>41399.13875</v>
      </c>
      <c r="L58" s="0" t="n">
        <v>38423</v>
      </c>
      <c r="M58" s="0" t="n">
        <v>38135</v>
      </c>
      <c r="N58" s="0" t="n">
        <v>48</v>
      </c>
      <c r="O58" s="54" t="n">
        <f aca="false">YEAR(B58)</f>
        <v>2020</v>
      </c>
      <c r="P58" s="54" t="n">
        <f aca="false">IF(AND(E58&gt;=14400,K58&gt;0,L58&gt;0),1,0)</f>
        <v>1</v>
      </c>
      <c r="Q58" s="53" t="n">
        <f aca="false">IF(P58=1,F58/E58*MIN(L58/K58,1)*MIN(MAX(M58/L58,0),1),0)</f>
        <v>0.686325222441619</v>
      </c>
      <c r="R58" s="55" t="n">
        <f aca="false">IF(F58&gt;0,N58/(F58/3600),0)</f>
        <v>3.19152325513209</v>
      </c>
    </row>
    <row r="59" customFormat="false" ht="15" hidden="false" customHeight="false" outlineLevel="0" collapsed="false">
      <c r="A59" s="0" t="s">
        <v>258</v>
      </c>
      <c r="B59" s="52" t="n">
        <v>43888</v>
      </c>
      <c r="C59" s="0" t="n">
        <v>86057.397</v>
      </c>
      <c r="D59" s="0" t="n">
        <v>12636.24</v>
      </c>
      <c r="E59" s="0" t="n">
        <v>73421.157</v>
      </c>
      <c r="F59" s="0" t="n">
        <v>65196.426</v>
      </c>
      <c r="G59" s="0" t="n">
        <v>52528.388</v>
      </c>
      <c r="H59" s="0" t="n">
        <v>12668.038</v>
      </c>
      <c r="I59" s="0" t="n">
        <v>5335.501</v>
      </c>
      <c r="J59" s="0" t="n">
        <v>2889.23</v>
      </c>
      <c r="K59" s="0" t="n">
        <v>43268.3702430556</v>
      </c>
      <c r="L59" s="0" t="n">
        <v>40288</v>
      </c>
      <c r="M59" s="0" t="n">
        <v>40039</v>
      </c>
      <c r="N59" s="0" t="n">
        <v>49</v>
      </c>
      <c r="O59" s="54" t="n">
        <f aca="false">YEAR(B59)</f>
        <v>2020</v>
      </c>
      <c r="P59" s="54" t="n">
        <f aca="false">IF(AND(E59&gt;=14400,K59&gt;0,L59&gt;0),1,0)</f>
        <v>1</v>
      </c>
      <c r="Q59" s="53" t="n">
        <f aca="false">IF(P59=1,F59/E59*MIN(L59/K59,1)*MIN(MAX(M59/L59,0),1),0)</f>
        <v>0.821703713548244</v>
      </c>
      <c r="R59" s="55" t="n">
        <f aca="false">IF(F59&gt;0,N59/(F59/3600),0)</f>
        <v>2.70566978625485</v>
      </c>
    </row>
    <row r="60" customFormat="false" ht="15" hidden="false" customHeight="false" outlineLevel="0" collapsed="false">
      <c r="A60" s="0" t="s">
        <v>258</v>
      </c>
      <c r="B60" s="52" t="n">
        <v>43889</v>
      </c>
      <c r="C60" s="0" t="n">
        <v>86034.178</v>
      </c>
      <c r="D60" s="0" t="n">
        <v>3380.9</v>
      </c>
      <c r="E60" s="0" t="n">
        <v>82653.278</v>
      </c>
      <c r="F60" s="0" t="n">
        <v>64712.93</v>
      </c>
      <c r="G60" s="0" t="n">
        <v>53187.88</v>
      </c>
      <c r="H60" s="0" t="n">
        <v>11525.05</v>
      </c>
      <c r="I60" s="0" t="n">
        <v>16021.008</v>
      </c>
      <c r="J60" s="0" t="n">
        <v>1919.34</v>
      </c>
      <c r="K60" s="0" t="n">
        <v>57043.0785694445</v>
      </c>
      <c r="L60" s="0" t="n">
        <v>53374</v>
      </c>
      <c r="M60" s="0" t="n">
        <v>52880</v>
      </c>
      <c r="N60" s="0" t="n">
        <v>87</v>
      </c>
      <c r="O60" s="54" t="n">
        <f aca="false">YEAR(B60)</f>
        <v>2020</v>
      </c>
      <c r="P60" s="54" t="n">
        <f aca="false">IF(AND(E60&gt;=14400,K60&gt;0,L60&gt;0),1,0)</f>
        <v>1</v>
      </c>
      <c r="Q60" s="53" t="n">
        <f aca="false">IF(P60=1,F60/E60*MIN(L60/K60,1)*MIN(MAX(M60/L60,0),1),0)</f>
        <v>0.725804191695998</v>
      </c>
      <c r="R60" s="55" t="n">
        <f aca="false">IF(F60&gt;0,N60/(F60/3600),0)</f>
        <v>4.83983649017283</v>
      </c>
    </row>
    <row r="61" customFormat="false" ht="15" hidden="false" customHeight="false" outlineLevel="0" collapsed="false">
      <c r="A61" s="0" t="s">
        <v>258</v>
      </c>
      <c r="B61" s="52" t="n">
        <v>43890</v>
      </c>
      <c r="C61" s="0" t="n">
        <v>21335.409</v>
      </c>
      <c r="D61" s="0" t="n">
        <v>5521.87</v>
      </c>
      <c r="E61" s="0" t="n">
        <v>15813.539</v>
      </c>
      <c r="F61" s="0" t="n">
        <v>9593.158</v>
      </c>
      <c r="G61" s="0" t="n">
        <v>8208.748</v>
      </c>
      <c r="H61" s="0" t="n">
        <v>1384.41</v>
      </c>
      <c r="I61" s="0" t="n">
        <v>3554.731</v>
      </c>
      <c r="J61" s="0" t="n">
        <v>2665.65</v>
      </c>
      <c r="K61" s="0" t="n">
        <v>7776.21125</v>
      </c>
      <c r="L61" s="0" t="n">
        <v>9785</v>
      </c>
      <c r="M61" s="0" t="n">
        <v>9682</v>
      </c>
      <c r="N61" s="0" t="n">
        <v>29</v>
      </c>
      <c r="O61" s="54" t="n">
        <f aca="false">YEAR(B61)</f>
        <v>2020</v>
      </c>
      <c r="P61" s="54" t="n">
        <f aca="false">IF(AND(E61&gt;=14400,K61&gt;0,L61&gt;0),1,0)</f>
        <v>1</v>
      </c>
      <c r="Q61" s="53" t="n">
        <f aca="false">IF(P61=1,F61/E61*MIN(L61/K61,1)*MIN(MAX(M61/L61,0),1),0)</f>
        <v>0.60025636193604</v>
      </c>
      <c r="R61" s="55" t="n">
        <f aca="false">IF(F61&gt;0,N61/(F61/3600),0)</f>
        <v>10.8827562310555</v>
      </c>
    </row>
    <row r="62" customFormat="false" ht="15" hidden="false" customHeight="false" outlineLevel="0" collapsed="false">
      <c r="A62" s="0" t="s">
        <v>258</v>
      </c>
      <c r="B62" s="52" t="n">
        <v>43891</v>
      </c>
      <c r="C62" s="0" t="n">
        <v>32716.338</v>
      </c>
      <c r="D62" s="0" t="n">
        <v>8538.169</v>
      </c>
      <c r="E62" s="0" t="n">
        <v>24178.169</v>
      </c>
      <c r="F62" s="0" t="n">
        <v>19550.599</v>
      </c>
      <c r="G62" s="0" t="n">
        <v>15168.999</v>
      </c>
      <c r="H62" s="0" t="n">
        <v>4381.6</v>
      </c>
      <c r="I62" s="0" t="n">
        <v>1622.32</v>
      </c>
      <c r="J62" s="0" t="n">
        <v>3005.25</v>
      </c>
      <c r="K62" s="0" t="n">
        <v>24007.0529166667</v>
      </c>
      <c r="L62" s="0" t="n">
        <v>18585</v>
      </c>
      <c r="M62" s="0" t="n">
        <v>18151</v>
      </c>
      <c r="N62" s="0" t="n">
        <v>17</v>
      </c>
      <c r="O62" s="54" t="n">
        <f aca="false">YEAR(B62)</f>
        <v>2020</v>
      </c>
      <c r="P62" s="54" t="n">
        <f aca="false">IF(AND(E62&gt;=14400,K62&gt;0,L62&gt;0),1,0)</f>
        <v>1</v>
      </c>
      <c r="Q62" s="53" t="n">
        <f aca="false">IF(P62=1,F62/E62*MIN(L62/K62,1)*MIN(MAX(M62/L62,0),1),0)</f>
        <v>0.611361894582387</v>
      </c>
      <c r="R62" s="55" t="n">
        <f aca="false">IF(F62&gt;0,N62/(F62/3600),0)</f>
        <v>3.13033887094713</v>
      </c>
    </row>
    <row r="63" customFormat="false" ht="15" hidden="false" customHeight="false" outlineLevel="0" collapsed="false">
      <c r="A63" s="0" t="s">
        <v>258</v>
      </c>
      <c r="B63" s="52" t="n">
        <v>43892</v>
      </c>
      <c r="C63" s="0" t="n">
        <v>80836.676</v>
      </c>
      <c r="D63" s="0" t="n">
        <v>7998.608</v>
      </c>
      <c r="E63" s="0" t="n">
        <v>72838.068</v>
      </c>
      <c r="F63" s="0" t="n">
        <v>62163.563</v>
      </c>
      <c r="G63" s="0" t="n">
        <v>43153.679</v>
      </c>
      <c r="H63" s="0" t="n">
        <v>19009.884</v>
      </c>
      <c r="I63" s="0" t="n">
        <v>7957.236</v>
      </c>
      <c r="J63" s="0" t="n">
        <v>2717.269</v>
      </c>
      <c r="K63" s="0" t="n">
        <v>66088.968125</v>
      </c>
      <c r="L63" s="0" t="n">
        <v>42273</v>
      </c>
      <c r="M63" s="0" t="n">
        <v>41985</v>
      </c>
      <c r="N63" s="0" t="n">
        <v>90</v>
      </c>
      <c r="O63" s="54" t="n">
        <f aca="false">YEAR(B63)</f>
        <v>2020</v>
      </c>
      <c r="P63" s="54" t="n">
        <f aca="false">IF(AND(E63&gt;=14400,K63&gt;0,L63&gt;0),1,0)</f>
        <v>1</v>
      </c>
      <c r="Q63" s="53" t="n">
        <f aca="false">IF(P63=1,F63/E63*MIN(L63/K63,1)*MIN(MAX(M63/L63,0),1),0)</f>
        <v>0.542178969005824</v>
      </c>
      <c r="R63" s="55" t="n">
        <f aca="false">IF(F63&gt;0,N63/(F63/3600),0)</f>
        <v>5.21205645821814</v>
      </c>
    </row>
    <row r="64" customFormat="false" ht="15" hidden="false" customHeight="false" outlineLevel="0" collapsed="false">
      <c r="A64" s="0" t="s">
        <v>258</v>
      </c>
      <c r="B64" s="52" t="n">
        <v>43893</v>
      </c>
      <c r="C64" s="0" t="n">
        <v>84875.727</v>
      </c>
      <c r="D64" s="0" t="n">
        <v>4704.89</v>
      </c>
      <c r="E64" s="0" t="n">
        <v>80170.837</v>
      </c>
      <c r="F64" s="0" t="n">
        <v>72935.138</v>
      </c>
      <c r="G64" s="0" t="n">
        <v>64734.18</v>
      </c>
      <c r="H64" s="0" t="n">
        <v>8200.958</v>
      </c>
      <c r="I64" s="0" t="n">
        <v>5279.239</v>
      </c>
      <c r="J64" s="0" t="n">
        <v>1956.46</v>
      </c>
      <c r="K64" s="0" t="n">
        <v>65415.7233666667</v>
      </c>
      <c r="L64" s="0" t="n">
        <v>60549</v>
      </c>
      <c r="M64" s="0" t="n">
        <v>60095</v>
      </c>
      <c r="N64" s="0" t="n">
        <v>58</v>
      </c>
      <c r="O64" s="54" t="n">
        <f aca="false">YEAR(B64)</f>
        <v>2020</v>
      </c>
      <c r="P64" s="54" t="n">
        <f aca="false">IF(AND(E64&gt;=14400,K64&gt;0,L64&gt;0),1,0)</f>
        <v>1</v>
      </c>
      <c r="Q64" s="53" t="n">
        <f aca="false">IF(P64=1,F64/E64*MIN(L64/K64,1)*MIN(MAX(M64/L64,0),1),0)</f>
        <v>0.835750379753393</v>
      </c>
      <c r="R64" s="55" t="n">
        <f aca="false">IF(F64&gt;0,N64/(F64/3600),0)</f>
        <v>2.86281764490526</v>
      </c>
    </row>
    <row r="65" customFormat="false" ht="15" hidden="false" customHeight="false" outlineLevel="0" collapsed="false">
      <c r="A65" s="0" t="s">
        <v>258</v>
      </c>
      <c r="B65" s="52" t="n">
        <v>43894</v>
      </c>
      <c r="C65" s="0" t="n">
        <v>81249.799</v>
      </c>
      <c r="D65" s="0" t="n">
        <v>8431.439</v>
      </c>
      <c r="E65" s="0" t="n">
        <v>72818.36</v>
      </c>
      <c r="F65" s="0" t="n">
        <v>65137.679</v>
      </c>
      <c r="G65" s="0" t="n">
        <v>56215.278</v>
      </c>
      <c r="H65" s="0" t="n">
        <v>8922.401</v>
      </c>
      <c r="I65" s="0" t="n">
        <v>4534.06</v>
      </c>
      <c r="J65" s="0" t="n">
        <v>3146.621</v>
      </c>
      <c r="K65" s="0" t="n">
        <v>58362.2622916667</v>
      </c>
      <c r="L65" s="0" t="n">
        <v>51392</v>
      </c>
      <c r="M65" s="0" t="n">
        <v>51118</v>
      </c>
      <c r="N65" s="0" t="n">
        <v>50</v>
      </c>
      <c r="O65" s="54" t="n">
        <f aca="false">YEAR(B65)</f>
        <v>2020</v>
      </c>
      <c r="P65" s="54" t="n">
        <f aca="false">IF(AND(E65&gt;=14400,K65&gt;0,L65&gt;0),1,0)</f>
        <v>1</v>
      </c>
      <c r="Q65" s="53" t="n">
        <f aca="false">IF(P65=1,F65/E65*MIN(L65/K65,1)*MIN(MAX(M65/L65,0),1),0)</f>
        <v>0.78348939351131</v>
      </c>
      <c r="R65" s="55" t="n">
        <f aca="false">IF(F65&gt;0,N65/(F65/3600),0)</f>
        <v>2.76337755295211</v>
      </c>
    </row>
    <row r="66" customFormat="false" ht="15" hidden="false" customHeight="false" outlineLevel="0" collapsed="false">
      <c r="A66" s="0" t="s">
        <v>258</v>
      </c>
      <c r="B66" s="52" t="n">
        <v>43895</v>
      </c>
      <c r="C66" s="0" t="n">
        <v>84414.413</v>
      </c>
      <c r="D66" s="0" t="n">
        <v>9046.285</v>
      </c>
      <c r="E66" s="0" t="n">
        <v>75368.128</v>
      </c>
      <c r="F66" s="0" t="n">
        <v>64338.544</v>
      </c>
      <c r="G66" s="0" t="n">
        <v>53157.849</v>
      </c>
      <c r="H66" s="0" t="n">
        <v>11180.695</v>
      </c>
      <c r="I66" s="0" t="n">
        <v>6033.559</v>
      </c>
      <c r="J66" s="0" t="n">
        <v>4996.025</v>
      </c>
      <c r="K66" s="0" t="n">
        <v>74960.0615277778</v>
      </c>
      <c r="L66" s="0" t="n">
        <v>61735</v>
      </c>
      <c r="M66" s="0" t="n">
        <v>61396</v>
      </c>
      <c r="N66" s="0" t="n">
        <v>46</v>
      </c>
      <c r="O66" s="54" t="n">
        <f aca="false">YEAR(B66)</f>
        <v>2020</v>
      </c>
      <c r="P66" s="54" t="n">
        <f aca="false">IF(AND(E66&gt;=14400,K66&gt;0,L66&gt;0),1,0)</f>
        <v>1</v>
      </c>
      <c r="Q66" s="53" t="n">
        <f aca="false">IF(P66=1,F66/E66*MIN(L66/K66,1)*MIN(MAX(M66/L66,0),1),0)</f>
        <v>0.699187480272618</v>
      </c>
      <c r="R66" s="55" t="n">
        <f aca="false">IF(F66&gt;0,N66/(F66/3600),0)</f>
        <v>2.57388479291667</v>
      </c>
    </row>
    <row r="67" customFormat="false" ht="15" hidden="false" customHeight="false" outlineLevel="0" collapsed="false">
      <c r="A67" s="0" t="s">
        <v>258</v>
      </c>
      <c r="B67" s="52" t="n">
        <v>43896</v>
      </c>
      <c r="C67" s="0" t="n">
        <v>86757.267</v>
      </c>
      <c r="D67" s="0" t="n">
        <v>4961.811</v>
      </c>
      <c r="E67" s="0" t="n">
        <v>81795.456</v>
      </c>
      <c r="F67" s="0" t="n">
        <v>75321.182</v>
      </c>
      <c r="G67" s="0" t="n">
        <v>63034.194</v>
      </c>
      <c r="H67" s="0" t="n">
        <v>12286.988</v>
      </c>
      <c r="I67" s="0" t="n">
        <v>4489.377</v>
      </c>
      <c r="J67" s="0" t="n">
        <v>1984.897</v>
      </c>
      <c r="K67" s="0" t="n">
        <v>76196.7824138889</v>
      </c>
      <c r="L67" s="0" t="n">
        <v>64024</v>
      </c>
      <c r="M67" s="0" t="n">
        <v>63692</v>
      </c>
      <c r="N67" s="0" t="n">
        <v>41</v>
      </c>
      <c r="O67" s="54" t="n">
        <f aca="false">YEAR(B67)</f>
        <v>2020</v>
      </c>
      <c r="P67" s="54" t="n">
        <f aca="false">IF(AND(E67&gt;=14400,K67&gt;0,L67&gt;0),1,0)</f>
        <v>1</v>
      </c>
      <c r="Q67" s="53" t="n">
        <f aca="false">IF(P67=1,F67/E67*MIN(L67/K67,1)*MIN(MAX(M67/L67,0),1),0)</f>
        <v>0.769726081680073</v>
      </c>
      <c r="R67" s="55" t="n">
        <f aca="false">IF(F67&gt;0,N67/(F67/3600),0)</f>
        <v>1.95960812192246</v>
      </c>
    </row>
    <row r="68" customFormat="false" ht="15" hidden="false" customHeight="false" outlineLevel="0" collapsed="false">
      <c r="A68" s="0" t="s">
        <v>258</v>
      </c>
      <c r="B68" s="52" t="n">
        <v>43897</v>
      </c>
      <c r="C68" s="0" t="n">
        <v>26174.618</v>
      </c>
      <c r="D68" s="0" t="n">
        <v>5439.481</v>
      </c>
      <c r="E68" s="0" t="n">
        <v>20735.137</v>
      </c>
      <c r="F68" s="0" t="n">
        <v>7406.057</v>
      </c>
      <c r="G68" s="0" t="n">
        <v>6364.008</v>
      </c>
      <c r="H68" s="0" t="n">
        <v>1042.049</v>
      </c>
      <c r="I68" s="0" t="n">
        <v>4749.501</v>
      </c>
      <c r="J68" s="0" t="n">
        <v>8579.579</v>
      </c>
      <c r="K68" s="0" t="n">
        <v>8760.17840277778</v>
      </c>
      <c r="L68" s="0" t="n">
        <v>7489</v>
      </c>
      <c r="M68" s="0" t="n">
        <v>7425</v>
      </c>
      <c r="N68" s="0" t="n">
        <v>17</v>
      </c>
      <c r="O68" s="54" t="n">
        <f aca="false">YEAR(B68)</f>
        <v>2020</v>
      </c>
      <c r="P68" s="54" t="n">
        <f aca="false">IF(AND(E68&gt;=14400,K68&gt;0,L68&gt;0),1,0)</f>
        <v>1</v>
      </c>
      <c r="Q68" s="53" t="n">
        <f aca="false">IF(P68=1,F68/E68*MIN(L68/K68,1)*MIN(MAX(M68/L68,0),1),0)</f>
        <v>0.30273570719036</v>
      </c>
      <c r="R68" s="55" t="n">
        <f aca="false">IF(F68&gt;0,N68/(F68/3600),0)</f>
        <v>8.26350647854857</v>
      </c>
    </row>
    <row r="69" customFormat="false" ht="15" hidden="false" customHeight="false" outlineLevel="0" collapsed="false">
      <c r="A69" s="0" t="s">
        <v>258</v>
      </c>
      <c r="B69" s="52" t="n">
        <v>43898</v>
      </c>
      <c r="C69" s="0" t="n">
        <v>86498.049</v>
      </c>
      <c r="D69" s="0" t="n">
        <v>21895.42</v>
      </c>
      <c r="E69" s="0" t="n">
        <v>64602.629</v>
      </c>
      <c r="F69" s="0" t="n">
        <v>28469.558</v>
      </c>
      <c r="G69" s="0" t="n">
        <v>21512.77</v>
      </c>
      <c r="H69" s="0" t="n">
        <v>6956.788</v>
      </c>
      <c r="I69" s="0" t="n">
        <v>928.02</v>
      </c>
      <c r="J69" s="0" t="n">
        <v>35205.051</v>
      </c>
      <c r="K69" s="0" t="n">
        <v>3091.586875</v>
      </c>
      <c r="L69" s="0" t="n">
        <v>2588</v>
      </c>
      <c r="M69" s="0" t="n">
        <v>2488</v>
      </c>
      <c r="N69" s="0" t="n">
        <v>6</v>
      </c>
      <c r="O69" s="54" t="n">
        <f aca="false">YEAR(B69)</f>
        <v>2020</v>
      </c>
      <c r="P69" s="54" t="n">
        <f aca="false">IF(AND(E69&gt;=14400,K69&gt;0,L69&gt;0),1,0)</f>
        <v>1</v>
      </c>
      <c r="Q69" s="53" t="n">
        <f aca="false">IF(P69=1,F69/E69*MIN(L69/K69,1)*MIN(MAX(M69/L69,0),1),0)</f>
        <v>0.354649583231292</v>
      </c>
      <c r="R69" s="55" t="n">
        <f aca="false">IF(F69&gt;0,N69/(F69/3600),0)</f>
        <v>0.758705140417003</v>
      </c>
    </row>
    <row r="70" customFormat="false" ht="15" hidden="false" customHeight="false" outlineLevel="0" collapsed="false">
      <c r="A70" s="0" t="s">
        <v>258</v>
      </c>
      <c r="B70" s="52" t="n">
        <v>43899</v>
      </c>
      <c r="C70" s="0" t="n">
        <v>82394.384</v>
      </c>
      <c r="D70" s="0" t="n">
        <v>8763.101</v>
      </c>
      <c r="E70" s="0" t="n">
        <v>73631.283</v>
      </c>
      <c r="F70" s="0" t="n">
        <v>60551.033</v>
      </c>
      <c r="G70" s="0" t="n">
        <v>57053.095</v>
      </c>
      <c r="H70" s="0" t="n">
        <v>3497.938</v>
      </c>
      <c r="I70" s="0" t="n">
        <v>8641.78</v>
      </c>
      <c r="J70" s="0" t="n">
        <v>4438.47</v>
      </c>
      <c r="K70" s="0" t="n">
        <v>73100.6391666667</v>
      </c>
      <c r="L70" s="0" t="n">
        <v>65240</v>
      </c>
      <c r="M70" s="0" t="n">
        <v>65033</v>
      </c>
      <c r="N70" s="0" t="n">
        <v>63</v>
      </c>
      <c r="O70" s="54" t="n">
        <f aca="false">YEAR(B70)</f>
        <v>2020</v>
      </c>
      <c r="P70" s="54" t="n">
        <f aca="false">IF(AND(E70&gt;=14400,K70&gt;0,L70&gt;0),1,0)</f>
        <v>1</v>
      </c>
      <c r="Q70" s="53" t="n">
        <f aca="false">IF(P70=1,F70/E70*MIN(L70/K70,1)*MIN(MAX(M70/L70,0),1),0)</f>
        <v>0.731596809742199</v>
      </c>
      <c r="R70" s="55" t="n">
        <f aca="false">IF(F70&gt;0,N70/(F70/3600),0)</f>
        <v>3.74560083888247</v>
      </c>
    </row>
    <row r="71" customFormat="false" ht="15" hidden="false" customHeight="false" outlineLevel="0" collapsed="false">
      <c r="A71" s="0" t="s">
        <v>258</v>
      </c>
      <c r="B71" s="52" t="n">
        <v>43900</v>
      </c>
      <c r="C71" s="0" t="n">
        <v>12588.269</v>
      </c>
      <c r="D71" s="0" t="n">
        <v>923.37</v>
      </c>
      <c r="E71" s="0" t="n">
        <v>11664.899</v>
      </c>
      <c r="F71" s="0" t="n">
        <v>7500.227</v>
      </c>
      <c r="G71" s="0" t="n">
        <v>6481.006</v>
      </c>
      <c r="H71" s="0" t="n">
        <v>1019.221</v>
      </c>
      <c r="I71" s="0" t="n">
        <v>3921.263</v>
      </c>
      <c r="J71" s="0" t="n">
        <v>243.409</v>
      </c>
      <c r="K71" s="0" t="n">
        <v>9357.94381944445</v>
      </c>
      <c r="L71" s="0" t="n">
        <v>6911</v>
      </c>
      <c r="M71" s="0" t="n">
        <v>6771</v>
      </c>
      <c r="N71" s="0" t="n">
        <v>16</v>
      </c>
      <c r="O71" s="54" t="n">
        <f aca="false">YEAR(B71)</f>
        <v>2020</v>
      </c>
      <c r="P71" s="54" t="n">
        <f aca="false">IF(AND(E71&gt;=14400,K71&gt;0,L71&gt;0),1,0)</f>
        <v>0</v>
      </c>
      <c r="Q71" s="53" t="n">
        <f aca="false">IF(P71=1,F71/E71*MIN(L71/K71,1)*MIN(MAX(M71/L71,0),1),0)</f>
        <v>0</v>
      </c>
      <c r="R71" s="55" t="n">
        <f aca="false">IF(F71&gt;0,N71/(F71/3600),0)</f>
        <v>7.67976755903521</v>
      </c>
    </row>
    <row r="72" customFormat="false" ht="15" hidden="false" customHeight="false" outlineLevel="0" collapsed="false">
      <c r="A72" s="0" t="s">
        <v>258</v>
      </c>
      <c r="B72" s="52" t="n">
        <v>43907</v>
      </c>
      <c r="C72" s="0" t="n">
        <v>76602.389</v>
      </c>
      <c r="D72" s="0" t="n">
        <v>3395.17</v>
      </c>
      <c r="E72" s="0" t="n">
        <v>73207.219</v>
      </c>
      <c r="F72" s="0" t="n">
        <v>58250.06</v>
      </c>
      <c r="G72" s="0" t="n">
        <v>47770.76</v>
      </c>
      <c r="H72" s="0" t="n">
        <v>10479.3</v>
      </c>
      <c r="I72" s="0" t="n">
        <v>11521.799</v>
      </c>
      <c r="J72" s="0" t="n">
        <v>3435.36</v>
      </c>
      <c r="K72" s="0" t="n">
        <v>41339.8125</v>
      </c>
      <c r="L72" s="0" t="n">
        <v>32902</v>
      </c>
      <c r="M72" s="0" t="n">
        <v>32613</v>
      </c>
      <c r="N72" s="0" t="n">
        <v>82</v>
      </c>
      <c r="O72" s="54" t="n">
        <f aca="false">YEAR(B72)</f>
        <v>2020</v>
      </c>
      <c r="P72" s="54" t="n">
        <f aca="false">IF(AND(E72&gt;=14400,K72&gt;0,L72&gt;0),1,0)</f>
        <v>1</v>
      </c>
      <c r="Q72" s="53" t="n">
        <f aca="false">IF(P72=1,F72/E72*MIN(L72/K72,1)*MIN(MAX(M72/L72,0),1),0)</f>
        <v>0.627718192910992</v>
      </c>
      <c r="R72" s="55" t="n">
        <f aca="false">IF(F72&gt;0,N72/(F72/3600),0)</f>
        <v>5.06780593874067</v>
      </c>
    </row>
    <row r="73" customFormat="false" ht="15" hidden="false" customHeight="false" outlineLevel="0" collapsed="false">
      <c r="A73" s="0" t="s">
        <v>258</v>
      </c>
      <c r="B73" s="52" t="n">
        <v>43908</v>
      </c>
      <c r="C73" s="0" t="n">
        <v>81586.35</v>
      </c>
      <c r="D73" s="0" t="n">
        <v>8185.41</v>
      </c>
      <c r="E73" s="0" t="n">
        <v>73400.94</v>
      </c>
      <c r="F73" s="0" t="n">
        <v>63135.039</v>
      </c>
      <c r="G73" s="0" t="n">
        <v>51374.82</v>
      </c>
      <c r="H73" s="0" t="n">
        <v>11760.219</v>
      </c>
      <c r="I73" s="0" t="n">
        <v>7123.19</v>
      </c>
      <c r="J73" s="0" t="n">
        <v>3142.711</v>
      </c>
      <c r="K73" s="0" t="n">
        <v>42116.5212083333</v>
      </c>
      <c r="L73" s="0" t="n">
        <v>39560</v>
      </c>
      <c r="M73" s="0" t="n">
        <v>39217</v>
      </c>
      <c r="N73" s="0" t="n">
        <v>50</v>
      </c>
      <c r="O73" s="54" t="n">
        <f aca="false">YEAR(B73)</f>
        <v>2020</v>
      </c>
      <c r="P73" s="54" t="n">
        <f aca="false">IF(AND(E73&gt;=14400,K73&gt;0,L73&gt;0),1,0)</f>
        <v>1</v>
      </c>
      <c r="Q73" s="53" t="n">
        <f aca="false">IF(P73=1,F73/E73*MIN(L73/K73,1)*MIN(MAX(M73/L73,0),1),0)</f>
        <v>0.800922894042063</v>
      </c>
      <c r="R73" s="55" t="n">
        <f aca="false">IF(F73&gt;0,N73/(F73/3600),0)</f>
        <v>2.85103173849311</v>
      </c>
    </row>
    <row r="74" customFormat="false" ht="15" hidden="false" customHeight="false" outlineLevel="0" collapsed="false">
      <c r="A74" s="0" t="s">
        <v>258</v>
      </c>
      <c r="B74" s="52" t="n">
        <v>43909</v>
      </c>
      <c r="C74" s="0" t="n">
        <v>80578.95</v>
      </c>
      <c r="D74" s="0" t="n">
        <v>8040.41</v>
      </c>
      <c r="E74" s="0" t="n">
        <v>72538.54</v>
      </c>
      <c r="F74" s="0" t="n">
        <v>64681.161</v>
      </c>
      <c r="G74" s="0" t="n">
        <v>55051.33</v>
      </c>
      <c r="H74" s="0" t="n">
        <v>9629.831</v>
      </c>
      <c r="I74" s="0" t="n">
        <v>5832</v>
      </c>
      <c r="J74" s="0" t="n">
        <v>2025.379</v>
      </c>
      <c r="K74" s="0" t="n">
        <v>46397.4518055556</v>
      </c>
      <c r="L74" s="0" t="n">
        <v>42784</v>
      </c>
      <c r="M74" s="0" t="n">
        <v>42508</v>
      </c>
      <c r="N74" s="0" t="n">
        <v>48</v>
      </c>
      <c r="O74" s="54" t="n">
        <f aca="false">YEAR(B74)</f>
        <v>2020</v>
      </c>
      <c r="P74" s="54" t="n">
        <f aca="false">IF(AND(E74&gt;=14400,K74&gt;0,L74&gt;0),1,0)</f>
        <v>1</v>
      </c>
      <c r="Q74" s="53" t="n">
        <f aca="false">IF(P74=1,F74/E74*MIN(L74/K74,1)*MIN(MAX(M74/L74,0),1),0)</f>
        <v>0.816931305869203</v>
      </c>
      <c r="R74" s="55" t="n">
        <f aca="false">IF(F74&gt;0,N74/(F74/3600),0)</f>
        <v>2.67156614582104</v>
      </c>
    </row>
    <row r="75" customFormat="false" ht="15" hidden="false" customHeight="false" outlineLevel="0" collapsed="false">
      <c r="A75" s="0" t="s">
        <v>258</v>
      </c>
      <c r="B75" s="52" t="n">
        <v>43910</v>
      </c>
      <c r="C75" s="0" t="n">
        <v>87549.907</v>
      </c>
      <c r="D75" s="0" t="n">
        <v>3175.369</v>
      </c>
      <c r="E75" s="0" t="n">
        <v>84374.538</v>
      </c>
      <c r="F75" s="0" t="n">
        <v>80556.528</v>
      </c>
      <c r="G75" s="0" t="n">
        <v>56987.358</v>
      </c>
      <c r="H75" s="0" t="n">
        <v>23569.17</v>
      </c>
      <c r="I75" s="0" t="n">
        <v>3623.14</v>
      </c>
      <c r="J75" s="0" t="n">
        <v>194.87</v>
      </c>
      <c r="K75" s="0" t="n">
        <v>65007.5119722222</v>
      </c>
      <c r="L75" s="0" t="n">
        <v>55397</v>
      </c>
      <c r="M75" s="0" t="n">
        <v>55099</v>
      </c>
      <c r="N75" s="0" t="n">
        <v>33</v>
      </c>
      <c r="O75" s="54" t="n">
        <f aca="false">YEAR(B75)</f>
        <v>2020</v>
      </c>
      <c r="P75" s="54" t="n">
        <f aca="false">IF(AND(E75&gt;=14400,K75&gt;0,L75&gt;0),1,0)</f>
        <v>1</v>
      </c>
      <c r="Q75" s="53" t="n">
        <f aca="false">IF(P75=1,F75/E75*MIN(L75/K75,1)*MIN(MAX(M75/L75,0),1),0)</f>
        <v>0.809225396645688</v>
      </c>
      <c r="R75" s="55" t="n">
        <f aca="false">IF(F75&gt;0,N75/(F75/3600),0)</f>
        <v>1.47474081802533</v>
      </c>
    </row>
    <row r="76" customFormat="false" ht="15" hidden="false" customHeight="false" outlineLevel="0" collapsed="false">
      <c r="A76" s="0" t="s">
        <v>258</v>
      </c>
      <c r="B76" s="52" t="n">
        <v>43911</v>
      </c>
      <c r="C76" s="0" t="n">
        <v>34961.829</v>
      </c>
      <c r="D76" s="0" t="n">
        <v>6071.55</v>
      </c>
      <c r="E76" s="0" t="n">
        <v>28890.279</v>
      </c>
      <c r="F76" s="0" t="n">
        <v>22169.257</v>
      </c>
      <c r="G76" s="0" t="n">
        <v>20839.247</v>
      </c>
      <c r="H76" s="0" t="n">
        <v>1330.01</v>
      </c>
      <c r="I76" s="0" t="n">
        <v>5026.182</v>
      </c>
      <c r="J76" s="0" t="n">
        <v>1694.84</v>
      </c>
      <c r="K76" s="0" t="n">
        <v>0</v>
      </c>
      <c r="L76" s="0" t="n">
        <v>4761</v>
      </c>
      <c r="M76" s="0" t="n">
        <v>4557</v>
      </c>
      <c r="N76" s="0" t="n">
        <v>39</v>
      </c>
      <c r="O76" s="54" t="n">
        <f aca="false">YEAR(B76)</f>
        <v>2020</v>
      </c>
      <c r="P76" s="54" t="n">
        <f aca="false">IF(AND(E76&gt;=14400,K76&gt;0,L76&gt;0),1,0)</f>
        <v>0</v>
      </c>
      <c r="Q76" s="53" t="n">
        <f aca="false">IF(P76=1,F76/E76*MIN(L76/K76,1)*MIN(MAX(M76/L76,0),1),0)</f>
        <v>0</v>
      </c>
      <c r="R76" s="55" t="n">
        <f aca="false">IF(F76&gt;0,N76/(F76/3600),0)</f>
        <v>6.33309451913522</v>
      </c>
    </row>
    <row r="77" customFormat="false" ht="15" hidden="false" customHeight="false" outlineLevel="0" collapsed="false">
      <c r="A77" s="0" t="s">
        <v>258</v>
      </c>
      <c r="B77" s="52" t="n">
        <v>43912</v>
      </c>
      <c r="C77" s="0" t="n">
        <v>92091.113</v>
      </c>
      <c r="D77" s="0" t="n">
        <v>27164.55</v>
      </c>
      <c r="E77" s="0" t="n">
        <v>64926.563</v>
      </c>
      <c r="F77" s="0" t="n">
        <v>43772.922</v>
      </c>
      <c r="G77" s="0" t="n">
        <v>35514.617</v>
      </c>
      <c r="H77" s="0" t="n">
        <v>8258.305</v>
      </c>
      <c r="I77" s="0" t="n">
        <v>13885.311</v>
      </c>
      <c r="J77" s="0" t="n">
        <v>7268.33</v>
      </c>
      <c r="K77" s="0" t="n">
        <v>32325.5567291667</v>
      </c>
      <c r="L77" s="0" t="n">
        <v>30150</v>
      </c>
      <c r="M77" s="0" t="n">
        <v>29984</v>
      </c>
      <c r="N77" s="0" t="n">
        <v>15</v>
      </c>
      <c r="O77" s="54" t="n">
        <f aca="false">YEAR(B77)</f>
        <v>2020</v>
      </c>
      <c r="P77" s="54" t="n">
        <f aca="false">IF(AND(E77&gt;=14400,K77&gt;0,L77&gt;0),1,0)</f>
        <v>1</v>
      </c>
      <c r="Q77" s="53" t="n">
        <f aca="false">IF(P77=1,F77/E77*MIN(L77/K77,1)*MIN(MAX(M77/L77,0),1),0)</f>
        <v>0.625355078178078</v>
      </c>
      <c r="R77" s="55" t="n">
        <f aca="false">IF(F77&gt;0,N77/(F77/3600),0)</f>
        <v>1.23363937184728</v>
      </c>
    </row>
    <row r="78" customFormat="false" ht="15" hidden="false" customHeight="false" outlineLevel="0" collapsed="false">
      <c r="A78" s="0" t="s">
        <v>258</v>
      </c>
      <c r="B78" s="52" t="n">
        <v>43913</v>
      </c>
      <c r="C78" s="0" t="n">
        <v>78815.538</v>
      </c>
      <c r="D78" s="0" t="n">
        <v>12793.646</v>
      </c>
      <c r="E78" s="0" t="n">
        <v>66021.892</v>
      </c>
      <c r="F78" s="0" t="n">
        <v>42686.853</v>
      </c>
      <c r="G78" s="0" t="n">
        <v>18474.061</v>
      </c>
      <c r="H78" s="0" t="n">
        <v>24212.792</v>
      </c>
      <c r="I78" s="0" t="n">
        <v>3137.43</v>
      </c>
      <c r="J78" s="0" t="n">
        <v>20197.609</v>
      </c>
      <c r="K78" s="0" t="n">
        <v>0</v>
      </c>
      <c r="L78" s="0" t="n">
        <v>2388</v>
      </c>
      <c r="M78" s="0" t="n">
        <v>2307</v>
      </c>
      <c r="N78" s="0" t="n">
        <v>15</v>
      </c>
      <c r="O78" s="54" t="n">
        <f aca="false">YEAR(B78)</f>
        <v>2020</v>
      </c>
      <c r="P78" s="54" t="n">
        <f aca="false">IF(AND(E78&gt;=14400,K78&gt;0,L78&gt;0),1,0)</f>
        <v>0</v>
      </c>
      <c r="Q78" s="53" t="n">
        <f aca="false">IF(P78=1,F78/E78*MIN(L78/K78,1)*MIN(MAX(M78/L78,0),1),0)</f>
        <v>0</v>
      </c>
      <c r="R78" s="55" t="n">
        <f aca="false">IF(F78&gt;0,N78/(F78/3600),0)</f>
        <v>1.26502649422294</v>
      </c>
    </row>
    <row r="79" customFormat="false" ht="15" hidden="false" customHeight="false" outlineLevel="0" collapsed="false">
      <c r="A79" s="0" t="s">
        <v>258</v>
      </c>
      <c r="B79" s="52" t="n">
        <v>43914</v>
      </c>
      <c r="C79" s="0" t="n">
        <v>82578.12</v>
      </c>
      <c r="D79" s="0" t="n">
        <v>10747.237</v>
      </c>
      <c r="E79" s="0" t="n">
        <v>71830.883</v>
      </c>
      <c r="F79" s="0" t="n">
        <v>57572.949</v>
      </c>
      <c r="G79" s="0" t="n">
        <v>46874.894</v>
      </c>
      <c r="H79" s="0" t="n">
        <v>10698.055</v>
      </c>
      <c r="I79" s="0" t="n">
        <v>7579.951</v>
      </c>
      <c r="J79" s="0" t="n">
        <v>6677.983</v>
      </c>
      <c r="K79" s="0" t="n">
        <v>14290.6579305556</v>
      </c>
      <c r="L79" s="0" t="n">
        <v>21675</v>
      </c>
      <c r="M79" s="0" t="n">
        <v>21384</v>
      </c>
      <c r="N79" s="0" t="n">
        <v>76</v>
      </c>
      <c r="O79" s="54" t="n">
        <f aca="false">YEAR(B79)</f>
        <v>2020</v>
      </c>
      <c r="P79" s="54" t="n">
        <f aca="false">IF(AND(E79&gt;=14400,K79&gt;0,L79&gt;0),1,0)</f>
        <v>1</v>
      </c>
      <c r="Q79" s="53" t="n">
        <f aca="false">IF(P79=1,F79/E79*MIN(L79/K79,1)*MIN(MAX(M79/L79,0),1),0)</f>
        <v>0.790746193349212</v>
      </c>
      <c r="R79" s="55" t="n">
        <f aca="false">IF(F79&gt;0,N79/(F79/3600),0)</f>
        <v>4.75223181636918</v>
      </c>
    </row>
    <row r="80" customFormat="false" ht="15" hidden="false" customHeight="false" outlineLevel="0" collapsed="false">
      <c r="A80" s="0" t="s">
        <v>258</v>
      </c>
      <c r="B80" s="52" t="n">
        <v>43915</v>
      </c>
      <c r="C80" s="0" t="n">
        <v>44828.648</v>
      </c>
      <c r="D80" s="0" t="n">
        <v>7135.277</v>
      </c>
      <c r="E80" s="0" t="n">
        <v>37693.371</v>
      </c>
      <c r="F80" s="0" t="n">
        <v>21103.423</v>
      </c>
      <c r="G80" s="0" t="n">
        <v>19398.495</v>
      </c>
      <c r="H80" s="0" t="n">
        <v>1704.928</v>
      </c>
      <c r="I80" s="0" t="n">
        <v>3047.406</v>
      </c>
      <c r="J80" s="0" t="n">
        <v>13542.542</v>
      </c>
      <c r="K80" s="0" t="n">
        <v>21037.34</v>
      </c>
      <c r="L80" s="0" t="n">
        <v>20798</v>
      </c>
      <c r="M80" s="0" t="n">
        <v>20650</v>
      </c>
      <c r="N80" s="0" t="n">
        <v>28</v>
      </c>
      <c r="O80" s="54" t="n">
        <f aca="false">YEAR(B80)</f>
        <v>2020</v>
      </c>
      <c r="P80" s="54" t="n">
        <f aca="false">IF(AND(E80&gt;=14400,K80&gt;0,L80&gt;0),1,0)</f>
        <v>1</v>
      </c>
      <c r="Q80" s="53" t="n">
        <f aca="false">IF(P80=1,F80/E80*MIN(L80/K80,1)*MIN(MAX(M80/L80,0),1),0)</f>
        <v>0.549562581660478</v>
      </c>
      <c r="R80" s="55" t="n">
        <f aca="false">IF(F80&gt;0,N80/(F80/3600),0)</f>
        <v>4.77647630908029</v>
      </c>
    </row>
    <row r="81" customFormat="false" ht="15" hidden="false" customHeight="false" outlineLevel="0" collapsed="false">
      <c r="A81" s="0" t="s">
        <v>258</v>
      </c>
      <c r="B81" s="52" t="n">
        <v>43916</v>
      </c>
      <c r="C81" s="0" t="n">
        <v>82113.975</v>
      </c>
      <c r="D81" s="0" t="n">
        <v>6385.461</v>
      </c>
      <c r="E81" s="0" t="n">
        <v>75728.514</v>
      </c>
      <c r="F81" s="0" t="n">
        <v>61581.894</v>
      </c>
      <c r="G81" s="0" t="n">
        <v>54795.407</v>
      </c>
      <c r="H81" s="0" t="n">
        <v>6786.487</v>
      </c>
      <c r="I81" s="0" t="n">
        <v>10826.758</v>
      </c>
      <c r="J81" s="0" t="n">
        <v>3319.862</v>
      </c>
      <c r="K81" s="0" t="n">
        <v>22082.4047916667</v>
      </c>
      <c r="L81" s="0" t="n">
        <v>27850</v>
      </c>
      <c r="M81" s="0" t="n">
        <v>27509</v>
      </c>
      <c r="N81" s="0" t="n">
        <v>73</v>
      </c>
      <c r="O81" s="54" t="n">
        <f aca="false">YEAR(B81)</f>
        <v>2020</v>
      </c>
      <c r="P81" s="54" t="n">
        <f aca="false">IF(AND(E81&gt;=14400,K81&gt;0,L81&gt;0),1,0)</f>
        <v>1</v>
      </c>
      <c r="Q81" s="53" t="n">
        <f aca="false">IF(P81=1,F81/E81*MIN(L81/K81,1)*MIN(MAX(M81/L81,0),1),0)</f>
        <v>0.803236085133643</v>
      </c>
      <c r="R81" s="55" t="n">
        <f aca="false">IF(F81&gt;0,N81/(F81/3600),0)</f>
        <v>4.26748810291544</v>
      </c>
    </row>
    <row r="82" customFormat="false" ht="15" hidden="false" customHeight="false" outlineLevel="0" collapsed="false">
      <c r="A82" s="0" t="s">
        <v>258</v>
      </c>
      <c r="B82" s="52" t="n">
        <v>43917</v>
      </c>
      <c r="C82" s="0" t="n">
        <v>86465.267</v>
      </c>
      <c r="D82" s="0" t="n">
        <v>9623.528</v>
      </c>
      <c r="E82" s="0" t="n">
        <v>76841.739</v>
      </c>
      <c r="F82" s="0" t="n">
        <v>65913.25</v>
      </c>
      <c r="G82" s="0" t="n">
        <v>55499.443</v>
      </c>
      <c r="H82" s="0" t="n">
        <v>10413.807</v>
      </c>
      <c r="I82" s="0" t="n">
        <v>9224.697</v>
      </c>
      <c r="J82" s="0" t="n">
        <v>1703.792</v>
      </c>
      <c r="K82" s="0" t="n">
        <v>59461.8427777778</v>
      </c>
      <c r="L82" s="0" t="n">
        <v>53984</v>
      </c>
      <c r="M82" s="0" t="n">
        <v>53704</v>
      </c>
      <c r="N82" s="0" t="n">
        <v>66</v>
      </c>
      <c r="O82" s="54" t="n">
        <f aca="false">YEAR(B82)</f>
        <v>2020</v>
      </c>
      <c r="P82" s="54" t="n">
        <f aca="false">IF(AND(E82&gt;=14400,K82&gt;0,L82&gt;0),1,0)</f>
        <v>1</v>
      </c>
      <c r="Q82" s="53" t="n">
        <f aca="false">IF(P82=1,F82/E82*MIN(L82/K82,1)*MIN(MAX(M82/L82,0),1),0)</f>
        <v>0.774718293539014</v>
      </c>
      <c r="R82" s="55" t="n">
        <f aca="false">IF(F82&gt;0,N82/(F82/3600),0)</f>
        <v>3.60473804584056</v>
      </c>
    </row>
    <row r="83" customFormat="false" ht="15" hidden="false" customHeight="false" outlineLevel="0" collapsed="false">
      <c r="A83" s="0" t="s">
        <v>258</v>
      </c>
      <c r="B83" s="52" t="n">
        <v>43918</v>
      </c>
      <c r="C83" s="0" t="n">
        <v>15446.414</v>
      </c>
      <c r="D83" s="0" t="n">
        <v>5953.417</v>
      </c>
      <c r="E83" s="0" t="n">
        <v>9492.997</v>
      </c>
      <c r="F83" s="0" t="n">
        <v>5547.715</v>
      </c>
      <c r="G83" s="0" t="n">
        <v>5547.715</v>
      </c>
      <c r="H83" s="0" t="n">
        <v>0</v>
      </c>
      <c r="I83" s="0" t="n">
        <v>2450.908</v>
      </c>
      <c r="J83" s="0" t="n">
        <v>1494.374</v>
      </c>
      <c r="K83" s="0" t="n">
        <v>0</v>
      </c>
      <c r="L83" s="0" t="n">
        <v>3133</v>
      </c>
      <c r="M83" s="0" t="n">
        <v>3115</v>
      </c>
      <c r="N83" s="0" t="n">
        <v>20</v>
      </c>
      <c r="O83" s="54" t="n">
        <f aca="false">YEAR(B83)</f>
        <v>2020</v>
      </c>
      <c r="P83" s="54" t="n">
        <f aca="false">IF(AND(E83&gt;=14400,K83&gt;0,L83&gt;0),1,0)</f>
        <v>0</v>
      </c>
      <c r="Q83" s="53" t="n">
        <f aca="false">IF(P83=1,F83/E83*MIN(L83/K83,1)*MIN(MAX(M83/L83,0),1),0)</f>
        <v>0</v>
      </c>
      <c r="R83" s="55" t="n">
        <f aca="false">IF(F83&gt;0,N83/(F83/3600),0)</f>
        <v>12.9783162977911</v>
      </c>
    </row>
    <row r="84" customFormat="false" ht="15" hidden="false" customHeight="false" outlineLevel="0" collapsed="false">
      <c r="A84" s="0" t="s">
        <v>258</v>
      </c>
      <c r="B84" s="52" t="n">
        <v>43919</v>
      </c>
      <c r="C84" s="0" t="n">
        <v>34293.625</v>
      </c>
      <c r="D84" s="0" t="n">
        <v>8985.821</v>
      </c>
      <c r="E84" s="0" t="n">
        <v>25307.804</v>
      </c>
      <c r="F84" s="0" t="n">
        <v>18569.442</v>
      </c>
      <c r="G84" s="0" t="n">
        <v>17059.538</v>
      </c>
      <c r="H84" s="0" t="n">
        <v>1509.904</v>
      </c>
      <c r="I84" s="0" t="n">
        <v>3907.964</v>
      </c>
      <c r="J84" s="0" t="n">
        <v>2830.398</v>
      </c>
      <c r="K84" s="0" t="n">
        <v>20682.0788333333</v>
      </c>
      <c r="L84" s="0" t="n">
        <v>20750</v>
      </c>
      <c r="M84" s="0" t="n">
        <v>20618</v>
      </c>
      <c r="N84" s="0" t="n">
        <v>30</v>
      </c>
      <c r="O84" s="54" t="n">
        <f aca="false">YEAR(B84)</f>
        <v>2020</v>
      </c>
      <c r="P84" s="54" t="n">
        <f aca="false">IF(AND(E84&gt;=14400,K84&gt;0,L84&gt;0),1,0)</f>
        <v>1</v>
      </c>
      <c r="Q84" s="53" t="n">
        <f aca="false">IF(P84=1,F84/E84*MIN(L84/K84,1)*MIN(MAX(M84/L84,0),1),0)</f>
        <v>0.729076039212805</v>
      </c>
      <c r="R84" s="55" t="n">
        <f aca="false">IF(F84&gt;0,N84/(F84/3600),0)</f>
        <v>5.81600674915272</v>
      </c>
    </row>
    <row r="85" customFormat="false" ht="15" hidden="false" customHeight="false" outlineLevel="0" collapsed="false">
      <c r="A85" s="0" t="s">
        <v>258</v>
      </c>
      <c r="B85" s="52" t="n">
        <v>43920</v>
      </c>
      <c r="C85" s="0" t="n">
        <v>86847.903</v>
      </c>
      <c r="D85" s="0" t="n">
        <v>8378.752</v>
      </c>
      <c r="E85" s="0" t="n">
        <v>78469.151</v>
      </c>
      <c r="F85" s="0" t="n">
        <v>69161.647</v>
      </c>
      <c r="G85" s="0" t="n">
        <v>63622.394</v>
      </c>
      <c r="H85" s="0" t="n">
        <v>5539.253</v>
      </c>
      <c r="I85" s="0" t="n">
        <v>7508.393</v>
      </c>
      <c r="J85" s="0" t="n">
        <v>1799.111</v>
      </c>
      <c r="K85" s="0" t="n">
        <v>65920.4145902778</v>
      </c>
      <c r="L85" s="0" t="n">
        <v>65441</v>
      </c>
      <c r="M85" s="0" t="n">
        <v>65095</v>
      </c>
      <c r="N85" s="0" t="n">
        <v>66</v>
      </c>
      <c r="O85" s="54" t="n">
        <f aca="false">YEAR(B85)</f>
        <v>2020</v>
      </c>
      <c r="P85" s="54" t="n">
        <f aca="false">IF(AND(E85&gt;=14400,K85&gt;0,L85&gt;0),1,0)</f>
        <v>1</v>
      </c>
      <c r="Q85" s="53" t="n">
        <f aca="false">IF(P85=1,F85/E85*MIN(L85/K85,1)*MIN(MAX(M85/L85,0),1),0)</f>
        <v>0.87035028205676</v>
      </c>
      <c r="R85" s="55" t="n">
        <f aca="false">IF(F85&gt;0,N85/(F85/3600),0)</f>
        <v>3.43543004405317</v>
      </c>
    </row>
    <row r="86" customFormat="false" ht="15" hidden="false" customHeight="false" outlineLevel="0" collapsed="false">
      <c r="A86" s="0" t="s">
        <v>258</v>
      </c>
      <c r="B86" s="52" t="n">
        <v>43921</v>
      </c>
      <c r="C86" s="0" t="n">
        <v>83348.677</v>
      </c>
      <c r="D86" s="0" t="n">
        <v>3885.501</v>
      </c>
      <c r="E86" s="0" t="n">
        <v>79463.176</v>
      </c>
      <c r="F86" s="0" t="n">
        <v>71915.136</v>
      </c>
      <c r="G86" s="0" t="n">
        <v>68405.552</v>
      </c>
      <c r="H86" s="0" t="n">
        <v>3509.584</v>
      </c>
      <c r="I86" s="0" t="n">
        <v>6664.259</v>
      </c>
      <c r="J86" s="0" t="n">
        <v>883.781</v>
      </c>
      <c r="K86" s="0" t="n">
        <v>37075.1803055556</v>
      </c>
      <c r="L86" s="0" t="n">
        <v>45450</v>
      </c>
      <c r="M86" s="0" t="n">
        <v>45262</v>
      </c>
      <c r="N86" s="0" t="n">
        <v>81</v>
      </c>
      <c r="O86" s="54" t="n">
        <f aca="false">YEAR(B86)</f>
        <v>2020</v>
      </c>
      <c r="P86" s="54" t="n">
        <f aca="false">IF(AND(E86&gt;=14400,K86&gt;0,L86&gt;0),1,0)</f>
        <v>1</v>
      </c>
      <c r="Q86" s="53" t="n">
        <f aca="false">IF(P86=1,F86/E86*MIN(L86/K86,1)*MIN(MAX(M86/L86,0),1),0)</f>
        <v>0.901268598305573</v>
      </c>
      <c r="R86" s="55" t="n">
        <f aca="false">IF(F86&gt;0,N86/(F86/3600),0)</f>
        <v>4.05477923312277</v>
      </c>
    </row>
    <row r="87" customFormat="false" ht="15" hidden="false" customHeight="false" outlineLevel="0" collapsed="false">
      <c r="A87" s="0" t="s">
        <v>258</v>
      </c>
      <c r="B87" s="52" t="n">
        <v>43922</v>
      </c>
      <c r="C87" s="0" t="n">
        <v>86495.98</v>
      </c>
      <c r="D87" s="0" t="n">
        <v>16202.219</v>
      </c>
      <c r="E87" s="0" t="n">
        <v>70293.761</v>
      </c>
      <c r="F87" s="0" t="n">
        <v>34491.159</v>
      </c>
      <c r="G87" s="0" t="n">
        <v>28397.005</v>
      </c>
      <c r="H87" s="0" t="n">
        <v>6094.154</v>
      </c>
      <c r="I87" s="0" t="n">
        <v>17176.51</v>
      </c>
      <c r="J87" s="0" t="n">
        <v>18626.092</v>
      </c>
      <c r="K87" s="0" t="n">
        <v>42096.4692633333</v>
      </c>
      <c r="L87" s="0" t="n">
        <v>35536</v>
      </c>
      <c r="M87" s="0" t="n">
        <v>35220</v>
      </c>
      <c r="N87" s="0" t="n">
        <v>44</v>
      </c>
      <c r="O87" s="54" t="n">
        <f aca="false">YEAR(B87)</f>
        <v>2020</v>
      </c>
      <c r="P87" s="54" t="n">
        <f aca="false">IF(AND(E87&gt;=14400,K87&gt;0,L87&gt;0),1,0)</f>
        <v>1</v>
      </c>
      <c r="Q87" s="53" t="n">
        <f aca="false">IF(P87=1,F87/E87*MIN(L87/K87,1)*MIN(MAX(M87/L87,0),1),0)</f>
        <v>0.410520346992684</v>
      </c>
      <c r="R87" s="55" t="n">
        <f aca="false">IF(F87&gt;0,N87/(F87/3600),0)</f>
        <v>4.59248122105726</v>
      </c>
    </row>
    <row r="88" customFormat="false" ht="15" hidden="false" customHeight="false" outlineLevel="0" collapsed="false">
      <c r="A88" s="0" t="s">
        <v>258</v>
      </c>
      <c r="B88" s="52" t="n">
        <v>43923</v>
      </c>
      <c r="C88" s="0" t="n">
        <v>81852.968</v>
      </c>
      <c r="D88" s="0" t="n">
        <v>10123.098</v>
      </c>
      <c r="E88" s="0" t="n">
        <v>71729.87</v>
      </c>
      <c r="F88" s="0" t="n">
        <v>65476.543</v>
      </c>
      <c r="G88" s="0" t="n">
        <v>61721.069</v>
      </c>
      <c r="H88" s="0" t="n">
        <v>3755.474</v>
      </c>
      <c r="I88" s="0" t="n">
        <v>4079.116</v>
      </c>
      <c r="J88" s="0" t="n">
        <v>2174.211</v>
      </c>
      <c r="K88" s="0" t="n">
        <v>61234.173</v>
      </c>
      <c r="L88" s="0" t="n">
        <v>56404</v>
      </c>
      <c r="M88" s="0" t="n">
        <v>56115</v>
      </c>
      <c r="N88" s="0" t="n">
        <v>55</v>
      </c>
      <c r="O88" s="54" t="n">
        <f aca="false">YEAR(B88)</f>
        <v>2020</v>
      </c>
      <c r="P88" s="54" t="n">
        <f aca="false">IF(AND(E88&gt;=14400,K88&gt;0,L88&gt;0),1,0)</f>
        <v>1</v>
      </c>
      <c r="Q88" s="53" t="n">
        <f aca="false">IF(P88=1,F88/E88*MIN(L88/K88,1)*MIN(MAX(M88/L88,0),1),0)</f>
        <v>0.836509366817743</v>
      </c>
      <c r="R88" s="55" t="n">
        <f aca="false">IF(F88&gt;0,N88/(F88/3600),0)</f>
        <v>3.02398371887166</v>
      </c>
    </row>
    <row r="89" customFormat="false" ht="15" hidden="false" customHeight="false" outlineLevel="0" collapsed="false">
      <c r="A89" s="0" t="s">
        <v>258</v>
      </c>
      <c r="B89" s="52" t="n">
        <v>43924</v>
      </c>
      <c r="C89" s="0" t="n">
        <v>81491.585</v>
      </c>
      <c r="D89" s="0" t="n">
        <v>4158.798</v>
      </c>
      <c r="E89" s="0" t="n">
        <v>77332.787</v>
      </c>
      <c r="F89" s="0" t="n">
        <v>70459.105</v>
      </c>
      <c r="G89" s="0" t="n">
        <v>58803.592</v>
      </c>
      <c r="H89" s="0" t="n">
        <v>11655.513</v>
      </c>
      <c r="I89" s="0" t="n">
        <v>3502.335</v>
      </c>
      <c r="J89" s="0" t="n">
        <v>3371.347</v>
      </c>
      <c r="K89" s="0" t="n">
        <v>740.633333333333</v>
      </c>
      <c r="L89" s="0" t="n">
        <v>7908</v>
      </c>
      <c r="M89" s="0" t="n">
        <v>7598</v>
      </c>
      <c r="N89" s="0" t="n">
        <v>47</v>
      </c>
      <c r="O89" s="54" t="n">
        <f aca="false">YEAR(B89)</f>
        <v>2020</v>
      </c>
      <c r="P89" s="54" t="n">
        <f aca="false">IF(AND(E89&gt;=14400,K89&gt;0,L89&gt;0),1,0)</f>
        <v>1</v>
      </c>
      <c r="Q89" s="53" t="n">
        <f aca="false">IF(P89=1,F89/E89*MIN(L89/K89,1)*MIN(MAX(M89/L89,0),1),0)</f>
        <v>0.875399086042909</v>
      </c>
      <c r="R89" s="55" t="n">
        <f aca="false">IF(F89&gt;0,N89/(F89/3600),0)</f>
        <v>2.40139297823894</v>
      </c>
    </row>
    <row r="90" customFormat="false" ht="15" hidden="false" customHeight="false" outlineLevel="0" collapsed="false">
      <c r="A90" s="0" t="s">
        <v>258</v>
      </c>
      <c r="B90" s="52" t="n">
        <v>43925</v>
      </c>
      <c r="C90" s="0" t="n">
        <v>20645.466</v>
      </c>
      <c r="D90" s="0" t="n">
        <v>1094.148</v>
      </c>
      <c r="E90" s="0" t="n">
        <v>19551.318</v>
      </c>
      <c r="F90" s="0" t="n">
        <v>15299.951</v>
      </c>
      <c r="G90" s="0" t="n">
        <v>13733.57</v>
      </c>
      <c r="H90" s="0" t="n">
        <v>1566.381</v>
      </c>
      <c r="I90" s="0" t="n">
        <v>3124.127</v>
      </c>
      <c r="J90" s="0" t="n">
        <v>1127.24</v>
      </c>
      <c r="K90" s="0" t="n">
        <v>17992.2292013889</v>
      </c>
      <c r="L90" s="0" t="n">
        <v>16065</v>
      </c>
      <c r="M90" s="0" t="n">
        <v>15972</v>
      </c>
      <c r="N90" s="0" t="n">
        <v>41</v>
      </c>
      <c r="O90" s="54" t="n">
        <f aca="false">YEAR(B90)</f>
        <v>2020</v>
      </c>
      <c r="P90" s="54" t="n">
        <f aca="false">IF(AND(E90&gt;=14400,K90&gt;0,L90&gt;0),1,0)</f>
        <v>1</v>
      </c>
      <c r="Q90" s="53" t="n">
        <f aca="false">IF(P90=1,F90/E90*MIN(L90/K90,1)*MIN(MAX(M90/L90,0),1),0)</f>
        <v>0.694685648741243</v>
      </c>
      <c r="R90" s="55" t="n">
        <f aca="false">IF(F90&gt;0,N90/(F90/3600),0)</f>
        <v>9.64708971943766</v>
      </c>
    </row>
    <row r="91" customFormat="false" ht="15" hidden="false" customHeight="false" outlineLevel="0" collapsed="false">
      <c r="A91" s="0" t="s">
        <v>258</v>
      </c>
      <c r="B91" s="52" t="n">
        <v>43926</v>
      </c>
      <c r="C91" s="0" t="n">
        <v>79938.477</v>
      </c>
      <c r="D91" s="0" t="n">
        <v>24632.451</v>
      </c>
      <c r="E91" s="0" t="n">
        <v>55306.026</v>
      </c>
      <c r="F91" s="0" t="n">
        <v>22841.248</v>
      </c>
      <c r="G91" s="0" t="n">
        <v>19050.013</v>
      </c>
      <c r="H91" s="0" t="n">
        <v>3791.235</v>
      </c>
      <c r="I91" s="0" t="n">
        <v>1038.68</v>
      </c>
      <c r="J91" s="0" t="n">
        <v>31426.098</v>
      </c>
      <c r="K91" s="0" t="n">
        <v>24415.6438541667</v>
      </c>
      <c r="L91" s="0" t="n">
        <v>21268</v>
      </c>
      <c r="M91" s="0" t="n">
        <v>21168</v>
      </c>
      <c r="N91" s="0" t="n">
        <v>12</v>
      </c>
      <c r="O91" s="54" t="n">
        <f aca="false">YEAR(B91)</f>
        <v>2020</v>
      </c>
      <c r="P91" s="54" t="n">
        <f aca="false">IF(AND(E91&gt;=14400,K91&gt;0,L91&gt;0),1,0)</f>
        <v>1</v>
      </c>
      <c r="Q91" s="53" t="n">
        <f aca="false">IF(P91=1,F91/E91*MIN(L91/K91,1)*MIN(MAX(M91/L91,0),1),0)</f>
        <v>0.358062649738776</v>
      </c>
      <c r="R91" s="55" t="n">
        <f aca="false">IF(F91&gt;0,N91/(F91/3600),0)</f>
        <v>1.89131522060441</v>
      </c>
    </row>
    <row r="92" customFormat="false" ht="15" hidden="false" customHeight="false" outlineLevel="0" collapsed="false">
      <c r="A92" s="0" t="s">
        <v>258</v>
      </c>
      <c r="B92" s="52" t="n">
        <v>43927</v>
      </c>
      <c r="C92" s="0" t="n">
        <v>86605.383</v>
      </c>
      <c r="D92" s="0" t="n">
        <v>12948.923</v>
      </c>
      <c r="E92" s="0" t="n">
        <v>73656.46</v>
      </c>
      <c r="F92" s="0" t="n">
        <v>59270.228</v>
      </c>
      <c r="G92" s="0" t="n">
        <v>55921.114</v>
      </c>
      <c r="H92" s="0" t="n">
        <v>3349.114</v>
      </c>
      <c r="I92" s="0" t="n">
        <v>11355.534</v>
      </c>
      <c r="J92" s="0" t="n">
        <v>3030.698</v>
      </c>
      <c r="K92" s="0" t="n">
        <v>55118.7676805556</v>
      </c>
      <c r="L92" s="0" t="n">
        <v>56161</v>
      </c>
      <c r="M92" s="0" t="n">
        <v>55885</v>
      </c>
      <c r="N92" s="0" t="n">
        <v>87</v>
      </c>
      <c r="O92" s="54" t="n">
        <f aca="false">YEAR(B92)</f>
        <v>2020</v>
      </c>
      <c r="P92" s="54" t="n">
        <f aca="false">IF(AND(E92&gt;=14400,K92&gt;0,L92&gt;0),1,0)</f>
        <v>1</v>
      </c>
      <c r="Q92" s="53" t="n">
        <f aca="false">IF(P92=1,F92/E92*MIN(L92/K92,1)*MIN(MAX(M92/L92,0),1),0)</f>
        <v>0.800730144756683</v>
      </c>
      <c r="R92" s="55" t="n">
        <f aca="false">IF(F92&gt;0,N92/(F92/3600),0)</f>
        <v>5.28427189448301</v>
      </c>
    </row>
    <row r="93" customFormat="false" ht="15" hidden="false" customHeight="false" outlineLevel="0" collapsed="false">
      <c r="A93" s="0" t="s">
        <v>258</v>
      </c>
      <c r="B93" s="52" t="n">
        <v>43928</v>
      </c>
      <c r="C93" s="0" t="n">
        <v>84136.896</v>
      </c>
      <c r="D93" s="0" t="n">
        <v>3030.807</v>
      </c>
      <c r="E93" s="0" t="n">
        <v>81106.089</v>
      </c>
      <c r="F93" s="0" t="n">
        <v>75022.068</v>
      </c>
      <c r="G93" s="0" t="n">
        <v>65788.901</v>
      </c>
      <c r="H93" s="0" t="n">
        <v>9233.167</v>
      </c>
      <c r="I93" s="0" t="n">
        <v>4968.916</v>
      </c>
      <c r="J93" s="0" t="n">
        <v>1115.105</v>
      </c>
      <c r="K93" s="0" t="n">
        <v>0</v>
      </c>
      <c r="L93" s="0" t="n">
        <v>8881</v>
      </c>
      <c r="M93" s="0" t="n">
        <v>8667</v>
      </c>
      <c r="N93" s="0" t="n">
        <v>51</v>
      </c>
      <c r="O93" s="54" t="n">
        <f aca="false">YEAR(B93)</f>
        <v>2020</v>
      </c>
      <c r="P93" s="54" t="n">
        <f aca="false">IF(AND(E93&gt;=14400,K93&gt;0,L93&gt;0),1,0)</f>
        <v>0</v>
      </c>
      <c r="Q93" s="53" t="n">
        <f aca="false">IF(P93=1,F93/E93*MIN(L93/K93,1)*MIN(MAX(M93/L93,0),1),0)</f>
        <v>0</v>
      </c>
      <c r="R93" s="55" t="n">
        <f aca="false">IF(F93&gt;0,N93/(F93/3600),0)</f>
        <v>2.44727991235859</v>
      </c>
    </row>
    <row r="94" customFormat="false" ht="15" hidden="false" customHeight="false" outlineLevel="0" collapsed="false">
      <c r="A94" s="0" t="s">
        <v>258</v>
      </c>
      <c r="B94" s="52" t="n">
        <v>43929</v>
      </c>
      <c r="C94" s="0" t="n">
        <v>83458.072</v>
      </c>
      <c r="D94" s="0" t="n">
        <v>6161.344</v>
      </c>
      <c r="E94" s="0" t="n">
        <v>77296.728</v>
      </c>
      <c r="F94" s="0" t="n">
        <v>45621.847</v>
      </c>
      <c r="G94" s="0" t="n">
        <v>38064.705</v>
      </c>
      <c r="H94" s="0" t="n">
        <v>7557.142</v>
      </c>
      <c r="I94" s="0" t="n">
        <v>2626.804</v>
      </c>
      <c r="J94" s="0" t="n">
        <v>29048.077</v>
      </c>
      <c r="K94" s="0" t="n">
        <v>26074.4226458333</v>
      </c>
      <c r="L94" s="0" t="n">
        <v>25826</v>
      </c>
      <c r="M94" s="0" t="n">
        <v>25698</v>
      </c>
      <c r="N94" s="0" t="n">
        <v>24</v>
      </c>
      <c r="O94" s="54" t="n">
        <f aca="false">YEAR(B94)</f>
        <v>2020</v>
      </c>
      <c r="P94" s="54" t="n">
        <f aca="false">IF(AND(E94&gt;=14400,K94&gt;0,L94&gt;0),1,0)</f>
        <v>1</v>
      </c>
      <c r="Q94" s="53" t="n">
        <f aca="false">IF(P94=1,F94/E94*MIN(L94/K94,1)*MIN(MAX(M94/L94,0),1),0)</f>
        <v>0.581696401557309</v>
      </c>
      <c r="R94" s="55" t="n">
        <f aca="false">IF(F94&gt;0,N94/(F94/3600),0)</f>
        <v>1.89382950672734</v>
      </c>
    </row>
    <row r="95" customFormat="false" ht="15" hidden="false" customHeight="false" outlineLevel="0" collapsed="false">
      <c r="A95" s="0" t="s">
        <v>258</v>
      </c>
      <c r="B95" s="52" t="n">
        <v>43930</v>
      </c>
      <c r="C95" s="0" t="n">
        <v>85825.556</v>
      </c>
      <c r="D95" s="0" t="n">
        <v>8302.52</v>
      </c>
      <c r="E95" s="0" t="n">
        <v>77523.036</v>
      </c>
      <c r="F95" s="0" t="n">
        <v>65862.655</v>
      </c>
      <c r="G95" s="0" t="n">
        <v>58666.733</v>
      </c>
      <c r="H95" s="0" t="n">
        <v>7195.922</v>
      </c>
      <c r="I95" s="0" t="n">
        <v>6221.901</v>
      </c>
      <c r="J95" s="0" t="n">
        <v>5438.48</v>
      </c>
      <c r="K95" s="0" t="n">
        <v>59646.9079583333</v>
      </c>
      <c r="L95" s="0" t="n">
        <v>58204</v>
      </c>
      <c r="M95" s="0" t="n">
        <v>57926</v>
      </c>
      <c r="N95" s="0" t="n">
        <v>54</v>
      </c>
      <c r="O95" s="54" t="n">
        <f aca="false">YEAR(B95)</f>
        <v>2020</v>
      </c>
      <c r="P95" s="54" t="n">
        <f aca="false">IF(AND(E95&gt;=14400,K95&gt;0,L95&gt;0),1,0)</f>
        <v>1</v>
      </c>
      <c r="Q95" s="53" t="n">
        <f aca="false">IF(P95=1,F95/E95*MIN(L95/K95,1)*MIN(MAX(M95/L95,0),1),0)</f>
        <v>0.825076211859112</v>
      </c>
      <c r="R95" s="55" t="n">
        <f aca="false">IF(F95&gt;0,N95/(F95/3600),0)</f>
        <v>2.95159677361928</v>
      </c>
    </row>
    <row r="96" customFormat="false" ht="15" hidden="false" customHeight="false" outlineLevel="0" collapsed="false">
      <c r="A96" s="0" t="s">
        <v>258</v>
      </c>
      <c r="B96" s="52" t="n">
        <v>43931</v>
      </c>
      <c r="C96" s="0" t="n">
        <v>84329.409</v>
      </c>
      <c r="D96" s="0" t="n">
        <v>3201.359</v>
      </c>
      <c r="E96" s="0" t="n">
        <v>81128.05</v>
      </c>
      <c r="F96" s="0" t="n">
        <v>74017.791</v>
      </c>
      <c r="G96" s="0" t="n">
        <v>62517.861</v>
      </c>
      <c r="H96" s="0" t="n">
        <v>11499.93</v>
      </c>
      <c r="I96" s="0" t="n">
        <v>6091.229</v>
      </c>
      <c r="J96" s="0" t="n">
        <v>1019.03</v>
      </c>
      <c r="K96" s="0" t="n">
        <v>0</v>
      </c>
      <c r="L96" s="0" t="n">
        <v>9374</v>
      </c>
      <c r="M96" s="0" t="n">
        <v>8943</v>
      </c>
      <c r="N96" s="0" t="n">
        <v>52</v>
      </c>
      <c r="O96" s="54" t="n">
        <f aca="false">YEAR(B96)</f>
        <v>2020</v>
      </c>
      <c r="P96" s="54" t="n">
        <f aca="false">IF(AND(E96&gt;=14400,K96&gt;0,L96&gt;0),1,0)</f>
        <v>0</v>
      </c>
      <c r="Q96" s="53" t="n">
        <f aca="false">IF(P96=1,F96/E96*MIN(L96/K96,1)*MIN(MAX(M96/L96,0),1),0)</f>
        <v>0</v>
      </c>
      <c r="R96" s="55" t="n">
        <f aca="false">IF(F96&gt;0,N96/(F96/3600),0)</f>
        <v>2.52912168102936</v>
      </c>
    </row>
    <row r="97" customFormat="false" ht="15" hidden="false" customHeight="false" outlineLevel="0" collapsed="false">
      <c r="A97" s="0" t="s">
        <v>258</v>
      </c>
      <c r="B97" s="52" t="n">
        <v>43932</v>
      </c>
      <c r="C97" s="0" t="n">
        <v>25297.319</v>
      </c>
      <c r="D97" s="0" t="n">
        <v>5228.981</v>
      </c>
      <c r="E97" s="0" t="n">
        <v>20068.338</v>
      </c>
      <c r="F97" s="0" t="n">
        <v>12460.731</v>
      </c>
      <c r="G97" s="0" t="n">
        <v>10222.871</v>
      </c>
      <c r="H97" s="0" t="n">
        <v>2237.86</v>
      </c>
      <c r="I97" s="0" t="n">
        <v>1928.568</v>
      </c>
      <c r="J97" s="0" t="n">
        <v>5679.039</v>
      </c>
      <c r="K97" s="0" t="n">
        <v>0</v>
      </c>
      <c r="L97" s="0" t="n">
        <v>2293</v>
      </c>
      <c r="M97" s="0" t="n">
        <v>2256</v>
      </c>
      <c r="N97" s="0" t="n">
        <v>22</v>
      </c>
      <c r="O97" s="54" t="n">
        <f aca="false">YEAR(B97)</f>
        <v>2020</v>
      </c>
      <c r="P97" s="54" t="n">
        <f aca="false">IF(AND(E97&gt;=14400,K97&gt;0,L97&gt;0),1,0)</f>
        <v>0</v>
      </c>
      <c r="Q97" s="53" t="n">
        <f aca="false">IF(P97=1,F97/E97*MIN(L97/K97,1)*MIN(MAX(M97/L97,0),1),0)</f>
        <v>0</v>
      </c>
      <c r="R97" s="55" t="n">
        <f aca="false">IF(F97&gt;0,N97/(F97/3600),0)</f>
        <v>6.35596739870237</v>
      </c>
    </row>
    <row r="98" customFormat="false" ht="15" hidden="false" customHeight="false" outlineLevel="0" collapsed="false">
      <c r="A98" s="0" t="s">
        <v>258</v>
      </c>
      <c r="B98" s="52" t="n">
        <v>43933</v>
      </c>
      <c r="C98" s="0" t="n">
        <v>36855.83</v>
      </c>
      <c r="D98" s="0" t="n">
        <v>2786.349</v>
      </c>
      <c r="E98" s="0" t="n">
        <v>34069.481</v>
      </c>
      <c r="F98" s="0" t="n">
        <v>29438.62</v>
      </c>
      <c r="G98" s="0" t="n">
        <v>22932.349</v>
      </c>
      <c r="H98" s="0" t="n">
        <v>6506.271</v>
      </c>
      <c r="I98" s="0" t="n">
        <v>3326.279</v>
      </c>
      <c r="J98" s="0" t="n">
        <v>1304.582</v>
      </c>
      <c r="K98" s="0" t="n">
        <v>14078.9564166667</v>
      </c>
      <c r="L98" s="0" t="n">
        <v>14358</v>
      </c>
      <c r="M98" s="0" t="n">
        <v>14266</v>
      </c>
      <c r="N98" s="0" t="n">
        <v>18</v>
      </c>
      <c r="O98" s="54" t="n">
        <f aca="false">YEAR(B98)</f>
        <v>2020</v>
      </c>
      <c r="P98" s="54" t="n">
        <f aca="false">IF(AND(E98&gt;=14400,K98&gt;0,L98&gt;0),1,0)</f>
        <v>1</v>
      </c>
      <c r="Q98" s="53" t="n">
        <f aca="false">IF(P98=1,F98/E98*MIN(L98/K98,1)*MIN(MAX(M98/L98,0),1),0)</f>
        <v>0.858539340714743</v>
      </c>
      <c r="R98" s="55" t="n">
        <f aca="false">IF(F98&gt;0,N98/(F98/3600),0)</f>
        <v>2.20119013730943</v>
      </c>
    </row>
    <row r="99" customFormat="false" ht="15" hidden="false" customHeight="false" outlineLevel="0" collapsed="false">
      <c r="A99" s="0" t="s">
        <v>258</v>
      </c>
      <c r="B99" s="52" t="n">
        <v>43934</v>
      </c>
      <c r="C99" s="0" t="n">
        <v>86253.876</v>
      </c>
      <c r="D99" s="0" t="n">
        <v>10186.96</v>
      </c>
      <c r="E99" s="0" t="n">
        <v>76066.916</v>
      </c>
      <c r="F99" s="0" t="n">
        <v>66971.205</v>
      </c>
      <c r="G99" s="0" t="n">
        <v>56557.301</v>
      </c>
      <c r="H99" s="0" t="n">
        <v>10413.904</v>
      </c>
      <c r="I99" s="0" t="n">
        <v>4722.229</v>
      </c>
      <c r="J99" s="0" t="n">
        <v>4373.482</v>
      </c>
      <c r="K99" s="0" t="n">
        <v>71255.3401388889</v>
      </c>
      <c r="L99" s="0" t="n">
        <v>59382</v>
      </c>
      <c r="M99" s="0" t="n">
        <v>58893</v>
      </c>
      <c r="N99" s="0" t="n">
        <v>67</v>
      </c>
      <c r="O99" s="54" t="n">
        <f aca="false">YEAR(B99)</f>
        <v>2020</v>
      </c>
      <c r="P99" s="54" t="n">
        <f aca="false">IF(AND(E99&gt;=14400,K99&gt;0,L99&gt;0),1,0)</f>
        <v>1</v>
      </c>
      <c r="Q99" s="53" t="n">
        <f aca="false">IF(P99=1,F99/E99*MIN(L99/K99,1)*MIN(MAX(M99/L99,0),1),0)</f>
        <v>0.727676859781207</v>
      </c>
      <c r="R99" s="55" t="n">
        <f aca="false">IF(F99&gt;0,N99/(F99/3600),0)</f>
        <v>3.6015478592628</v>
      </c>
    </row>
    <row r="100" customFormat="false" ht="15" hidden="false" customHeight="false" outlineLevel="0" collapsed="false">
      <c r="A100" s="0" t="s">
        <v>258</v>
      </c>
      <c r="B100" s="52" t="n">
        <v>43935</v>
      </c>
      <c r="C100" s="0" t="n">
        <v>85796.918</v>
      </c>
      <c r="D100" s="0" t="n">
        <v>4898.468</v>
      </c>
      <c r="E100" s="0" t="n">
        <v>80898.45</v>
      </c>
      <c r="F100" s="0" t="n">
        <v>68402.931</v>
      </c>
      <c r="G100" s="0" t="n">
        <v>50704.322</v>
      </c>
      <c r="H100" s="0" t="n">
        <v>17698.609</v>
      </c>
      <c r="I100" s="0" t="n">
        <v>5079.398</v>
      </c>
      <c r="J100" s="0" t="n">
        <v>7416.121</v>
      </c>
      <c r="K100" s="0" t="n">
        <v>51670.8301388889</v>
      </c>
      <c r="L100" s="0" t="n">
        <v>39643</v>
      </c>
      <c r="M100" s="0" t="n">
        <v>39108</v>
      </c>
      <c r="N100" s="0" t="n">
        <v>50</v>
      </c>
      <c r="O100" s="54" t="n">
        <f aca="false">YEAR(B100)</f>
        <v>2020</v>
      </c>
      <c r="P100" s="54" t="n">
        <f aca="false">IF(AND(E100&gt;=14400,K100&gt;0,L100&gt;0),1,0)</f>
        <v>1</v>
      </c>
      <c r="Q100" s="53" t="n">
        <f aca="false">IF(P100=1,F100/E100*MIN(L100/K100,1)*MIN(MAX(M100/L100,0),1),0)</f>
        <v>0.639962723707609</v>
      </c>
      <c r="R100" s="55" t="n">
        <f aca="false">IF(F100&gt;0,N100/(F100/3600),0)</f>
        <v>2.63146618673402</v>
      </c>
    </row>
    <row r="101" customFormat="false" ht="15" hidden="false" customHeight="false" outlineLevel="0" collapsed="false">
      <c r="A101" s="0" t="s">
        <v>258</v>
      </c>
      <c r="B101" s="52" t="n">
        <v>43936</v>
      </c>
      <c r="C101" s="0" t="n">
        <v>84300.229</v>
      </c>
      <c r="D101" s="0" t="n">
        <v>8516.75</v>
      </c>
      <c r="E101" s="0" t="n">
        <v>75783.479</v>
      </c>
      <c r="F101" s="0" t="n">
        <v>66702.679</v>
      </c>
      <c r="G101" s="0" t="n">
        <v>57535.201</v>
      </c>
      <c r="H101" s="0" t="n">
        <v>9167.478</v>
      </c>
      <c r="I101" s="0" t="n">
        <v>6915.199</v>
      </c>
      <c r="J101" s="0" t="n">
        <v>2165.601</v>
      </c>
      <c r="K101" s="0" t="n">
        <v>22809.5441666667</v>
      </c>
      <c r="L101" s="0" t="n">
        <v>25313</v>
      </c>
      <c r="M101" s="0" t="n">
        <v>25060</v>
      </c>
      <c r="N101" s="0" t="n">
        <v>46</v>
      </c>
      <c r="O101" s="54" t="n">
        <f aca="false">YEAR(B101)</f>
        <v>2020</v>
      </c>
      <c r="P101" s="54" t="n">
        <f aca="false">IF(AND(E101&gt;=14400,K101&gt;0,L101&gt;0),1,0)</f>
        <v>1</v>
      </c>
      <c r="Q101" s="53" t="n">
        <f aca="false">IF(P101=1,F101/E101*MIN(L101/K101,1)*MIN(MAX(M101/L101,0),1),0)</f>
        <v>0.871377187302483</v>
      </c>
      <c r="R101" s="55" t="n">
        <f aca="false">IF(F101&gt;0,N101/(F101/3600),0)</f>
        <v>2.48265890489946</v>
      </c>
    </row>
    <row r="102" customFormat="false" ht="15" hidden="false" customHeight="false" outlineLevel="0" collapsed="false">
      <c r="A102" s="0" t="s">
        <v>258</v>
      </c>
      <c r="B102" s="52" t="n">
        <v>43937</v>
      </c>
      <c r="C102" s="0" t="n">
        <v>79769.159</v>
      </c>
      <c r="D102" s="0" t="n">
        <v>7978.027</v>
      </c>
      <c r="E102" s="0" t="n">
        <v>71791.132</v>
      </c>
      <c r="F102" s="0" t="n">
        <v>63376.592</v>
      </c>
      <c r="G102" s="0" t="n">
        <v>47612.179</v>
      </c>
      <c r="H102" s="0" t="n">
        <v>15764.413</v>
      </c>
      <c r="I102" s="0" t="n">
        <v>6215.571</v>
      </c>
      <c r="J102" s="0" t="n">
        <v>2198.969</v>
      </c>
      <c r="K102" s="0" t="n">
        <v>64368.42625</v>
      </c>
      <c r="L102" s="0" t="n">
        <v>47103</v>
      </c>
      <c r="M102" s="0" t="n">
        <v>46774</v>
      </c>
      <c r="N102" s="0" t="n">
        <v>45</v>
      </c>
      <c r="O102" s="54" t="n">
        <f aca="false">YEAR(B102)</f>
        <v>2020</v>
      </c>
      <c r="P102" s="54" t="n">
        <f aca="false">IF(AND(E102&gt;=14400,K102&gt;0,L102&gt;0),1,0)</f>
        <v>1</v>
      </c>
      <c r="Q102" s="53" t="n">
        <f aca="false">IF(P102=1,F102/E102*MIN(L102/K102,1)*MIN(MAX(M102/L102,0),1),0)</f>
        <v>0.641489719330265</v>
      </c>
      <c r="R102" s="55" t="n">
        <f aca="false">IF(F102&gt;0,N102/(F102/3600),0)</f>
        <v>2.55614880648679</v>
      </c>
    </row>
    <row r="103" customFormat="false" ht="15" hidden="false" customHeight="false" outlineLevel="0" collapsed="false">
      <c r="A103" s="0" t="s">
        <v>258</v>
      </c>
      <c r="B103" s="52" t="n">
        <v>43938</v>
      </c>
      <c r="C103" s="0" t="n">
        <v>84327.869</v>
      </c>
      <c r="D103" s="0" t="n">
        <v>3194.849</v>
      </c>
      <c r="E103" s="0" t="n">
        <v>81133.02</v>
      </c>
      <c r="F103" s="0" t="n">
        <v>76070.11</v>
      </c>
      <c r="G103" s="0" t="n">
        <v>68973.91</v>
      </c>
      <c r="H103" s="0" t="n">
        <v>7096.2</v>
      </c>
      <c r="I103" s="0" t="n">
        <v>5011.56</v>
      </c>
      <c r="J103" s="0" t="n">
        <v>51.35</v>
      </c>
      <c r="K103" s="0" t="n">
        <v>91354.9150694445</v>
      </c>
      <c r="L103" s="0" t="n">
        <v>82621</v>
      </c>
      <c r="M103" s="0" t="n">
        <v>82248</v>
      </c>
      <c r="N103" s="0" t="n">
        <v>57</v>
      </c>
      <c r="O103" s="54" t="n">
        <f aca="false">YEAR(B103)</f>
        <v>2020</v>
      </c>
      <c r="P103" s="54" t="n">
        <f aca="false">IF(AND(E103&gt;=14400,K103&gt;0,L103&gt;0),1,0)</f>
        <v>1</v>
      </c>
      <c r="Q103" s="53" t="n">
        <f aca="false">IF(P103=1,F103/E103*MIN(L103/K103,1)*MIN(MAX(M103/L103,0),1),0)</f>
        <v>0.844130962297835</v>
      </c>
      <c r="R103" s="55" t="n">
        <f aca="false">IF(F103&gt;0,N103/(F103/3600),0)</f>
        <v>2.69751154559919</v>
      </c>
    </row>
    <row r="104" customFormat="false" ht="15" hidden="false" customHeight="false" outlineLevel="0" collapsed="false">
      <c r="A104" s="0" t="s">
        <v>258</v>
      </c>
      <c r="B104" s="52" t="n">
        <v>43939</v>
      </c>
      <c r="C104" s="0" t="n">
        <v>36877.199</v>
      </c>
      <c r="D104" s="0" t="n">
        <v>14107.78</v>
      </c>
      <c r="E104" s="0" t="n">
        <v>22769.419</v>
      </c>
      <c r="F104" s="0" t="n">
        <v>15913.258</v>
      </c>
      <c r="G104" s="0" t="n">
        <v>12636.528</v>
      </c>
      <c r="H104" s="0" t="n">
        <v>3276.73</v>
      </c>
      <c r="I104" s="0" t="n">
        <v>5272.961</v>
      </c>
      <c r="J104" s="0" t="n">
        <v>1583.2</v>
      </c>
      <c r="K104" s="0" t="n">
        <v>19891.5725</v>
      </c>
      <c r="L104" s="0" t="n">
        <v>15775</v>
      </c>
      <c r="M104" s="0" t="n">
        <v>15691</v>
      </c>
      <c r="N104" s="0" t="n">
        <v>29</v>
      </c>
      <c r="O104" s="54" t="n">
        <f aca="false">YEAR(B104)</f>
        <v>2020</v>
      </c>
      <c r="P104" s="54" t="n">
        <f aca="false">IF(AND(E104&gt;=14400,K104&gt;0,L104&gt;0),1,0)</f>
        <v>1</v>
      </c>
      <c r="Q104" s="53" t="n">
        <f aca="false">IF(P104=1,F104/E104*MIN(L104/K104,1)*MIN(MAX(M104/L104,0),1),0)</f>
        <v>0.551300847860896</v>
      </c>
      <c r="R104" s="55" t="n">
        <f aca="false">IF(F104&gt;0,N104/(F104/3600),0)</f>
        <v>6.56056729552176</v>
      </c>
    </row>
    <row r="105" customFormat="false" ht="15" hidden="false" customHeight="false" outlineLevel="0" collapsed="false">
      <c r="A105" s="0" t="s">
        <v>258</v>
      </c>
      <c r="B105" s="52" t="n">
        <v>43940</v>
      </c>
      <c r="C105" s="0" t="n">
        <v>83401.658</v>
      </c>
      <c r="D105" s="0" t="n">
        <v>15886.49</v>
      </c>
      <c r="E105" s="0" t="n">
        <v>67515.168</v>
      </c>
      <c r="F105" s="0" t="n">
        <v>23257.33</v>
      </c>
      <c r="G105" s="0" t="n">
        <v>21091.039</v>
      </c>
      <c r="H105" s="0" t="n">
        <v>2166.291</v>
      </c>
      <c r="I105" s="0" t="n">
        <v>4433.32</v>
      </c>
      <c r="J105" s="0" t="n">
        <v>39824.518</v>
      </c>
      <c r="K105" s="0" t="n">
        <v>0</v>
      </c>
      <c r="L105" s="0" t="n">
        <v>3841</v>
      </c>
      <c r="M105" s="0" t="n">
        <v>3726</v>
      </c>
      <c r="N105" s="0" t="n">
        <v>27</v>
      </c>
      <c r="O105" s="54" t="n">
        <f aca="false">YEAR(B105)</f>
        <v>2020</v>
      </c>
      <c r="P105" s="54" t="n">
        <f aca="false">IF(AND(E105&gt;=14400,K105&gt;0,L105&gt;0),1,0)</f>
        <v>0</v>
      </c>
      <c r="Q105" s="53" t="n">
        <f aca="false">IF(P105=1,F105/E105*MIN(L105/K105,1)*MIN(MAX(M105/L105,0),1),0)</f>
        <v>0</v>
      </c>
      <c r="R105" s="55" t="n">
        <f aca="false">IF(F105&gt;0,N105/(F105/3600),0)</f>
        <v>4.17932754963704</v>
      </c>
    </row>
    <row r="106" customFormat="false" ht="15" hidden="false" customHeight="false" outlineLevel="0" collapsed="false">
      <c r="A106" s="0" t="s">
        <v>258</v>
      </c>
      <c r="B106" s="52" t="n">
        <v>43941</v>
      </c>
      <c r="C106" s="0" t="n">
        <v>86295.945</v>
      </c>
      <c r="D106" s="0" t="n">
        <v>8742.979</v>
      </c>
      <c r="E106" s="0" t="n">
        <v>77552.966</v>
      </c>
      <c r="F106" s="0" t="n">
        <v>62822.439</v>
      </c>
      <c r="G106" s="0" t="n">
        <v>56845.038</v>
      </c>
      <c r="H106" s="0" t="n">
        <v>5977.401</v>
      </c>
      <c r="I106" s="0" t="n">
        <v>12676.997</v>
      </c>
      <c r="J106" s="0" t="n">
        <v>2053.53</v>
      </c>
      <c r="K106" s="0" t="n">
        <v>36578.3677083333</v>
      </c>
      <c r="L106" s="0" t="n">
        <v>42358</v>
      </c>
      <c r="M106" s="0" t="n">
        <v>41997</v>
      </c>
      <c r="N106" s="0" t="n">
        <v>65</v>
      </c>
      <c r="O106" s="54" t="n">
        <f aca="false">YEAR(B106)</f>
        <v>2020</v>
      </c>
      <c r="P106" s="54" t="n">
        <f aca="false">IF(AND(E106&gt;=14400,K106&gt;0,L106&gt;0),1,0)</f>
        <v>1</v>
      </c>
      <c r="Q106" s="53" t="n">
        <f aca="false">IF(P106=1,F106/E106*MIN(L106/K106,1)*MIN(MAX(M106/L106,0),1),0)</f>
        <v>0.803154697045022</v>
      </c>
      <c r="R106" s="55" t="n">
        <f aca="false">IF(F106&gt;0,N106/(F106/3600),0)</f>
        <v>3.72478375123258</v>
      </c>
    </row>
    <row r="107" customFormat="false" ht="15" hidden="false" customHeight="false" outlineLevel="0" collapsed="false">
      <c r="A107" s="0" t="s">
        <v>258</v>
      </c>
      <c r="B107" s="52" t="n">
        <v>43942</v>
      </c>
      <c r="C107" s="0" t="n">
        <v>84502.936</v>
      </c>
      <c r="D107" s="0" t="n">
        <v>11894.929</v>
      </c>
      <c r="E107" s="0" t="n">
        <v>72608.007</v>
      </c>
      <c r="F107" s="0" t="n">
        <v>60360.649</v>
      </c>
      <c r="G107" s="0" t="n">
        <v>51504.32</v>
      </c>
      <c r="H107" s="0" t="n">
        <v>8856.329</v>
      </c>
      <c r="I107" s="0" t="n">
        <v>7429.588</v>
      </c>
      <c r="J107" s="0" t="n">
        <v>4817.77</v>
      </c>
      <c r="K107" s="0" t="n">
        <v>25492.4640972222</v>
      </c>
      <c r="L107" s="0" t="n">
        <v>29022</v>
      </c>
      <c r="M107" s="0" t="n">
        <v>28578</v>
      </c>
      <c r="N107" s="0" t="n">
        <v>77</v>
      </c>
      <c r="O107" s="54" t="n">
        <f aca="false">YEAR(B107)</f>
        <v>2020</v>
      </c>
      <c r="P107" s="54" t="n">
        <f aca="false">IF(AND(E107&gt;=14400,K107&gt;0,L107&gt;0),1,0)</f>
        <v>1</v>
      </c>
      <c r="Q107" s="53" t="n">
        <f aca="false">IF(P107=1,F107/E107*MIN(L107/K107,1)*MIN(MAX(M107/L107,0),1),0)</f>
        <v>0.818604030707722</v>
      </c>
      <c r="R107" s="55" t="n">
        <f aca="false">IF(F107&gt;0,N107/(F107/3600),0)</f>
        <v>4.5923959498845</v>
      </c>
    </row>
    <row r="108" customFormat="false" ht="15" hidden="false" customHeight="false" outlineLevel="0" collapsed="false">
      <c r="A108" s="0" t="s">
        <v>258</v>
      </c>
      <c r="B108" s="52" t="n">
        <v>43943</v>
      </c>
      <c r="C108" s="0" t="n">
        <v>101636.99</v>
      </c>
      <c r="D108" s="0" t="n">
        <v>10978.83</v>
      </c>
      <c r="E108" s="0" t="n">
        <v>90658.16</v>
      </c>
      <c r="F108" s="0" t="n">
        <v>45222.419</v>
      </c>
      <c r="G108" s="0" t="n">
        <v>36425.349</v>
      </c>
      <c r="H108" s="0" t="n">
        <v>8797.07</v>
      </c>
      <c r="I108" s="0" t="n">
        <v>5191.21</v>
      </c>
      <c r="J108" s="0" t="n">
        <v>40244.531</v>
      </c>
      <c r="K108" s="0" t="n">
        <v>31038.04875</v>
      </c>
      <c r="L108" s="0" t="n">
        <v>25326</v>
      </c>
      <c r="M108" s="0" t="n">
        <v>24937</v>
      </c>
      <c r="N108" s="0" t="n">
        <v>44</v>
      </c>
      <c r="O108" s="54" t="n">
        <f aca="false">YEAR(B108)</f>
        <v>2020</v>
      </c>
      <c r="P108" s="54" t="n">
        <f aca="false">IF(AND(E108&gt;=14400,K108&gt;0,L108&gt;0),1,0)</f>
        <v>1</v>
      </c>
      <c r="Q108" s="53" t="n">
        <f aca="false">IF(P108=1,F108/E108*MIN(L108/K108,1)*MIN(MAX(M108/L108,0),1),0)</f>
        <v>0.400771364818159</v>
      </c>
      <c r="R108" s="55" t="n">
        <f aca="false">IF(F108&gt;0,N108/(F108/3600),0)</f>
        <v>3.50268746127888</v>
      </c>
    </row>
    <row r="109" customFormat="false" ht="15" hidden="false" customHeight="false" outlineLevel="0" collapsed="false">
      <c r="A109" s="0" t="s">
        <v>258</v>
      </c>
      <c r="B109" s="52" t="n">
        <v>43944</v>
      </c>
      <c r="C109" s="0" t="n">
        <v>62010.695</v>
      </c>
      <c r="D109" s="0" t="n">
        <v>10559.825</v>
      </c>
      <c r="E109" s="0" t="n">
        <v>51450.87</v>
      </c>
      <c r="F109" s="0" t="n">
        <v>39541.624</v>
      </c>
      <c r="G109" s="0" t="n">
        <v>27683.411</v>
      </c>
      <c r="H109" s="0" t="n">
        <v>11858.213</v>
      </c>
      <c r="I109" s="0" t="n">
        <v>5999.152</v>
      </c>
      <c r="J109" s="0" t="n">
        <v>5910.094</v>
      </c>
      <c r="K109" s="0" t="n">
        <v>20881.4411111111</v>
      </c>
      <c r="L109" s="0" t="n">
        <v>16453</v>
      </c>
      <c r="M109" s="0" t="n">
        <v>15918</v>
      </c>
      <c r="N109" s="0" t="n">
        <v>80</v>
      </c>
      <c r="O109" s="54" t="n">
        <f aca="false">YEAR(B109)</f>
        <v>2020</v>
      </c>
      <c r="P109" s="54" t="n">
        <f aca="false">IF(AND(E109&gt;=14400,K109&gt;0,L109&gt;0),1,0)</f>
        <v>1</v>
      </c>
      <c r="Q109" s="53" t="n">
        <f aca="false">IF(P109=1,F109/E109*MIN(L109/K109,1)*MIN(MAX(M109/L109,0),1),0)</f>
        <v>0.585854556384225</v>
      </c>
      <c r="R109" s="55" t="n">
        <f aca="false">IF(F109&gt;0,N109/(F109/3600),0)</f>
        <v>7.28346412883801</v>
      </c>
    </row>
    <row r="110" customFormat="false" ht="15" hidden="false" customHeight="false" outlineLevel="0" collapsed="false">
      <c r="A110" s="0" t="s">
        <v>258</v>
      </c>
      <c r="B110" s="52" t="n">
        <v>43945</v>
      </c>
      <c r="C110" s="0" t="n">
        <v>86513.185</v>
      </c>
      <c r="D110" s="0" t="n">
        <v>11868.208</v>
      </c>
      <c r="E110" s="0" t="n">
        <v>74644.977</v>
      </c>
      <c r="F110" s="0" t="n">
        <v>55944.264</v>
      </c>
      <c r="G110" s="0" t="n">
        <v>47140.724</v>
      </c>
      <c r="H110" s="0" t="n">
        <v>8803.54</v>
      </c>
      <c r="I110" s="0" t="n">
        <v>12393.023</v>
      </c>
      <c r="J110" s="0" t="n">
        <v>6307.69</v>
      </c>
      <c r="K110" s="0" t="n">
        <v>0</v>
      </c>
      <c r="L110" s="0" t="n">
        <v>20295</v>
      </c>
      <c r="M110" s="0" t="n">
        <v>19880</v>
      </c>
      <c r="N110" s="0" t="n">
        <v>155</v>
      </c>
      <c r="O110" s="54" t="n">
        <f aca="false">YEAR(B110)</f>
        <v>2020</v>
      </c>
      <c r="P110" s="54" t="n">
        <f aca="false">IF(AND(E110&gt;=14400,K110&gt;0,L110&gt;0),1,0)</f>
        <v>0</v>
      </c>
      <c r="Q110" s="53" t="n">
        <f aca="false">IF(P110=1,F110/E110*MIN(L110/K110,1)*MIN(MAX(M110/L110,0),1),0)</f>
        <v>0</v>
      </c>
      <c r="R110" s="55" t="n">
        <f aca="false">IF(F110&gt;0,N110/(F110/3600),0)</f>
        <v>9.9742129059022</v>
      </c>
    </row>
    <row r="111" customFormat="false" ht="15" hidden="false" customHeight="false" outlineLevel="0" collapsed="false">
      <c r="A111" s="0" t="s">
        <v>258</v>
      </c>
      <c r="B111" s="52" t="n">
        <v>43946</v>
      </c>
      <c r="C111" s="0" t="n">
        <v>37024.607</v>
      </c>
      <c r="D111" s="0" t="n">
        <v>7448.338</v>
      </c>
      <c r="E111" s="0" t="n">
        <v>29576.269</v>
      </c>
      <c r="F111" s="0" t="n">
        <v>14138.204</v>
      </c>
      <c r="G111" s="0" t="n">
        <v>11344.076</v>
      </c>
      <c r="H111" s="0" t="n">
        <v>2794.128</v>
      </c>
      <c r="I111" s="0" t="n">
        <v>5023.254</v>
      </c>
      <c r="J111" s="0" t="n">
        <v>10414.811</v>
      </c>
      <c r="K111" s="0" t="n">
        <v>15425.237625</v>
      </c>
      <c r="L111" s="0" t="n">
        <v>12959</v>
      </c>
      <c r="M111" s="0" t="n">
        <v>12722</v>
      </c>
      <c r="N111" s="0" t="n">
        <v>36</v>
      </c>
      <c r="O111" s="54" t="n">
        <f aca="false">YEAR(B111)</f>
        <v>2020</v>
      </c>
      <c r="P111" s="54" t="n">
        <f aca="false">IF(AND(E111&gt;=14400,K111&gt;0,L111&gt;0),1,0)</f>
        <v>1</v>
      </c>
      <c r="Q111" s="53" t="n">
        <f aca="false">IF(P111=1,F111/E111*MIN(L111/K111,1)*MIN(MAX(M111/L111,0),1),0)</f>
        <v>0.394252435121697</v>
      </c>
      <c r="R111" s="55" t="n">
        <f aca="false">IF(F111&gt;0,N111/(F111/3600),0)</f>
        <v>9.16665228483052</v>
      </c>
    </row>
    <row r="112" customFormat="false" ht="15" hidden="false" customHeight="false" outlineLevel="0" collapsed="false">
      <c r="A112" s="0" t="s">
        <v>258</v>
      </c>
      <c r="B112" s="52" t="n">
        <v>43947</v>
      </c>
      <c r="C112" s="0" t="n">
        <v>36140.69</v>
      </c>
      <c r="D112" s="0" t="n">
        <v>7977.72</v>
      </c>
      <c r="E112" s="0" t="n">
        <v>28162.97</v>
      </c>
      <c r="F112" s="0" t="n">
        <v>22705.332</v>
      </c>
      <c r="G112" s="0" t="n">
        <v>19226.602</v>
      </c>
      <c r="H112" s="0" t="n">
        <v>3478.73</v>
      </c>
      <c r="I112" s="0" t="n">
        <v>2248.968</v>
      </c>
      <c r="J112" s="0" t="n">
        <v>3208.67</v>
      </c>
      <c r="K112" s="0" t="n">
        <v>0</v>
      </c>
      <c r="L112" s="0" t="n">
        <v>2475</v>
      </c>
      <c r="M112" s="0" t="n">
        <v>2356</v>
      </c>
      <c r="N112" s="0" t="n">
        <v>15</v>
      </c>
      <c r="O112" s="54" t="n">
        <f aca="false">YEAR(B112)</f>
        <v>2020</v>
      </c>
      <c r="P112" s="54" t="n">
        <f aca="false">IF(AND(E112&gt;=14400,K112&gt;0,L112&gt;0),1,0)</f>
        <v>0</v>
      </c>
      <c r="Q112" s="53" t="n">
        <f aca="false">IF(P112=1,F112/E112*MIN(L112/K112,1)*MIN(MAX(M112/L112,0),1),0)</f>
        <v>0</v>
      </c>
      <c r="R112" s="55" t="n">
        <f aca="false">IF(F112&gt;0,N112/(F112/3600),0)</f>
        <v>2.37829598792037</v>
      </c>
    </row>
    <row r="113" customFormat="false" ht="15" hidden="false" customHeight="false" outlineLevel="0" collapsed="false">
      <c r="A113" s="0" t="s">
        <v>258</v>
      </c>
      <c r="B113" s="52" t="n">
        <v>43948</v>
      </c>
      <c r="C113" s="0" t="n">
        <v>86372.117</v>
      </c>
      <c r="D113" s="0" t="n">
        <v>11871.67</v>
      </c>
      <c r="E113" s="0" t="n">
        <v>74500.447</v>
      </c>
      <c r="F113" s="0" t="n">
        <v>56725.971</v>
      </c>
      <c r="G113" s="0" t="n">
        <v>48423.55</v>
      </c>
      <c r="H113" s="0" t="n">
        <v>8302.421</v>
      </c>
      <c r="I113" s="0" t="n">
        <v>8031.858</v>
      </c>
      <c r="J113" s="0" t="n">
        <v>9742.618</v>
      </c>
      <c r="K113" s="0" t="n">
        <v>50071.0464583333</v>
      </c>
      <c r="L113" s="0" t="n">
        <v>46933</v>
      </c>
      <c r="M113" s="0" t="n">
        <v>46590</v>
      </c>
      <c r="N113" s="0" t="n">
        <v>69</v>
      </c>
      <c r="O113" s="54" t="n">
        <f aca="false">YEAR(B113)</f>
        <v>2020</v>
      </c>
      <c r="P113" s="54" t="n">
        <f aca="false">IF(AND(E113&gt;=14400,K113&gt;0,L113&gt;0),1,0)</f>
        <v>1</v>
      </c>
      <c r="Q113" s="53" t="n">
        <f aca="false">IF(P113=1,F113/E113*MIN(L113/K113,1)*MIN(MAX(M113/L113,0),1),0)</f>
        <v>0.708482459510474</v>
      </c>
      <c r="R113" s="55" t="n">
        <f aca="false">IF(F113&gt;0,N113/(F113/3600),0)</f>
        <v>4.37894663803992</v>
      </c>
    </row>
    <row r="114" customFormat="false" ht="15" hidden="false" customHeight="false" outlineLevel="0" collapsed="false">
      <c r="A114" s="0" t="s">
        <v>258</v>
      </c>
      <c r="B114" s="52" t="n">
        <v>43949</v>
      </c>
      <c r="C114" s="0" t="n">
        <v>81836.37</v>
      </c>
      <c r="D114" s="0" t="n">
        <v>3963.412</v>
      </c>
      <c r="E114" s="0" t="n">
        <v>77872.958</v>
      </c>
      <c r="F114" s="0" t="n">
        <v>59696.936</v>
      </c>
      <c r="G114" s="0" t="n">
        <v>53073.708</v>
      </c>
      <c r="H114" s="0" t="n">
        <v>6623.228</v>
      </c>
      <c r="I114" s="0" t="n">
        <v>9855.732</v>
      </c>
      <c r="J114" s="0" t="n">
        <v>8320.29</v>
      </c>
      <c r="K114" s="0" t="n">
        <v>43263.685</v>
      </c>
      <c r="L114" s="0" t="n">
        <v>40713</v>
      </c>
      <c r="M114" s="0" t="n">
        <v>40335</v>
      </c>
      <c r="N114" s="0" t="n">
        <v>66</v>
      </c>
      <c r="O114" s="54" t="n">
        <f aca="false">YEAR(B114)</f>
        <v>2020</v>
      </c>
      <c r="P114" s="54" t="n">
        <f aca="false">IF(AND(E114&gt;=14400,K114&gt;0,L114&gt;0),1,0)</f>
        <v>1</v>
      </c>
      <c r="Q114" s="53" t="n">
        <f aca="false">IF(P114=1,F114/E114*MIN(L114/K114,1)*MIN(MAX(M114/L114,0),1),0)</f>
        <v>0.714700231687707</v>
      </c>
      <c r="R114" s="55" t="n">
        <f aca="false">IF(F114&gt;0,N114/(F114/3600),0)</f>
        <v>3.98010376947989</v>
      </c>
    </row>
    <row r="115" customFormat="false" ht="15" hidden="false" customHeight="false" outlineLevel="0" collapsed="false">
      <c r="A115" s="0" t="s">
        <v>258</v>
      </c>
      <c r="B115" s="52" t="n">
        <v>43950</v>
      </c>
      <c r="C115" s="0" t="n">
        <v>86228.268</v>
      </c>
      <c r="D115" s="0" t="n">
        <v>9199.93</v>
      </c>
      <c r="E115" s="0" t="n">
        <v>77028.338</v>
      </c>
      <c r="F115" s="0" t="n">
        <v>58169.336</v>
      </c>
      <c r="G115" s="0" t="n">
        <v>52523.849</v>
      </c>
      <c r="H115" s="0" t="n">
        <v>5645.487</v>
      </c>
      <c r="I115" s="0" t="n">
        <v>11230.77</v>
      </c>
      <c r="J115" s="0" t="n">
        <v>7628.232</v>
      </c>
      <c r="K115" s="0" t="n">
        <v>26468.3097222222</v>
      </c>
      <c r="L115" s="0" t="n">
        <v>27742</v>
      </c>
      <c r="M115" s="0" t="n">
        <v>27204</v>
      </c>
      <c r="N115" s="0" t="n">
        <v>42</v>
      </c>
      <c r="O115" s="54" t="n">
        <f aca="false">YEAR(B115)</f>
        <v>2020</v>
      </c>
      <c r="P115" s="54" t="n">
        <f aca="false">IF(AND(E115&gt;=14400,K115&gt;0,L115&gt;0),1,0)</f>
        <v>1</v>
      </c>
      <c r="Q115" s="53" t="n">
        <f aca="false">IF(P115=1,F115/E115*MIN(L115/K115,1)*MIN(MAX(M115/L115,0),1),0)</f>
        <v>0.740523044098535</v>
      </c>
      <c r="R115" s="55" t="n">
        <f aca="false">IF(F115&gt;0,N115/(F115/3600),0)</f>
        <v>2.59930764896474</v>
      </c>
    </row>
    <row r="116" customFormat="false" ht="15" hidden="false" customHeight="false" outlineLevel="0" collapsed="false">
      <c r="A116" s="0" t="s">
        <v>258</v>
      </c>
      <c r="B116" s="52" t="n">
        <v>43951</v>
      </c>
      <c r="C116" s="0" t="n">
        <v>85720.408</v>
      </c>
      <c r="D116" s="0" t="n">
        <v>9073.794</v>
      </c>
      <c r="E116" s="0" t="n">
        <v>76646.614</v>
      </c>
      <c r="F116" s="0" t="n">
        <v>65952.697</v>
      </c>
      <c r="G116" s="0" t="n">
        <v>60463.969</v>
      </c>
      <c r="H116" s="0" t="n">
        <v>5488.728</v>
      </c>
      <c r="I116" s="0" t="n">
        <v>7816.47</v>
      </c>
      <c r="J116" s="0" t="n">
        <v>2877.447</v>
      </c>
      <c r="K116" s="0" t="n">
        <v>48704.4604861111</v>
      </c>
      <c r="L116" s="0" t="n">
        <v>46093</v>
      </c>
      <c r="M116" s="0" t="n">
        <v>45860</v>
      </c>
      <c r="N116" s="0" t="n">
        <v>55</v>
      </c>
      <c r="O116" s="54" t="n">
        <f aca="false">YEAR(B116)</f>
        <v>2020</v>
      </c>
      <c r="P116" s="54" t="n">
        <f aca="false">IF(AND(E116&gt;=14400,K116&gt;0,L116&gt;0),1,0)</f>
        <v>1</v>
      </c>
      <c r="Q116" s="53" t="n">
        <f aca="false">IF(P116=1,F116/E116*MIN(L116/K116,1)*MIN(MAX(M116/L116,0),1),0)</f>
        <v>0.810223619360475</v>
      </c>
      <c r="R116" s="55" t="n">
        <f aca="false">IF(F116&gt;0,N116/(F116/3600),0)</f>
        <v>3.0021516784977</v>
      </c>
    </row>
    <row r="117" customFormat="false" ht="15" hidden="false" customHeight="false" outlineLevel="0" collapsed="false">
      <c r="A117" s="0" t="s">
        <v>258</v>
      </c>
      <c r="B117" s="52" t="n">
        <v>43952</v>
      </c>
      <c r="C117" s="0" t="n">
        <v>81821.458</v>
      </c>
      <c r="D117" s="0" t="n">
        <v>3501.95</v>
      </c>
      <c r="E117" s="0" t="n">
        <v>78319.508</v>
      </c>
      <c r="F117" s="0" t="n">
        <v>65271.806</v>
      </c>
      <c r="G117" s="0" t="n">
        <v>56445.335</v>
      </c>
      <c r="H117" s="0" t="n">
        <v>8826.471</v>
      </c>
      <c r="I117" s="0" t="n">
        <v>12937.092</v>
      </c>
      <c r="J117" s="0" t="n">
        <v>110.61</v>
      </c>
      <c r="K117" s="0" t="n">
        <v>72201.3514897222</v>
      </c>
      <c r="L117" s="0" t="n">
        <v>63905</v>
      </c>
      <c r="M117" s="0" t="n">
        <v>63664</v>
      </c>
      <c r="N117" s="0" t="n">
        <v>106</v>
      </c>
      <c r="O117" s="54" t="n">
        <f aca="false">YEAR(B117)</f>
        <v>2020</v>
      </c>
      <c r="P117" s="54" t="n">
        <f aca="false">IF(AND(E117&gt;=14400,K117&gt;0,L117&gt;0),1,0)</f>
        <v>1</v>
      </c>
      <c r="Q117" s="53" t="n">
        <f aca="false">IF(P117=1,F117/E117*MIN(L117/K117,1)*MIN(MAX(M117/L117,0),1),0)</f>
        <v>0.734859433446206</v>
      </c>
      <c r="R117" s="55" t="n">
        <f aca="false">IF(F117&gt;0,N117/(F117/3600),0)</f>
        <v>5.84632207051234</v>
      </c>
    </row>
    <row r="118" customFormat="false" ht="15" hidden="false" customHeight="false" outlineLevel="0" collapsed="false">
      <c r="A118" s="0" t="s">
        <v>258</v>
      </c>
      <c r="B118" s="52" t="n">
        <v>43953</v>
      </c>
      <c r="C118" s="0" t="n">
        <v>35519.5</v>
      </c>
      <c r="D118" s="0" t="n">
        <v>16838.69</v>
      </c>
      <c r="E118" s="0" t="n">
        <v>18680.81</v>
      </c>
      <c r="F118" s="0" t="n">
        <v>10858.028</v>
      </c>
      <c r="G118" s="0" t="n">
        <v>9984.188</v>
      </c>
      <c r="H118" s="0" t="n">
        <v>873.84</v>
      </c>
      <c r="I118" s="0" t="n">
        <v>5193.582</v>
      </c>
      <c r="J118" s="0" t="n">
        <v>2629.2</v>
      </c>
      <c r="K118" s="0" t="n">
        <v>13677.6366666667</v>
      </c>
      <c r="L118" s="0" t="n">
        <v>12623</v>
      </c>
      <c r="M118" s="0" t="n">
        <v>12548</v>
      </c>
      <c r="N118" s="0" t="n">
        <v>23</v>
      </c>
      <c r="O118" s="54" t="n">
        <f aca="false">YEAR(B118)</f>
        <v>2020</v>
      </c>
      <c r="P118" s="54" t="n">
        <f aca="false">IF(AND(E118&gt;=14400,K118&gt;0,L118&gt;0),1,0)</f>
        <v>1</v>
      </c>
      <c r="Q118" s="53" t="n">
        <f aca="false">IF(P118=1,F118/E118*MIN(L118/K118,1)*MIN(MAX(M118/L118,0),1),0)</f>
        <v>0.533235065717669</v>
      </c>
      <c r="R118" s="55" t="n">
        <f aca="false">IF(F118&gt;0,N118/(F118/3600),0)</f>
        <v>7.6256940947288</v>
      </c>
    </row>
    <row r="119" customFormat="false" ht="15" hidden="false" customHeight="false" outlineLevel="0" collapsed="false">
      <c r="A119" s="0" t="s">
        <v>258</v>
      </c>
      <c r="B119" s="52" t="n">
        <v>43954</v>
      </c>
      <c r="C119" s="0" t="n">
        <v>72306.82</v>
      </c>
      <c r="D119" s="0" t="n">
        <v>12265.761</v>
      </c>
      <c r="E119" s="0" t="n">
        <v>60041.059</v>
      </c>
      <c r="F119" s="0" t="n">
        <v>29585.64</v>
      </c>
      <c r="G119" s="0" t="n">
        <v>17865.882</v>
      </c>
      <c r="H119" s="0" t="n">
        <v>11719.758</v>
      </c>
      <c r="I119" s="0" t="n">
        <v>890.709</v>
      </c>
      <c r="J119" s="0" t="n">
        <v>29564.71</v>
      </c>
      <c r="K119" s="0" t="n">
        <v>36587.8236111111</v>
      </c>
      <c r="L119" s="0" t="n">
        <v>21109</v>
      </c>
      <c r="M119" s="0" t="n">
        <v>21068</v>
      </c>
      <c r="N119" s="0" t="n">
        <v>5</v>
      </c>
      <c r="O119" s="54" t="n">
        <f aca="false">YEAR(B119)</f>
        <v>2020</v>
      </c>
      <c r="P119" s="54" t="n">
        <f aca="false">IF(AND(E119&gt;=14400,K119&gt;0,L119&gt;0),1,0)</f>
        <v>1</v>
      </c>
      <c r="Q119" s="53" t="n">
        <f aca="false">IF(P119=1,F119/E119*MIN(L119/K119,1)*MIN(MAX(M119/L119,0),1),0)</f>
        <v>0.283739211633479</v>
      </c>
      <c r="R119" s="55" t="n">
        <f aca="false">IF(F119&gt;0,N119/(F119/3600),0)</f>
        <v>0.608403265908731</v>
      </c>
    </row>
    <row r="120" customFormat="false" ht="15" hidden="false" customHeight="false" outlineLevel="0" collapsed="false">
      <c r="A120" s="0" t="s">
        <v>258</v>
      </c>
      <c r="B120" s="52" t="n">
        <v>43955</v>
      </c>
      <c r="C120" s="0" t="n">
        <v>104896.819</v>
      </c>
      <c r="D120" s="0" t="n">
        <v>6870.34</v>
      </c>
      <c r="E120" s="0" t="n">
        <v>98026.479</v>
      </c>
      <c r="F120" s="0" t="n">
        <v>52902.336</v>
      </c>
      <c r="G120" s="0" t="n">
        <v>45733.207</v>
      </c>
      <c r="H120" s="0" t="n">
        <v>7169.129</v>
      </c>
      <c r="I120" s="0" t="n">
        <v>11892.922</v>
      </c>
      <c r="J120" s="0" t="n">
        <v>33231.221</v>
      </c>
      <c r="K120" s="0" t="n">
        <v>62243.1474194445</v>
      </c>
      <c r="L120" s="0" t="n">
        <v>53879</v>
      </c>
      <c r="M120" s="0" t="n">
        <v>53730</v>
      </c>
      <c r="N120" s="0" t="n">
        <v>78</v>
      </c>
      <c r="O120" s="54" t="n">
        <f aca="false">YEAR(B120)</f>
        <v>2020</v>
      </c>
      <c r="P120" s="54" t="n">
        <f aca="false">IF(AND(E120&gt;=14400,K120&gt;0,L120&gt;0),1,0)</f>
        <v>1</v>
      </c>
      <c r="Q120" s="53" t="n">
        <f aca="false">IF(P120=1,F120/E120*MIN(L120/K120,1)*MIN(MAX(M120/L120,0),1),0)</f>
        <v>0.465861414761546</v>
      </c>
      <c r="R120" s="55" t="n">
        <f aca="false">IF(F120&gt;0,N120/(F120/3600),0)</f>
        <v>5.30789415423924</v>
      </c>
    </row>
    <row r="121" customFormat="false" ht="15" hidden="false" customHeight="false" outlineLevel="0" collapsed="false">
      <c r="A121" s="0" t="s">
        <v>258</v>
      </c>
      <c r="B121" s="52" t="n">
        <v>43956</v>
      </c>
      <c r="C121" s="0" t="n">
        <v>66115.888</v>
      </c>
      <c r="D121" s="0" t="n">
        <v>8907.391</v>
      </c>
      <c r="E121" s="0" t="n">
        <v>57208.497</v>
      </c>
      <c r="F121" s="0" t="n">
        <v>46185.886</v>
      </c>
      <c r="G121" s="0" t="n">
        <v>36181.197</v>
      </c>
      <c r="H121" s="0" t="n">
        <v>10004.689</v>
      </c>
      <c r="I121" s="0" t="n">
        <v>7456.692</v>
      </c>
      <c r="J121" s="0" t="n">
        <v>3565.919</v>
      </c>
      <c r="K121" s="0" t="n">
        <v>41913.6756944445</v>
      </c>
      <c r="L121" s="0" t="n">
        <v>35287</v>
      </c>
      <c r="M121" s="0" t="n">
        <v>35193</v>
      </c>
      <c r="N121" s="0" t="n">
        <v>50</v>
      </c>
      <c r="O121" s="54" t="n">
        <f aca="false">YEAR(B121)</f>
        <v>2020</v>
      </c>
      <c r="P121" s="54" t="n">
        <f aca="false">IF(AND(E121&gt;=14400,K121&gt;0,L121&gt;0),1,0)</f>
        <v>1</v>
      </c>
      <c r="Q121" s="53" t="n">
        <f aca="false">IF(P121=1,F121/E121*MIN(L121/K121,1)*MIN(MAX(M121/L121,0),1),0)</f>
        <v>0.677874476492672</v>
      </c>
      <c r="R121" s="55" t="n">
        <f aca="false">IF(F121&gt;0,N121/(F121/3600),0)</f>
        <v>3.89729451114135</v>
      </c>
    </row>
    <row r="122" customFormat="false" ht="15" hidden="false" customHeight="false" outlineLevel="0" collapsed="false">
      <c r="A122" s="0" t="s">
        <v>258</v>
      </c>
      <c r="B122" s="52" t="n">
        <v>43957</v>
      </c>
      <c r="C122" s="0" t="n">
        <v>83840.288</v>
      </c>
      <c r="D122" s="0" t="n">
        <v>5740.623</v>
      </c>
      <c r="E122" s="0" t="n">
        <v>78099.665</v>
      </c>
      <c r="F122" s="0" t="n">
        <v>54487.605</v>
      </c>
      <c r="G122" s="0" t="n">
        <v>45949.129</v>
      </c>
      <c r="H122" s="0" t="n">
        <v>8538.476</v>
      </c>
      <c r="I122" s="0" t="n">
        <v>3175.23</v>
      </c>
      <c r="J122" s="0" t="n">
        <v>20436.83</v>
      </c>
      <c r="K122" s="0" t="n">
        <v>59619.0796111111</v>
      </c>
      <c r="L122" s="0" t="n">
        <v>51198</v>
      </c>
      <c r="M122" s="0" t="n">
        <v>50995</v>
      </c>
      <c r="N122" s="0" t="n">
        <v>31</v>
      </c>
      <c r="O122" s="54" t="n">
        <f aca="false">YEAR(B122)</f>
        <v>2020</v>
      </c>
      <c r="P122" s="54" t="n">
        <f aca="false">IF(AND(E122&gt;=14400,K122&gt;0,L122&gt;0),1,0)</f>
        <v>1</v>
      </c>
      <c r="Q122" s="53" t="n">
        <f aca="false">IF(P122=1,F122/E122*MIN(L122/K122,1)*MIN(MAX(M122/L122,0),1),0)</f>
        <v>0.596747869049781</v>
      </c>
      <c r="R122" s="55" t="n">
        <f aca="false">IF(F122&gt;0,N122/(F122/3600),0)</f>
        <v>2.04817224027373</v>
      </c>
    </row>
    <row r="123" customFormat="false" ht="15" hidden="false" customHeight="false" outlineLevel="0" collapsed="false">
      <c r="A123" s="0" t="s">
        <v>258</v>
      </c>
      <c r="B123" s="52" t="n">
        <v>43958</v>
      </c>
      <c r="C123" s="0" t="n">
        <v>86610.138</v>
      </c>
      <c r="D123" s="0" t="n">
        <v>9286.05</v>
      </c>
      <c r="E123" s="0" t="n">
        <v>77324.088</v>
      </c>
      <c r="F123" s="0" t="n">
        <v>64588.137</v>
      </c>
      <c r="G123" s="0" t="n">
        <v>56992.605</v>
      </c>
      <c r="H123" s="0" t="n">
        <v>7595.532</v>
      </c>
      <c r="I123" s="0" t="n">
        <v>10490.701</v>
      </c>
      <c r="J123" s="0" t="n">
        <v>2245.25</v>
      </c>
      <c r="K123" s="0" t="n">
        <v>58549.5775</v>
      </c>
      <c r="L123" s="0" t="n">
        <v>57097</v>
      </c>
      <c r="M123" s="0" t="n">
        <v>56749</v>
      </c>
      <c r="N123" s="0" t="n">
        <v>66</v>
      </c>
      <c r="O123" s="54" t="n">
        <f aca="false">YEAR(B123)</f>
        <v>2020</v>
      </c>
      <c r="P123" s="54" t="n">
        <f aca="false">IF(AND(E123&gt;=14400,K123&gt;0,L123&gt;0),1,0)</f>
        <v>1</v>
      </c>
      <c r="Q123" s="53" t="n">
        <f aca="false">IF(P123=1,F123/E123*MIN(L123/K123,1)*MIN(MAX(M123/L123,0),1),0)</f>
        <v>0.809603540853072</v>
      </c>
      <c r="R123" s="55" t="n">
        <f aca="false">IF(F123&gt;0,N123/(F123/3600),0)</f>
        <v>3.67869412303996</v>
      </c>
    </row>
    <row r="124" customFormat="false" ht="15" hidden="false" customHeight="false" outlineLevel="0" collapsed="false">
      <c r="A124" s="0" t="s">
        <v>258</v>
      </c>
      <c r="B124" s="52" t="n">
        <v>43959</v>
      </c>
      <c r="C124" s="0" t="n">
        <v>84198.648</v>
      </c>
      <c r="D124" s="0" t="n">
        <v>2893.211</v>
      </c>
      <c r="E124" s="0" t="n">
        <v>81305.437</v>
      </c>
      <c r="F124" s="0" t="n">
        <v>71307.827</v>
      </c>
      <c r="G124" s="0" t="n">
        <v>63751.064</v>
      </c>
      <c r="H124" s="0" t="n">
        <v>7556.763</v>
      </c>
      <c r="I124" s="0" t="n">
        <v>9991.131</v>
      </c>
      <c r="J124" s="0" t="n">
        <v>6.479</v>
      </c>
      <c r="K124" s="0" t="n">
        <v>14557.6472222222</v>
      </c>
      <c r="L124" s="0" t="n">
        <v>23678</v>
      </c>
      <c r="M124" s="0" t="n">
        <v>23549</v>
      </c>
      <c r="N124" s="0" t="n">
        <v>66</v>
      </c>
      <c r="O124" s="54" t="n">
        <f aca="false">YEAR(B124)</f>
        <v>2020</v>
      </c>
      <c r="P124" s="54" t="n">
        <f aca="false">IF(AND(E124&gt;=14400,K124&gt;0,L124&gt;0),1,0)</f>
        <v>1</v>
      </c>
      <c r="Q124" s="53" t="n">
        <f aca="false">IF(P124=1,F124/E124*MIN(L124/K124,1)*MIN(MAX(M124/L124,0),1),0)</f>
        <v>0.872258212749219</v>
      </c>
      <c r="R124" s="55" t="n">
        <f aca="false">IF(F124&gt;0,N124/(F124/3600),0)</f>
        <v>3.33203254111221</v>
      </c>
    </row>
    <row r="125" customFormat="false" ht="15" hidden="false" customHeight="false" outlineLevel="0" collapsed="false">
      <c r="A125" s="0" t="s">
        <v>258</v>
      </c>
      <c r="B125" s="52" t="n">
        <v>43960</v>
      </c>
      <c r="C125" s="0" t="n">
        <v>13567.92</v>
      </c>
      <c r="D125" s="0" t="n">
        <v>5367.84</v>
      </c>
      <c r="E125" s="0" t="n">
        <v>8200.08</v>
      </c>
      <c r="F125" s="0" t="n">
        <v>4986.649</v>
      </c>
      <c r="G125" s="0" t="n">
        <v>4340.939</v>
      </c>
      <c r="H125" s="0" t="n">
        <v>645.71</v>
      </c>
      <c r="I125" s="0" t="n">
        <v>549.071</v>
      </c>
      <c r="J125" s="0" t="n">
        <v>2664.36</v>
      </c>
      <c r="K125" s="0" t="n">
        <v>0</v>
      </c>
      <c r="L125" s="0" t="n">
        <v>893</v>
      </c>
      <c r="M125" s="0" t="n">
        <v>879</v>
      </c>
      <c r="N125" s="0" t="n">
        <v>8</v>
      </c>
      <c r="O125" s="54" t="n">
        <f aca="false">YEAR(B125)</f>
        <v>2020</v>
      </c>
      <c r="P125" s="54" t="n">
        <f aca="false">IF(AND(E125&gt;=14400,K125&gt;0,L125&gt;0),1,0)</f>
        <v>0</v>
      </c>
      <c r="Q125" s="53" t="n">
        <f aca="false">IF(P125=1,F125/E125*MIN(L125/K125,1)*MIN(MAX(M125/L125,0),1),0)</f>
        <v>0</v>
      </c>
      <c r="R125" s="55" t="n">
        <f aca="false">IF(F125&gt;0,N125/(F125/3600),0)</f>
        <v>5.77542153057093</v>
      </c>
    </row>
    <row r="126" customFormat="false" ht="15" hidden="false" customHeight="false" outlineLevel="0" collapsed="false">
      <c r="A126" s="0" t="s">
        <v>258</v>
      </c>
      <c r="B126" s="52" t="n">
        <v>43961</v>
      </c>
      <c r="C126" s="0" t="n">
        <v>37185.528</v>
      </c>
      <c r="D126" s="0" t="n">
        <v>2655.49</v>
      </c>
      <c r="E126" s="0" t="n">
        <v>34530.038</v>
      </c>
      <c r="F126" s="0" t="n">
        <v>29685.262</v>
      </c>
      <c r="G126" s="0" t="n">
        <v>27342.694</v>
      </c>
      <c r="H126" s="0" t="n">
        <v>2342.568</v>
      </c>
      <c r="I126" s="0" t="n">
        <v>1711.525</v>
      </c>
      <c r="J126" s="0" t="n">
        <v>3133.251</v>
      </c>
      <c r="K126" s="0" t="n">
        <v>15189.8850347222</v>
      </c>
      <c r="L126" s="0" t="n">
        <v>15427</v>
      </c>
      <c r="M126" s="0" t="n">
        <v>15322</v>
      </c>
      <c r="N126" s="0" t="n">
        <v>21</v>
      </c>
      <c r="O126" s="54" t="n">
        <f aca="false">YEAR(B126)</f>
        <v>2020</v>
      </c>
      <c r="P126" s="54" t="n">
        <f aca="false">IF(AND(E126&gt;=14400,K126&gt;0,L126&gt;0),1,0)</f>
        <v>1</v>
      </c>
      <c r="Q126" s="53" t="n">
        <f aca="false">IF(P126=1,F126/E126*MIN(L126/K126,1)*MIN(MAX(M126/L126,0),1),0)</f>
        <v>0.853842579657515</v>
      </c>
      <c r="R126" s="55" t="n">
        <f aca="false">IF(F126&gt;0,N126/(F126/3600),0)</f>
        <v>2.54671830081877</v>
      </c>
    </row>
    <row r="127" customFormat="false" ht="15" hidden="false" customHeight="false" outlineLevel="0" collapsed="false">
      <c r="A127" s="0" t="s">
        <v>258</v>
      </c>
      <c r="B127" s="52" t="n">
        <v>43962</v>
      </c>
      <c r="C127" s="0" t="n">
        <v>86603.149</v>
      </c>
      <c r="D127" s="0" t="n">
        <v>8599.862</v>
      </c>
      <c r="E127" s="0" t="n">
        <v>78003.287</v>
      </c>
      <c r="F127" s="0" t="n">
        <v>68984.88</v>
      </c>
      <c r="G127" s="0" t="n">
        <v>60662.669</v>
      </c>
      <c r="H127" s="0" t="n">
        <v>8322.211</v>
      </c>
      <c r="I127" s="0" t="n">
        <v>5859.737</v>
      </c>
      <c r="J127" s="0" t="n">
        <v>3158.67</v>
      </c>
      <c r="K127" s="0" t="n">
        <v>66014.4638472222</v>
      </c>
      <c r="L127" s="0" t="n">
        <v>59661</v>
      </c>
      <c r="M127" s="0" t="n">
        <v>59384</v>
      </c>
      <c r="N127" s="0" t="n">
        <v>53</v>
      </c>
      <c r="O127" s="54" t="n">
        <f aca="false">YEAR(B127)</f>
        <v>2020</v>
      </c>
      <c r="P127" s="54" t="n">
        <f aca="false">IF(AND(E127&gt;=14400,K127&gt;0,L127&gt;0),1,0)</f>
        <v>1</v>
      </c>
      <c r="Q127" s="53" t="n">
        <f aca="false">IF(P127=1,F127/E127*MIN(L127/K127,1)*MIN(MAX(M127/L127,0),1),0)</f>
        <v>0.795557100752199</v>
      </c>
      <c r="R127" s="55" t="n">
        <f aca="false">IF(F127&gt;0,N127/(F127/3600),0)</f>
        <v>2.76582346740329</v>
      </c>
    </row>
    <row r="128" customFormat="false" ht="15" hidden="false" customHeight="false" outlineLevel="0" collapsed="false">
      <c r="A128" s="0" t="s">
        <v>258</v>
      </c>
      <c r="B128" s="52" t="n">
        <v>43963</v>
      </c>
      <c r="C128" s="0" t="n">
        <v>87880.185</v>
      </c>
      <c r="D128" s="0" t="n">
        <v>4373.101</v>
      </c>
      <c r="E128" s="0" t="n">
        <v>83507.084</v>
      </c>
      <c r="F128" s="0" t="n">
        <v>76276.54</v>
      </c>
      <c r="G128" s="0" t="n">
        <v>70365.034</v>
      </c>
      <c r="H128" s="0" t="n">
        <v>5911.506</v>
      </c>
      <c r="I128" s="0" t="n">
        <v>5803.464</v>
      </c>
      <c r="J128" s="0" t="n">
        <v>1427.08</v>
      </c>
      <c r="K128" s="0" t="n">
        <v>61681.2223611111</v>
      </c>
      <c r="L128" s="0" t="n">
        <v>59671</v>
      </c>
      <c r="M128" s="0" t="n">
        <v>59467</v>
      </c>
      <c r="N128" s="0" t="n">
        <v>58</v>
      </c>
      <c r="O128" s="54" t="n">
        <f aca="false">YEAR(B128)</f>
        <v>2020</v>
      </c>
      <c r="P128" s="54" t="n">
        <f aca="false">IF(AND(E128&gt;=14400,K128&gt;0,L128&gt;0),1,0)</f>
        <v>1</v>
      </c>
      <c r="Q128" s="53" t="n">
        <f aca="false">IF(P128=1,F128/E128*MIN(L128/K128,1)*MIN(MAX(M128/L128,0),1),0)</f>
        <v>0.880624419003906</v>
      </c>
      <c r="R128" s="55" t="n">
        <f aca="false">IF(F128&gt;0,N128/(F128/3600),0)</f>
        <v>2.73740785830086</v>
      </c>
    </row>
    <row r="129" customFormat="false" ht="15" hidden="false" customHeight="false" outlineLevel="0" collapsed="false">
      <c r="A129" s="0" t="s">
        <v>258</v>
      </c>
      <c r="B129" s="52" t="n">
        <v>43964</v>
      </c>
      <c r="C129" s="0" t="n">
        <v>84789.839</v>
      </c>
      <c r="D129" s="0" t="n">
        <v>12745.068</v>
      </c>
      <c r="E129" s="0" t="n">
        <v>72044.771</v>
      </c>
      <c r="F129" s="0" t="n">
        <v>54794.046</v>
      </c>
      <c r="G129" s="0" t="n">
        <v>41494.476</v>
      </c>
      <c r="H129" s="0" t="n">
        <v>13299.57</v>
      </c>
      <c r="I129" s="0" t="n">
        <v>11816.833</v>
      </c>
      <c r="J129" s="0" t="n">
        <v>5433.892</v>
      </c>
      <c r="K129" s="0" t="n">
        <v>22638.44375</v>
      </c>
      <c r="L129" s="0" t="n">
        <v>22333</v>
      </c>
      <c r="M129" s="0" t="n">
        <v>22195</v>
      </c>
      <c r="N129" s="0" t="n">
        <v>49</v>
      </c>
      <c r="O129" s="54" t="n">
        <f aca="false">YEAR(B129)</f>
        <v>2020</v>
      </c>
      <c r="P129" s="54" t="n">
        <f aca="false">IF(AND(E129&gt;=14400,K129&gt;0,L129&gt;0),1,0)</f>
        <v>1</v>
      </c>
      <c r="Q129" s="53" t="n">
        <f aca="false">IF(P129=1,F129/E129*MIN(L129/K129,1)*MIN(MAX(M129/L129,0),1),0)</f>
        <v>0.745657663270713</v>
      </c>
      <c r="R129" s="55" t="n">
        <f aca="false">IF(F129&gt;0,N129/(F129/3600),0)</f>
        <v>3.21932788098911</v>
      </c>
    </row>
    <row r="130" customFormat="false" ht="15" hidden="false" customHeight="false" outlineLevel="0" collapsed="false">
      <c r="A130" s="0" t="s">
        <v>258</v>
      </c>
      <c r="B130" s="52" t="n">
        <v>43965</v>
      </c>
      <c r="C130" s="0" t="n">
        <v>86281.449</v>
      </c>
      <c r="D130" s="0" t="n">
        <v>8877.029</v>
      </c>
      <c r="E130" s="0" t="n">
        <v>77404.42</v>
      </c>
      <c r="F130" s="0" t="n">
        <v>40476.102</v>
      </c>
      <c r="G130" s="0" t="n">
        <v>33912.274</v>
      </c>
      <c r="H130" s="0" t="n">
        <v>6563.828</v>
      </c>
      <c r="I130" s="0" t="n">
        <v>7779.797</v>
      </c>
      <c r="J130" s="0" t="n">
        <v>29148.521</v>
      </c>
      <c r="K130" s="0" t="n">
        <v>0</v>
      </c>
      <c r="L130" s="0" t="n">
        <v>5422</v>
      </c>
      <c r="M130" s="0" t="n">
        <v>5187</v>
      </c>
      <c r="N130" s="0" t="n">
        <v>44</v>
      </c>
      <c r="O130" s="54" t="n">
        <f aca="false">YEAR(B130)</f>
        <v>2020</v>
      </c>
      <c r="P130" s="54" t="n">
        <f aca="false">IF(AND(E130&gt;=14400,K130&gt;0,L130&gt;0),1,0)</f>
        <v>0</v>
      </c>
      <c r="Q130" s="53" t="n">
        <f aca="false">IF(P130=1,F130/E130*MIN(L130/K130,1)*MIN(MAX(M130/L130,0),1),0)</f>
        <v>0</v>
      </c>
      <c r="R130" s="55" t="n">
        <f aca="false">IF(F130&gt;0,N130/(F130/3600),0)</f>
        <v>3.9134203189823</v>
      </c>
    </row>
    <row r="131" customFormat="false" ht="15" hidden="false" customHeight="false" outlineLevel="0" collapsed="false">
      <c r="A131" s="0" t="s">
        <v>258</v>
      </c>
      <c r="B131" s="52" t="n">
        <v>43966</v>
      </c>
      <c r="C131" s="0" t="n">
        <v>86579.869</v>
      </c>
      <c r="D131" s="0" t="n">
        <v>7952.731</v>
      </c>
      <c r="E131" s="0" t="n">
        <v>78627.138</v>
      </c>
      <c r="F131" s="0" t="n">
        <v>66695.468</v>
      </c>
      <c r="G131" s="0" t="n">
        <v>56240.988</v>
      </c>
      <c r="H131" s="0" t="n">
        <v>10454.48</v>
      </c>
      <c r="I131" s="0" t="n">
        <v>9722.291</v>
      </c>
      <c r="J131" s="0" t="n">
        <v>2209.379</v>
      </c>
      <c r="K131" s="0" t="n">
        <v>59138.5604722222</v>
      </c>
      <c r="L131" s="0" t="n">
        <v>52313</v>
      </c>
      <c r="M131" s="0" t="n">
        <v>51870</v>
      </c>
      <c r="N131" s="0" t="n">
        <v>90</v>
      </c>
      <c r="O131" s="54" t="n">
        <f aca="false">YEAR(B131)</f>
        <v>2020</v>
      </c>
      <c r="P131" s="54" t="n">
        <f aca="false">IF(AND(E131&gt;=14400,K131&gt;0,L131&gt;0),1,0)</f>
        <v>1</v>
      </c>
      <c r="Q131" s="53" t="n">
        <f aca="false">IF(P131=1,F131/E131*MIN(L131/K131,1)*MIN(MAX(M131/L131,0),1),0)</f>
        <v>0.743993867209643</v>
      </c>
      <c r="R131" s="55" t="n">
        <f aca="false">IF(F131&gt;0,N131/(F131/3600),0)</f>
        <v>4.85790128948492</v>
      </c>
    </row>
    <row r="132" customFormat="false" ht="15" hidden="false" customHeight="false" outlineLevel="0" collapsed="false">
      <c r="A132" s="0" t="s">
        <v>258</v>
      </c>
      <c r="B132" s="52" t="n">
        <v>43967</v>
      </c>
      <c r="C132" s="0" t="n">
        <v>45082.01</v>
      </c>
      <c r="D132" s="0" t="n">
        <v>17145.109</v>
      </c>
      <c r="E132" s="0" t="n">
        <v>27936.901</v>
      </c>
      <c r="F132" s="0" t="n">
        <v>20959.241</v>
      </c>
      <c r="G132" s="0" t="n">
        <v>18859</v>
      </c>
      <c r="H132" s="0" t="n">
        <v>2100.241</v>
      </c>
      <c r="I132" s="0" t="n">
        <v>3055.49</v>
      </c>
      <c r="J132" s="0" t="n">
        <v>3922.17</v>
      </c>
      <c r="K132" s="0" t="n">
        <v>25912.0800347222</v>
      </c>
      <c r="L132" s="0" t="n">
        <v>23271</v>
      </c>
      <c r="M132" s="0" t="n">
        <v>23092</v>
      </c>
      <c r="N132" s="0" t="n">
        <v>18</v>
      </c>
      <c r="O132" s="54" t="n">
        <f aca="false">YEAR(B132)</f>
        <v>2020</v>
      </c>
      <c r="P132" s="54" t="n">
        <f aca="false">IF(AND(E132&gt;=14400,K132&gt;0,L132&gt;0),1,0)</f>
        <v>1</v>
      </c>
      <c r="Q132" s="53" t="n">
        <f aca="false">IF(P132=1,F132/E132*MIN(L132/K132,1)*MIN(MAX(M132/L132,0),1),0)</f>
        <v>0.668584948081254</v>
      </c>
      <c r="R132" s="55" t="n">
        <f aca="false">IF(F132&gt;0,N132/(F132/3600),0)</f>
        <v>3.09171501009984</v>
      </c>
    </row>
    <row r="133" customFormat="false" ht="15" hidden="false" customHeight="false" outlineLevel="0" collapsed="false">
      <c r="A133" s="0" t="s">
        <v>258</v>
      </c>
      <c r="B133" s="52" t="n">
        <v>43968</v>
      </c>
      <c r="C133" s="0" t="n">
        <v>79933.459</v>
      </c>
      <c r="D133" s="0" t="n">
        <v>11649.598</v>
      </c>
      <c r="E133" s="0" t="n">
        <v>68283.861</v>
      </c>
      <c r="F133" s="0" t="n">
        <v>30115.441</v>
      </c>
      <c r="G133" s="0" t="n">
        <v>22903.978</v>
      </c>
      <c r="H133" s="0" t="n">
        <v>7211.463</v>
      </c>
      <c r="I133" s="0" t="n">
        <v>2494.919</v>
      </c>
      <c r="J133" s="0" t="n">
        <v>35673.501</v>
      </c>
      <c r="K133" s="0" t="n">
        <v>31232.3530138889</v>
      </c>
      <c r="L133" s="0" t="n">
        <v>26887</v>
      </c>
      <c r="M133" s="0" t="n">
        <v>26526</v>
      </c>
      <c r="N133" s="0" t="n">
        <v>22</v>
      </c>
      <c r="O133" s="54" t="n">
        <f aca="false">YEAR(B133)</f>
        <v>2020</v>
      </c>
      <c r="P133" s="54" t="n">
        <f aca="false">IF(AND(E133&gt;=14400,K133&gt;0,L133&gt;0),1,0)</f>
        <v>1</v>
      </c>
      <c r="Q133" s="53" t="n">
        <f aca="false">IF(P133=1,F133/E133*MIN(L133/K133,1)*MIN(MAX(M133/L133,0),1),0)</f>
        <v>0.374574508316887</v>
      </c>
      <c r="R133" s="55" t="n">
        <f aca="false">IF(F133&gt;0,N133/(F133/3600),0)</f>
        <v>2.6298801335833</v>
      </c>
    </row>
    <row r="134" customFormat="false" ht="15" hidden="false" customHeight="false" outlineLevel="0" collapsed="false">
      <c r="A134" s="0" t="s">
        <v>258</v>
      </c>
      <c r="B134" s="52" t="n">
        <v>43969</v>
      </c>
      <c r="C134" s="0" t="n">
        <v>87039.659</v>
      </c>
      <c r="D134" s="0" t="n">
        <v>8816.996</v>
      </c>
      <c r="E134" s="0" t="n">
        <v>78222.663</v>
      </c>
      <c r="F134" s="0" t="n">
        <v>66943.236</v>
      </c>
      <c r="G134" s="0" t="n">
        <v>55977.481</v>
      </c>
      <c r="H134" s="0" t="n">
        <v>10965.755</v>
      </c>
      <c r="I134" s="0" t="n">
        <v>7654.009</v>
      </c>
      <c r="J134" s="0" t="n">
        <v>3625.418</v>
      </c>
      <c r="K134" s="0" t="n">
        <v>62010.8188472222</v>
      </c>
      <c r="L134" s="0" t="n">
        <v>57490</v>
      </c>
      <c r="M134" s="0" t="n">
        <v>56900</v>
      </c>
      <c r="N134" s="0" t="n">
        <v>59</v>
      </c>
      <c r="O134" s="54" t="n">
        <f aca="false">YEAR(B134)</f>
        <v>2020</v>
      </c>
      <c r="P134" s="54" t="n">
        <f aca="false">IF(AND(E134&gt;=14400,K134&gt;0,L134&gt;0),1,0)</f>
        <v>1</v>
      </c>
      <c r="Q134" s="53" t="n">
        <f aca="false">IF(P134=1,F134/E134*MIN(L134/K134,1)*MIN(MAX(M134/L134,0),1),0)</f>
        <v>0.785269817605815</v>
      </c>
      <c r="R134" s="55" t="n">
        <f aca="false">IF(F134&gt;0,N134/(F134/3600),0)</f>
        <v>3.17283735730971</v>
      </c>
    </row>
    <row r="135" customFormat="false" ht="15" hidden="false" customHeight="false" outlineLevel="0" collapsed="false">
      <c r="A135" s="0" t="s">
        <v>258</v>
      </c>
      <c r="B135" s="52" t="n">
        <v>43970</v>
      </c>
      <c r="C135" s="0" t="n">
        <v>85788.497</v>
      </c>
      <c r="D135" s="0" t="n">
        <v>2716.179</v>
      </c>
      <c r="E135" s="0" t="n">
        <v>83072.318</v>
      </c>
      <c r="F135" s="0" t="n">
        <v>63214.669</v>
      </c>
      <c r="G135" s="0" t="n">
        <v>55605.524</v>
      </c>
      <c r="H135" s="0" t="n">
        <v>7609.145</v>
      </c>
      <c r="I135" s="0" t="n">
        <v>19312.249</v>
      </c>
      <c r="J135" s="0" t="n">
        <v>545.4</v>
      </c>
      <c r="K135" s="0" t="n">
        <v>31817.7134722222</v>
      </c>
      <c r="L135" s="0" t="n">
        <v>39218</v>
      </c>
      <c r="M135" s="0" t="n">
        <v>38604</v>
      </c>
      <c r="N135" s="0" t="n">
        <v>88</v>
      </c>
      <c r="O135" s="54" t="n">
        <f aca="false">YEAR(B135)</f>
        <v>2020</v>
      </c>
      <c r="P135" s="54" t="n">
        <f aca="false">IF(AND(E135&gt;=14400,K135&gt;0,L135&gt;0),1,0)</f>
        <v>1</v>
      </c>
      <c r="Q135" s="53" t="n">
        <f aca="false">IF(P135=1,F135/E135*MIN(L135/K135,1)*MIN(MAX(M135/L135,0),1),0)</f>
        <v>0.749045853269607</v>
      </c>
      <c r="R135" s="55" t="n">
        <f aca="false">IF(F135&gt;0,N135/(F135/3600),0)</f>
        <v>5.01149503764704</v>
      </c>
    </row>
    <row r="136" customFormat="false" ht="15" hidden="false" customHeight="false" outlineLevel="0" collapsed="false">
      <c r="A136" s="0" t="s">
        <v>258</v>
      </c>
      <c r="B136" s="52" t="n">
        <v>43971</v>
      </c>
      <c r="C136" s="0" t="n">
        <v>67641.699</v>
      </c>
      <c r="D136" s="0" t="n">
        <v>14952.364</v>
      </c>
      <c r="E136" s="0" t="n">
        <v>52689.335</v>
      </c>
      <c r="F136" s="0" t="n">
        <v>43133.022</v>
      </c>
      <c r="G136" s="0" t="n">
        <v>31486.901</v>
      </c>
      <c r="H136" s="0" t="n">
        <v>11646.121</v>
      </c>
      <c r="I136" s="0" t="n">
        <v>4703.017</v>
      </c>
      <c r="J136" s="0" t="n">
        <v>4853.296</v>
      </c>
      <c r="K136" s="0" t="n">
        <v>0</v>
      </c>
      <c r="L136" s="0" t="n">
        <v>7209</v>
      </c>
      <c r="M136" s="0" t="n">
        <v>6981</v>
      </c>
      <c r="N136" s="0" t="n">
        <v>47</v>
      </c>
      <c r="O136" s="54" t="n">
        <f aca="false">YEAR(B136)</f>
        <v>2020</v>
      </c>
      <c r="P136" s="54" t="n">
        <f aca="false">IF(AND(E136&gt;=14400,K136&gt;0,L136&gt;0),1,0)</f>
        <v>0</v>
      </c>
      <c r="Q136" s="53" t="n">
        <f aca="false">IF(P136=1,F136/E136*MIN(L136/K136,1)*MIN(MAX(M136/L136,0),1),0)</f>
        <v>0</v>
      </c>
      <c r="R136" s="55" t="n">
        <f aca="false">IF(F136&gt;0,N136/(F136/3600),0)</f>
        <v>3.92274856141543</v>
      </c>
    </row>
    <row r="137" customFormat="false" ht="15" hidden="false" customHeight="false" outlineLevel="0" collapsed="false">
      <c r="A137" s="0" t="s">
        <v>258</v>
      </c>
      <c r="B137" s="52" t="n">
        <v>43972</v>
      </c>
      <c r="C137" s="0" t="n">
        <v>86330.089</v>
      </c>
      <c r="D137" s="0" t="n">
        <v>3148.129</v>
      </c>
      <c r="E137" s="0" t="n">
        <v>83181.96</v>
      </c>
      <c r="F137" s="0" t="n">
        <v>74413.556</v>
      </c>
      <c r="G137" s="0" t="n">
        <v>59319.226</v>
      </c>
      <c r="H137" s="0" t="n">
        <v>15094.33</v>
      </c>
      <c r="I137" s="0" t="n">
        <v>7365.182</v>
      </c>
      <c r="J137" s="0" t="n">
        <v>1403.222</v>
      </c>
      <c r="K137" s="0" t="n">
        <v>21063.08125</v>
      </c>
      <c r="L137" s="0" t="n">
        <v>26395</v>
      </c>
      <c r="M137" s="0" t="n">
        <v>25885</v>
      </c>
      <c r="N137" s="0" t="n">
        <v>69</v>
      </c>
      <c r="O137" s="54" t="n">
        <f aca="false">YEAR(B137)</f>
        <v>2020</v>
      </c>
      <c r="P137" s="54" t="n">
        <f aca="false">IF(AND(E137&gt;=14400,K137&gt;0,L137&gt;0),1,0)</f>
        <v>1</v>
      </c>
      <c r="Q137" s="53" t="n">
        <f aca="false">IF(P137=1,F137/E137*MIN(L137/K137,1)*MIN(MAX(M137/L137,0),1),0)</f>
        <v>0.877302591614078</v>
      </c>
      <c r="R137" s="55" t="n">
        <f aca="false">IF(F137&gt;0,N137/(F137/3600),0)</f>
        <v>3.33810146097574</v>
      </c>
    </row>
    <row r="138" customFormat="false" ht="15" hidden="false" customHeight="false" outlineLevel="0" collapsed="false">
      <c r="A138" s="0" t="s">
        <v>258</v>
      </c>
      <c r="B138" s="52" t="n">
        <v>43973</v>
      </c>
      <c r="C138" s="0" t="n">
        <v>84777.408</v>
      </c>
      <c r="D138" s="0" t="n">
        <v>9639.836</v>
      </c>
      <c r="E138" s="0" t="n">
        <v>75137.572</v>
      </c>
      <c r="F138" s="0" t="n">
        <v>70248.839</v>
      </c>
      <c r="G138" s="0" t="n">
        <v>53177.06</v>
      </c>
      <c r="H138" s="0" t="n">
        <v>17071.779</v>
      </c>
      <c r="I138" s="0" t="n">
        <v>2279.234</v>
      </c>
      <c r="J138" s="0" t="n">
        <v>2609.499</v>
      </c>
      <c r="K138" s="0" t="n">
        <v>87636.3582013889</v>
      </c>
      <c r="L138" s="0" t="n">
        <v>65038</v>
      </c>
      <c r="M138" s="0" t="n">
        <v>64001</v>
      </c>
      <c r="N138" s="0" t="n">
        <v>38</v>
      </c>
      <c r="O138" s="54" t="n">
        <f aca="false">YEAR(B138)</f>
        <v>2020</v>
      </c>
      <c r="P138" s="54" t="n">
        <f aca="false">IF(AND(E138&gt;=14400,K138&gt;0,L138&gt;0),1,0)</f>
        <v>1</v>
      </c>
      <c r="Q138" s="53" t="n">
        <f aca="false">IF(P138=1,F138/E138*MIN(L138/K138,1)*MIN(MAX(M138/L138,0),1),0)</f>
        <v>0.682785723677612</v>
      </c>
      <c r="R138" s="55" t="n">
        <f aca="false">IF(F138&gt;0,N138/(F138/3600),0)</f>
        <v>1.94736314432186</v>
      </c>
    </row>
    <row r="139" customFormat="false" ht="15" hidden="false" customHeight="false" outlineLevel="0" collapsed="false">
      <c r="A139" s="0" t="s">
        <v>258</v>
      </c>
      <c r="B139" s="52" t="n">
        <v>43974</v>
      </c>
      <c r="C139" s="0" t="n">
        <v>37892.179</v>
      </c>
      <c r="D139" s="0" t="n">
        <v>7053.719</v>
      </c>
      <c r="E139" s="0" t="n">
        <v>30838.46</v>
      </c>
      <c r="F139" s="0" t="n">
        <v>25630.43</v>
      </c>
      <c r="G139" s="0" t="n">
        <v>23324.2</v>
      </c>
      <c r="H139" s="0" t="n">
        <v>2306.23</v>
      </c>
      <c r="I139" s="0" t="n">
        <v>2415.97</v>
      </c>
      <c r="J139" s="0" t="n">
        <v>2792.06</v>
      </c>
      <c r="K139" s="0" t="n">
        <v>32029.86125</v>
      </c>
      <c r="L139" s="0" t="n">
        <v>29124</v>
      </c>
      <c r="M139" s="0" t="n">
        <v>28446</v>
      </c>
      <c r="N139" s="0" t="n">
        <v>25</v>
      </c>
      <c r="O139" s="54" t="n">
        <f aca="false">YEAR(B139)</f>
        <v>2020</v>
      </c>
      <c r="P139" s="54" t="n">
        <f aca="false">IF(AND(E139&gt;=14400,K139&gt;0,L139&gt;0),1,0)</f>
        <v>1</v>
      </c>
      <c r="Q139" s="53" t="n">
        <f aca="false">IF(P139=1,F139/E139*MIN(L139/K139,1)*MIN(MAX(M139/L139,0),1),0)</f>
        <v>0.738124054162436</v>
      </c>
      <c r="R139" s="55" t="n">
        <f aca="false">IF(F139&gt;0,N139/(F139/3600),0)</f>
        <v>3.51145103691198</v>
      </c>
    </row>
    <row r="140" customFormat="false" ht="15" hidden="false" customHeight="false" outlineLevel="0" collapsed="false">
      <c r="A140" s="0" t="s">
        <v>258</v>
      </c>
      <c r="B140" s="52" t="n">
        <v>43975</v>
      </c>
      <c r="C140" s="0" t="n">
        <v>39643.41</v>
      </c>
      <c r="D140" s="0" t="n">
        <v>6616.619</v>
      </c>
      <c r="E140" s="0" t="n">
        <v>33026.791</v>
      </c>
      <c r="F140" s="0" t="n">
        <v>27452.95</v>
      </c>
      <c r="G140" s="0" t="n">
        <v>20123.794</v>
      </c>
      <c r="H140" s="0" t="n">
        <v>7329.156</v>
      </c>
      <c r="I140" s="0" t="n">
        <v>967.99</v>
      </c>
      <c r="J140" s="0" t="n">
        <v>4605.851</v>
      </c>
      <c r="K140" s="0" t="n">
        <v>31553.7506111111</v>
      </c>
      <c r="L140" s="0" t="n">
        <v>24075</v>
      </c>
      <c r="M140" s="0" t="n">
        <v>23687</v>
      </c>
      <c r="N140" s="0" t="n">
        <v>9</v>
      </c>
      <c r="O140" s="54" t="n">
        <f aca="false">YEAR(B140)</f>
        <v>2020</v>
      </c>
      <c r="P140" s="54" t="n">
        <f aca="false">IF(AND(E140&gt;=14400,K140&gt;0,L140&gt;0),1,0)</f>
        <v>1</v>
      </c>
      <c r="Q140" s="53" t="n">
        <f aca="false">IF(P140=1,F140/E140*MIN(L140/K140,1)*MIN(MAX(M140/L140,0),1),0)</f>
        <v>0.62399586572183</v>
      </c>
      <c r="R140" s="55" t="n">
        <f aca="false">IF(F140&gt;0,N140/(F140/3600),0)</f>
        <v>1.18020103486146</v>
      </c>
    </row>
    <row r="141" customFormat="false" ht="15" hidden="false" customHeight="false" outlineLevel="0" collapsed="false">
      <c r="A141" s="0" t="s">
        <v>258</v>
      </c>
      <c r="B141" s="52" t="n">
        <v>43976</v>
      </c>
      <c r="C141" s="0" t="n">
        <v>80891.369</v>
      </c>
      <c r="D141" s="0" t="n">
        <v>7675.541</v>
      </c>
      <c r="E141" s="0" t="n">
        <v>73215.828</v>
      </c>
      <c r="F141" s="0" t="n">
        <v>62339.012</v>
      </c>
      <c r="G141" s="0" t="n">
        <v>51265.659</v>
      </c>
      <c r="H141" s="0" t="n">
        <v>11073.353</v>
      </c>
      <c r="I141" s="0" t="n">
        <v>7753.356</v>
      </c>
      <c r="J141" s="0" t="n">
        <v>3123.46</v>
      </c>
      <c r="K141" s="0" t="n">
        <v>57162.9418194445</v>
      </c>
      <c r="L141" s="0" t="n">
        <v>49097</v>
      </c>
      <c r="M141" s="0" t="n">
        <v>48627</v>
      </c>
      <c r="N141" s="0" t="n">
        <v>53</v>
      </c>
      <c r="O141" s="54" t="n">
        <f aca="false">YEAR(B141)</f>
        <v>2020</v>
      </c>
      <c r="P141" s="54" t="n">
        <f aca="false">IF(AND(E141&gt;=14400,K141&gt;0,L141&gt;0),1,0)</f>
        <v>1</v>
      </c>
      <c r="Q141" s="53" t="n">
        <f aca="false">IF(P141=1,F141/E141*MIN(L141/K141,1)*MIN(MAX(M141/L141,0),1),0)</f>
        <v>0.724298928313008</v>
      </c>
      <c r="R141" s="55" t="n">
        <f aca="false">IF(F141&gt;0,N141/(F141/3600),0)</f>
        <v>3.0606837336466</v>
      </c>
    </row>
    <row r="142" customFormat="false" ht="15" hidden="false" customHeight="false" outlineLevel="0" collapsed="false">
      <c r="A142" s="0" t="s">
        <v>258</v>
      </c>
      <c r="B142" s="52" t="n">
        <v>43977</v>
      </c>
      <c r="C142" s="0" t="n">
        <v>86434.708</v>
      </c>
      <c r="D142" s="0" t="n">
        <v>9549.208</v>
      </c>
      <c r="E142" s="0" t="n">
        <v>76885.5</v>
      </c>
      <c r="F142" s="0" t="n">
        <v>66878.542</v>
      </c>
      <c r="G142" s="0" t="n">
        <v>56205.335</v>
      </c>
      <c r="H142" s="0" t="n">
        <v>10673.207</v>
      </c>
      <c r="I142" s="0" t="n">
        <v>6756.317</v>
      </c>
      <c r="J142" s="0" t="n">
        <v>3250.641</v>
      </c>
      <c r="K142" s="0" t="n">
        <v>32683.9709722222</v>
      </c>
      <c r="L142" s="0" t="n">
        <v>35480</v>
      </c>
      <c r="M142" s="0" t="n">
        <v>34659</v>
      </c>
      <c r="N142" s="0" t="n">
        <v>51</v>
      </c>
      <c r="O142" s="54" t="n">
        <f aca="false">YEAR(B142)</f>
        <v>2020</v>
      </c>
      <c r="P142" s="54" t="n">
        <f aca="false">IF(AND(E142&gt;=14400,K142&gt;0,L142&gt;0),1,0)</f>
        <v>1</v>
      </c>
      <c r="Q142" s="53" t="n">
        <f aca="false">IF(P142=1,F142/E142*MIN(L142/K142,1)*MIN(MAX(M142/L142,0),1),0)</f>
        <v>0.849717906625628</v>
      </c>
      <c r="R142" s="55" t="n">
        <f aca="false">IF(F142&gt;0,N142/(F142/3600),0)</f>
        <v>2.74527515866001</v>
      </c>
    </row>
    <row r="143" customFormat="false" ht="15" hidden="false" customHeight="false" outlineLevel="0" collapsed="false">
      <c r="A143" s="0" t="s">
        <v>258</v>
      </c>
      <c r="B143" s="52" t="n">
        <v>43978</v>
      </c>
      <c r="C143" s="0" t="n">
        <v>87123.369</v>
      </c>
      <c r="D143" s="0" t="n">
        <v>7914.4</v>
      </c>
      <c r="E143" s="0" t="n">
        <v>79208.969</v>
      </c>
      <c r="F143" s="0" t="n">
        <v>67393.221</v>
      </c>
      <c r="G143" s="0" t="n">
        <v>57440.255</v>
      </c>
      <c r="H143" s="0" t="n">
        <v>9952.966</v>
      </c>
      <c r="I143" s="0" t="n">
        <v>7732.541</v>
      </c>
      <c r="J143" s="0" t="n">
        <v>4083.207</v>
      </c>
      <c r="K143" s="0" t="n">
        <v>83675.790625</v>
      </c>
      <c r="L143" s="0" t="n">
        <v>71679</v>
      </c>
      <c r="M143" s="0" t="n">
        <v>70705</v>
      </c>
      <c r="N143" s="0" t="n">
        <v>31</v>
      </c>
      <c r="O143" s="54" t="n">
        <f aca="false">YEAR(B143)</f>
        <v>2020</v>
      </c>
      <c r="P143" s="54" t="n">
        <f aca="false">IF(AND(E143&gt;=14400,K143&gt;0,L143&gt;0),1,0)</f>
        <v>1</v>
      </c>
      <c r="Q143" s="53" t="n">
        <f aca="false">IF(P143=1,F143/E143*MIN(L143/K143,1)*MIN(MAX(M143/L143,0),1),0)</f>
        <v>0.718939185291796</v>
      </c>
      <c r="R143" s="55" t="n">
        <f aca="false">IF(F143&gt;0,N143/(F143/3600),0)</f>
        <v>1.65595290363106</v>
      </c>
    </row>
    <row r="144" customFormat="false" ht="15" hidden="false" customHeight="false" outlineLevel="0" collapsed="false">
      <c r="A144" s="0" t="s">
        <v>258</v>
      </c>
      <c r="B144" s="52" t="n">
        <v>43979</v>
      </c>
      <c r="C144" s="0" t="n">
        <v>82649.838</v>
      </c>
      <c r="D144" s="0" t="n">
        <v>9900.669</v>
      </c>
      <c r="E144" s="0" t="n">
        <v>72749.169</v>
      </c>
      <c r="F144" s="0" t="n">
        <v>64585.287</v>
      </c>
      <c r="G144" s="0" t="n">
        <v>48337.878</v>
      </c>
      <c r="H144" s="0" t="n">
        <v>16247.409</v>
      </c>
      <c r="I144" s="0" t="n">
        <v>5981.252</v>
      </c>
      <c r="J144" s="0" t="n">
        <v>2182.63</v>
      </c>
      <c r="K144" s="0" t="n">
        <v>48101.33375</v>
      </c>
      <c r="L144" s="0" t="n">
        <v>34394</v>
      </c>
      <c r="M144" s="0" t="n">
        <v>34239</v>
      </c>
      <c r="N144" s="0" t="n">
        <v>51</v>
      </c>
      <c r="O144" s="54" t="n">
        <f aca="false">YEAR(B144)</f>
        <v>2020</v>
      </c>
      <c r="P144" s="54" t="n">
        <f aca="false">IF(AND(E144&gt;=14400,K144&gt;0,L144&gt;0),1,0)</f>
        <v>1</v>
      </c>
      <c r="Q144" s="53" t="n">
        <f aca="false">IF(P144=1,F144/E144*MIN(L144/K144,1)*MIN(MAX(M144/L144,0),1),0)</f>
        <v>0.631930781324892</v>
      </c>
      <c r="R144" s="55" t="n">
        <f aca="false">IF(F144&gt;0,N144/(F144/3600),0)</f>
        <v>2.84275271549076</v>
      </c>
    </row>
    <row r="145" customFormat="false" ht="15" hidden="false" customHeight="false" outlineLevel="0" collapsed="false">
      <c r="A145" s="0" t="s">
        <v>258</v>
      </c>
      <c r="B145" s="52" t="n">
        <v>43980</v>
      </c>
      <c r="C145" s="0" t="n">
        <v>79665.649</v>
      </c>
      <c r="D145" s="0" t="n">
        <v>8480.527</v>
      </c>
      <c r="E145" s="0" t="n">
        <v>71185.122</v>
      </c>
      <c r="F145" s="0" t="n">
        <v>59455.637</v>
      </c>
      <c r="G145" s="0" t="n">
        <v>50698.147</v>
      </c>
      <c r="H145" s="0" t="n">
        <v>8757.49</v>
      </c>
      <c r="I145" s="0" t="n">
        <v>8923.007</v>
      </c>
      <c r="J145" s="0" t="n">
        <v>2806.478</v>
      </c>
      <c r="K145" s="0" t="n">
        <v>41055.5539166667</v>
      </c>
      <c r="L145" s="0" t="n">
        <v>37098</v>
      </c>
      <c r="M145" s="0" t="n">
        <v>36761</v>
      </c>
      <c r="N145" s="0" t="n">
        <v>62</v>
      </c>
      <c r="O145" s="54" t="n">
        <f aca="false">YEAR(B145)</f>
        <v>2020</v>
      </c>
      <c r="P145" s="54" t="n">
        <f aca="false">IF(AND(E145&gt;=14400,K145&gt;0,L145&gt;0),1,0)</f>
        <v>1</v>
      </c>
      <c r="Q145" s="53" t="n">
        <f aca="false">IF(P145=1,F145/E145*MIN(L145/K145,1)*MIN(MAX(M145/L145,0),1),0)</f>
        <v>0.747858103187231</v>
      </c>
      <c r="R145" s="55" t="n">
        <f aca="false">IF(F145&gt;0,N145/(F145/3600),0)</f>
        <v>3.75405951835988</v>
      </c>
    </row>
    <row r="146" customFormat="false" ht="15" hidden="false" customHeight="false" outlineLevel="0" collapsed="false">
      <c r="A146" s="0" t="s">
        <v>258</v>
      </c>
      <c r="B146" s="52" t="n">
        <v>43981</v>
      </c>
      <c r="C146" s="0" t="n">
        <v>32660.249</v>
      </c>
      <c r="D146" s="0" t="n">
        <v>11728.292</v>
      </c>
      <c r="E146" s="0" t="n">
        <v>20931.957</v>
      </c>
      <c r="F146" s="0" t="n">
        <v>8219.78</v>
      </c>
      <c r="G146" s="0" t="n">
        <v>8116.581</v>
      </c>
      <c r="H146" s="0" t="n">
        <v>103.199</v>
      </c>
      <c r="I146" s="0" t="n">
        <v>4397.558</v>
      </c>
      <c r="J146" s="0" t="n">
        <v>8314.619</v>
      </c>
      <c r="K146" s="0" t="n">
        <v>10049.0121875</v>
      </c>
      <c r="L146" s="0" t="n">
        <v>9894</v>
      </c>
      <c r="M146" s="0" t="n">
        <v>9884</v>
      </c>
      <c r="N146" s="0" t="n">
        <v>11</v>
      </c>
      <c r="O146" s="54" t="n">
        <f aca="false">YEAR(B146)</f>
        <v>2020</v>
      </c>
      <c r="P146" s="54" t="n">
        <f aca="false">IF(AND(E146&gt;=14400,K146&gt;0,L146&gt;0),1,0)</f>
        <v>1</v>
      </c>
      <c r="Q146" s="53" t="n">
        <f aca="false">IF(P146=1,F146/E146*MIN(L146/K146,1)*MIN(MAX(M146/L146,0),1),0)</f>
        <v>0.386242201500419</v>
      </c>
      <c r="R146" s="55" t="n">
        <f aca="false">IF(F146&gt;0,N146/(F146/3600),0)</f>
        <v>4.81764718763763</v>
      </c>
    </row>
    <row r="147" customFormat="false" ht="15" hidden="false" customHeight="false" outlineLevel="0" collapsed="false">
      <c r="A147" s="0" t="s">
        <v>258</v>
      </c>
      <c r="B147" s="52" t="n">
        <v>43982</v>
      </c>
      <c r="C147" s="0" t="n">
        <v>80720.859</v>
      </c>
      <c r="D147" s="0" t="n">
        <v>15952.671</v>
      </c>
      <c r="E147" s="0" t="n">
        <v>64768.188</v>
      </c>
      <c r="F147" s="0" t="n">
        <v>26416.829</v>
      </c>
      <c r="G147" s="0" t="n">
        <v>20705.938</v>
      </c>
      <c r="H147" s="0" t="n">
        <v>5710.891</v>
      </c>
      <c r="I147" s="0" t="n">
        <v>1420.85</v>
      </c>
      <c r="J147" s="0" t="n">
        <v>36930.509</v>
      </c>
      <c r="K147" s="0" t="n">
        <v>0</v>
      </c>
      <c r="L147" s="0" t="n">
        <v>1668</v>
      </c>
      <c r="M147" s="0" t="n">
        <v>1625</v>
      </c>
      <c r="N147" s="0" t="n">
        <v>16</v>
      </c>
      <c r="O147" s="54" t="n">
        <f aca="false">YEAR(B147)</f>
        <v>2020</v>
      </c>
      <c r="P147" s="54" t="n">
        <f aca="false">IF(AND(E147&gt;=14400,K147&gt;0,L147&gt;0),1,0)</f>
        <v>0</v>
      </c>
      <c r="Q147" s="53" t="n">
        <f aca="false">IF(P147=1,F147/E147*MIN(L147/K147,1)*MIN(MAX(M147/L147,0),1),0)</f>
        <v>0</v>
      </c>
      <c r="R147" s="55" t="n">
        <f aca="false">IF(F147&gt;0,N147/(F147/3600),0)</f>
        <v>2.18042824140626</v>
      </c>
    </row>
    <row r="148" customFormat="false" ht="15" hidden="false" customHeight="false" outlineLevel="0" collapsed="false">
      <c r="A148" s="0" t="s">
        <v>258</v>
      </c>
      <c r="B148" s="52" t="n">
        <v>43983</v>
      </c>
      <c r="C148" s="0" t="n">
        <v>80262.899</v>
      </c>
      <c r="D148" s="0" t="n">
        <v>10374.292</v>
      </c>
      <c r="E148" s="0" t="n">
        <v>69888.607</v>
      </c>
      <c r="F148" s="0" t="n">
        <v>56951.024</v>
      </c>
      <c r="G148" s="0" t="n">
        <v>47638.239</v>
      </c>
      <c r="H148" s="0" t="n">
        <v>9312.785</v>
      </c>
      <c r="I148" s="0" t="n">
        <v>10548.74</v>
      </c>
      <c r="J148" s="0" t="n">
        <v>2388.843</v>
      </c>
      <c r="K148" s="0" t="n">
        <v>0</v>
      </c>
      <c r="L148" s="0" t="n">
        <v>9763</v>
      </c>
      <c r="M148" s="0" t="n">
        <v>9440</v>
      </c>
      <c r="N148" s="0" t="n">
        <v>62</v>
      </c>
      <c r="O148" s="54" t="n">
        <f aca="false">YEAR(B148)</f>
        <v>2020</v>
      </c>
      <c r="P148" s="54" t="n">
        <f aca="false">IF(AND(E148&gt;=14400,K148&gt;0,L148&gt;0),1,0)</f>
        <v>0</v>
      </c>
      <c r="Q148" s="53" t="n">
        <f aca="false">IF(P148=1,F148/E148*MIN(L148/K148,1)*MIN(MAX(M148/L148,0),1),0)</f>
        <v>0</v>
      </c>
      <c r="R148" s="55" t="n">
        <f aca="false">IF(F148&gt;0,N148/(F148/3600),0)</f>
        <v>3.91915692332415</v>
      </c>
    </row>
    <row r="149" customFormat="false" ht="15" hidden="false" customHeight="false" outlineLevel="0" collapsed="false">
      <c r="A149" s="0" t="s">
        <v>258</v>
      </c>
      <c r="B149" s="52" t="n">
        <v>43984</v>
      </c>
      <c r="C149" s="0" t="n">
        <v>80551.689</v>
      </c>
      <c r="D149" s="0" t="n">
        <v>3285.452</v>
      </c>
      <c r="E149" s="0" t="n">
        <v>77266.237</v>
      </c>
      <c r="F149" s="0" t="n">
        <v>66191.758</v>
      </c>
      <c r="G149" s="0" t="n">
        <v>56439.314</v>
      </c>
      <c r="H149" s="0" t="n">
        <v>9752.444</v>
      </c>
      <c r="I149" s="0" t="n">
        <v>10081.962</v>
      </c>
      <c r="J149" s="0" t="n">
        <v>992.517</v>
      </c>
      <c r="K149" s="0" t="n">
        <v>51123.9494255556</v>
      </c>
      <c r="L149" s="0" t="n">
        <v>45665</v>
      </c>
      <c r="M149" s="0" t="n">
        <v>45453</v>
      </c>
      <c r="N149" s="0" t="n">
        <v>54</v>
      </c>
      <c r="O149" s="54" t="n">
        <f aca="false">YEAR(B149)</f>
        <v>2020</v>
      </c>
      <c r="P149" s="54" t="n">
        <f aca="false">IF(AND(E149&gt;=14400,K149&gt;0,L149&gt;0),1,0)</f>
        <v>1</v>
      </c>
      <c r="Q149" s="53" t="n">
        <f aca="false">IF(P149=1,F149/E149*MIN(L149/K149,1)*MIN(MAX(M149/L149,0),1),0)</f>
        <v>0.761644499927716</v>
      </c>
      <c r="R149" s="55" t="n">
        <f aca="false">IF(F149&gt;0,N149/(F149/3600),0)</f>
        <v>2.93692154240714</v>
      </c>
    </row>
    <row r="150" customFormat="false" ht="15" hidden="false" customHeight="false" outlineLevel="0" collapsed="false">
      <c r="A150" s="0" t="s">
        <v>258</v>
      </c>
      <c r="B150" s="52" t="n">
        <v>43985</v>
      </c>
      <c r="C150" s="0" t="n">
        <v>84917.157</v>
      </c>
      <c r="D150" s="0" t="n">
        <v>7883.517</v>
      </c>
      <c r="E150" s="0" t="n">
        <v>77033.64</v>
      </c>
      <c r="F150" s="0" t="n">
        <v>56914.919</v>
      </c>
      <c r="G150" s="0" t="n">
        <v>50560.803</v>
      </c>
      <c r="H150" s="0" t="n">
        <v>6354.116</v>
      </c>
      <c r="I150" s="0" t="n">
        <v>1289.849</v>
      </c>
      <c r="J150" s="0" t="n">
        <v>18828.872</v>
      </c>
      <c r="K150" s="0" t="n">
        <v>38496.3120138889</v>
      </c>
      <c r="L150" s="0" t="n">
        <v>36865</v>
      </c>
      <c r="M150" s="0" t="n">
        <v>36748</v>
      </c>
      <c r="N150" s="0" t="n">
        <v>14</v>
      </c>
      <c r="O150" s="54" t="n">
        <f aca="false">YEAR(B150)</f>
        <v>2020</v>
      </c>
      <c r="P150" s="54" t="n">
        <f aca="false">IF(AND(E150&gt;=14400,K150&gt;0,L150&gt;0),1,0)</f>
        <v>1</v>
      </c>
      <c r="Q150" s="53" t="n">
        <f aca="false">IF(P150=1,F150/E150*MIN(L150/K150,1)*MIN(MAX(M150/L150,0),1),0)</f>
        <v>0.705277914832102</v>
      </c>
      <c r="R150" s="55" t="n">
        <f aca="false">IF(F150&gt;0,N150/(F150/3600),0)</f>
        <v>0.885532315349513</v>
      </c>
    </row>
    <row r="151" customFormat="false" ht="15" hidden="false" customHeight="false" outlineLevel="0" collapsed="false">
      <c r="A151" s="0" t="s">
        <v>258</v>
      </c>
      <c r="B151" s="52" t="n">
        <v>43986</v>
      </c>
      <c r="C151" s="0" t="n">
        <v>86263.428</v>
      </c>
      <c r="D151" s="0" t="n">
        <v>8234.253</v>
      </c>
      <c r="E151" s="0" t="n">
        <v>78029.175</v>
      </c>
      <c r="F151" s="0" t="n">
        <v>56136.619</v>
      </c>
      <c r="G151" s="0" t="n">
        <v>47872.139</v>
      </c>
      <c r="H151" s="0" t="n">
        <v>8264.48</v>
      </c>
      <c r="I151" s="0" t="n">
        <v>3945.159</v>
      </c>
      <c r="J151" s="0" t="n">
        <v>17947.397</v>
      </c>
      <c r="K151" s="0" t="n">
        <v>17761.0876736111</v>
      </c>
      <c r="L151" s="0" t="n">
        <v>19502</v>
      </c>
      <c r="M151" s="0" t="n">
        <v>19400</v>
      </c>
      <c r="N151" s="0" t="n">
        <v>27</v>
      </c>
      <c r="O151" s="54" t="n">
        <f aca="false">YEAR(B151)</f>
        <v>2020</v>
      </c>
      <c r="P151" s="54" t="n">
        <f aca="false">IF(AND(E151&gt;=14400,K151&gt;0,L151&gt;0),1,0)</f>
        <v>1</v>
      </c>
      <c r="Q151" s="53" t="n">
        <f aca="false">IF(P151=1,F151/E151*MIN(L151/K151,1)*MIN(MAX(M151/L151,0),1),0)</f>
        <v>0.715668356281018</v>
      </c>
      <c r="R151" s="55" t="n">
        <f aca="false">IF(F151&gt;0,N151/(F151/3600),0)</f>
        <v>1.73149009918107</v>
      </c>
    </row>
    <row r="152" customFormat="false" ht="15" hidden="false" customHeight="false" outlineLevel="0" collapsed="false">
      <c r="A152" s="0" t="s">
        <v>258</v>
      </c>
      <c r="B152" s="52" t="n">
        <v>43987</v>
      </c>
      <c r="C152" s="0" t="n">
        <v>86307.799</v>
      </c>
      <c r="D152" s="0" t="n">
        <v>7550.398</v>
      </c>
      <c r="E152" s="0" t="n">
        <v>78757.401</v>
      </c>
      <c r="F152" s="0" t="n">
        <v>69017.721</v>
      </c>
      <c r="G152" s="0" t="n">
        <v>53587.034</v>
      </c>
      <c r="H152" s="0" t="n">
        <v>15430.687</v>
      </c>
      <c r="I152" s="0" t="n">
        <v>7266.709</v>
      </c>
      <c r="J152" s="0" t="n">
        <v>2472.971</v>
      </c>
      <c r="K152" s="0" t="n">
        <v>52400.4347916667</v>
      </c>
      <c r="L152" s="0" t="n">
        <v>43284</v>
      </c>
      <c r="M152" s="0" t="n">
        <v>43146</v>
      </c>
      <c r="N152" s="0" t="n">
        <v>33</v>
      </c>
      <c r="O152" s="54" t="n">
        <f aca="false">YEAR(B152)</f>
        <v>2020</v>
      </c>
      <c r="P152" s="54" t="n">
        <f aca="false">IF(AND(E152&gt;=14400,K152&gt;0,L152&gt;0),1,0)</f>
        <v>1</v>
      </c>
      <c r="Q152" s="53" t="n">
        <f aca="false">IF(P152=1,F152/E152*MIN(L152/K152,1)*MIN(MAX(M152/L152,0),1),0)</f>
        <v>0.721564049489395</v>
      </c>
      <c r="R152" s="55" t="n">
        <f aca="false">IF(F152&gt;0,N152/(F152/3600),0)</f>
        <v>1.72129705644729</v>
      </c>
    </row>
    <row r="153" customFormat="false" ht="15" hidden="false" customHeight="false" outlineLevel="0" collapsed="false">
      <c r="A153" s="0" t="s">
        <v>258</v>
      </c>
      <c r="B153" s="52" t="n">
        <v>43988</v>
      </c>
      <c r="C153" s="0" t="n">
        <v>18817.489</v>
      </c>
      <c r="D153" s="0" t="n">
        <v>7240.32</v>
      </c>
      <c r="E153" s="0" t="n">
        <v>11577.169</v>
      </c>
      <c r="F153" s="0" t="n">
        <v>8409.333</v>
      </c>
      <c r="G153" s="0" t="n">
        <v>6174.723</v>
      </c>
      <c r="H153" s="0" t="n">
        <v>2234.61</v>
      </c>
      <c r="I153" s="0" t="n">
        <v>783.536</v>
      </c>
      <c r="J153" s="0" t="n">
        <v>2384.3</v>
      </c>
      <c r="K153" s="0" t="n">
        <v>10511.66625</v>
      </c>
      <c r="L153" s="0" t="n">
        <v>7739</v>
      </c>
      <c r="M153" s="0" t="n">
        <v>7719</v>
      </c>
      <c r="N153" s="0" t="n">
        <v>5</v>
      </c>
      <c r="O153" s="54" t="n">
        <f aca="false">YEAR(B153)</f>
        <v>2020</v>
      </c>
      <c r="P153" s="54" t="n">
        <f aca="false">IF(AND(E153&gt;=14400,K153&gt;0,L153&gt;0),1,0)</f>
        <v>0</v>
      </c>
      <c r="Q153" s="53" t="n">
        <f aca="false">IF(P153=1,F153/E153*MIN(L153/K153,1)*MIN(MAX(M153/L153,0),1),0)</f>
        <v>0</v>
      </c>
      <c r="R153" s="55" t="n">
        <f aca="false">IF(F153&gt;0,N153/(F153/3600),0)</f>
        <v>2.14047891788802</v>
      </c>
    </row>
    <row r="154" customFormat="false" ht="15" hidden="false" customHeight="false" outlineLevel="0" collapsed="false">
      <c r="A154" s="0" t="s">
        <v>258</v>
      </c>
      <c r="B154" s="52" t="n">
        <v>43989</v>
      </c>
      <c r="C154" s="0" t="n">
        <v>34705.819</v>
      </c>
      <c r="D154" s="0" t="n">
        <v>2833.302</v>
      </c>
      <c r="E154" s="0" t="n">
        <v>31872.517</v>
      </c>
      <c r="F154" s="0" t="n">
        <v>25950.709</v>
      </c>
      <c r="G154" s="0" t="n">
        <v>22911.809</v>
      </c>
      <c r="H154" s="0" t="n">
        <v>3038.9</v>
      </c>
      <c r="I154" s="0" t="n">
        <v>5107.489</v>
      </c>
      <c r="J154" s="0" t="n">
        <v>814.319</v>
      </c>
      <c r="K154" s="0" t="n">
        <v>32034.2365277778</v>
      </c>
      <c r="L154" s="0" t="n">
        <v>27165</v>
      </c>
      <c r="M154" s="0" t="n">
        <v>27107</v>
      </c>
      <c r="N154" s="0" t="n">
        <v>23</v>
      </c>
      <c r="O154" s="54" t="n">
        <f aca="false">YEAR(B154)</f>
        <v>2020</v>
      </c>
      <c r="P154" s="54" t="n">
        <f aca="false">IF(AND(E154&gt;=14400,K154&gt;0,L154&gt;0),1,0)</f>
        <v>1</v>
      </c>
      <c r="Q154" s="53" t="n">
        <f aca="false">IF(P154=1,F154/E154*MIN(L154/K154,1)*MIN(MAX(M154/L154,0),1),0)</f>
        <v>0.688969416879742</v>
      </c>
      <c r="R154" s="55" t="n">
        <f aca="false">IF(F154&gt;0,N154/(F154/3600),0)</f>
        <v>3.19066427048294</v>
      </c>
    </row>
    <row r="155" customFormat="false" ht="15" hidden="false" customHeight="false" outlineLevel="0" collapsed="false">
      <c r="A155" s="0" t="s">
        <v>258</v>
      </c>
      <c r="B155" s="52" t="n">
        <v>43990</v>
      </c>
      <c r="C155" s="0" t="n">
        <v>86435.976</v>
      </c>
      <c r="D155" s="0" t="n">
        <v>9018.992</v>
      </c>
      <c r="E155" s="0" t="n">
        <v>77416.984</v>
      </c>
      <c r="F155" s="0" t="n">
        <v>69767.866</v>
      </c>
      <c r="G155" s="0" t="n">
        <v>61536.653</v>
      </c>
      <c r="H155" s="0" t="n">
        <v>8231.213</v>
      </c>
      <c r="I155" s="0" t="n">
        <v>6171.489</v>
      </c>
      <c r="J155" s="0" t="n">
        <v>1477.629</v>
      </c>
      <c r="K155" s="0" t="n">
        <v>86174.2544097222</v>
      </c>
      <c r="L155" s="0" t="n">
        <v>76561</v>
      </c>
      <c r="M155" s="0" t="n">
        <v>76349</v>
      </c>
      <c r="N155" s="0" t="n">
        <v>22</v>
      </c>
      <c r="O155" s="54" t="n">
        <f aca="false">YEAR(B155)</f>
        <v>2020</v>
      </c>
      <c r="P155" s="54" t="n">
        <f aca="false">IF(AND(E155&gt;=14400,K155&gt;0,L155&gt;0),1,0)</f>
        <v>1</v>
      </c>
      <c r="Q155" s="53" t="n">
        <f aca="false">IF(P155=1,F155/E155*MIN(L155/K155,1)*MIN(MAX(M155/L155,0),1),0)</f>
        <v>0.798445007789258</v>
      </c>
      <c r="R155" s="55" t="n">
        <f aca="false">IF(F155&gt;0,N155/(F155/3600),0)</f>
        <v>1.13519309878275</v>
      </c>
    </row>
    <row r="156" customFormat="false" ht="15" hidden="false" customHeight="false" outlineLevel="0" collapsed="false">
      <c r="A156" s="0" t="s">
        <v>258</v>
      </c>
      <c r="B156" s="52" t="n">
        <v>43991</v>
      </c>
      <c r="C156" s="0" t="n">
        <v>84767.05</v>
      </c>
      <c r="D156" s="0" t="n">
        <v>4918.533</v>
      </c>
      <c r="E156" s="0" t="n">
        <v>79848.517</v>
      </c>
      <c r="F156" s="0" t="n">
        <v>65091.533</v>
      </c>
      <c r="G156" s="0" t="n">
        <v>55015.706</v>
      </c>
      <c r="H156" s="0" t="n">
        <v>10075.827</v>
      </c>
      <c r="I156" s="0" t="n">
        <v>9511.981</v>
      </c>
      <c r="J156" s="0" t="n">
        <v>5245.003</v>
      </c>
      <c r="K156" s="0" t="n">
        <v>79872.3855555556</v>
      </c>
      <c r="L156" s="0" t="n">
        <v>65958</v>
      </c>
      <c r="M156" s="0" t="n">
        <v>65667</v>
      </c>
      <c r="N156" s="0" t="n">
        <v>41</v>
      </c>
      <c r="O156" s="54" t="n">
        <f aca="false">YEAR(B156)</f>
        <v>2020</v>
      </c>
      <c r="P156" s="54" t="n">
        <f aca="false">IF(AND(E156&gt;=14400,K156&gt;0,L156&gt;0),1,0)</f>
        <v>1</v>
      </c>
      <c r="Q156" s="53" t="n">
        <f aca="false">IF(P156=1,F156/E156*MIN(L156/K156,1)*MIN(MAX(M156/L156,0),1),0)</f>
        <v>0.670205774844266</v>
      </c>
      <c r="R156" s="55" t="n">
        <f aca="false">IF(F156&gt;0,N156/(F156/3600),0)</f>
        <v>2.2675760302035</v>
      </c>
    </row>
    <row r="157" customFormat="false" ht="15" hidden="false" customHeight="false" outlineLevel="0" collapsed="false">
      <c r="A157" s="0" t="s">
        <v>258</v>
      </c>
      <c r="B157" s="52" t="n">
        <v>43992</v>
      </c>
      <c r="C157" s="0" t="n">
        <v>80625.33</v>
      </c>
      <c r="D157" s="0" t="n">
        <v>10963.241</v>
      </c>
      <c r="E157" s="0" t="n">
        <v>69662.089</v>
      </c>
      <c r="F157" s="0" t="n">
        <v>64400.588</v>
      </c>
      <c r="G157" s="0" t="n">
        <v>52031.536</v>
      </c>
      <c r="H157" s="0" t="n">
        <v>12369.052</v>
      </c>
      <c r="I157" s="0" t="n">
        <v>3051.719</v>
      </c>
      <c r="J157" s="0" t="n">
        <v>2209.782</v>
      </c>
      <c r="K157" s="0" t="n">
        <v>47433.9279861111</v>
      </c>
      <c r="L157" s="0" t="n">
        <v>39102</v>
      </c>
      <c r="M157" s="0" t="n">
        <v>38954</v>
      </c>
      <c r="N157" s="0" t="n">
        <v>24</v>
      </c>
      <c r="O157" s="54" t="n">
        <f aca="false">YEAR(B157)</f>
        <v>2020</v>
      </c>
      <c r="P157" s="54" t="n">
        <f aca="false">IF(AND(E157&gt;=14400,K157&gt;0,L157&gt;0),1,0)</f>
        <v>1</v>
      </c>
      <c r="Q157" s="53" t="n">
        <f aca="false">IF(P157=1,F157/E157*MIN(L157/K157,1)*MIN(MAX(M157/L157,0),1),0)</f>
        <v>0.75920019135144</v>
      </c>
      <c r="R157" s="55" t="n">
        <f aca="false">IF(F157&gt;0,N157/(F157/3600),0)</f>
        <v>1.34160265741673</v>
      </c>
    </row>
    <row r="158" customFormat="false" ht="15" hidden="false" customHeight="false" outlineLevel="0" collapsed="false">
      <c r="A158" s="0" t="s">
        <v>258</v>
      </c>
      <c r="B158" s="52" t="n">
        <v>43993</v>
      </c>
      <c r="C158" s="0" t="n">
        <v>86294.929</v>
      </c>
      <c r="D158" s="0" t="n">
        <v>8202.508</v>
      </c>
      <c r="E158" s="0" t="n">
        <v>78092.421</v>
      </c>
      <c r="F158" s="0" t="n">
        <v>55910.816</v>
      </c>
      <c r="G158" s="0" t="n">
        <v>48068.837</v>
      </c>
      <c r="H158" s="0" t="n">
        <v>7841.979</v>
      </c>
      <c r="I158" s="0" t="n">
        <v>9944.884</v>
      </c>
      <c r="J158" s="0" t="n">
        <v>12236.721</v>
      </c>
      <c r="K158" s="0" t="n">
        <v>39122.7803472222</v>
      </c>
      <c r="L158" s="0" t="n">
        <v>33958</v>
      </c>
      <c r="M158" s="0" t="n">
        <v>33752</v>
      </c>
      <c r="N158" s="0" t="n">
        <v>36</v>
      </c>
      <c r="O158" s="54" t="n">
        <f aca="false">YEAR(B158)</f>
        <v>2020</v>
      </c>
      <c r="P158" s="54" t="n">
        <f aca="false">IF(AND(E158&gt;=14400,K158&gt;0,L158&gt;0),1,0)</f>
        <v>1</v>
      </c>
      <c r="Q158" s="53" t="n">
        <f aca="false">IF(P158=1,F158/E158*MIN(L158/K158,1)*MIN(MAX(M158/L158,0),1),0)</f>
        <v>0.617670336364195</v>
      </c>
      <c r="R158" s="55" t="n">
        <f aca="false">IF(F158&gt;0,N158/(F158/3600),0)</f>
        <v>2.3179772586399</v>
      </c>
    </row>
    <row r="159" customFormat="false" ht="15" hidden="false" customHeight="false" outlineLevel="0" collapsed="false">
      <c r="A159" s="0" t="s">
        <v>258</v>
      </c>
      <c r="B159" s="52" t="n">
        <v>43994</v>
      </c>
      <c r="C159" s="0" t="n">
        <v>81323.711</v>
      </c>
      <c r="D159" s="0" t="n">
        <v>2946.11</v>
      </c>
      <c r="E159" s="0" t="n">
        <v>78377.601</v>
      </c>
      <c r="F159" s="0" t="n">
        <v>71825.536</v>
      </c>
      <c r="G159" s="0" t="n">
        <v>60391.403</v>
      </c>
      <c r="H159" s="0" t="n">
        <v>11434.133</v>
      </c>
      <c r="I159" s="0" t="n">
        <v>6057.546</v>
      </c>
      <c r="J159" s="0" t="n">
        <v>494.519</v>
      </c>
      <c r="K159" s="0" t="n">
        <v>66436.1879166667</v>
      </c>
      <c r="L159" s="0" t="n">
        <v>56328</v>
      </c>
      <c r="M159" s="0" t="n">
        <v>56167</v>
      </c>
      <c r="N159" s="0" t="n">
        <v>49</v>
      </c>
      <c r="O159" s="54" t="n">
        <f aca="false">YEAR(B159)</f>
        <v>2020</v>
      </c>
      <c r="P159" s="54" t="n">
        <f aca="false">IF(AND(E159&gt;=14400,K159&gt;0,L159&gt;0),1,0)</f>
        <v>1</v>
      </c>
      <c r="Q159" s="53" t="n">
        <f aca="false">IF(P159=1,F159/E159*MIN(L159/K159,1)*MIN(MAX(M159/L159,0),1),0)</f>
        <v>0.774753295626527</v>
      </c>
      <c r="R159" s="55" t="n">
        <f aca="false">IF(F159&gt;0,N159/(F159/3600),0)</f>
        <v>2.45595104225884</v>
      </c>
    </row>
    <row r="160" customFormat="false" ht="15" hidden="false" customHeight="false" outlineLevel="0" collapsed="false">
      <c r="A160" s="0" t="s">
        <v>258</v>
      </c>
      <c r="B160" s="52" t="n">
        <v>43995</v>
      </c>
      <c r="C160" s="0" t="n">
        <v>30112.139</v>
      </c>
      <c r="D160" s="0" t="n">
        <v>24159.767</v>
      </c>
      <c r="E160" s="0" t="n">
        <v>5952.372</v>
      </c>
      <c r="F160" s="0" t="n">
        <v>2160.99</v>
      </c>
      <c r="G160" s="0" t="n">
        <v>2132.119</v>
      </c>
      <c r="H160" s="0" t="n">
        <v>28.871</v>
      </c>
      <c r="I160" s="0" t="n">
        <v>1715.63</v>
      </c>
      <c r="J160" s="0" t="n">
        <v>2075.752</v>
      </c>
      <c r="K160" s="0" t="n">
        <v>2701.2375</v>
      </c>
      <c r="L160" s="0" t="n">
        <v>2699</v>
      </c>
      <c r="M160" s="0" t="n">
        <v>2695</v>
      </c>
      <c r="N160" s="0" t="n">
        <v>7</v>
      </c>
      <c r="O160" s="54" t="n">
        <f aca="false">YEAR(B160)</f>
        <v>2020</v>
      </c>
      <c r="P160" s="54" t="n">
        <f aca="false">IF(AND(E160&gt;=14400,K160&gt;0,L160&gt;0),1,0)</f>
        <v>0</v>
      </c>
      <c r="Q160" s="53" t="n">
        <f aca="false">IF(P160=1,F160/E160*MIN(L160/K160,1)*MIN(MAX(M160/L160,0),1),0)</f>
        <v>0</v>
      </c>
      <c r="R160" s="55" t="n">
        <f aca="false">IF(F160&gt;0,N160/(F160/3600),0)</f>
        <v>11.6613218941319</v>
      </c>
    </row>
    <row r="161" customFormat="false" ht="15" hidden="false" customHeight="false" outlineLevel="0" collapsed="false">
      <c r="A161" s="0" t="s">
        <v>258</v>
      </c>
      <c r="B161" s="52" t="n">
        <v>43996</v>
      </c>
      <c r="C161" s="0" t="n">
        <v>73295.218</v>
      </c>
      <c r="D161" s="0" t="n">
        <v>3468.568</v>
      </c>
      <c r="E161" s="0" t="n">
        <v>69826.65</v>
      </c>
      <c r="F161" s="0" t="n">
        <v>28527.636</v>
      </c>
      <c r="G161" s="0" t="n">
        <v>22314.111</v>
      </c>
      <c r="H161" s="0" t="n">
        <v>6213.525</v>
      </c>
      <c r="I161" s="0" t="n">
        <v>2742.781</v>
      </c>
      <c r="J161" s="0" t="n">
        <v>38556.233</v>
      </c>
      <c r="K161" s="0" t="n">
        <v>2604.57652777778</v>
      </c>
      <c r="L161" s="0" t="n">
        <v>3304</v>
      </c>
      <c r="M161" s="0" t="n">
        <v>3165</v>
      </c>
      <c r="N161" s="0" t="n">
        <v>20</v>
      </c>
      <c r="O161" s="54" t="n">
        <f aca="false">YEAR(B161)</f>
        <v>2020</v>
      </c>
      <c r="P161" s="54" t="n">
        <f aca="false">IF(AND(E161&gt;=14400,K161&gt;0,L161&gt;0),1,0)</f>
        <v>1</v>
      </c>
      <c r="Q161" s="53" t="n">
        <f aca="false">IF(P161=1,F161/E161*MIN(L161/K161,1)*MIN(MAX(M161/L161,0),1),0)</f>
        <v>0.391361638239897</v>
      </c>
      <c r="R161" s="55" t="n">
        <f aca="false">IF(F161&gt;0,N161/(F161/3600),0)</f>
        <v>2.52386843410369</v>
      </c>
    </row>
    <row r="162" customFormat="false" ht="15" hidden="false" customHeight="false" outlineLevel="0" collapsed="false">
      <c r="A162" s="0" t="s">
        <v>258</v>
      </c>
      <c r="B162" s="52" t="n">
        <v>43997</v>
      </c>
      <c r="C162" s="0" t="n">
        <v>86623.689</v>
      </c>
      <c r="D162" s="0" t="n">
        <v>9733.786</v>
      </c>
      <c r="E162" s="0" t="n">
        <v>76889.903</v>
      </c>
      <c r="F162" s="0" t="n">
        <v>61902.756</v>
      </c>
      <c r="G162" s="0" t="n">
        <v>50985.104</v>
      </c>
      <c r="H162" s="0" t="n">
        <v>10917.652</v>
      </c>
      <c r="I162" s="0" t="n">
        <v>10741.826</v>
      </c>
      <c r="J162" s="0" t="n">
        <v>4245.321</v>
      </c>
      <c r="K162" s="0" t="n">
        <v>29704.0497222222</v>
      </c>
      <c r="L162" s="0" t="n">
        <v>26909</v>
      </c>
      <c r="M162" s="0" t="n">
        <v>26775</v>
      </c>
      <c r="N162" s="0" t="n">
        <v>43</v>
      </c>
      <c r="O162" s="54" t="n">
        <f aca="false">YEAR(B162)</f>
        <v>2020</v>
      </c>
      <c r="P162" s="54" t="n">
        <f aca="false">IF(AND(E162&gt;=14400,K162&gt;0,L162&gt;0),1,0)</f>
        <v>1</v>
      </c>
      <c r="Q162" s="53" t="n">
        <f aca="false">IF(P162=1,F162/E162*MIN(L162/K162,1)*MIN(MAX(M162/L162,0),1),0)</f>
        <v>0.725695597088762</v>
      </c>
      <c r="R162" s="55" t="n">
        <f aca="false">IF(F162&gt;0,N162/(F162/3600),0)</f>
        <v>2.50069641487368</v>
      </c>
    </row>
    <row r="163" customFormat="false" ht="15" hidden="false" customHeight="false" outlineLevel="0" collapsed="false">
      <c r="A163" s="0" t="s">
        <v>258</v>
      </c>
      <c r="B163" s="52" t="n">
        <v>43998</v>
      </c>
      <c r="C163" s="0" t="n">
        <v>84025.38</v>
      </c>
      <c r="D163" s="0" t="n">
        <v>3354.128</v>
      </c>
      <c r="E163" s="0" t="n">
        <v>80671.252</v>
      </c>
      <c r="F163" s="0" t="n">
        <v>71774.05</v>
      </c>
      <c r="G163" s="0" t="n">
        <v>61524.608</v>
      </c>
      <c r="H163" s="0" t="n">
        <v>10249.442</v>
      </c>
      <c r="I163" s="0" t="n">
        <v>7864.431</v>
      </c>
      <c r="J163" s="0" t="n">
        <v>1032.771</v>
      </c>
      <c r="K163" s="0" t="n">
        <v>65343.2570694445</v>
      </c>
      <c r="L163" s="0" t="n">
        <v>57570</v>
      </c>
      <c r="M163" s="0" t="n">
        <v>57411</v>
      </c>
      <c r="N163" s="0" t="n">
        <v>112</v>
      </c>
      <c r="O163" s="54" t="n">
        <f aca="false">YEAR(B163)</f>
        <v>2020</v>
      </c>
      <c r="P163" s="54" t="n">
        <f aca="false">IF(AND(E163&gt;=14400,K163&gt;0,L163&gt;0),1,0)</f>
        <v>1</v>
      </c>
      <c r="Q163" s="53" t="n">
        <f aca="false">IF(P163=1,F163/E163*MIN(L163/K163,1)*MIN(MAX(M163/L163,0),1),0)</f>
        <v>0.781705178520941</v>
      </c>
      <c r="R163" s="55" t="n">
        <f aca="false">IF(F163&gt;0,N163/(F163/3600),0)</f>
        <v>5.61762921278652</v>
      </c>
    </row>
    <row r="164" customFormat="false" ht="15" hidden="false" customHeight="false" outlineLevel="0" collapsed="false">
      <c r="A164" s="0" t="s">
        <v>258</v>
      </c>
      <c r="B164" s="52" t="n">
        <v>43999</v>
      </c>
      <c r="C164" s="0" t="n">
        <v>86397.768</v>
      </c>
      <c r="D164" s="0" t="n">
        <v>27975.477</v>
      </c>
      <c r="E164" s="0" t="n">
        <v>58422.291</v>
      </c>
      <c r="F164" s="0" t="n">
        <v>48961.881</v>
      </c>
      <c r="G164" s="0" t="n">
        <v>40712.333</v>
      </c>
      <c r="H164" s="0" t="n">
        <v>8249.548</v>
      </c>
      <c r="I164" s="0" t="n">
        <v>4488.507</v>
      </c>
      <c r="J164" s="0" t="n">
        <v>4971.903</v>
      </c>
      <c r="K164" s="0" t="n">
        <v>49435.8044444445</v>
      </c>
      <c r="L164" s="0" t="n">
        <v>41977</v>
      </c>
      <c r="M164" s="0" t="n">
        <v>41871</v>
      </c>
      <c r="N164" s="0" t="n">
        <v>35</v>
      </c>
      <c r="O164" s="54" t="n">
        <f aca="false">YEAR(B164)</f>
        <v>2020</v>
      </c>
      <c r="P164" s="54" t="n">
        <f aca="false">IF(AND(E164&gt;=14400,K164&gt;0,L164&gt;0),1,0)</f>
        <v>1</v>
      </c>
      <c r="Q164" s="53" t="n">
        <f aca="false">IF(P164=1,F164/E164*MIN(L164/K164,1)*MIN(MAX(M164/L164,0),1),0)</f>
        <v>0.709824913244333</v>
      </c>
      <c r="R164" s="55" t="n">
        <f aca="false">IF(F164&gt;0,N164/(F164/3600),0)</f>
        <v>2.57343054283392</v>
      </c>
    </row>
    <row r="165" customFormat="false" ht="15" hidden="false" customHeight="false" outlineLevel="0" collapsed="false">
      <c r="A165" s="0" t="s">
        <v>258</v>
      </c>
      <c r="B165" s="52" t="n">
        <v>44000</v>
      </c>
      <c r="C165" s="0" t="n">
        <v>84165.388</v>
      </c>
      <c r="D165" s="0" t="n">
        <v>3401.908</v>
      </c>
      <c r="E165" s="0" t="n">
        <v>80763.48</v>
      </c>
      <c r="F165" s="0" t="n">
        <v>73176.735</v>
      </c>
      <c r="G165" s="0" t="n">
        <v>61674.542</v>
      </c>
      <c r="H165" s="0" t="n">
        <v>11502.193</v>
      </c>
      <c r="I165" s="0" t="n">
        <v>7130.584</v>
      </c>
      <c r="J165" s="0" t="n">
        <v>456.161</v>
      </c>
      <c r="K165" s="0" t="n">
        <v>52257.9202569445</v>
      </c>
      <c r="L165" s="0" t="n">
        <v>46396</v>
      </c>
      <c r="M165" s="0" t="n">
        <v>46237</v>
      </c>
      <c r="N165" s="0" t="n">
        <v>44</v>
      </c>
      <c r="O165" s="54" t="n">
        <f aca="false">YEAR(B165)</f>
        <v>2020</v>
      </c>
      <c r="P165" s="54" t="n">
        <f aca="false">IF(AND(E165&gt;=14400,K165&gt;0,L165&gt;0),1,0)</f>
        <v>1</v>
      </c>
      <c r="Q165" s="53" t="n">
        <f aca="false">IF(P165=1,F165/E165*MIN(L165/K165,1)*MIN(MAX(M165/L165,0),1),0)</f>
        <v>0.801669812958034</v>
      </c>
      <c r="R165" s="55" t="n">
        <f aca="false">IF(F165&gt;0,N165/(F165/3600),0)</f>
        <v>2.1646224035549</v>
      </c>
    </row>
    <row r="166" customFormat="false" ht="15" hidden="false" customHeight="false" outlineLevel="0" collapsed="false">
      <c r="A166" s="0" t="s">
        <v>258</v>
      </c>
      <c r="B166" s="52" t="n">
        <v>44001</v>
      </c>
      <c r="C166" s="0" t="n">
        <v>83433.619</v>
      </c>
      <c r="D166" s="0" t="n">
        <v>7238.048</v>
      </c>
      <c r="E166" s="0" t="n">
        <v>76195.571</v>
      </c>
      <c r="F166" s="0" t="n">
        <v>57221.064</v>
      </c>
      <c r="G166" s="0" t="n">
        <v>43488.449</v>
      </c>
      <c r="H166" s="0" t="n">
        <v>13732.615</v>
      </c>
      <c r="I166" s="0" t="n">
        <v>18565.488</v>
      </c>
      <c r="J166" s="0" t="n">
        <v>409.019</v>
      </c>
      <c r="K166" s="0" t="n">
        <v>3071.75222222222</v>
      </c>
      <c r="L166" s="0" t="n">
        <v>9849</v>
      </c>
      <c r="M166" s="0" t="n">
        <v>9728</v>
      </c>
      <c r="N166" s="0" t="n">
        <v>49</v>
      </c>
      <c r="O166" s="54" t="n">
        <f aca="false">YEAR(B166)</f>
        <v>2020</v>
      </c>
      <c r="P166" s="54" t="n">
        <f aca="false">IF(AND(E166&gt;=14400,K166&gt;0,L166&gt;0),1,0)</f>
        <v>1</v>
      </c>
      <c r="Q166" s="53" t="n">
        <f aca="false">IF(P166=1,F166/E166*MIN(L166/K166,1)*MIN(MAX(M166/L166,0),1),0)</f>
        <v>0.741750120571198</v>
      </c>
      <c r="R166" s="55" t="n">
        <f aca="false">IF(F166&gt;0,N166/(F166/3600),0)</f>
        <v>3.08278084448063</v>
      </c>
    </row>
    <row r="167" customFormat="false" ht="15" hidden="false" customHeight="false" outlineLevel="0" collapsed="false">
      <c r="A167" s="0" t="s">
        <v>258</v>
      </c>
      <c r="B167" s="52" t="n">
        <v>44002</v>
      </c>
      <c r="C167" s="0" t="n">
        <v>26386.04</v>
      </c>
      <c r="D167" s="0" t="n">
        <v>6321.32</v>
      </c>
      <c r="E167" s="0" t="n">
        <v>20064.72</v>
      </c>
      <c r="F167" s="0" t="n">
        <v>11896.411</v>
      </c>
      <c r="G167" s="0" t="n">
        <v>11070.462</v>
      </c>
      <c r="H167" s="0" t="n">
        <v>825.949</v>
      </c>
      <c r="I167" s="0" t="n">
        <v>2455.414</v>
      </c>
      <c r="J167" s="0" t="n">
        <v>5712.895</v>
      </c>
      <c r="K167" s="0" t="n">
        <v>15200.9696111111</v>
      </c>
      <c r="L167" s="0" t="n">
        <v>14148</v>
      </c>
      <c r="M167" s="0" t="n">
        <v>14111</v>
      </c>
      <c r="N167" s="0" t="n">
        <v>16</v>
      </c>
      <c r="O167" s="54" t="n">
        <f aca="false">YEAR(B167)</f>
        <v>2020</v>
      </c>
      <c r="P167" s="54" t="n">
        <f aca="false">IF(AND(E167&gt;=14400,K167&gt;0,L167&gt;0),1,0)</f>
        <v>1</v>
      </c>
      <c r="Q167" s="53" t="n">
        <f aca="false">IF(P167=1,F167/E167*MIN(L167/K167,1)*MIN(MAX(M167/L167,0),1),0)</f>
        <v>0.550388508005486</v>
      </c>
      <c r="R167" s="55" t="n">
        <f aca="false">IF(F167&gt;0,N167/(F167/3600),0)</f>
        <v>4.84179640397427</v>
      </c>
    </row>
    <row r="168" customFormat="false" ht="15" hidden="false" customHeight="false" outlineLevel="0" collapsed="false">
      <c r="A168" s="0" t="s">
        <v>258</v>
      </c>
      <c r="B168" s="52" t="n">
        <v>44003</v>
      </c>
      <c r="C168" s="0" t="n">
        <v>72955.406</v>
      </c>
      <c r="D168" s="0" t="n">
        <v>7540.191</v>
      </c>
      <c r="E168" s="0" t="n">
        <v>65415.215</v>
      </c>
      <c r="F168" s="0" t="n">
        <v>29138.686</v>
      </c>
      <c r="G168" s="0" t="n">
        <v>22604.057</v>
      </c>
      <c r="H168" s="0" t="n">
        <v>6534.629</v>
      </c>
      <c r="I168" s="0" t="n">
        <v>1710.759</v>
      </c>
      <c r="J168" s="0" t="n">
        <v>34565.77</v>
      </c>
      <c r="K168" s="0" t="n">
        <v>30973.0346527778</v>
      </c>
      <c r="L168" s="0" t="n">
        <v>25535</v>
      </c>
      <c r="M168" s="0" t="n">
        <v>25467</v>
      </c>
      <c r="N168" s="0" t="n">
        <v>15</v>
      </c>
      <c r="O168" s="54" t="n">
        <f aca="false">YEAR(B168)</f>
        <v>2020</v>
      </c>
      <c r="P168" s="54" t="n">
        <f aca="false">IF(AND(E168&gt;=14400,K168&gt;0,L168&gt;0),1,0)</f>
        <v>1</v>
      </c>
      <c r="Q168" s="53" t="n">
        <f aca="false">IF(P168=1,F168/E168*MIN(L168/K168,1)*MIN(MAX(M168/L168,0),1),0)</f>
        <v>0.366256398248485</v>
      </c>
      <c r="R168" s="55" t="n">
        <f aca="false">IF(F168&gt;0,N168/(F168/3600),0)</f>
        <v>1.85320642118179</v>
      </c>
    </row>
    <row r="169" customFormat="false" ht="15" hidden="false" customHeight="false" outlineLevel="0" collapsed="false">
      <c r="A169" s="0" t="s">
        <v>258</v>
      </c>
      <c r="B169" s="52" t="n">
        <v>44004</v>
      </c>
      <c r="C169" s="0" t="n">
        <v>4082.981</v>
      </c>
      <c r="D169" s="0" t="n">
        <v>0</v>
      </c>
      <c r="E169" s="0" t="n">
        <v>4082.981</v>
      </c>
      <c r="F169" s="0" t="n">
        <v>3207.539</v>
      </c>
      <c r="G169" s="0" t="n">
        <v>2741.519</v>
      </c>
      <c r="H169" s="0" t="n">
        <v>466.02</v>
      </c>
      <c r="I169" s="0" t="n">
        <v>875.442</v>
      </c>
      <c r="J169" s="0" t="n">
        <v>0</v>
      </c>
      <c r="K169" s="0" t="n">
        <v>4053.97290277778</v>
      </c>
      <c r="L169" s="0" t="n">
        <v>2375</v>
      </c>
      <c r="M169" s="0" t="n">
        <v>2357</v>
      </c>
      <c r="N169" s="0" t="n">
        <v>4</v>
      </c>
      <c r="O169" s="54" t="n">
        <f aca="false">YEAR(B169)</f>
        <v>2020</v>
      </c>
      <c r="P169" s="54" t="n">
        <f aca="false">IF(AND(E169&gt;=14400,K169&gt;0,L169&gt;0),1,0)</f>
        <v>0</v>
      </c>
      <c r="Q169" s="53" t="n">
        <f aca="false">IF(P169=1,F169/E169*MIN(L169/K169,1)*MIN(MAX(M169/L169,0),1),0)</f>
        <v>0</v>
      </c>
      <c r="R169" s="55" t="n">
        <f aca="false">IF(F169&gt;0,N169/(F169/3600),0)</f>
        <v>4.48942319953086</v>
      </c>
    </row>
    <row r="170" customFormat="false" ht="15" hidden="false" customHeight="false" outlineLevel="0" collapsed="false">
      <c r="A170" s="0" t="s">
        <v>258</v>
      </c>
      <c r="B170" s="52" t="n">
        <v>44005</v>
      </c>
      <c r="C170" s="0" t="n">
        <v>51301.779</v>
      </c>
      <c r="D170" s="0" t="n">
        <v>7134.515</v>
      </c>
      <c r="E170" s="0" t="n">
        <v>44167.264</v>
      </c>
      <c r="F170" s="0" t="n">
        <v>30847.469</v>
      </c>
      <c r="G170" s="0" t="n">
        <v>26473.626</v>
      </c>
      <c r="H170" s="0" t="n">
        <v>4373.843</v>
      </c>
      <c r="I170" s="0" t="n">
        <v>3389.891</v>
      </c>
      <c r="J170" s="0" t="n">
        <v>9929.904</v>
      </c>
      <c r="K170" s="0" t="n">
        <v>33664.9899444445</v>
      </c>
      <c r="L170" s="0" t="n">
        <v>28439</v>
      </c>
      <c r="M170" s="0" t="n">
        <v>28233</v>
      </c>
      <c r="N170" s="0" t="n">
        <v>28</v>
      </c>
      <c r="O170" s="54" t="n">
        <f aca="false">YEAR(B170)</f>
        <v>2020</v>
      </c>
      <c r="P170" s="54" t="n">
        <f aca="false">IF(AND(E170&gt;=14400,K170&gt;0,L170&gt;0),1,0)</f>
        <v>1</v>
      </c>
      <c r="Q170" s="53" t="n">
        <f aca="false">IF(P170=1,F170/E170*MIN(L170/K170,1)*MIN(MAX(M170/L170,0),1),0)</f>
        <v>0.585730148383135</v>
      </c>
      <c r="R170" s="55" t="n">
        <f aca="false">IF(F170&gt;0,N170/(F170/3600),0)</f>
        <v>3.26769110295564</v>
      </c>
    </row>
    <row r="171" customFormat="false" ht="15" hidden="false" customHeight="false" outlineLevel="0" collapsed="false">
      <c r="A171" s="0" t="s">
        <v>258</v>
      </c>
      <c r="B171" s="52" t="n">
        <v>44006</v>
      </c>
      <c r="C171" s="0" t="n">
        <v>86345.948</v>
      </c>
      <c r="D171" s="0" t="n">
        <v>8945.642</v>
      </c>
      <c r="E171" s="0" t="n">
        <v>77400.306</v>
      </c>
      <c r="F171" s="0" t="n">
        <v>64436.639</v>
      </c>
      <c r="G171" s="0" t="n">
        <v>54981.864</v>
      </c>
      <c r="H171" s="0" t="n">
        <v>9454.775</v>
      </c>
      <c r="I171" s="0" t="n">
        <v>9183.12</v>
      </c>
      <c r="J171" s="0" t="n">
        <v>3780.547</v>
      </c>
      <c r="K171" s="0" t="n">
        <v>81100.9206944444</v>
      </c>
      <c r="L171" s="0" t="n">
        <v>69075</v>
      </c>
      <c r="M171" s="0" t="n">
        <v>68827</v>
      </c>
      <c r="N171" s="0" t="n">
        <v>39</v>
      </c>
      <c r="O171" s="54" t="n">
        <f aca="false">YEAR(B171)</f>
        <v>2020</v>
      </c>
      <c r="P171" s="54" t="n">
        <f aca="false">IF(AND(E171&gt;=14400,K171&gt;0,L171&gt;0),1,0)</f>
        <v>1</v>
      </c>
      <c r="Q171" s="53" t="n">
        <f aca="false">IF(P171=1,F171/E171*MIN(L171/K171,1)*MIN(MAX(M171/L171,0),1),0)</f>
        <v>0.706518043434764</v>
      </c>
      <c r="R171" s="55" t="n">
        <f aca="false">IF(F171&gt;0,N171/(F171/3600),0)</f>
        <v>2.17888459390317</v>
      </c>
    </row>
    <row r="172" customFormat="false" ht="15" hidden="false" customHeight="false" outlineLevel="0" collapsed="false">
      <c r="A172" s="0" t="s">
        <v>258</v>
      </c>
      <c r="B172" s="52" t="n">
        <v>44007</v>
      </c>
      <c r="C172" s="0" t="n">
        <v>99604.055</v>
      </c>
      <c r="D172" s="0" t="n">
        <v>9539.461</v>
      </c>
      <c r="E172" s="0" t="n">
        <v>90064.594</v>
      </c>
      <c r="F172" s="0" t="n">
        <v>63074.149</v>
      </c>
      <c r="G172" s="0" t="n">
        <v>48309.346</v>
      </c>
      <c r="H172" s="0" t="n">
        <v>14764.803</v>
      </c>
      <c r="I172" s="0" t="n">
        <v>4057.743</v>
      </c>
      <c r="J172" s="0" t="n">
        <v>22932.702</v>
      </c>
      <c r="K172" s="0" t="n">
        <v>79459.2099166667</v>
      </c>
      <c r="L172" s="0" t="n">
        <v>60662</v>
      </c>
      <c r="M172" s="0" t="n">
        <v>60438</v>
      </c>
      <c r="N172" s="0" t="n">
        <v>17</v>
      </c>
      <c r="O172" s="54" t="n">
        <f aca="false">YEAR(B172)</f>
        <v>2020</v>
      </c>
      <c r="P172" s="54" t="n">
        <f aca="false">IF(AND(E172&gt;=14400,K172&gt;0,L172&gt;0),1,0)</f>
        <v>1</v>
      </c>
      <c r="Q172" s="53" t="n">
        <f aca="false">IF(P172=1,F172/E172*MIN(L172/K172,1)*MIN(MAX(M172/L172,0),1),0)</f>
        <v>0.532676019781535</v>
      </c>
      <c r="R172" s="55" t="n">
        <f aca="false">IF(F172&gt;0,N172/(F172/3600),0)</f>
        <v>0.970286574932624</v>
      </c>
    </row>
    <row r="173" customFormat="false" ht="15" hidden="false" customHeight="false" outlineLevel="0" collapsed="false">
      <c r="A173" s="0" t="s">
        <v>258</v>
      </c>
      <c r="B173" s="52" t="n">
        <v>44008</v>
      </c>
      <c r="C173" s="0" t="n">
        <v>83355.63</v>
      </c>
      <c r="D173" s="0" t="n">
        <v>12662.906</v>
      </c>
      <c r="E173" s="0" t="n">
        <v>70692.724</v>
      </c>
      <c r="F173" s="0" t="n">
        <v>23814.434</v>
      </c>
      <c r="G173" s="0" t="n">
        <v>21041.612</v>
      </c>
      <c r="H173" s="0" t="n">
        <v>2772.822</v>
      </c>
      <c r="I173" s="0" t="n">
        <v>1728.158</v>
      </c>
      <c r="J173" s="0" t="n">
        <v>45150.132</v>
      </c>
      <c r="K173" s="0" t="n">
        <v>29721.13</v>
      </c>
      <c r="L173" s="0" t="n">
        <v>26260</v>
      </c>
      <c r="M173" s="0" t="n">
        <v>26106</v>
      </c>
      <c r="N173" s="0" t="n">
        <v>10</v>
      </c>
      <c r="O173" s="54" t="n">
        <f aca="false">YEAR(B173)</f>
        <v>2020</v>
      </c>
      <c r="P173" s="54" t="n">
        <f aca="false">IF(AND(E173&gt;=14400,K173&gt;0,L173&gt;0),1,0)</f>
        <v>1</v>
      </c>
      <c r="Q173" s="53" t="n">
        <f aca="false">IF(P173=1,F173/E173*MIN(L173/K173,1)*MIN(MAX(M173/L173,0),1),0)</f>
        <v>0.295897001196402</v>
      </c>
      <c r="R173" s="55" t="n">
        <f aca="false">IF(F173&gt;0,N173/(F173/3600),0)</f>
        <v>1.51168824755608</v>
      </c>
    </row>
    <row r="174" customFormat="false" ht="15" hidden="false" customHeight="false" outlineLevel="0" collapsed="false">
      <c r="A174" s="0" t="s">
        <v>258</v>
      </c>
      <c r="B174" s="52" t="n">
        <v>44009</v>
      </c>
      <c r="C174" s="0" t="n">
        <v>8285.514</v>
      </c>
      <c r="D174" s="0" t="n">
        <v>2423.281</v>
      </c>
      <c r="E174" s="0" t="n">
        <v>5862.233</v>
      </c>
      <c r="F174" s="0" t="n">
        <v>443.33</v>
      </c>
      <c r="G174" s="0" t="n">
        <v>116.73</v>
      </c>
      <c r="H174" s="0" t="n">
        <v>326.6</v>
      </c>
      <c r="I174" s="0" t="n">
        <v>96.59</v>
      </c>
      <c r="J174" s="0" t="n">
        <v>5322.313</v>
      </c>
      <c r="K174" s="0" t="n">
        <v>554.1625</v>
      </c>
      <c r="L174" s="0" t="n">
        <v>136</v>
      </c>
      <c r="M174" s="0" t="n">
        <v>129</v>
      </c>
      <c r="N174" s="0" t="n">
        <v>2</v>
      </c>
      <c r="O174" s="54" t="n">
        <f aca="false">YEAR(B174)</f>
        <v>2020</v>
      </c>
      <c r="P174" s="54" t="n">
        <f aca="false">IF(AND(E174&gt;=14400,K174&gt;0,L174&gt;0),1,0)</f>
        <v>0</v>
      </c>
      <c r="Q174" s="53" t="n">
        <f aca="false">IF(P174=1,F174/E174*MIN(L174/K174,1)*MIN(MAX(M174/L174,0),1),0)</f>
        <v>0</v>
      </c>
      <c r="R174" s="55" t="n">
        <f aca="false">IF(F174&gt;0,N174/(F174/3600),0)</f>
        <v>16.2407236144633</v>
      </c>
    </row>
    <row r="175" customFormat="false" ht="15" hidden="false" customHeight="false" outlineLevel="0" collapsed="false">
      <c r="A175" s="0" t="s">
        <v>258</v>
      </c>
      <c r="B175" s="52" t="n">
        <v>44010</v>
      </c>
      <c r="C175" s="0" t="n">
        <v>69133.039</v>
      </c>
      <c r="D175" s="0" t="n">
        <v>7172.74</v>
      </c>
      <c r="E175" s="0" t="n">
        <v>61960.299</v>
      </c>
      <c r="F175" s="0" t="n">
        <v>31151</v>
      </c>
      <c r="G175" s="0" t="n">
        <v>13629.444</v>
      </c>
      <c r="H175" s="0" t="n">
        <v>17521.556</v>
      </c>
      <c r="I175" s="0" t="n">
        <v>1745.929</v>
      </c>
      <c r="J175" s="0" t="n">
        <v>29063.37</v>
      </c>
      <c r="K175" s="0" t="n">
        <v>38819.1201388889</v>
      </c>
      <c r="L175" s="0" t="n">
        <v>16881</v>
      </c>
      <c r="M175" s="0" t="n">
        <v>16771</v>
      </c>
      <c r="N175" s="0" t="n">
        <v>8</v>
      </c>
      <c r="O175" s="54" t="n">
        <f aca="false">YEAR(B175)</f>
        <v>2020</v>
      </c>
      <c r="P175" s="54" t="n">
        <f aca="false">IF(AND(E175&gt;=14400,K175&gt;0,L175&gt;0),1,0)</f>
        <v>1</v>
      </c>
      <c r="Q175" s="53" t="n">
        <f aca="false">IF(P175=1,F175/E175*MIN(L175/K175,1)*MIN(MAX(M175/L175,0),1),0)</f>
        <v>0.217205970726189</v>
      </c>
      <c r="R175" s="55" t="n">
        <f aca="false">IF(F175&gt;0,N175/(F175/3600),0)</f>
        <v>0.924528907579211</v>
      </c>
    </row>
    <row r="176" customFormat="false" ht="15" hidden="false" customHeight="false" outlineLevel="0" collapsed="false">
      <c r="A176" s="0" t="s">
        <v>258</v>
      </c>
      <c r="B176" s="52" t="n">
        <v>44011</v>
      </c>
      <c r="C176" s="0" t="n">
        <v>86360.667</v>
      </c>
      <c r="D176" s="0" t="n">
        <v>8228.74</v>
      </c>
      <c r="E176" s="0" t="n">
        <v>78131.927</v>
      </c>
      <c r="F176" s="0" t="n">
        <v>67742.256</v>
      </c>
      <c r="G176" s="0" t="n">
        <v>41512.124</v>
      </c>
      <c r="H176" s="0" t="n">
        <v>26230.132</v>
      </c>
      <c r="I176" s="0" t="n">
        <v>6073.961</v>
      </c>
      <c r="J176" s="0" t="n">
        <v>4315.71</v>
      </c>
      <c r="K176" s="0" t="n">
        <v>84165.17625</v>
      </c>
      <c r="L176" s="0" t="n">
        <v>51001</v>
      </c>
      <c r="M176" s="0" t="n">
        <v>50102</v>
      </c>
      <c r="N176" s="0" t="n">
        <v>55</v>
      </c>
      <c r="O176" s="54" t="n">
        <f aca="false">YEAR(B176)</f>
        <v>2020</v>
      </c>
      <c r="P176" s="54" t="n">
        <f aca="false">IF(AND(E176&gt;=14400,K176&gt;0,L176&gt;0),1,0)</f>
        <v>1</v>
      </c>
      <c r="Q176" s="53" t="n">
        <f aca="false">IF(P176=1,F176/E176*MIN(L176/K176,1)*MIN(MAX(M176/L176,0),1),0)</f>
        <v>0.516123632878355</v>
      </c>
      <c r="R176" s="55" t="n">
        <f aca="false">IF(F176&gt;0,N176/(F176/3600),0)</f>
        <v>2.92284331363278</v>
      </c>
    </row>
    <row r="177" customFormat="false" ht="15" hidden="false" customHeight="false" outlineLevel="0" collapsed="false">
      <c r="A177" s="0" t="s">
        <v>258</v>
      </c>
      <c r="B177" s="52" t="n">
        <v>44012</v>
      </c>
      <c r="C177" s="0" t="n">
        <v>90755.279</v>
      </c>
      <c r="D177" s="0" t="n">
        <v>9815.431</v>
      </c>
      <c r="E177" s="0" t="n">
        <v>80939.848</v>
      </c>
      <c r="F177" s="0" t="n">
        <v>64650.159</v>
      </c>
      <c r="G177" s="0" t="n">
        <v>51027.583</v>
      </c>
      <c r="H177" s="0" t="n">
        <v>13622.576</v>
      </c>
      <c r="I177" s="0" t="n">
        <v>3339.659</v>
      </c>
      <c r="J177" s="0" t="n">
        <v>12950.03</v>
      </c>
      <c r="K177" s="0" t="n">
        <v>80812.69875</v>
      </c>
      <c r="L177" s="0" t="n">
        <v>63303</v>
      </c>
      <c r="M177" s="0" t="n">
        <v>62710</v>
      </c>
      <c r="N177" s="0" t="n">
        <v>48</v>
      </c>
      <c r="O177" s="54" t="n">
        <f aca="false">YEAR(B177)</f>
        <v>2020</v>
      </c>
      <c r="P177" s="54" t="n">
        <f aca="false">IF(AND(E177&gt;=14400,K177&gt;0,L177&gt;0),1,0)</f>
        <v>1</v>
      </c>
      <c r="Q177" s="53" t="n">
        <f aca="false">IF(P177=1,F177/E177*MIN(L177/K177,1)*MIN(MAX(M177/L177,0),1),0)</f>
        <v>0.619818312483117</v>
      </c>
      <c r="R177" s="55" t="n">
        <f aca="false">IF(F177&gt;0,N177/(F177/3600),0)</f>
        <v>2.67284725471441</v>
      </c>
    </row>
    <row r="178" customFormat="false" ht="15" hidden="false" customHeight="false" outlineLevel="0" collapsed="false">
      <c r="A178" s="0" t="s">
        <v>258</v>
      </c>
      <c r="B178" s="52" t="n">
        <v>44013</v>
      </c>
      <c r="C178" s="0" t="n">
        <v>81228.09</v>
      </c>
      <c r="D178" s="0" t="n">
        <v>4394.782</v>
      </c>
      <c r="E178" s="0" t="n">
        <v>76833.308</v>
      </c>
      <c r="F178" s="0" t="n">
        <v>58287.149</v>
      </c>
      <c r="G178" s="0" t="n">
        <v>48110.169</v>
      </c>
      <c r="H178" s="0" t="n">
        <v>10176.98</v>
      </c>
      <c r="I178" s="0" t="n">
        <v>3922.789</v>
      </c>
      <c r="J178" s="0" t="n">
        <v>14623.37</v>
      </c>
      <c r="K178" s="0" t="n">
        <v>72429.6133333333</v>
      </c>
      <c r="L178" s="0" t="n">
        <v>58657</v>
      </c>
      <c r="M178" s="0" t="n">
        <v>58205</v>
      </c>
      <c r="N178" s="0" t="n">
        <v>29</v>
      </c>
      <c r="O178" s="54" t="n">
        <f aca="false">YEAR(B178)</f>
        <v>2020</v>
      </c>
      <c r="P178" s="54" t="n">
        <f aca="false">IF(AND(E178&gt;=14400,K178&gt;0,L178&gt;0),1,0)</f>
        <v>1</v>
      </c>
      <c r="Q178" s="53" t="n">
        <f aca="false">IF(P178=1,F178/E178*MIN(L178/K178,1)*MIN(MAX(M178/L178,0),1),0)</f>
        <v>0.609631512742985</v>
      </c>
      <c r="R178" s="55" t="n">
        <f aca="false">IF(F178&gt;0,N178/(F178/3600),0)</f>
        <v>1.79113238151346</v>
      </c>
    </row>
    <row r="179" customFormat="false" ht="15" hidden="false" customHeight="false" outlineLevel="0" collapsed="false">
      <c r="A179" s="0" t="s">
        <v>258</v>
      </c>
      <c r="B179" s="52" t="n">
        <v>44014</v>
      </c>
      <c r="C179" s="0" t="n">
        <v>85826.819</v>
      </c>
      <c r="D179" s="0" t="n">
        <v>9118.771</v>
      </c>
      <c r="E179" s="0" t="n">
        <v>76708.048</v>
      </c>
      <c r="F179" s="0" t="n">
        <v>66075.631</v>
      </c>
      <c r="G179" s="0" t="n">
        <v>56349.322</v>
      </c>
      <c r="H179" s="0" t="n">
        <v>9726.309</v>
      </c>
      <c r="I179" s="0" t="n">
        <v>6509.566</v>
      </c>
      <c r="J179" s="0" t="n">
        <v>4122.851</v>
      </c>
      <c r="K179" s="0" t="n">
        <v>82305.0457638889</v>
      </c>
      <c r="L179" s="0" t="n">
        <v>70182</v>
      </c>
      <c r="M179" s="0" t="n">
        <v>69625</v>
      </c>
      <c r="N179" s="0" t="n">
        <v>46</v>
      </c>
      <c r="O179" s="54" t="n">
        <f aca="false">YEAR(B179)</f>
        <v>2020</v>
      </c>
      <c r="P179" s="54" t="n">
        <f aca="false">IF(AND(E179&gt;=14400,K179&gt;0,L179&gt;0),1,0)</f>
        <v>1</v>
      </c>
      <c r="Q179" s="53" t="n">
        <f aca="false">IF(P179=1,F179/E179*MIN(L179/K179,1)*MIN(MAX(M179/L179,0),1),0)</f>
        <v>0.728683834978725</v>
      </c>
      <c r="R179" s="55" t="n">
        <f aca="false">IF(F179&gt;0,N179/(F179/3600),0)</f>
        <v>2.50621897201406</v>
      </c>
    </row>
    <row r="180" customFormat="false" ht="15" hidden="false" customHeight="false" outlineLevel="0" collapsed="false">
      <c r="A180" s="0" t="s">
        <v>258</v>
      </c>
      <c r="B180" s="52" t="n">
        <v>44015</v>
      </c>
      <c r="C180" s="0" t="n">
        <v>83538.859</v>
      </c>
      <c r="D180" s="0" t="n">
        <v>3226.67</v>
      </c>
      <c r="E180" s="0" t="n">
        <v>80312.189</v>
      </c>
      <c r="F180" s="0" t="n">
        <v>71766.555</v>
      </c>
      <c r="G180" s="0" t="n">
        <v>59226.945</v>
      </c>
      <c r="H180" s="0" t="n">
        <v>12539.61</v>
      </c>
      <c r="I180" s="0" t="n">
        <v>7852.174</v>
      </c>
      <c r="J180" s="0" t="n">
        <v>693.46</v>
      </c>
      <c r="K180" s="0" t="n">
        <v>89545.8934027778</v>
      </c>
      <c r="L180" s="0" t="n">
        <v>77936</v>
      </c>
      <c r="M180" s="0" t="n">
        <v>77402</v>
      </c>
      <c r="N180" s="0" t="n">
        <v>63</v>
      </c>
      <c r="O180" s="54" t="n">
        <f aca="false">YEAR(B180)</f>
        <v>2020</v>
      </c>
      <c r="P180" s="54" t="n">
        <f aca="false">IF(AND(E180&gt;=14400,K180&gt;0,L180&gt;0),1,0)</f>
        <v>1</v>
      </c>
      <c r="Q180" s="53" t="n">
        <f aca="false">IF(P180=1,F180/E180*MIN(L180/K180,1)*MIN(MAX(M180/L180,0),1),0)</f>
        <v>0.772408678890059</v>
      </c>
      <c r="R180" s="55" t="n">
        <f aca="false">IF(F180&gt;0,N180/(F180/3600),0)</f>
        <v>3.16024644069929</v>
      </c>
    </row>
    <row r="181" customFormat="false" ht="15" hidden="false" customHeight="false" outlineLevel="0" collapsed="false">
      <c r="A181" s="0" t="s">
        <v>258</v>
      </c>
      <c r="B181" s="52" t="n">
        <v>44016</v>
      </c>
      <c r="C181" s="0" t="n">
        <v>25291.62</v>
      </c>
      <c r="D181" s="0" t="n">
        <v>12821.02</v>
      </c>
      <c r="E181" s="0" t="n">
        <v>12470.6</v>
      </c>
      <c r="F181" s="0" t="n">
        <v>3460.42</v>
      </c>
      <c r="G181" s="0" t="n">
        <v>2330.55</v>
      </c>
      <c r="H181" s="0" t="n">
        <v>1129.87</v>
      </c>
      <c r="I181" s="0" t="n">
        <v>191.35</v>
      </c>
      <c r="J181" s="0" t="n">
        <v>8818.83</v>
      </c>
      <c r="K181" s="0" t="n">
        <v>4085.21805555556</v>
      </c>
      <c r="L181" s="0" t="n">
        <v>2732</v>
      </c>
      <c r="M181" s="0" t="n">
        <v>2704</v>
      </c>
      <c r="N181" s="0" t="n">
        <v>3</v>
      </c>
      <c r="O181" s="54" t="n">
        <f aca="false">YEAR(B181)</f>
        <v>2020</v>
      </c>
      <c r="P181" s="54" t="n">
        <f aca="false">IF(AND(E181&gt;=14400,K181&gt;0,L181&gt;0),1,0)</f>
        <v>0</v>
      </c>
      <c r="Q181" s="53" t="n">
        <f aca="false">IF(P181=1,F181/E181*MIN(L181/K181,1)*MIN(MAX(M181/L181,0),1),0)</f>
        <v>0</v>
      </c>
      <c r="R181" s="55" t="n">
        <f aca="false">IF(F181&gt;0,N181/(F181/3600),0)</f>
        <v>3.12100843250241</v>
      </c>
    </row>
    <row r="182" customFormat="false" ht="15" hidden="false" customHeight="false" outlineLevel="0" collapsed="false">
      <c r="A182" s="0" t="s">
        <v>258</v>
      </c>
      <c r="B182" s="52" t="n">
        <v>44017</v>
      </c>
      <c r="C182" s="0" t="n">
        <v>81068.919</v>
      </c>
      <c r="D182" s="0" t="n">
        <v>17784.789</v>
      </c>
      <c r="E182" s="0" t="n">
        <v>63284.13</v>
      </c>
      <c r="F182" s="0" t="n">
        <v>20119.97</v>
      </c>
      <c r="G182" s="0" t="n">
        <v>11109.789</v>
      </c>
      <c r="H182" s="0" t="n">
        <v>9010.181</v>
      </c>
      <c r="I182" s="0" t="n">
        <v>2786.33</v>
      </c>
      <c r="J182" s="0" t="n">
        <v>40377.83</v>
      </c>
      <c r="K182" s="0" t="n">
        <v>24211.4798611111</v>
      </c>
      <c r="L182" s="0" t="n">
        <v>13193</v>
      </c>
      <c r="M182" s="0" t="n">
        <v>13043</v>
      </c>
      <c r="N182" s="0" t="n">
        <v>16</v>
      </c>
      <c r="O182" s="54" t="n">
        <f aca="false">YEAR(B182)</f>
        <v>2020</v>
      </c>
      <c r="P182" s="54" t="n">
        <f aca="false">IF(AND(E182&gt;=14400,K182&gt;0,L182&gt;0),1,0)</f>
        <v>1</v>
      </c>
      <c r="Q182" s="53" t="n">
        <f aca="false">IF(P182=1,F182/E182*MIN(L182/K182,1)*MIN(MAX(M182/L182,0),1),0)</f>
        <v>0.171272908870543</v>
      </c>
      <c r="R182" s="55" t="n">
        <f aca="false">IF(F182&gt;0,N182/(F182/3600),0)</f>
        <v>2.86282733025944</v>
      </c>
    </row>
    <row r="183" customFormat="false" ht="15" hidden="false" customHeight="false" outlineLevel="0" collapsed="false">
      <c r="A183" s="0" t="s">
        <v>258</v>
      </c>
      <c r="B183" s="52" t="n">
        <v>44018</v>
      </c>
      <c r="C183" s="0" t="n">
        <v>80977.406</v>
      </c>
      <c r="D183" s="0" t="n">
        <v>8092.091</v>
      </c>
      <c r="E183" s="0" t="n">
        <v>72885.315</v>
      </c>
      <c r="F183" s="0" t="n">
        <v>61990.965</v>
      </c>
      <c r="G183" s="0" t="n">
        <v>48204.94</v>
      </c>
      <c r="H183" s="0" t="n">
        <v>13786.025</v>
      </c>
      <c r="I183" s="0" t="n">
        <v>9034.491</v>
      </c>
      <c r="J183" s="0" t="n">
        <v>1859.859</v>
      </c>
      <c r="K183" s="0" t="n">
        <v>76027.3945833333</v>
      </c>
      <c r="L183" s="0" t="n">
        <v>58047</v>
      </c>
      <c r="M183" s="0" t="n">
        <v>57869</v>
      </c>
      <c r="N183" s="0" t="n">
        <v>61</v>
      </c>
      <c r="O183" s="54" t="n">
        <f aca="false">YEAR(B183)</f>
        <v>2020</v>
      </c>
      <c r="P183" s="54" t="n">
        <f aca="false">IF(AND(E183&gt;=14400,K183&gt;0,L183&gt;0),1,0)</f>
        <v>1</v>
      </c>
      <c r="Q183" s="53" t="n">
        <f aca="false">IF(P183=1,F183/E183*MIN(L183/K183,1)*MIN(MAX(M183/L183,0),1),0)</f>
        <v>0.647387384019013</v>
      </c>
      <c r="R183" s="55" t="n">
        <f aca="false">IF(F183&gt;0,N183/(F183/3600),0)</f>
        <v>3.5424517105033</v>
      </c>
    </row>
    <row r="184" customFormat="false" ht="15" hidden="false" customHeight="false" outlineLevel="0" collapsed="false">
      <c r="A184" s="0" t="s">
        <v>258</v>
      </c>
      <c r="B184" s="52" t="n">
        <v>44019</v>
      </c>
      <c r="C184" s="0" t="n">
        <v>87081.067</v>
      </c>
      <c r="D184" s="0" t="n">
        <v>5780.499</v>
      </c>
      <c r="E184" s="0" t="n">
        <v>81300.568</v>
      </c>
      <c r="F184" s="0" t="n">
        <v>70241.764</v>
      </c>
      <c r="G184" s="0" t="n">
        <v>58738.443</v>
      </c>
      <c r="H184" s="0" t="n">
        <v>11503.321</v>
      </c>
      <c r="I184" s="0" t="n">
        <v>9717.134</v>
      </c>
      <c r="J184" s="0" t="n">
        <v>1341.67</v>
      </c>
      <c r="K184" s="0" t="n">
        <v>87153.7590972222</v>
      </c>
      <c r="L184" s="0" t="n">
        <v>72654</v>
      </c>
      <c r="M184" s="0" t="n">
        <v>72373</v>
      </c>
      <c r="N184" s="0" t="n">
        <v>64</v>
      </c>
      <c r="O184" s="54" t="n">
        <f aca="false">YEAR(B184)</f>
        <v>2020</v>
      </c>
      <c r="P184" s="54" t="n">
        <f aca="false">IF(AND(E184&gt;=14400,K184&gt;0,L184&gt;0),1,0)</f>
        <v>1</v>
      </c>
      <c r="Q184" s="53" t="n">
        <f aca="false">IF(P184=1,F184/E184*MIN(L184/K184,1)*MIN(MAX(M184/L184,0),1),0)</f>
        <v>0.717451059727237</v>
      </c>
      <c r="R184" s="55" t="n">
        <f aca="false">IF(F184&gt;0,N184/(F184/3600),0)</f>
        <v>3.28009985626215</v>
      </c>
    </row>
    <row r="185" customFormat="false" ht="15" hidden="false" customHeight="false" outlineLevel="0" collapsed="false">
      <c r="A185" s="0" t="s">
        <v>258</v>
      </c>
      <c r="B185" s="52" t="n">
        <v>44020</v>
      </c>
      <c r="C185" s="0" t="n">
        <v>85707.85</v>
      </c>
      <c r="D185" s="0" t="n">
        <v>11409.829</v>
      </c>
      <c r="E185" s="0" t="n">
        <v>74298.021</v>
      </c>
      <c r="F185" s="0" t="n">
        <v>61589.547</v>
      </c>
      <c r="G185" s="0" t="n">
        <v>51880.412</v>
      </c>
      <c r="H185" s="0" t="n">
        <v>9709.135</v>
      </c>
      <c r="I185" s="0" t="n">
        <v>9597.732</v>
      </c>
      <c r="J185" s="0" t="n">
        <v>3110.742</v>
      </c>
      <c r="K185" s="0" t="n">
        <v>76126.8534722222</v>
      </c>
      <c r="L185" s="0" t="n">
        <v>64119</v>
      </c>
      <c r="M185" s="0" t="n">
        <v>63910</v>
      </c>
      <c r="N185" s="0" t="n">
        <v>49</v>
      </c>
      <c r="O185" s="54" t="n">
        <f aca="false">YEAR(B185)</f>
        <v>2020</v>
      </c>
      <c r="P185" s="54" t="n">
        <f aca="false">IF(AND(E185&gt;=14400,K185&gt;0,L185&gt;0),1,0)</f>
        <v>1</v>
      </c>
      <c r="Q185" s="53" t="n">
        <f aca="false">IF(P185=1,F185/E185*MIN(L185/K185,1)*MIN(MAX(M185/L185,0),1),0)</f>
        <v>0.69592221751077</v>
      </c>
      <c r="R185" s="55" t="n">
        <f aca="false">IF(F185&gt;0,N185/(F185/3600),0)</f>
        <v>2.86412238102677</v>
      </c>
    </row>
    <row r="186" customFormat="false" ht="15" hidden="false" customHeight="false" outlineLevel="0" collapsed="false">
      <c r="A186" s="0" t="s">
        <v>258</v>
      </c>
      <c r="B186" s="52" t="n">
        <v>44021</v>
      </c>
      <c r="C186" s="0" t="n">
        <v>86370.669</v>
      </c>
      <c r="D186" s="0" t="n">
        <v>9131.181</v>
      </c>
      <c r="E186" s="0" t="n">
        <v>77239.488</v>
      </c>
      <c r="F186" s="0" t="n">
        <v>65897.065</v>
      </c>
      <c r="G186" s="0" t="n">
        <v>56175.34</v>
      </c>
      <c r="H186" s="0" t="n">
        <v>9721.725</v>
      </c>
      <c r="I186" s="0" t="n">
        <v>8804.773</v>
      </c>
      <c r="J186" s="0" t="n">
        <v>2537.65</v>
      </c>
      <c r="K186" s="0" t="n">
        <v>82371.33125</v>
      </c>
      <c r="L186" s="0" t="n">
        <v>70025</v>
      </c>
      <c r="M186" s="0" t="n">
        <v>69850</v>
      </c>
      <c r="N186" s="0" t="n">
        <v>42</v>
      </c>
      <c r="O186" s="54" t="n">
        <f aca="false">YEAR(B186)</f>
        <v>2020</v>
      </c>
      <c r="P186" s="54" t="n">
        <f aca="false">IF(AND(E186&gt;=14400,K186&gt;0,L186&gt;0),1,0)</f>
        <v>1</v>
      </c>
      <c r="Q186" s="53" t="n">
        <f aca="false">IF(P186=1,F186/E186*MIN(L186/K186,1)*MIN(MAX(M186/L186,0),1),0)</f>
        <v>0.723464143107733</v>
      </c>
      <c r="R186" s="55" t="n">
        <f aca="false">IF(F186&gt;0,N186/(F186/3600),0)</f>
        <v>2.29448762247605</v>
      </c>
    </row>
    <row r="187" customFormat="false" ht="15" hidden="false" customHeight="false" outlineLevel="0" collapsed="false">
      <c r="A187" s="0" t="s">
        <v>258</v>
      </c>
      <c r="B187" s="52" t="n">
        <v>44022</v>
      </c>
      <c r="C187" s="0" t="n">
        <v>87149.153</v>
      </c>
      <c r="D187" s="0" t="n">
        <v>8063.603</v>
      </c>
      <c r="E187" s="0" t="n">
        <v>79085.55</v>
      </c>
      <c r="F187" s="0" t="n">
        <v>66538.245</v>
      </c>
      <c r="G187" s="0" t="n">
        <v>55734.714</v>
      </c>
      <c r="H187" s="0" t="n">
        <v>10803.531</v>
      </c>
      <c r="I187" s="0" t="n">
        <v>5914.917</v>
      </c>
      <c r="J187" s="0" t="n">
        <v>6632.388</v>
      </c>
      <c r="K187" s="0" t="n">
        <v>83163.65625</v>
      </c>
      <c r="L187" s="0" t="n">
        <v>69467</v>
      </c>
      <c r="M187" s="0" t="n">
        <v>69306</v>
      </c>
      <c r="N187" s="0" t="n">
        <v>44</v>
      </c>
      <c r="O187" s="54" t="n">
        <f aca="false">YEAR(B187)</f>
        <v>2020</v>
      </c>
      <c r="P187" s="54" t="n">
        <f aca="false">IF(AND(E187&gt;=14400,K187&gt;0,L187&gt;0),1,0)</f>
        <v>1</v>
      </c>
      <c r="Q187" s="53" t="n">
        <f aca="false">IF(P187=1,F187/E187*MIN(L187/K187,1)*MIN(MAX(M187/L187,0),1),0)</f>
        <v>0.701150845634022</v>
      </c>
      <c r="R187" s="55" t="n">
        <f aca="false">IF(F187&gt;0,N187/(F187/3600),0)</f>
        <v>2.38058578190633</v>
      </c>
    </row>
    <row r="188" customFormat="false" ht="15" hidden="false" customHeight="false" outlineLevel="0" collapsed="false">
      <c r="A188" s="0" t="s">
        <v>258</v>
      </c>
      <c r="B188" s="52" t="n">
        <v>44023</v>
      </c>
      <c r="C188" s="0" t="n">
        <v>17153.17</v>
      </c>
      <c r="D188" s="0" t="n">
        <v>926.689</v>
      </c>
      <c r="E188" s="0" t="n">
        <v>16226.481</v>
      </c>
      <c r="F188" s="0" t="n">
        <v>6633.552</v>
      </c>
      <c r="G188" s="0" t="n">
        <v>6362.929</v>
      </c>
      <c r="H188" s="0" t="n">
        <v>270.623</v>
      </c>
      <c r="I188" s="0" t="n">
        <v>994.909</v>
      </c>
      <c r="J188" s="0" t="n">
        <v>8598.02</v>
      </c>
      <c r="K188" s="0" t="n">
        <v>8291.94</v>
      </c>
      <c r="L188" s="0" t="n">
        <v>7968</v>
      </c>
      <c r="M188" s="0" t="n">
        <v>7940</v>
      </c>
      <c r="N188" s="0" t="n">
        <v>12</v>
      </c>
      <c r="O188" s="54" t="n">
        <f aca="false">YEAR(B188)</f>
        <v>2020</v>
      </c>
      <c r="P188" s="54" t="n">
        <f aca="false">IF(AND(E188&gt;=14400,K188&gt;0,L188&gt;0),1,0)</f>
        <v>1</v>
      </c>
      <c r="Q188" s="53" t="n">
        <f aca="false">IF(P188=1,F188/E188*MIN(L188/K188,1)*MIN(MAX(M188/L188,0),1),0)</f>
        <v>0.391458875155987</v>
      </c>
      <c r="R188" s="55" t="n">
        <f aca="false">IF(F188&gt;0,N188/(F188/3600),0)</f>
        <v>6.51234813565945</v>
      </c>
    </row>
    <row r="189" customFormat="false" ht="15" hidden="false" customHeight="false" outlineLevel="0" collapsed="false">
      <c r="A189" s="0" t="s">
        <v>258</v>
      </c>
      <c r="B189" s="52" t="n">
        <v>44024</v>
      </c>
      <c r="C189" s="0" t="n">
        <v>79434.857</v>
      </c>
      <c r="D189" s="0" t="n">
        <v>11031.39</v>
      </c>
      <c r="E189" s="0" t="n">
        <v>68403.467</v>
      </c>
      <c r="F189" s="0" t="n">
        <v>30690.506</v>
      </c>
      <c r="G189" s="0" t="n">
        <v>21835.488</v>
      </c>
      <c r="H189" s="0" t="n">
        <v>8855.018</v>
      </c>
      <c r="I189" s="0" t="n">
        <v>2872.861</v>
      </c>
      <c r="J189" s="0" t="n">
        <v>34840.1</v>
      </c>
      <c r="K189" s="0" t="n">
        <v>38696.7985833333</v>
      </c>
      <c r="L189" s="0" t="n">
        <v>27491</v>
      </c>
      <c r="M189" s="0" t="n">
        <v>27406</v>
      </c>
      <c r="N189" s="0" t="n">
        <v>12</v>
      </c>
      <c r="O189" s="54" t="n">
        <f aca="false">YEAR(B189)</f>
        <v>2020</v>
      </c>
      <c r="P189" s="54" t="n">
        <f aca="false">IF(AND(E189&gt;=14400,K189&gt;0,L189&gt;0),1,0)</f>
        <v>1</v>
      </c>
      <c r="Q189" s="53" t="n">
        <f aca="false">IF(P189=1,F189/E189*MIN(L189/K189,1)*MIN(MAX(M189/L189,0),1),0)</f>
        <v>0.31775804211278</v>
      </c>
      <c r="R189" s="55" t="n">
        <f aca="false">IF(F189&gt;0,N189/(F189/3600),0)</f>
        <v>1.40760142566564</v>
      </c>
    </row>
    <row r="190" customFormat="false" ht="15" hidden="false" customHeight="false" outlineLevel="0" collapsed="false">
      <c r="A190" s="0" t="s">
        <v>258</v>
      </c>
      <c r="B190" s="52" t="n">
        <v>44025</v>
      </c>
      <c r="C190" s="0" t="n">
        <v>82513.989</v>
      </c>
      <c r="D190" s="0" t="n">
        <v>10539.419</v>
      </c>
      <c r="E190" s="0" t="n">
        <v>71974.57</v>
      </c>
      <c r="F190" s="0" t="n">
        <v>61157.882</v>
      </c>
      <c r="G190" s="0" t="n">
        <v>50640.183</v>
      </c>
      <c r="H190" s="0" t="n">
        <v>10517.699</v>
      </c>
      <c r="I190" s="0" t="n">
        <v>7073.428</v>
      </c>
      <c r="J190" s="0" t="n">
        <v>3743.26</v>
      </c>
      <c r="K190" s="0" t="n">
        <v>75293.3393055556</v>
      </c>
      <c r="L190" s="0" t="n">
        <v>61338</v>
      </c>
      <c r="M190" s="0" t="n">
        <v>61145</v>
      </c>
      <c r="N190" s="0" t="n">
        <v>62</v>
      </c>
      <c r="O190" s="54" t="n">
        <f aca="false">YEAR(B190)</f>
        <v>2020</v>
      </c>
      <c r="P190" s="54" t="n">
        <f aca="false">IF(AND(E190&gt;=14400,K190&gt;0,L190&gt;0),1,0)</f>
        <v>1</v>
      </c>
      <c r="Q190" s="53" t="n">
        <f aca="false">IF(P190=1,F190/E190*MIN(L190/K190,1)*MIN(MAX(M190/L190,0),1),0)</f>
        <v>0.690045532101848</v>
      </c>
      <c r="R190" s="55" t="n">
        <f aca="false">IF(F190&gt;0,N190/(F190/3600),0)</f>
        <v>3.64957046746648</v>
      </c>
    </row>
    <row r="191" customFormat="false" ht="15" hidden="false" customHeight="false" outlineLevel="0" collapsed="false">
      <c r="A191" s="0" t="s">
        <v>258</v>
      </c>
      <c r="B191" s="52" t="n">
        <v>44026</v>
      </c>
      <c r="C191" s="0" t="n">
        <v>82407.937</v>
      </c>
      <c r="D191" s="0" t="n">
        <v>3406.347</v>
      </c>
      <c r="E191" s="0" t="n">
        <v>79001.59</v>
      </c>
      <c r="F191" s="0" t="n">
        <v>61390.755</v>
      </c>
      <c r="G191" s="0" t="n">
        <v>51884.202</v>
      </c>
      <c r="H191" s="0" t="n">
        <v>9506.553</v>
      </c>
      <c r="I191" s="0" t="n">
        <v>11612.746</v>
      </c>
      <c r="J191" s="0" t="n">
        <v>5998.089</v>
      </c>
      <c r="K191" s="0" t="n">
        <v>76738.44375</v>
      </c>
      <c r="L191" s="0" t="n">
        <v>63460</v>
      </c>
      <c r="M191" s="0" t="n">
        <v>63266</v>
      </c>
      <c r="N191" s="0" t="n">
        <v>66</v>
      </c>
      <c r="O191" s="54" t="n">
        <f aca="false">YEAR(B191)</f>
        <v>2020</v>
      </c>
      <c r="P191" s="54" t="n">
        <f aca="false">IF(AND(E191&gt;=14400,K191&gt;0,L191&gt;0),1,0)</f>
        <v>1</v>
      </c>
      <c r="Q191" s="53" t="n">
        <f aca="false">IF(P191=1,F191/E191*MIN(L191/K191,1)*MIN(MAX(M191/L191,0),1),0)</f>
        <v>0.640655460225547</v>
      </c>
      <c r="R191" s="55" t="n">
        <f aca="false">IF(F191&gt;0,N191/(F191/3600),0)</f>
        <v>3.87028959002052</v>
      </c>
    </row>
    <row r="192" customFormat="false" ht="15" hidden="false" customHeight="false" outlineLevel="0" collapsed="false">
      <c r="A192" s="0" t="s">
        <v>258</v>
      </c>
      <c r="B192" s="52" t="n">
        <v>44027</v>
      </c>
      <c r="C192" s="0" t="n">
        <v>81187.027</v>
      </c>
      <c r="D192" s="0" t="n">
        <v>8861.348</v>
      </c>
      <c r="E192" s="0" t="n">
        <v>72325.679</v>
      </c>
      <c r="F192" s="0" t="n">
        <v>61843.908</v>
      </c>
      <c r="G192" s="0" t="n">
        <v>49908.501</v>
      </c>
      <c r="H192" s="0" t="n">
        <v>11935.407</v>
      </c>
      <c r="I192" s="0" t="n">
        <v>8291.163</v>
      </c>
      <c r="J192" s="0" t="n">
        <v>2190.608</v>
      </c>
      <c r="K192" s="0" t="n">
        <v>76948.9463888889</v>
      </c>
      <c r="L192" s="0" t="n">
        <v>60692</v>
      </c>
      <c r="M192" s="0" t="n">
        <v>60460</v>
      </c>
      <c r="N192" s="0" t="n">
        <v>67</v>
      </c>
      <c r="O192" s="54" t="n">
        <f aca="false">YEAR(B192)</f>
        <v>2020</v>
      </c>
      <c r="P192" s="54" t="n">
        <f aca="false">IF(AND(E192&gt;=14400,K192&gt;0,L192&gt;0),1,0)</f>
        <v>1</v>
      </c>
      <c r="Q192" s="53" t="n">
        <f aca="false">IF(P192=1,F192/E192*MIN(L192/K192,1)*MIN(MAX(M192/L192,0),1),0)</f>
        <v>0.671846209165481</v>
      </c>
      <c r="R192" s="55" t="n">
        <f aca="false">IF(F192&gt;0,N192/(F192/3600),0)</f>
        <v>3.90014162753104</v>
      </c>
    </row>
    <row r="193" customFormat="false" ht="15" hidden="false" customHeight="false" outlineLevel="0" collapsed="false">
      <c r="A193" s="0" t="s">
        <v>258</v>
      </c>
      <c r="B193" s="52" t="n">
        <v>44028</v>
      </c>
      <c r="C193" s="0" t="n">
        <v>85928.007</v>
      </c>
      <c r="D193" s="0" t="n">
        <v>9171.639</v>
      </c>
      <c r="E193" s="0" t="n">
        <v>76756.368</v>
      </c>
      <c r="F193" s="0" t="n">
        <v>57808.405</v>
      </c>
      <c r="G193" s="0" t="n">
        <v>43620.004</v>
      </c>
      <c r="H193" s="0" t="n">
        <v>14188.401</v>
      </c>
      <c r="I193" s="0" t="n">
        <v>16973.741</v>
      </c>
      <c r="J193" s="0" t="n">
        <v>1974.222</v>
      </c>
      <c r="K193" s="0" t="n">
        <v>72481.7825833333</v>
      </c>
      <c r="L193" s="0" t="n">
        <v>54482</v>
      </c>
      <c r="M193" s="0" t="n">
        <v>54266</v>
      </c>
      <c r="N193" s="0" t="n">
        <v>71</v>
      </c>
      <c r="O193" s="54" t="n">
        <f aca="false">YEAR(B193)</f>
        <v>2020</v>
      </c>
      <c r="P193" s="54" t="n">
        <f aca="false">IF(AND(E193&gt;=14400,K193&gt;0,L193&gt;0),1,0)</f>
        <v>1</v>
      </c>
      <c r="Q193" s="53" t="n">
        <f aca="false">IF(P193=1,F193/E193*MIN(L193/K193,1)*MIN(MAX(M193/L193,0),1),0)</f>
        <v>0.563865489829274</v>
      </c>
      <c r="R193" s="55" t="n">
        <f aca="false">IF(F193&gt;0,N193/(F193/3600),0)</f>
        <v>4.42150237495741</v>
      </c>
    </row>
    <row r="194" customFormat="false" ht="15" hidden="false" customHeight="false" outlineLevel="0" collapsed="false">
      <c r="A194" s="0" t="s">
        <v>258</v>
      </c>
      <c r="B194" s="52" t="n">
        <v>44029</v>
      </c>
      <c r="C194" s="0" t="n">
        <v>81179.639</v>
      </c>
      <c r="D194" s="0" t="n">
        <v>3351.669</v>
      </c>
      <c r="E194" s="0" t="n">
        <v>77827.97</v>
      </c>
      <c r="F194" s="0" t="n">
        <v>64386.032</v>
      </c>
      <c r="G194" s="0" t="n">
        <v>53362.65</v>
      </c>
      <c r="H194" s="0" t="n">
        <v>11023.382</v>
      </c>
      <c r="I194" s="0" t="n">
        <v>13275.797</v>
      </c>
      <c r="J194" s="0" t="n">
        <v>166.141</v>
      </c>
      <c r="K194" s="0" t="n">
        <v>80482.54</v>
      </c>
      <c r="L194" s="0" t="n">
        <v>65209</v>
      </c>
      <c r="M194" s="0" t="n">
        <v>65005</v>
      </c>
      <c r="N194" s="0" t="n">
        <v>74</v>
      </c>
      <c r="O194" s="54" t="n">
        <f aca="false">YEAR(B194)</f>
        <v>2020</v>
      </c>
      <c r="P194" s="54" t="n">
        <f aca="false">IF(AND(E194&gt;=14400,K194&gt;0,L194&gt;0),1,0)</f>
        <v>1</v>
      </c>
      <c r="Q194" s="53" t="n">
        <f aca="false">IF(P194=1,F194/E194*MIN(L194/K194,1)*MIN(MAX(M194/L194,0),1),0)</f>
        <v>0.668191653977356</v>
      </c>
      <c r="R194" s="55" t="n">
        <f aca="false">IF(F194&gt;0,N194/(F194/3600),0)</f>
        <v>4.13754337276135</v>
      </c>
    </row>
    <row r="195" customFormat="false" ht="15" hidden="false" customHeight="false" outlineLevel="0" collapsed="false">
      <c r="A195" s="0" t="s">
        <v>258</v>
      </c>
      <c r="B195" s="52" t="n">
        <v>44030</v>
      </c>
      <c r="C195" s="0" t="n">
        <v>29031.48</v>
      </c>
      <c r="D195" s="0" t="n">
        <v>6894.759</v>
      </c>
      <c r="E195" s="0" t="n">
        <v>22136.721</v>
      </c>
      <c r="F195" s="0" t="n">
        <v>10726.281</v>
      </c>
      <c r="G195" s="0" t="n">
        <v>10014.281</v>
      </c>
      <c r="H195" s="0" t="n">
        <v>712</v>
      </c>
      <c r="I195" s="0" t="n">
        <v>6056.647</v>
      </c>
      <c r="J195" s="0" t="n">
        <v>5353.793</v>
      </c>
      <c r="K195" s="0" t="n">
        <v>13251.2254861111</v>
      </c>
      <c r="L195" s="0" t="n">
        <v>12366</v>
      </c>
      <c r="M195" s="0" t="n">
        <v>12298</v>
      </c>
      <c r="N195" s="0" t="n">
        <v>22</v>
      </c>
      <c r="O195" s="54" t="n">
        <f aca="false">YEAR(B195)</f>
        <v>2020</v>
      </c>
      <c r="P195" s="54" t="n">
        <f aca="false">IF(AND(E195&gt;=14400,K195&gt;0,L195&gt;0),1,0)</f>
        <v>1</v>
      </c>
      <c r="Q195" s="53" t="n">
        <f aca="false">IF(P195=1,F195/E195*MIN(L195/K195,1)*MIN(MAX(M195/L195,0),1),0)</f>
        <v>0.449691131991535</v>
      </c>
      <c r="R195" s="55" t="n">
        <f aca="false">IF(F195&gt;0,N195/(F195/3600),0)</f>
        <v>7.38373346735928</v>
      </c>
    </row>
    <row r="196" customFormat="false" ht="15" hidden="false" customHeight="false" outlineLevel="0" collapsed="false">
      <c r="A196" s="0" t="s">
        <v>258</v>
      </c>
      <c r="B196" s="52" t="n">
        <v>44031</v>
      </c>
      <c r="C196" s="0" t="n">
        <v>19500.179</v>
      </c>
      <c r="D196" s="0" t="n">
        <v>17370.379</v>
      </c>
      <c r="E196" s="0" t="n">
        <v>2129.8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2129.8</v>
      </c>
      <c r="K196" s="0" t="n">
        <v>0</v>
      </c>
      <c r="L196" s="0" t="n">
        <v>0</v>
      </c>
      <c r="M196" s="0" t="n">
        <v>0</v>
      </c>
      <c r="N196" s="0" t="n">
        <v>0</v>
      </c>
      <c r="O196" s="54" t="n">
        <f aca="false">YEAR(B196)</f>
        <v>2020</v>
      </c>
      <c r="P196" s="54" t="n">
        <f aca="false">IF(AND(E196&gt;=14400,K196&gt;0,L196&gt;0),1,0)</f>
        <v>0</v>
      </c>
      <c r="Q196" s="53" t="n">
        <f aca="false">IF(P196=1,F196/E196*MIN(L196/K196,1)*MIN(MAX(M196/L196,0),1),0)</f>
        <v>0</v>
      </c>
      <c r="R196" s="55" t="n">
        <f aca="false">IF(F196&gt;0,N196/(F196/3600),0)</f>
        <v>0</v>
      </c>
    </row>
    <row r="197" customFormat="false" ht="15" hidden="false" customHeight="false" outlineLevel="0" collapsed="false">
      <c r="A197" s="0" t="s">
        <v>258</v>
      </c>
      <c r="B197" s="52" t="n">
        <v>44032</v>
      </c>
      <c r="C197" s="0" t="n">
        <v>18414.548</v>
      </c>
      <c r="D197" s="0" t="n">
        <v>925.79</v>
      </c>
      <c r="E197" s="0" t="n">
        <v>17488.758</v>
      </c>
      <c r="F197" s="0" t="n">
        <v>13663.748</v>
      </c>
      <c r="G197" s="0" t="n">
        <v>9343.49</v>
      </c>
      <c r="H197" s="0" t="n">
        <v>4320.258</v>
      </c>
      <c r="I197" s="0" t="n">
        <v>3643.53</v>
      </c>
      <c r="J197" s="0" t="n">
        <v>181.48</v>
      </c>
      <c r="K197" s="0" t="n">
        <v>17079.685</v>
      </c>
      <c r="L197" s="0" t="n">
        <v>11229</v>
      </c>
      <c r="M197" s="0" t="n">
        <v>11075</v>
      </c>
      <c r="N197" s="0" t="n">
        <v>15</v>
      </c>
      <c r="O197" s="54" t="n">
        <f aca="false">YEAR(B197)</f>
        <v>2020</v>
      </c>
      <c r="P197" s="54" t="n">
        <f aca="false">IF(AND(E197&gt;=14400,K197&gt;0,L197&gt;0),1,0)</f>
        <v>1</v>
      </c>
      <c r="Q197" s="53" t="n">
        <f aca="false">IF(P197=1,F197/E197*MIN(L197/K197,1)*MIN(MAX(M197/L197,0),1),0)</f>
        <v>0.506611161295731</v>
      </c>
      <c r="R197" s="55" t="n">
        <f aca="false">IF(F197&gt;0,N197/(F197/3600),0)</f>
        <v>3.95206351873586</v>
      </c>
    </row>
    <row r="198" customFormat="false" ht="15" hidden="false" customHeight="false" outlineLevel="0" collapsed="false">
      <c r="A198" s="0" t="s">
        <v>258</v>
      </c>
      <c r="B198" s="52" t="n">
        <v>44033</v>
      </c>
      <c r="C198" s="0" t="n">
        <v>86593.745</v>
      </c>
      <c r="D198" s="0" t="n">
        <v>8945.8</v>
      </c>
      <c r="E198" s="0" t="n">
        <v>77647.945</v>
      </c>
      <c r="F198" s="0" t="n">
        <v>54336.212</v>
      </c>
      <c r="G198" s="0" t="n">
        <v>42235.053</v>
      </c>
      <c r="H198" s="0" t="n">
        <v>12101.159</v>
      </c>
      <c r="I198" s="0" t="n">
        <v>16771.185</v>
      </c>
      <c r="J198" s="0" t="n">
        <v>6540.548</v>
      </c>
      <c r="K198" s="0" t="n">
        <v>67643.4809722222</v>
      </c>
      <c r="L198" s="0" t="n">
        <v>52451</v>
      </c>
      <c r="M198" s="0" t="n">
        <v>52082</v>
      </c>
      <c r="N198" s="0" t="n">
        <v>83</v>
      </c>
      <c r="O198" s="54" t="n">
        <f aca="false">YEAR(B198)</f>
        <v>2020</v>
      </c>
      <c r="P198" s="54" t="n">
        <f aca="false">IF(AND(E198&gt;=14400,K198&gt;0,L198&gt;0),1,0)</f>
        <v>1</v>
      </c>
      <c r="Q198" s="53" t="n">
        <f aca="false">IF(P198=1,F198/E198*MIN(L198/K198,1)*MIN(MAX(M198/L198,0),1),0)</f>
        <v>0.538791948304375</v>
      </c>
      <c r="R198" s="55" t="n">
        <f aca="false">IF(F198&gt;0,N198/(F198/3600),0)</f>
        <v>5.49909515223476</v>
      </c>
    </row>
    <row r="199" customFormat="false" ht="15" hidden="false" customHeight="false" outlineLevel="0" collapsed="false">
      <c r="A199" s="0" t="s">
        <v>258</v>
      </c>
      <c r="B199" s="52" t="n">
        <v>44034</v>
      </c>
      <c r="C199" s="0" t="n">
        <v>86223.188</v>
      </c>
      <c r="D199" s="0" t="n">
        <v>10977.287</v>
      </c>
      <c r="E199" s="0" t="n">
        <v>75245.901</v>
      </c>
      <c r="F199" s="0" t="n">
        <v>61508.9</v>
      </c>
      <c r="G199" s="0" t="n">
        <v>53694.004</v>
      </c>
      <c r="H199" s="0" t="n">
        <v>7814.896</v>
      </c>
      <c r="I199" s="0" t="n">
        <v>9445.753</v>
      </c>
      <c r="J199" s="0" t="n">
        <v>4291.248</v>
      </c>
      <c r="K199" s="0" t="n">
        <v>76816.6880555556</v>
      </c>
      <c r="L199" s="0" t="n">
        <v>66727</v>
      </c>
      <c r="M199" s="0" t="n">
        <v>66534</v>
      </c>
      <c r="N199" s="0" t="n">
        <v>77</v>
      </c>
      <c r="O199" s="54" t="n">
        <f aca="false">YEAR(B199)</f>
        <v>2020</v>
      </c>
      <c r="P199" s="54" t="n">
        <f aca="false">IF(AND(E199&gt;=14400,K199&gt;0,L199&gt;0),1,0)</f>
        <v>1</v>
      </c>
      <c r="Q199" s="53" t="n">
        <f aca="false">IF(P199=1,F199/E199*MIN(L199/K199,1)*MIN(MAX(M199/L199,0),1),0)</f>
        <v>0.708016157419271</v>
      </c>
      <c r="R199" s="55" t="n">
        <f aca="false">IF(F199&gt;0,N199/(F199/3600),0)</f>
        <v>4.50666488914612</v>
      </c>
    </row>
    <row r="200" customFormat="false" ht="15" hidden="false" customHeight="false" outlineLevel="0" collapsed="false">
      <c r="A200" s="0" t="s">
        <v>258</v>
      </c>
      <c r="B200" s="52" t="n">
        <v>44035</v>
      </c>
      <c r="C200" s="0" t="n">
        <v>83463.656</v>
      </c>
      <c r="D200" s="0" t="n">
        <v>4852.486</v>
      </c>
      <c r="E200" s="0" t="n">
        <v>78611.17</v>
      </c>
      <c r="F200" s="0" t="n">
        <v>68026.036</v>
      </c>
      <c r="G200" s="0" t="n">
        <v>55334.478</v>
      </c>
      <c r="H200" s="0" t="n">
        <v>12691.558</v>
      </c>
      <c r="I200" s="0" t="n">
        <v>10003.158</v>
      </c>
      <c r="J200" s="0" t="n">
        <v>581.976</v>
      </c>
      <c r="K200" s="0" t="n">
        <v>84979.681875</v>
      </c>
      <c r="L200" s="0" t="n">
        <v>72706</v>
      </c>
      <c r="M200" s="0" t="n">
        <v>72405</v>
      </c>
      <c r="N200" s="0" t="n">
        <v>50</v>
      </c>
      <c r="O200" s="54" t="n">
        <f aca="false">YEAR(B200)</f>
        <v>2020</v>
      </c>
      <c r="P200" s="54" t="n">
        <f aca="false">IF(AND(E200&gt;=14400,K200&gt;0,L200&gt;0),1,0)</f>
        <v>1</v>
      </c>
      <c r="Q200" s="53" t="n">
        <f aca="false">IF(P200=1,F200/E200*MIN(L200/K200,1)*MIN(MAX(M200/L200,0),1),0)</f>
        <v>0.737300216446341</v>
      </c>
      <c r="R200" s="55" t="n">
        <f aca="false">IF(F200&gt;0,N200/(F200/3600),0)</f>
        <v>2.64604569932606</v>
      </c>
    </row>
    <row r="201" customFormat="false" ht="15" hidden="false" customHeight="false" outlineLevel="0" collapsed="false">
      <c r="A201" s="0" t="s">
        <v>258</v>
      </c>
      <c r="B201" s="52" t="n">
        <v>44036</v>
      </c>
      <c r="C201" s="0" t="n">
        <v>78792.745</v>
      </c>
      <c r="D201" s="0" t="n">
        <v>12331.211</v>
      </c>
      <c r="E201" s="0" t="n">
        <v>66461.534</v>
      </c>
      <c r="F201" s="0" t="n">
        <v>56299.117</v>
      </c>
      <c r="G201" s="0" t="n">
        <v>45212.297</v>
      </c>
      <c r="H201" s="0" t="n">
        <v>11086.82</v>
      </c>
      <c r="I201" s="0" t="n">
        <v>6394.918</v>
      </c>
      <c r="J201" s="0" t="n">
        <v>3767.499</v>
      </c>
      <c r="K201" s="0" t="n">
        <v>70373.89625</v>
      </c>
      <c r="L201" s="0" t="n">
        <v>56362</v>
      </c>
      <c r="M201" s="0" t="n">
        <v>56131</v>
      </c>
      <c r="N201" s="0" t="n">
        <v>49</v>
      </c>
      <c r="O201" s="54" t="n">
        <f aca="false">YEAR(B201)</f>
        <v>2020</v>
      </c>
      <c r="P201" s="54" t="n">
        <f aca="false">IF(AND(E201&gt;=14400,K201&gt;0,L201&gt;0),1,0)</f>
        <v>1</v>
      </c>
      <c r="Q201" s="53" t="n">
        <f aca="false">IF(P201=1,F201/E201*MIN(L201/K201,1)*MIN(MAX(M201/L201,0),1),0)</f>
        <v>0.675650971282125</v>
      </c>
      <c r="R201" s="55" t="n">
        <f aca="false">IF(F201&gt;0,N201/(F201/3600),0)</f>
        <v>3.13326406167258</v>
      </c>
    </row>
    <row r="202" customFormat="false" ht="15" hidden="false" customHeight="false" outlineLevel="0" collapsed="false">
      <c r="A202" s="0" t="s">
        <v>258</v>
      </c>
      <c r="B202" s="52" t="n">
        <v>44038</v>
      </c>
      <c r="C202" s="0" t="n">
        <v>69159.475</v>
      </c>
      <c r="D202" s="0" t="n">
        <v>45384.271</v>
      </c>
      <c r="E202" s="0" t="n">
        <v>23775.204</v>
      </c>
      <c r="F202" s="0" t="n">
        <v>7707.884</v>
      </c>
      <c r="G202" s="0" t="n">
        <v>435.344</v>
      </c>
      <c r="H202" s="0" t="n">
        <v>7272.54</v>
      </c>
      <c r="I202" s="0" t="n">
        <v>309.482</v>
      </c>
      <c r="J202" s="0" t="n">
        <v>15757.838</v>
      </c>
      <c r="K202" s="0" t="n">
        <v>9202.124375</v>
      </c>
      <c r="L202" s="0" t="n">
        <v>409</v>
      </c>
      <c r="M202" s="0" t="n">
        <v>309</v>
      </c>
      <c r="N202" s="0" t="n">
        <v>6</v>
      </c>
      <c r="O202" s="54" t="n">
        <f aca="false">YEAR(B202)</f>
        <v>2020</v>
      </c>
      <c r="P202" s="54" t="n">
        <f aca="false">IF(AND(E202&gt;=14400,K202&gt;0,L202&gt;0),1,0)</f>
        <v>1</v>
      </c>
      <c r="Q202" s="53" t="n">
        <f aca="false">IF(P202=1,F202/E202*MIN(L202/K202,1)*MIN(MAX(M202/L202,0),1),0)</f>
        <v>0.0108863250767454</v>
      </c>
      <c r="R202" s="55" t="n">
        <f aca="false">IF(F202&gt;0,N202/(F202/3600),0)</f>
        <v>2.80232551501813</v>
      </c>
    </row>
    <row r="203" customFormat="false" ht="15" hidden="false" customHeight="false" outlineLevel="0" collapsed="false">
      <c r="A203" s="0" t="s">
        <v>258</v>
      </c>
      <c r="B203" s="52" t="n">
        <v>44039</v>
      </c>
      <c r="C203" s="0" t="n">
        <v>85640.324</v>
      </c>
      <c r="D203" s="0" t="n">
        <v>12794.36</v>
      </c>
      <c r="E203" s="0" t="n">
        <v>72845.964</v>
      </c>
      <c r="F203" s="0" t="n">
        <v>54836.849</v>
      </c>
      <c r="G203" s="0" t="n">
        <v>41061.919</v>
      </c>
      <c r="H203" s="0" t="n">
        <v>13774.93</v>
      </c>
      <c r="I203" s="0" t="n">
        <v>13867.822</v>
      </c>
      <c r="J203" s="0" t="n">
        <v>4141.293</v>
      </c>
      <c r="K203" s="0" t="n">
        <v>62928.4477083333</v>
      </c>
      <c r="L203" s="0" t="n">
        <v>46898</v>
      </c>
      <c r="M203" s="0" t="n">
        <v>46613</v>
      </c>
      <c r="N203" s="0" t="n">
        <v>94</v>
      </c>
      <c r="O203" s="54" t="n">
        <f aca="false">YEAR(B203)</f>
        <v>2020</v>
      </c>
      <c r="P203" s="54" t="n">
        <f aca="false">IF(AND(E203&gt;=14400,K203&gt;0,L203&gt;0),1,0)</f>
        <v>1</v>
      </c>
      <c r="Q203" s="53" t="n">
        <f aca="false">IF(P203=1,F203/E203*MIN(L203/K203,1)*MIN(MAX(M203/L203,0),1),0)</f>
        <v>0.557605479467327</v>
      </c>
      <c r="R203" s="55" t="n">
        <f aca="false">IF(F203&gt;0,N203/(F203/3600),0)</f>
        <v>6.17103291255849</v>
      </c>
    </row>
    <row r="204" customFormat="false" ht="15" hidden="false" customHeight="false" outlineLevel="0" collapsed="false">
      <c r="A204" s="0" t="s">
        <v>258</v>
      </c>
      <c r="B204" s="52" t="n">
        <v>44040</v>
      </c>
      <c r="C204" s="0" t="n">
        <v>107180.885</v>
      </c>
      <c r="D204" s="0" t="n">
        <v>8616.791</v>
      </c>
      <c r="E204" s="0" t="n">
        <v>98564.094</v>
      </c>
      <c r="F204" s="0" t="n">
        <v>60781.881</v>
      </c>
      <c r="G204" s="0" t="n">
        <v>52669.217</v>
      </c>
      <c r="H204" s="0" t="n">
        <v>8112.664</v>
      </c>
      <c r="I204" s="0" t="n">
        <v>5367.164</v>
      </c>
      <c r="J204" s="0" t="n">
        <v>32415.049</v>
      </c>
      <c r="K204" s="0" t="n">
        <v>75604.6282638889</v>
      </c>
      <c r="L204" s="0" t="n">
        <v>65532</v>
      </c>
      <c r="M204" s="0" t="n">
        <v>65338</v>
      </c>
      <c r="N204" s="0" t="n">
        <v>40</v>
      </c>
      <c r="O204" s="54" t="n">
        <f aca="false">YEAR(B204)</f>
        <v>2020</v>
      </c>
      <c r="P204" s="54" t="n">
        <f aca="false">IF(AND(E204&gt;=14400,K204&gt;0,L204&gt;0),1,0)</f>
        <v>1</v>
      </c>
      <c r="Q204" s="53" t="n">
        <f aca="false">IF(P204=1,F204/E204*MIN(L204/K204,1)*MIN(MAX(M204/L204,0),1),0)</f>
        <v>0.53293329777638</v>
      </c>
      <c r="R204" s="55" t="n">
        <f aca="false">IF(F204&gt;0,N204/(F204/3600),0)</f>
        <v>2.36912707587973</v>
      </c>
    </row>
    <row r="205" customFormat="false" ht="15" hidden="false" customHeight="false" outlineLevel="0" collapsed="false">
      <c r="A205" s="0" t="s">
        <v>258</v>
      </c>
      <c r="B205" s="52" t="n">
        <v>44041</v>
      </c>
      <c r="C205" s="0" t="n">
        <v>65667.816</v>
      </c>
      <c r="D205" s="0" t="n">
        <v>3890.967</v>
      </c>
      <c r="E205" s="0" t="n">
        <v>61776.849</v>
      </c>
      <c r="F205" s="0" t="n">
        <v>49017.231</v>
      </c>
      <c r="G205" s="0" t="n">
        <v>42038.332</v>
      </c>
      <c r="H205" s="0" t="n">
        <v>6978.899</v>
      </c>
      <c r="I205" s="0" t="n">
        <v>4277.297</v>
      </c>
      <c r="J205" s="0" t="n">
        <v>8482.321</v>
      </c>
      <c r="K205" s="0" t="n">
        <v>61178.7289583333</v>
      </c>
      <c r="L205" s="0" t="n">
        <v>52343</v>
      </c>
      <c r="M205" s="0" t="n">
        <v>52140</v>
      </c>
      <c r="N205" s="0" t="n">
        <v>20</v>
      </c>
      <c r="O205" s="54" t="n">
        <f aca="false">YEAR(B205)</f>
        <v>2020</v>
      </c>
      <c r="P205" s="54" t="n">
        <f aca="false">IF(AND(E205&gt;=14400,K205&gt;0,L205&gt;0),1,0)</f>
        <v>1</v>
      </c>
      <c r="Q205" s="53" t="n">
        <f aca="false">IF(P205=1,F205/E205*MIN(L205/K205,1)*MIN(MAX(M205/L205,0),1),0)</f>
        <v>0.676228699131062</v>
      </c>
      <c r="R205" s="55" t="n">
        <f aca="false">IF(F205&gt;0,N205/(F205/3600),0)</f>
        <v>1.46887122204027</v>
      </c>
    </row>
    <row r="206" customFormat="false" ht="15" hidden="false" customHeight="false" outlineLevel="0" collapsed="false">
      <c r="A206" s="0" t="s">
        <v>258</v>
      </c>
      <c r="B206" s="52" t="n">
        <v>44042</v>
      </c>
      <c r="C206" s="0" t="n">
        <v>84273.149</v>
      </c>
      <c r="D206" s="0" t="n">
        <v>6457.497</v>
      </c>
      <c r="E206" s="0" t="n">
        <v>77815.652</v>
      </c>
      <c r="F206" s="0" t="n">
        <v>55759.805</v>
      </c>
      <c r="G206" s="0" t="n">
        <v>42520.644</v>
      </c>
      <c r="H206" s="0" t="n">
        <v>13239.161</v>
      </c>
      <c r="I206" s="0" t="n">
        <v>15836.207</v>
      </c>
      <c r="J206" s="0" t="n">
        <v>6219.64</v>
      </c>
      <c r="K206" s="0" t="n">
        <v>69426.4263888889</v>
      </c>
      <c r="L206" s="0" t="n">
        <v>52791</v>
      </c>
      <c r="M206" s="0" t="n">
        <v>52621</v>
      </c>
      <c r="N206" s="0" t="n">
        <v>54</v>
      </c>
      <c r="O206" s="54" t="n">
        <f aca="false">YEAR(B206)</f>
        <v>2020</v>
      </c>
      <c r="P206" s="54" t="n">
        <f aca="false">IF(AND(E206&gt;=14400,K206&gt;0,L206&gt;0),1,0)</f>
        <v>1</v>
      </c>
      <c r="Q206" s="53" t="n">
        <f aca="false">IF(P206=1,F206/E206*MIN(L206/K206,1)*MIN(MAX(M206/L206,0),1),0)</f>
        <v>0.543110965661228</v>
      </c>
      <c r="R206" s="55" t="n">
        <f aca="false">IF(F206&gt;0,N206/(F206/3600),0)</f>
        <v>3.48638235015348</v>
      </c>
    </row>
    <row r="207" customFormat="false" ht="15" hidden="false" customHeight="false" outlineLevel="0" collapsed="false">
      <c r="A207" s="0" t="s">
        <v>258</v>
      </c>
      <c r="B207" s="52" t="n">
        <v>44043</v>
      </c>
      <c r="C207" s="0" t="n">
        <v>84070.248</v>
      </c>
      <c r="D207" s="0" t="n">
        <v>3024.22</v>
      </c>
      <c r="E207" s="0" t="n">
        <v>81046.028</v>
      </c>
      <c r="F207" s="0" t="n">
        <v>61298.965</v>
      </c>
      <c r="G207" s="0" t="n">
        <v>50520.646</v>
      </c>
      <c r="H207" s="0" t="n">
        <v>10778.319</v>
      </c>
      <c r="I207" s="0" t="n">
        <v>19672.614</v>
      </c>
      <c r="J207" s="0" t="n">
        <v>74.449</v>
      </c>
      <c r="K207" s="0" t="n">
        <v>76457.493125</v>
      </c>
      <c r="L207" s="0" t="n">
        <v>61575</v>
      </c>
      <c r="M207" s="0" t="n">
        <v>61334</v>
      </c>
      <c r="N207" s="0" t="n">
        <v>63</v>
      </c>
      <c r="O207" s="54" t="n">
        <f aca="false">YEAR(B207)</f>
        <v>2020</v>
      </c>
      <c r="P207" s="54" t="n">
        <f aca="false">IF(AND(E207&gt;=14400,K207&gt;0,L207&gt;0),1,0)</f>
        <v>1</v>
      </c>
      <c r="Q207" s="53" t="n">
        <f aca="false">IF(P207=1,F207/E207*MIN(L207/K207,1)*MIN(MAX(M207/L207,0),1),0)</f>
        <v>0.606740019209314</v>
      </c>
      <c r="R207" s="55" t="n">
        <f aca="false">IF(F207&gt;0,N207/(F207/3600),0)</f>
        <v>3.69989933761524</v>
      </c>
    </row>
    <row r="208" customFormat="false" ht="15" hidden="false" customHeight="false" outlineLevel="0" collapsed="false">
      <c r="A208" s="0" t="s">
        <v>258</v>
      </c>
      <c r="B208" s="52" t="n">
        <v>44044</v>
      </c>
      <c r="C208" s="0" t="n">
        <v>38539.119</v>
      </c>
      <c r="D208" s="0" t="n">
        <v>20460.521</v>
      </c>
      <c r="E208" s="0" t="n">
        <v>18078.598</v>
      </c>
      <c r="F208" s="0" t="n">
        <v>8057.56</v>
      </c>
      <c r="G208" s="0" t="n">
        <v>7433.771</v>
      </c>
      <c r="H208" s="0" t="n">
        <v>623.789</v>
      </c>
      <c r="I208" s="0" t="n">
        <v>2561.08</v>
      </c>
      <c r="J208" s="0" t="n">
        <v>7459.958</v>
      </c>
      <c r="K208" s="0" t="n">
        <v>10071.95</v>
      </c>
      <c r="L208" s="0" t="n">
        <v>9303</v>
      </c>
      <c r="M208" s="0" t="n">
        <v>9268</v>
      </c>
      <c r="N208" s="0" t="n">
        <v>11</v>
      </c>
      <c r="O208" s="54" t="n">
        <f aca="false">YEAR(B208)</f>
        <v>2020</v>
      </c>
      <c r="P208" s="54" t="n">
        <f aca="false">IF(AND(E208&gt;=14400,K208&gt;0,L208&gt;0),1,0)</f>
        <v>1</v>
      </c>
      <c r="Q208" s="53" t="n">
        <f aca="false">IF(P208=1,F208/E208*MIN(L208/K208,1)*MIN(MAX(M208/L208,0),1),0)</f>
        <v>0.410120298045236</v>
      </c>
      <c r="R208" s="55" t="n">
        <f aca="false">IF(F208&gt;0,N208/(F208/3600),0)</f>
        <v>4.91463917116348</v>
      </c>
    </row>
    <row r="209" customFormat="false" ht="15" hidden="false" customHeight="false" outlineLevel="0" collapsed="false">
      <c r="A209" s="0" t="s">
        <v>258</v>
      </c>
      <c r="B209" s="52" t="n">
        <v>44045</v>
      </c>
      <c r="C209" s="0" t="n">
        <v>77915.426</v>
      </c>
      <c r="D209" s="0" t="n">
        <v>7066.108</v>
      </c>
      <c r="E209" s="0" t="n">
        <v>70849.318</v>
      </c>
      <c r="F209" s="0" t="n">
        <v>30985.322</v>
      </c>
      <c r="G209" s="0" t="n">
        <v>27581.059</v>
      </c>
      <c r="H209" s="0" t="n">
        <v>3404.263</v>
      </c>
      <c r="I209" s="0" t="n">
        <v>2601.88</v>
      </c>
      <c r="J209" s="0" t="n">
        <v>37262.116</v>
      </c>
      <c r="K209" s="0" t="n">
        <v>38731.6525</v>
      </c>
      <c r="L209" s="0" t="n">
        <v>34369</v>
      </c>
      <c r="M209" s="0" t="n">
        <v>34294</v>
      </c>
      <c r="N209" s="0" t="n">
        <v>12</v>
      </c>
      <c r="O209" s="54" t="n">
        <f aca="false">YEAR(B209)</f>
        <v>2020</v>
      </c>
      <c r="P209" s="54" t="n">
        <f aca="false">IF(AND(E209&gt;=14400,K209&gt;0,L209&gt;0),1,0)</f>
        <v>1</v>
      </c>
      <c r="Q209" s="53" t="n">
        <f aca="false">IF(P209=1,F209/E209*MIN(L209/K209,1)*MIN(MAX(M209/L209,0),1),0)</f>
        <v>0.387233085292367</v>
      </c>
      <c r="R209" s="55" t="n">
        <f aca="false">IF(F209&gt;0,N209/(F209/3600),0)</f>
        <v>1.39420852234487</v>
      </c>
    </row>
    <row r="210" customFormat="false" ht="15" hidden="false" customHeight="false" outlineLevel="0" collapsed="false">
      <c r="A210" s="0" t="s">
        <v>258</v>
      </c>
      <c r="B210" s="52" t="n">
        <v>44046</v>
      </c>
      <c r="C210" s="0" t="n">
        <v>87476.506</v>
      </c>
      <c r="D210" s="0" t="n">
        <v>10079.94</v>
      </c>
      <c r="E210" s="0" t="n">
        <v>77396.566</v>
      </c>
      <c r="F210" s="0" t="n">
        <v>61602.889</v>
      </c>
      <c r="G210" s="0" t="n">
        <v>45236.11</v>
      </c>
      <c r="H210" s="0" t="n">
        <v>16366.779</v>
      </c>
      <c r="I210" s="0" t="n">
        <v>12847.429</v>
      </c>
      <c r="J210" s="0" t="n">
        <v>2946.248</v>
      </c>
      <c r="K210" s="0" t="n">
        <v>77000.8321527778</v>
      </c>
      <c r="L210" s="0" t="n">
        <v>56211</v>
      </c>
      <c r="M210" s="0" t="n">
        <v>55993</v>
      </c>
      <c r="N210" s="0" t="n">
        <v>101</v>
      </c>
      <c r="O210" s="54" t="n">
        <f aca="false">YEAR(B210)</f>
        <v>2020</v>
      </c>
      <c r="P210" s="54" t="n">
        <f aca="false">IF(AND(E210&gt;=14400,K210&gt;0,L210&gt;0),1,0)</f>
        <v>1</v>
      </c>
      <c r="Q210" s="53" t="n">
        <f aca="false">IF(P210=1,F210/E210*MIN(L210/K210,1)*MIN(MAX(M210/L210,0),1),0)</f>
        <v>0.578785584746805</v>
      </c>
      <c r="R210" s="55" t="n">
        <f aca="false">IF(F210&gt;0,N210/(F210/3600),0)</f>
        <v>5.90232058759452</v>
      </c>
    </row>
    <row r="211" customFormat="false" ht="15" hidden="false" customHeight="false" outlineLevel="0" collapsed="false">
      <c r="A211" s="0" t="s">
        <v>258</v>
      </c>
      <c r="B211" s="52" t="n">
        <v>44047</v>
      </c>
      <c r="C211" s="0" t="n">
        <v>85276.727</v>
      </c>
      <c r="D211" s="0" t="n">
        <v>3678.5</v>
      </c>
      <c r="E211" s="0" t="n">
        <v>81598.227</v>
      </c>
      <c r="F211" s="0" t="n">
        <v>68689.135</v>
      </c>
      <c r="G211" s="0" t="n">
        <v>61816.046</v>
      </c>
      <c r="H211" s="0" t="n">
        <v>6873.089</v>
      </c>
      <c r="I211" s="0" t="n">
        <v>11567.153</v>
      </c>
      <c r="J211" s="0" t="n">
        <v>1341.939</v>
      </c>
      <c r="K211" s="0" t="n">
        <v>85579.2271527778</v>
      </c>
      <c r="L211" s="0" t="n">
        <v>76531</v>
      </c>
      <c r="M211" s="0" t="n">
        <v>76345</v>
      </c>
      <c r="N211" s="0" t="n">
        <v>134</v>
      </c>
      <c r="O211" s="54" t="n">
        <f aca="false">YEAR(B211)</f>
        <v>2020</v>
      </c>
      <c r="P211" s="54" t="n">
        <f aca="false">IF(AND(E211&gt;=14400,K211&gt;0,L211&gt;0),1,0)</f>
        <v>1</v>
      </c>
      <c r="Q211" s="53" t="n">
        <f aca="false">IF(P211=1,F211/E211*MIN(L211/K211,1)*MIN(MAX(M211/L211,0),1),0)</f>
        <v>0.750964771528942</v>
      </c>
      <c r="R211" s="55" t="n">
        <f aca="false">IF(F211&gt;0,N211/(F211/3600),0)</f>
        <v>7.02294474955901</v>
      </c>
    </row>
    <row r="212" customFormat="false" ht="15" hidden="false" customHeight="false" outlineLevel="0" collapsed="false">
      <c r="A212" s="0" t="s">
        <v>258</v>
      </c>
      <c r="B212" s="52" t="n">
        <v>44048</v>
      </c>
      <c r="C212" s="0" t="n">
        <v>87308.339</v>
      </c>
      <c r="D212" s="0" t="n">
        <v>9193.252</v>
      </c>
      <c r="E212" s="0" t="n">
        <v>78115.087</v>
      </c>
      <c r="F212" s="0" t="n">
        <v>67654.317</v>
      </c>
      <c r="G212" s="0" t="n">
        <v>61701.815</v>
      </c>
      <c r="H212" s="0" t="n">
        <v>5952.502</v>
      </c>
      <c r="I212" s="0" t="n">
        <v>8760.742</v>
      </c>
      <c r="J212" s="0" t="n">
        <v>1700.028</v>
      </c>
      <c r="K212" s="0" t="n">
        <v>84567.89625</v>
      </c>
      <c r="L212" s="0" t="n">
        <v>76775</v>
      </c>
      <c r="M212" s="0" t="n">
        <v>76598</v>
      </c>
      <c r="N212" s="0" t="n">
        <v>99</v>
      </c>
      <c r="O212" s="54" t="n">
        <f aca="false">YEAR(B212)</f>
        <v>2020</v>
      </c>
      <c r="P212" s="54" t="n">
        <f aca="false">IF(AND(E212&gt;=14400,K212&gt;0,L212&gt;0),1,0)</f>
        <v>1</v>
      </c>
      <c r="Q212" s="53" t="n">
        <f aca="false">IF(P212=1,F212/E212*MIN(L212/K212,1)*MIN(MAX(M212/L212,0),1),0)</f>
        <v>0.784463057693324</v>
      </c>
      <c r="R212" s="55" t="n">
        <f aca="false">IF(F212&gt;0,N212/(F212/3600),0)</f>
        <v>5.26795651488138</v>
      </c>
    </row>
    <row r="213" customFormat="false" ht="15" hidden="false" customHeight="false" outlineLevel="0" collapsed="false">
      <c r="A213" s="0" t="s">
        <v>258</v>
      </c>
      <c r="B213" s="52" t="n">
        <v>44049</v>
      </c>
      <c r="C213" s="0" t="n">
        <v>85614.517</v>
      </c>
      <c r="D213" s="0" t="n">
        <v>9307.7</v>
      </c>
      <c r="E213" s="0" t="n">
        <v>76306.817</v>
      </c>
      <c r="F213" s="0" t="n">
        <v>60613.898</v>
      </c>
      <c r="G213" s="0" t="n">
        <v>50977.531</v>
      </c>
      <c r="H213" s="0" t="n">
        <v>9636.367</v>
      </c>
      <c r="I213" s="0" t="n">
        <v>9444.88</v>
      </c>
      <c r="J213" s="0" t="n">
        <v>6248.039</v>
      </c>
      <c r="K213" s="0" t="n">
        <v>75767.3725</v>
      </c>
      <c r="L213" s="0" t="n">
        <v>63447</v>
      </c>
      <c r="M213" s="0" t="n">
        <v>63271</v>
      </c>
      <c r="N213" s="0" t="n">
        <v>67</v>
      </c>
      <c r="O213" s="54" t="n">
        <f aca="false">YEAR(B213)</f>
        <v>2020</v>
      </c>
      <c r="P213" s="54" t="n">
        <f aca="false">IF(AND(E213&gt;=14400,K213&gt;0,L213&gt;0),1,0)</f>
        <v>1</v>
      </c>
      <c r="Q213" s="53" t="n">
        <f aca="false">IF(P213=1,F213/E213*MIN(L213/K213,1)*MIN(MAX(M213/L213,0),1),0)</f>
        <v>0.663332608933223</v>
      </c>
      <c r="R213" s="55" t="n">
        <f aca="false">IF(F213&gt;0,N213/(F213/3600),0)</f>
        <v>3.97928541074854</v>
      </c>
    </row>
    <row r="214" customFormat="false" ht="15" hidden="false" customHeight="false" outlineLevel="0" collapsed="false">
      <c r="A214" s="0" t="s">
        <v>258</v>
      </c>
      <c r="B214" s="52" t="n">
        <v>44050</v>
      </c>
      <c r="C214" s="0" t="n">
        <v>85168.914</v>
      </c>
      <c r="D214" s="0" t="n">
        <v>8370.107</v>
      </c>
      <c r="E214" s="0" t="n">
        <v>76798.807</v>
      </c>
      <c r="F214" s="0" t="n">
        <v>67418.21</v>
      </c>
      <c r="G214" s="0" t="n">
        <v>53472.198</v>
      </c>
      <c r="H214" s="0" t="n">
        <v>13946.012</v>
      </c>
      <c r="I214" s="0" t="n">
        <v>6776.887</v>
      </c>
      <c r="J214" s="0" t="n">
        <v>2603.71</v>
      </c>
      <c r="K214" s="0" t="n">
        <v>83796.2145833333</v>
      </c>
      <c r="L214" s="0" t="n">
        <v>65363</v>
      </c>
      <c r="M214" s="0" t="n">
        <v>65145</v>
      </c>
      <c r="N214" s="0" t="n">
        <v>63</v>
      </c>
      <c r="O214" s="54" t="n">
        <f aca="false">YEAR(B214)</f>
        <v>2020</v>
      </c>
      <c r="P214" s="54" t="n">
        <f aca="false">IF(AND(E214&gt;=14400,K214&gt;0,L214&gt;0),1,0)</f>
        <v>1</v>
      </c>
      <c r="Q214" s="53" t="n">
        <f aca="false">IF(P214=1,F214/E214*MIN(L214/K214,1)*MIN(MAX(M214/L214,0),1),0)</f>
        <v>0.682463504586033</v>
      </c>
      <c r="R214" s="55" t="n">
        <f aca="false">IF(F214&gt;0,N214/(F214/3600),0)</f>
        <v>3.36407626366823</v>
      </c>
    </row>
    <row r="215" customFormat="false" ht="15" hidden="false" customHeight="false" outlineLevel="0" collapsed="false">
      <c r="A215" s="0" t="s">
        <v>258</v>
      </c>
      <c r="B215" s="52" t="n">
        <v>44051</v>
      </c>
      <c r="C215" s="0" t="n">
        <v>19089.409</v>
      </c>
      <c r="D215" s="0" t="n">
        <v>6171.23</v>
      </c>
      <c r="E215" s="0" t="n">
        <v>12918.179</v>
      </c>
      <c r="F215" s="0" t="n">
        <v>9116.65</v>
      </c>
      <c r="G215" s="0" t="n">
        <v>8189.559</v>
      </c>
      <c r="H215" s="0" t="n">
        <v>927.091</v>
      </c>
      <c r="I215" s="0" t="n">
        <v>2095.639</v>
      </c>
      <c r="J215" s="0" t="n">
        <v>1705.89</v>
      </c>
      <c r="K215" s="0" t="n">
        <v>11141.6949236111</v>
      </c>
      <c r="L215" s="0" t="n">
        <v>9942</v>
      </c>
      <c r="M215" s="0" t="n">
        <v>9917</v>
      </c>
      <c r="N215" s="0" t="n">
        <v>19</v>
      </c>
      <c r="O215" s="54" t="n">
        <f aca="false">YEAR(B215)</f>
        <v>2020</v>
      </c>
      <c r="P215" s="54" t="n">
        <f aca="false">IF(AND(E215&gt;=14400,K215&gt;0,L215&gt;0),1,0)</f>
        <v>0</v>
      </c>
      <c r="Q215" s="53" t="n">
        <f aca="false">IF(P215=1,F215/E215*MIN(L215/K215,1)*MIN(MAX(M215/L215,0),1),0)</f>
        <v>0</v>
      </c>
      <c r="R215" s="55" t="n">
        <f aca="false">IF(F215&gt;0,N215/(F215/3600),0)</f>
        <v>7.50275594653738</v>
      </c>
    </row>
    <row r="216" customFormat="false" ht="15" hidden="false" customHeight="false" outlineLevel="0" collapsed="false">
      <c r="A216" s="0" t="s">
        <v>258</v>
      </c>
      <c r="B216" s="52" t="n">
        <v>44052</v>
      </c>
      <c r="C216" s="0" t="n">
        <v>36252.778</v>
      </c>
      <c r="D216" s="0" t="n">
        <v>2796.579</v>
      </c>
      <c r="E216" s="0" t="n">
        <v>33456.199</v>
      </c>
      <c r="F216" s="0" t="n">
        <v>30034.926</v>
      </c>
      <c r="G216" s="0" t="n">
        <v>26021.065</v>
      </c>
      <c r="H216" s="0" t="n">
        <v>4013.861</v>
      </c>
      <c r="I216" s="0" t="n">
        <v>1917.284</v>
      </c>
      <c r="J216" s="0" t="n">
        <v>1503.989</v>
      </c>
      <c r="K216" s="0" t="n">
        <v>33447.14875</v>
      </c>
      <c r="L216" s="0" t="n">
        <v>30955</v>
      </c>
      <c r="M216" s="0" t="n">
        <v>30879</v>
      </c>
      <c r="N216" s="0" t="n">
        <v>19</v>
      </c>
      <c r="O216" s="54" t="n">
        <f aca="false">YEAR(B216)</f>
        <v>2020</v>
      </c>
      <c r="P216" s="54" t="n">
        <f aca="false">IF(AND(E216&gt;=14400,K216&gt;0,L216&gt;0),1,0)</f>
        <v>1</v>
      </c>
      <c r="Q216" s="53" t="n">
        <f aca="false">IF(P216=1,F216/E216*MIN(L216/K216,1)*MIN(MAX(M216/L216,0),1),0)</f>
        <v>0.828808303489196</v>
      </c>
      <c r="R216" s="55" t="n">
        <f aca="false">IF(F216&gt;0,N216/(F216/3600),0)</f>
        <v>2.27734871063108</v>
      </c>
    </row>
    <row r="217" customFormat="false" ht="15" hidden="false" customHeight="false" outlineLevel="0" collapsed="false">
      <c r="A217" s="0" t="s">
        <v>258</v>
      </c>
      <c r="B217" s="52" t="n">
        <v>44053</v>
      </c>
      <c r="C217" s="0" t="n">
        <v>85979.807</v>
      </c>
      <c r="D217" s="0" t="n">
        <v>10018.662</v>
      </c>
      <c r="E217" s="0" t="n">
        <v>75961.145</v>
      </c>
      <c r="F217" s="0" t="n">
        <v>68082.867</v>
      </c>
      <c r="G217" s="0" t="n">
        <v>59022.637</v>
      </c>
      <c r="H217" s="0" t="n">
        <v>9060.23</v>
      </c>
      <c r="I217" s="0" t="n">
        <v>5470.677</v>
      </c>
      <c r="J217" s="0" t="n">
        <v>2407.601</v>
      </c>
      <c r="K217" s="0" t="n">
        <v>84825.9031944444</v>
      </c>
      <c r="L217" s="0" t="n">
        <v>72252</v>
      </c>
      <c r="M217" s="0" t="n">
        <v>72092</v>
      </c>
      <c r="N217" s="0" t="n">
        <v>50</v>
      </c>
      <c r="O217" s="54" t="n">
        <f aca="false">YEAR(B217)</f>
        <v>2020</v>
      </c>
      <c r="P217" s="54" t="n">
        <f aca="false">IF(AND(E217&gt;=14400,K217&gt;0,L217&gt;0),1,0)</f>
        <v>1</v>
      </c>
      <c r="Q217" s="53" t="n">
        <f aca="false">IF(P217=1,F217/E217*MIN(L217/K217,1)*MIN(MAX(M217/L217,0),1),0)</f>
        <v>0.761736760854582</v>
      </c>
      <c r="R217" s="55" t="n">
        <f aca="false">IF(F217&gt;0,N217/(F217/3600),0)</f>
        <v>2.64383695827616</v>
      </c>
    </row>
    <row r="218" customFormat="false" ht="15" hidden="false" customHeight="false" outlineLevel="0" collapsed="false">
      <c r="A218" s="0" t="s">
        <v>258</v>
      </c>
      <c r="B218" s="52" t="n">
        <v>44054</v>
      </c>
      <c r="C218" s="0" t="n">
        <v>82428.357</v>
      </c>
      <c r="D218" s="0" t="n">
        <v>5329.752</v>
      </c>
      <c r="E218" s="0" t="n">
        <v>77098.605</v>
      </c>
      <c r="F218" s="0" t="n">
        <v>63625.787</v>
      </c>
      <c r="G218" s="0" t="n">
        <v>54720.05</v>
      </c>
      <c r="H218" s="0" t="n">
        <v>8905.737</v>
      </c>
      <c r="I218" s="0" t="n">
        <v>12884.37</v>
      </c>
      <c r="J218" s="0" t="n">
        <v>588.448</v>
      </c>
      <c r="K218" s="0" t="n">
        <v>78866.2375</v>
      </c>
      <c r="L218" s="0" t="n">
        <v>71929</v>
      </c>
      <c r="M218" s="0" t="n">
        <v>71641</v>
      </c>
      <c r="N218" s="0" t="n">
        <v>62</v>
      </c>
      <c r="O218" s="54" t="n">
        <f aca="false">YEAR(B218)</f>
        <v>2020</v>
      </c>
      <c r="P218" s="54" t="n">
        <f aca="false">IF(AND(E218&gt;=14400,K218&gt;0,L218&gt;0),1,0)</f>
        <v>1</v>
      </c>
      <c r="Q218" s="53" t="n">
        <f aca="false">IF(P218=1,F218/E218*MIN(L218/K218,1)*MIN(MAX(M218/L218,0),1),0)</f>
        <v>0.749647615934198</v>
      </c>
      <c r="R218" s="55" t="n">
        <f aca="false">IF(F218&gt;0,N218/(F218/3600),0)</f>
        <v>3.50801161799382</v>
      </c>
    </row>
    <row r="219" customFormat="false" ht="15" hidden="false" customHeight="false" outlineLevel="0" collapsed="false">
      <c r="A219" s="0" t="s">
        <v>258</v>
      </c>
      <c r="B219" s="52" t="n">
        <v>44055</v>
      </c>
      <c r="C219" s="0" t="n">
        <v>84275.41</v>
      </c>
      <c r="D219" s="0" t="n">
        <v>9692.751</v>
      </c>
      <c r="E219" s="0" t="n">
        <v>74582.659</v>
      </c>
      <c r="F219" s="0" t="n">
        <v>65910.372</v>
      </c>
      <c r="G219" s="0" t="n">
        <v>56383.3</v>
      </c>
      <c r="H219" s="0" t="n">
        <v>9527.072</v>
      </c>
      <c r="I219" s="0" t="n">
        <v>4718.698</v>
      </c>
      <c r="J219" s="0" t="n">
        <v>3953.589</v>
      </c>
      <c r="K219" s="0" t="n">
        <v>82387.965</v>
      </c>
      <c r="L219" s="0" t="n">
        <v>69205</v>
      </c>
      <c r="M219" s="0" t="n">
        <v>69051</v>
      </c>
      <c r="N219" s="0" t="n">
        <v>27</v>
      </c>
      <c r="O219" s="54" t="n">
        <f aca="false">YEAR(B219)</f>
        <v>2020</v>
      </c>
      <c r="P219" s="54" t="n">
        <f aca="false">IF(AND(E219&gt;=14400,K219&gt;0,L219&gt;0),1,0)</f>
        <v>1</v>
      </c>
      <c r="Q219" s="53" t="n">
        <f aca="false">IF(P219=1,F219/E219*MIN(L219/K219,1)*MIN(MAX(M219/L219,0),1),0)</f>
        <v>0.740665467558619</v>
      </c>
      <c r="R219" s="55" t="n">
        <f aca="false">IF(F219&gt;0,N219/(F219/3600),0)</f>
        <v>1.47472995600753</v>
      </c>
    </row>
    <row r="220" customFormat="false" ht="15" hidden="false" customHeight="false" outlineLevel="0" collapsed="false">
      <c r="A220" s="0" t="s">
        <v>258</v>
      </c>
      <c r="B220" s="52" t="n">
        <v>44056</v>
      </c>
      <c r="C220" s="0" t="n">
        <v>86364.398</v>
      </c>
      <c r="D220" s="0" t="n">
        <v>12064.223</v>
      </c>
      <c r="E220" s="0" t="n">
        <v>74300.175</v>
      </c>
      <c r="F220" s="0" t="n">
        <v>62837.089</v>
      </c>
      <c r="G220" s="0" t="n">
        <v>50701.883</v>
      </c>
      <c r="H220" s="0" t="n">
        <v>12135.206</v>
      </c>
      <c r="I220" s="0" t="n">
        <v>6458.9</v>
      </c>
      <c r="J220" s="0" t="n">
        <v>5004.186</v>
      </c>
      <c r="K220" s="0" t="n">
        <v>76929.9949305556</v>
      </c>
      <c r="L220" s="0" t="n">
        <v>61971</v>
      </c>
      <c r="M220" s="0" t="n">
        <v>61725</v>
      </c>
      <c r="N220" s="0" t="n">
        <v>54</v>
      </c>
      <c r="O220" s="54" t="n">
        <f aca="false">YEAR(B220)</f>
        <v>2020</v>
      </c>
      <c r="P220" s="54" t="n">
        <f aca="false">IF(AND(E220&gt;=14400,K220&gt;0,L220&gt;0),1,0)</f>
        <v>1</v>
      </c>
      <c r="Q220" s="53" t="n">
        <f aca="false">IF(P220=1,F220/E220*MIN(L220/K220,1)*MIN(MAX(M220/L220,0),1),0)</f>
        <v>0.678565250848462</v>
      </c>
      <c r="R220" s="55" t="n">
        <f aca="false">IF(F220&gt;0,N220/(F220/3600),0)</f>
        <v>3.09371428711473</v>
      </c>
    </row>
    <row r="221" customFormat="false" ht="15" hidden="false" customHeight="false" outlineLevel="0" collapsed="false">
      <c r="A221" s="0" t="s">
        <v>258</v>
      </c>
      <c r="B221" s="52" t="n">
        <v>44057</v>
      </c>
      <c r="C221" s="0" t="n">
        <v>86571.495</v>
      </c>
      <c r="D221" s="0" t="n">
        <v>9396.095</v>
      </c>
      <c r="E221" s="0" t="n">
        <v>77175.4</v>
      </c>
      <c r="F221" s="0" t="n">
        <v>70521.32</v>
      </c>
      <c r="G221" s="0" t="n">
        <v>61177.569</v>
      </c>
      <c r="H221" s="0" t="n">
        <v>9343.751</v>
      </c>
      <c r="I221" s="0" t="n">
        <v>3973.269</v>
      </c>
      <c r="J221" s="0" t="n">
        <v>2680.811</v>
      </c>
      <c r="K221" s="0" t="n">
        <v>88133.1604166667</v>
      </c>
      <c r="L221" s="0" t="n">
        <v>76392</v>
      </c>
      <c r="M221" s="0" t="n">
        <v>76192</v>
      </c>
      <c r="N221" s="0" t="n">
        <v>33</v>
      </c>
      <c r="O221" s="54" t="n">
        <f aca="false">YEAR(B221)</f>
        <v>2020</v>
      </c>
      <c r="P221" s="54" t="n">
        <f aca="false">IF(AND(E221&gt;=14400,K221&gt;0,L221&gt;0),1,0)</f>
        <v>1</v>
      </c>
      <c r="Q221" s="53" t="n">
        <f aca="false">IF(P221=1,F221/E221*MIN(L221/K221,1)*MIN(MAX(M221/L221,0),1),0)</f>
        <v>0.789971772663307</v>
      </c>
      <c r="R221" s="55" t="n">
        <f aca="false">IF(F221&gt;0,N221/(F221/3600),0)</f>
        <v>1.68459694174755</v>
      </c>
    </row>
    <row r="222" customFormat="false" ht="15" hidden="false" customHeight="false" outlineLevel="0" collapsed="false">
      <c r="A222" s="0" t="s">
        <v>258</v>
      </c>
      <c r="B222" s="52" t="n">
        <v>44058</v>
      </c>
      <c r="C222" s="0" t="n">
        <v>21475.539</v>
      </c>
      <c r="D222" s="0" t="n">
        <v>5268.71</v>
      </c>
      <c r="E222" s="0" t="n">
        <v>16206.829</v>
      </c>
      <c r="F222" s="0" t="n">
        <v>10599.479</v>
      </c>
      <c r="G222" s="0" t="n">
        <v>9920.883</v>
      </c>
      <c r="H222" s="0" t="n">
        <v>678.596</v>
      </c>
      <c r="I222" s="0" t="n">
        <v>2572.151</v>
      </c>
      <c r="J222" s="0" t="n">
        <v>3035.199</v>
      </c>
      <c r="K222" s="0" t="n">
        <v>13249.34875</v>
      </c>
      <c r="L222" s="0" t="n">
        <v>12314</v>
      </c>
      <c r="M222" s="0" t="n">
        <v>12286</v>
      </c>
      <c r="N222" s="0" t="n">
        <v>22</v>
      </c>
      <c r="O222" s="54" t="n">
        <f aca="false">YEAR(B222)</f>
        <v>2020</v>
      </c>
      <c r="P222" s="54" t="n">
        <f aca="false">IF(AND(E222&gt;=14400,K222&gt;0,L222&gt;0),1,0)</f>
        <v>1</v>
      </c>
      <c r="Q222" s="53" t="n">
        <f aca="false">IF(P222=1,F222/E222*MIN(L222/K222,1)*MIN(MAX(M222/L222,0),1),0)</f>
        <v>0.606460400118987</v>
      </c>
      <c r="R222" s="55" t="n">
        <f aca="false">IF(F222&gt;0,N222/(F222/3600),0)</f>
        <v>7.47206537226971</v>
      </c>
    </row>
    <row r="223" customFormat="false" ht="15" hidden="false" customHeight="false" outlineLevel="0" collapsed="false">
      <c r="A223" s="0" t="s">
        <v>258</v>
      </c>
      <c r="B223" s="52" t="n">
        <v>44059</v>
      </c>
      <c r="C223" s="0" t="n">
        <v>81020.918</v>
      </c>
      <c r="D223" s="0" t="n">
        <v>19641.95</v>
      </c>
      <c r="E223" s="0" t="n">
        <v>61378.968</v>
      </c>
      <c r="F223" s="0" t="n">
        <v>23826.323</v>
      </c>
      <c r="G223" s="0" t="n">
        <v>19014.874</v>
      </c>
      <c r="H223" s="0" t="n">
        <v>4811.449</v>
      </c>
      <c r="I223" s="0" t="n">
        <v>1567.668</v>
      </c>
      <c r="J223" s="0" t="n">
        <v>35984.977</v>
      </c>
      <c r="K223" s="0" t="n">
        <v>29782.90375</v>
      </c>
      <c r="L223" s="0" t="n">
        <v>23662</v>
      </c>
      <c r="M223" s="0" t="n">
        <v>23537</v>
      </c>
      <c r="N223" s="0" t="n">
        <v>16</v>
      </c>
      <c r="O223" s="54" t="n">
        <f aca="false">YEAR(B223)</f>
        <v>2020</v>
      </c>
      <c r="P223" s="54" t="n">
        <f aca="false">IF(AND(E223&gt;=14400,K223&gt;0,L223&gt;0),1,0)</f>
        <v>1</v>
      </c>
      <c r="Q223" s="53" t="n">
        <f aca="false">IF(P223=1,F223/E223*MIN(L223/K223,1)*MIN(MAX(M223/L223,0),1),0)</f>
        <v>0.306776093074748</v>
      </c>
      <c r="R223" s="55" t="n">
        <f aca="false">IF(F223&gt;0,N223/(F223/3600),0)</f>
        <v>2.41749429821798</v>
      </c>
    </row>
    <row r="224" customFormat="false" ht="15" hidden="false" customHeight="false" outlineLevel="0" collapsed="false">
      <c r="A224" s="0" t="s">
        <v>258</v>
      </c>
      <c r="B224" s="52" t="n">
        <v>44060</v>
      </c>
      <c r="C224" s="0" t="n">
        <v>85104.779</v>
      </c>
      <c r="D224" s="0" t="n">
        <v>11560.408</v>
      </c>
      <c r="E224" s="0" t="n">
        <v>73544.371</v>
      </c>
      <c r="F224" s="0" t="n">
        <v>65733.931</v>
      </c>
      <c r="G224" s="0" t="n">
        <v>54966.76</v>
      </c>
      <c r="H224" s="0" t="n">
        <v>10767.171</v>
      </c>
      <c r="I224" s="0" t="n">
        <v>6173.781</v>
      </c>
      <c r="J224" s="0" t="n">
        <v>1636.659</v>
      </c>
      <c r="K224" s="0" t="n">
        <v>82167.41375</v>
      </c>
      <c r="L224" s="0" t="n">
        <v>67346</v>
      </c>
      <c r="M224" s="0" t="n">
        <v>67179</v>
      </c>
      <c r="N224" s="0" t="n">
        <v>55</v>
      </c>
      <c r="O224" s="54" t="n">
        <f aca="false">YEAR(B224)</f>
        <v>2020</v>
      </c>
      <c r="P224" s="54" t="n">
        <f aca="false">IF(AND(E224&gt;=14400,K224&gt;0,L224&gt;0),1,0)</f>
        <v>1</v>
      </c>
      <c r="Q224" s="53" t="n">
        <f aca="false">IF(P224=1,F224/E224*MIN(L224/K224,1)*MIN(MAX(M224/L224,0),1),0)</f>
        <v>0.73075885032724</v>
      </c>
      <c r="R224" s="55" t="n">
        <f aca="false">IF(F224&gt;0,N224/(F224/3600),0)</f>
        <v>3.01214299811158</v>
      </c>
    </row>
    <row r="225" customFormat="false" ht="15" hidden="false" customHeight="false" outlineLevel="0" collapsed="false">
      <c r="A225" s="0" t="s">
        <v>258</v>
      </c>
      <c r="B225" s="52" t="n">
        <v>44061</v>
      </c>
      <c r="C225" s="0" t="n">
        <v>86196.118</v>
      </c>
      <c r="D225" s="0" t="n">
        <v>4060.684</v>
      </c>
      <c r="E225" s="0" t="n">
        <v>82135.434</v>
      </c>
      <c r="F225" s="0" t="n">
        <v>74001.404</v>
      </c>
      <c r="G225" s="0" t="n">
        <v>63079.277</v>
      </c>
      <c r="H225" s="0" t="n">
        <v>10922.127</v>
      </c>
      <c r="I225" s="0" t="n">
        <v>7167.336</v>
      </c>
      <c r="J225" s="0" t="n">
        <v>966.694</v>
      </c>
      <c r="K225" s="0" t="n">
        <v>92501.755</v>
      </c>
      <c r="L225" s="0" t="n">
        <v>78591</v>
      </c>
      <c r="M225" s="0" t="n">
        <v>78353</v>
      </c>
      <c r="N225" s="0" t="n">
        <v>64</v>
      </c>
      <c r="O225" s="54" t="n">
        <f aca="false">YEAR(B225)</f>
        <v>2020</v>
      </c>
      <c r="P225" s="54" t="n">
        <f aca="false">IF(AND(E225&gt;=14400,K225&gt;0,L225&gt;0),1,0)</f>
        <v>1</v>
      </c>
      <c r="Q225" s="53" t="n">
        <f aca="false">IF(P225=1,F225/E225*MIN(L225/K225,1)*MIN(MAX(M225/L225,0),1),0)</f>
        <v>0.763159052644684</v>
      </c>
      <c r="R225" s="55" t="n">
        <f aca="false">IF(F225&gt;0,N225/(F225/3600),0)</f>
        <v>3.11345444202653</v>
      </c>
    </row>
    <row r="226" customFormat="false" ht="15" hidden="false" customHeight="false" outlineLevel="0" collapsed="false">
      <c r="A226" s="0" t="s">
        <v>258</v>
      </c>
      <c r="B226" s="52" t="n">
        <v>44062</v>
      </c>
      <c r="C226" s="0" t="n">
        <v>86418.596</v>
      </c>
      <c r="D226" s="0" t="n">
        <v>12498.838</v>
      </c>
      <c r="E226" s="0" t="n">
        <v>73919.758</v>
      </c>
      <c r="F226" s="0" t="n">
        <v>66279.773</v>
      </c>
      <c r="G226" s="0" t="n">
        <v>53276.982</v>
      </c>
      <c r="H226" s="0" t="n">
        <v>13002.791</v>
      </c>
      <c r="I226" s="0" t="n">
        <v>6632.705</v>
      </c>
      <c r="J226" s="0" t="n">
        <v>1007.28</v>
      </c>
      <c r="K226" s="0" t="n">
        <v>81935.9079166667</v>
      </c>
      <c r="L226" s="0" t="n">
        <v>65377</v>
      </c>
      <c r="M226" s="0" t="n">
        <v>65122</v>
      </c>
      <c r="N226" s="0" t="n">
        <v>65</v>
      </c>
      <c r="O226" s="54" t="n">
        <f aca="false">YEAR(B226)</f>
        <v>2020</v>
      </c>
      <c r="P226" s="54" t="n">
        <f aca="false">IF(AND(E226&gt;=14400,K226&gt;0,L226&gt;0),1,0)</f>
        <v>1</v>
      </c>
      <c r="Q226" s="53" t="n">
        <f aca="false">IF(P226=1,F226/E226*MIN(L226/K226,1)*MIN(MAX(M226/L226,0),1),0)</f>
        <v>0.712646137254538</v>
      </c>
      <c r="R226" s="55" t="n">
        <f aca="false">IF(F226&gt;0,N226/(F226/3600),0)</f>
        <v>3.53048885668332</v>
      </c>
    </row>
    <row r="227" customFormat="false" ht="15" hidden="false" customHeight="false" outlineLevel="0" collapsed="false">
      <c r="A227" s="0" t="s">
        <v>258</v>
      </c>
      <c r="B227" s="52" t="n">
        <v>44063</v>
      </c>
      <c r="C227" s="0" t="n">
        <v>86658.379</v>
      </c>
      <c r="D227" s="0" t="n">
        <v>9836.683</v>
      </c>
      <c r="E227" s="0" t="n">
        <v>76821.696</v>
      </c>
      <c r="F227" s="0" t="n">
        <v>64390.552</v>
      </c>
      <c r="G227" s="0" t="n">
        <v>50531.437</v>
      </c>
      <c r="H227" s="0" t="n">
        <v>13859.115</v>
      </c>
      <c r="I227" s="0" t="n">
        <v>10384.313</v>
      </c>
      <c r="J227" s="0" t="n">
        <v>2046.831</v>
      </c>
      <c r="K227" s="0" t="n">
        <v>80488.19</v>
      </c>
      <c r="L227" s="0" t="n">
        <v>62943</v>
      </c>
      <c r="M227" s="0" t="n">
        <v>62695</v>
      </c>
      <c r="N227" s="0" t="n">
        <v>39</v>
      </c>
      <c r="O227" s="54" t="n">
        <f aca="false">YEAR(B227)</f>
        <v>2020</v>
      </c>
      <c r="P227" s="54" t="n">
        <f aca="false">IF(AND(E227&gt;=14400,K227&gt;0,L227&gt;0),1,0)</f>
        <v>1</v>
      </c>
      <c r="Q227" s="53" t="n">
        <f aca="false">IF(P227=1,F227/E227*MIN(L227/K227,1)*MIN(MAX(M227/L227,0),1),0)</f>
        <v>0.652888475672289</v>
      </c>
      <c r="R227" s="55" t="n">
        <f aca="false">IF(F227&gt;0,N227/(F227/3600),0)</f>
        <v>2.18044411235984</v>
      </c>
    </row>
    <row r="228" customFormat="false" ht="15" hidden="false" customHeight="false" outlineLevel="0" collapsed="false">
      <c r="A228" s="0" t="s">
        <v>258</v>
      </c>
      <c r="B228" s="52" t="n">
        <v>44064</v>
      </c>
      <c r="C228" s="0" t="n">
        <v>86229.157</v>
      </c>
      <c r="D228" s="0" t="n">
        <v>13459.904</v>
      </c>
      <c r="E228" s="0" t="n">
        <v>72769.253</v>
      </c>
      <c r="F228" s="0" t="n">
        <v>58775.62</v>
      </c>
      <c r="G228" s="0" t="n">
        <v>51544.5</v>
      </c>
      <c r="H228" s="0" t="n">
        <v>7231.12</v>
      </c>
      <c r="I228" s="0" t="n">
        <v>10485.815</v>
      </c>
      <c r="J228" s="0" t="n">
        <v>3507.818</v>
      </c>
      <c r="K228" s="0" t="n">
        <v>72223.895</v>
      </c>
      <c r="L228" s="0" t="n">
        <v>63175</v>
      </c>
      <c r="M228" s="0" t="n">
        <v>62923</v>
      </c>
      <c r="N228" s="0" t="n">
        <v>68</v>
      </c>
      <c r="O228" s="54" t="n">
        <f aca="false">YEAR(B228)</f>
        <v>2020</v>
      </c>
      <c r="P228" s="54" t="n">
        <f aca="false">IF(AND(E228&gt;=14400,K228&gt;0,L228&gt;0),1,0)</f>
        <v>1</v>
      </c>
      <c r="Q228" s="53" t="n">
        <f aca="false">IF(P228=1,F228/E228*MIN(L228/K228,1)*MIN(MAX(M228/L228,0),1),0)</f>
        <v>0.703684227317288</v>
      </c>
      <c r="R228" s="55" t="n">
        <f aca="false">IF(F228&gt;0,N228/(F228/3600),0)</f>
        <v>4.16499221956315</v>
      </c>
    </row>
    <row r="229" customFormat="false" ht="15" hidden="false" customHeight="false" outlineLevel="0" collapsed="false">
      <c r="A229" s="0" t="s">
        <v>258</v>
      </c>
      <c r="B229" s="52" t="n">
        <v>44065</v>
      </c>
      <c r="C229" s="0" t="n">
        <v>23569.729</v>
      </c>
      <c r="D229" s="0" t="n">
        <v>6631.649</v>
      </c>
      <c r="E229" s="0" t="n">
        <v>16938.08</v>
      </c>
      <c r="F229" s="0" t="n">
        <v>14336.72</v>
      </c>
      <c r="G229" s="0" t="n">
        <v>13342.58</v>
      </c>
      <c r="H229" s="0" t="n">
        <v>994.14</v>
      </c>
      <c r="I229" s="0" t="n">
        <v>518.659</v>
      </c>
      <c r="J229" s="0" t="n">
        <v>2082.701</v>
      </c>
      <c r="K229" s="0" t="n">
        <v>17920.9</v>
      </c>
      <c r="L229" s="0" t="n">
        <v>16682</v>
      </c>
      <c r="M229" s="0" t="n">
        <v>16657</v>
      </c>
      <c r="N229" s="0" t="n">
        <v>6</v>
      </c>
      <c r="O229" s="54" t="n">
        <f aca="false">YEAR(B229)</f>
        <v>2020</v>
      </c>
      <c r="P229" s="54" t="n">
        <f aca="false">IF(AND(E229&gt;=14400,K229&gt;0,L229&gt;0),1,0)</f>
        <v>1</v>
      </c>
      <c r="Q229" s="53" t="n">
        <f aca="false">IF(P229=1,F229/E229*MIN(L229/K229,1)*MIN(MAX(M229/L229,0),1),0)</f>
        <v>0.786724351284207</v>
      </c>
      <c r="R229" s="55" t="n">
        <f aca="false">IF(F229&gt;0,N229/(F229/3600),0)</f>
        <v>1.50662076123409</v>
      </c>
    </row>
    <row r="230" customFormat="false" ht="15" hidden="false" customHeight="false" outlineLevel="0" collapsed="false">
      <c r="A230" s="0" t="s">
        <v>258</v>
      </c>
      <c r="B230" s="52" t="n">
        <v>44066</v>
      </c>
      <c r="C230" s="0" t="n">
        <v>37025.388</v>
      </c>
      <c r="D230" s="0" t="n">
        <v>3606.17</v>
      </c>
      <c r="E230" s="0" t="n">
        <v>33419.218</v>
      </c>
      <c r="F230" s="0" t="n">
        <v>27744.104</v>
      </c>
      <c r="G230" s="0" t="n">
        <v>18974.882</v>
      </c>
      <c r="H230" s="0" t="n">
        <v>8769.222</v>
      </c>
      <c r="I230" s="0" t="n">
        <v>4690.576</v>
      </c>
      <c r="J230" s="0" t="n">
        <v>984.538</v>
      </c>
      <c r="K230" s="0" t="n">
        <v>34680.13</v>
      </c>
      <c r="L230" s="0" t="n">
        <v>23609</v>
      </c>
      <c r="M230" s="0" t="n">
        <v>23472</v>
      </c>
      <c r="N230" s="0" t="n">
        <v>22</v>
      </c>
      <c r="O230" s="54" t="n">
        <f aca="false">YEAR(B230)</f>
        <v>2020</v>
      </c>
      <c r="P230" s="54" t="n">
        <f aca="false">IF(AND(E230&gt;=14400,K230&gt;0,L230&gt;0),1,0)</f>
        <v>1</v>
      </c>
      <c r="Q230" s="53" t="n">
        <f aca="false">IF(P230=1,F230/E230*MIN(L230/K230,1)*MIN(MAX(M230/L230,0),1),0)</f>
        <v>0.561880292950003</v>
      </c>
      <c r="R230" s="55" t="n">
        <f aca="false">IF(F230&gt;0,N230/(F230/3600),0)</f>
        <v>2.85466057941536</v>
      </c>
    </row>
    <row r="231" customFormat="false" ht="15" hidden="false" customHeight="false" outlineLevel="0" collapsed="false">
      <c r="A231" s="0" t="s">
        <v>258</v>
      </c>
      <c r="B231" s="52" t="n">
        <v>44067</v>
      </c>
      <c r="C231" s="0" t="n">
        <v>82848.89</v>
      </c>
      <c r="D231" s="0" t="n">
        <v>8778.5</v>
      </c>
      <c r="E231" s="0" t="n">
        <v>74070.39</v>
      </c>
      <c r="F231" s="0" t="n">
        <v>62340.599</v>
      </c>
      <c r="G231" s="0" t="n">
        <v>41862.753</v>
      </c>
      <c r="H231" s="0" t="n">
        <v>20477.846</v>
      </c>
      <c r="I231" s="0" t="n">
        <v>9490.574</v>
      </c>
      <c r="J231" s="0" t="n">
        <v>2239.217</v>
      </c>
      <c r="K231" s="0" t="n">
        <v>77261.3844194445</v>
      </c>
      <c r="L231" s="0" t="n">
        <v>56058</v>
      </c>
      <c r="M231" s="0" t="n">
        <v>55748</v>
      </c>
      <c r="N231" s="0" t="n">
        <v>36</v>
      </c>
      <c r="O231" s="54" t="n">
        <f aca="false">YEAR(B231)</f>
        <v>2020</v>
      </c>
      <c r="P231" s="54" t="n">
        <f aca="false">IF(AND(E231&gt;=14400,K231&gt;0,L231&gt;0),1,0)</f>
        <v>1</v>
      </c>
      <c r="Q231" s="53" t="n">
        <f aca="false">IF(P231=1,F231/E231*MIN(L231/K231,1)*MIN(MAX(M231/L231,0),1),0)</f>
        <v>0.607285826318245</v>
      </c>
      <c r="R231" s="55" t="n">
        <f aca="false">IF(F231&gt;0,N231/(F231/3600),0)</f>
        <v>2.07890206508924</v>
      </c>
    </row>
    <row r="232" customFormat="false" ht="15" hidden="false" customHeight="false" outlineLevel="0" collapsed="false">
      <c r="A232" s="0" t="s">
        <v>258</v>
      </c>
      <c r="B232" s="52" t="n">
        <v>44068</v>
      </c>
      <c r="C232" s="0" t="n">
        <v>86975.496</v>
      </c>
      <c r="D232" s="0" t="n">
        <v>4789.151</v>
      </c>
      <c r="E232" s="0" t="n">
        <v>82186.345</v>
      </c>
      <c r="F232" s="0" t="n">
        <v>70075.542</v>
      </c>
      <c r="G232" s="0" t="n">
        <v>53920.57</v>
      </c>
      <c r="H232" s="0" t="n">
        <v>16154.972</v>
      </c>
      <c r="I232" s="0" t="n">
        <v>11570.583</v>
      </c>
      <c r="J232" s="0" t="n">
        <v>540.22</v>
      </c>
      <c r="K232" s="0" t="n">
        <v>86291.42125</v>
      </c>
      <c r="L232" s="0" t="n">
        <v>66116</v>
      </c>
      <c r="M232" s="0" t="n">
        <v>65794</v>
      </c>
      <c r="N232" s="0" t="n">
        <v>52</v>
      </c>
      <c r="O232" s="54" t="n">
        <f aca="false">YEAR(B232)</f>
        <v>2020</v>
      </c>
      <c r="P232" s="54" t="n">
        <f aca="false">IF(AND(E232&gt;=14400,K232&gt;0,L232&gt;0),1,0)</f>
        <v>1</v>
      </c>
      <c r="Q232" s="53" t="n">
        <f aca="false">IF(P232=1,F232/E232*MIN(L232/K232,1)*MIN(MAX(M232/L232,0),1),0)</f>
        <v>0.65010793521958</v>
      </c>
      <c r="R232" s="55" t="n">
        <f aca="false">IF(F232&gt;0,N232/(F232/3600),0)</f>
        <v>2.67140281269605</v>
      </c>
    </row>
    <row r="233" customFormat="false" ht="15" hidden="false" customHeight="false" outlineLevel="0" collapsed="false">
      <c r="A233" s="0" t="s">
        <v>258</v>
      </c>
      <c r="B233" s="52" t="n">
        <v>44069</v>
      </c>
      <c r="C233" s="0" t="n">
        <v>86373.48</v>
      </c>
      <c r="D233" s="0" t="n">
        <v>9255.992</v>
      </c>
      <c r="E233" s="0" t="n">
        <v>77117.488</v>
      </c>
      <c r="F233" s="0" t="n">
        <v>50605.209</v>
      </c>
      <c r="G233" s="0" t="n">
        <v>41580.293</v>
      </c>
      <c r="H233" s="0" t="n">
        <v>9024.916</v>
      </c>
      <c r="I233" s="0" t="n">
        <v>3875.311</v>
      </c>
      <c r="J233" s="0" t="n">
        <v>22636.968</v>
      </c>
      <c r="K233" s="0" t="n">
        <v>63253.34875</v>
      </c>
      <c r="L233" s="0" t="n">
        <v>50655</v>
      </c>
      <c r="M233" s="0" t="n">
        <v>50460</v>
      </c>
      <c r="N233" s="0" t="n">
        <v>34</v>
      </c>
      <c r="O233" s="54" t="n">
        <f aca="false">YEAR(B233)</f>
        <v>2020</v>
      </c>
      <c r="P233" s="54" t="n">
        <f aca="false">IF(AND(E233&gt;=14400,K233&gt;0,L233&gt;0),1,0)</f>
        <v>1</v>
      </c>
      <c r="Q233" s="53" t="n">
        <f aca="false">IF(P233=1,F233/E233*MIN(L233/K233,1)*MIN(MAX(M233/L233,0),1),0)</f>
        <v>0.523487205562792</v>
      </c>
      <c r="R233" s="55" t="n">
        <f aca="false">IF(F233&gt;0,N233/(F233/3600),0)</f>
        <v>2.41872333735446</v>
      </c>
    </row>
    <row r="234" customFormat="false" ht="15" hidden="false" customHeight="false" outlineLevel="0" collapsed="false">
      <c r="A234" s="0" t="s">
        <v>258</v>
      </c>
      <c r="B234" s="52" t="n">
        <v>44070</v>
      </c>
      <c r="C234" s="0" t="n">
        <v>85490.005</v>
      </c>
      <c r="D234" s="0" t="n">
        <v>9090.907</v>
      </c>
      <c r="E234" s="0" t="n">
        <v>76399.098</v>
      </c>
      <c r="F234" s="0" t="n">
        <v>70055.935</v>
      </c>
      <c r="G234" s="0" t="n">
        <v>62737.616</v>
      </c>
      <c r="H234" s="0" t="n">
        <v>7318.319</v>
      </c>
      <c r="I234" s="0" t="n">
        <v>3887.754</v>
      </c>
      <c r="J234" s="0" t="n">
        <v>2455.409</v>
      </c>
      <c r="K234" s="0" t="n">
        <v>86850.0722222222</v>
      </c>
      <c r="L234" s="0" t="n">
        <v>77790</v>
      </c>
      <c r="M234" s="0" t="n">
        <v>77602</v>
      </c>
      <c r="N234" s="0" t="n">
        <v>39</v>
      </c>
      <c r="O234" s="54" t="n">
        <f aca="false">YEAR(B234)</f>
        <v>2020</v>
      </c>
      <c r="P234" s="54" t="n">
        <f aca="false">IF(AND(E234&gt;=14400,K234&gt;0,L234&gt;0),1,0)</f>
        <v>1</v>
      </c>
      <c r="Q234" s="53" t="n">
        <f aca="false">IF(P234=1,F234/E234*MIN(L234/K234,1)*MIN(MAX(M234/L234,0),1),0)</f>
        <v>0.819331086631387</v>
      </c>
      <c r="R234" s="55" t="n">
        <f aca="false">IF(F234&gt;0,N234/(F234/3600),0)</f>
        <v>2.00411285639111</v>
      </c>
    </row>
    <row r="235" customFormat="false" ht="15" hidden="false" customHeight="false" outlineLevel="0" collapsed="false">
      <c r="A235" s="0" t="s">
        <v>258</v>
      </c>
      <c r="B235" s="52" t="n">
        <v>44071</v>
      </c>
      <c r="C235" s="0" t="n">
        <v>83620.739</v>
      </c>
      <c r="D235" s="0" t="n">
        <v>4096.584</v>
      </c>
      <c r="E235" s="0" t="n">
        <v>79524.155</v>
      </c>
      <c r="F235" s="0" t="n">
        <v>71353.868</v>
      </c>
      <c r="G235" s="0" t="n">
        <v>57897.241</v>
      </c>
      <c r="H235" s="0" t="n">
        <v>13456.627</v>
      </c>
      <c r="I235" s="0" t="n">
        <v>8091.615</v>
      </c>
      <c r="J235" s="0" t="n">
        <v>78.672</v>
      </c>
      <c r="K235" s="0" t="n">
        <v>88887.5918055556</v>
      </c>
      <c r="L235" s="0" t="n">
        <v>74725</v>
      </c>
      <c r="M235" s="0" t="n">
        <v>74452</v>
      </c>
      <c r="N235" s="0" t="n">
        <v>64</v>
      </c>
      <c r="O235" s="54" t="n">
        <f aca="false">YEAR(B235)</f>
        <v>2020</v>
      </c>
      <c r="P235" s="54" t="n">
        <f aca="false">IF(AND(E235&gt;=14400,K235&gt;0,L235&gt;0),1,0)</f>
        <v>1</v>
      </c>
      <c r="Q235" s="53" t="n">
        <f aca="false">IF(P235=1,F235/E235*MIN(L235/K235,1)*MIN(MAX(M235/L235,0),1),0)</f>
        <v>0.751542743743252</v>
      </c>
      <c r="R235" s="55" t="n">
        <f aca="false">IF(F235&gt;0,N235/(F235/3600),0)</f>
        <v>3.22897701915753</v>
      </c>
    </row>
    <row r="236" customFormat="false" ht="15" hidden="false" customHeight="false" outlineLevel="0" collapsed="false">
      <c r="A236" s="0" t="s">
        <v>258</v>
      </c>
      <c r="B236" s="52" t="n">
        <v>44072</v>
      </c>
      <c r="C236" s="0" t="n">
        <v>28262.27</v>
      </c>
      <c r="D236" s="0" t="n">
        <v>9067.311</v>
      </c>
      <c r="E236" s="0" t="n">
        <v>19194.959</v>
      </c>
      <c r="F236" s="0" t="n">
        <v>14265.027</v>
      </c>
      <c r="G236" s="0" t="n">
        <v>13405.715</v>
      </c>
      <c r="H236" s="0" t="n">
        <v>859.312</v>
      </c>
      <c r="I236" s="0" t="n">
        <v>2010.143</v>
      </c>
      <c r="J236" s="0" t="n">
        <v>2919.789</v>
      </c>
      <c r="K236" s="0" t="n">
        <v>17831.28375</v>
      </c>
      <c r="L236" s="0" t="n">
        <v>16738</v>
      </c>
      <c r="M236" s="0" t="n">
        <v>16649</v>
      </c>
      <c r="N236" s="0" t="n">
        <v>12</v>
      </c>
      <c r="O236" s="54" t="n">
        <f aca="false">YEAR(B236)</f>
        <v>2020</v>
      </c>
      <c r="P236" s="54" t="n">
        <f aca="false">IF(AND(E236&gt;=14400,K236&gt;0,L236&gt;0),1,0)</f>
        <v>1</v>
      </c>
      <c r="Q236" s="53" t="n">
        <f aca="false">IF(P236=1,F236/E236*MIN(L236/K236,1)*MIN(MAX(M236/L236,0),1),0)</f>
        <v>0.693890515733845</v>
      </c>
      <c r="R236" s="55" t="n">
        <f aca="false">IF(F236&gt;0,N236/(F236/3600),0)</f>
        <v>3.02838543523261</v>
      </c>
    </row>
    <row r="237" customFormat="false" ht="15" hidden="false" customHeight="false" outlineLevel="0" collapsed="false">
      <c r="A237" s="0" t="s">
        <v>258</v>
      </c>
      <c r="B237" s="52" t="n">
        <v>44073</v>
      </c>
      <c r="C237" s="0" t="n">
        <v>79998.688</v>
      </c>
      <c r="D237" s="0" t="n">
        <v>15509.039</v>
      </c>
      <c r="E237" s="0" t="n">
        <v>64489.649</v>
      </c>
      <c r="F237" s="0" t="n">
        <v>28666.463</v>
      </c>
      <c r="G237" s="0" t="n">
        <v>22284.538</v>
      </c>
      <c r="H237" s="0" t="n">
        <v>6381.925</v>
      </c>
      <c r="I237" s="0" t="n">
        <v>3283.277</v>
      </c>
      <c r="J237" s="0" t="n">
        <v>32539.909</v>
      </c>
      <c r="K237" s="0" t="n">
        <v>35833.07875</v>
      </c>
      <c r="L237" s="0" t="n">
        <v>27732</v>
      </c>
      <c r="M237" s="0" t="n">
        <v>27635</v>
      </c>
      <c r="N237" s="0" t="n">
        <v>29</v>
      </c>
      <c r="O237" s="54" t="n">
        <f aca="false">YEAR(B237)</f>
        <v>2020</v>
      </c>
      <c r="P237" s="54" t="n">
        <f aca="false">IF(AND(E237&gt;=14400,K237&gt;0,L237&gt;0),1,0)</f>
        <v>1</v>
      </c>
      <c r="Q237" s="53" t="n">
        <f aca="false">IF(P237=1,F237/E237*MIN(L237/K237,1)*MIN(MAX(M237/L237,0),1),0)</f>
        <v>0.342814705038944</v>
      </c>
      <c r="R237" s="55" t="n">
        <f aca="false">IF(F237&gt;0,N237/(F237/3600),0)</f>
        <v>3.6418863394483</v>
      </c>
    </row>
    <row r="238" customFormat="false" ht="15" hidden="false" customHeight="false" outlineLevel="0" collapsed="false">
      <c r="A238" s="0" t="s">
        <v>258</v>
      </c>
      <c r="B238" s="52" t="n">
        <v>44074</v>
      </c>
      <c r="C238" s="0" t="n">
        <v>86767.499</v>
      </c>
      <c r="D238" s="0" t="n">
        <v>8319.664</v>
      </c>
      <c r="E238" s="0" t="n">
        <v>78447.835</v>
      </c>
      <c r="F238" s="0" t="n">
        <v>67226.333</v>
      </c>
      <c r="G238" s="0" t="n">
        <v>55318.112</v>
      </c>
      <c r="H238" s="0" t="n">
        <v>11908.221</v>
      </c>
      <c r="I238" s="0" t="n">
        <v>9367.864</v>
      </c>
      <c r="J238" s="0" t="n">
        <v>1853.638</v>
      </c>
      <c r="K238" s="0" t="n">
        <v>84032.91625</v>
      </c>
      <c r="L238" s="0" t="n">
        <v>70928</v>
      </c>
      <c r="M238" s="0" t="n">
        <v>70709</v>
      </c>
      <c r="N238" s="0" t="n">
        <v>49</v>
      </c>
      <c r="O238" s="54" t="n">
        <f aca="false">YEAR(B238)</f>
        <v>2020</v>
      </c>
      <c r="P238" s="54" t="n">
        <f aca="false">IF(AND(E238&gt;=14400,K238&gt;0,L238&gt;0),1,0)</f>
        <v>1</v>
      </c>
      <c r="Q238" s="53" t="n">
        <f aca="false">IF(P238=1,F238/E238*MIN(L238/K238,1)*MIN(MAX(M238/L238,0),1),0)</f>
        <v>0.721080447918034</v>
      </c>
      <c r="R238" s="55" t="n">
        <f aca="false">IF(F238&gt;0,N238/(F238/3600),0)</f>
        <v>2.62397177010979</v>
      </c>
    </row>
    <row r="239" customFormat="false" ht="15" hidden="false" customHeight="false" outlineLevel="0" collapsed="false">
      <c r="A239" s="0" t="s">
        <v>258</v>
      </c>
      <c r="B239" s="52" t="n">
        <v>44075</v>
      </c>
      <c r="C239" s="0" t="n">
        <v>84191.086</v>
      </c>
      <c r="D239" s="0" t="n">
        <v>5063.764</v>
      </c>
      <c r="E239" s="0" t="n">
        <v>79127.322</v>
      </c>
      <c r="F239" s="0" t="n">
        <v>68357.645</v>
      </c>
      <c r="G239" s="0" t="n">
        <v>58864.311</v>
      </c>
      <c r="H239" s="0" t="n">
        <v>9493.334</v>
      </c>
      <c r="I239" s="0" t="n">
        <v>10167.929</v>
      </c>
      <c r="J239" s="0" t="n">
        <v>601.748</v>
      </c>
      <c r="K239" s="0" t="n">
        <v>85447.05625</v>
      </c>
      <c r="L239" s="0" t="n">
        <v>75476</v>
      </c>
      <c r="M239" s="0" t="n">
        <v>75226</v>
      </c>
      <c r="N239" s="0" t="n">
        <v>76</v>
      </c>
      <c r="O239" s="54" t="n">
        <f aca="false">YEAR(B239)</f>
        <v>2020</v>
      </c>
      <c r="P239" s="54" t="n">
        <f aca="false">IF(AND(E239&gt;=14400,K239&gt;0,L239&gt;0),1,0)</f>
        <v>1</v>
      </c>
      <c r="Q239" s="53" t="n">
        <f aca="false">IF(P239=1,F239/E239*MIN(L239/K239,1)*MIN(MAX(M239/L239,0),1),0)</f>
        <v>0.7605565116939</v>
      </c>
      <c r="R239" s="55" t="n">
        <f aca="false">IF(F239&gt;0,N239/(F239/3600),0)</f>
        <v>4.00247843529425</v>
      </c>
    </row>
    <row r="240" customFormat="false" ht="15" hidden="false" customHeight="false" outlineLevel="0" collapsed="false">
      <c r="A240" s="0" t="s">
        <v>258</v>
      </c>
      <c r="B240" s="52" t="n">
        <v>44076</v>
      </c>
      <c r="C240" s="0" t="n">
        <v>88076.276</v>
      </c>
      <c r="D240" s="0" t="n">
        <v>8922.777</v>
      </c>
      <c r="E240" s="0" t="n">
        <v>79153.499</v>
      </c>
      <c r="F240" s="0" t="n">
        <v>68810.125</v>
      </c>
      <c r="G240" s="0" t="n">
        <v>55764.224</v>
      </c>
      <c r="H240" s="0" t="n">
        <v>13045.901</v>
      </c>
      <c r="I240" s="0" t="n">
        <v>8277.292</v>
      </c>
      <c r="J240" s="0" t="n">
        <v>2066.082</v>
      </c>
      <c r="K240" s="0" t="n">
        <v>86012.65625</v>
      </c>
      <c r="L240" s="0" t="n">
        <v>69543</v>
      </c>
      <c r="M240" s="0" t="n">
        <v>69306</v>
      </c>
      <c r="N240" s="0" t="n">
        <v>51</v>
      </c>
      <c r="O240" s="54" t="n">
        <f aca="false">YEAR(B240)</f>
        <v>2020</v>
      </c>
      <c r="P240" s="54" t="n">
        <f aca="false">IF(AND(E240&gt;=14400,K240&gt;0,L240&gt;0),1,0)</f>
        <v>1</v>
      </c>
      <c r="Q240" s="53" t="n">
        <f aca="false">IF(P240=1,F240/E240*MIN(L240/K240,1)*MIN(MAX(M240/L240,0),1),0)</f>
        <v>0.700471876802313</v>
      </c>
      <c r="R240" s="55" t="n">
        <f aca="false">IF(F240&gt;0,N240/(F240/3600),0)</f>
        <v>2.66821198188493</v>
      </c>
    </row>
    <row r="241" customFormat="false" ht="15" hidden="false" customHeight="false" outlineLevel="0" collapsed="false">
      <c r="A241" s="0" t="s">
        <v>258</v>
      </c>
      <c r="B241" s="52" t="n">
        <v>44077</v>
      </c>
      <c r="C241" s="0" t="n">
        <v>84599.816</v>
      </c>
      <c r="D241" s="0" t="n">
        <v>7343.889</v>
      </c>
      <c r="E241" s="0" t="n">
        <v>77255.927</v>
      </c>
      <c r="F241" s="0" t="n">
        <v>68099.1</v>
      </c>
      <c r="G241" s="0" t="n">
        <v>59719.752</v>
      </c>
      <c r="H241" s="0" t="n">
        <v>8379.348</v>
      </c>
      <c r="I241" s="0" t="n">
        <v>5890.843</v>
      </c>
      <c r="J241" s="0" t="n">
        <v>3265.984</v>
      </c>
      <c r="K241" s="0" t="n">
        <v>85123.875</v>
      </c>
      <c r="L241" s="0" t="n">
        <v>74476</v>
      </c>
      <c r="M241" s="0" t="n">
        <v>74211</v>
      </c>
      <c r="N241" s="0" t="n">
        <v>54</v>
      </c>
      <c r="O241" s="54" t="n">
        <f aca="false">YEAR(B241)</f>
        <v>2020</v>
      </c>
      <c r="P241" s="54" t="n">
        <f aca="false">IF(AND(E241&gt;=14400,K241&gt;0,L241&gt;0),1,0)</f>
        <v>1</v>
      </c>
      <c r="Q241" s="53" t="n">
        <f aca="false">IF(P241=1,F241/E241*MIN(L241/K241,1)*MIN(MAX(M241/L241,0),1),0)</f>
        <v>0.768469194603024</v>
      </c>
      <c r="R241" s="55" t="n">
        <f aca="false">IF(F241&gt;0,N241/(F241/3600),0)</f>
        <v>2.85466327748825</v>
      </c>
    </row>
    <row r="242" customFormat="false" ht="15" hidden="false" customHeight="false" outlineLevel="0" collapsed="false">
      <c r="A242" s="0" t="s">
        <v>258</v>
      </c>
      <c r="B242" s="52" t="n">
        <v>44078</v>
      </c>
      <c r="C242" s="0" t="n">
        <v>84623.399</v>
      </c>
      <c r="D242" s="0" t="n">
        <v>8889.528</v>
      </c>
      <c r="E242" s="0" t="n">
        <v>75733.871</v>
      </c>
      <c r="F242" s="0" t="n">
        <v>67207.024</v>
      </c>
      <c r="G242" s="0" t="n">
        <v>55942.191</v>
      </c>
      <c r="H242" s="0" t="n">
        <v>11264.833</v>
      </c>
      <c r="I242" s="0" t="n">
        <v>6778.487</v>
      </c>
      <c r="J242" s="0" t="n">
        <v>1748.36</v>
      </c>
      <c r="K242" s="0" t="n">
        <v>84008.78</v>
      </c>
      <c r="L242" s="0" t="n">
        <v>69688</v>
      </c>
      <c r="M242" s="0" t="n">
        <v>69418</v>
      </c>
      <c r="N242" s="0" t="n">
        <v>46</v>
      </c>
      <c r="O242" s="54" t="n">
        <f aca="false">YEAR(B242)</f>
        <v>2020</v>
      </c>
      <c r="P242" s="54" t="n">
        <f aca="false">IF(AND(E242&gt;=14400,K242&gt;0,L242&gt;0),1,0)</f>
        <v>1</v>
      </c>
      <c r="Q242" s="53" t="n">
        <f aca="false">IF(P242=1,F242/E242*MIN(L242/K242,1)*MIN(MAX(M242/L242,0),1),0)</f>
        <v>0.733283526468626</v>
      </c>
      <c r="R242" s="55" t="n">
        <f aca="false">IF(F242&gt;0,N242/(F242/3600),0)</f>
        <v>2.46402816467517</v>
      </c>
    </row>
    <row r="243" customFormat="false" ht="15" hidden="false" customHeight="false" outlineLevel="0" collapsed="false">
      <c r="A243" s="0" t="s">
        <v>258</v>
      </c>
      <c r="B243" s="52" t="n">
        <v>44079</v>
      </c>
      <c r="C243" s="0" t="n">
        <v>25380.049</v>
      </c>
      <c r="D243" s="0" t="n">
        <v>5246.571</v>
      </c>
      <c r="E243" s="0" t="n">
        <v>20133.478</v>
      </c>
      <c r="F243" s="0" t="n">
        <v>11995.428</v>
      </c>
      <c r="G243" s="0" t="n">
        <v>10714.889</v>
      </c>
      <c r="H243" s="0" t="n">
        <v>1280.539</v>
      </c>
      <c r="I243" s="0" t="n">
        <v>2274.391</v>
      </c>
      <c r="J243" s="0" t="n">
        <v>5863.659</v>
      </c>
      <c r="K243" s="0" t="n">
        <v>14994.285</v>
      </c>
      <c r="L243" s="0" t="n">
        <v>13323</v>
      </c>
      <c r="M243" s="0" t="n">
        <v>13292</v>
      </c>
      <c r="N243" s="0" t="n">
        <v>12</v>
      </c>
      <c r="O243" s="54" t="n">
        <f aca="false">YEAR(B243)</f>
        <v>2020</v>
      </c>
      <c r="P243" s="54" t="n">
        <f aca="false">IF(AND(E243&gt;=14400,K243&gt;0,L243&gt;0),1,0)</f>
        <v>1</v>
      </c>
      <c r="Q243" s="53" t="n">
        <f aca="false">IF(P243=1,F243/E243*MIN(L243/K243,1)*MIN(MAX(M243/L243,0),1),0)</f>
        <v>0.52815514537528</v>
      </c>
      <c r="R243" s="55" t="n">
        <f aca="false">IF(F243&gt;0,N243/(F243/3600),0)</f>
        <v>3.60137212277878</v>
      </c>
    </row>
    <row r="244" customFormat="false" ht="15" hidden="false" customHeight="false" outlineLevel="0" collapsed="false">
      <c r="A244" s="0" t="s">
        <v>258</v>
      </c>
      <c r="B244" s="52" t="n">
        <v>44080</v>
      </c>
      <c r="C244" s="0" t="n">
        <v>42381.908</v>
      </c>
      <c r="D244" s="0" t="n">
        <v>5880.275</v>
      </c>
      <c r="E244" s="0" t="n">
        <v>36501.633</v>
      </c>
      <c r="F244" s="0" t="n">
        <v>28163.971</v>
      </c>
      <c r="G244" s="0" t="n">
        <v>20098.166</v>
      </c>
      <c r="H244" s="0" t="n">
        <v>8065.805</v>
      </c>
      <c r="I244" s="0" t="n">
        <v>3502.629</v>
      </c>
      <c r="J244" s="0" t="n">
        <v>4835.033</v>
      </c>
      <c r="K244" s="0" t="n">
        <v>34859.0620902778</v>
      </c>
      <c r="L244" s="0" t="n">
        <v>23834</v>
      </c>
      <c r="M244" s="0" t="n">
        <v>23694</v>
      </c>
      <c r="N244" s="0" t="n">
        <v>35</v>
      </c>
      <c r="O244" s="54" t="n">
        <f aca="false">YEAR(B244)</f>
        <v>2020</v>
      </c>
      <c r="P244" s="54" t="n">
        <f aca="false">IF(AND(E244&gt;=14400,K244&gt;0,L244&gt;0),1,0)</f>
        <v>1</v>
      </c>
      <c r="Q244" s="53" t="n">
        <f aca="false">IF(P244=1,F244/E244*MIN(L244/K244,1)*MIN(MAX(M244/L244,0),1),0)</f>
        <v>0.524450230274169</v>
      </c>
      <c r="R244" s="55" t="n">
        <f aca="false">IF(F244&gt;0,N244/(F244/3600),0)</f>
        <v>4.47380094234581</v>
      </c>
    </row>
    <row r="245" customFormat="false" ht="15" hidden="false" customHeight="false" outlineLevel="0" collapsed="false">
      <c r="A245" s="0" t="s">
        <v>258</v>
      </c>
      <c r="B245" s="52" t="n">
        <v>44081</v>
      </c>
      <c r="C245" s="0" t="n">
        <v>81092.36</v>
      </c>
      <c r="D245" s="0" t="n">
        <v>11143.277</v>
      </c>
      <c r="E245" s="0" t="n">
        <v>69949.083</v>
      </c>
      <c r="F245" s="0" t="n">
        <v>62194.432</v>
      </c>
      <c r="G245" s="0" t="n">
        <v>48698.653</v>
      </c>
      <c r="H245" s="0" t="n">
        <v>13495.779</v>
      </c>
      <c r="I245" s="0" t="n">
        <v>4817.792</v>
      </c>
      <c r="J245" s="0" t="n">
        <v>2936.859</v>
      </c>
      <c r="K245" s="0" t="n">
        <v>77480.6939583333</v>
      </c>
      <c r="L245" s="0" t="n">
        <v>59296</v>
      </c>
      <c r="M245" s="0" t="n">
        <v>58956</v>
      </c>
      <c r="N245" s="0" t="n">
        <v>51</v>
      </c>
      <c r="O245" s="54" t="n">
        <f aca="false">YEAR(B245)</f>
        <v>2020</v>
      </c>
      <c r="P245" s="54" t="n">
        <f aca="false">IF(AND(E245&gt;=14400,K245&gt;0,L245&gt;0),1,0)</f>
        <v>1</v>
      </c>
      <c r="Q245" s="53" t="n">
        <f aca="false">IF(P245=1,F245/E245*MIN(L245/K245,1)*MIN(MAX(M245/L245,0),1),0)</f>
        <v>0.676556372134734</v>
      </c>
      <c r="R245" s="55" t="n">
        <f aca="false">IF(F245&gt;0,N245/(F245/3600),0)</f>
        <v>2.95203274788328</v>
      </c>
    </row>
    <row r="246" customFormat="false" ht="15" hidden="false" customHeight="false" outlineLevel="0" collapsed="false">
      <c r="A246" s="0" t="s">
        <v>258</v>
      </c>
      <c r="B246" s="52" t="n">
        <v>44082</v>
      </c>
      <c r="C246" s="0" t="n">
        <v>84912.409</v>
      </c>
      <c r="D246" s="0" t="n">
        <v>4083.622</v>
      </c>
      <c r="E246" s="0" t="n">
        <v>80828.787</v>
      </c>
      <c r="F246" s="0" t="n">
        <v>68685.659</v>
      </c>
      <c r="G246" s="0" t="n">
        <v>55802.549</v>
      </c>
      <c r="H246" s="0" t="n">
        <v>12883.11</v>
      </c>
      <c r="I246" s="0" t="n">
        <v>10611.589</v>
      </c>
      <c r="J246" s="0" t="n">
        <v>1531.539</v>
      </c>
      <c r="K246" s="0" t="n">
        <v>85079.2149305556</v>
      </c>
      <c r="L246" s="0" t="n">
        <v>68259</v>
      </c>
      <c r="M246" s="0" t="n">
        <v>67903</v>
      </c>
      <c r="N246" s="0" t="n">
        <v>54</v>
      </c>
      <c r="O246" s="54" t="n">
        <f aca="false">YEAR(B246)</f>
        <v>2020</v>
      </c>
      <c r="P246" s="54" t="n">
        <f aca="false">IF(AND(E246&gt;=14400,K246&gt;0,L246&gt;0),1,0)</f>
        <v>1</v>
      </c>
      <c r="Q246" s="53" t="n">
        <f aca="false">IF(P246=1,F246/E246*MIN(L246/K246,1)*MIN(MAX(M246/L246,0),1),0)</f>
        <v>0.678212041592571</v>
      </c>
      <c r="R246" s="55" t="n">
        <f aca="false">IF(F246&gt;0,N246/(F246/3600),0)</f>
        <v>2.83028514001737</v>
      </c>
    </row>
    <row r="247" customFormat="false" ht="15" hidden="false" customHeight="false" outlineLevel="0" collapsed="false">
      <c r="A247" s="0" t="s">
        <v>258</v>
      </c>
      <c r="B247" s="52" t="n">
        <v>44083</v>
      </c>
      <c r="C247" s="0" t="n">
        <v>85706.487</v>
      </c>
      <c r="D247" s="0" t="n">
        <v>9159.648</v>
      </c>
      <c r="E247" s="0" t="n">
        <v>76546.839</v>
      </c>
      <c r="F247" s="0" t="n">
        <v>65263.352</v>
      </c>
      <c r="G247" s="0" t="n">
        <v>49036.384</v>
      </c>
      <c r="H247" s="0" t="n">
        <v>16226.968</v>
      </c>
      <c r="I247" s="0" t="n">
        <v>7838.295</v>
      </c>
      <c r="J247" s="0" t="n">
        <v>3445.192</v>
      </c>
      <c r="K247" s="0" t="n">
        <v>81513.564375</v>
      </c>
      <c r="L247" s="0" t="n">
        <v>59814</v>
      </c>
      <c r="M247" s="0" t="n">
        <v>59078</v>
      </c>
      <c r="N247" s="0" t="n">
        <v>68</v>
      </c>
      <c r="O247" s="54" t="n">
        <f aca="false">YEAR(B247)</f>
        <v>2020</v>
      </c>
      <c r="P247" s="54" t="n">
        <f aca="false">IF(AND(E247&gt;=14400,K247&gt;0,L247&gt;0),1,0)</f>
        <v>1</v>
      </c>
      <c r="Q247" s="53" t="n">
        <f aca="false">IF(P247=1,F247/E247*MIN(L247/K247,1)*MIN(MAX(M247/L247,0),1),0)</f>
        <v>0.617928199620706</v>
      </c>
      <c r="R247" s="55" t="n">
        <f aca="false">IF(F247&gt;0,N247/(F247/3600),0)</f>
        <v>3.75095658586461</v>
      </c>
    </row>
    <row r="248" customFormat="false" ht="15" hidden="false" customHeight="false" outlineLevel="0" collapsed="false">
      <c r="A248" s="0" t="s">
        <v>258</v>
      </c>
      <c r="B248" s="52" t="n">
        <v>44084</v>
      </c>
      <c r="C248" s="0" t="n">
        <v>85800.287</v>
      </c>
      <c r="D248" s="0" t="n">
        <v>8766.206</v>
      </c>
      <c r="E248" s="0" t="n">
        <v>77034.081</v>
      </c>
      <c r="F248" s="0" t="n">
        <v>68550.191</v>
      </c>
      <c r="G248" s="0" t="n">
        <v>56959.556</v>
      </c>
      <c r="H248" s="0" t="n">
        <v>11590.635</v>
      </c>
      <c r="I248" s="0" t="n">
        <v>6353.598</v>
      </c>
      <c r="J248" s="0" t="n">
        <v>2130.292</v>
      </c>
      <c r="K248" s="0" t="n">
        <v>86541.3250833333</v>
      </c>
      <c r="L248" s="0" t="n">
        <v>71525</v>
      </c>
      <c r="M248" s="0" t="n">
        <v>71161</v>
      </c>
      <c r="N248" s="0" t="n">
        <v>59</v>
      </c>
      <c r="O248" s="54" t="n">
        <f aca="false">YEAR(B248)</f>
        <v>2020</v>
      </c>
      <c r="P248" s="54" t="n">
        <f aca="false">IF(AND(E248&gt;=14400,K248&gt;0,L248&gt;0),1,0)</f>
        <v>1</v>
      </c>
      <c r="Q248" s="53" t="n">
        <f aca="false">IF(P248=1,F248/E248*MIN(L248/K248,1)*MIN(MAX(M248/L248,0),1),0)</f>
        <v>0.731718886971927</v>
      </c>
      <c r="R248" s="55" t="n">
        <f aca="false">IF(F248&gt;0,N248/(F248/3600),0)</f>
        <v>3.0984596381358</v>
      </c>
    </row>
    <row r="249" customFormat="false" ht="15" hidden="false" customHeight="false" outlineLevel="0" collapsed="false">
      <c r="A249" s="0" t="s">
        <v>258</v>
      </c>
      <c r="B249" s="52" t="n">
        <v>44085</v>
      </c>
      <c r="C249" s="0" t="n">
        <v>86334.84</v>
      </c>
      <c r="D249" s="0" t="n">
        <v>3953.179</v>
      </c>
      <c r="E249" s="0" t="n">
        <v>82381.661</v>
      </c>
      <c r="F249" s="0" t="n">
        <v>69240.701</v>
      </c>
      <c r="G249" s="0" t="n">
        <v>56320.612</v>
      </c>
      <c r="H249" s="0" t="n">
        <v>12920.089</v>
      </c>
      <c r="I249" s="0" t="n">
        <v>12957.769</v>
      </c>
      <c r="J249" s="0" t="n">
        <v>183.191</v>
      </c>
      <c r="K249" s="0" t="n">
        <v>86550.87625</v>
      </c>
      <c r="L249" s="0" t="n">
        <v>70203</v>
      </c>
      <c r="M249" s="0" t="n">
        <v>69936</v>
      </c>
      <c r="N249" s="0" t="n">
        <v>59</v>
      </c>
      <c r="O249" s="54" t="n">
        <f aca="false">YEAR(B249)</f>
        <v>2020</v>
      </c>
      <c r="P249" s="54" t="n">
        <f aca="false">IF(AND(E249&gt;=14400,K249&gt;0,L249&gt;0),1,0)</f>
        <v>1</v>
      </c>
      <c r="Q249" s="53" t="n">
        <f aca="false">IF(P249=1,F249/E249*MIN(L249/K249,1)*MIN(MAX(M249/L249,0),1),0)</f>
        <v>0.679141441442896</v>
      </c>
      <c r="R249" s="55" t="n">
        <f aca="false">IF(F249&gt;0,N249/(F249/3600),0)</f>
        <v>3.06755993126066</v>
      </c>
    </row>
    <row r="250" customFormat="false" ht="15" hidden="false" customHeight="false" outlineLevel="0" collapsed="false">
      <c r="A250" s="0" t="s">
        <v>258</v>
      </c>
      <c r="B250" s="52" t="n">
        <v>44086</v>
      </c>
      <c r="C250" s="0" t="n">
        <v>22252.288</v>
      </c>
      <c r="D250" s="0" t="n">
        <v>5690.208</v>
      </c>
      <c r="E250" s="0" t="n">
        <v>16562.08</v>
      </c>
      <c r="F250" s="0" t="n">
        <v>10799.427</v>
      </c>
      <c r="G250" s="0" t="n">
        <v>8444.917</v>
      </c>
      <c r="H250" s="0" t="n">
        <v>2354.51</v>
      </c>
      <c r="I250" s="0" t="n">
        <v>2076.27</v>
      </c>
      <c r="J250" s="0" t="n">
        <v>3686.383</v>
      </c>
      <c r="K250" s="0" t="n">
        <v>13499.28375</v>
      </c>
      <c r="L250" s="0" t="n">
        <v>10516</v>
      </c>
      <c r="M250" s="0" t="n">
        <v>10480</v>
      </c>
      <c r="N250" s="0" t="n">
        <v>13</v>
      </c>
      <c r="O250" s="54" t="n">
        <f aca="false">YEAR(B250)</f>
        <v>2020</v>
      </c>
      <c r="P250" s="54" t="n">
        <f aca="false">IF(AND(E250&gt;=14400,K250&gt;0,L250&gt;0),1,0)</f>
        <v>1</v>
      </c>
      <c r="Q250" s="53" t="n">
        <f aca="false">IF(P250=1,F250/E250*MIN(L250/K250,1)*MIN(MAX(M250/L250,0),1),0)</f>
        <v>0.506216610474047</v>
      </c>
      <c r="R250" s="55" t="n">
        <f aca="false">IF(F250&gt;0,N250/(F250/3600),0)</f>
        <v>4.33356325293925</v>
      </c>
    </row>
    <row r="251" customFormat="false" ht="15" hidden="false" customHeight="false" outlineLevel="0" collapsed="false">
      <c r="A251" s="0" t="s">
        <v>258</v>
      </c>
      <c r="B251" s="52" t="n">
        <v>44087</v>
      </c>
      <c r="C251" s="0" t="n">
        <v>78476.909</v>
      </c>
      <c r="D251" s="0" t="n">
        <v>42530.977</v>
      </c>
      <c r="E251" s="0" t="n">
        <v>35945.932</v>
      </c>
      <c r="F251" s="0" t="n">
        <v>20515.112</v>
      </c>
      <c r="G251" s="0" t="n">
        <v>17912.285</v>
      </c>
      <c r="H251" s="0" t="n">
        <v>2602.827</v>
      </c>
      <c r="I251" s="0" t="n">
        <v>4570.194</v>
      </c>
      <c r="J251" s="0" t="n">
        <v>10860.626</v>
      </c>
      <c r="K251" s="0" t="n">
        <v>25643.89</v>
      </c>
      <c r="L251" s="0" t="n">
        <v>22227</v>
      </c>
      <c r="M251" s="0" t="n">
        <v>22020</v>
      </c>
      <c r="N251" s="0" t="n">
        <v>27</v>
      </c>
      <c r="O251" s="54" t="n">
        <f aca="false">YEAR(B251)</f>
        <v>2020</v>
      </c>
      <c r="P251" s="54" t="n">
        <f aca="false">IF(AND(E251&gt;=14400,K251&gt;0,L251&gt;0),1,0)</f>
        <v>1</v>
      </c>
      <c r="Q251" s="53" t="n">
        <f aca="false">IF(P251=1,F251/E251*MIN(L251/K251,1)*MIN(MAX(M251/L251,0),1),0)</f>
        <v>0.490069363064505</v>
      </c>
      <c r="R251" s="55" t="n">
        <f aca="false">IF(F251&gt;0,N251/(F251/3600),0)</f>
        <v>4.73797072129073</v>
      </c>
    </row>
    <row r="252" customFormat="false" ht="15" hidden="false" customHeight="false" outlineLevel="0" collapsed="false">
      <c r="A252" s="0" t="s">
        <v>258</v>
      </c>
      <c r="B252" s="52" t="n">
        <v>44088</v>
      </c>
      <c r="C252" s="0" t="n">
        <v>82514.148</v>
      </c>
      <c r="D252" s="0" t="n">
        <v>9637.84</v>
      </c>
      <c r="E252" s="0" t="n">
        <v>72876.308</v>
      </c>
      <c r="F252" s="0" t="n">
        <v>60905.343</v>
      </c>
      <c r="G252" s="0" t="n">
        <v>49986.333</v>
      </c>
      <c r="H252" s="0" t="n">
        <v>10919.01</v>
      </c>
      <c r="I252" s="0" t="n">
        <v>6143.378</v>
      </c>
      <c r="J252" s="0" t="n">
        <v>5827.587</v>
      </c>
      <c r="K252" s="0" t="n">
        <v>76131.67875</v>
      </c>
      <c r="L252" s="0" t="n">
        <v>61059</v>
      </c>
      <c r="M252" s="0" t="n">
        <v>60769</v>
      </c>
      <c r="N252" s="0" t="n">
        <v>70</v>
      </c>
      <c r="O252" s="54" t="n">
        <f aca="false">YEAR(B252)</f>
        <v>2020</v>
      </c>
      <c r="P252" s="54" t="n">
        <f aca="false">IF(AND(E252&gt;=14400,K252&gt;0,L252&gt;0),1,0)</f>
        <v>1</v>
      </c>
      <c r="Q252" s="53" t="n">
        <f aca="false">IF(P252=1,F252/E252*MIN(L252/K252,1)*MIN(MAX(M252/L252,0),1),0)</f>
        <v>0.667091971783203</v>
      </c>
      <c r="R252" s="55" t="n">
        <f aca="false">IF(F252&gt;0,N252/(F252/3600),0)</f>
        <v>4.13756802913006</v>
      </c>
    </row>
    <row r="253" customFormat="false" ht="15" hidden="false" customHeight="false" outlineLevel="0" collapsed="false">
      <c r="A253" s="0" t="s">
        <v>258</v>
      </c>
      <c r="B253" s="52" t="n">
        <v>44089</v>
      </c>
      <c r="C253" s="0" t="n">
        <v>79558.581</v>
      </c>
      <c r="D253" s="0" t="n">
        <v>4073.489</v>
      </c>
      <c r="E253" s="0" t="n">
        <v>75485.092</v>
      </c>
      <c r="F253" s="0" t="n">
        <v>63039.379</v>
      </c>
      <c r="G253" s="0" t="n">
        <v>52829.159</v>
      </c>
      <c r="H253" s="0" t="n">
        <v>10210.22</v>
      </c>
      <c r="I253" s="0" t="n">
        <v>6723.025</v>
      </c>
      <c r="J253" s="0" t="n">
        <v>5722.688</v>
      </c>
      <c r="K253" s="0" t="n">
        <v>78799.22375</v>
      </c>
      <c r="L253" s="0" t="n">
        <v>64699</v>
      </c>
      <c r="M253" s="0" t="n">
        <v>64243</v>
      </c>
      <c r="N253" s="0" t="n">
        <v>54</v>
      </c>
      <c r="O253" s="54" t="n">
        <f aca="false">YEAR(B253)</f>
        <v>2020</v>
      </c>
      <c r="P253" s="54" t="n">
        <f aca="false">IF(AND(E253&gt;=14400,K253&gt;0,L253&gt;0),1,0)</f>
        <v>1</v>
      </c>
      <c r="Q253" s="53" t="n">
        <f aca="false">IF(P253=1,F253/E253*MIN(L253/K253,1)*MIN(MAX(M253/L253,0),1),0)</f>
        <v>0.680854969349444</v>
      </c>
      <c r="R253" s="55" t="n">
        <f aca="false">IF(F253&gt;0,N253/(F253/3600),0)</f>
        <v>3.08378672321629</v>
      </c>
    </row>
    <row r="254" customFormat="false" ht="15" hidden="false" customHeight="false" outlineLevel="0" collapsed="false">
      <c r="A254" s="0" t="s">
        <v>258</v>
      </c>
      <c r="B254" s="52" t="n">
        <v>44090</v>
      </c>
      <c r="C254" s="0" t="n">
        <v>81543.957</v>
      </c>
      <c r="D254" s="0" t="n">
        <v>8575.339</v>
      </c>
      <c r="E254" s="0" t="n">
        <v>72968.618</v>
      </c>
      <c r="F254" s="0" t="n">
        <v>58234.459</v>
      </c>
      <c r="G254" s="0" t="n">
        <v>50177.967</v>
      </c>
      <c r="H254" s="0" t="n">
        <v>8056.492</v>
      </c>
      <c r="I254" s="0" t="n">
        <v>11595.246</v>
      </c>
      <c r="J254" s="0" t="n">
        <v>3138.913</v>
      </c>
      <c r="K254" s="0" t="n">
        <v>70614.9580555556</v>
      </c>
      <c r="L254" s="0" t="n">
        <v>61069</v>
      </c>
      <c r="M254" s="0" t="n">
        <v>60707</v>
      </c>
      <c r="N254" s="0" t="n">
        <v>56</v>
      </c>
      <c r="O254" s="54" t="n">
        <f aca="false">YEAR(B254)</f>
        <v>2020</v>
      </c>
      <c r="P254" s="54" t="n">
        <f aca="false">IF(AND(E254&gt;=14400,K254&gt;0,L254&gt;0),1,0)</f>
        <v>1</v>
      </c>
      <c r="Q254" s="53" t="n">
        <f aca="false">IF(P254=1,F254/E254*MIN(L254/K254,1)*MIN(MAX(M254/L254,0),1),0)</f>
        <v>0.686097742513932</v>
      </c>
      <c r="R254" s="55" t="n">
        <f aca="false">IF(F254&gt;0,N254/(F254/3600),0)</f>
        <v>3.46186782640155</v>
      </c>
    </row>
    <row r="255" customFormat="false" ht="15" hidden="false" customHeight="false" outlineLevel="0" collapsed="false">
      <c r="A255" s="0" t="s">
        <v>258</v>
      </c>
      <c r="B255" s="52" t="n">
        <v>44091</v>
      </c>
      <c r="C255" s="0" t="n">
        <v>84276.509</v>
      </c>
      <c r="D255" s="0" t="n">
        <v>8386.681</v>
      </c>
      <c r="E255" s="0" t="n">
        <v>75889.828</v>
      </c>
      <c r="F255" s="0" t="n">
        <v>63442.223</v>
      </c>
      <c r="G255" s="0" t="n">
        <v>55771.68</v>
      </c>
      <c r="H255" s="0" t="n">
        <v>7670.543</v>
      </c>
      <c r="I255" s="0" t="n">
        <v>11454.56</v>
      </c>
      <c r="J255" s="0" t="n">
        <v>993.045</v>
      </c>
      <c r="K255" s="0" t="n">
        <v>78649.6204166667</v>
      </c>
      <c r="L255" s="0" t="n">
        <v>68007</v>
      </c>
      <c r="M255" s="0" t="n">
        <v>67860</v>
      </c>
      <c r="N255" s="0" t="n">
        <v>61</v>
      </c>
      <c r="O255" s="54" t="n">
        <f aca="false">YEAR(B255)</f>
        <v>2020</v>
      </c>
      <c r="P255" s="54" t="n">
        <f aca="false">IF(AND(E255&gt;=14400,K255&gt;0,L255&gt;0),1,0)</f>
        <v>1</v>
      </c>
      <c r="Q255" s="53" t="n">
        <f aca="false">IF(P255=1,F255/E255*MIN(L255/K255,1)*MIN(MAX(M255/L255,0),1),0)</f>
        <v>0.721293548931991</v>
      </c>
      <c r="R255" s="55" t="n">
        <f aca="false">IF(F255&gt;0,N255/(F255/3600),0)</f>
        <v>3.46141717007615</v>
      </c>
    </row>
    <row r="256" customFormat="false" ht="15" hidden="false" customHeight="false" outlineLevel="0" collapsed="false">
      <c r="A256" s="0" t="s">
        <v>258</v>
      </c>
      <c r="B256" s="52" t="n">
        <v>44092</v>
      </c>
      <c r="C256" s="0" t="n">
        <v>86823.208</v>
      </c>
      <c r="D256" s="0" t="n">
        <v>2979.166</v>
      </c>
      <c r="E256" s="0" t="n">
        <v>83844.042</v>
      </c>
      <c r="F256" s="0" t="n">
        <v>73107.477</v>
      </c>
      <c r="G256" s="0" t="n">
        <v>63329.605</v>
      </c>
      <c r="H256" s="0" t="n">
        <v>9777.872</v>
      </c>
      <c r="I256" s="0" t="n">
        <v>10417.277</v>
      </c>
      <c r="J256" s="0" t="n">
        <v>319.288</v>
      </c>
      <c r="K256" s="0" t="n">
        <v>89707.4452083333</v>
      </c>
      <c r="L256" s="0" t="n">
        <v>77740</v>
      </c>
      <c r="M256" s="0" t="n">
        <v>77610</v>
      </c>
      <c r="N256" s="0" t="n">
        <v>57</v>
      </c>
      <c r="O256" s="54" t="n">
        <f aca="false">YEAR(B256)</f>
        <v>2020</v>
      </c>
      <c r="P256" s="54" t="n">
        <f aca="false">IF(AND(E256&gt;=14400,K256&gt;0,L256&gt;0),1,0)</f>
        <v>1</v>
      </c>
      <c r="Q256" s="53" t="n">
        <f aca="false">IF(P256=1,F256/E256*MIN(L256/K256,1)*MIN(MAX(M256/L256,0),1),0)</f>
        <v>0.754360230196166</v>
      </c>
      <c r="R256" s="55" t="n">
        <f aca="false">IF(F256&gt;0,N256/(F256/3600),0)</f>
        <v>2.80682644813471</v>
      </c>
    </row>
    <row r="257" customFormat="false" ht="15" hidden="false" customHeight="false" outlineLevel="0" collapsed="false">
      <c r="A257" s="0" t="s">
        <v>258</v>
      </c>
      <c r="B257" s="52" t="n">
        <v>44093</v>
      </c>
      <c r="C257" s="0" t="n">
        <v>17173.011</v>
      </c>
      <c r="D257" s="0" t="n">
        <v>5635.36</v>
      </c>
      <c r="E257" s="0" t="n">
        <v>11537.651</v>
      </c>
      <c r="F257" s="0" t="n">
        <v>5126.437</v>
      </c>
      <c r="G257" s="0" t="n">
        <v>4710.267</v>
      </c>
      <c r="H257" s="0" t="n">
        <v>416.17</v>
      </c>
      <c r="I257" s="0" t="n">
        <v>2489.904</v>
      </c>
      <c r="J257" s="0" t="n">
        <v>3921.31</v>
      </c>
      <c r="K257" s="0" t="n">
        <v>6052.04368055556</v>
      </c>
      <c r="L257" s="0" t="n">
        <v>5569</v>
      </c>
      <c r="M257" s="0" t="n">
        <v>5557</v>
      </c>
      <c r="N257" s="0" t="n">
        <v>12</v>
      </c>
      <c r="O257" s="54" t="n">
        <f aca="false">YEAR(B257)</f>
        <v>2020</v>
      </c>
      <c r="P257" s="54" t="n">
        <f aca="false">IF(AND(E257&gt;=14400,K257&gt;0,L257&gt;0),1,0)</f>
        <v>0</v>
      </c>
      <c r="Q257" s="53" t="n">
        <f aca="false">IF(P257=1,F257/E257*MIN(L257/K257,1)*MIN(MAX(M257/L257,0),1),0)</f>
        <v>0</v>
      </c>
      <c r="R257" s="55" t="n">
        <f aca="false">IF(F257&gt;0,N257/(F257/3600),0)</f>
        <v>8.42690547060268</v>
      </c>
    </row>
    <row r="258" customFormat="false" ht="15" hidden="false" customHeight="false" outlineLevel="0" collapsed="false">
      <c r="A258" s="0" t="s">
        <v>258</v>
      </c>
      <c r="B258" s="52" t="n">
        <v>44094</v>
      </c>
      <c r="C258" s="0" t="n">
        <v>36408.527</v>
      </c>
      <c r="D258" s="0" t="n">
        <v>7893.675</v>
      </c>
      <c r="E258" s="0" t="n">
        <v>28514.852</v>
      </c>
      <c r="F258" s="0" t="n">
        <v>22297.163</v>
      </c>
      <c r="G258" s="0" t="n">
        <v>16465.716</v>
      </c>
      <c r="H258" s="0" t="n">
        <v>5831.447</v>
      </c>
      <c r="I258" s="0" t="n">
        <v>1487.052</v>
      </c>
      <c r="J258" s="0" t="n">
        <v>4730.637</v>
      </c>
      <c r="K258" s="0" t="n">
        <v>27871.45375</v>
      </c>
      <c r="L258" s="0" t="n">
        <v>20518</v>
      </c>
      <c r="M258" s="0" t="n">
        <v>20407</v>
      </c>
      <c r="N258" s="0" t="n">
        <v>16</v>
      </c>
      <c r="O258" s="54" t="n">
        <f aca="false">YEAR(B258)</f>
        <v>2020</v>
      </c>
      <c r="P258" s="54" t="n">
        <f aca="false">IF(AND(E258&gt;=14400,K258&gt;0,L258&gt;0),1,0)</f>
        <v>1</v>
      </c>
      <c r="Q258" s="53" t="n">
        <f aca="false">IF(P258=1,F258/E258*MIN(L258/K258,1)*MIN(MAX(M258/L258,0),1),0)</f>
        <v>0.57252971188488</v>
      </c>
      <c r="R258" s="55" t="n">
        <f aca="false">IF(F258&gt;0,N258/(F258/3600),0)</f>
        <v>2.58328828649636</v>
      </c>
    </row>
    <row r="259" customFormat="false" ht="15" hidden="false" customHeight="false" outlineLevel="0" collapsed="false">
      <c r="A259" s="0" t="s">
        <v>258</v>
      </c>
      <c r="B259" s="52" t="n">
        <v>44095</v>
      </c>
      <c r="C259" s="0" t="n">
        <v>84549.625</v>
      </c>
      <c r="D259" s="0" t="n">
        <v>9461.107</v>
      </c>
      <c r="E259" s="0" t="n">
        <v>75088.518</v>
      </c>
      <c r="F259" s="0" t="n">
        <v>55608.26</v>
      </c>
      <c r="G259" s="0" t="n">
        <v>40068.276</v>
      </c>
      <c r="H259" s="0" t="n">
        <v>15539.984</v>
      </c>
      <c r="I259" s="0" t="n">
        <v>15894.957</v>
      </c>
      <c r="J259" s="0" t="n">
        <v>3585.301</v>
      </c>
      <c r="K259" s="0" t="n">
        <v>68481.47125</v>
      </c>
      <c r="L259" s="0" t="n">
        <v>48277</v>
      </c>
      <c r="M259" s="0" t="n">
        <v>47993</v>
      </c>
      <c r="N259" s="0" t="n">
        <v>79</v>
      </c>
      <c r="O259" s="54" t="n">
        <f aca="false">YEAR(B259)</f>
        <v>2020</v>
      </c>
      <c r="P259" s="54" t="n">
        <f aca="false">IF(AND(E259&gt;=14400,K259&gt;0,L259&gt;0),1,0)</f>
        <v>1</v>
      </c>
      <c r="Q259" s="53" t="n">
        <f aca="false">IF(P259=1,F259/E259*MIN(L259/K259,1)*MIN(MAX(M259/L259,0),1),0)</f>
        <v>0.519003861660482</v>
      </c>
      <c r="R259" s="55" t="n">
        <f aca="false">IF(F259&gt;0,N259/(F259/3600),0)</f>
        <v>5.1143481202253</v>
      </c>
    </row>
    <row r="260" customFormat="false" ht="15" hidden="false" customHeight="false" outlineLevel="0" collapsed="false">
      <c r="A260" s="0" t="s">
        <v>258</v>
      </c>
      <c r="B260" s="52" t="n">
        <v>44096</v>
      </c>
      <c r="C260" s="0" t="n">
        <v>99677.567</v>
      </c>
      <c r="D260" s="0" t="n">
        <v>8848.987</v>
      </c>
      <c r="E260" s="0" t="n">
        <v>90828.58</v>
      </c>
      <c r="F260" s="0" t="n">
        <v>65070.895</v>
      </c>
      <c r="G260" s="0" t="n">
        <v>52199.712</v>
      </c>
      <c r="H260" s="0" t="n">
        <v>12871.183</v>
      </c>
      <c r="I260" s="0" t="n">
        <v>6728.656</v>
      </c>
      <c r="J260" s="0" t="n">
        <v>19029.029</v>
      </c>
      <c r="K260" s="0" t="n">
        <v>81338.61875</v>
      </c>
      <c r="L260" s="0" t="n">
        <v>63870</v>
      </c>
      <c r="M260" s="0" t="n">
        <v>63671</v>
      </c>
      <c r="N260" s="0" t="n">
        <v>68</v>
      </c>
      <c r="O260" s="54" t="n">
        <f aca="false">YEAR(B260)</f>
        <v>2020</v>
      </c>
      <c r="P260" s="54" t="n">
        <f aca="false">IF(AND(E260&gt;=14400,K260&gt;0,L260&gt;0),1,0)</f>
        <v>1</v>
      </c>
      <c r="Q260" s="53" t="n">
        <f aca="false">IF(P260=1,F260/E260*MIN(L260/K260,1)*MIN(MAX(M260/L260,0),1),0)</f>
        <v>0.560801456986336</v>
      </c>
      <c r="R260" s="55" t="n">
        <f aca="false">IF(F260&gt;0,N260/(F260/3600),0)</f>
        <v>3.76205060649619</v>
      </c>
    </row>
    <row r="261" customFormat="false" ht="15" hidden="false" customHeight="false" outlineLevel="0" collapsed="false">
      <c r="A261" s="0" t="s">
        <v>258</v>
      </c>
      <c r="B261" s="52" t="n">
        <v>44097</v>
      </c>
      <c r="C261" s="0" t="n">
        <v>65435.979</v>
      </c>
      <c r="D261" s="0" t="n">
        <v>8767.403</v>
      </c>
      <c r="E261" s="0" t="n">
        <v>56668.576</v>
      </c>
      <c r="F261" s="0" t="n">
        <v>43252.01</v>
      </c>
      <c r="G261" s="0" t="n">
        <v>36166.406</v>
      </c>
      <c r="H261" s="0" t="n">
        <v>7085.604</v>
      </c>
      <c r="I261" s="0" t="n">
        <v>1599.598</v>
      </c>
      <c r="J261" s="0" t="n">
        <v>11816.968</v>
      </c>
      <c r="K261" s="0" t="n">
        <v>53834.2409722222</v>
      </c>
      <c r="L261" s="0" t="n">
        <v>43829</v>
      </c>
      <c r="M261" s="0" t="n">
        <v>43446</v>
      </c>
      <c r="N261" s="0" t="n">
        <v>15</v>
      </c>
      <c r="O261" s="54" t="n">
        <f aca="false">YEAR(B261)</f>
        <v>2020</v>
      </c>
      <c r="P261" s="54" t="n">
        <f aca="false">IF(AND(E261&gt;=14400,K261&gt;0,L261&gt;0),1,0)</f>
        <v>1</v>
      </c>
      <c r="Q261" s="53" t="n">
        <f aca="false">IF(P261=1,F261/E261*MIN(L261/K261,1)*MIN(MAX(M261/L261,0),1),0)</f>
        <v>0.615963813169686</v>
      </c>
      <c r="R261" s="55" t="n">
        <f aca="false">IF(F261&gt;0,N261/(F261/3600),0)</f>
        <v>1.24849689066473</v>
      </c>
    </row>
    <row r="262" customFormat="false" ht="15" hidden="false" customHeight="false" outlineLevel="0" collapsed="false">
      <c r="A262" s="0" t="s">
        <v>258</v>
      </c>
      <c r="B262" s="52" t="n">
        <v>44098</v>
      </c>
      <c r="C262" s="0" t="n">
        <v>82126.98</v>
      </c>
      <c r="D262" s="0" t="n">
        <v>10656.091</v>
      </c>
      <c r="E262" s="0" t="n">
        <v>71470.889</v>
      </c>
      <c r="F262" s="0" t="n">
        <v>63016.536</v>
      </c>
      <c r="G262" s="0" t="n">
        <v>56760.417</v>
      </c>
      <c r="H262" s="0" t="n">
        <v>6256.119</v>
      </c>
      <c r="I262" s="0" t="n">
        <v>5527.224</v>
      </c>
      <c r="J262" s="0" t="n">
        <v>2927.129</v>
      </c>
      <c r="K262" s="0" t="n">
        <v>78410.9331944444</v>
      </c>
      <c r="L262" s="0" t="n">
        <v>69437</v>
      </c>
      <c r="M262" s="0" t="n">
        <v>69257</v>
      </c>
      <c r="N262" s="0" t="n">
        <v>51</v>
      </c>
      <c r="O262" s="54" t="n">
        <f aca="false">YEAR(B262)</f>
        <v>2020</v>
      </c>
      <c r="P262" s="54" t="n">
        <f aca="false">IF(AND(E262&gt;=14400,K262&gt;0,L262&gt;0),1,0)</f>
        <v>1</v>
      </c>
      <c r="Q262" s="53" t="n">
        <f aca="false">IF(P262=1,F262/E262*MIN(L262/K262,1)*MIN(MAX(M262/L262,0),1),0)</f>
        <v>0.778775705738078</v>
      </c>
      <c r="R262" s="55" t="n">
        <f aca="false">IF(F262&gt;0,N262/(F262/3600),0)</f>
        <v>2.91352098439686</v>
      </c>
    </row>
    <row r="263" customFormat="false" ht="15" hidden="false" customHeight="false" outlineLevel="0" collapsed="false">
      <c r="A263" s="0" t="s">
        <v>258</v>
      </c>
      <c r="B263" s="52" t="n">
        <v>44099</v>
      </c>
      <c r="C263" s="0" t="n">
        <v>86273.379</v>
      </c>
      <c r="D263" s="0" t="n">
        <v>3567.649</v>
      </c>
      <c r="E263" s="0" t="n">
        <v>82705.73</v>
      </c>
      <c r="F263" s="0" t="n">
        <v>75596.357</v>
      </c>
      <c r="G263" s="0" t="n">
        <v>70231.868</v>
      </c>
      <c r="H263" s="0" t="n">
        <v>5364.489</v>
      </c>
      <c r="I263" s="0" t="n">
        <v>6705.151</v>
      </c>
      <c r="J263" s="0" t="n">
        <v>404.222</v>
      </c>
      <c r="K263" s="0" t="n">
        <v>92151.9665972222</v>
      </c>
      <c r="L263" s="0" t="n">
        <v>87318</v>
      </c>
      <c r="M263" s="0" t="n">
        <v>87164</v>
      </c>
      <c r="N263" s="0" t="n">
        <v>39</v>
      </c>
      <c r="O263" s="54" t="n">
        <f aca="false">YEAR(B263)</f>
        <v>2020</v>
      </c>
      <c r="P263" s="54" t="n">
        <f aca="false">IF(AND(E263&gt;=14400,K263&gt;0,L263&gt;0),1,0)</f>
        <v>1</v>
      </c>
      <c r="Q263" s="53" t="n">
        <f aca="false">IF(P263=1,F263/E263*MIN(L263/K263,1)*MIN(MAX(M263/L263,0),1),0)</f>
        <v>0.864565322644454</v>
      </c>
      <c r="R263" s="55" t="n">
        <f aca="false">IF(F263&gt;0,N263/(F263/3600),0)</f>
        <v>1.85723235314104</v>
      </c>
    </row>
    <row r="264" customFormat="false" ht="15" hidden="false" customHeight="false" outlineLevel="0" collapsed="false">
      <c r="A264" s="0" t="s">
        <v>258</v>
      </c>
      <c r="B264" s="52" t="n">
        <v>44100</v>
      </c>
      <c r="C264" s="0" t="n">
        <v>24045.859</v>
      </c>
      <c r="D264" s="0" t="n">
        <v>14453.519</v>
      </c>
      <c r="E264" s="0" t="n">
        <v>9592.34</v>
      </c>
      <c r="F264" s="0" t="n">
        <v>4822.862</v>
      </c>
      <c r="G264" s="0" t="n">
        <v>3828.921</v>
      </c>
      <c r="H264" s="0" t="n">
        <v>993.941</v>
      </c>
      <c r="I264" s="0" t="n">
        <v>2029.208</v>
      </c>
      <c r="J264" s="0" t="n">
        <v>2740.27</v>
      </c>
      <c r="K264" s="0" t="n">
        <v>6028.5775</v>
      </c>
      <c r="L264" s="0" t="n">
        <v>4736</v>
      </c>
      <c r="M264" s="0" t="n">
        <v>4719</v>
      </c>
      <c r="N264" s="0" t="n">
        <v>14</v>
      </c>
      <c r="O264" s="54" t="n">
        <f aca="false">YEAR(B264)</f>
        <v>2020</v>
      </c>
      <c r="P264" s="54" t="n">
        <f aca="false">IF(AND(E264&gt;=14400,K264&gt;0,L264&gt;0),1,0)</f>
        <v>0</v>
      </c>
      <c r="Q264" s="53" t="n">
        <f aca="false">IF(P264=1,F264/E264*MIN(L264/K264,1)*MIN(MAX(M264/L264,0),1),0)</f>
        <v>0</v>
      </c>
      <c r="R264" s="55" t="n">
        <f aca="false">IF(F264&gt;0,N264/(F264/3600),0)</f>
        <v>10.4502264423075</v>
      </c>
    </row>
    <row r="265" customFormat="false" ht="15" hidden="false" customHeight="false" outlineLevel="0" collapsed="false">
      <c r="A265" s="0" t="s">
        <v>258</v>
      </c>
      <c r="B265" s="52" t="n">
        <v>44101</v>
      </c>
      <c r="C265" s="0" t="n">
        <v>83763.099</v>
      </c>
      <c r="D265" s="0" t="n">
        <v>9029.718</v>
      </c>
      <c r="E265" s="0" t="n">
        <v>74733.381</v>
      </c>
      <c r="F265" s="0" t="n">
        <v>27244.021</v>
      </c>
      <c r="G265" s="0" t="n">
        <v>25434.72</v>
      </c>
      <c r="H265" s="0" t="n">
        <v>1809.301</v>
      </c>
      <c r="I265" s="0" t="n">
        <v>1706.519</v>
      </c>
      <c r="J265" s="0" t="n">
        <v>45782.841</v>
      </c>
      <c r="K265" s="0" t="n">
        <v>30580.3454186111</v>
      </c>
      <c r="L265" s="0" t="n">
        <v>30222</v>
      </c>
      <c r="M265" s="0" t="n">
        <v>30147</v>
      </c>
      <c r="N265" s="0" t="n">
        <v>15</v>
      </c>
      <c r="O265" s="54" t="n">
        <f aca="false">YEAR(B265)</f>
        <v>2020</v>
      </c>
      <c r="P265" s="54" t="n">
        <f aca="false">IF(AND(E265&gt;=14400,K265&gt;0,L265&gt;0),1,0)</f>
        <v>1</v>
      </c>
      <c r="Q265" s="53" t="n">
        <f aca="false">IF(P265=1,F265/E265*MIN(L265/K265,1)*MIN(MAX(M265/L265,0),1),0)</f>
        <v>0.35938362925556</v>
      </c>
      <c r="R265" s="55" t="n">
        <f aca="false">IF(F265&gt;0,N265/(F265/3600),0)</f>
        <v>1.98208627133271</v>
      </c>
    </row>
    <row r="266" customFormat="false" ht="15" hidden="false" customHeight="false" outlineLevel="0" collapsed="false">
      <c r="A266" s="0" t="s">
        <v>258</v>
      </c>
      <c r="B266" s="52" t="n">
        <v>44102</v>
      </c>
      <c r="C266" s="0" t="n">
        <v>84283.59</v>
      </c>
      <c r="D266" s="0" t="n">
        <v>9285.471</v>
      </c>
      <c r="E266" s="0" t="n">
        <v>74998.119</v>
      </c>
      <c r="F266" s="0" t="n">
        <v>64676.625</v>
      </c>
      <c r="G266" s="0" t="n">
        <v>56715.987</v>
      </c>
      <c r="H266" s="0" t="n">
        <v>7960.638</v>
      </c>
      <c r="I266" s="0" t="n">
        <v>9166.044</v>
      </c>
      <c r="J266" s="0" t="n">
        <v>1155.45</v>
      </c>
      <c r="K266" s="0" t="n">
        <v>79275.7832291667</v>
      </c>
      <c r="L266" s="0" t="n">
        <v>68793</v>
      </c>
      <c r="M266" s="0" t="n">
        <v>68574</v>
      </c>
      <c r="N266" s="0" t="n">
        <v>60</v>
      </c>
      <c r="O266" s="54" t="n">
        <f aca="false">YEAR(B266)</f>
        <v>2020</v>
      </c>
      <c r="P266" s="54" t="n">
        <f aca="false">IF(AND(E266&gt;=14400,K266&gt;0,L266&gt;0),1,0)</f>
        <v>1</v>
      </c>
      <c r="Q266" s="53" t="n">
        <f aca="false">IF(P266=1,F266/E266*MIN(L266/K266,1)*MIN(MAX(M266/L266,0),1),0)</f>
        <v>0.745960651632451</v>
      </c>
      <c r="R266" s="55" t="n">
        <f aca="false">IF(F266&gt;0,N266/(F266/3600),0)</f>
        <v>3.33969189023082</v>
      </c>
    </row>
    <row r="267" customFormat="false" ht="15" hidden="false" customHeight="false" outlineLevel="0" collapsed="false">
      <c r="A267" s="0" t="s">
        <v>258</v>
      </c>
      <c r="B267" s="52" t="n">
        <v>44103</v>
      </c>
      <c r="C267" s="0" t="n">
        <v>83071.99</v>
      </c>
      <c r="D267" s="0" t="n">
        <v>2972.211</v>
      </c>
      <c r="E267" s="0" t="n">
        <v>80099.779</v>
      </c>
      <c r="F267" s="0" t="n">
        <v>68005.187</v>
      </c>
      <c r="G267" s="0" t="n">
        <v>61335.496</v>
      </c>
      <c r="H267" s="0" t="n">
        <v>6669.691</v>
      </c>
      <c r="I267" s="0" t="n">
        <v>11590.013</v>
      </c>
      <c r="J267" s="0" t="n">
        <v>504.579</v>
      </c>
      <c r="K267" s="0" t="n">
        <v>82489.0851388889</v>
      </c>
      <c r="L267" s="0" t="n">
        <v>79657</v>
      </c>
      <c r="M267" s="0" t="n">
        <v>79491</v>
      </c>
      <c r="N267" s="0" t="n">
        <v>58</v>
      </c>
      <c r="O267" s="54" t="n">
        <f aca="false">YEAR(B267)</f>
        <v>2020</v>
      </c>
      <c r="P267" s="54" t="n">
        <f aca="false">IF(AND(E267&gt;=14400,K267&gt;0,L267&gt;0),1,0)</f>
        <v>1</v>
      </c>
      <c r="Q267" s="53" t="n">
        <f aca="false">IF(P267=1,F267/E267*MIN(L267/K267,1)*MIN(MAX(M267/L267,0),1),0)</f>
        <v>0.818148606061824</v>
      </c>
      <c r="R267" s="55" t="n">
        <f aca="false">IF(F267&gt;0,N267/(F267/3600),0)</f>
        <v>3.07035403049476</v>
      </c>
    </row>
    <row r="268" customFormat="false" ht="15" hidden="false" customHeight="false" outlineLevel="0" collapsed="false">
      <c r="A268" s="0" t="s">
        <v>258</v>
      </c>
      <c r="B268" s="52" t="n">
        <v>44104</v>
      </c>
      <c r="C268" s="0" t="n">
        <v>85836.086</v>
      </c>
      <c r="D268" s="0" t="n">
        <v>10307.483</v>
      </c>
      <c r="E268" s="0" t="n">
        <v>75528.603</v>
      </c>
      <c r="F268" s="0" t="n">
        <v>68484.85</v>
      </c>
      <c r="G268" s="0" t="n">
        <v>56066.303</v>
      </c>
      <c r="H268" s="0" t="n">
        <v>12418.547</v>
      </c>
      <c r="I268" s="0" t="n">
        <v>4578.839</v>
      </c>
      <c r="J268" s="0" t="n">
        <v>2464.914</v>
      </c>
      <c r="K268" s="0" t="n">
        <v>85606.0625</v>
      </c>
      <c r="L268" s="0" t="n">
        <v>69784</v>
      </c>
      <c r="M268" s="0" t="n">
        <v>69627</v>
      </c>
      <c r="N268" s="0" t="n">
        <v>43</v>
      </c>
      <c r="O268" s="54" t="n">
        <f aca="false">YEAR(B268)</f>
        <v>2020</v>
      </c>
      <c r="P268" s="54" t="n">
        <f aca="false">IF(AND(E268&gt;=14400,K268&gt;0,L268&gt;0),1,0)</f>
        <v>1</v>
      </c>
      <c r="Q268" s="53" t="n">
        <f aca="false">IF(P268=1,F268/E268*MIN(L268/K268,1)*MIN(MAX(M268/L268,0),1),0)</f>
        <v>0.737490139993719</v>
      </c>
      <c r="R268" s="55" t="n">
        <f aca="false">IF(F268&gt;0,N268/(F268/3600),0)</f>
        <v>2.26035393229305</v>
      </c>
    </row>
    <row r="269" customFormat="false" ht="15" hidden="false" customHeight="false" outlineLevel="0" collapsed="false">
      <c r="A269" s="0" t="s">
        <v>258</v>
      </c>
      <c r="B269" s="52" t="n">
        <v>44105</v>
      </c>
      <c r="C269" s="0" t="n">
        <v>85898.999</v>
      </c>
      <c r="D269" s="0" t="n">
        <v>10010.477</v>
      </c>
      <c r="E269" s="0" t="n">
        <v>75888.522</v>
      </c>
      <c r="F269" s="0" t="n">
        <v>64002.62</v>
      </c>
      <c r="G269" s="0" t="n">
        <v>52125.358</v>
      </c>
      <c r="H269" s="0" t="n">
        <v>11877.262</v>
      </c>
      <c r="I269" s="0" t="n">
        <v>8110.229</v>
      </c>
      <c r="J269" s="0" t="n">
        <v>3775.673</v>
      </c>
      <c r="K269" s="0" t="n">
        <v>78969.7902777778</v>
      </c>
      <c r="L269" s="0" t="n">
        <v>63238</v>
      </c>
      <c r="M269" s="0" t="n">
        <v>63040</v>
      </c>
      <c r="N269" s="0" t="n">
        <v>45</v>
      </c>
      <c r="O269" s="54" t="n">
        <f aca="false">YEAR(B269)</f>
        <v>2020</v>
      </c>
      <c r="P269" s="54" t="n">
        <f aca="false">IF(AND(E269&gt;=14400,K269&gt;0,L269&gt;0),1,0)</f>
        <v>1</v>
      </c>
      <c r="Q269" s="53" t="n">
        <f aca="false">IF(P269=1,F269/E269*MIN(L269/K269,1)*MIN(MAX(M269/L269,0),1),0)</f>
        <v>0.673250799421952</v>
      </c>
      <c r="R269" s="55" t="n">
        <f aca="false">IF(F269&gt;0,N269/(F269/3600),0)</f>
        <v>2.53114638119502</v>
      </c>
    </row>
    <row r="270" customFormat="false" ht="15" hidden="false" customHeight="false" outlineLevel="0" collapsed="false">
      <c r="A270" s="0" t="s">
        <v>258</v>
      </c>
      <c r="B270" s="52" t="n">
        <v>44106</v>
      </c>
      <c r="C270" s="0" t="n">
        <v>86284.738</v>
      </c>
      <c r="D270" s="0" t="n">
        <v>14763.548</v>
      </c>
      <c r="E270" s="0" t="n">
        <v>71521.19</v>
      </c>
      <c r="F270" s="0" t="n">
        <v>55621.463</v>
      </c>
      <c r="G270" s="0" t="n">
        <v>46111.443</v>
      </c>
      <c r="H270" s="0" t="n">
        <v>9510.02</v>
      </c>
      <c r="I270" s="0" t="n">
        <v>6927.137</v>
      </c>
      <c r="J270" s="0" t="n">
        <v>8972.59</v>
      </c>
      <c r="K270" s="0" t="n">
        <v>70276.0463888889</v>
      </c>
      <c r="L270" s="0" t="n">
        <v>57946</v>
      </c>
      <c r="M270" s="0" t="n">
        <v>57800</v>
      </c>
      <c r="N270" s="0" t="n">
        <v>36</v>
      </c>
      <c r="O270" s="54" t="n">
        <f aca="false">YEAR(B270)</f>
        <v>2020</v>
      </c>
      <c r="P270" s="54" t="n">
        <f aca="false">IF(AND(E270&gt;=14400,K270&gt;0,L270&gt;0),1,0)</f>
        <v>1</v>
      </c>
      <c r="Q270" s="53" t="n">
        <f aca="false">IF(P270=1,F270/E270*MIN(L270/K270,1)*MIN(MAX(M270/L270,0),1),0)</f>
        <v>0.639629070238122</v>
      </c>
      <c r="R270" s="55" t="n">
        <f aca="false">IF(F270&gt;0,N270/(F270/3600),0)</f>
        <v>2.33003579931006</v>
      </c>
    </row>
    <row r="271" customFormat="false" ht="15" hidden="false" customHeight="false" outlineLevel="0" collapsed="false">
      <c r="A271" s="0" t="s">
        <v>258</v>
      </c>
      <c r="B271" s="52" t="n">
        <v>44107</v>
      </c>
      <c r="C271" s="0" t="n">
        <v>21902.099</v>
      </c>
      <c r="D271" s="0" t="n">
        <v>7431.73</v>
      </c>
      <c r="E271" s="0" t="n">
        <v>14470.369</v>
      </c>
      <c r="F271" s="0" t="n">
        <v>10554.14</v>
      </c>
      <c r="G271" s="0" t="n">
        <v>9806.958</v>
      </c>
      <c r="H271" s="0" t="n">
        <v>747.182</v>
      </c>
      <c r="I271" s="0" t="n">
        <v>1165.319</v>
      </c>
      <c r="J271" s="0" t="n">
        <v>2750.91</v>
      </c>
      <c r="K271" s="0" t="n">
        <v>13485.0244444444</v>
      </c>
      <c r="L271" s="0" t="n">
        <v>12473</v>
      </c>
      <c r="M271" s="0" t="n">
        <v>12450</v>
      </c>
      <c r="N271" s="0" t="n">
        <v>16</v>
      </c>
      <c r="O271" s="54" t="n">
        <f aca="false">YEAR(B271)</f>
        <v>2020</v>
      </c>
      <c r="P271" s="54" t="n">
        <f aca="false">IF(AND(E271&gt;=14400,K271&gt;0,L271&gt;0),1,0)</f>
        <v>1</v>
      </c>
      <c r="Q271" s="53" t="n">
        <f aca="false">IF(P271=1,F271/E271*MIN(L271/K271,1)*MIN(MAX(M271/L271,0),1),0)</f>
        <v>0.673380999960779</v>
      </c>
      <c r="R271" s="55" t="n">
        <f aca="false">IF(F271&gt;0,N271/(F271/3600),0)</f>
        <v>5.45757399465992</v>
      </c>
    </row>
    <row r="272" customFormat="false" ht="15" hidden="false" customHeight="false" outlineLevel="0" collapsed="false">
      <c r="A272" s="0" t="s">
        <v>258</v>
      </c>
      <c r="B272" s="52" t="n">
        <v>44108</v>
      </c>
      <c r="C272" s="0" t="n">
        <v>36393.108</v>
      </c>
      <c r="D272" s="0" t="n">
        <v>3311.709</v>
      </c>
      <c r="E272" s="0" t="n">
        <v>33081.399</v>
      </c>
      <c r="F272" s="0" t="n">
        <v>25280.878</v>
      </c>
      <c r="G272" s="0" t="n">
        <v>20627.488</v>
      </c>
      <c r="H272" s="0" t="n">
        <v>4653.39</v>
      </c>
      <c r="I272" s="0" t="n">
        <v>6407.689</v>
      </c>
      <c r="J272" s="0" t="n">
        <v>1392.832</v>
      </c>
      <c r="K272" s="0" t="n">
        <v>31312.2959027778</v>
      </c>
      <c r="L272" s="0" t="n">
        <v>25483</v>
      </c>
      <c r="M272" s="0" t="n">
        <v>25329</v>
      </c>
      <c r="N272" s="0" t="n">
        <v>34</v>
      </c>
      <c r="O272" s="54" t="n">
        <f aca="false">YEAR(B272)</f>
        <v>2020</v>
      </c>
      <c r="P272" s="54" t="n">
        <f aca="false">IF(AND(E272&gt;=14400,K272&gt;0,L272&gt;0),1,0)</f>
        <v>1</v>
      </c>
      <c r="Q272" s="53" t="n">
        <f aca="false">IF(P272=1,F272/E272*MIN(L272/K272,1)*MIN(MAX(M272/L272,0),1),0)</f>
        <v>0.618174970765091</v>
      </c>
      <c r="R272" s="55" t="n">
        <f aca="false">IF(F272&gt;0,N272/(F272/3600),0)</f>
        <v>4.84160399808899</v>
      </c>
    </row>
    <row r="273" customFormat="false" ht="15" hidden="false" customHeight="false" outlineLevel="0" collapsed="false">
      <c r="A273" s="0" t="s">
        <v>258</v>
      </c>
      <c r="B273" s="52" t="n">
        <v>44109</v>
      </c>
      <c r="C273" s="0" t="n">
        <v>81381.878</v>
      </c>
      <c r="D273" s="0" t="n">
        <v>8727.598</v>
      </c>
      <c r="E273" s="0" t="n">
        <v>72654.28</v>
      </c>
      <c r="F273" s="0" t="n">
        <v>60779.042</v>
      </c>
      <c r="G273" s="0" t="n">
        <v>49227.275</v>
      </c>
      <c r="H273" s="0" t="n">
        <v>11551.767</v>
      </c>
      <c r="I273" s="0" t="n">
        <v>10261.149</v>
      </c>
      <c r="J273" s="0" t="n">
        <v>1614.089</v>
      </c>
      <c r="K273" s="0" t="n">
        <v>75800.4761111111</v>
      </c>
      <c r="L273" s="0" t="n">
        <v>60174</v>
      </c>
      <c r="M273" s="0" t="n">
        <v>60004</v>
      </c>
      <c r="N273" s="0" t="n">
        <v>56</v>
      </c>
      <c r="O273" s="54" t="n">
        <f aca="false">YEAR(B273)</f>
        <v>2020</v>
      </c>
      <c r="P273" s="54" t="n">
        <f aca="false">IF(AND(E273&gt;=14400,K273&gt;0,L273&gt;0),1,0)</f>
        <v>1</v>
      </c>
      <c r="Q273" s="53" t="n">
        <f aca="false">IF(P273=1,F273/E273*MIN(L273/K273,1)*MIN(MAX(M273/L273,0),1),0)</f>
        <v>0.662217900489886</v>
      </c>
      <c r="R273" s="55" t="n">
        <f aca="false">IF(F273&gt;0,N273/(F273/3600),0)</f>
        <v>3.31693283352508</v>
      </c>
    </row>
    <row r="274" customFormat="false" ht="15" hidden="false" customHeight="false" outlineLevel="0" collapsed="false">
      <c r="A274" s="0" t="s">
        <v>258</v>
      </c>
      <c r="B274" s="52" t="n">
        <v>44110</v>
      </c>
      <c r="C274" s="0" t="n">
        <v>85257.637</v>
      </c>
      <c r="D274" s="0" t="n">
        <v>3287.467</v>
      </c>
      <c r="E274" s="0" t="n">
        <v>81970.17</v>
      </c>
      <c r="F274" s="0" t="n">
        <v>67569.823</v>
      </c>
      <c r="G274" s="0" t="n">
        <v>62302.854</v>
      </c>
      <c r="H274" s="0" t="n">
        <v>5266.969</v>
      </c>
      <c r="I274" s="0" t="n">
        <v>13971.118</v>
      </c>
      <c r="J274" s="0" t="n">
        <v>429.229</v>
      </c>
      <c r="K274" s="0" t="n">
        <v>84435.0294444444</v>
      </c>
      <c r="L274" s="0" t="n">
        <v>76345</v>
      </c>
      <c r="M274" s="0" t="n">
        <v>76145</v>
      </c>
      <c r="N274" s="0" t="n">
        <v>65</v>
      </c>
      <c r="O274" s="54" t="n">
        <f aca="false">YEAR(B274)</f>
        <v>2020</v>
      </c>
      <c r="P274" s="54" t="n">
        <f aca="false">IF(AND(E274&gt;=14400,K274&gt;0,L274&gt;0),1,0)</f>
        <v>1</v>
      </c>
      <c r="Q274" s="53" t="n">
        <f aca="false">IF(P274=1,F274/E274*MIN(L274/K274,1)*MIN(MAX(M274/L274,0),1),0)</f>
        <v>0.743388224323602</v>
      </c>
      <c r="R274" s="55" t="n">
        <f aca="false">IF(F274&gt;0,N274/(F274/3600),0)</f>
        <v>3.46308440085747</v>
      </c>
    </row>
    <row r="275" customFormat="false" ht="15" hidden="false" customHeight="false" outlineLevel="0" collapsed="false">
      <c r="A275" s="0" t="s">
        <v>258</v>
      </c>
      <c r="B275" s="52" t="n">
        <v>44111</v>
      </c>
      <c r="C275" s="0" t="n">
        <v>85073.759</v>
      </c>
      <c r="D275" s="0" t="n">
        <v>9609.601</v>
      </c>
      <c r="E275" s="0" t="n">
        <v>75464.158</v>
      </c>
      <c r="F275" s="0" t="n">
        <v>65211.596</v>
      </c>
      <c r="G275" s="0" t="n">
        <v>53286.751</v>
      </c>
      <c r="H275" s="0" t="n">
        <v>11924.845</v>
      </c>
      <c r="I275" s="0" t="n">
        <v>6770.41</v>
      </c>
      <c r="J275" s="0" t="n">
        <v>3482.152</v>
      </c>
      <c r="K275" s="0" t="n">
        <v>81514.495</v>
      </c>
      <c r="L275" s="0" t="n">
        <v>65292</v>
      </c>
      <c r="M275" s="0" t="n">
        <v>64894</v>
      </c>
      <c r="N275" s="0" t="n">
        <v>52</v>
      </c>
      <c r="O275" s="54" t="n">
        <f aca="false">YEAR(B275)</f>
        <v>2020</v>
      </c>
      <c r="P275" s="54" t="n">
        <f aca="false">IF(AND(E275&gt;=14400,K275&gt;0,L275&gt;0),1,0)</f>
        <v>1</v>
      </c>
      <c r="Q275" s="53" t="n">
        <f aca="false">IF(P275=1,F275/E275*MIN(L275/K275,1)*MIN(MAX(M275/L275,0),1),0)</f>
        <v>0.68794513019015</v>
      </c>
      <c r="R275" s="55" t="n">
        <f aca="false">IF(F275&gt;0,N275/(F275/3600),0)</f>
        <v>2.87065509023886</v>
      </c>
    </row>
    <row r="276" customFormat="false" ht="15" hidden="false" customHeight="false" outlineLevel="0" collapsed="false">
      <c r="A276" s="0" t="s">
        <v>258</v>
      </c>
      <c r="B276" s="52" t="n">
        <v>44112</v>
      </c>
      <c r="C276" s="0" t="n">
        <v>86300.547</v>
      </c>
      <c r="D276" s="0" t="n">
        <v>8871.072</v>
      </c>
      <c r="E276" s="0" t="n">
        <v>77429.475</v>
      </c>
      <c r="F276" s="0" t="n">
        <v>66432.438</v>
      </c>
      <c r="G276" s="0" t="n">
        <v>49907.948</v>
      </c>
      <c r="H276" s="0" t="n">
        <v>16524.49</v>
      </c>
      <c r="I276" s="0" t="n">
        <v>7191.582</v>
      </c>
      <c r="J276" s="0" t="n">
        <v>3805.455</v>
      </c>
      <c r="K276" s="0" t="n">
        <v>83059.9136111111</v>
      </c>
      <c r="L276" s="0" t="n">
        <v>62253</v>
      </c>
      <c r="M276" s="0" t="n">
        <v>62027</v>
      </c>
      <c r="N276" s="0" t="n">
        <v>40</v>
      </c>
      <c r="O276" s="54" t="n">
        <f aca="false">YEAR(B276)</f>
        <v>2020</v>
      </c>
      <c r="P276" s="54" t="n">
        <f aca="false">IF(AND(E276&gt;=14400,K276&gt;0,L276&gt;0),1,0)</f>
        <v>1</v>
      </c>
      <c r="Q276" s="53" t="n">
        <f aca="false">IF(P276=1,F276/E276*MIN(L276/K276,1)*MIN(MAX(M276/L276,0),1),0)</f>
        <v>0.640712471709189</v>
      </c>
      <c r="R276" s="55" t="n">
        <f aca="false">IF(F276&gt;0,N276/(F276/3600),0)</f>
        <v>2.16761576626166</v>
      </c>
    </row>
    <row r="277" customFormat="false" ht="15" hidden="false" customHeight="false" outlineLevel="0" collapsed="false">
      <c r="A277" s="0" t="s">
        <v>258</v>
      </c>
      <c r="B277" s="52" t="n">
        <v>44113</v>
      </c>
      <c r="C277" s="0" t="n">
        <v>86347.569</v>
      </c>
      <c r="D277" s="0" t="n">
        <v>10898.399</v>
      </c>
      <c r="E277" s="0" t="n">
        <v>75449.17</v>
      </c>
      <c r="F277" s="0" t="n">
        <v>66950.621</v>
      </c>
      <c r="G277" s="0" t="n">
        <v>55000.349</v>
      </c>
      <c r="H277" s="0" t="n">
        <v>11950.272</v>
      </c>
      <c r="I277" s="0" t="n">
        <v>5883.749</v>
      </c>
      <c r="J277" s="0" t="n">
        <v>2614.8</v>
      </c>
      <c r="K277" s="0" t="n">
        <v>84589.5976527778</v>
      </c>
      <c r="L277" s="0" t="n">
        <v>69198</v>
      </c>
      <c r="M277" s="0" t="n">
        <v>68972</v>
      </c>
      <c r="N277" s="0" t="n">
        <v>47</v>
      </c>
      <c r="O277" s="54" t="n">
        <f aca="false">YEAR(B277)</f>
        <v>2020</v>
      </c>
      <c r="P277" s="54" t="n">
        <f aca="false">IF(AND(E277&gt;=14400,K277&gt;0,L277&gt;0),1,0)</f>
        <v>1</v>
      </c>
      <c r="Q277" s="53" t="n">
        <f aca="false">IF(P277=1,F277/E277*MIN(L277/K277,1)*MIN(MAX(M277/L277,0),1),0)</f>
        <v>0.723529100743334</v>
      </c>
      <c r="R277" s="55" t="n">
        <f aca="false">IF(F277&gt;0,N277/(F277/3600),0)</f>
        <v>2.52723570704445</v>
      </c>
    </row>
    <row r="278" customFormat="false" ht="15" hidden="false" customHeight="false" outlineLevel="0" collapsed="false">
      <c r="A278" s="0" t="s">
        <v>258</v>
      </c>
      <c r="B278" s="52" t="n">
        <v>44114</v>
      </c>
      <c r="C278" s="0" t="n">
        <v>22830.97</v>
      </c>
      <c r="D278" s="0" t="n">
        <v>5916.65</v>
      </c>
      <c r="E278" s="0" t="n">
        <v>16914.32</v>
      </c>
      <c r="F278" s="0" t="n">
        <v>12743.835</v>
      </c>
      <c r="G278" s="0" t="n">
        <v>11648.474</v>
      </c>
      <c r="H278" s="0" t="n">
        <v>1095.361</v>
      </c>
      <c r="I278" s="0" t="n">
        <v>1427.755</v>
      </c>
      <c r="J278" s="0" t="n">
        <v>2742.73</v>
      </c>
      <c r="K278" s="0" t="n">
        <v>16106.7914583333</v>
      </c>
      <c r="L278" s="0" t="n">
        <v>14684</v>
      </c>
      <c r="M278" s="0" t="n">
        <v>14645</v>
      </c>
      <c r="N278" s="0" t="n">
        <v>17</v>
      </c>
      <c r="O278" s="54" t="n">
        <f aca="false">YEAR(B278)</f>
        <v>2020</v>
      </c>
      <c r="P278" s="54" t="n">
        <f aca="false">IF(AND(E278&gt;=14400,K278&gt;0,L278&gt;0),1,0)</f>
        <v>1</v>
      </c>
      <c r="Q278" s="53" t="n">
        <f aca="false">IF(P278=1,F278/E278*MIN(L278/K278,1)*MIN(MAX(M278/L278,0),1),0)</f>
        <v>0.685055783930584</v>
      </c>
      <c r="R278" s="55" t="n">
        <f aca="false">IF(F278&gt;0,N278/(F278/3600),0)</f>
        <v>4.80232206396269</v>
      </c>
    </row>
    <row r="279" customFormat="false" ht="15" hidden="false" customHeight="false" outlineLevel="0" collapsed="false">
      <c r="A279" s="0" t="s">
        <v>258</v>
      </c>
      <c r="B279" s="52" t="n">
        <v>44115</v>
      </c>
      <c r="C279" s="0" t="n">
        <v>80403.399</v>
      </c>
      <c r="D279" s="0" t="n">
        <v>21629.43</v>
      </c>
      <c r="E279" s="0" t="n">
        <v>58773.969</v>
      </c>
      <c r="F279" s="0" t="n">
        <v>26202.339</v>
      </c>
      <c r="G279" s="0" t="n">
        <v>20916.079</v>
      </c>
      <c r="H279" s="0" t="n">
        <v>5286.26</v>
      </c>
      <c r="I279" s="0" t="n">
        <v>908.639</v>
      </c>
      <c r="J279" s="0" t="n">
        <v>31662.991</v>
      </c>
      <c r="K279" s="0" t="n">
        <v>33116.845125</v>
      </c>
      <c r="L279" s="0" t="n">
        <v>26356</v>
      </c>
      <c r="M279" s="0" t="n">
        <v>26248</v>
      </c>
      <c r="N279" s="0" t="n">
        <v>13</v>
      </c>
      <c r="O279" s="54" t="n">
        <f aca="false">YEAR(B279)</f>
        <v>2020</v>
      </c>
      <c r="P279" s="54" t="n">
        <f aca="false">IF(AND(E279&gt;=14400,K279&gt;0,L279&gt;0),1,0)</f>
        <v>1</v>
      </c>
      <c r="Q279" s="53" t="n">
        <f aca="false">IF(P279=1,F279/E279*MIN(L279/K279,1)*MIN(MAX(M279/L279,0),1),0)</f>
        <v>0.35334772697839</v>
      </c>
      <c r="R279" s="55" t="n">
        <f aca="false">IF(F279&gt;0,N279/(F279/3600),0)</f>
        <v>1.78610008824021</v>
      </c>
    </row>
    <row r="280" customFormat="false" ht="15" hidden="false" customHeight="false" outlineLevel="0" collapsed="false">
      <c r="A280" s="0" t="s">
        <v>258</v>
      </c>
      <c r="B280" s="52" t="n">
        <v>44116</v>
      </c>
      <c r="C280" s="0" t="n">
        <v>80688.838</v>
      </c>
      <c r="D280" s="0" t="n">
        <v>3321.701</v>
      </c>
      <c r="E280" s="0" t="n">
        <v>77367.137</v>
      </c>
      <c r="F280" s="0" t="n">
        <v>67091.429</v>
      </c>
      <c r="G280" s="0" t="n">
        <v>58971.239</v>
      </c>
      <c r="H280" s="0" t="n">
        <v>8120.19</v>
      </c>
      <c r="I280" s="0" t="n">
        <v>10179.118</v>
      </c>
      <c r="J280" s="0" t="n">
        <v>96.59</v>
      </c>
      <c r="K280" s="0" t="n">
        <v>85115.1062361111</v>
      </c>
      <c r="L280" s="0" t="n">
        <v>73151</v>
      </c>
      <c r="M280" s="0" t="n">
        <v>72881</v>
      </c>
      <c r="N280" s="0" t="n">
        <v>56</v>
      </c>
      <c r="O280" s="54" t="n">
        <f aca="false">YEAR(B280)</f>
        <v>2020</v>
      </c>
      <c r="P280" s="54" t="n">
        <f aca="false">IF(AND(E280&gt;=14400,K280&gt;0,L280&gt;0),1,0)</f>
        <v>1</v>
      </c>
      <c r="Q280" s="53" t="n">
        <f aca="false">IF(P280=1,F280/E280*MIN(L280/K280,1)*MIN(MAX(M280/L280,0),1),0)</f>
        <v>0.742537161688186</v>
      </c>
      <c r="R280" s="55" t="n">
        <f aca="false">IF(F280&gt;0,N280/(F280/3600),0)</f>
        <v>3.00485476319188</v>
      </c>
    </row>
    <row r="281" customFormat="false" ht="15" hidden="false" customHeight="false" outlineLevel="0" collapsed="false">
      <c r="A281" s="0" t="s">
        <v>258</v>
      </c>
      <c r="B281" s="52" t="n">
        <v>44117</v>
      </c>
      <c r="C281" s="0" t="n">
        <v>86455.055</v>
      </c>
      <c r="D281" s="0" t="n">
        <v>8733.811</v>
      </c>
      <c r="E281" s="0" t="n">
        <v>77721.244</v>
      </c>
      <c r="F281" s="0" t="n">
        <v>66526.784</v>
      </c>
      <c r="G281" s="0" t="n">
        <v>54138.16</v>
      </c>
      <c r="H281" s="0" t="n">
        <v>12388.624</v>
      </c>
      <c r="I281" s="0" t="n">
        <v>8452.382</v>
      </c>
      <c r="J281" s="0" t="n">
        <v>2742.078</v>
      </c>
      <c r="K281" s="0" t="n">
        <v>83717.7912222222</v>
      </c>
      <c r="L281" s="0" t="n">
        <v>67776</v>
      </c>
      <c r="M281" s="0" t="n">
        <v>67541</v>
      </c>
      <c r="N281" s="0" t="n">
        <v>59</v>
      </c>
      <c r="O281" s="54" t="n">
        <f aca="false">YEAR(B281)</f>
        <v>2020</v>
      </c>
      <c r="P281" s="54" t="n">
        <f aca="false">IF(AND(E281&gt;=14400,K281&gt;0,L281&gt;0),1,0)</f>
        <v>1</v>
      </c>
      <c r="Q281" s="53" t="n">
        <f aca="false">IF(P281=1,F281/E281*MIN(L281/K281,1)*MIN(MAX(M281/L281,0),1),0)</f>
        <v>0.690568097458087</v>
      </c>
      <c r="R281" s="55" t="n">
        <f aca="false">IF(F281&gt;0,N281/(F281/3600),0)</f>
        <v>3.19269904885226</v>
      </c>
    </row>
    <row r="282" customFormat="false" ht="15" hidden="false" customHeight="false" outlineLevel="0" collapsed="false">
      <c r="A282" s="0" t="s">
        <v>258</v>
      </c>
      <c r="B282" s="52" t="n">
        <v>44118</v>
      </c>
      <c r="C282" s="0" t="n">
        <v>80360.256</v>
      </c>
      <c r="D282" s="0" t="n">
        <v>13291.668</v>
      </c>
      <c r="E282" s="0" t="n">
        <v>67068.588</v>
      </c>
      <c r="F282" s="0" t="n">
        <v>61609.098</v>
      </c>
      <c r="G282" s="0" t="n">
        <v>51579.013</v>
      </c>
      <c r="H282" s="0" t="n">
        <v>10030.085</v>
      </c>
      <c r="I282" s="0" t="n">
        <v>3155.65</v>
      </c>
      <c r="J282" s="0" t="n">
        <v>2303.84</v>
      </c>
      <c r="K282" s="0" t="n">
        <v>77835.8463611111</v>
      </c>
      <c r="L282" s="0" t="n">
        <v>63616</v>
      </c>
      <c r="M282" s="0" t="n">
        <v>63418</v>
      </c>
      <c r="N282" s="0" t="n">
        <v>32</v>
      </c>
      <c r="O282" s="54" t="n">
        <f aca="false">YEAR(B282)</f>
        <v>2020</v>
      </c>
      <c r="P282" s="54" t="n">
        <f aca="false">IF(AND(E282&gt;=14400,K282&gt;0,L282&gt;0),1,0)</f>
        <v>1</v>
      </c>
      <c r="Q282" s="53" t="n">
        <f aca="false">IF(P282=1,F282/E282*MIN(L282/K282,1)*MIN(MAX(M282/L282,0),1),0)</f>
        <v>0.748442734387064</v>
      </c>
      <c r="R282" s="55" t="n">
        <f aca="false">IF(F282&gt;0,N282/(F282/3600),0)</f>
        <v>1.86985370245154</v>
      </c>
    </row>
    <row r="283" customFormat="false" ht="15" hidden="false" customHeight="false" outlineLevel="0" collapsed="false">
      <c r="A283" s="0" t="s">
        <v>258</v>
      </c>
      <c r="B283" s="52" t="n">
        <v>44119</v>
      </c>
      <c r="C283" s="0" t="n">
        <v>86358.246</v>
      </c>
      <c r="D283" s="0" t="n">
        <v>8520.56</v>
      </c>
      <c r="E283" s="0" t="n">
        <v>77837.686</v>
      </c>
      <c r="F283" s="0" t="n">
        <v>64018.669</v>
      </c>
      <c r="G283" s="0" t="n">
        <v>53165.057</v>
      </c>
      <c r="H283" s="0" t="n">
        <v>10853.612</v>
      </c>
      <c r="I283" s="0" t="n">
        <v>9789.108</v>
      </c>
      <c r="J283" s="0" t="n">
        <v>4029.909</v>
      </c>
      <c r="K283" s="0" t="n">
        <v>79609.199375</v>
      </c>
      <c r="L283" s="0" t="n">
        <v>65579</v>
      </c>
      <c r="M283" s="0" t="n">
        <v>65351</v>
      </c>
      <c r="N283" s="0" t="n">
        <v>49</v>
      </c>
      <c r="O283" s="54" t="n">
        <f aca="false">YEAR(B283)</f>
        <v>2020</v>
      </c>
      <c r="P283" s="54" t="n">
        <f aca="false">IF(AND(E283&gt;=14400,K283&gt;0,L283&gt;0),1,0)</f>
        <v>1</v>
      </c>
      <c r="Q283" s="53" t="n">
        <f aca="false">IF(P283=1,F283/E283*MIN(L283/K283,1)*MIN(MAX(M283/L283,0),1),0)</f>
        <v>0.675158446648501</v>
      </c>
      <c r="R283" s="55" t="n">
        <f aca="false">IF(F283&gt;0,N283/(F283/3600),0)</f>
        <v>2.7554462277246</v>
      </c>
    </row>
    <row r="284" customFormat="false" ht="15" hidden="false" customHeight="false" outlineLevel="0" collapsed="false">
      <c r="A284" s="0" t="s">
        <v>258</v>
      </c>
      <c r="B284" s="52" t="n">
        <v>44120</v>
      </c>
      <c r="C284" s="0" t="n">
        <v>85568.25</v>
      </c>
      <c r="D284" s="0" t="n">
        <v>3240.36</v>
      </c>
      <c r="E284" s="0" t="n">
        <v>82327.89</v>
      </c>
      <c r="F284" s="0" t="n">
        <v>73885.465</v>
      </c>
      <c r="G284" s="0" t="n">
        <v>64499.847</v>
      </c>
      <c r="H284" s="0" t="n">
        <v>9385.618</v>
      </c>
      <c r="I284" s="0" t="n">
        <v>8276.835</v>
      </c>
      <c r="J284" s="0" t="n">
        <v>165.59</v>
      </c>
      <c r="K284" s="0" t="n">
        <v>92196.775</v>
      </c>
      <c r="L284" s="0" t="n">
        <v>79154</v>
      </c>
      <c r="M284" s="0" t="n">
        <v>78944</v>
      </c>
      <c r="N284" s="0" t="n">
        <v>49</v>
      </c>
      <c r="O284" s="54" t="n">
        <f aca="false">YEAR(B284)</f>
        <v>2020</v>
      </c>
      <c r="P284" s="54" t="n">
        <f aca="false">IF(AND(E284&gt;=14400,K284&gt;0,L284&gt;0),1,0)</f>
        <v>1</v>
      </c>
      <c r="Q284" s="53" t="n">
        <f aca="false">IF(P284=1,F284/E284*MIN(L284/K284,1)*MIN(MAX(M284/L284,0),1),0)</f>
        <v>0.768449661973637</v>
      </c>
      <c r="R284" s="55" t="n">
        <f aca="false">IF(F284&gt;0,N284/(F284/3600),0)</f>
        <v>2.38747905288273</v>
      </c>
    </row>
    <row r="285" customFormat="false" ht="15" hidden="false" customHeight="false" outlineLevel="0" collapsed="false">
      <c r="A285" s="0" t="s">
        <v>258</v>
      </c>
      <c r="B285" s="52" t="n">
        <v>44121</v>
      </c>
      <c r="C285" s="0" t="n">
        <v>27427.059</v>
      </c>
      <c r="D285" s="0" t="n">
        <v>5745.341</v>
      </c>
      <c r="E285" s="0" t="n">
        <v>21681.718</v>
      </c>
      <c r="F285" s="0" t="n">
        <v>12604.33</v>
      </c>
      <c r="G285" s="0" t="n">
        <v>10149.899</v>
      </c>
      <c r="H285" s="0" t="n">
        <v>2454.431</v>
      </c>
      <c r="I285" s="0" t="n">
        <v>5261.198</v>
      </c>
      <c r="J285" s="0" t="n">
        <v>3816.19</v>
      </c>
      <c r="K285" s="0" t="n">
        <v>15755.4125</v>
      </c>
      <c r="L285" s="0" t="n">
        <v>12692</v>
      </c>
      <c r="M285" s="0" t="n">
        <v>12646</v>
      </c>
      <c r="N285" s="0" t="n">
        <v>18</v>
      </c>
      <c r="O285" s="54" t="n">
        <f aca="false">YEAR(B285)</f>
        <v>2020</v>
      </c>
      <c r="P285" s="54" t="n">
        <f aca="false">IF(AND(E285&gt;=14400,K285&gt;0,L285&gt;0),1,0)</f>
        <v>1</v>
      </c>
      <c r="Q285" s="53" t="n">
        <f aca="false">IF(P285=1,F285/E285*MIN(L285/K285,1)*MIN(MAX(M285/L285,0),1),0)</f>
        <v>0.466605090980337</v>
      </c>
      <c r="R285" s="55" t="n">
        <f aca="false">IF(F285&gt;0,N285/(F285/3600),0)</f>
        <v>5.1410904030599</v>
      </c>
    </row>
    <row r="286" customFormat="false" ht="15" hidden="false" customHeight="false" outlineLevel="0" collapsed="false">
      <c r="A286" s="0" t="s">
        <v>258</v>
      </c>
      <c r="B286" s="52" t="n">
        <v>44122</v>
      </c>
      <c r="C286" s="0" t="n">
        <v>43852.056</v>
      </c>
      <c r="D286" s="0" t="n">
        <v>3312.598</v>
      </c>
      <c r="E286" s="0" t="n">
        <v>40539.458</v>
      </c>
      <c r="F286" s="0" t="n">
        <v>35295.678</v>
      </c>
      <c r="G286" s="0" t="n">
        <v>25961.852</v>
      </c>
      <c r="H286" s="0" t="n">
        <v>9333.826</v>
      </c>
      <c r="I286" s="0" t="n">
        <v>2060.999</v>
      </c>
      <c r="J286" s="0" t="n">
        <v>3182.781</v>
      </c>
      <c r="K286" s="0" t="n">
        <v>44119.5975</v>
      </c>
      <c r="L286" s="0" t="n">
        <v>32402</v>
      </c>
      <c r="M286" s="0" t="n">
        <v>32270</v>
      </c>
      <c r="N286" s="0" t="n">
        <v>11</v>
      </c>
      <c r="O286" s="54" t="n">
        <f aca="false">YEAR(B286)</f>
        <v>2020</v>
      </c>
      <c r="P286" s="54" t="n">
        <f aca="false">IF(AND(E286&gt;=14400,K286&gt;0,L286&gt;0),1,0)</f>
        <v>1</v>
      </c>
      <c r="Q286" s="53" t="n">
        <f aca="false">IF(P286=1,F286/E286*MIN(L286/K286,1)*MIN(MAX(M286/L286,0),1),0)</f>
        <v>0.636811671236453</v>
      </c>
      <c r="R286" s="55" t="n">
        <f aca="false">IF(F286&gt;0,N286/(F286/3600),0)</f>
        <v>1.12195039857288</v>
      </c>
    </row>
    <row r="287" customFormat="false" ht="15" hidden="false" customHeight="false" outlineLevel="0" collapsed="false">
      <c r="A287" s="0" t="s">
        <v>258</v>
      </c>
      <c r="B287" s="52" t="n">
        <v>44123</v>
      </c>
      <c r="C287" s="0" t="n">
        <v>82283.529</v>
      </c>
      <c r="D287" s="0" t="n">
        <v>9547.028</v>
      </c>
      <c r="E287" s="0" t="n">
        <v>72736.501</v>
      </c>
      <c r="F287" s="0" t="n">
        <v>63279.283</v>
      </c>
      <c r="G287" s="0" t="n">
        <v>41173.421</v>
      </c>
      <c r="H287" s="0" t="n">
        <v>22105.862</v>
      </c>
      <c r="I287" s="0" t="n">
        <v>5984.028</v>
      </c>
      <c r="J287" s="0" t="n">
        <v>3473.19</v>
      </c>
      <c r="K287" s="0" t="n">
        <v>79099.10375</v>
      </c>
      <c r="L287" s="0" t="n">
        <v>50111</v>
      </c>
      <c r="M287" s="0" t="n">
        <v>49875</v>
      </c>
      <c r="N287" s="0" t="n">
        <v>48</v>
      </c>
      <c r="O287" s="54" t="n">
        <f aca="false">YEAR(B287)</f>
        <v>2020</v>
      </c>
      <c r="P287" s="54" t="n">
        <f aca="false">IF(AND(E287&gt;=14400,K287&gt;0,L287&gt;0),1,0)</f>
        <v>1</v>
      </c>
      <c r="Q287" s="53" t="n">
        <f aca="false">IF(P287=1,F287/E287*MIN(L287/K287,1)*MIN(MAX(M287/L287,0),1),0)</f>
        <v>0.548555394491687</v>
      </c>
      <c r="R287" s="55" t="n">
        <f aca="false">IF(F287&gt;0,N287/(F287/3600),0)</f>
        <v>2.73075154786441</v>
      </c>
    </row>
    <row r="288" customFormat="false" ht="15" hidden="false" customHeight="false" outlineLevel="0" collapsed="false">
      <c r="A288" s="0" t="s">
        <v>258</v>
      </c>
      <c r="B288" s="52" t="n">
        <v>44124</v>
      </c>
      <c r="C288" s="0" t="n">
        <v>84117.047</v>
      </c>
      <c r="D288" s="0" t="n">
        <v>8462.088</v>
      </c>
      <c r="E288" s="0" t="n">
        <v>75654.959</v>
      </c>
      <c r="F288" s="0" t="n">
        <v>67395.978</v>
      </c>
      <c r="G288" s="0" t="n">
        <v>56148.329</v>
      </c>
      <c r="H288" s="0" t="n">
        <v>11247.649</v>
      </c>
      <c r="I288" s="0" t="n">
        <v>6700.47</v>
      </c>
      <c r="J288" s="0" t="n">
        <v>1558.511</v>
      </c>
      <c r="K288" s="0" t="n">
        <v>84244.9725</v>
      </c>
      <c r="L288" s="0" t="n">
        <v>68935</v>
      </c>
      <c r="M288" s="0" t="n">
        <v>68555</v>
      </c>
      <c r="N288" s="0" t="n">
        <v>41</v>
      </c>
      <c r="O288" s="54" t="n">
        <f aca="false">YEAR(B288)</f>
        <v>2020</v>
      </c>
      <c r="P288" s="54" t="n">
        <f aca="false">IF(AND(E288&gt;=14400,K288&gt;0,L288&gt;0),1,0)</f>
        <v>1</v>
      </c>
      <c r="Q288" s="53" t="n">
        <f aca="false">IF(P288=1,F288/E288*MIN(L288/K288,1)*MIN(MAX(M288/L288,0),1),0)</f>
        <v>0.724922737715052</v>
      </c>
      <c r="R288" s="55" t="n">
        <f aca="false">IF(F288&gt;0,N288/(F288/3600),0)</f>
        <v>2.1900416668781</v>
      </c>
    </row>
    <row r="289" customFormat="false" ht="15" hidden="false" customHeight="false" outlineLevel="0" collapsed="false">
      <c r="A289" s="0" t="s">
        <v>258</v>
      </c>
      <c r="B289" s="52" t="n">
        <v>44125</v>
      </c>
      <c r="C289" s="0" t="n">
        <v>86605.177</v>
      </c>
      <c r="D289" s="0" t="n">
        <v>4309.391</v>
      </c>
      <c r="E289" s="0" t="n">
        <v>82295.786</v>
      </c>
      <c r="F289" s="0" t="n">
        <v>58134.042</v>
      </c>
      <c r="G289" s="0" t="n">
        <v>46119.605</v>
      </c>
      <c r="H289" s="0" t="n">
        <v>12014.437</v>
      </c>
      <c r="I289" s="0" t="n">
        <v>3435.672</v>
      </c>
      <c r="J289" s="0" t="n">
        <v>20726.072</v>
      </c>
      <c r="K289" s="0" t="n">
        <v>72483.470625</v>
      </c>
      <c r="L289" s="0" t="n">
        <v>57342</v>
      </c>
      <c r="M289" s="0" t="n">
        <v>57053</v>
      </c>
      <c r="N289" s="0" t="n">
        <v>33</v>
      </c>
      <c r="O289" s="54" t="n">
        <f aca="false">YEAR(B289)</f>
        <v>2020</v>
      </c>
      <c r="P289" s="54" t="n">
        <f aca="false">IF(AND(E289&gt;=14400,K289&gt;0,L289&gt;0),1,0)</f>
        <v>1</v>
      </c>
      <c r="Q289" s="53" t="n">
        <f aca="false">IF(P289=1,F289/E289*MIN(L289/K289,1)*MIN(MAX(M289/L289,0),1),0)</f>
        <v>0.556022579765593</v>
      </c>
      <c r="R289" s="55" t="n">
        <f aca="false">IF(F289&gt;0,N289/(F289/3600),0)</f>
        <v>2.04355306998953</v>
      </c>
    </row>
    <row r="290" customFormat="false" ht="15" hidden="false" customHeight="false" outlineLevel="0" collapsed="false">
      <c r="A290" s="0" t="s">
        <v>258</v>
      </c>
      <c r="B290" s="52" t="n">
        <v>44126</v>
      </c>
      <c r="C290" s="0" t="n">
        <v>88638.677</v>
      </c>
      <c r="D290" s="0" t="n">
        <v>8108.251</v>
      </c>
      <c r="E290" s="0" t="n">
        <v>80530.426</v>
      </c>
      <c r="F290" s="0" t="n">
        <v>73328.679</v>
      </c>
      <c r="G290" s="0" t="n">
        <v>64156.18</v>
      </c>
      <c r="H290" s="0" t="n">
        <v>9172.499</v>
      </c>
      <c r="I290" s="0" t="n">
        <v>4958.288</v>
      </c>
      <c r="J290" s="0" t="n">
        <v>2243.459</v>
      </c>
      <c r="K290" s="0" t="n">
        <v>91854.5115277778</v>
      </c>
      <c r="L290" s="0" t="n">
        <v>80227</v>
      </c>
      <c r="M290" s="0" t="n">
        <v>79794</v>
      </c>
      <c r="N290" s="0" t="n">
        <v>45</v>
      </c>
      <c r="O290" s="54" t="n">
        <f aca="false">YEAR(B290)</f>
        <v>2020</v>
      </c>
      <c r="P290" s="54" t="n">
        <f aca="false">IF(AND(E290&gt;=14400,K290&gt;0,L290&gt;0),1,0)</f>
        <v>1</v>
      </c>
      <c r="Q290" s="53" t="n">
        <f aca="false">IF(P290=1,F290/E290*MIN(L290/K290,1)*MIN(MAX(M290/L290,0),1),0)</f>
        <v>0.791012978620604</v>
      </c>
      <c r="R290" s="55" t="n">
        <f aca="false">IF(F290&gt;0,N290/(F290/3600),0)</f>
        <v>2.20923112497363</v>
      </c>
    </row>
    <row r="291" customFormat="false" ht="15" hidden="false" customHeight="false" outlineLevel="0" collapsed="false">
      <c r="A291" s="0" t="s">
        <v>258</v>
      </c>
      <c r="B291" s="52" t="n">
        <v>44127</v>
      </c>
      <c r="C291" s="0" t="n">
        <v>83808.847</v>
      </c>
      <c r="D291" s="0" t="n">
        <v>8381.79</v>
      </c>
      <c r="E291" s="0" t="n">
        <v>75427.057</v>
      </c>
      <c r="F291" s="0" t="n">
        <v>63074.37</v>
      </c>
      <c r="G291" s="0" t="n">
        <v>57305.54</v>
      </c>
      <c r="H291" s="0" t="n">
        <v>5768.83</v>
      </c>
      <c r="I291" s="0" t="n">
        <v>10420.806</v>
      </c>
      <c r="J291" s="0" t="n">
        <v>1931.881</v>
      </c>
      <c r="K291" s="0" t="n">
        <v>79630.0121180556</v>
      </c>
      <c r="L291" s="0" t="n">
        <v>72089</v>
      </c>
      <c r="M291" s="0" t="n">
        <v>71780</v>
      </c>
      <c r="N291" s="0" t="n">
        <v>66</v>
      </c>
      <c r="O291" s="54" t="n">
        <f aca="false">YEAR(B291)</f>
        <v>2020</v>
      </c>
      <c r="P291" s="54" t="n">
        <f aca="false">IF(AND(E291&gt;=14400,K291&gt;0,L291&gt;0),1,0)</f>
        <v>1</v>
      </c>
      <c r="Q291" s="53" t="n">
        <f aca="false">IF(P291=1,F291/E291*MIN(L291/K291,1)*MIN(MAX(M291/L291,0),1),0)</f>
        <v>0.753793573874604</v>
      </c>
      <c r="R291" s="55" t="n">
        <f aca="false">IF(F291&gt;0,N291/(F291/3600),0)</f>
        <v>3.76698173917552</v>
      </c>
    </row>
    <row r="292" customFormat="false" ht="15" hidden="false" customHeight="false" outlineLevel="0" collapsed="false">
      <c r="A292" s="0" t="s">
        <v>258</v>
      </c>
      <c r="B292" s="52" t="n">
        <v>44128</v>
      </c>
      <c r="C292" s="0" t="n">
        <v>17869.297</v>
      </c>
      <c r="D292" s="0" t="n">
        <v>5222.991</v>
      </c>
      <c r="E292" s="0" t="n">
        <v>12646.306</v>
      </c>
      <c r="F292" s="0" t="n">
        <v>7660.521</v>
      </c>
      <c r="G292" s="0" t="n">
        <v>6971.711</v>
      </c>
      <c r="H292" s="0" t="n">
        <v>688.81</v>
      </c>
      <c r="I292" s="0" t="n">
        <v>3255.435</v>
      </c>
      <c r="J292" s="0" t="n">
        <v>1730.35</v>
      </c>
      <c r="K292" s="0" t="n">
        <v>9575.65125</v>
      </c>
      <c r="L292" s="0" t="n">
        <v>8649</v>
      </c>
      <c r="M292" s="0" t="n">
        <v>8607</v>
      </c>
      <c r="N292" s="0" t="n">
        <v>25</v>
      </c>
      <c r="O292" s="54" t="n">
        <f aca="false">YEAR(B292)</f>
        <v>2020</v>
      </c>
      <c r="P292" s="54" t="n">
        <f aca="false">IF(AND(E292&gt;=14400,K292&gt;0,L292&gt;0),1,0)</f>
        <v>0</v>
      </c>
      <c r="Q292" s="53" t="n">
        <f aca="false">IF(P292=1,F292/E292*MIN(L292/K292,1)*MIN(MAX(M292/L292,0),1),0)</f>
        <v>0</v>
      </c>
      <c r="R292" s="55" t="n">
        <f aca="false">IF(F292&gt;0,N292/(F292/3600),0)</f>
        <v>11.7485481731595</v>
      </c>
    </row>
    <row r="293" customFormat="false" ht="15" hidden="false" customHeight="false" outlineLevel="0" collapsed="false">
      <c r="A293" s="0" t="s">
        <v>258</v>
      </c>
      <c r="B293" s="52" t="n">
        <v>44129</v>
      </c>
      <c r="C293" s="0" t="n">
        <v>89279.098</v>
      </c>
      <c r="D293" s="0" t="n">
        <v>53769.578</v>
      </c>
      <c r="E293" s="0" t="n">
        <v>35509.52</v>
      </c>
      <c r="F293" s="0" t="n">
        <v>24256.606</v>
      </c>
      <c r="G293" s="0" t="n">
        <v>15912.887</v>
      </c>
      <c r="H293" s="0" t="n">
        <v>8343.719</v>
      </c>
      <c r="I293" s="0" t="n">
        <v>2220.025</v>
      </c>
      <c r="J293" s="0" t="n">
        <v>9032.889</v>
      </c>
      <c r="K293" s="0" t="n">
        <v>29978.7159027778</v>
      </c>
      <c r="L293" s="0" t="n">
        <v>19723</v>
      </c>
      <c r="M293" s="0" t="n">
        <v>19611</v>
      </c>
      <c r="N293" s="0" t="n">
        <v>19</v>
      </c>
      <c r="O293" s="54" t="n">
        <f aca="false">YEAR(B293)</f>
        <v>2020</v>
      </c>
      <c r="P293" s="54" t="n">
        <f aca="false">IF(AND(E293&gt;=14400,K293&gt;0,L293&gt;0),1,0)</f>
        <v>1</v>
      </c>
      <c r="Q293" s="53" t="n">
        <f aca="false">IF(P293=1,F293/E293*MIN(L293/K293,1)*MIN(MAX(M293/L293,0),1),0)</f>
        <v>0.446860477684733</v>
      </c>
      <c r="R293" s="55" t="n">
        <f aca="false">IF(F293&gt;0,N293/(F293/3600),0)</f>
        <v>2.8198503945688</v>
      </c>
    </row>
    <row r="294" customFormat="false" ht="15" hidden="false" customHeight="false" outlineLevel="0" collapsed="false">
      <c r="A294" s="0" t="s">
        <v>258</v>
      </c>
      <c r="B294" s="52" t="n">
        <v>44130</v>
      </c>
      <c r="C294" s="0" t="n">
        <v>86810.388</v>
      </c>
      <c r="D294" s="0" t="n">
        <v>7526.351</v>
      </c>
      <c r="E294" s="0" t="n">
        <v>79284.037</v>
      </c>
      <c r="F294" s="0" t="n">
        <v>69538.839</v>
      </c>
      <c r="G294" s="0" t="n">
        <v>53572.8</v>
      </c>
      <c r="H294" s="0" t="n">
        <v>15966.039</v>
      </c>
      <c r="I294" s="0" t="n">
        <v>6257.868</v>
      </c>
      <c r="J294" s="0" t="n">
        <v>3487.33</v>
      </c>
      <c r="K294" s="0" t="n">
        <v>86923.54875</v>
      </c>
      <c r="L294" s="0" t="n">
        <v>66735</v>
      </c>
      <c r="M294" s="0" t="n">
        <v>66315</v>
      </c>
      <c r="N294" s="0" t="n">
        <v>57</v>
      </c>
      <c r="O294" s="54" t="n">
        <f aca="false">YEAR(B294)</f>
        <v>2020</v>
      </c>
      <c r="P294" s="54" t="n">
        <f aca="false">IF(AND(E294&gt;=14400,K294&gt;0,L294&gt;0),1,0)</f>
        <v>1</v>
      </c>
      <c r="Q294" s="53" t="n">
        <f aca="false">IF(P294=1,F294/E294*MIN(L294/K294,1)*MIN(MAX(M294/L294,0),1),0)</f>
        <v>0.669138479918726</v>
      </c>
      <c r="R294" s="55" t="n">
        <f aca="false">IF(F294&gt;0,N294/(F294/3600),0)</f>
        <v>2.95086893814836</v>
      </c>
    </row>
    <row r="295" customFormat="false" ht="15" hidden="false" customHeight="false" outlineLevel="0" collapsed="false">
      <c r="A295" s="0" t="s">
        <v>258</v>
      </c>
      <c r="B295" s="52" t="n">
        <v>44131</v>
      </c>
      <c r="C295" s="0" t="n">
        <v>86106.777</v>
      </c>
      <c r="D295" s="0" t="n">
        <v>4207.061</v>
      </c>
      <c r="E295" s="0" t="n">
        <v>81899.716</v>
      </c>
      <c r="F295" s="0" t="n">
        <v>71065.103</v>
      </c>
      <c r="G295" s="0" t="n">
        <v>59600.725</v>
      </c>
      <c r="H295" s="0" t="n">
        <v>11464.378</v>
      </c>
      <c r="I295" s="0" t="n">
        <v>9216.926</v>
      </c>
      <c r="J295" s="0" t="n">
        <v>1617.687</v>
      </c>
      <c r="K295" s="0" t="n">
        <v>88456.2478819445</v>
      </c>
      <c r="L295" s="0" t="n">
        <v>74176</v>
      </c>
      <c r="M295" s="0" t="n">
        <v>73614</v>
      </c>
      <c r="N295" s="0" t="n">
        <v>75</v>
      </c>
      <c r="O295" s="54" t="n">
        <f aca="false">YEAR(B295)</f>
        <v>2020</v>
      </c>
      <c r="P295" s="54" t="n">
        <f aca="false">IF(AND(E295&gt;=14400,K295&gt;0,L295&gt;0),1,0)</f>
        <v>1</v>
      </c>
      <c r="Q295" s="53" t="n">
        <f aca="false">IF(P295=1,F295/E295*MIN(L295/K295,1)*MIN(MAX(M295/L295,0),1),0)</f>
        <v>0.722114219996396</v>
      </c>
      <c r="R295" s="55" t="n">
        <f aca="false">IF(F295&gt;0,N295/(F295/3600),0)</f>
        <v>3.79933312697795</v>
      </c>
    </row>
    <row r="296" customFormat="false" ht="15" hidden="false" customHeight="false" outlineLevel="0" collapsed="false">
      <c r="A296" s="0" t="s">
        <v>258</v>
      </c>
      <c r="B296" s="52" t="n">
        <v>44132</v>
      </c>
      <c r="C296" s="0" t="n">
        <v>86800.947</v>
      </c>
      <c r="D296" s="0" t="n">
        <v>8093.099</v>
      </c>
      <c r="E296" s="0" t="n">
        <v>78707.848</v>
      </c>
      <c r="F296" s="0" t="n">
        <v>64354.977</v>
      </c>
      <c r="G296" s="0" t="n">
        <v>54940.062</v>
      </c>
      <c r="H296" s="0" t="n">
        <v>9414.915</v>
      </c>
      <c r="I296" s="0" t="n">
        <v>7912.614</v>
      </c>
      <c r="J296" s="0" t="n">
        <v>6440.257</v>
      </c>
      <c r="K296" s="0" t="n">
        <v>77642.2965347222</v>
      </c>
      <c r="L296" s="0" t="n">
        <v>66998</v>
      </c>
      <c r="M296" s="0" t="n">
        <v>66595</v>
      </c>
      <c r="N296" s="0" t="n">
        <v>44</v>
      </c>
      <c r="O296" s="54" t="n">
        <f aca="false">YEAR(B296)</f>
        <v>2020</v>
      </c>
      <c r="P296" s="54" t="n">
        <f aca="false">IF(AND(E296&gt;=14400,K296&gt;0,L296&gt;0),1,0)</f>
        <v>1</v>
      </c>
      <c r="Q296" s="53" t="n">
        <f aca="false">IF(P296=1,F296/E296*MIN(L296/K296,1)*MIN(MAX(M296/L296,0),1),0)</f>
        <v>0.701305672667524</v>
      </c>
      <c r="R296" s="55" t="n">
        <f aca="false">IF(F296&gt;0,N296/(F296/3600),0)</f>
        <v>2.4613480943362</v>
      </c>
    </row>
    <row r="297" customFormat="false" ht="15" hidden="false" customHeight="false" outlineLevel="0" collapsed="false">
      <c r="A297" s="0" t="s">
        <v>258</v>
      </c>
      <c r="B297" s="52" t="n">
        <v>44133</v>
      </c>
      <c r="C297" s="0" t="n">
        <v>88453.451</v>
      </c>
      <c r="D297" s="0" t="n">
        <v>10574.527</v>
      </c>
      <c r="E297" s="0" t="n">
        <v>77878.924</v>
      </c>
      <c r="F297" s="0" t="n">
        <v>62619.337</v>
      </c>
      <c r="G297" s="0" t="n">
        <v>51322.327</v>
      </c>
      <c r="H297" s="0" t="n">
        <v>11297.01</v>
      </c>
      <c r="I297" s="0" t="n">
        <v>6314.312</v>
      </c>
      <c r="J297" s="0" t="n">
        <v>8945.275</v>
      </c>
      <c r="K297" s="0" t="n">
        <v>73278.365625</v>
      </c>
      <c r="L297" s="0" t="n">
        <v>61871</v>
      </c>
      <c r="M297" s="0" t="n">
        <v>61236</v>
      </c>
      <c r="N297" s="0" t="n">
        <v>48</v>
      </c>
      <c r="O297" s="54" t="n">
        <f aca="false">YEAR(B297)</f>
        <v>2020</v>
      </c>
      <c r="P297" s="54" t="n">
        <f aca="false">IF(AND(E297&gt;=14400,K297&gt;0,L297&gt;0),1,0)</f>
        <v>1</v>
      </c>
      <c r="Q297" s="53" t="n">
        <f aca="false">IF(P297=1,F297/E297*MIN(L297/K297,1)*MIN(MAX(M297/L297,0),1),0)</f>
        <v>0.67192308543624</v>
      </c>
      <c r="R297" s="55" t="n">
        <f aca="false">IF(F297&gt;0,N297/(F297/3600),0)</f>
        <v>2.75953097363519</v>
      </c>
    </row>
    <row r="298" customFormat="false" ht="15" hidden="false" customHeight="false" outlineLevel="0" collapsed="false">
      <c r="A298" s="0" t="s">
        <v>258</v>
      </c>
      <c r="B298" s="52" t="n">
        <v>44134</v>
      </c>
      <c r="C298" s="0" t="n">
        <v>79103.918</v>
      </c>
      <c r="D298" s="0" t="n">
        <v>3579.087</v>
      </c>
      <c r="E298" s="0" t="n">
        <v>75524.831</v>
      </c>
      <c r="F298" s="0" t="n">
        <v>67972.289</v>
      </c>
      <c r="G298" s="0" t="n">
        <v>60399.245</v>
      </c>
      <c r="H298" s="0" t="n">
        <v>7573.044</v>
      </c>
      <c r="I298" s="0" t="n">
        <v>6101.099</v>
      </c>
      <c r="J298" s="0" t="n">
        <v>1451.443</v>
      </c>
      <c r="K298" s="0" t="n">
        <v>83436.6290972222</v>
      </c>
      <c r="L298" s="0" t="n">
        <v>72918</v>
      </c>
      <c r="M298" s="0" t="n">
        <v>72515</v>
      </c>
      <c r="N298" s="0" t="n">
        <v>60</v>
      </c>
      <c r="O298" s="54" t="n">
        <f aca="false">YEAR(B298)</f>
        <v>2020</v>
      </c>
      <c r="P298" s="54" t="n">
        <f aca="false">IF(AND(E298&gt;=14400,K298&gt;0,L298&gt;0),1,0)</f>
        <v>1</v>
      </c>
      <c r="Q298" s="53" t="n">
        <f aca="false">IF(P298=1,F298/E298*MIN(L298/K298,1)*MIN(MAX(M298/L298,0),1),0)</f>
        <v>0.782191756227932</v>
      </c>
      <c r="R298" s="55" t="n">
        <f aca="false">IF(F298&gt;0,N298/(F298/3600),0)</f>
        <v>3.17776557443872</v>
      </c>
    </row>
    <row r="299" customFormat="false" ht="15" hidden="false" customHeight="false" outlineLevel="0" collapsed="false">
      <c r="A299" s="0" t="s">
        <v>258</v>
      </c>
      <c r="B299" s="52" t="n">
        <v>44135</v>
      </c>
      <c r="C299" s="0" t="n">
        <v>25549.05</v>
      </c>
      <c r="D299" s="0" t="n">
        <v>5533.689</v>
      </c>
      <c r="E299" s="0" t="n">
        <v>20015.361</v>
      </c>
      <c r="F299" s="0" t="n">
        <v>9430.324</v>
      </c>
      <c r="G299" s="0" t="n">
        <v>8026.21</v>
      </c>
      <c r="H299" s="0" t="n">
        <v>1404.114</v>
      </c>
      <c r="I299" s="0" t="n">
        <v>2797.977</v>
      </c>
      <c r="J299" s="0" t="n">
        <v>7787.06</v>
      </c>
      <c r="K299" s="0" t="n">
        <v>11787.905</v>
      </c>
      <c r="L299" s="0" t="n">
        <v>9981</v>
      </c>
      <c r="M299" s="0" t="n">
        <v>9925</v>
      </c>
      <c r="N299" s="0" t="n">
        <v>20</v>
      </c>
      <c r="O299" s="54" t="n">
        <f aca="false">YEAR(B299)</f>
        <v>2020</v>
      </c>
      <c r="P299" s="54" t="n">
        <f aca="false">IF(AND(E299&gt;=14400,K299&gt;0,L299&gt;0),1,0)</f>
        <v>1</v>
      </c>
      <c r="Q299" s="53" t="n">
        <f aca="false">IF(P299=1,F299/E299*MIN(L299/K299,1)*MIN(MAX(M299/L299,0),1),0)</f>
        <v>0.396695318160887</v>
      </c>
      <c r="R299" s="55" t="n">
        <f aca="false">IF(F299&gt;0,N299/(F299/3600),0)</f>
        <v>7.63494446214149</v>
      </c>
    </row>
    <row r="300" customFormat="false" ht="15" hidden="false" customHeight="false" outlineLevel="0" collapsed="false">
      <c r="A300" s="0" t="s">
        <v>258</v>
      </c>
      <c r="B300" s="52" t="n">
        <v>44136</v>
      </c>
      <c r="C300" s="0" t="n">
        <v>85667.769</v>
      </c>
      <c r="D300" s="0" t="n">
        <v>3496.772</v>
      </c>
      <c r="E300" s="0" t="n">
        <v>82170.997</v>
      </c>
      <c r="F300" s="0" t="n">
        <v>28497.293</v>
      </c>
      <c r="G300" s="0" t="n">
        <v>23578.443</v>
      </c>
      <c r="H300" s="0" t="n">
        <v>4918.85</v>
      </c>
      <c r="I300" s="0" t="n">
        <v>9051.136</v>
      </c>
      <c r="J300" s="0" t="n">
        <v>44622.568</v>
      </c>
      <c r="K300" s="0" t="n">
        <v>35621.61625</v>
      </c>
      <c r="L300" s="0" t="n">
        <v>29370</v>
      </c>
      <c r="M300" s="0" t="n">
        <v>29235</v>
      </c>
      <c r="N300" s="0" t="n">
        <v>30</v>
      </c>
      <c r="O300" s="54" t="n">
        <f aca="false">YEAR(B300)</f>
        <v>2020</v>
      </c>
      <c r="P300" s="54" t="n">
        <f aca="false">IF(AND(E300&gt;=14400,K300&gt;0,L300&gt;0),1,0)</f>
        <v>1</v>
      </c>
      <c r="Q300" s="53" t="n">
        <f aca="false">IF(P300=1,F300/E300*MIN(L300/K300,1)*MIN(MAX(M300/L300,0),1),0)</f>
        <v>0.284625973322436</v>
      </c>
      <c r="R300" s="55" t="n">
        <f aca="false">IF(F300&gt;0,N300/(F300/3600),0)</f>
        <v>3.78983365191915</v>
      </c>
    </row>
    <row r="301" customFormat="false" ht="15" hidden="false" customHeight="false" outlineLevel="0" collapsed="false">
      <c r="A301" s="0" t="s">
        <v>258</v>
      </c>
      <c r="B301" s="52" t="n">
        <v>44137</v>
      </c>
      <c r="C301" s="0" t="n">
        <v>82535.816</v>
      </c>
      <c r="D301" s="0" t="n">
        <v>8998.459</v>
      </c>
      <c r="E301" s="0" t="n">
        <v>73537.357</v>
      </c>
      <c r="F301" s="0" t="n">
        <v>54804.255</v>
      </c>
      <c r="G301" s="0" t="n">
        <v>47242.497</v>
      </c>
      <c r="H301" s="0" t="n">
        <v>7561.758</v>
      </c>
      <c r="I301" s="0" t="n">
        <v>16539.821</v>
      </c>
      <c r="J301" s="0" t="n">
        <v>2193.281</v>
      </c>
      <c r="K301" s="0" t="n">
        <v>68505.31875</v>
      </c>
      <c r="L301" s="0" t="n">
        <v>57663</v>
      </c>
      <c r="M301" s="0" t="n">
        <v>57355</v>
      </c>
      <c r="N301" s="0" t="n">
        <v>62</v>
      </c>
      <c r="O301" s="54" t="n">
        <f aca="false">YEAR(B301)</f>
        <v>2020</v>
      </c>
      <c r="P301" s="54" t="n">
        <f aca="false">IF(AND(E301&gt;=14400,K301&gt;0,L301&gt;0),1,0)</f>
        <v>1</v>
      </c>
      <c r="Q301" s="53" t="n">
        <f aca="false">IF(P301=1,F301/E301*MIN(L301/K301,1)*MIN(MAX(M301/L301,0),1),0)</f>
        <v>0.623954978420016</v>
      </c>
      <c r="R301" s="55" t="n">
        <f aca="false">IF(F301&gt;0,N301/(F301/3600),0)</f>
        <v>4.0726764737519</v>
      </c>
    </row>
    <row r="302" customFormat="false" ht="15" hidden="false" customHeight="false" outlineLevel="0" collapsed="false">
      <c r="A302" s="0" t="s">
        <v>258</v>
      </c>
      <c r="B302" s="52" t="n">
        <v>44138</v>
      </c>
      <c r="C302" s="0" t="n">
        <v>86522.509</v>
      </c>
      <c r="D302" s="0" t="n">
        <v>2994.389</v>
      </c>
      <c r="E302" s="0" t="n">
        <v>83528.12</v>
      </c>
      <c r="F302" s="0" t="n">
        <v>72469.639</v>
      </c>
      <c r="G302" s="0" t="n">
        <v>67076.026</v>
      </c>
      <c r="H302" s="0" t="n">
        <v>5393.613</v>
      </c>
      <c r="I302" s="0" t="n">
        <v>10789.191</v>
      </c>
      <c r="J302" s="0" t="n">
        <v>269.29</v>
      </c>
      <c r="K302" s="0" t="n">
        <v>90587.04875</v>
      </c>
      <c r="L302" s="0" t="n">
        <v>83544</v>
      </c>
      <c r="M302" s="0" t="n">
        <v>83286</v>
      </c>
      <c r="N302" s="0" t="n">
        <v>72</v>
      </c>
      <c r="O302" s="54" t="n">
        <f aca="false">YEAR(B302)</f>
        <v>2020</v>
      </c>
      <c r="P302" s="54" t="n">
        <f aca="false">IF(AND(E302&gt;=14400,K302&gt;0,L302&gt;0),1,0)</f>
        <v>1</v>
      </c>
      <c r="Q302" s="53" t="n">
        <f aca="false">IF(P302=1,F302/E302*MIN(L302/K302,1)*MIN(MAX(M302/L302,0),1),0)</f>
        <v>0.797681068363564</v>
      </c>
      <c r="R302" s="55" t="n">
        <f aca="false">IF(F302&gt;0,N302/(F302/3600),0)</f>
        <v>3.57667022461641</v>
      </c>
    </row>
    <row r="303" customFormat="false" ht="15" hidden="false" customHeight="false" outlineLevel="0" collapsed="false">
      <c r="A303" s="0" t="s">
        <v>258</v>
      </c>
      <c r="B303" s="52" t="n">
        <v>44139</v>
      </c>
      <c r="C303" s="0" t="n">
        <v>80239.959</v>
      </c>
      <c r="D303" s="0" t="n">
        <v>7989.981</v>
      </c>
      <c r="E303" s="0" t="n">
        <v>72249.978</v>
      </c>
      <c r="F303" s="0" t="n">
        <v>57522.08</v>
      </c>
      <c r="G303" s="0" t="n">
        <v>49153.794</v>
      </c>
      <c r="H303" s="0" t="n">
        <v>8368.286</v>
      </c>
      <c r="I303" s="0" t="n">
        <v>12456.688</v>
      </c>
      <c r="J303" s="0" t="n">
        <v>2271.21</v>
      </c>
      <c r="K303" s="0" t="n">
        <v>71902.6</v>
      </c>
      <c r="L303" s="0" t="n">
        <v>60076</v>
      </c>
      <c r="M303" s="0" t="n">
        <v>59890</v>
      </c>
      <c r="N303" s="0" t="n">
        <v>68</v>
      </c>
      <c r="O303" s="54" t="n">
        <f aca="false">YEAR(B303)</f>
        <v>2020</v>
      </c>
      <c r="P303" s="54" t="n">
        <f aca="false">IF(AND(E303&gt;=14400,K303&gt;0,L303&gt;0),1,0)</f>
        <v>1</v>
      </c>
      <c r="Q303" s="53" t="n">
        <f aca="false">IF(P303=1,F303/E303*MIN(L303/K303,1)*MIN(MAX(M303/L303,0),1),0)</f>
        <v>0.663142070437724</v>
      </c>
      <c r="R303" s="55" t="n">
        <f aca="false">IF(F303&gt;0,N303/(F303/3600),0)</f>
        <v>4.25575709362387</v>
      </c>
    </row>
    <row r="304" customFormat="false" ht="15" hidden="false" customHeight="false" outlineLevel="0" collapsed="false">
      <c r="A304" s="0" t="s">
        <v>258</v>
      </c>
      <c r="B304" s="52" t="n">
        <v>44140</v>
      </c>
      <c r="C304" s="0" t="n">
        <v>83435.087</v>
      </c>
      <c r="D304" s="0" t="n">
        <v>8342.253</v>
      </c>
      <c r="E304" s="0" t="n">
        <v>75092.834</v>
      </c>
      <c r="F304" s="0" t="n">
        <v>63177.721</v>
      </c>
      <c r="G304" s="0" t="n">
        <v>56896.825</v>
      </c>
      <c r="H304" s="0" t="n">
        <v>6280.896</v>
      </c>
      <c r="I304" s="0" t="n">
        <v>9841.974</v>
      </c>
      <c r="J304" s="0" t="n">
        <v>2073.139</v>
      </c>
      <c r="K304" s="0" t="n">
        <v>78972.15125</v>
      </c>
      <c r="L304" s="0" t="n">
        <v>69675</v>
      </c>
      <c r="M304" s="0" t="n">
        <v>69409</v>
      </c>
      <c r="N304" s="0" t="n">
        <v>78</v>
      </c>
      <c r="O304" s="54" t="n">
        <f aca="false">YEAR(B304)</f>
        <v>2020</v>
      </c>
      <c r="P304" s="54" t="n">
        <f aca="false">IF(AND(E304&gt;=14400,K304&gt;0,L304&gt;0),1,0)</f>
        <v>1</v>
      </c>
      <c r="Q304" s="53" t="n">
        <f aca="false">IF(P304=1,F304/E304*MIN(L304/K304,1)*MIN(MAX(M304/L304,0),1),0)</f>
        <v>0.73944738854842</v>
      </c>
      <c r="R304" s="55" t="n">
        <f aca="false">IF(F304&gt;0,N304/(F304/3600),0)</f>
        <v>4.44460476819036</v>
      </c>
    </row>
    <row r="305" customFormat="false" ht="15" hidden="false" customHeight="false" outlineLevel="0" collapsed="false">
      <c r="A305" s="0" t="s">
        <v>258</v>
      </c>
      <c r="B305" s="52" t="n">
        <v>44141</v>
      </c>
      <c r="C305" s="0" t="n">
        <v>84704.268</v>
      </c>
      <c r="D305" s="0" t="n">
        <v>3349.367</v>
      </c>
      <c r="E305" s="0" t="n">
        <v>81354.901</v>
      </c>
      <c r="F305" s="0" t="n">
        <v>69078.33</v>
      </c>
      <c r="G305" s="0" t="n">
        <v>64126.241</v>
      </c>
      <c r="H305" s="0" t="n">
        <v>4952.089</v>
      </c>
      <c r="I305" s="0" t="n">
        <v>10317.799</v>
      </c>
      <c r="J305" s="0" t="n">
        <v>1958.772</v>
      </c>
      <c r="K305" s="0" t="n">
        <v>87550.7277222222</v>
      </c>
      <c r="L305" s="0" t="n">
        <v>79836</v>
      </c>
      <c r="M305" s="0" t="n">
        <v>79538</v>
      </c>
      <c r="N305" s="0" t="n">
        <v>68</v>
      </c>
      <c r="O305" s="54" t="n">
        <f aca="false">YEAR(B305)</f>
        <v>2020</v>
      </c>
      <c r="P305" s="54" t="n">
        <f aca="false">IF(AND(E305&gt;=14400,K305&gt;0,L305&gt;0),1,0)</f>
        <v>1</v>
      </c>
      <c r="Q305" s="53" t="n">
        <f aca="false">IF(P305=1,F305/E305*MIN(L305/K305,1)*MIN(MAX(M305/L305,0),1),0)</f>
        <v>0.771388242204129</v>
      </c>
      <c r="R305" s="55" t="n">
        <f aca="false">IF(F305&gt;0,N305/(F305/3600),0)</f>
        <v>3.54380310004599</v>
      </c>
    </row>
    <row r="306" customFormat="false" ht="15" hidden="false" customHeight="false" outlineLevel="0" collapsed="false">
      <c r="A306" s="0" t="s">
        <v>258</v>
      </c>
      <c r="B306" s="52" t="n">
        <v>44142</v>
      </c>
      <c r="C306" s="0" t="n">
        <v>19800.5</v>
      </c>
      <c r="D306" s="0" t="n">
        <v>5279.839</v>
      </c>
      <c r="E306" s="0" t="n">
        <v>14520.661</v>
      </c>
      <c r="F306" s="0" t="n">
        <v>7060.026</v>
      </c>
      <c r="G306" s="0" t="n">
        <v>4494.187</v>
      </c>
      <c r="H306" s="0" t="n">
        <v>2565.839</v>
      </c>
      <c r="I306" s="0" t="n">
        <v>1665.985</v>
      </c>
      <c r="J306" s="0" t="n">
        <v>5794.65</v>
      </c>
      <c r="K306" s="0" t="n">
        <v>9021.14433333333</v>
      </c>
      <c r="L306" s="0" t="n">
        <v>5653</v>
      </c>
      <c r="M306" s="0" t="n">
        <v>5638</v>
      </c>
      <c r="N306" s="0" t="n">
        <v>14</v>
      </c>
      <c r="O306" s="54" t="n">
        <f aca="false">YEAR(B306)</f>
        <v>2020</v>
      </c>
      <c r="P306" s="54" t="n">
        <f aca="false">IF(AND(E306&gt;=14400,K306&gt;0,L306&gt;0),1,0)</f>
        <v>1</v>
      </c>
      <c r="Q306" s="53" t="n">
        <f aca="false">IF(P306=1,F306/E306*MIN(L306/K306,1)*MIN(MAX(M306/L306,0),1),0)</f>
        <v>0.303866871217981</v>
      </c>
      <c r="R306" s="55" t="n">
        <f aca="false">IF(F306&gt;0,N306/(F306/3600),0)</f>
        <v>7.13878390816125</v>
      </c>
    </row>
    <row r="307" customFormat="false" ht="15" hidden="false" customHeight="false" outlineLevel="0" collapsed="false">
      <c r="A307" s="0" t="s">
        <v>258</v>
      </c>
      <c r="B307" s="52" t="n">
        <v>44143</v>
      </c>
      <c r="C307" s="0" t="n">
        <v>83875.396</v>
      </c>
      <c r="D307" s="0" t="n">
        <v>20593.52</v>
      </c>
      <c r="E307" s="0" t="n">
        <v>63281.876</v>
      </c>
      <c r="F307" s="0" t="n">
        <v>32068.566</v>
      </c>
      <c r="G307" s="0" t="n">
        <v>26234.148</v>
      </c>
      <c r="H307" s="0" t="n">
        <v>5834.418</v>
      </c>
      <c r="I307" s="0" t="n">
        <v>3075.681</v>
      </c>
      <c r="J307" s="0" t="n">
        <v>28137.629</v>
      </c>
      <c r="K307" s="0" t="n">
        <v>40976.501</v>
      </c>
      <c r="L307" s="0" t="n">
        <v>33265</v>
      </c>
      <c r="M307" s="0" t="n">
        <v>33127</v>
      </c>
      <c r="N307" s="0" t="n">
        <v>37</v>
      </c>
      <c r="O307" s="54" t="n">
        <f aca="false">YEAR(B307)</f>
        <v>2020</v>
      </c>
      <c r="P307" s="54" t="n">
        <f aca="false">IF(AND(E307&gt;=14400,K307&gt;0,L307&gt;0),1,0)</f>
        <v>1</v>
      </c>
      <c r="Q307" s="53" t="n">
        <f aca="false">IF(P307=1,F307/E307*MIN(L307/K307,1)*MIN(MAX(M307/L307,0),1),0)</f>
        <v>0.409682517327229</v>
      </c>
      <c r="R307" s="55" t="n">
        <f aca="false">IF(F307&gt;0,N307/(F307/3600),0)</f>
        <v>4.1536001329152</v>
      </c>
    </row>
    <row r="308" customFormat="false" ht="15" hidden="false" customHeight="false" outlineLevel="0" collapsed="false">
      <c r="A308" s="0" t="s">
        <v>258</v>
      </c>
      <c r="B308" s="52" t="n">
        <v>44144</v>
      </c>
      <c r="C308" s="0" t="n">
        <v>86657.076</v>
      </c>
      <c r="D308" s="0" t="n">
        <v>9295.867</v>
      </c>
      <c r="E308" s="0" t="n">
        <v>77361.209</v>
      </c>
      <c r="F308" s="0" t="n">
        <v>64467.088</v>
      </c>
      <c r="G308" s="0" t="n">
        <v>58684.735</v>
      </c>
      <c r="H308" s="0" t="n">
        <v>5782.353</v>
      </c>
      <c r="I308" s="0" t="n">
        <v>10671.042</v>
      </c>
      <c r="J308" s="0" t="n">
        <v>2223.079</v>
      </c>
      <c r="K308" s="0" t="n">
        <v>81161.4927222222</v>
      </c>
      <c r="L308" s="0" t="n">
        <v>73493</v>
      </c>
      <c r="M308" s="0" t="n">
        <v>73025</v>
      </c>
      <c r="N308" s="0" t="n">
        <v>80</v>
      </c>
      <c r="O308" s="54" t="n">
        <f aca="false">YEAR(B308)</f>
        <v>2020</v>
      </c>
      <c r="P308" s="54" t="n">
        <f aca="false">IF(AND(E308&gt;=14400,K308&gt;0,L308&gt;0),1,0)</f>
        <v>1</v>
      </c>
      <c r="Q308" s="53" t="n">
        <f aca="false">IF(P308=1,F308/E308*MIN(L308/K308,1)*MIN(MAX(M308/L308,0),1),0)</f>
        <v>0.749784304285446</v>
      </c>
      <c r="R308" s="55" t="n">
        <f aca="false">IF(F308&gt;0,N308/(F308/3600),0)</f>
        <v>4.46739582839541</v>
      </c>
    </row>
    <row r="309" customFormat="false" ht="15" hidden="false" customHeight="false" outlineLevel="0" collapsed="false">
      <c r="A309" s="0" t="s">
        <v>258</v>
      </c>
      <c r="B309" s="52" t="n">
        <v>44145</v>
      </c>
      <c r="C309" s="0" t="n">
        <v>82669.747</v>
      </c>
      <c r="D309" s="0" t="n">
        <v>3950.151</v>
      </c>
      <c r="E309" s="0" t="n">
        <v>78719.596</v>
      </c>
      <c r="F309" s="0" t="n">
        <v>68560.691</v>
      </c>
      <c r="G309" s="0" t="n">
        <v>63227.821</v>
      </c>
      <c r="H309" s="0" t="n">
        <v>5332.87</v>
      </c>
      <c r="I309" s="0" t="n">
        <v>8739.136</v>
      </c>
      <c r="J309" s="0" t="n">
        <v>1419.769</v>
      </c>
      <c r="K309" s="0" t="n">
        <v>85588.3546527778</v>
      </c>
      <c r="L309" s="0" t="n">
        <v>77555</v>
      </c>
      <c r="M309" s="0" t="n">
        <v>77253</v>
      </c>
      <c r="N309" s="0" t="n">
        <v>72</v>
      </c>
      <c r="O309" s="54" t="n">
        <f aca="false">YEAR(B309)</f>
        <v>2020</v>
      </c>
      <c r="P309" s="54" t="n">
        <f aca="false">IF(AND(E309&gt;=14400,K309&gt;0,L309&gt;0),1,0)</f>
        <v>1</v>
      </c>
      <c r="Q309" s="53" t="n">
        <f aca="false">IF(P309=1,F309/E309*MIN(L309/K309,1)*MIN(MAX(M309/L309,0),1),0)</f>
        <v>0.786127530038612</v>
      </c>
      <c r="R309" s="55" t="n">
        <f aca="false">IF(F309&gt;0,N309/(F309/3600),0)</f>
        <v>3.78059200132624</v>
      </c>
    </row>
    <row r="310" customFormat="false" ht="15" hidden="false" customHeight="false" outlineLevel="0" collapsed="false">
      <c r="A310" s="0" t="s">
        <v>258</v>
      </c>
      <c r="B310" s="52" t="n">
        <v>44146</v>
      </c>
      <c r="C310" s="0" t="n">
        <v>86028.958</v>
      </c>
      <c r="D310" s="0" t="n">
        <v>9038.608</v>
      </c>
      <c r="E310" s="0" t="n">
        <v>76990.35</v>
      </c>
      <c r="F310" s="0" t="n">
        <v>65226.74</v>
      </c>
      <c r="G310" s="0" t="n">
        <v>45109.707</v>
      </c>
      <c r="H310" s="0" t="n">
        <v>20117.033</v>
      </c>
      <c r="I310" s="0" t="n">
        <v>9032.029</v>
      </c>
      <c r="J310" s="0" t="n">
        <v>2731.581</v>
      </c>
      <c r="K310" s="0" t="n">
        <v>81493.6375</v>
      </c>
      <c r="L310" s="0" t="n">
        <v>56095</v>
      </c>
      <c r="M310" s="0" t="n">
        <v>55876</v>
      </c>
      <c r="N310" s="0" t="n">
        <v>75</v>
      </c>
      <c r="O310" s="54" t="n">
        <f aca="false">YEAR(B310)</f>
        <v>2020</v>
      </c>
      <c r="P310" s="54" t="n">
        <f aca="false">IF(AND(E310&gt;=14400,K310&gt;0,L310&gt;0),1,0)</f>
        <v>1</v>
      </c>
      <c r="Q310" s="53" t="n">
        <f aca="false">IF(P310=1,F310/E310*MIN(L310/K310,1)*MIN(MAX(M310/L310,0),1),0)</f>
        <v>0.580886100602727</v>
      </c>
      <c r="R310" s="55" t="n">
        <f aca="false">IF(F310&gt;0,N310/(F310/3600),0)</f>
        <v>4.13940662985763</v>
      </c>
    </row>
    <row r="311" customFormat="false" ht="15" hidden="false" customHeight="false" outlineLevel="0" collapsed="false">
      <c r="A311" s="0" t="s">
        <v>258</v>
      </c>
      <c r="B311" s="52" t="n">
        <v>44147</v>
      </c>
      <c r="C311" s="0" t="n">
        <v>85914.336</v>
      </c>
      <c r="D311" s="0" t="n">
        <v>8093.082</v>
      </c>
      <c r="E311" s="0" t="n">
        <v>77821.254</v>
      </c>
      <c r="F311" s="0" t="n">
        <v>65722.127</v>
      </c>
      <c r="G311" s="0" t="n">
        <v>61991.707</v>
      </c>
      <c r="H311" s="0" t="n">
        <v>3730.42</v>
      </c>
      <c r="I311" s="0" t="n">
        <v>10287.928</v>
      </c>
      <c r="J311" s="0" t="n">
        <v>1811.199</v>
      </c>
      <c r="K311" s="0" t="n">
        <v>77820.3381944444</v>
      </c>
      <c r="L311" s="0" t="n">
        <v>73466</v>
      </c>
      <c r="M311" s="0" t="n">
        <v>73307</v>
      </c>
      <c r="N311" s="0" t="n">
        <v>81</v>
      </c>
      <c r="O311" s="54" t="n">
        <f aca="false">YEAR(B311)</f>
        <v>2020</v>
      </c>
      <c r="P311" s="54" t="n">
        <f aca="false">IF(AND(E311&gt;=14400,K311&gt;0,L311&gt;0),1,0)</f>
        <v>1</v>
      </c>
      <c r="Q311" s="53" t="n">
        <f aca="false">IF(P311=1,F311/E311*MIN(L311/K311,1)*MIN(MAX(M311/L311,0),1),0)</f>
        <v>0.795546773414106</v>
      </c>
      <c r="R311" s="55" t="n">
        <f aca="false">IF(F311&gt;0,N311/(F311/3600),0)</f>
        <v>4.4368618806266</v>
      </c>
    </row>
    <row r="312" customFormat="false" ht="15" hidden="false" customHeight="false" outlineLevel="0" collapsed="false">
      <c r="A312" s="0" t="s">
        <v>258</v>
      </c>
      <c r="B312" s="52" t="n">
        <v>44148</v>
      </c>
      <c r="C312" s="0" t="n">
        <v>84311.347</v>
      </c>
      <c r="D312" s="0" t="n">
        <v>9417.408</v>
      </c>
      <c r="E312" s="0" t="n">
        <v>74893.939</v>
      </c>
      <c r="F312" s="0" t="n">
        <v>54044.423</v>
      </c>
      <c r="G312" s="0" t="n">
        <v>50292.84</v>
      </c>
      <c r="H312" s="0" t="n">
        <v>3751.583</v>
      </c>
      <c r="I312" s="0" t="n">
        <v>10770.411</v>
      </c>
      <c r="J312" s="0" t="n">
        <v>10079.105</v>
      </c>
      <c r="K312" s="0" t="n">
        <v>67555.52875</v>
      </c>
      <c r="L312" s="0" t="n">
        <v>61449</v>
      </c>
      <c r="M312" s="0" t="n">
        <v>61214</v>
      </c>
      <c r="N312" s="0" t="n">
        <v>65</v>
      </c>
      <c r="O312" s="54" t="n">
        <f aca="false">YEAR(B312)</f>
        <v>2020</v>
      </c>
      <c r="P312" s="54" t="n">
        <f aca="false">IF(AND(E312&gt;=14400,K312&gt;0,L312&gt;0),1,0)</f>
        <v>1</v>
      </c>
      <c r="Q312" s="53" t="n">
        <f aca="false">IF(P312=1,F312/E312*MIN(L312/K312,1)*MIN(MAX(M312/L312,0),1),0)</f>
        <v>0.653874007080867</v>
      </c>
      <c r="R312" s="55" t="n">
        <f aca="false">IF(F312&gt;0,N312/(F312/3600),0)</f>
        <v>4.32977145486408</v>
      </c>
    </row>
    <row r="313" customFormat="false" ht="15" hidden="false" customHeight="false" outlineLevel="0" collapsed="false">
      <c r="A313" s="0" t="s">
        <v>258</v>
      </c>
      <c r="B313" s="52" t="n">
        <v>44149</v>
      </c>
      <c r="C313" s="0" t="n">
        <v>29571.958</v>
      </c>
      <c r="D313" s="0" t="n">
        <v>9692.339</v>
      </c>
      <c r="E313" s="0" t="n">
        <v>19879.619</v>
      </c>
      <c r="F313" s="0" t="n">
        <v>13195.41</v>
      </c>
      <c r="G313" s="0" t="n">
        <v>11508.357</v>
      </c>
      <c r="H313" s="0" t="n">
        <v>1687.053</v>
      </c>
      <c r="I313" s="0" t="n">
        <v>3128.129</v>
      </c>
      <c r="J313" s="0" t="n">
        <v>3556.08</v>
      </c>
      <c r="K313" s="0" t="n">
        <v>16494.2625</v>
      </c>
      <c r="L313" s="0" t="n">
        <v>14242</v>
      </c>
      <c r="M313" s="0" t="n">
        <v>14129</v>
      </c>
      <c r="N313" s="0" t="n">
        <v>32</v>
      </c>
      <c r="O313" s="54" t="n">
        <f aca="false">YEAR(B313)</f>
        <v>2020</v>
      </c>
      <c r="P313" s="54" t="n">
        <f aca="false">IF(AND(E313&gt;=14400,K313&gt;0,L313&gt;0),1,0)</f>
        <v>1</v>
      </c>
      <c r="Q313" s="53" t="n">
        <f aca="false">IF(P313=1,F313/E313*MIN(L313/K313,1)*MIN(MAX(M313/L313,0),1),0)</f>
        <v>0.568582325445976</v>
      </c>
      <c r="R313" s="55" t="n">
        <f aca="false">IF(F313&gt;0,N313/(F313/3600),0)</f>
        <v>8.73030849363529</v>
      </c>
    </row>
    <row r="314" customFormat="false" ht="15" hidden="false" customHeight="false" outlineLevel="0" collapsed="false">
      <c r="A314" s="0" t="s">
        <v>258</v>
      </c>
      <c r="B314" s="52" t="n">
        <v>44150</v>
      </c>
      <c r="C314" s="0" t="n">
        <v>31834.427</v>
      </c>
      <c r="D314" s="0" t="n">
        <v>2308.411</v>
      </c>
      <c r="E314" s="0" t="n">
        <v>29526.016</v>
      </c>
      <c r="F314" s="0" t="n">
        <v>25428.339</v>
      </c>
      <c r="G314" s="0" t="n">
        <v>21449.134</v>
      </c>
      <c r="H314" s="0" t="n">
        <v>3979.205</v>
      </c>
      <c r="I314" s="0" t="n">
        <v>2460.326</v>
      </c>
      <c r="J314" s="0" t="n">
        <v>1637.351</v>
      </c>
      <c r="K314" s="0" t="n">
        <v>31785.42375</v>
      </c>
      <c r="L314" s="0" t="n">
        <v>25599</v>
      </c>
      <c r="M314" s="0" t="n">
        <v>25446</v>
      </c>
      <c r="N314" s="0" t="n">
        <v>12</v>
      </c>
      <c r="O314" s="54" t="n">
        <f aca="false">YEAR(B314)</f>
        <v>2020</v>
      </c>
      <c r="P314" s="54" t="n">
        <f aca="false">IF(AND(E314&gt;=14400,K314&gt;0,L314&gt;0),1,0)</f>
        <v>1</v>
      </c>
      <c r="Q314" s="53" t="n">
        <f aca="false">IF(P314=1,F314/E314*MIN(L314/K314,1)*MIN(MAX(M314/L314,0),1),0)</f>
        <v>0.689452989526254</v>
      </c>
      <c r="R314" s="55" t="n">
        <f aca="false">IF(F314&gt;0,N314/(F314/3600),0)</f>
        <v>1.6988919331302</v>
      </c>
    </row>
    <row r="315" customFormat="false" ht="15" hidden="false" customHeight="false" outlineLevel="0" collapsed="false">
      <c r="A315" s="0" t="s">
        <v>258</v>
      </c>
      <c r="B315" s="52" t="n">
        <v>44151</v>
      </c>
      <c r="C315" s="0" t="n">
        <v>81319.65</v>
      </c>
      <c r="D315" s="0" t="n">
        <v>8685.013</v>
      </c>
      <c r="E315" s="0" t="n">
        <v>72634.637</v>
      </c>
      <c r="F315" s="0" t="n">
        <v>65232.737</v>
      </c>
      <c r="G315" s="0" t="n">
        <v>56992.848</v>
      </c>
      <c r="H315" s="0" t="n">
        <v>8239.889</v>
      </c>
      <c r="I315" s="0" t="n">
        <v>5125.648</v>
      </c>
      <c r="J315" s="0" t="n">
        <v>2276.252</v>
      </c>
      <c r="K315" s="0" t="n">
        <v>81460.9804166667</v>
      </c>
      <c r="L315" s="0" t="n">
        <v>69905</v>
      </c>
      <c r="M315" s="0" t="n">
        <v>69736</v>
      </c>
      <c r="N315" s="0" t="n">
        <v>36</v>
      </c>
      <c r="O315" s="54" t="n">
        <f aca="false">YEAR(B315)</f>
        <v>2020</v>
      </c>
      <c r="P315" s="54" t="n">
        <f aca="false">IF(AND(E315&gt;=14400,K315&gt;0,L315&gt;0),1,0)</f>
        <v>1</v>
      </c>
      <c r="Q315" s="53" t="n">
        <f aca="false">IF(P315=1,F315/E315*MIN(L315/K315,1)*MIN(MAX(M315/L315,0),1),0)</f>
        <v>0.768828069212354</v>
      </c>
      <c r="R315" s="55" t="n">
        <f aca="false">IF(F315&gt;0,N315/(F315/3600),0)</f>
        <v>1.98673252051343</v>
      </c>
    </row>
    <row r="316" customFormat="false" ht="15" hidden="false" customHeight="false" outlineLevel="0" collapsed="false">
      <c r="A316" s="0" t="s">
        <v>258</v>
      </c>
      <c r="B316" s="52" t="n">
        <v>44152</v>
      </c>
      <c r="C316" s="0" t="n">
        <v>81706.918</v>
      </c>
      <c r="D316" s="0" t="n">
        <v>3297.932</v>
      </c>
      <c r="E316" s="0" t="n">
        <v>78408.986</v>
      </c>
      <c r="F316" s="0" t="n">
        <v>67134.973</v>
      </c>
      <c r="G316" s="0" t="n">
        <v>63693.851</v>
      </c>
      <c r="H316" s="0" t="n">
        <v>3441.122</v>
      </c>
      <c r="I316" s="0" t="n">
        <v>5233.604</v>
      </c>
      <c r="J316" s="0" t="n">
        <v>6040.409</v>
      </c>
      <c r="K316" s="0" t="n">
        <v>83918.71625</v>
      </c>
      <c r="L316" s="0" t="n">
        <v>78248</v>
      </c>
      <c r="M316" s="0" t="n">
        <v>78132</v>
      </c>
      <c r="N316" s="0" t="n">
        <v>52</v>
      </c>
      <c r="O316" s="54" t="n">
        <f aca="false">YEAR(B316)</f>
        <v>2020</v>
      </c>
      <c r="P316" s="54" t="n">
        <f aca="false">IF(AND(E316&gt;=14400,K316&gt;0,L316&gt;0),1,0)</f>
        <v>1</v>
      </c>
      <c r="Q316" s="53" t="n">
        <f aca="false">IF(P316=1,F316/E316*MIN(L316/K316,1)*MIN(MAX(M316/L316,0),1),0)</f>
        <v>0.797173936160837</v>
      </c>
      <c r="R316" s="55" t="n">
        <f aca="false">IF(F316&gt;0,N316/(F316/3600),0)</f>
        <v>2.78841253127487</v>
      </c>
    </row>
    <row r="317" customFormat="false" ht="15" hidden="false" customHeight="false" outlineLevel="0" collapsed="false">
      <c r="A317" s="0" t="s">
        <v>258</v>
      </c>
      <c r="B317" s="52" t="n">
        <v>44153</v>
      </c>
      <c r="C317" s="0" t="n">
        <v>84672.599</v>
      </c>
      <c r="D317" s="0" t="n">
        <v>8540.721</v>
      </c>
      <c r="E317" s="0" t="n">
        <v>76131.878</v>
      </c>
      <c r="F317" s="0" t="n">
        <v>41899.191</v>
      </c>
      <c r="G317" s="0" t="n">
        <v>33475.665</v>
      </c>
      <c r="H317" s="0" t="n">
        <v>8423.526</v>
      </c>
      <c r="I317" s="0" t="n">
        <v>2654.774</v>
      </c>
      <c r="J317" s="0" t="n">
        <v>31577.913</v>
      </c>
      <c r="K317" s="0" t="n">
        <v>52267.6152777778</v>
      </c>
      <c r="L317" s="0" t="n">
        <v>40549</v>
      </c>
      <c r="M317" s="0" t="n">
        <v>40395</v>
      </c>
      <c r="N317" s="0" t="n">
        <v>20</v>
      </c>
      <c r="O317" s="54" t="n">
        <f aca="false">YEAR(B317)</f>
        <v>2020</v>
      </c>
      <c r="P317" s="54" t="n">
        <f aca="false">IF(AND(E317&gt;=14400,K317&gt;0,L317&gt;0),1,0)</f>
        <v>1</v>
      </c>
      <c r="Q317" s="53" t="n">
        <f aca="false">IF(P317=1,F317/E317*MIN(L317/K317,1)*MIN(MAX(M317/L317,0),1),0)</f>
        <v>0.425337840047936</v>
      </c>
      <c r="R317" s="55" t="n">
        <f aca="false">IF(F317&gt;0,N317/(F317/3600),0)</f>
        <v>1.71841026715766</v>
      </c>
    </row>
    <row r="318" customFormat="false" ht="15" hidden="false" customHeight="false" outlineLevel="0" collapsed="false">
      <c r="A318" s="0" t="s">
        <v>258</v>
      </c>
      <c r="B318" s="52" t="n">
        <v>44154</v>
      </c>
      <c r="C318" s="0" t="n">
        <v>86726.359</v>
      </c>
      <c r="D318" s="0" t="n">
        <v>8866.994</v>
      </c>
      <c r="E318" s="0" t="n">
        <v>77859.365</v>
      </c>
      <c r="F318" s="0" t="n">
        <v>58836.761</v>
      </c>
      <c r="G318" s="0" t="n">
        <v>49984.725</v>
      </c>
      <c r="H318" s="0" t="n">
        <v>8852.036</v>
      </c>
      <c r="I318" s="0" t="n">
        <v>16290.691</v>
      </c>
      <c r="J318" s="0" t="n">
        <v>2731.913</v>
      </c>
      <c r="K318" s="0" t="n">
        <v>73286.4316666667</v>
      </c>
      <c r="L318" s="0" t="n">
        <v>62223</v>
      </c>
      <c r="M318" s="0" t="n">
        <v>61951</v>
      </c>
      <c r="N318" s="0" t="n">
        <v>40</v>
      </c>
      <c r="O318" s="54" t="n">
        <f aca="false">YEAR(B318)</f>
        <v>2020</v>
      </c>
      <c r="P318" s="54" t="n">
        <f aca="false">IF(AND(E318&gt;=14400,K318&gt;0,L318&gt;0),1,0)</f>
        <v>1</v>
      </c>
      <c r="Q318" s="53" t="n">
        <f aca="false">IF(P318=1,F318/E318*MIN(L318/K318,1)*MIN(MAX(M318/L318,0),1),0)</f>
        <v>0.638796670513499</v>
      </c>
      <c r="R318" s="55" t="n">
        <f aca="false">IF(F318&gt;0,N318/(F318/3600),0)</f>
        <v>2.44744947805675</v>
      </c>
    </row>
    <row r="319" customFormat="false" ht="15" hidden="false" customHeight="false" outlineLevel="0" collapsed="false">
      <c r="A319" s="0" t="s">
        <v>258</v>
      </c>
      <c r="B319" s="52" t="n">
        <v>44155</v>
      </c>
      <c r="C319" s="0" t="n">
        <v>82988.896</v>
      </c>
      <c r="D319" s="0" t="n">
        <v>2906.17</v>
      </c>
      <c r="E319" s="0" t="n">
        <v>80082.726</v>
      </c>
      <c r="F319" s="0" t="n">
        <v>68133.654</v>
      </c>
      <c r="G319" s="0" t="n">
        <v>58137.684</v>
      </c>
      <c r="H319" s="0" t="n">
        <v>9995.97</v>
      </c>
      <c r="I319" s="0" t="n">
        <v>11917.022</v>
      </c>
      <c r="J319" s="0" t="n">
        <v>32.05</v>
      </c>
      <c r="K319" s="0" t="n">
        <v>85167.0675</v>
      </c>
      <c r="L319" s="0" t="n">
        <v>71221</v>
      </c>
      <c r="M319" s="0" t="n">
        <v>71038</v>
      </c>
      <c r="N319" s="0" t="n">
        <v>81</v>
      </c>
      <c r="O319" s="54" t="n">
        <f aca="false">YEAR(B319)</f>
        <v>2020</v>
      </c>
      <c r="P319" s="54" t="n">
        <f aca="false">IF(AND(E319&gt;=14400,K319&gt;0,L319&gt;0),1,0)</f>
        <v>1</v>
      </c>
      <c r="Q319" s="53" t="n">
        <f aca="false">IF(P319=1,F319/E319*MIN(L319/K319,1)*MIN(MAX(M319/L319,0),1),0)</f>
        <v>0.709646172634034</v>
      </c>
      <c r="R319" s="55" t="n">
        <f aca="false">IF(F319&gt;0,N319/(F319/3600),0)</f>
        <v>4.27982330141871</v>
      </c>
    </row>
    <row r="320" customFormat="false" ht="15" hidden="false" customHeight="false" outlineLevel="0" collapsed="false">
      <c r="A320" s="0" t="s">
        <v>258</v>
      </c>
      <c r="B320" s="52" t="n">
        <v>44156</v>
      </c>
      <c r="C320" s="0" t="n">
        <v>23736.839</v>
      </c>
      <c r="D320" s="0" t="n">
        <v>796.09</v>
      </c>
      <c r="E320" s="0" t="n">
        <v>22940.749</v>
      </c>
      <c r="F320" s="0" t="n">
        <v>20005.881</v>
      </c>
      <c r="G320" s="0" t="n">
        <v>18653.56</v>
      </c>
      <c r="H320" s="0" t="n">
        <v>1352.321</v>
      </c>
      <c r="I320" s="0" t="n">
        <v>2034.868</v>
      </c>
      <c r="J320" s="0" t="n">
        <v>900</v>
      </c>
      <c r="K320" s="0" t="n">
        <v>25007.35125</v>
      </c>
      <c r="L320" s="0" t="n">
        <v>23309</v>
      </c>
      <c r="M320" s="0" t="n">
        <v>23266</v>
      </c>
      <c r="N320" s="0" t="n">
        <v>13</v>
      </c>
      <c r="O320" s="54" t="n">
        <f aca="false">YEAR(B320)</f>
        <v>2020</v>
      </c>
      <c r="P320" s="54" t="n">
        <f aca="false">IF(AND(E320&gt;=14400,K320&gt;0,L320&gt;0),1,0)</f>
        <v>1</v>
      </c>
      <c r="Q320" s="53" t="n">
        <f aca="false">IF(P320=1,F320/E320*MIN(L320/K320,1)*MIN(MAX(M320/L320,0),1),0)</f>
        <v>0.811342297498656</v>
      </c>
      <c r="R320" s="55" t="n">
        <f aca="false">IF(F320&gt;0,N320/(F320/3600),0)</f>
        <v>2.33931212526956</v>
      </c>
    </row>
    <row r="321" customFormat="false" ht="15" hidden="false" customHeight="false" outlineLevel="0" collapsed="false">
      <c r="A321" s="0" t="s">
        <v>258</v>
      </c>
      <c r="B321" s="52" t="n">
        <v>44157</v>
      </c>
      <c r="C321" s="0" t="n">
        <v>23974.661</v>
      </c>
      <c r="D321" s="0" t="n">
        <v>21371.315</v>
      </c>
      <c r="E321" s="0" t="n">
        <v>2603.346</v>
      </c>
      <c r="F321" s="0" t="n">
        <v>418.341</v>
      </c>
      <c r="G321" s="0" t="n">
        <v>0</v>
      </c>
      <c r="H321" s="0" t="n">
        <v>418.341</v>
      </c>
      <c r="I321" s="0" t="n">
        <v>0</v>
      </c>
      <c r="J321" s="0" t="n">
        <v>2185.005</v>
      </c>
      <c r="K321" s="0" t="n">
        <v>522.92625</v>
      </c>
      <c r="L321" s="0" t="n">
        <v>0</v>
      </c>
      <c r="M321" s="0" t="n">
        <v>0</v>
      </c>
      <c r="N321" s="0" t="n">
        <v>0</v>
      </c>
      <c r="O321" s="54" t="n">
        <f aca="false">YEAR(B321)</f>
        <v>2020</v>
      </c>
      <c r="P321" s="54" t="n">
        <f aca="false">IF(AND(E321&gt;=14400,K321&gt;0,L321&gt;0),1,0)</f>
        <v>0</v>
      </c>
      <c r="Q321" s="53" t="n">
        <f aca="false">IF(P321=1,F321/E321*MIN(L321/K321,1)*MIN(MAX(M321/L321,0),1),0)</f>
        <v>0</v>
      </c>
      <c r="R321" s="55" t="n">
        <f aca="false">IF(F321&gt;0,N321/(F321/3600),0)</f>
        <v>0</v>
      </c>
    </row>
    <row r="322" customFormat="false" ht="15" hidden="false" customHeight="false" outlineLevel="0" collapsed="false">
      <c r="A322" s="0" t="s">
        <v>258</v>
      </c>
      <c r="B322" s="52" t="n">
        <v>44158</v>
      </c>
      <c r="C322" s="0" t="n">
        <v>68771.695</v>
      </c>
      <c r="D322" s="0" t="n">
        <v>3097.868</v>
      </c>
      <c r="E322" s="0" t="n">
        <v>65673.827</v>
      </c>
      <c r="F322" s="0" t="n">
        <v>62405.767</v>
      </c>
      <c r="G322" s="0" t="n">
        <v>58591.36</v>
      </c>
      <c r="H322" s="0" t="n">
        <v>3814.407</v>
      </c>
      <c r="I322" s="0" t="n">
        <v>2729.36</v>
      </c>
      <c r="J322" s="0" t="n">
        <v>538.7</v>
      </c>
      <c r="K322" s="0" t="n">
        <v>78007.20875</v>
      </c>
      <c r="L322" s="0" t="n">
        <v>71444</v>
      </c>
      <c r="M322" s="0" t="n">
        <v>71236</v>
      </c>
      <c r="N322" s="0" t="n">
        <v>30</v>
      </c>
      <c r="O322" s="54" t="n">
        <f aca="false">YEAR(B322)</f>
        <v>2020</v>
      </c>
      <c r="P322" s="54" t="n">
        <f aca="false">IF(AND(E322&gt;=14400,K322&gt;0,L322&gt;0),1,0)</f>
        <v>1</v>
      </c>
      <c r="Q322" s="53" t="n">
        <f aca="false">IF(P322=1,F322/E322*MIN(L322/K322,1)*MIN(MAX(M322/L322,0),1),0)</f>
        <v>0.867755125645411</v>
      </c>
      <c r="R322" s="55" t="n">
        <f aca="false">IF(F322&gt;0,N322/(F322/3600),0)</f>
        <v>1.7306092880807</v>
      </c>
    </row>
    <row r="323" customFormat="false" ht="15" hidden="false" customHeight="false" outlineLevel="0" collapsed="false">
      <c r="A323" s="0" t="s">
        <v>258</v>
      </c>
      <c r="B323" s="52" t="n">
        <v>44159</v>
      </c>
      <c r="C323" s="0" t="n">
        <v>89719.308</v>
      </c>
      <c r="D323" s="0" t="n">
        <v>8193.528</v>
      </c>
      <c r="E323" s="0" t="n">
        <v>81525.78</v>
      </c>
      <c r="F323" s="0" t="n">
        <v>67810.822</v>
      </c>
      <c r="G323" s="0" t="n">
        <v>64471.35</v>
      </c>
      <c r="H323" s="0" t="n">
        <v>3339.472</v>
      </c>
      <c r="I323" s="0" t="n">
        <v>8476.168</v>
      </c>
      <c r="J323" s="0" t="n">
        <v>5238.79</v>
      </c>
      <c r="K323" s="0" t="n">
        <v>84637.3594444445</v>
      </c>
      <c r="L323" s="0" t="n">
        <v>80276</v>
      </c>
      <c r="M323" s="0" t="n">
        <v>80066</v>
      </c>
      <c r="N323" s="0" t="n">
        <v>64</v>
      </c>
      <c r="O323" s="54" t="n">
        <f aca="false">YEAR(B323)</f>
        <v>2020</v>
      </c>
      <c r="P323" s="54" t="n">
        <f aca="false">IF(AND(E323&gt;=14400,K323&gt;0,L323&gt;0),1,0)</f>
        <v>1</v>
      </c>
      <c r="Q323" s="53" t="n">
        <f aca="false">IF(P323=1,F323/E323*MIN(L323/K323,1)*MIN(MAX(M323/L323,0),1),0)</f>
        <v>0.78684660068287</v>
      </c>
      <c r="R323" s="55" t="n">
        <f aca="false">IF(F323&gt;0,N323/(F323/3600),0)</f>
        <v>3.39768776140186</v>
      </c>
    </row>
    <row r="324" customFormat="false" ht="15" hidden="false" customHeight="false" outlineLevel="0" collapsed="false">
      <c r="A324" s="0" t="s">
        <v>258</v>
      </c>
      <c r="B324" s="52" t="n">
        <v>44160</v>
      </c>
      <c r="C324" s="0" t="n">
        <v>83070.516</v>
      </c>
      <c r="D324" s="0" t="n">
        <v>8377.888</v>
      </c>
      <c r="E324" s="0" t="n">
        <v>74692.628</v>
      </c>
      <c r="F324" s="0" t="n">
        <v>65091.487</v>
      </c>
      <c r="G324" s="0" t="n">
        <v>59412.877</v>
      </c>
      <c r="H324" s="0" t="n">
        <v>5678.61</v>
      </c>
      <c r="I324" s="0" t="n">
        <v>4321.58</v>
      </c>
      <c r="J324" s="0" t="n">
        <v>5279.561</v>
      </c>
      <c r="K324" s="0" t="n">
        <v>81364.35875</v>
      </c>
      <c r="L324" s="0" t="n">
        <v>73504</v>
      </c>
      <c r="M324" s="0" t="n">
        <v>73309</v>
      </c>
      <c r="N324" s="0" t="n">
        <v>26</v>
      </c>
      <c r="O324" s="54" t="n">
        <f aca="false">YEAR(B324)</f>
        <v>2020</v>
      </c>
      <c r="P324" s="54" t="n">
        <f aca="false">IF(AND(E324&gt;=14400,K324&gt;0,L324&gt;0),1,0)</f>
        <v>1</v>
      </c>
      <c r="Q324" s="53" t="n">
        <f aca="false">IF(P324=1,F324/E324*MIN(L324/K324,1)*MIN(MAX(M324/L324,0),1),0)</f>
        <v>0.785180566949659</v>
      </c>
      <c r="R324" s="55" t="n">
        <f aca="false">IF(F324&gt;0,N324/(F324/3600),0)</f>
        <v>1.43797605975725</v>
      </c>
    </row>
    <row r="325" customFormat="false" ht="15" hidden="false" customHeight="false" outlineLevel="0" collapsed="false">
      <c r="A325" s="0" t="s">
        <v>258</v>
      </c>
      <c r="B325" s="52" t="n">
        <v>44161</v>
      </c>
      <c r="C325" s="0" t="n">
        <v>79997.67</v>
      </c>
      <c r="D325" s="0" t="n">
        <v>9859.58</v>
      </c>
      <c r="E325" s="0" t="n">
        <v>70138.09</v>
      </c>
      <c r="F325" s="0" t="n">
        <v>55964.301</v>
      </c>
      <c r="G325" s="0" t="n">
        <v>49100.401</v>
      </c>
      <c r="H325" s="0" t="n">
        <v>6863.9</v>
      </c>
      <c r="I325" s="0" t="n">
        <v>9255.93</v>
      </c>
      <c r="J325" s="0" t="n">
        <v>4917.859</v>
      </c>
      <c r="K325" s="0" t="n">
        <v>69460.0769444444</v>
      </c>
      <c r="L325" s="0" t="n">
        <v>60988</v>
      </c>
      <c r="M325" s="0" t="n">
        <v>60725</v>
      </c>
      <c r="N325" s="0" t="n">
        <v>43</v>
      </c>
      <c r="O325" s="54" t="n">
        <f aca="false">YEAR(B325)</f>
        <v>2020</v>
      </c>
      <c r="P325" s="54" t="n">
        <f aca="false">IF(AND(E325&gt;=14400,K325&gt;0,L325&gt;0),1,0)</f>
        <v>1</v>
      </c>
      <c r="Q325" s="53" t="n">
        <f aca="false">IF(P325=1,F325/E325*MIN(L325/K325,1)*MIN(MAX(M325/L325,0),1),0)</f>
        <v>0.697572597717142</v>
      </c>
      <c r="R325" s="55" t="n">
        <f aca="false">IF(F325&gt;0,N325/(F325/3600),0)</f>
        <v>2.76604902114296</v>
      </c>
    </row>
    <row r="326" customFormat="false" ht="15" hidden="false" customHeight="false" outlineLevel="0" collapsed="false">
      <c r="A326" s="0" t="s">
        <v>258</v>
      </c>
      <c r="B326" s="52" t="n">
        <v>44162</v>
      </c>
      <c r="C326" s="0" t="n">
        <v>86406.979</v>
      </c>
      <c r="D326" s="0" t="n">
        <v>9314.34</v>
      </c>
      <c r="E326" s="0" t="n">
        <v>77092.639</v>
      </c>
      <c r="F326" s="0" t="n">
        <v>69669.613</v>
      </c>
      <c r="G326" s="0" t="n">
        <v>64640.574</v>
      </c>
      <c r="H326" s="0" t="n">
        <v>5029.039</v>
      </c>
      <c r="I326" s="0" t="n">
        <v>5305.796</v>
      </c>
      <c r="J326" s="0" t="n">
        <v>2117.23</v>
      </c>
      <c r="K326" s="0" t="n">
        <v>87087.01625</v>
      </c>
      <c r="L326" s="0" t="n">
        <v>80535</v>
      </c>
      <c r="M326" s="0" t="n">
        <v>80403</v>
      </c>
      <c r="N326" s="0" t="n">
        <v>48</v>
      </c>
      <c r="O326" s="54" t="n">
        <f aca="false">YEAR(B326)</f>
        <v>2020</v>
      </c>
      <c r="P326" s="54" t="n">
        <f aca="false">IF(AND(E326&gt;=14400,K326&gt;0,L326&gt;0),1,0)</f>
        <v>1</v>
      </c>
      <c r="Q326" s="53" t="n">
        <f aca="false">IF(P326=1,F326/E326*MIN(L326/K326,1)*MIN(MAX(M326/L326,0),1),0)</f>
        <v>0.834352031975452</v>
      </c>
      <c r="R326" s="55" t="n">
        <f aca="false">IF(F326&gt;0,N326/(F326/3600),0)</f>
        <v>2.48027787953982</v>
      </c>
    </row>
    <row r="327" customFormat="false" ht="15" hidden="false" customHeight="false" outlineLevel="0" collapsed="false">
      <c r="A327" s="0" t="s">
        <v>258</v>
      </c>
      <c r="B327" s="52" t="n">
        <v>44163</v>
      </c>
      <c r="C327" s="0" t="n">
        <v>12697.5</v>
      </c>
      <c r="D327" s="0" t="n">
        <v>1248.57</v>
      </c>
      <c r="E327" s="0" t="n">
        <v>11448.93</v>
      </c>
      <c r="F327" s="0" t="n">
        <v>6703.88</v>
      </c>
      <c r="G327" s="0" t="n">
        <v>5991.88</v>
      </c>
      <c r="H327" s="0" t="n">
        <v>712</v>
      </c>
      <c r="I327" s="0" t="n">
        <v>1155.19</v>
      </c>
      <c r="J327" s="0" t="n">
        <v>3589.86</v>
      </c>
      <c r="K327" s="0" t="n">
        <v>8379.85</v>
      </c>
      <c r="L327" s="0" t="n">
        <v>7507</v>
      </c>
      <c r="M327" s="0" t="n">
        <v>7486</v>
      </c>
      <c r="N327" s="0" t="n">
        <v>14</v>
      </c>
      <c r="O327" s="54" t="n">
        <f aca="false">YEAR(B327)</f>
        <v>2020</v>
      </c>
      <c r="P327" s="54" t="n">
        <f aca="false">IF(AND(E327&gt;=14400,K327&gt;0,L327&gt;0),1,0)</f>
        <v>0</v>
      </c>
      <c r="Q327" s="53" t="n">
        <f aca="false">IF(P327=1,F327/E327*MIN(L327/K327,1)*MIN(MAX(M327/L327,0),1),0)</f>
        <v>0</v>
      </c>
      <c r="R327" s="55" t="n">
        <f aca="false">IF(F327&gt;0,N327/(F327/3600),0)</f>
        <v>7.51803433235678</v>
      </c>
    </row>
    <row r="328" customFormat="false" ht="15" hidden="false" customHeight="false" outlineLevel="0" collapsed="false">
      <c r="A328" s="0" t="s">
        <v>258</v>
      </c>
      <c r="B328" s="52" t="n">
        <v>44164</v>
      </c>
      <c r="C328" s="0" t="n">
        <v>45373.079</v>
      </c>
      <c r="D328" s="0" t="n">
        <v>7858.04</v>
      </c>
      <c r="E328" s="0" t="n">
        <v>37515.039</v>
      </c>
      <c r="F328" s="0" t="n">
        <v>24875.589</v>
      </c>
      <c r="G328" s="0" t="n">
        <v>21181.246</v>
      </c>
      <c r="H328" s="0" t="n">
        <v>3694.343</v>
      </c>
      <c r="I328" s="0" t="n">
        <v>6594.94</v>
      </c>
      <c r="J328" s="0" t="n">
        <v>6044.51</v>
      </c>
      <c r="K328" s="0" t="n">
        <v>30518.6322222222</v>
      </c>
      <c r="L328" s="0" t="n">
        <v>26253</v>
      </c>
      <c r="M328" s="0" t="n">
        <v>26169</v>
      </c>
      <c r="N328" s="0" t="n">
        <v>16</v>
      </c>
      <c r="O328" s="54" t="n">
        <f aca="false">YEAR(B328)</f>
        <v>2020</v>
      </c>
      <c r="P328" s="54" t="n">
        <f aca="false">IF(AND(E328&gt;=14400,K328&gt;0,L328&gt;0),1,0)</f>
        <v>1</v>
      </c>
      <c r="Q328" s="53" t="n">
        <f aca="false">IF(P328=1,F328/E328*MIN(L328/K328,1)*MIN(MAX(M328/L328,0),1),0)</f>
        <v>0.568577974473473</v>
      </c>
      <c r="R328" s="55" t="n">
        <f aca="false">IF(F328&gt;0,N328/(F328/3600),0)</f>
        <v>2.31552306158459</v>
      </c>
    </row>
    <row r="329" customFormat="false" ht="15" hidden="false" customHeight="false" outlineLevel="0" collapsed="false">
      <c r="A329" s="0" t="s">
        <v>258</v>
      </c>
      <c r="B329" s="52" t="n">
        <v>44165</v>
      </c>
      <c r="C329" s="0" t="n">
        <v>80428.378</v>
      </c>
      <c r="D329" s="0" t="n">
        <v>8442.149</v>
      </c>
      <c r="E329" s="0" t="n">
        <v>71986.229</v>
      </c>
      <c r="F329" s="0" t="n">
        <v>55013.449</v>
      </c>
      <c r="G329" s="0" t="n">
        <v>39988.028</v>
      </c>
      <c r="H329" s="0" t="n">
        <v>15025.421</v>
      </c>
      <c r="I329" s="0" t="n">
        <v>14539.181</v>
      </c>
      <c r="J329" s="0" t="n">
        <v>2433.599</v>
      </c>
      <c r="K329" s="0" t="n">
        <v>68749.77375</v>
      </c>
      <c r="L329" s="0" t="n">
        <v>48645</v>
      </c>
      <c r="M329" s="0" t="n">
        <v>48460</v>
      </c>
      <c r="N329" s="0" t="n">
        <v>50</v>
      </c>
      <c r="O329" s="54" t="n">
        <f aca="false">YEAR(B329)</f>
        <v>2020</v>
      </c>
      <c r="P329" s="54" t="n">
        <f aca="false">IF(AND(E329&gt;=14400,K329&gt;0,L329&gt;0),1,0)</f>
        <v>1</v>
      </c>
      <c r="Q329" s="53" t="n">
        <f aca="false">IF(P329=1,F329/E329*MIN(L329/K329,1)*MIN(MAX(M329/L329,0),1),0)</f>
        <v>0.538680911412792</v>
      </c>
      <c r="R329" s="55" t="n">
        <f aca="false">IF(F329&gt;0,N329/(F329/3600),0)</f>
        <v>3.27192719729316</v>
      </c>
    </row>
    <row r="330" customFormat="false" ht="15" hidden="false" customHeight="false" outlineLevel="0" collapsed="false">
      <c r="A330" s="0" t="s">
        <v>258</v>
      </c>
      <c r="B330" s="52" t="n">
        <v>44166</v>
      </c>
      <c r="C330" s="0" t="n">
        <v>81607.629</v>
      </c>
      <c r="D330" s="0" t="n">
        <v>2667.851</v>
      </c>
      <c r="E330" s="0" t="n">
        <v>78939.778</v>
      </c>
      <c r="F330" s="0" t="n">
        <v>69060.453</v>
      </c>
      <c r="G330" s="0" t="n">
        <v>64943.975</v>
      </c>
      <c r="H330" s="0" t="n">
        <v>4116.478</v>
      </c>
      <c r="I330" s="0" t="n">
        <v>9614.515</v>
      </c>
      <c r="J330" s="0" t="n">
        <v>264.81</v>
      </c>
      <c r="K330" s="0" t="n">
        <v>85853.4259722222</v>
      </c>
      <c r="L330" s="0" t="n">
        <v>78926</v>
      </c>
      <c r="M330" s="0" t="n">
        <v>78787</v>
      </c>
      <c r="N330" s="0" t="n">
        <v>112</v>
      </c>
      <c r="O330" s="54" t="n">
        <f aca="false">YEAR(B330)</f>
        <v>2020</v>
      </c>
      <c r="P330" s="54" t="n">
        <f aca="false">IF(AND(E330&gt;=14400,K330&gt;0,L330&gt;0),1,0)</f>
        <v>1</v>
      </c>
      <c r="Q330" s="53" t="n">
        <f aca="false">IF(P330=1,F330/E330*MIN(L330/K330,1)*MIN(MAX(M330/L330,0),1),0)</f>
        <v>0.802842686927907</v>
      </c>
      <c r="R330" s="55" t="n">
        <f aca="false">IF(F330&gt;0,N330/(F330/3600),0)</f>
        <v>5.83836309327424</v>
      </c>
    </row>
    <row r="331" customFormat="false" ht="15" hidden="false" customHeight="false" outlineLevel="0" collapsed="false">
      <c r="A331" s="0" t="s">
        <v>258</v>
      </c>
      <c r="B331" s="52" t="n">
        <v>44167</v>
      </c>
      <c r="C331" s="0" t="n">
        <v>86462.043</v>
      </c>
      <c r="D331" s="0" t="n">
        <v>8174.148</v>
      </c>
      <c r="E331" s="0" t="n">
        <v>78287.895</v>
      </c>
      <c r="F331" s="0" t="n">
        <v>68812.446</v>
      </c>
      <c r="G331" s="0" t="n">
        <v>59103.428</v>
      </c>
      <c r="H331" s="0" t="n">
        <v>9709.018</v>
      </c>
      <c r="I331" s="0" t="n">
        <v>4702.43</v>
      </c>
      <c r="J331" s="0" t="n">
        <v>4773.019</v>
      </c>
      <c r="K331" s="0" t="n">
        <v>85888.4547222222</v>
      </c>
      <c r="L331" s="0" t="n">
        <v>73722</v>
      </c>
      <c r="M331" s="0" t="n">
        <v>73537</v>
      </c>
      <c r="N331" s="0" t="n">
        <v>56</v>
      </c>
      <c r="O331" s="54" t="n">
        <f aca="false">YEAR(B331)</f>
        <v>2020</v>
      </c>
      <c r="P331" s="54" t="n">
        <f aca="false">IF(AND(E331&gt;=14400,K331&gt;0,L331&gt;0),1,0)</f>
        <v>1</v>
      </c>
      <c r="Q331" s="53" t="n">
        <f aca="false">IF(P331=1,F331/E331*MIN(L331/K331,1)*MIN(MAX(M331/L331,0),1),0)</f>
        <v>0.752564103249223</v>
      </c>
      <c r="R331" s="55" t="n">
        <f aca="false">IF(F331&gt;0,N331/(F331/3600),0)</f>
        <v>2.92970257153771</v>
      </c>
    </row>
    <row r="332" customFormat="false" ht="15" hidden="false" customHeight="false" outlineLevel="0" collapsed="false">
      <c r="A332" s="0" t="s">
        <v>258</v>
      </c>
      <c r="B332" s="52" t="n">
        <v>44168</v>
      </c>
      <c r="C332" s="0" t="n">
        <v>83472.586</v>
      </c>
      <c r="D332" s="0" t="n">
        <v>8275.33</v>
      </c>
      <c r="E332" s="0" t="n">
        <v>75197.256</v>
      </c>
      <c r="F332" s="0" t="n">
        <v>50962.106</v>
      </c>
      <c r="G332" s="0" t="n">
        <v>44769.338</v>
      </c>
      <c r="H332" s="0" t="n">
        <v>6192.768</v>
      </c>
      <c r="I332" s="0" t="n">
        <v>21445.441</v>
      </c>
      <c r="J332" s="0" t="n">
        <v>2789.709</v>
      </c>
      <c r="K332" s="0" t="n">
        <v>63341.2446666667</v>
      </c>
      <c r="L332" s="0" t="n">
        <v>54399</v>
      </c>
      <c r="M332" s="0" t="n">
        <v>54089</v>
      </c>
      <c r="N332" s="0" t="n">
        <v>81</v>
      </c>
      <c r="O332" s="54" t="n">
        <f aca="false">YEAR(B332)</f>
        <v>2020</v>
      </c>
      <c r="P332" s="54" t="n">
        <f aca="false">IF(AND(E332&gt;=14400,K332&gt;0,L332&gt;0),1,0)</f>
        <v>1</v>
      </c>
      <c r="Q332" s="53" t="n">
        <f aca="false">IF(P332=1,F332/E332*MIN(L332/K332,1)*MIN(MAX(M332/L332,0),1),0)</f>
        <v>0.57871898916041</v>
      </c>
      <c r="R332" s="55" t="n">
        <f aca="false">IF(F332&gt;0,N332/(F332/3600),0)</f>
        <v>5.72189854163405</v>
      </c>
    </row>
    <row r="333" customFormat="false" ht="15" hidden="false" customHeight="false" outlineLevel="0" collapsed="false">
      <c r="A333" s="0" t="s">
        <v>258</v>
      </c>
      <c r="B333" s="52" t="n">
        <v>44169</v>
      </c>
      <c r="C333" s="0" t="n">
        <v>74457.031</v>
      </c>
      <c r="D333" s="0" t="n">
        <v>7824.85</v>
      </c>
      <c r="E333" s="0" t="n">
        <v>66632.181</v>
      </c>
      <c r="F333" s="0" t="n">
        <v>53055.552</v>
      </c>
      <c r="G333" s="0" t="n">
        <v>43283.702</v>
      </c>
      <c r="H333" s="0" t="n">
        <v>9771.85</v>
      </c>
      <c r="I333" s="0" t="n">
        <v>10036.929</v>
      </c>
      <c r="J333" s="0" t="n">
        <v>3539.7</v>
      </c>
      <c r="K333" s="0" t="n">
        <v>66273.6872222222</v>
      </c>
      <c r="L333" s="0" t="n">
        <v>53816</v>
      </c>
      <c r="M333" s="0" t="n">
        <v>53677</v>
      </c>
      <c r="N333" s="0" t="n">
        <v>59</v>
      </c>
      <c r="O333" s="54" t="n">
        <f aca="false">YEAR(B333)</f>
        <v>2020</v>
      </c>
      <c r="P333" s="54" t="n">
        <f aca="false">IF(AND(E333&gt;=14400,K333&gt;0,L333&gt;0),1,0)</f>
        <v>1</v>
      </c>
      <c r="Q333" s="53" t="n">
        <f aca="false">IF(P333=1,F333/E333*MIN(L333/K333,1)*MIN(MAX(M333/L333,0),1),0)</f>
        <v>0.6449022764483</v>
      </c>
      <c r="R333" s="55" t="n">
        <f aca="false">IF(F333&gt;0,N333/(F333/3600),0)</f>
        <v>4.00335105362771</v>
      </c>
    </row>
    <row r="334" customFormat="false" ht="15" hidden="false" customHeight="false" outlineLevel="0" collapsed="false">
      <c r="A334" s="0" t="s">
        <v>258</v>
      </c>
      <c r="B334" s="52" t="n">
        <v>44170</v>
      </c>
      <c r="C334" s="0" t="n">
        <v>25987.829</v>
      </c>
      <c r="D334" s="0" t="n">
        <v>1040.97</v>
      </c>
      <c r="E334" s="0" t="n">
        <v>24946.859</v>
      </c>
      <c r="F334" s="0" t="n">
        <v>21371.329</v>
      </c>
      <c r="G334" s="0" t="n">
        <v>19243.399</v>
      </c>
      <c r="H334" s="0" t="n">
        <v>2127.93</v>
      </c>
      <c r="I334" s="0" t="n">
        <v>2444.69</v>
      </c>
      <c r="J334" s="0" t="n">
        <v>1130.84</v>
      </c>
      <c r="K334" s="0" t="n">
        <v>26834.7381944444</v>
      </c>
      <c r="L334" s="0" t="n">
        <v>24063</v>
      </c>
      <c r="M334" s="0" t="n">
        <v>23990</v>
      </c>
      <c r="N334" s="0" t="n">
        <v>29</v>
      </c>
      <c r="O334" s="54" t="n">
        <f aca="false">YEAR(B334)</f>
        <v>2020</v>
      </c>
      <c r="P334" s="54" t="n">
        <f aca="false">IF(AND(E334&gt;=14400,K334&gt;0,L334&gt;0),1,0)</f>
        <v>1</v>
      </c>
      <c r="Q334" s="53" t="n">
        <f aca="false">IF(P334=1,F334/E334*MIN(L334/K334,1)*MIN(MAX(M334/L334,0),1),0)</f>
        <v>0.765858511060236</v>
      </c>
      <c r="R334" s="55" t="n">
        <f aca="false">IF(F334&gt;0,N334/(F334/3600),0)</f>
        <v>4.88504949785762</v>
      </c>
    </row>
    <row r="335" customFormat="false" ht="15" hidden="false" customHeight="false" outlineLevel="0" collapsed="false">
      <c r="A335" s="0" t="s">
        <v>258</v>
      </c>
      <c r="B335" s="52" t="n">
        <v>44171</v>
      </c>
      <c r="C335" s="0" t="n">
        <v>78492.726</v>
      </c>
      <c r="D335" s="0" t="n">
        <v>18700.129</v>
      </c>
      <c r="E335" s="0" t="n">
        <v>59792.597</v>
      </c>
      <c r="F335" s="0" t="n">
        <v>25916.93</v>
      </c>
      <c r="G335" s="0" t="n">
        <v>23860.65</v>
      </c>
      <c r="H335" s="0" t="n">
        <v>2056.28</v>
      </c>
      <c r="I335" s="0" t="n">
        <v>1407.241</v>
      </c>
      <c r="J335" s="0" t="n">
        <v>32468.426</v>
      </c>
      <c r="K335" s="0" t="n">
        <v>32396.1625</v>
      </c>
      <c r="L335" s="0" t="n">
        <v>29743</v>
      </c>
      <c r="M335" s="0" t="n">
        <v>29621</v>
      </c>
      <c r="N335" s="0" t="n">
        <v>13</v>
      </c>
      <c r="O335" s="54" t="n">
        <f aca="false">YEAR(B335)</f>
        <v>2020</v>
      </c>
      <c r="P335" s="54" t="n">
        <f aca="false">IF(AND(E335&gt;=14400,K335&gt;0,L335&gt;0),1,0)</f>
        <v>1</v>
      </c>
      <c r="Q335" s="53" t="n">
        <f aca="false">IF(P335=1,F335/E335*MIN(L335/K335,1)*MIN(MAX(M335/L335,0),1),0)</f>
        <v>0.396316620935532</v>
      </c>
      <c r="R335" s="55" t="n">
        <f aca="false">IF(F335&gt;0,N335/(F335/3600),0)</f>
        <v>1.80576943333952</v>
      </c>
    </row>
    <row r="336" customFormat="false" ht="15" hidden="false" customHeight="false" outlineLevel="0" collapsed="false">
      <c r="A336" s="0" t="s">
        <v>258</v>
      </c>
      <c r="B336" s="52" t="n">
        <v>44172</v>
      </c>
      <c r="C336" s="0" t="n">
        <v>85746.539</v>
      </c>
      <c r="D336" s="0" t="n">
        <v>8353.48</v>
      </c>
      <c r="E336" s="0" t="n">
        <v>77393.059</v>
      </c>
      <c r="F336" s="0" t="n">
        <v>62953.261</v>
      </c>
      <c r="G336" s="0" t="n">
        <v>53635.914</v>
      </c>
      <c r="H336" s="0" t="n">
        <v>9317.347</v>
      </c>
      <c r="I336" s="0" t="n">
        <v>11846.859</v>
      </c>
      <c r="J336" s="0" t="n">
        <v>2592.939</v>
      </c>
      <c r="K336" s="0" t="n">
        <v>77872.8718055556</v>
      </c>
      <c r="L336" s="0" t="n">
        <v>67922</v>
      </c>
      <c r="M336" s="0" t="n">
        <v>67685</v>
      </c>
      <c r="N336" s="0" t="n">
        <v>58</v>
      </c>
      <c r="O336" s="54" t="n">
        <f aca="false">YEAR(B336)</f>
        <v>2020</v>
      </c>
      <c r="P336" s="54" t="n">
        <f aca="false">IF(AND(E336&gt;=14400,K336&gt;0,L336&gt;0),1,0)</f>
        <v>1</v>
      </c>
      <c r="Q336" s="53" t="n">
        <f aca="false">IF(P336=1,F336/E336*MIN(L336/K336,1)*MIN(MAX(M336/L336,0),1),0)</f>
        <v>0.707004960982474</v>
      </c>
      <c r="R336" s="55" t="n">
        <f aca="false">IF(F336&gt;0,N336/(F336/3600),0)</f>
        <v>3.31674637156604</v>
      </c>
    </row>
    <row r="337" customFormat="false" ht="15" hidden="false" customHeight="false" outlineLevel="0" collapsed="false">
      <c r="A337" s="0" t="s">
        <v>258</v>
      </c>
      <c r="B337" s="52" t="n">
        <v>44173</v>
      </c>
      <c r="C337" s="0" t="n">
        <v>83074.208</v>
      </c>
      <c r="D337" s="0" t="n">
        <v>3171.08</v>
      </c>
      <c r="E337" s="0" t="n">
        <v>79903.128</v>
      </c>
      <c r="F337" s="0" t="n">
        <v>72063.989</v>
      </c>
      <c r="G337" s="0" t="n">
        <v>66287.769</v>
      </c>
      <c r="H337" s="0" t="n">
        <v>5776.22</v>
      </c>
      <c r="I337" s="0" t="n">
        <v>6938.899</v>
      </c>
      <c r="J337" s="0" t="n">
        <v>900.24</v>
      </c>
      <c r="K337" s="0" t="n">
        <v>89882.5460416667</v>
      </c>
      <c r="L337" s="0" t="n">
        <v>81358</v>
      </c>
      <c r="M337" s="0" t="n">
        <v>81187</v>
      </c>
      <c r="N337" s="0" t="n">
        <v>90</v>
      </c>
      <c r="O337" s="54" t="n">
        <f aca="false">YEAR(B337)</f>
        <v>2020</v>
      </c>
      <c r="P337" s="54" t="n">
        <f aca="false">IF(AND(E337&gt;=14400,K337&gt;0,L337&gt;0),1,0)</f>
        <v>1</v>
      </c>
      <c r="Q337" s="53" t="n">
        <f aca="false">IF(P337=1,F337/E337*MIN(L337/K337,1)*MIN(MAX(M337/L337,0),1),0)</f>
        <v>0.814639839029391</v>
      </c>
      <c r="R337" s="55" t="n">
        <f aca="false">IF(F337&gt;0,N337/(F337/3600),0)</f>
        <v>4.49600423867738</v>
      </c>
    </row>
    <row r="338" customFormat="false" ht="15" hidden="false" customHeight="false" outlineLevel="0" collapsed="false">
      <c r="A338" s="0" t="s">
        <v>258</v>
      </c>
      <c r="B338" s="52" t="n">
        <v>44174</v>
      </c>
      <c r="C338" s="0" t="n">
        <v>85891.336</v>
      </c>
      <c r="D338" s="0" t="n">
        <v>8330.099</v>
      </c>
      <c r="E338" s="0" t="n">
        <v>77561.237</v>
      </c>
      <c r="F338" s="0" t="n">
        <v>69959.128</v>
      </c>
      <c r="G338" s="0" t="n">
        <v>63452.087</v>
      </c>
      <c r="H338" s="0" t="n">
        <v>6507.041</v>
      </c>
      <c r="I338" s="0" t="n">
        <v>5456.279</v>
      </c>
      <c r="J338" s="0" t="n">
        <v>2145.83</v>
      </c>
      <c r="K338" s="0" t="n">
        <v>87448.91</v>
      </c>
      <c r="L338" s="0" t="n">
        <v>79137</v>
      </c>
      <c r="M338" s="0" t="n">
        <v>78967</v>
      </c>
      <c r="N338" s="0" t="n">
        <v>57</v>
      </c>
      <c r="O338" s="54" t="n">
        <f aca="false">YEAR(B338)</f>
        <v>2020</v>
      </c>
      <c r="P338" s="54" t="n">
        <f aca="false">IF(AND(E338&gt;=14400,K338&gt;0,L338&gt;0),1,0)</f>
        <v>1</v>
      </c>
      <c r="Q338" s="53" t="n">
        <f aca="false">IF(P338=1,F338/E338*MIN(L338/K338,1)*MIN(MAX(M338/L338,0),1),0)</f>
        <v>0.814499644970851</v>
      </c>
      <c r="R338" s="55" t="n">
        <f aca="false">IF(F338&gt;0,N338/(F338/3600),0)</f>
        <v>2.93314119066779</v>
      </c>
    </row>
    <row r="339" customFormat="false" ht="15" hidden="false" customHeight="false" outlineLevel="0" collapsed="false">
      <c r="A339" s="0" t="s">
        <v>258</v>
      </c>
      <c r="B339" s="52" t="n">
        <v>44175</v>
      </c>
      <c r="C339" s="0" t="n">
        <v>86171.865</v>
      </c>
      <c r="D339" s="0" t="n">
        <v>8964.578</v>
      </c>
      <c r="E339" s="0" t="n">
        <v>77207.287</v>
      </c>
      <c r="F339" s="0" t="n">
        <v>62542.706</v>
      </c>
      <c r="G339" s="0" t="n">
        <v>52036.757</v>
      </c>
      <c r="H339" s="0" t="n">
        <v>10505.949</v>
      </c>
      <c r="I339" s="0" t="n">
        <v>9363.931</v>
      </c>
      <c r="J339" s="0" t="n">
        <v>5300.65</v>
      </c>
      <c r="K339" s="0" t="n">
        <v>77814.4986111111</v>
      </c>
      <c r="L339" s="0" t="n">
        <v>64630</v>
      </c>
      <c r="M339" s="0" t="n">
        <v>64401</v>
      </c>
      <c r="N339" s="0" t="n">
        <v>75</v>
      </c>
      <c r="O339" s="54" t="n">
        <f aca="false">YEAR(B339)</f>
        <v>2020</v>
      </c>
      <c r="P339" s="54" t="n">
        <f aca="false">IF(AND(E339&gt;=14400,K339&gt;0,L339&gt;0),1,0)</f>
        <v>1</v>
      </c>
      <c r="Q339" s="53" t="n">
        <f aca="false">IF(P339=1,F339/E339*MIN(L339/K339,1)*MIN(MAX(M339/L339,0),1),0)</f>
        <v>0.670425405354489</v>
      </c>
      <c r="R339" s="55" t="n">
        <f aca="false">IF(F339&gt;0,N339/(F339/3600),0)</f>
        <v>4.31705017688234</v>
      </c>
    </row>
    <row r="340" customFormat="false" ht="15" hidden="false" customHeight="false" outlineLevel="0" collapsed="false">
      <c r="A340" s="0" t="s">
        <v>258</v>
      </c>
      <c r="B340" s="52" t="n">
        <v>44176</v>
      </c>
      <c r="C340" s="0" t="n">
        <v>80132.969</v>
      </c>
      <c r="D340" s="0" t="n">
        <v>3606.609</v>
      </c>
      <c r="E340" s="0" t="n">
        <v>76526.36</v>
      </c>
      <c r="F340" s="0" t="n">
        <v>60491.199</v>
      </c>
      <c r="G340" s="0" t="n">
        <v>52618.048</v>
      </c>
      <c r="H340" s="0" t="n">
        <v>7873.151</v>
      </c>
      <c r="I340" s="0" t="n">
        <v>15506.851</v>
      </c>
      <c r="J340" s="0" t="n">
        <v>528.31</v>
      </c>
      <c r="K340" s="0" t="n">
        <v>75613.99875</v>
      </c>
      <c r="L340" s="0" t="n">
        <v>64338</v>
      </c>
      <c r="M340" s="0" t="n">
        <v>64188</v>
      </c>
      <c r="N340" s="0" t="n">
        <v>50</v>
      </c>
      <c r="O340" s="54" t="n">
        <f aca="false">YEAR(B340)</f>
        <v>2020</v>
      </c>
      <c r="P340" s="54" t="n">
        <f aca="false">IF(AND(E340&gt;=14400,K340&gt;0,L340&gt;0),1,0)</f>
        <v>1</v>
      </c>
      <c r="Q340" s="53" t="n">
        <f aca="false">IF(P340=1,F340/E340*MIN(L340/K340,1)*MIN(MAX(M340/L340,0),1),0)</f>
        <v>0.671015843429637</v>
      </c>
      <c r="R340" s="55" t="n">
        <f aca="false">IF(F340&gt;0,N340/(F340/3600),0)</f>
        <v>2.97563948104252</v>
      </c>
    </row>
    <row r="341" customFormat="false" ht="15" hidden="false" customHeight="false" outlineLevel="0" collapsed="false">
      <c r="A341" s="0" t="s">
        <v>258</v>
      </c>
      <c r="B341" s="52" t="n">
        <v>44177</v>
      </c>
      <c r="C341" s="0" t="n">
        <v>28419.91</v>
      </c>
      <c r="D341" s="0" t="n">
        <v>6002.12</v>
      </c>
      <c r="E341" s="0" t="n">
        <v>22417.79</v>
      </c>
      <c r="F341" s="0" t="n">
        <v>14450.069</v>
      </c>
      <c r="G341" s="0" t="n">
        <v>13680.709</v>
      </c>
      <c r="H341" s="0" t="n">
        <v>769.36</v>
      </c>
      <c r="I341" s="0" t="n">
        <v>5755.831</v>
      </c>
      <c r="J341" s="0" t="n">
        <v>2211.89</v>
      </c>
      <c r="K341" s="0" t="n">
        <v>18062.58625</v>
      </c>
      <c r="L341" s="0" t="n">
        <v>17088</v>
      </c>
      <c r="M341" s="0" t="n">
        <v>17040</v>
      </c>
      <c r="N341" s="0" t="n">
        <v>27</v>
      </c>
      <c r="O341" s="54" t="n">
        <f aca="false">YEAR(B341)</f>
        <v>2020</v>
      </c>
      <c r="P341" s="54" t="n">
        <f aca="false">IF(AND(E341&gt;=14400,K341&gt;0,L341&gt;0),1,0)</f>
        <v>1</v>
      </c>
      <c r="Q341" s="53" t="n">
        <f aca="false">IF(P341=1,F341/E341*MIN(L341/K341,1)*MIN(MAX(M341/L341,0),1),0)</f>
        <v>0.608088486866904</v>
      </c>
      <c r="R341" s="55" t="n">
        <f aca="false">IF(F341&gt;0,N341/(F341/3600),0)</f>
        <v>6.72661147846422</v>
      </c>
    </row>
    <row r="342" customFormat="false" ht="15" hidden="false" customHeight="false" outlineLevel="0" collapsed="false">
      <c r="A342" s="0" t="s">
        <v>258</v>
      </c>
      <c r="B342" s="52" t="n">
        <v>44178</v>
      </c>
      <c r="C342" s="0" t="n">
        <v>33853.179</v>
      </c>
      <c r="D342" s="0" t="n">
        <v>2439.119</v>
      </c>
      <c r="E342" s="0" t="n">
        <v>31414.06</v>
      </c>
      <c r="F342" s="0" t="n">
        <v>26958.821</v>
      </c>
      <c r="G342" s="0" t="n">
        <v>20677.871</v>
      </c>
      <c r="H342" s="0" t="n">
        <v>6280.95</v>
      </c>
      <c r="I342" s="0" t="n">
        <v>3402.149</v>
      </c>
      <c r="J342" s="0" t="n">
        <v>1053.09</v>
      </c>
      <c r="K342" s="0" t="n">
        <v>33511.5366666667</v>
      </c>
      <c r="L342" s="0" t="n">
        <v>25659</v>
      </c>
      <c r="M342" s="0" t="n">
        <v>25564</v>
      </c>
      <c r="N342" s="0" t="n">
        <v>14</v>
      </c>
      <c r="O342" s="54" t="n">
        <f aca="false">YEAR(B342)</f>
        <v>2020</v>
      </c>
      <c r="P342" s="54" t="n">
        <f aca="false">IF(AND(E342&gt;=14400,K342&gt;0,L342&gt;0),1,0)</f>
        <v>1</v>
      </c>
      <c r="Q342" s="53" t="n">
        <f aca="false">IF(P342=1,F342/E342*MIN(L342/K342,1)*MIN(MAX(M342/L342,0),1),0)</f>
        <v>0.654653195798866</v>
      </c>
      <c r="R342" s="55" t="n">
        <f aca="false">IF(F342&gt;0,N342/(F342/3600),0)</f>
        <v>1.86951795851903</v>
      </c>
    </row>
    <row r="343" customFormat="false" ht="15" hidden="false" customHeight="false" outlineLevel="0" collapsed="false">
      <c r="A343" s="0" t="s">
        <v>258</v>
      </c>
      <c r="B343" s="52" t="n">
        <v>44179</v>
      </c>
      <c r="C343" s="0" t="n">
        <v>82019.681</v>
      </c>
      <c r="D343" s="0" t="n">
        <v>8123.821</v>
      </c>
      <c r="E343" s="0" t="n">
        <v>73895.86</v>
      </c>
      <c r="F343" s="0" t="n">
        <v>65190.069</v>
      </c>
      <c r="G343" s="0" t="n">
        <v>55348.351</v>
      </c>
      <c r="H343" s="0" t="n">
        <v>9841.718</v>
      </c>
      <c r="I343" s="0" t="n">
        <v>6695.611</v>
      </c>
      <c r="J343" s="0" t="n">
        <v>2010.18</v>
      </c>
      <c r="K343" s="0" t="n">
        <v>80490.3348555556</v>
      </c>
      <c r="L343" s="0" t="n">
        <v>72892</v>
      </c>
      <c r="M343" s="0" t="n">
        <v>72704</v>
      </c>
      <c r="N343" s="0" t="n">
        <v>32</v>
      </c>
      <c r="O343" s="54" t="n">
        <f aca="false">YEAR(B343)</f>
        <v>2020</v>
      </c>
      <c r="P343" s="54" t="n">
        <f aca="false">IF(AND(E343&gt;=14400,K343&gt;0,L343&gt;0),1,0)</f>
        <v>1</v>
      </c>
      <c r="Q343" s="53" t="n">
        <f aca="false">IF(P343=1,F343/E343*MIN(L343/K343,1)*MIN(MAX(M343/L343,0),1),0)</f>
        <v>0.796848765418483</v>
      </c>
      <c r="R343" s="55" t="n">
        <f aca="false">IF(F343&gt;0,N343/(F343/3600),0)</f>
        <v>1.76714032930384</v>
      </c>
    </row>
    <row r="344" customFormat="false" ht="15" hidden="false" customHeight="false" outlineLevel="0" collapsed="false">
      <c r="A344" s="0" t="s">
        <v>258</v>
      </c>
      <c r="B344" s="52" t="n">
        <v>44180</v>
      </c>
      <c r="C344" s="0" t="n">
        <v>87395.985</v>
      </c>
      <c r="D344" s="0" t="n">
        <v>5250.03</v>
      </c>
      <c r="E344" s="0" t="n">
        <v>82145.955</v>
      </c>
      <c r="F344" s="0" t="n">
        <v>66941.97</v>
      </c>
      <c r="G344" s="0" t="n">
        <v>60713.011</v>
      </c>
      <c r="H344" s="0" t="n">
        <v>6228.959</v>
      </c>
      <c r="I344" s="0" t="n">
        <v>13150.546</v>
      </c>
      <c r="J344" s="0" t="n">
        <v>2053.439</v>
      </c>
      <c r="K344" s="0" t="n">
        <v>81277.4379861111</v>
      </c>
      <c r="L344" s="0" t="n">
        <v>73835</v>
      </c>
      <c r="M344" s="0" t="n">
        <v>73648</v>
      </c>
      <c r="N344" s="0" t="n">
        <v>67</v>
      </c>
      <c r="O344" s="54" t="n">
        <f aca="false">YEAR(B344)</f>
        <v>2020</v>
      </c>
      <c r="P344" s="54" t="n">
        <f aca="false">IF(AND(E344&gt;=14400,K344&gt;0,L344&gt;0),1,0)</f>
        <v>1</v>
      </c>
      <c r="Q344" s="53" t="n">
        <f aca="false">IF(P344=1,F344/E344*MIN(L344/K344,1)*MIN(MAX(M344/L344,0),1),0)</f>
        <v>0.738419671969517</v>
      </c>
      <c r="R344" s="55" t="n">
        <f aca="false">IF(F344&gt;0,N344/(F344/3600),0)</f>
        <v>3.60312073277796</v>
      </c>
    </row>
    <row r="345" customFormat="false" ht="15" hidden="false" customHeight="false" outlineLevel="0" collapsed="false">
      <c r="A345" s="0" t="s">
        <v>258</v>
      </c>
      <c r="B345" s="52" t="n">
        <v>44181</v>
      </c>
      <c r="C345" s="0" t="n">
        <v>86628.027</v>
      </c>
      <c r="D345" s="0" t="n">
        <v>8279.189</v>
      </c>
      <c r="E345" s="0" t="n">
        <v>78348.838</v>
      </c>
      <c r="F345" s="0" t="n">
        <v>50748.168</v>
      </c>
      <c r="G345" s="0" t="n">
        <v>47592.309</v>
      </c>
      <c r="H345" s="0" t="n">
        <v>3155.859</v>
      </c>
      <c r="I345" s="0" t="n">
        <v>2726.019</v>
      </c>
      <c r="J345" s="0" t="n">
        <v>24874.651</v>
      </c>
      <c r="K345" s="0" t="n">
        <v>63397.4329166667</v>
      </c>
      <c r="L345" s="0" t="n">
        <v>59358</v>
      </c>
      <c r="M345" s="0" t="n">
        <v>59180</v>
      </c>
      <c r="N345" s="0" t="n">
        <v>18</v>
      </c>
      <c r="O345" s="54" t="n">
        <f aca="false">YEAR(B345)</f>
        <v>2020</v>
      </c>
      <c r="P345" s="54" t="n">
        <f aca="false">IF(AND(E345&gt;=14400,K345&gt;0,L345&gt;0),1,0)</f>
        <v>1</v>
      </c>
      <c r="Q345" s="53" t="n">
        <f aca="false">IF(P345=1,F345/E345*MIN(L345/K345,1)*MIN(MAX(M345/L345,0),1),0)</f>
        <v>0.60463195649502</v>
      </c>
      <c r="R345" s="55" t="n">
        <f aca="false">IF(F345&gt;0,N345/(F345/3600),0)</f>
        <v>1.27689338460454</v>
      </c>
    </row>
    <row r="346" customFormat="false" ht="15" hidden="false" customHeight="false" outlineLevel="0" collapsed="false">
      <c r="A346" s="0" t="s">
        <v>258</v>
      </c>
      <c r="B346" s="52" t="n">
        <v>44182</v>
      </c>
      <c r="C346" s="0" t="n">
        <v>85038.425</v>
      </c>
      <c r="D346" s="0" t="n">
        <v>9004.889</v>
      </c>
      <c r="E346" s="0" t="n">
        <v>76033.536</v>
      </c>
      <c r="F346" s="0" t="n">
        <v>64608.108</v>
      </c>
      <c r="G346" s="0" t="n">
        <v>60910.068</v>
      </c>
      <c r="H346" s="0" t="n">
        <v>3698.04</v>
      </c>
      <c r="I346" s="0" t="n">
        <v>7763.069</v>
      </c>
      <c r="J346" s="0" t="n">
        <v>3662.359</v>
      </c>
      <c r="K346" s="0" t="n">
        <v>79720.1413194445</v>
      </c>
      <c r="L346" s="0" t="n">
        <v>75237</v>
      </c>
      <c r="M346" s="0" t="n">
        <v>74973</v>
      </c>
      <c r="N346" s="0" t="n">
        <v>55</v>
      </c>
      <c r="O346" s="54" t="n">
        <f aca="false">YEAR(B346)</f>
        <v>2020</v>
      </c>
      <c r="P346" s="54" t="n">
        <f aca="false">IF(AND(E346&gt;=14400,K346&gt;0,L346&gt;0),1,0)</f>
        <v>1</v>
      </c>
      <c r="Q346" s="53" t="n">
        <f aca="false">IF(P346=1,F346/E346*MIN(L346/K346,1)*MIN(MAX(M346/L346,0),1),0)</f>
        <v>0.799132262647105</v>
      </c>
      <c r="R346" s="55" t="n">
        <f aca="false">IF(F346&gt;0,N346/(F346/3600),0)</f>
        <v>3.06463083549823</v>
      </c>
    </row>
    <row r="347" customFormat="false" ht="15" hidden="false" customHeight="false" outlineLevel="0" collapsed="false">
      <c r="A347" s="0" t="s">
        <v>258</v>
      </c>
      <c r="B347" s="52" t="n">
        <v>44183</v>
      </c>
      <c r="C347" s="0" t="n">
        <v>82829.678</v>
      </c>
      <c r="D347" s="0" t="n">
        <v>8774.858</v>
      </c>
      <c r="E347" s="0" t="n">
        <v>74054.82</v>
      </c>
      <c r="F347" s="0" t="n">
        <v>58405.844</v>
      </c>
      <c r="G347" s="0" t="n">
        <v>52858.839</v>
      </c>
      <c r="H347" s="0" t="n">
        <v>5547.005</v>
      </c>
      <c r="I347" s="0" t="n">
        <v>9738.749</v>
      </c>
      <c r="J347" s="0" t="n">
        <v>5910.227</v>
      </c>
      <c r="K347" s="0" t="n">
        <v>73007.305</v>
      </c>
      <c r="L347" s="0" t="n">
        <v>64550</v>
      </c>
      <c r="M347" s="0" t="n">
        <v>64292</v>
      </c>
      <c r="N347" s="0" t="n">
        <v>70</v>
      </c>
      <c r="O347" s="54" t="n">
        <f aca="false">YEAR(B347)</f>
        <v>2020</v>
      </c>
      <c r="P347" s="54" t="n">
        <f aca="false">IF(AND(E347&gt;=14400,K347&gt;0,L347&gt;0),1,0)</f>
        <v>1</v>
      </c>
      <c r="Q347" s="53" t="n">
        <f aca="false">IF(P347=1,F347/E347*MIN(L347/K347,1)*MIN(MAX(M347/L347,0),1),0)</f>
        <v>0.694534130256478</v>
      </c>
      <c r="R347" s="55" t="n">
        <f aca="false">IF(F347&gt;0,N347/(F347/3600),0)</f>
        <v>4.31463673395423</v>
      </c>
    </row>
    <row r="348" customFormat="false" ht="15" hidden="false" customHeight="false" outlineLevel="0" collapsed="false">
      <c r="A348" s="0" t="s">
        <v>258</v>
      </c>
      <c r="B348" s="52" t="n">
        <v>44184</v>
      </c>
      <c r="C348" s="0" t="n">
        <v>29009.809</v>
      </c>
      <c r="D348" s="0" t="n">
        <v>584.88</v>
      </c>
      <c r="E348" s="0" t="n">
        <v>28424.929</v>
      </c>
      <c r="F348" s="0" t="n">
        <v>18735.271</v>
      </c>
      <c r="G348" s="0" t="n">
        <v>16998.771</v>
      </c>
      <c r="H348" s="0" t="n">
        <v>1736.5</v>
      </c>
      <c r="I348" s="0" t="n">
        <v>6297.788</v>
      </c>
      <c r="J348" s="0" t="n">
        <v>3391.87</v>
      </c>
      <c r="K348" s="0" t="n">
        <v>23762.9088888889</v>
      </c>
      <c r="L348" s="0" t="n">
        <v>21326</v>
      </c>
      <c r="M348" s="0" t="n">
        <v>21242</v>
      </c>
      <c r="N348" s="0" t="n">
        <v>31</v>
      </c>
      <c r="O348" s="54" t="n">
        <f aca="false">YEAR(B348)</f>
        <v>2020</v>
      </c>
      <c r="P348" s="54" t="n">
        <f aca="false">IF(AND(E348&gt;=14400,K348&gt;0,L348&gt;0),1,0)</f>
        <v>1</v>
      </c>
      <c r="Q348" s="53" t="n">
        <f aca="false">IF(P348=1,F348/E348*MIN(L348/K348,1)*MIN(MAX(M348/L348,0),1),0)</f>
        <v>0.589191390980508</v>
      </c>
      <c r="R348" s="55" t="n">
        <f aca="false">IF(F348&gt;0,N348/(F348/3600),0)</f>
        <v>5.95667924952887</v>
      </c>
    </row>
    <row r="349" customFormat="false" ht="15" hidden="false" customHeight="false" outlineLevel="0" collapsed="false">
      <c r="A349" s="0" t="s">
        <v>258</v>
      </c>
      <c r="B349" s="52" t="n">
        <v>44185</v>
      </c>
      <c r="C349" s="0" t="n">
        <v>84727.779</v>
      </c>
      <c r="D349" s="0" t="n">
        <v>20527.72</v>
      </c>
      <c r="E349" s="0" t="n">
        <v>64200.059</v>
      </c>
      <c r="F349" s="0" t="n">
        <v>48974.609</v>
      </c>
      <c r="G349" s="0" t="n">
        <v>37763.719</v>
      </c>
      <c r="H349" s="0" t="n">
        <v>11210.89</v>
      </c>
      <c r="I349" s="0" t="n">
        <v>6879.18</v>
      </c>
      <c r="J349" s="0" t="n">
        <v>8346.27</v>
      </c>
      <c r="K349" s="0" t="n">
        <v>60929.5765277778</v>
      </c>
      <c r="L349" s="0" t="n">
        <v>46871</v>
      </c>
      <c r="M349" s="0" t="n">
        <v>46603</v>
      </c>
      <c r="N349" s="0" t="n">
        <v>28</v>
      </c>
      <c r="O349" s="54" t="n">
        <f aca="false">YEAR(B349)</f>
        <v>2020</v>
      </c>
      <c r="P349" s="54" t="n">
        <f aca="false">IF(AND(E349&gt;=14400,K349&gt;0,L349&gt;0),1,0)</f>
        <v>1</v>
      </c>
      <c r="Q349" s="53" t="n">
        <f aca="false">IF(P349=1,F349/E349*MIN(L349/K349,1)*MIN(MAX(M349/L349,0),1),0)</f>
        <v>0.583473673271894</v>
      </c>
      <c r="R349" s="55" t="n">
        <f aca="false">IF(F349&gt;0,N349/(F349/3600),0)</f>
        <v>2.05820938764412</v>
      </c>
    </row>
    <row r="350" customFormat="false" ht="15" hidden="false" customHeight="false" outlineLevel="0" collapsed="false">
      <c r="A350" s="0" t="s">
        <v>258</v>
      </c>
      <c r="B350" s="52" t="n">
        <v>44186</v>
      </c>
      <c r="C350" s="0" t="n">
        <v>83437.545</v>
      </c>
      <c r="D350" s="0" t="n">
        <v>8200.28</v>
      </c>
      <c r="E350" s="0" t="n">
        <v>75237.265</v>
      </c>
      <c r="F350" s="0" t="n">
        <v>63928.443</v>
      </c>
      <c r="G350" s="0" t="n">
        <v>60447.834</v>
      </c>
      <c r="H350" s="0" t="n">
        <v>3480.609</v>
      </c>
      <c r="I350" s="0" t="n">
        <v>8832.242</v>
      </c>
      <c r="J350" s="0" t="n">
        <v>2476.58</v>
      </c>
      <c r="K350" s="0" t="n">
        <v>78950.0231111111</v>
      </c>
      <c r="L350" s="0" t="n">
        <v>73423</v>
      </c>
      <c r="M350" s="0" t="n">
        <v>73243</v>
      </c>
      <c r="N350" s="0" t="n">
        <v>72</v>
      </c>
      <c r="O350" s="54" t="n">
        <f aca="false">YEAR(B350)</f>
        <v>2020</v>
      </c>
      <c r="P350" s="54" t="n">
        <f aca="false">IF(AND(E350&gt;=14400,K350&gt;0,L350&gt;0),1,0)</f>
        <v>1</v>
      </c>
      <c r="Q350" s="53" t="n">
        <f aca="false">IF(P350=1,F350/E350*MIN(L350/K350,1)*MIN(MAX(M350/L350,0),1),0)</f>
        <v>0.788269985234558</v>
      </c>
      <c r="R350" s="55" t="n">
        <f aca="false">IF(F350&gt;0,N350/(F350/3600),0)</f>
        <v>4.05453328497301</v>
      </c>
    </row>
    <row r="351" customFormat="false" ht="15" hidden="false" customHeight="false" outlineLevel="0" collapsed="false">
      <c r="A351" s="0" t="s">
        <v>258</v>
      </c>
      <c r="B351" s="52" t="n">
        <v>44187</v>
      </c>
      <c r="C351" s="0" t="n">
        <v>84619.394</v>
      </c>
      <c r="D351" s="0" t="n">
        <v>8796.286</v>
      </c>
      <c r="E351" s="0" t="n">
        <v>75823.108</v>
      </c>
      <c r="F351" s="0" t="n">
        <v>60107.437</v>
      </c>
      <c r="G351" s="0" t="n">
        <v>56352.655</v>
      </c>
      <c r="H351" s="0" t="n">
        <v>3754.782</v>
      </c>
      <c r="I351" s="0" t="n">
        <v>14190.799</v>
      </c>
      <c r="J351" s="0" t="n">
        <v>1524.872</v>
      </c>
      <c r="K351" s="0" t="n">
        <v>74016.5002777778</v>
      </c>
      <c r="L351" s="0" t="n">
        <v>67920</v>
      </c>
      <c r="M351" s="0" t="n">
        <v>67620</v>
      </c>
      <c r="N351" s="0" t="n">
        <v>71</v>
      </c>
      <c r="O351" s="54" t="n">
        <f aca="false">YEAR(B351)</f>
        <v>2020</v>
      </c>
      <c r="P351" s="54" t="n">
        <f aca="false">IF(AND(E351&gt;=14400,K351&gt;0,L351&gt;0),1,0)</f>
        <v>1</v>
      </c>
      <c r="Q351" s="53" t="n">
        <f aca="false">IF(P351=1,F351/E351*MIN(L351/K351,1)*MIN(MAX(M351/L351,0),1),0)</f>
        <v>0.724224558349944</v>
      </c>
      <c r="R351" s="55" t="n">
        <f aca="false">IF(F351&gt;0,N351/(F351/3600),0)</f>
        <v>4.25238560745819</v>
      </c>
    </row>
    <row r="352" customFormat="false" ht="15" hidden="false" customHeight="false" outlineLevel="0" collapsed="false">
      <c r="A352" s="0" t="s">
        <v>258</v>
      </c>
      <c r="B352" s="52" t="n">
        <v>44188</v>
      </c>
      <c r="C352" s="0" t="n">
        <v>85614.139</v>
      </c>
      <c r="D352" s="0" t="n">
        <v>2916.07</v>
      </c>
      <c r="E352" s="0" t="n">
        <v>82698.069</v>
      </c>
      <c r="F352" s="0" t="n">
        <v>76096.669</v>
      </c>
      <c r="G352" s="0" t="n">
        <v>68217.599</v>
      </c>
      <c r="H352" s="0" t="n">
        <v>7879.07</v>
      </c>
      <c r="I352" s="0" t="n">
        <v>5946.08</v>
      </c>
      <c r="J352" s="0" t="n">
        <v>655.32</v>
      </c>
      <c r="K352" s="0" t="n">
        <v>94760.3529166667</v>
      </c>
      <c r="L352" s="0" t="n">
        <v>83679</v>
      </c>
      <c r="M352" s="0" t="n">
        <v>83502</v>
      </c>
      <c r="N352" s="0" t="n">
        <v>49</v>
      </c>
      <c r="O352" s="54" t="n">
        <f aca="false">YEAR(B352)</f>
        <v>2020</v>
      </c>
      <c r="P352" s="54" t="n">
        <f aca="false">IF(AND(E352&gt;=14400,K352&gt;0,L352&gt;0),1,0)</f>
        <v>1</v>
      </c>
      <c r="Q352" s="53" t="n">
        <f aca="false">IF(P352=1,F352/E352*MIN(L352/K352,1)*MIN(MAX(M352/L352,0),1),0)</f>
        <v>0.810849934428809</v>
      </c>
      <c r="R352" s="55" t="n">
        <f aca="false">IF(F352&gt;0,N352/(F352/3600),0)</f>
        <v>2.31810409467463</v>
      </c>
    </row>
    <row r="353" customFormat="false" ht="15" hidden="false" customHeight="false" outlineLevel="0" collapsed="false">
      <c r="A353" s="0" t="s">
        <v>258</v>
      </c>
      <c r="B353" s="52" t="n">
        <v>44189</v>
      </c>
      <c r="C353" s="0" t="n">
        <v>39633.758</v>
      </c>
      <c r="D353" s="0" t="n">
        <v>8613.198</v>
      </c>
      <c r="E353" s="0" t="n">
        <v>31020.56</v>
      </c>
      <c r="F353" s="0" t="n">
        <v>23189.791</v>
      </c>
      <c r="G353" s="0" t="n">
        <v>20859.351</v>
      </c>
      <c r="H353" s="0" t="n">
        <v>2330.44</v>
      </c>
      <c r="I353" s="0" t="n">
        <v>4299.479</v>
      </c>
      <c r="J353" s="0" t="n">
        <v>3531.29</v>
      </c>
      <c r="K353" s="0" t="n">
        <v>28987.23875</v>
      </c>
      <c r="L353" s="0" t="n">
        <v>25940</v>
      </c>
      <c r="M353" s="0" t="n">
        <v>25893</v>
      </c>
      <c r="N353" s="0" t="n">
        <v>26</v>
      </c>
      <c r="O353" s="54" t="n">
        <f aca="false">YEAR(B353)</f>
        <v>2020</v>
      </c>
      <c r="P353" s="54" t="n">
        <f aca="false">IF(AND(E353&gt;=14400,K353&gt;0,L353&gt;0),1,0)</f>
        <v>1</v>
      </c>
      <c r="Q353" s="53" t="n">
        <f aca="false">IF(P353=1,F353/E353*MIN(L353/K353,1)*MIN(MAX(M353/L353,0),1),0)</f>
        <v>0.667763573578298</v>
      </c>
      <c r="R353" s="55" t="n">
        <f aca="false">IF(F353&gt;0,N353/(F353/3600),0)</f>
        <v>4.03625888650743</v>
      </c>
    </row>
    <row r="354" customFormat="false" ht="15" hidden="false" customHeight="false" outlineLevel="0" collapsed="false">
      <c r="A354" s="0" t="s">
        <v>258</v>
      </c>
      <c r="B354" s="52" t="n">
        <v>44190</v>
      </c>
      <c r="C354" s="0" t="n">
        <v>4501.549</v>
      </c>
      <c r="D354" s="0" t="n">
        <v>1134.86</v>
      </c>
      <c r="E354" s="0" t="n">
        <v>3366.689</v>
      </c>
      <c r="F354" s="0" t="n">
        <v>2382.089</v>
      </c>
      <c r="G354" s="0" t="n">
        <v>1774.849</v>
      </c>
      <c r="H354" s="0" t="n">
        <v>607.24</v>
      </c>
      <c r="I354" s="0" t="n">
        <v>237.64</v>
      </c>
      <c r="J354" s="0" t="n">
        <v>746.96</v>
      </c>
      <c r="K354" s="0" t="n">
        <v>2977.61125</v>
      </c>
      <c r="L354" s="0" t="n">
        <v>2158</v>
      </c>
      <c r="M354" s="0" t="n">
        <v>2147</v>
      </c>
      <c r="N354" s="0" t="n">
        <v>3</v>
      </c>
      <c r="O354" s="54" t="n">
        <f aca="false">YEAR(B354)</f>
        <v>2020</v>
      </c>
      <c r="P354" s="54" t="n">
        <f aca="false">IF(AND(E354&gt;=14400,K354&gt;0,L354&gt;0),1,0)</f>
        <v>0</v>
      </c>
      <c r="Q354" s="53" t="n">
        <f aca="false">IF(P354=1,F354/E354*MIN(L354/K354,1)*MIN(MAX(M354/L354,0),1),0)</f>
        <v>0</v>
      </c>
      <c r="R354" s="55" t="n">
        <f aca="false">IF(F354&gt;0,N354/(F354/3600),0)</f>
        <v>4.53383563754335</v>
      </c>
    </row>
    <row r="355" customFormat="false" ht="15" hidden="false" customHeight="false" outlineLevel="0" collapsed="false">
      <c r="A355" s="0" t="s">
        <v>258</v>
      </c>
      <c r="B355" s="52" t="n">
        <v>44191</v>
      </c>
      <c r="C355" s="0" t="n">
        <v>54458.565</v>
      </c>
      <c r="D355" s="0" t="n">
        <v>2106.388</v>
      </c>
      <c r="E355" s="0" t="n">
        <v>52352.177</v>
      </c>
      <c r="F355" s="0" t="n">
        <v>38478.097</v>
      </c>
      <c r="G355" s="0" t="n">
        <v>32677.618</v>
      </c>
      <c r="H355" s="0" t="n">
        <v>5800.479</v>
      </c>
      <c r="I355" s="0" t="n">
        <v>12396.65</v>
      </c>
      <c r="J355" s="0" t="n">
        <v>1477.43</v>
      </c>
      <c r="K355" s="0" t="n">
        <v>48097.62125</v>
      </c>
      <c r="L355" s="0" t="n">
        <v>40538</v>
      </c>
      <c r="M355" s="0" t="n">
        <v>40382</v>
      </c>
      <c r="N355" s="0" t="n">
        <v>77</v>
      </c>
      <c r="O355" s="54" t="n">
        <f aca="false">YEAR(B355)</f>
        <v>2020</v>
      </c>
      <c r="P355" s="54" t="n">
        <f aca="false">IF(AND(E355&gt;=14400,K355&gt;0,L355&gt;0),1,0)</f>
        <v>1</v>
      </c>
      <c r="Q355" s="53" t="n">
        <f aca="false">IF(P355=1,F355/E355*MIN(L355/K355,1)*MIN(MAX(M355/L355,0),1),0)</f>
        <v>0.617082265747994</v>
      </c>
      <c r="R355" s="55" t="n">
        <f aca="false">IF(F355&gt;0,N355/(F355/3600),0)</f>
        <v>7.20409847711543</v>
      </c>
    </row>
    <row r="356" customFormat="false" ht="15" hidden="false" customHeight="false" outlineLevel="0" collapsed="false">
      <c r="A356" s="0" t="s">
        <v>258</v>
      </c>
      <c r="B356" s="52" t="n">
        <v>44192</v>
      </c>
      <c r="C356" s="0" t="n">
        <v>67833.207</v>
      </c>
      <c r="D356" s="0" t="n">
        <v>8566.839</v>
      </c>
      <c r="E356" s="0" t="n">
        <v>59266.368</v>
      </c>
      <c r="F356" s="0" t="n">
        <v>54842.306</v>
      </c>
      <c r="G356" s="0" t="n">
        <v>50926.739</v>
      </c>
      <c r="H356" s="0" t="n">
        <v>3915.567</v>
      </c>
      <c r="I356" s="0" t="n">
        <v>2351.951</v>
      </c>
      <c r="J356" s="0" t="n">
        <v>2072.111</v>
      </c>
      <c r="K356" s="0" t="n">
        <v>68552.8825</v>
      </c>
      <c r="L356" s="0" t="n">
        <v>63485</v>
      </c>
      <c r="M356" s="0" t="n">
        <v>63369</v>
      </c>
      <c r="N356" s="0" t="n">
        <v>38</v>
      </c>
      <c r="O356" s="54" t="n">
        <f aca="false">YEAR(B356)</f>
        <v>2020</v>
      </c>
      <c r="P356" s="54" t="n">
        <f aca="false">IF(AND(E356&gt;=14400,K356&gt;0,L356&gt;0),1,0)</f>
        <v>1</v>
      </c>
      <c r="Q356" s="53" t="n">
        <f aca="false">IF(P356=1,F356/E356*MIN(L356/K356,1)*MIN(MAX(M356/L356,0),1),0)</f>
        <v>0.855378888748506</v>
      </c>
      <c r="R356" s="55" t="n">
        <f aca="false">IF(F356&gt;0,N356/(F356/3600),0)</f>
        <v>2.49442465092551</v>
      </c>
    </row>
    <row r="357" customFormat="false" ht="15" hidden="false" customHeight="false" outlineLevel="0" collapsed="false">
      <c r="A357" s="0" t="s">
        <v>258</v>
      </c>
      <c r="B357" s="52" t="n">
        <v>44193</v>
      </c>
      <c r="C357" s="0" t="n">
        <v>82348.939</v>
      </c>
      <c r="D357" s="0" t="n">
        <v>9907.81</v>
      </c>
      <c r="E357" s="0" t="n">
        <v>72441.129</v>
      </c>
      <c r="F357" s="0" t="n">
        <v>59351.236</v>
      </c>
      <c r="G357" s="0" t="n">
        <v>49324.07</v>
      </c>
      <c r="H357" s="0" t="n">
        <v>10027.166</v>
      </c>
      <c r="I357" s="0" t="n">
        <v>9971.232</v>
      </c>
      <c r="J357" s="0" t="n">
        <v>3118.661</v>
      </c>
      <c r="K357" s="0" t="n">
        <v>74083.38875</v>
      </c>
      <c r="L357" s="0" t="n">
        <v>60317</v>
      </c>
      <c r="M357" s="0" t="n">
        <v>60035</v>
      </c>
      <c r="N357" s="0" t="n">
        <v>64</v>
      </c>
      <c r="O357" s="54" t="n">
        <f aca="false">YEAR(B357)</f>
        <v>2020</v>
      </c>
      <c r="P357" s="54" t="n">
        <f aca="false">IF(AND(E357&gt;=14400,K357&gt;0,L357&gt;0),1,0)</f>
        <v>1</v>
      </c>
      <c r="Q357" s="53" t="n">
        <f aca="false">IF(P357=1,F357/E357*MIN(L357/K357,1)*MIN(MAX(M357/L357,0),1),0)</f>
        <v>0.663939080446229</v>
      </c>
      <c r="R357" s="55" t="n">
        <f aca="false">IF(F357&gt;0,N357/(F357/3600),0)</f>
        <v>3.88197475786351</v>
      </c>
    </row>
    <row r="358" customFormat="false" ht="15" hidden="false" customHeight="false" outlineLevel="0" collapsed="false">
      <c r="A358" s="0" t="s">
        <v>258</v>
      </c>
      <c r="B358" s="52" t="n">
        <v>44194</v>
      </c>
      <c r="C358" s="0" t="n">
        <v>86348.464</v>
      </c>
      <c r="D358" s="0" t="n">
        <v>8535.127</v>
      </c>
      <c r="E358" s="0" t="n">
        <v>77813.337</v>
      </c>
      <c r="F358" s="0" t="n">
        <v>69755.533</v>
      </c>
      <c r="G358" s="0" t="n">
        <v>56294.244</v>
      </c>
      <c r="H358" s="0" t="n">
        <v>13461.289</v>
      </c>
      <c r="I358" s="0" t="n">
        <v>5926.104</v>
      </c>
      <c r="J358" s="0" t="n">
        <v>2131.7</v>
      </c>
      <c r="K358" s="0" t="n">
        <v>87132.22625</v>
      </c>
      <c r="L358" s="0" t="n">
        <v>70113</v>
      </c>
      <c r="M358" s="0" t="n">
        <v>69920</v>
      </c>
      <c r="N358" s="0" t="n">
        <v>35</v>
      </c>
      <c r="O358" s="54" t="n">
        <f aca="false">YEAR(B358)</f>
        <v>2020</v>
      </c>
      <c r="P358" s="54" t="n">
        <f aca="false">IF(AND(E358&gt;=14400,K358&gt;0,L358&gt;0),1,0)</f>
        <v>1</v>
      </c>
      <c r="Q358" s="53" t="n">
        <f aca="false">IF(P358=1,F358/E358*MIN(L358/K358,1)*MIN(MAX(M358/L358,0),1),0)</f>
        <v>0.719361565457819</v>
      </c>
      <c r="R358" s="55" t="n">
        <f aca="false">IF(F358&gt;0,N358/(F358/3600),0)</f>
        <v>1.80630832539119</v>
      </c>
    </row>
    <row r="359" customFormat="false" ht="15" hidden="false" customHeight="false" outlineLevel="0" collapsed="false">
      <c r="A359" s="0" t="s">
        <v>258</v>
      </c>
      <c r="B359" s="52" t="n">
        <v>44195</v>
      </c>
      <c r="C359" s="0" t="n">
        <v>86459.998</v>
      </c>
      <c r="D359" s="0" t="n">
        <v>7992.162</v>
      </c>
      <c r="E359" s="0" t="n">
        <v>78467.836</v>
      </c>
      <c r="F359" s="0" t="n">
        <v>66286.953</v>
      </c>
      <c r="G359" s="0" t="n">
        <v>57237.588</v>
      </c>
      <c r="H359" s="0" t="n">
        <v>9049.365</v>
      </c>
      <c r="I359" s="0" t="n">
        <v>8563.849</v>
      </c>
      <c r="J359" s="0" t="n">
        <v>3617.034</v>
      </c>
      <c r="K359" s="0" t="n">
        <v>82784.585</v>
      </c>
      <c r="L359" s="0" t="n">
        <v>71342</v>
      </c>
      <c r="M359" s="0" t="n">
        <v>71167</v>
      </c>
      <c r="N359" s="0" t="n">
        <v>54</v>
      </c>
      <c r="O359" s="54" t="n">
        <f aca="false">YEAR(B359)</f>
        <v>2020</v>
      </c>
      <c r="P359" s="54" t="n">
        <f aca="false">IF(AND(E359&gt;=14400,K359&gt;0,L359&gt;0),1,0)</f>
        <v>1</v>
      </c>
      <c r="Q359" s="53" t="n">
        <f aca="false">IF(P359=1,F359/E359*MIN(L359/K359,1)*MIN(MAX(M359/L359,0),1),0)</f>
        <v>0.726215582549958</v>
      </c>
      <c r="R359" s="55" t="n">
        <f aca="false">IF(F359&gt;0,N359/(F359/3600),0)</f>
        <v>2.9327038157871</v>
      </c>
    </row>
    <row r="360" customFormat="false" ht="15" hidden="false" customHeight="false" outlineLevel="0" collapsed="false">
      <c r="A360" s="0" t="s">
        <v>258</v>
      </c>
      <c r="B360" s="52" t="n">
        <v>44196</v>
      </c>
      <c r="C360" s="0" t="n">
        <v>43238.8</v>
      </c>
      <c r="D360" s="0" t="n">
        <v>7617.137</v>
      </c>
      <c r="E360" s="0" t="n">
        <v>35621.663</v>
      </c>
      <c r="F360" s="0" t="n">
        <v>28251.35</v>
      </c>
      <c r="G360" s="0" t="n">
        <v>27220.702</v>
      </c>
      <c r="H360" s="0" t="n">
        <v>1030.648</v>
      </c>
      <c r="I360" s="0" t="n">
        <v>5218.516</v>
      </c>
      <c r="J360" s="0" t="n">
        <v>2151.797</v>
      </c>
      <c r="K360" s="0" t="n">
        <v>35634.2878333333</v>
      </c>
      <c r="L360" s="0" t="n">
        <v>34158</v>
      </c>
      <c r="M360" s="0" t="n">
        <v>34051</v>
      </c>
      <c r="N360" s="0" t="n">
        <v>44</v>
      </c>
      <c r="O360" s="54" t="n">
        <f aca="false">YEAR(B360)</f>
        <v>2020</v>
      </c>
      <c r="P360" s="54" t="n">
        <f aca="false">IF(AND(E360&gt;=14400,K360&gt;0,L360&gt;0),1,0)</f>
        <v>1</v>
      </c>
      <c r="Q360" s="53" t="n">
        <f aca="false">IF(P360=1,F360/E360*MIN(L360/K360,1)*MIN(MAX(M360/L360,0),1),0)</f>
        <v>0.757856189506652</v>
      </c>
      <c r="R360" s="55" t="n">
        <f aca="false">IF(F360&gt;0,N360/(F360/3600),0)</f>
        <v>5.60681170988289</v>
      </c>
    </row>
    <row r="361" customFormat="false" ht="15" hidden="false" customHeight="false" outlineLevel="0" collapsed="false">
      <c r="A361" s="0" t="s">
        <v>258</v>
      </c>
      <c r="B361" s="52" t="n">
        <v>44197</v>
      </c>
      <c r="C361" s="0" t="n">
        <v>30516.821</v>
      </c>
      <c r="D361" s="0" t="n">
        <v>2358.72</v>
      </c>
      <c r="E361" s="0" t="n">
        <v>28158.101</v>
      </c>
      <c r="F361" s="0" t="n">
        <v>25098.797</v>
      </c>
      <c r="G361" s="0" t="n">
        <v>21857.785</v>
      </c>
      <c r="H361" s="0" t="n">
        <v>3241.012</v>
      </c>
      <c r="I361" s="0" t="n">
        <v>1687.245</v>
      </c>
      <c r="J361" s="0" t="n">
        <v>1372.059</v>
      </c>
      <c r="K361" s="0" t="n">
        <v>32038.221875</v>
      </c>
      <c r="L361" s="0" t="n">
        <v>27670</v>
      </c>
      <c r="M361" s="0" t="n">
        <v>27617</v>
      </c>
      <c r="N361" s="0" t="n">
        <v>20</v>
      </c>
      <c r="O361" s="54" t="n">
        <f aca="false">YEAR(B361)</f>
        <v>2021</v>
      </c>
      <c r="P361" s="54" t="n">
        <f aca="false">IF(AND(E361&gt;=14400,K361&gt;0,L361&gt;0),1,0)</f>
        <v>1</v>
      </c>
      <c r="Q361" s="53" t="n">
        <f aca="false">IF(P361=1,F361/E361*MIN(L361/K361,1)*MIN(MAX(M361/L361,0),1),0)</f>
        <v>0.768347422773383</v>
      </c>
      <c r="R361" s="55" t="n">
        <f aca="false">IF(F361&gt;0,N361/(F361/3600),0)</f>
        <v>2.86866338653602</v>
      </c>
    </row>
    <row r="362" customFormat="false" ht="15" hidden="false" customHeight="false" outlineLevel="0" collapsed="false">
      <c r="A362" s="0" t="s">
        <v>258</v>
      </c>
      <c r="B362" s="52" t="n">
        <v>44198</v>
      </c>
      <c r="C362" s="0" t="n">
        <v>46783.765</v>
      </c>
      <c r="D362" s="0" t="n">
        <v>7538.997</v>
      </c>
      <c r="E362" s="0" t="n">
        <v>39244.768</v>
      </c>
      <c r="F362" s="0" t="n">
        <v>29373.332</v>
      </c>
      <c r="G362" s="0" t="n">
        <v>26186.801</v>
      </c>
      <c r="H362" s="0" t="n">
        <v>3186.531</v>
      </c>
      <c r="I362" s="0" t="n">
        <v>5401.785</v>
      </c>
      <c r="J362" s="0" t="n">
        <v>4469.651</v>
      </c>
      <c r="K362" s="0" t="n">
        <v>37124.6279444444</v>
      </c>
      <c r="L362" s="0" t="n">
        <v>32972</v>
      </c>
      <c r="M362" s="0" t="n">
        <v>32900</v>
      </c>
      <c r="N362" s="0" t="n">
        <v>49</v>
      </c>
      <c r="O362" s="54" t="n">
        <f aca="false">YEAR(B362)</f>
        <v>2021</v>
      </c>
      <c r="P362" s="54" t="n">
        <f aca="false">IF(AND(E362&gt;=14400,K362&gt;0,L362&gt;0),1,0)</f>
        <v>1</v>
      </c>
      <c r="Q362" s="53" t="n">
        <f aca="false">IF(P362=1,F362/E362*MIN(L362/K362,1)*MIN(MAX(M362/L362,0),1),0)</f>
        <v>0.663292728110133</v>
      </c>
      <c r="R362" s="55" t="n">
        <f aca="false">IF(F362&gt;0,N362/(F362/3600),0)</f>
        <v>6.0054473901701</v>
      </c>
    </row>
    <row r="363" customFormat="false" ht="15" hidden="false" customHeight="false" outlineLevel="0" collapsed="false">
      <c r="A363" s="0" t="s">
        <v>258</v>
      </c>
      <c r="B363" s="52" t="n">
        <v>44199</v>
      </c>
      <c r="C363" s="0" t="n">
        <v>83305.278</v>
      </c>
      <c r="D363" s="0" t="n">
        <v>21388.795</v>
      </c>
      <c r="E363" s="0" t="n">
        <v>61916.483</v>
      </c>
      <c r="F363" s="0" t="n">
        <v>18876.935</v>
      </c>
      <c r="G363" s="0" t="n">
        <v>17794.964</v>
      </c>
      <c r="H363" s="0" t="n">
        <v>1081.971</v>
      </c>
      <c r="I363" s="0" t="n">
        <v>2737.202</v>
      </c>
      <c r="J363" s="0" t="n">
        <v>40302.346</v>
      </c>
      <c r="K363" s="0" t="n">
        <v>23267.532125</v>
      </c>
      <c r="L363" s="0" t="n">
        <v>21918</v>
      </c>
      <c r="M363" s="0" t="n">
        <v>21854</v>
      </c>
      <c r="N363" s="0" t="n">
        <v>20</v>
      </c>
      <c r="O363" s="54" t="n">
        <f aca="false">YEAR(B363)</f>
        <v>2021</v>
      </c>
      <c r="P363" s="54" t="n">
        <f aca="false">IF(AND(E363&gt;=14400,K363&gt;0,L363&gt;0),1,0)</f>
        <v>1</v>
      </c>
      <c r="Q363" s="53" t="n">
        <f aca="false">IF(P363=1,F363/E363*MIN(L363/K363,1)*MIN(MAX(M363/L363,0),1),0)</f>
        <v>0.286355690231074</v>
      </c>
      <c r="R363" s="55" t="n">
        <f aca="false">IF(F363&gt;0,N363/(F363/3600),0)</f>
        <v>3.81417851997689</v>
      </c>
    </row>
    <row r="364" customFormat="false" ht="15" hidden="false" customHeight="false" outlineLevel="0" collapsed="false">
      <c r="A364" s="0" t="s">
        <v>258</v>
      </c>
      <c r="B364" s="52" t="n">
        <v>44200</v>
      </c>
      <c r="C364" s="0" t="n">
        <v>85168.028</v>
      </c>
      <c r="D364" s="0" t="n">
        <v>7329.497</v>
      </c>
      <c r="E364" s="0" t="n">
        <v>77838.531</v>
      </c>
      <c r="F364" s="0" t="n">
        <v>64511.775</v>
      </c>
      <c r="G364" s="0" t="n">
        <v>57466.991</v>
      </c>
      <c r="H364" s="0" t="n">
        <v>7044.784</v>
      </c>
      <c r="I364" s="0" t="n">
        <v>11181.148</v>
      </c>
      <c r="J364" s="0" t="n">
        <v>2145.608</v>
      </c>
      <c r="K364" s="0" t="n">
        <v>80639.71875</v>
      </c>
      <c r="L364" s="0" t="n">
        <v>70449</v>
      </c>
      <c r="M364" s="0" t="n">
        <v>70275</v>
      </c>
      <c r="N364" s="0" t="n">
        <v>79</v>
      </c>
      <c r="O364" s="54" t="n">
        <f aca="false">YEAR(B364)</f>
        <v>2021</v>
      </c>
      <c r="P364" s="54" t="n">
        <f aca="false">IF(AND(E364&gt;=14400,K364&gt;0,L364&gt;0),1,0)</f>
        <v>1</v>
      </c>
      <c r="Q364" s="53" t="n">
        <f aca="false">IF(P364=1,F364/E364*MIN(L364/K364,1)*MIN(MAX(M364/L364,0),1),0)</f>
        <v>0.722264401418367</v>
      </c>
      <c r="R364" s="55" t="n">
        <f aca="false">IF(F364&gt;0,N364/(F364/3600),0)</f>
        <v>4.40849751847628</v>
      </c>
    </row>
    <row r="365" customFormat="false" ht="15" hidden="false" customHeight="false" outlineLevel="0" collapsed="false">
      <c r="A365" s="0" t="s">
        <v>258</v>
      </c>
      <c r="B365" s="52" t="n">
        <v>44201</v>
      </c>
      <c r="C365" s="0" t="n">
        <v>87646.866</v>
      </c>
      <c r="D365" s="0" t="n">
        <v>3303.561</v>
      </c>
      <c r="E365" s="0" t="n">
        <v>84343.305</v>
      </c>
      <c r="F365" s="0" t="n">
        <v>73217.342</v>
      </c>
      <c r="G365" s="0" t="n">
        <v>70396.107</v>
      </c>
      <c r="H365" s="0" t="n">
        <v>2821.235</v>
      </c>
      <c r="I365" s="0" t="n">
        <v>10156.932</v>
      </c>
      <c r="J365" s="0" t="n">
        <v>969.031</v>
      </c>
      <c r="K365" s="0" t="n">
        <v>91141.4196666667</v>
      </c>
      <c r="L365" s="0" t="n">
        <v>87560</v>
      </c>
      <c r="M365" s="0" t="n">
        <v>87331</v>
      </c>
      <c r="N365" s="0" t="n">
        <v>78</v>
      </c>
      <c r="O365" s="54" t="n">
        <f aca="false">YEAR(B365)</f>
        <v>2021</v>
      </c>
      <c r="P365" s="54" t="n">
        <f aca="false">IF(AND(E365&gt;=14400,K365&gt;0,L365&gt;0),1,0)</f>
        <v>1</v>
      </c>
      <c r="Q365" s="53" t="n">
        <f aca="false">IF(P365=1,F365/E365*MIN(L365/K365,1)*MIN(MAX(M365/L365,0),1),0)</f>
        <v>0.831794391748313</v>
      </c>
      <c r="R365" s="55" t="n">
        <f aca="false">IF(F365&gt;0,N365/(F365/3600),0)</f>
        <v>3.83515697688124</v>
      </c>
    </row>
    <row r="366" customFormat="false" ht="15" hidden="false" customHeight="false" outlineLevel="0" collapsed="false">
      <c r="A366" s="0" t="s">
        <v>258</v>
      </c>
      <c r="B366" s="52" t="n">
        <v>44202</v>
      </c>
      <c r="C366" s="0" t="n">
        <v>83628.739</v>
      </c>
      <c r="D366" s="0" t="n">
        <v>7967.958</v>
      </c>
      <c r="E366" s="0" t="n">
        <v>75660.781</v>
      </c>
      <c r="F366" s="0" t="n">
        <v>64447.675</v>
      </c>
      <c r="G366" s="0" t="n">
        <v>55978.236</v>
      </c>
      <c r="H366" s="0" t="n">
        <v>8469.439</v>
      </c>
      <c r="I366" s="0" t="n">
        <v>3081.31</v>
      </c>
      <c r="J366" s="0" t="n">
        <v>8131.796</v>
      </c>
      <c r="K366" s="0" t="n">
        <v>80502.8575</v>
      </c>
      <c r="L366" s="0" t="n">
        <v>68735</v>
      </c>
      <c r="M366" s="0" t="n">
        <v>68541</v>
      </c>
      <c r="N366" s="0" t="n">
        <v>36</v>
      </c>
      <c r="O366" s="54" t="n">
        <f aca="false">YEAR(B366)</f>
        <v>2021</v>
      </c>
      <c r="P366" s="54" t="n">
        <f aca="false">IF(AND(E366&gt;=14400,K366&gt;0,L366&gt;0),1,0)</f>
        <v>1</v>
      </c>
      <c r="Q366" s="53" t="n">
        <f aca="false">IF(P366=1,F366/E366*MIN(L366/K366,1)*MIN(MAX(M366/L366,0),1),0)</f>
        <v>0.725229689123891</v>
      </c>
      <c r="R366" s="55" t="n">
        <f aca="false">IF(F366&gt;0,N366/(F366/3600),0)</f>
        <v>2.01093367604029</v>
      </c>
    </row>
    <row r="367" customFormat="false" ht="15" hidden="false" customHeight="false" outlineLevel="0" collapsed="false">
      <c r="A367" s="0" t="s">
        <v>258</v>
      </c>
      <c r="B367" s="52" t="n">
        <v>44203</v>
      </c>
      <c r="C367" s="0" t="n">
        <v>86574.147</v>
      </c>
      <c r="D367" s="0" t="n">
        <v>8120.964</v>
      </c>
      <c r="E367" s="0" t="n">
        <v>78453.183</v>
      </c>
      <c r="F367" s="0" t="n">
        <v>61466.986</v>
      </c>
      <c r="G367" s="0" t="n">
        <v>57495.346</v>
      </c>
      <c r="H367" s="0" t="n">
        <v>3971.64</v>
      </c>
      <c r="I367" s="0" t="n">
        <v>12955.071</v>
      </c>
      <c r="J367" s="0" t="n">
        <v>4031.126</v>
      </c>
      <c r="K367" s="0" t="n">
        <v>76707.485625</v>
      </c>
      <c r="L367" s="0" t="n">
        <v>71581</v>
      </c>
      <c r="M367" s="0" t="n">
        <v>71284</v>
      </c>
      <c r="N367" s="0" t="n">
        <v>60</v>
      </c>
      <c r="O367" s="54" t="n">
        <f aca="false">YEAR(B367)</f>
        <v>2021</v>
      </c>
      <c r="P367" s="54" t="n">
        <f aca="false">IF(AND(E367&gt;=14400,K367&gt;0,L367&gt;0),1,0)</f>
        <v>1</v>
      </c>
      <c r="Q367" s="53" t="n">
        <f aca="false">IF(P367=1,F367/E367*MIN(L367/K367,1)*MIN(MAX(M367/L367,0),1),0)</f>
        <v>0.728091002069398</v>
      </c>
      <c r="R367" s="55" t="n">
        <f aca="false">IF(F367&gt;0,N367/(F367/3600),0)</f>
        <v>3.51408152662634</v>
      </c>
    </row>
    <row r="368" customFormat="false" ht="15" hidden="false" customHeight="false" outlineLevel="0" collapsed="false">
      <c r="A368" s="0" t="s">
        <v>258</v>
      </c>
      <c r="B368" s="52" t="n">
        <v>44204</v>
      </c>
      <c r="C368" s="0" t="n">
        <v>86464.58</v>
      </c>
      <c r="D368" s="0" t="n">
        <v>2884.1</v>
      </c>
      <c r="E368" s="0" t="n">
        <v>83580.48</v>
      </c>
      <c r="F368" s="0" t="n">
        <v>76471.297</v>
      </c>
      <c r="G368" s="0" t="n">
        <v>73975.613</v>
      </c>
      <c r="H368" s="0" t="n">
        <v>2495.684</v>
      </c>
      <c r="I368" s="0" t="n">
        <v>7109.183</v>
      </c>
      <c r="J368" s="0" t="n">
        <v>0</v>
      </c>
      <c r="K368" s="0" t="n">
        <v>95589.12125</v>
      </c>
      <c r="L368" s="0" t="n">
        <v>92249</v>
      </c>
      <c r="M368" s="0" t="n">
        <v>92067</v>
      </c>
      <c r="N368" s="0" t="n">
        <v>53</v>
      </c>
      <c r="O368" s="54" t="n">
        <f aca="false">YEAR(B368)</f>
        <v>2021</v>
      </c>
      <c r="P368" s="54" t="n">
        <f aca="false">IF(AND(E368&gt;=14400,K368&gt;0,L368&gt;0),1,0)</f>
        <v>1</v>
      </c>
      <c r="Q368" s="53" t="n">
        <f aca="false">IF(P368=1,F368/E368*MIN(L368/K368,1)*MIN(MAX(M368/L368,0),1),0)</f>
        <v>0.881229684251634</v>
      </c>
      <c r="R368" s="55" t="n">
        <f aca="false">IF(F368&gt;0,N368/(F368/3600),0)</f>
        <v>2.49505379776676</v>
      </c>
    </row>
    <row r="369" customFormat="false" ht="15" hidden="false" customHeight="false" outlineLevel="0" collapsed="false">
      <c r="A369" s="0" t="s">
        <v>258</v>
      </c>
      <c r="B369" s="52" t="n">
        <v>44205</v>
      </c>
      <c r="C369" s="0" t="n">
        <v>26649.26</v>
      </c>
      <c r="D369" s="0" t="n">
        <v>5385.758</v>
      </c>
      <c r="E369" s="0" t="n">
        <v>21263.502</v>
      </c>
      <c r="F369" s="0" t="n">
        <v>12341.121</v>
      </c>
      <c r="G369" s="0" t="n">
        <v>10906.305</v>
      </c>
      <c r="H369" s="0" t="n">
        <v>1434.816</v>
      </c>
      <c r="I369" s="0" t="n">
        <v>2717.468</v>
      </c>
      <c r="J369" s="0" t="n">
        <v>6204.913</v>
      </c>
      <c r="K369" s="0" t="n">
        <v>15426.40125</v>
      </c>
      <c r="L369" s="0" t="n">
        <v>13580</v>
      </c>
      <c r="M369" s="0" t="n">
        <v>13553</v>
      </c>
      <c r="N369" s="0" t="n">
        <v>21</v>
      </c>
      <c r="O369" s="54" t="n">
        <f aca="false">YEAR(B369)</f>
        <v>2021</v>
      </c>
      <c r="P369" s="54" t="n">
        <f aca="false">IF(AND(E369&gt;=14400,K369&gt;0,L369&gt;0),1,0)</f>
        <v>1</v>
      </c>
      <c r="Q369" s="53" t="n">
        <f aca="false">IF(P369=1,F369/E369*MIN(L369/K369,1)*MIN(MAX(M369/L369,0),1),0)</f>
        <v>0.509906599580822</v>
      </c>
      <c r="R369" s="55" t="n">
        <f aca="false">IF(F369&gt;0,N369/(F369/3600),0)</f>
        <v>6.12586166199975</v>
      </c>
    </row>
    <row r="370" customFormat="false" ht="15" hidden="false" customHeight="false" outlineLevel="0" collapsed="false">
      <c r="A370" s="0" t="s">
        <v>258</v>
      </c>
      <c r="B370" s="52" t="n">
        <v>44206</v>
      </c>
      <c r="C370" s="0" t="n">
        <v>29316.721</v>
      </c>
      <c r="D370" s="0" t="n">
        <v>1845.04</v>
      </c>
      <c r="E370" s="0" t="n">
        <v>27471.681</v>
      </c>
      <c r="F370" s="0" t="n">
        <v>24482.099</v>
      </c>
      <c r="G370" s="0" t="n">
        <v>18987.8</v>
      </c>
      <c r="H370" s="0" t="n">
        <v>5494.299</v>
      </c>
      <c r="I370" s="0" t="n">
        <v>1883.59</v>
      </c>
      <c r="J370" s="0" t="n">
        <v>1105.992</v>
      </c>
      <c r="K370" s="0" t="n">
        <v>30602.62375</v>
      </c>
      <c r="L370" s="0" t="n">
        <v>22516</v>
      </c>
      <c r="M370" s="0" t="n">
        <v>22428</v>
      </c>
      <c r="N370" s="0" t="n">
        <v>16</v>
      </c>
      <c r="O370" s="54" t="n">
        <f aca="false">YEAR(B370)</f>
        <v>2021</v>
      </c>
      <c r="P370" s="54" t="n">
        <f aca="false">IF(AND(E370&gt;=14400,K370&gt;0,L370&gt;0),1,0)</f>
        <v>1</v>
      </c>
      <c r="Q370" s="53" t="n">
        <f aca="false">IF(P370=1,F370/E370*MIN(L370/K370,1)*MIN(MAX(M370/L370,0),1),0)</f>
        <v>0.653123483779533</v>
      </c>
      <c r="R370" s="55" t="n">
        <f aca="false">IF(F370&gt;0,N370/(F370/3600),0)</f>
        <v>2.35273944444061</v>
      </c>
    </row>
    <row r="371" customFormat="false" ht="15" hidden="false" customHeight="false" outlineLevel="0" collapsed="false">
      <c r="A371" s="0" t="s">
        <v>258</v>
      </c>
      <c r="B371" s="52" t="n">
        <v>44207</v>
      </c>
      <c r="C371" s="0" t="n">
        <v>86378.167</v>
      </c>
      <c r="D371" s="0" t="n">
        <v>8681.697</v>
      </c>
      <c r="E371" s="0" t="n">
        <v>77696.47</v>
      </c>
      <c r="F371" s="0" t="n">
        <v>66851.692</v>
      </c>
      <c r="G371" s="0" t="n">
        <v>58957.026</v>
      </c>
      <c r="H371" s="0" t="n">
        <v>7894.666</v>
      </c>
      <c r="I371" s="0" t="n">
        <v>8123.076</v>
      </c>
      <c r="J371" s="0" t="n">
        <v>2721.702</v>
      </c>
      <c r="K371" s="0" t="n">
        <v>83417.9732986111</v>
      </c>
      <c r="L371" s="0" t="n">
        <v>73303</v>
      </c>
      <c r="M371" s="0" t="n">
        <v>73069</v>
      </c>
      <c r="N371" s="0" t="n">
        <v>61</v>
      </c>
      <c r="O371" s="54" t="n">
        <f aca="false">YEAR(B371)</f>
        <v>2021</v>
      </c>
      <c r="P371" s="54" t="n">
        <f aca="false">IF(AND(E371&gt;=14400,K371&gt;0,L371&gt;0),1,0)</f>
        <v>1</v>
      </c>
      <c r="Q371" s="53" t="n">
        <f aca="false">IF(P371=1,F371/E371*MIN(L371/K371,1)*MIN(MAX(M371/L371,0),1),0)</f>
        <v>0.753675929798413</v>
      </c>
      <c r="R371" s="55" t="n">
        <f aca="false">IF(F371&gt;0,N371/(F371/3600),0)</f>
        <v>3.28488320086199</v>
      </c>
    </row>
    <row r="372" customFormat="false" ht="15" hidden="false" customHeight="false" outlineLevel="0" collapsed="false">
      <c r="A372" s="0" t="s">
        <v>258</v>
      </c>
      <c r="B372" s="52" t="n">
        <v>44208</v>
      </c>
      <c r="C372" s="0" t="n">
        <v>87027.116</v>
      </c>
      <c r="D372" s="0" t="n">
        <v>2158.352</v>
      </c>
      <c r="E372" s="0" t="n">
        <v>84868.764</v>
      </c>
      <c r="F372" s="0" t="n">
        <v>63467.179</v>
      </c>
      <c r="G372" s="0" t="n">
        <v>56990.007</v>
      </c>
      <c r="H372" s="0" t="n">
        <v>6477.172</v>
      </c>
      <c r="I372" s="0" t="n">
        <v>21070.824</v>
      </c>
      <c r="J372" s="0" t="n">
        <v>330.761</v>
      </c>
      <c r="K372" s="0" t="n">
        <v>79202.4576736111</v>
      </c>
      <c r="L372" s="0" t="n">
        <v>70722</v>
      </c>
      <c r="M372" s="0" t="n">
        <v>70512</v>
      </c>
      <c r="N372" s="0" t="n">
        <v>91</v>
      </c>
      <c r="O372" s="54" t="n">
        <f aca="false">YEAR(B372)</f>
        <v>2021</v>
      </c>
      <c r="P372" s="54" t="n">
        <f aca="false">IF(AND(E372&gt;=14400,K372&gt;0,L372&gt;0),1,0)</f>
        <v>1</v>
      </c>
      <c r="Q372" s="53" t="n">
        <f aca="false">IF(P372=1,F372/E372*MIN(L372/K372,1)*MIN(MAX(M372/L372,0),1),0)</f>
        <v>0.665772255413399</v>
      </c>
      <c r="R372" s="55" t="n">
        <f aca="false">IF(F372&gt;0,N372/(F372/3600),0)</f>
        <v>5.16172303798157</v>
      </c>
    </row>
    <row r="373" customFormat="false" ht="15" hidden="false" customHeight="false" outlineLevel="0" collapsed="false">
      <c r="A373" s="0" t="s">
        <v>258</v>
      </c>
      <c r="B373" s="52" t="n">
        <v>44209</v>
      </c>
      <c r="C373" s="0" t="n">
        <v>79383.289</v>
      </c>
      <c r="D373" s="0" t="n">
        <v>9468.769</v>
      </c>
      <c r="E373" s="0" t="n">
        <v>69914.52</v>
      </c>
      <c r="F373" s="0" t="n">
        <v>58104.28</v>
      </c>
      <c r="G373" s="0" t="n">
        <v>52347.631</v>
      </c>
      <c r="H373" s="0" t="n">
        <v>5756.649</v>
      </c>
      <c r="I373" s="0" t="n">
        <v>6856.994</v>
      </c>
      <c r="J373" s="0" t="n">
        <v>4953.246</v>
      </c>
      <c r="K373" s="0" t="n">
        <v>72320.5014930556</v>
      </c>
      <c r="L373" s="0" t="n">
        <v>63974</v>
      </c>
      <c r="M373" s="0" t="n">
        <v>63599</v>
      </c>
      <c r="N373" s="0" t="n">
        <v>35</v>
      </c>
      <c r="O373" s="54" t="n">
        <f aca="false">YEAR(B373)</f>
        <v>2021</v>
      </c>
      <c r="P373" s="54" t="n">
        <f aca="false">IF(AND(E373&gt;=14400,K373&gt;0,L373&gt;0),1,0)</f>
        <v>1</v>
      </c>
      <c r="Q373" s="53" t="n">
        <f aca="false">IF(P373=1,F373/E373*MIN(L373/K373,1)*MIN(MAX(M373/L373,0),1),0)</f>
        <v>0.730852272526722</v>
      </c>
      <c r="R373" s="55" t="n">
        <f aca="false">IF(F373&gt;0,N373/(F373/3600),0)</f>
        <v>2.16851495277112</v>
      </c>
    </row>
    <row r="374" customFormat="false" ht="15" hidden="false" customHeight="false" outlineLevel="0" collapsed="false">
      <c r="A374" s="0" t="s">
        <v>258</v>
      </c>
      <c r="B374" s="52" t="n">
        <v>44210</v>
      </c>
      <c r="C374" s="0" t="n">
        <v>86481.665</v>
      </c>
      <c r="D374" s="0" t="n">
        <v>7338.311</v>
      </c>
      <c r="E374" s="0" t="n">
        <v>79143.354</v>
      </c>
      <c r="F374" s="0" t="n">
        <v>65919.441</v>
      </c>
      <c r="G374" s="0" t="n">
        <v>57753.239</v>
      </c>
      <c r="H374" s="0" t="n">
        <v>8166.202</v>
      </c>
      <c r="I374" s="0" t="n">
        <v>10120.876</v>
      </c>
      <c r="J374" s="0" t="n">
        <v>3103.037</v>
      </c>
      <c r="K374" s="0" t="n">
        <v>81445.3454166667</v>
      </c>
      <c r="L374" s="0" t="n">
        <v>71556</v>
      </c>
      <c r="M374" s="0" t="n">
        <v>71287</v>
      </c>
      <c r="N374" s="0" t="n">
        <v>65</v>
      </c>
      <c r="O374" s="54" t="n">
        <f aca="false">YEAR(B374)</f>
        <v>2021</v>
      </c>
      <c r="P374" s="54" t="n">
        <f aca="false">IF(AND(E374&gt;=14400,K374&gt;0,L374&gt;0),1,0)</f>
        <v>1</v>
      </c>
      <c r="Q374" s="53" t="n">
        <f aca="false">IF(P374=1,F374/E374*MIN(L374/K374,1)*MIN(MAX(M374/L374,0),1),0)</f>
        <v>0.729026195346333</v>
      </c>
      <c r="R374" s="55" t="n">
        <f aca="false">IF(F374&gt;0,N374/(F374/3600),0)</f>
        <v>3.54978738366425</v>
      </c>
    </row>
    <row r="375" customFormat="false" ht="15" hidden="false" customHeight="false" outlineLevel="0" collapsed="false">
      <c r="A375" s="0" t="s">
        <v>258</v>
      </c>
      <c r="B375" s="52" t="n">
        <v>44211</v>
      </c>
      <c r="C375" s="0" t="n">
        <v>84531.175</v>
      </c>
      <c r="D375" s="0" t="n">
        <v>3371.927</v>
      </c>
      <c r="E375" s="0" t="n">
        <v>81159.248</v>
      </c>
      <c r="F375" s="0" t="n">
        <v>71886.252</v>
      </c>
      <c r="G375" s="0" t="n">
        <v>66601.637</v>
      </c>
      <c r="H375" s="0" t="n">
        <v>5284.615</v>
      </c>
      <c r="I375" s="0" t="n">
        <v>8713.426</v>
      </c>
      <c r="J375" s="0" t="n">
        <v>559.57</v>
      </c>
      <c r="K375" s="0" t="n">
        <v>89751.09</v>
      </c>
      <c r="L375" s="0" t="n">
        <v>81782</v>
      </c>
      <c r="M375" s="0" t="n">
        <v>81613</v>
      </c>
      <c r="N375" s="0" t="n">
        <v>69</v>
      </c>
      <c r="O375" s="54" t="n">
        <f aca="false">YEAR(B375)</f>
        <v>2021</v>
      </c>
      <c r="P375" s="54" t="n">
        <f aca="false">IF(AND(E375&gt;=14400,K375&gt;0,L375&gt;0),1,0)</f>
        <v>1</v>
      </c>
      <c r="Q375" s="53" t="n">
        <f aca="false">IF(P375=1,F375/E375*MIN(L375/K375,1)*MIN(MAX(M375/L375,0),1),0)</f>
        <v>0.805429324014909</v>
      </c>
      <c r="R375" s="55" t="n">
        <f aca="false">IF(F375&gt;0,N375/(F375/3600),0)</f>
        <v>3.45545904938819</v>
      </c>
    </row>
    <row r="376" customFormat="false" ht="15" hidden="false" customHeight="false" outlineLevel="0" collapsed="false">
      <c r="A376" s="0" t="s">
        <v>258</v>
      </c>
      <c r="B376" s="52" t="n">
        <v>44212</v>
      </c>
      <c r="C376" s="0" t="n">
        <v>36184.679</v>
      </c>
      <c r="D376" s="0" t="n">
        <v>11428.118</v>
      </c>
      <c r="E376" s="0" t="n">
        <v>24756.561</v>
      </c>
      <c r="F376" s="0" t="n">
        <v>19014.932</v>
      </c>
      <c r="G376" s="0" t="n">
        <v>13386.031</v>
      </c>
      <c r="H376" s="0" t="n">
        <v>5628.901</v>
      </c>
      <c r="I376" s="0" t="n">
        <v>4438.299</v>
      </c>
      <c r="J376" s="0" t="n">
        <v>1303.33</v>
      </c>
      <c r="K376" s="0" t="n">
        <v>24148.7932083333</v>
      </c>
      <c r="L376" s="0" t="n">
        <v>16933</v>
      </c>
      <c r="M376" s="0" t="n">
        <v>16880</v>
      </c>
      <c r="N376" s="0" t="n">
        <v>46</v>
      </c>
      <c r="O376" s="54" t="n">
        <f aca="false">YEAR(B376)</f>
        <v>2021</v>
      </c>
      <c r="P376" s="54" t="n">
        <f aca="false">IF(AND(E376&gt;=14400,K376&gt;0,L376&gt;0),1,0)</f>
        <v>1</v>
      </c>
      <c r="Q376" s="53" t="n">
        <f aca="false">IF(P376=1,F376/E376*MIN(L376/K376,1)*MIN(MAX(M376/L376,0),1),0)</f>
        <v>0.536885247799848</v>
      </c>
      <c r="R376" s="55" t="n">
        <f aca="false">IF(F376&gt;0,N376/(F376/3600),0)</f>
        <v>8.7089451595199</v>
      </c>
    </row>
    <row r="377" customFormat="false" ht="15" hidden="false" customHeight="false" outlineLevel="0" collapsed="false">
      <c r="A377" s="0" t="s">
        <v>258</v>
      </c>
      <c r="B377" s="52" t="n">
        <v>44213</v>
      </c>
      <c r="C377" s="0" t="n">
        <v>79161.788</v>
      </c>
      <c r="D377" s="0" t="n">
        <v>14434.984</v>
      </c>
      <c r="E377" s="0" t="n">
        <v>64726.804</v>
      </c>
      <c r="F377" s="0" t="n">
        <v>19195.3</v>
      </c>
      <c r="G377" s="0" t="n">
        <v>17674.717</v>
      </c>
      <c r="H377" s="0" t="n">
        <v>1520.583</v>
      </c>
      <c r="I377" s="0" t="n">
        <v>2389.685</v>
      </c>
      <c r="J377" s="0" t="n">
        <v>43141.819</v>
      </c>
      <c r="K377" s="0" t="n">
        <v>22663.3225</v>
      </c>
      <c r="L377" s="0" t="n">
        <v>20768</v>
      </c>
      <c r="M377" s="0" t="n">
        <v>20658</v>
      </c>
      <c r="N377" s="0" t="n">
        <v>18</v>
      </c>
      <c r="O377" s="54" t="n">
        <f aca="false">YEAR(B377)</f>
        <v>2021</v>
      </c>
      <c r="P377" s="54" t="n">
        <f aca="false">IF(AND(E377&gt;=14400,K377&gt;0,L377&gt;0),1,0)</f>
        <v>1</v>
      </c>
      <c r="Q377" s="53" t="n">
        <f aca="false">IF(P377=1,F377/E377*MIN(L377/K377,1)*MIN(MAX(M377/L377,0),1),0)</f>
        <v>0.270318292039355</v>
      </c>
      <c r="R377" s="55" t="n">
        <f aca="false">IF(F377&gt;0,N377/(F377/3600),0)</f>
        <v>3.37582637416451</v>
      </c>
    </row>
    <row r="378" customFormat="false" ht="15" hidden="false" customHeight="false" outlineLevel="0" collapsed="false">
      <c r="A378" s="0" t="s">
        <v>258</v>
      </c>
      <c r="B378" s="52" t="n">
        <v>44214</v>
      </c>
      <c r="C378" s="0" t="n">
        <v>85772.269</v>
      </c>
      <c r="D378" s="0" t="n">
        <v>3933.769</v>
      </c>
      <c r="E378" s="0" t="n">
        <v>81838.5</v>
      </c>
      <c r="F378" s="0" t="n">
        <v>73939.702</v>
      </c>
      <c r="G378" s="0" t="n">
        <v>64482.122</v>
      </c>
      <c r="H378" s="0" t="n">
        <v>9457.58</v>
      </c>
      <c r="I378" s="0" t="n">
        <v>7384.618</v>
      </c>
      <c r="J378" s="0" t="n">
        <v>514.18</v>
      </c>
      <c r="K378" s="0" t="n">
        <v>91895.345625</v>
      </c>
      <c r="L378" s="0" t="n">
        <v>79959</v>
      </c>
      <c r="M378" s="0" t="n">
        <v>79762</v>
      </c>
      <c r="N378" s="0" t="n">
        <v>49</v>
      </c>
      <c r="O378" s="54" t="n">
        <f aca="false">YEAR(B378)</f>
        <v>2021</v>
      </c>
      <c r="P378" s="54" t="n">
        <f aca="false">IF(AND(E378&gt;=14400,K378&gt;0,L378&gt;0),1,0)</f>
        <v>1</v>
      </c>
      <c r="Q378" s="53" t="n">
        <f aca="false">IF(P378=1,F378/E378*MIN(L378/K378,1)*MIN(MAX(M378/L378,0),1),0)</f>
        <v>0.784192266154438</v>
      </c>
      <c r="R378" s="55" t="n">
        <f aca="false">IF(F378&gt;0,N378/(F378/3600),0)</f>
        <v>2.38572776503752</v>
      </c>
    </row>
    <row r="379" customFormat="false" ht="15" hidden="false" customHeight="false" outlineLevel="0" collapsed="false">
      <c r="A379" s="0" t="s">
        <v>258</v>
      </c>
      <c r="B379" s="52" t="n">
        <v>44215</v>
      </c>
      <c r="C379" s="0" t="n">
        <v>87286.587</v>
      </c>
      <c r="D379" s="0" t="n">
        <v>8108.589</v>
      </c>
      <c r="E379" s="0" t="n">
        <v>79177.998</v>
      </c>
      <c r="F379" s="0" t="n">
        <v>63927.687</v>
      </c>
      <c r="G379" s="0" t="n">
        <v>59610.093</v>
      </c>
      <c r="H379" s="0" t="n">
        <v>4317.594</v>
      </c>
      <c r="I379" s="0" t="n">
        <v>10341.362</v>
      </c>
      <c r="J379" s="0" t="n">
        <v>4908.949</v>
      </c>
      <c r="K379" s="0" t="n">
        <v>79809.278125</v>
      </c>
      <c r="L379" s="0" t="n">
        <v>74067</v>
      </c>
      <c r="M379" s="0" t="n">
        <v>73879</v>
      </c>
      <c r="N379" s="0" t="n">
        <v>69</v>
      </c>
      <c r="O379" s="54" t="n">
        <f aca="false">YEAR(B379)</f>
        <v>2021</v>
      </c>
      <c r="P379" s="54" t="n">
        <f aca="false">IF(AND(E379&gt;=14400,K379&gt;0,L379&gt;0),1,0)</f>
        <v>1</v>
      </c>
      <c r="Q379" s="53" t="n">
        <f aca="false">IF(P379=1,F379/E379*MIN(L379/K379,1)*MIN(MAX(M379/L379,0),1),0)</f>
        <v>0.747398291079929</v>
      </c>
      <c r="R379" s="55" t="n">
        <f aca="false">IF(F379&gt;0,N379/(F379/3600),0)</f>
        <v>3.88564034860201</v>
      </c>
    </row>
    <row r="380" customFormat="false" ht="15" hidden="false" customHeight="false" outlineLevel="0" collapsed="false">
      <c r="A380" s="0" t="s">
        <v>258</v>
      </c>
      <c r="B380" s="52" t="n">
        <v>44216</v>
      </c>
      <c r="C380" s="0" t="n">
        <v>80380.437</v>
      </c>
      <c r="D380" s="0" t="n">
        <v>15182.962</v>
      </c>
      <c r="E380" s="0" t="n">
        <v>65197.475</v>
      </c>
      <c r="F380" s="0" t="n">
        <v>35851.287</v>
      </c>
      <c r="G380" s="0" t="n">
        <v>19826.123</v>
      </c>
      <c r="H380" s="0" t="n">
        <v>16025.164</v>
      </c>
      <c r="I380" s="0" t="n">
        <v>6717.277</v>
      </c>
      <c r="J380" s="0" t="n">
        <v>22628.911</v>
      </c>
      <c r="K380" s="0" t="n">
        <v>44318.71375</v>
      </c>
      <c r="L380" s="0" t="n">
        <v>23570</v>
      </c>
      <c r="M380" s="0" t="n">
        <v>23390</v>
      </c>
      <c r="N380" s="0" t="n">
        <v>17</v>
      </c>
      <c r="O380" s="54" t="n">
        <f aca="false">YEAR(B380)</f>
        <v>2021</v>
      </c>
      <c r="P380" s="54" t="n">
        <f aca="false">IF(AND(E380&gt;=14400,K380&gt;0,L380&gt;0),1,0)</f>
        <v>1</v>
      </c>
      <c r="Q380" s="53" t="n">
        <f aca="false">IF(P380=1,F380/E380*MIN(L380/K380,1)*MIN(MAX(M380/L380,0),1),0)</f>
        <v>0.290213124240778</v>
      </c>
      <c r="R380" s="55" t="n">
        <f aca="false">IF(F380&gt;0,N380/(F380/3600),0)</f>
        <v>1.70705168826994</v>
      </c>
    </row>
    <row r="381" customFormat="false" ht="15" hidden="false" customHeight="false" outlineLevel="0" collapsed="false">
      <c r="A381" s="0" t="s">
        <v>258</v>
      </c>
      <c r="B381" s="52" t="n">
        <v>44217</v>
      </c>
      <c r="C381" s="0" t="n">
        <v>80597.419</v>
      </c>
      <c r="D381" s="0" t="n">
        <v>6864.863</v>
      </c>
      <c r="E381" s="0" t="n">
        <v>73732.556</v>
      </c>
      <c r="F381" s="0" t="n">
        <v>61962.827</v>
      </c>
      <c r="G381" s="0" t="n">
        <v>55825.507</v>
      </c>
      <c r="H381" s="0" t="n">
        <v>6137.32</v>
      </c>
      <c r="I381" s="0" t="n">
        <v>9219.659</v>
      </c>
      <c r="J381" s="0" t="n">
        <v>2550.07</v>
      </c>
      <c r="K381" s="0" t="n">
        <v>76170.5297916667</v>
      </c>
      <c r="L381" s="0" t="n">
        <v>67711</v>
      </c>
      <c r="M381" s="0" t="n">
        <v>67493</v>
      </c>
      <c r="N381" s="0" t="n">
        <v>46</v>
      </c>
      <c r="O381" s="54" t="n">
        <f aca="false">YEAR(B381)</f>
        <v>2021</v>
      </c>
      <c r="P381" s="54" t="n">
        <f aca="false">IF(AND(E381&gt;=14400,K381&gt;0,L381&gt;0),1,0)</f>
        <v>1</v>
      </c>
      <c r="Q381" s="53" t="n">
        <f aca="false">IF(P381=1,F381/E381*MIN(L381/K381,1)*MIN(MAX(M381/L381,0),1),0)</f>
        <v>0.744635420633905</v>
      </c>
      <c r="R381" s="55" t="n">
        <f aca="false">IF(F381&gt;0,N381/(F381/3600),0)</f>
        <v>2.67257012014639</v>
      </c>
    </row>
    <row r="382" customFormat="false" ht="15" hidden="false" customHeight="false" outlineLevel="0" collapsed="false">
      <c r="A382" s="0" t="s">
        <v>258</v>
      </c>
      <c r="B382" s="52" t="n">
        <v>44218</v>
      </c>
      <c r="C382" s="0" t="n">
        <v>86243.159</v>
      </c>
      <c r="D382" s="0" t="n">
        <v>3822.221</v>
      </c>
      <c r="E382" s="0" t="n">
        <v>82420.938</v>
      </c>
      <c r="F382" s="0" t="n">
        <v>73853.839</v>
      </c>
      <c r="G382" s="0" t="n">
        <v>68777.138</v>
      </c>
      <c r="H382" s="0" t="n">
        <v>5076.701</v>
      </c>
      <c r="I382" s="0" t="n">
        <v>7450.959</v>
      </c>
      <c r="J382" s="0" t="n">
        <v>1116.14</v>
      </c>
      <c r="K382" s="0" t="n">
        <v>92277.3327777778</v>
      </c>
      <c r="L382" s="0" t="n">
        <v>85712</v>
      </c>
      <c r="M382" s="0" t="n">
        <v>85520</v>
      </c>
      <c r="N382" s="0" t="n">
        <v>49</v>
      </c>
      <c r="O382" s="54" t="n">
        <f aca="false">YEAR(B382)</f>
        <v>2021</v>
      </c>
      <c r="P382" s="54" t="n">
        <f aca="false">IF(AND(E382&gt;=14400,K382&gt;0,L382&gt;0),1,0)</f>
        <v>1</v>
      </c>
      <c r="Q382" s="53" t="n">
        <f aca="false">IF(P382=1,F382/E382*MIN(L382/K382,1)*MIN(MAX(M382/L382,0),1),0)</f>
        <v>0.830439850836054</v>
      </c>
      <c r="R382" s="55" t="n">
        <f aca="false">IF(F382&gt;0,N382/(F382/3600),0)</f>
        <v>2.38850142915387</v>
      </c>
    </row>
    <row r="383" customFormat="false" ht="15" hidden="false" customHeight="false" outlineLevel="0" collapsed="false">
      <c r="A383" s="0" t="s">
        <v>258</v>
      </c>
      <c r="B383" s="52" t="n">
        <v>44219</v>
      </c>
      <c r="C383" s="0" t="n">
        <v>16423.579</v>
      </c>
      <c r="D383" s="0" t="n">
        <v>5160.859</v>
      </c>
      <c r="E383" s="0" t="n">
        <v>11262.72</v>
      </c>
      <c r="F383" s="0" t="n">
        <v>2668.76</v>
      </c>
      <c r="G383" s="0" t="n">
        <v>2144.428</v>
      </c>
      <c r="H383" s="0" t="n">
        <v>524.332</v>
      </c>
      <c r="I383" s="0" t="n">
        <v>1093.479</v>
      </c>
      <c r="J383" s="0" t="n">
        <v>7500.481</v>
      </c>
      <c r="K383" s="0" t="n">
        <v>3335.95</v>
      </c>
      <c r="L383" s="0" t="n">
        <v>2636</v>
      </c>
      <c r="M383" s="0" t="n">
        <v>2626</v>
      </c>
      <c r="N383" s="0" t="n">
        <v>13</v>
      </c>
      <c r="O383" s="54" t="n">
        <f aca="false">YEAR(B383)</f>
        <v>2021</v>
      </c>
      <c r="P383" s="54" t="n">
        <f aca="false">IF(AND(E383&gt;=14400,K383&gt;0,L383&gt;0),1,0)</f>
        <v>0</v>
      </c>
      <c r="Q383" s="53" t="n">
        <f aca="false">IF(P383=1,F383/E383*MIN(L383/K383,1)*MIN(MAX(M383/L383,0),1),0)</f>
        <v>0</v>
      </c>
      <c r="R383" s="55" t="n">
        <f aca="false">IF(F383&gt;0,N383/(F383/3600),0)</f>
        <v>17.5362340562658</v>
      </c>
    </row>
    <row r="384" customFormat="false" ht="15" hidden="false" customHeight="false" outlineLevel="0" collapsed="false">
      <c r="A384" s="0" t="s">
        <v>258</v>
      </c>
      <c r="B384" s="52" t="n">
        <v>44220</v>
      </c>
      <c r="C384" s="0" t="n">
        <v>32976.928</v>
      </c>
      <c r="D384" s="0" t="n">
        <v>3877.087</v>
      </c>
      <c r="E384" s="0" t="n">
        <v>29099.841</v>
      </c>
      <c r="F384" s="0" t="n">
        <v>24033.572</v>
      </c>
      <c r="G384" s="0" t="n">
        <v>18715.821</v>
      </c>
      <c r="H384" s="0" t="n">
        <v>5317.751</v>
      </c>
      <c r="I384" s="0" t="n">
        <v>3511.38</v>
      </c>
      <c r="J384" s="0" t="n">
        <v>1554.889</v>
      </c>
      <c r="K384" s="0" t="n">
        <v>29737.6593055556</v>
      </c>
      <c r="L384" s="0" t="n">
        <v>22823</v>
      </c>
      <c r="M384" s="0" t="n">
        <v>22681</v>
      </c>
      <c r="N384" s="0" t="n">
        <v>18</v>
      </c>
      <c r="O384" s="54" t="n">
        <f aca="false">YEAR(B384)</f>
        <v>2021</v>
      </c>
      <c r="P384" s="54" t="n">
        <f aca="false">IF(AND(E384&gt;=14400,K384&gt;0,L384&gt;0),1,0)</f>
        <v>1</v>
      </c>
      <c r="Q384" s="53" t="n">
        <f aca="false">IF(P384=1,F384/E384*MIN(L384/K384,1)*MIN(MAX(M384/L384,0),1),0)</f>
        <v>0.629916702182907</v>
      </c>
      <c r="R384" s="55" t="n">
        <f aca="false">IF(F384&gt;0,N384/(F384/3600),0)</f>
        <v>2.69622842580371</v>
      </c>
    </row>
    <row r="385" customFormat="false" ht="15" hidden="false" customHeight="false" outlineLevel="0" collapsed="false">
      <c r="A385" s="0" t="s">
        <v>258</v>
      </c>
      <c r="B385" s="52" t="n">
        <v>44221</v>
      </c>
      <c r="C385" s="0" t="n">
        <v>85929.595</v>
      </c>
      <c r="D385" s="0" t="n">
        <v>9763.326</v>
      </c>
      <c r="E385" s="0" t="n">
        <v>76166.269</v>
      </c>
      <c r="F385" s="0" t="n">
        <v>57090.843</v>
      </c>
      <c r="G385" s="0" t="n">
        <v>48665.722</v>
      </c>
      <c r="H385" s="0" t="n">
        <v>8425.121</v>
      </c>
      <c r="I385" s="0" t="n">
        <v>12283.49</v>
      </c>
      <c r="J385" s="0" t="n">
        <v>6791.936</v>
      </c>
      <c r="K385" s="0" t="n">
        <v>71313.8687152778</v>
      </c>
      <c r="L385" s="0" t="n">
        <v>60459</v>
      </c>
      <c r="M385" s="0" t="n">
        <v>60012</v>
      </c>
      <c r="N385" s="0" t="n">
        <v>82</v>
      </c>
      <c r="O385" s="54" t="n">
        <f aca="false">YEAR(B385)</f>
        <v>2021</v>
      </c>
      <c r="P385" s="54" t="n">
        <f aca="false">IF(AND(E385&gt;=14400,K385&gt;0,L385&gt;0),1,0)</f>
        <v>1</v>
      </c>
      <c r="Q385" s="53" t="n">
        <f aca="false">IF(P385=1,F385/E385*MIN(L385/K385,1)*MIN(MAX(M385/L385,0),1),0)</f>
        <v>0.630765421032374</v>
      </c>
      <c r="R385" s="55" t="n">
        <f aca="false">IF(F385&gt;0,N385/(F385/3600),0)</f>
        <v>5.17070662277662</v>
      </c>
    </row>
    <row r="386" customFormat="false" ht="15" hidden="false" customHeight="false" outlineLevel="0" collapsed="false">
      <c r="A386" s="0" t="s">
        <v>258</v>
      </c>
      <c r="B386" s="52" t="n">
        <v>44222</v>
      </c>
      <c r="C386" s="0" t="n">
        <v>99023.668</v>
      </c>
      <c r="D386" s="0" t="n">
        <v>3732.606</v>
      </c>
      <c r="E386" s="0" t="n">
        <v>95291.062</v>
      </c>
      <c r="F386" s="0" t="n">
        <v>60420.45</v>
      </c>
      <c r="G386" s="0" t="n">
        <v>55871.294</v>
      </c>
      <c r="H386" s="0" t="n">
        <v>4549.156</v>
      </c>
      <c r="I386" s="0" t="n">
        <v>9810.351</v>
      </c>
      <c r="J386" s="0" t="n">
        <v>25060.261</v>
      </c>
      <c r="K386" s="0" t="n">
        <v>75406.4201388889</v>
      </c>
      <c r="L386" s="0" t="n">
        <v>68319</v>
      </c>
      <c r="M386" s="0" t="n">
        <v>68125</v>
      </c>
      <c r="N386" s="0" t="n">
        <v>75</v>
      </c>
      <c r="O386" s="54" t="n">
        <f aca="false">YEAR(B386)</f>
        <v>2021</v>
      </c>
      <c r="P386" s="54" t="n">
        <f aca="false">IF(AND(E386&gt;=14400,K386&gt;0,L386&gt;0),1,0)</f>
        <v>1</v>
      </c>
      <c r="Q386" s="53" t="n">
        <f aca="false">IF(P386=1,F386/E386*MIN(L386/K386,1)*MIN(MAX(M386/L386,0),1),0)</f>
        <v>0.572835573571922</v>
      </c>
      <c r="R386" s="55" t="n">
        <f aca="false">IF(F386&gt;0,N386/(F386/3600),0)</f>
        <v>4.46868568506193</v>
      </c>
    </row>
    <row r="387" customFormat="false" ht="15" hidden="false" customHeight="false" outlineLevel="0" collapsed="false">
      <c r="A387" s="0" t="s">
        <v>258</v>
      </c>
      <c r="B387" s="52" t="n">
        <v>44223</v>
      </c>
      <c r="C387" s="0" t="n">
        <v>69117.092</v>
      </c>
      <c r="D387" s="0" t="n">
        <v>11442.516</v>
      </c>
      <c r="E387" s="0" t="n">
        <v>57674.576</v>
      </c>
      <c r="F387" s="0" t="n">
        <v>52331.445</v>
      </c>
      <c r="G387" s="0" t="n">
        <v>48728.758</v>
      </c>
      <c r="H387" s="0" t="n">
        <v>3602.687</v>
      </c>
      <c r="I387" s="0" t="n">
        <v>3557.979</v>
      </c>
      <c r="J387" s="0" t="n">
        <v>1785.152</v>
      </c>
      <c r="K387" s="0" t="n">
        <v>62780.1929513889</v>
      </c>
      <c r="L387" s="0" t="n">
        <v>57545</v>
      </c>
      <c r="M387" s="0" t="n">
        <v>57354</v>
      </c>
      <c r="N387" s="0" t="n">
        <v>36</v>
      </c>
      <c r="O387" s="54" t="n">
        <f aca="false">YEAR(B387)</f>
        <v>2021</v>
      </c>
      <c r="P387" s="54" t="n">
        <f aca="false">IF(AND(E387&gt;=14400,K387&gt;0,L387&gt;0),1,0)</f>
        <v>1</v>
      </c>
      <c r="Q387" s="53" t="n">
        <f aca="false">IF(P387=1,F387/E387*MIN(L387/K387,1)*MIN(MAX(M387/L387,0),1),0)</f>
        <v>0.828932910109226</v>
      </c>
      <c r="R387" s="55" t="n">
        <f aca="false">IF(F387&gt;0,N387/(F387/3600),0)</f>
        <v>2.47652248089079</v>
      </c>
    </row>
    <row r="388" customFormat="false" ht="15" hidden="false" customHeight="false" outlineLevel="0" collapsed="false">
      <c r="A388" s="0" t="s">
        <v>258</v>
      </c>
      <c r="B388" s="52" t="n">
        <v>44224</v>
      </c>
      <c r="C388" s="0" t="n">
        <v>86370.386</v>
      </c>
      <c r="D388" s="0" t="n">
        <v>9509.468</v>
      </c>
      <c r="E388" s="0" t="n">
        <v>76860.918</v>
      </c>
      <c r="F388" s="0" t="n">
        <v>60189.883</v>
      </c>
      <c r="G388" s="0" t="n">
        <v>56925.728</v>
      </c>
      <c r="H388" s="0" t="n">
        <v>3264.155</v>
      </c>
      <c r="I388" s="0" t="n">
        <v>10282.835</v>
      </c>
      <c r="J388" s="0" t="n">
        <v>6388.2</v>
      </c>
      <c r="K388" s="0" t="n">
        <v>74335.275625</v>
      </c>
      <c r="L388" s="0" t="n">
        <v>70270</v>
      </c>
      <c r="M388" s="0" t="n">
        <v>70075</v>
      </c>
      <c r="N388" s="0" t="n">
        <v>70</v>
      </c>
      <c r="O388" s="54" t="n">
        <f aca="false">YEAR(B388)</f>
        <v>2021</v>
      </c>
      <c r="P388" s="54" t="n">
        <f aca="false">IF(AND(E388&gt;=14400,K388&gt;0,L388&gt;0),1,0)</f>
        <v>1</v>
      </c>
      <c r="Q388" s="53" t="n">
        <f aca="false">IF(P388=1,F388/E388*MIN(L388/K388,1)*MIN(MAX(M388/L388,0),1),0)</f>
        <v>0.738220467879867</v>
      </c>
      <c r="R388" s="55" t="n">
        <f aca="false">IF(F388&gt;0,N388/(F388/3600),0)</f>
        <v>4.18675012210939</v>
      </c>
    </row>
    <row r="389" customFormat="false" ht="15" hidden="false" customHeight="false" outlineLevel="0" collapsed="false">
      <c r="A389" s="0" t="s">
        <v>258</v>
      </c>
      <c r="B389" s="52" t="n">
        <v>44225</v>
      </c>
      <c r="C389" s="0" t="n">
        <v>82950.819</v>
      </c>
      <c r="D389" s="0" t="n">
        <v>2729.548</v>
      </c>
      <c r="E389" s="0" t="n">
        <v>80221.271</v>
      </c>
      <c r="F389" s="0" t="n">
        <v>69872.606</v>
      </c>
      <c r="G389" s="0" t="n">
        <v>66953.081</v>
      </c>
      <c r="H389" s="0" t="n">
        <v>2919.525</v>
      </c>
      <c r="I389" s="0" t="n">
        <v>10064.935</v>
      </c>
      <c r="J389" s="0" t="n">
        <v>283.73</v>
      </c>
      <c r="K389" s="0" t="n">
        <v>87340.7575</v>
      </c>
      <c r="L389" s="0" t="n">
        <v>82238</v>
      </c>
      <c r="M389" s="0" t="n">
        <v>82098</v>
      </c>
      <c r="N389" s="0" t="n">
        <v>76</v>
      </c>
      <c r="O389" s="54" t="n">
        <f aca="false">YEAR(B389)</f>
        <v>2021</v>
      </c>
      <c r="P389" s="54" t="n">
        <f aca="false">IF(AND(E389&gt;=14400,K389&gt;0,L389&gt;0),1,0)</f>
        <v>1</v>
      </c>
      <c r="Q389" s="53" t="n">
        <f aca="false">IF(P389=1,F389/E389*MIN(L389/K389,1)*MIN(MAX(M389/L389,0),1),0)</f>
        <v>0.818715524963448</v>
      </c>
      <c r="R389" s="55" t="n">
        <f aca="false">IF(F389&gt;0,N389/(F389/3600),0)</f>
        <v>3.91569766268629</v>
      </c>
    </row>
    <row r="390" customFormat="false" ht="15" hidden="false" customHeight="false" outlineLevel="0" collapsed="false">
      <c r="A390" s="0" t="s">
        <v>258</v>
      </c>
      <c r="B390" s="52" t="n">
        <v>44226</v>
      </c>
      <c r="C390" s="0" t="n">
        <v>22213.599</v>
      </c>
      <c r="D390" s="0" t="n">
        <v>5176.901</v>
      </c>
      <c r="E390" s="0" t="n">
        <v>17036.698</v>
      </c>
      <c r="F390" s="0" t="n">
        <v>7428.607</v>
      </c>
      <c r="G390" s="0" t="n">
        <v>6744.707</v>
      </c>
      <c r="H390" s="0" t="n">
        <v>683.9</v>
      </c>
      <c r="I390" s="0" t="n">
        <v>3524.421</v>
      </c>
      <c r="J390" s="0" t="n">
        <v>6083.67</v>
      </c>
      <c r="K390" s="0" t="n">
        <v>9285.75875</v>
      </c>
      <c r="L390" s="0" t="n">
        <v>8399</v>
      </c>
      <c r="M390" s="0" t="n">
        <v>8369</v>
      </c>
      <c r="N390" s="0" t="n">
        <v>20</v>
      </c>
      <c r="O390" s="54" t="n">
        <f aca="false">YEAR(B390)</f>
        <v>2021</v>
      </c>
      <c r="P390" s="54" t="n">
        <f aca="false">IF(AND(E390&gt;=14400,K390&gt;0,L390&gt;0),1,0)</f>
        <v>1</v>
      </c>
      <c r="Q390" s="53" t="n">
        <f aca="false">IF(P390=1,F390/E390*MIN(L390/K390,1)*MIN(MAX(M390/L390,0),1),0)</f>
        <v>0.392986950875105</v>
      </c>
      <c r="R390" s="55" t="n">
        <f aca="false">IF(F390&gt;0,N390/(F390/3600),0)</f>
        <v>9.69226128128733</v>
      </c>
    </row>
    <row r="391" customFormat="false" ht="15" hidden="false" customHeight="false" outlineLevel="0" collapsed="false">
      <c r="A391" s="0" t="s">
        <v>258</v>
      </c>
      <c r="B391" s="52" t="n">
        <v>44227</v>
      </c>
      <c r="C391" s="0" t="n">
        <v>77447.754</v>
      </c>
      <c r="D391" s="0" t="n">
        <v>10201.613</v>
      </c>
      <c r="E391" s="0" t="n">
        <v>67246.141</v>
      </c>
      <c r="F391" s="0" t="n">
        <v>26634.966</v>
      </c>
      <c r="G391" s="0" t="n">
        <v>23676.737</v>
      </c>
      <c r="H391" s="0" t="n">
        <v>2958.229</v>
      </c>
      <c r="I391" s="0" t="n">
        <v>2173.113</v>
      </c>
      <c r="J391" s="0" t="n">
        <v>38438.062</v>
      </c>
      <c r="K391" s="0" t="n">
        <v>32761.6838194444</v>
      </c>
      <c r="L391" s="0" t="n">
        <v>29125</v>
      </c>
      <c r="M391" s="0" t="n">
        <v>29043</v>
      </c>
      <c r="N391" s="0" t="n">
        <v>23</v>
      </c>
      <c r="O391" s="54" t="n">
        <f aca="false">YEAR(B391)</f>
        <v>2021</v>
      </c>
      <c r="P391" s="54" t="n">
        <f aca="false">IF(AND(E391&gt;=14400,K391&gt;0,L391&gt;0),1,0)</f>
        <v>1</v>
      </c>
      <c r="Q391" s="53" t="n">
        <f aca="false">IF(P391=1,F391/E391*MIN(L391/K391,1)*MIN(MAX(M391/L391,0),1),0)</f>
        <v>0.351123615719192</v>
      </c>
      <c r="R391" s="55" t="n">
        <f aca="false">IF(F391&gt;0,N391/(F391/3600),0)</f>
        <v>3.10869553954002</v>
      </c>
    </row>
    <row r="392" customFormat="false" ht="15" hidden="false" customHeight="false" outlineLevel="0" collapsed="false">
      <c r="A392" s="0" t="s">
        <v>258</v>
      </c>
      <c r="B392" s="52" t="n">
        <v>44228</v>
      </c>
      <c r="C392" s="0" t="n">
        <v>86224.209</v>
      </c>
      <c r="D392" s="0" t="n">
        <v>8293.931</v>
      </c>
      <c r="E392" s="0" t="n">
        <v>77930.278</v>
      </c>
      <c r="F392" s="0" t="n">
        <v>66297.583</v>
      </c>
      <c r="G392" s="0" t="n">
        <v>61781.964</v>
      </c>
      <c r="H392" s="0" t="n">
        <v>4515.619</v>
      </c>
      <c r="I392" s="0" t="n">
        <v>10558.617</v>
      </c>
      <c r="J392" s="0" t="n">
        <v>1074.078</v>
      </c>
      <c r="K392" s="0" t="n">
        <v>82871.97875</v>
      </c>
      <c r="L392" s="0" t="n">
        <v>77007</v>
      </c>
      <c r="M392" s="0" t="n">
        <v>76818</v>
      </c>
      <c r="N392" s="0" t="n">
        <v>57</v>
      </c>
      <c r="O392" s="54" t="n">
        <f aca="false">YEAR(B392)</f>
        <v>2021</v>
      </c>
      <c r="P392" s="54" t="n">
        <f aca="false">IF(AND(E392&gt;=14400,K392&gt;0,L392&gt;0),1,0)</f>
        <v>1</v>
      </c>
      <c r="Q392" s="53" t="n">
        <f aca="false">IF(P392=1,F392/E392*MIN(L392/K392,1)*MIN(MAX(M392/L392,0),1),0)</f>
        <v>0.788581814118513</v>
      </c>
      <c r="R392" s="55" t="n">
        <f aca="false">IF(F392&gt;0,N392/(F392/3600),0)</f>
        <v>3.09513545916146</v>
      </c>
    </row>
    <row r="393" customFormat="false" ht="15" hidden="false" customHeight="false" outlineLevel="0" collapsed="false">
      <c r="A393" s="0" t="s">
        <v>258</v>
      </c>
      <c r="B393" s="52" t="n">
        <v>44229</v>
      </c>
      <c r="C393" s="0" t="n">
        <v>86649.679</v>
      </c>
      <c r="D393" s="0" t="n">
        <v>2398.46</v>
      </c>
      <c r="E393" s="0" t="n">
        <v>84251.219</v>
      </c>
      <c r="F393" s="0" t="n">
        <v>74374.646</v>
      </c>
      <c r="G393" s="0" t="n">
        <v>64907.288</v>
      </c>
      <c r="H393" s="0" t="n">
        <v>9467.358</v>
      </c>
      <c r="I393" s="0" t="n">
        <v>8659.773</v>
      </c>
      <c r="J393" s="0" t="n">
        <v>1216.8</v>
      </c>
      <c r="K393" s="0" t="n">
        <v>92824.6943402778</v>
      </c>
      <c r="L393" s="0" t="n">
        <v>80783</v>
      </c>
      <c r="M393" s="0" t="n">
        <v>80588</v>
      </c>
      <c r="N393" s="0" t="n">
        <v>74</v>
      </c>
      <c r="O393" s="54" t="n">
        <f aca="false">YEAR(B393)</f>
        <v>2021</v>
      </c>
      <c r="P393" s="54" t="n">
        <f aca="false">IF(AND(E393&gt;=14400,K393&gt;0,L393&gt;0),1,0)</f>
        <v>1</v>
      </c>
      <c r="Q393" s="53" t="n">
        <f aca="false">IF(P393=1,F393/E393*MIN(L393/K393,1)*MIN(MAX(M393/L393,0),1),0)</f>
        <v>0.76640012753006</v>
      </c>
      <c r="R393" s="55" t="n">
        <f aca="false">IF(F393&gt;0,N393/(F393/3600),0)</f>
        <v>3.58186578797296</v>
      </c>
    </row>
    <row r="394" customFormat="false" ht="15" hidden="false" customHeight="false" outlineLevel="0" collapsed="false">
      <c r="A394" s="0" t="s">
        <v>258</v>
      </c>
      <c r="B394" s="52" t="n">
        <v>44230</v>
      </c>
      <c r="C394" s="0" t="n">
        <v>86623.562</v>
      </c>
      <c r="D394" s="0" t="n">
        <v>9245.752</v>
      </c>
      <c r="E394" s="0" t="n">
        <v>77377.81</v>
      </c>
      <c r="F394" s="0" t="n">
        <v>65907.018</v>
      </c>
      <c r="G394" s="0" t="n">
        <v>56326.367</v>
      </c>
      <c r="H394" s="0" t="n">
        <v>9580.651</v>
      </c>
      <c r="I394" s="0" t="n">
        <v>7397.857</v>
      </c>
      <c r="J394" s="0" t="n">
        <v>4072.935</v>
      </c>
      <c r="K394" s="0" t="n">
        <v>82383.7725</v>
      </c>
      <c r="L394" s="0" t="n">
        <v>70069</v>
      </c>
      <c r="M394" s="0" t="n">
        <v>69913</v>
      </c>
      <c r="N394" s="0" t="n">
        <v>62</v>
      </c>
      <c r="O394" s="54" t="n">
        <f aca="false">YEAR(B394)</f>
        <v>2021</v>
      </c>
      <c r="P394" s="54" t="n">
        <f aca="false">IF(AND(E394&gt;=14400,K394&gt;0,L394&gt;0),1,0)</f>
        <v>1</v>
      </c>
      <c r="Q394" s="53" t="n">
        <f aca="false">IF(P394=1,F394/E394*MIN(L394/K394,1)*MIN(MAX(M394/L394,0),1),0)</f>
        <v>0.722822214792587</v>
      </c>
      <c r="R394" s="55" t="n">
        <f aca="false">IF(F394&gt;0,N394/(F394/3600),0)</f>
        <v>3.38658927035661</v>
      </c>
    </row>
    <row r="395" customFormat="false" ht="15" hidden="false" customHeight="false" outlineLevel="0" collapsed="false">
      <c r="A395" s="0" t="s">
        <v>258</v>
      </c>
      <c r="B395" s="52" t="n">
        <v>44231</v>
      </c>
      <c r="C395" s="0" t="n">
        <v>85935.038</v>
      </c>
      <c r="D395" s="0" t="n">
        <v>7010.056</v>
      </c>
      <c r="E395" s="0" t="n">
        <v>78924.982</v>
      </c>
      <c r="F395" s="0" t="n">
        <v>47564.903</v>
      </c>
      <c r="G395" s="0" t="n">
        <v>33477.415</v>
      </c>
      <c r="H395" s="0" t="n">
        <v>14087.488</v>
      </c>
      <c r="I395" s="0" t="n">
        <v>7269.922</v>
      </c>
      <c r="J395" s="0" t="n">
        <v>24090.157</v>
      </c>
      <c r="K395" s="0" t="n">
        <v>59116.3440277778</v>
      </c>
      <c r="L395" s="0" t="n">
        <v>40502</v>
      </c>
      <c r="M395" s="0" t="n">
        <v>40325</v>
      </c>
      <c r="N395" s="0" t="n">
        <v>54</v>
      </c>
      <c r="O395" s="54" t="n">
        <f aca="false">YEAR(B395)</f>
        <v>2021</v>
      </c>
      <c r="P395" s="54" t="n">
        <f aca="false">IF(AND(E395&gt;=14400,K395&gt;0,L395&gt;0),1,0)</f>
        <v>1</v>
      </c>
      <c r="Q395" s="53" t="n">
        <f aca="false">IF(P395=1,F395/E395*MIN(L395/K395,1)*MIN(MAX(M395/L395,0),1),0)</f>
        <v>0.411091911760659</v>
      </c>
      <c r="R395" s="55" t="n">
        <f aca="false">IF(F395&gt;0,N395/(F395/3600),0)</f>
        <v>4.08704712380051</v>
      </c>
    </row>
    <row r="396" customFormat="false" ht="15" hidden="false" customHeight="false" outlineLevel="0" collapsed="false">
      <c r="A396" s="0" t="s">
        <v>258</v>
      </c>
      <c r="B396" s="52" t="n">
        <v>44232</v>
      </c>
      <c r="C396" s="0" t="n">
        <v>79988.899</v>
      </c>
      <c r="D396" s="0" t="n">
        <v>8011.673</v>
      </c>
      <c r="E396" s="0" t="n">
        <v>71977.226</v>
      </c>
      <c r="F396" s="0" t="n">
        <v>59232.545</v>
      </c>
      <c r="G396" s="0" t="n">
        <v>54953.459</v>
      </c>
      <c r="H396" s="0" t="n">
        <v>4279.086</v>
      </c>
      <c r="I396" s="0" t="n">
        <v>8828.418</v>
      </c>
      <c r="J396" s="0" t="n">
        <v>3916.263</v>
      </c>
      <c r="K396" s="0" t="n">
        <v>74040.68125</v>
      </c>
      <c r="L396" s="0" t="n">
        <v>67291</v>
      </c>
      <c r="M396" s="0" t="n">
        <v>67111</v>
      </c>
      <c r="N396" s="0" t="n">
        <v>57</v>
      </c>
      <c r="O396" s="54" t="n">
        <f aca="false">YEAR(B396)</f>
        <v>2021</v>
      </c>
      <c r="P396" s="54" t="n">
        <f aca="false">IF(AND(E396&gt;=14400,K396&gt;0,L396&gt;0),1,0)</f>
        <v>1</v>
      </c>
      <c r="Q396" s="53" t="n">
        <f aca="false">IF(P396=1,F396/E396*MIN(L396/K396,1)*MIN(MAX(M396/L396,0),1),0)</f>
        <v>0.745913714429617</v>
      </c>
      <c r="R396" s="55" t="n">
        <f aca="false">IF(F396&gt;0,N396/(F396/3600),0)</f>
        <v>3.4643117225505</v>
      </c>
    </row>
    <row r="397" customFormat="false" ht="15" hidden="false" customHeight="false" outlineLevel="0" collapsed="false">
      <c r="A397" s="0" t="s">
        <v>258</v>
      </c>
      <c r="B397" s="52" t="n">
        <v>44233</v>
      </c>
      <c r="C397" s="0" t="n">
        <v>28872.2</v>
      </c>
      <c r="D397" s="0" t="n">
        <v>6345.199</v>
      </c>
      <c r="E397" s="0" t="n">
        <v>22527.001</v>
      </c>
      <c r="F397" s="0" t="n">
        <v>13884.029</v>
      </c>
      <c r="G397" s="0" t="n">
        <v>12933.371</v>
      </c>
      <c r="H397" s="0" t="n">
        <v>950.658</v>
      </c>
      <c r="I397" s="0" t="n">
        <v>6796.922</v>
      </c>
      <c r="J397" s="0" t="n">
        <v>1846.05</v>
      </c>
      <c r="K397" s="0" t="n">
        <v>17355.03625</v>
      </c>
      <c r="L397" s="0" t="n">
        <v>16057</v>
      </c>
      <c r="M397" s="0" t="n">
        <v>15976</v>
      </c>
      <c r="N397" s="0" t="n">
        <v>37</v>
      </c>
      <c r="O397" s="54" t="n">
        <f aca="false">YEAR(B397)</f>
        <v>2021</v>
      </c>
      <c r="P397" s="54" t="n">
        <f aca="false">IF(AND(E397&gt;=14400,K397&gt;0,L397&gt;0),1,0)</f>
        <v>1</v>
      </c>
      <c r="Q397" s="53" t="n">
        <f aca="false">IF(P397=1,F397/E397*MIN(L397/K397,1)*MIN(MAX(M397/L397,0),1),0)</f>
        <v>0.567354704694158</v>
      </c>
      <c r="R397" s="55" t="n">
        <f aca="false">IF(F397&gt;0,N397/(F397/3600),0)</f>
        <v>9.59375697068913</v>
      </c>
    </row>
    <row r="398" customFormat="false" ht="15" hidden="false" customHeight="false" outlineLevel="0" collapsed="false">
      <c r="A398" s="0" t="s">
        <v>258</v>
      </c>
      <c r="B398" s="52" t="n">
        <v>44234</v>
      </c>
      <c r="C398" s="0" t="n">
        <v>33242.638</v>
      </c>
      <c r="D398" s="0" t="n">
        <v>1823.957</v>
      </c>
      <c r="E398" s="0" t="n">
        <v>31418.681</v>
      </c>
      <c r="F398" s="0" t="n">
        <v>25539.412</v>
      </c>
      <c r="G398" s="0" t="n">
        <v>20592.511</v>
      </c>
      <c r="H398" s="0" t="n">
        <v>4946.901</v>
      </c>
      <c r="I398" s="0" t="n">
        <v>4706.398</v>
      </c>
      <c r="J398" s="0" t="n">
        <v>1172.871</v>
      </c>
      <c r="K398" s="0" t="n">
        <v>31924.265</v>
      </c>
      <c r="L398" s="0" t="n">
        <v>25674</v>
      </c>
      <c r="M398" s="0" t="n">
        <v>25540</v>
      </c>
      <c r="N398" s="0" t="n">
        <v>14</v>
      </c>
      <c r="O398" s="54" t="n">
        <f aca="false">YEAR(B398)</f>
        <v>2021</v>
      </c>
      <c r="P398" s="54" t="n">
        <f aca="false">IF(AND(E398&gt;=14400,K398&gt;0,L398&gt;0),1,0)</f>
        <v>1</v>
      </c>
      <c r="Q398" s="53" t="n">
        <f aca="false">IF(P398=1,F398/E398*MIN(L398/K398,1)*MIN(MAX(M398/L398,0),1),0)</f>
        <v>0.650313741687629</v>
      </c>
      <c r="R398" s="55" t="n">
        <f aca="false">IF(F398&gt;0,N398/(F398/3600),0)</f>
        <v>1.97342053137324</v>
      </c>
    </row>
    <row r="399" customFormat="false" ht="15" hidden="false" customHeight="false" outlineLevel="0" collapsed="false">
      <c r="A399" s="0" t="s">
        <v>258</v>
      </c>
      <c r="B399" s="52" t="n">
        <v>44235</v>
      </c>
      <c r="C399" s="0" t="n">
        <v>81856.817</v>
      </c>
      <c r="D399" s="0" t="n">
        <v>27137.977</v>
      </c>
      <c r="E399" s="0" t="n">
        <v>54718.84</v>
      </c>
      <c r="F399" s="0" t="n">
        <v>31041.308</v>
      </c>
      <c r="G399" s="0" t="n">
        <v>22374.215</v>
      </c>
      <c r="H399" s="0" t="n">
        <v>8667.093</v>
      </c>
      <c r="I399" s="0" t="n">
        <v>6545.634</v>
      </c>
      <c r="J399" s="0" t="n">
        <v>17131.898</v>
      </c>
      <c r="K399" s="0" t="n">
        <v>38227.4825</v>
      </c>
      <c r="L399" s="0" t="n">
        <v>27537</v>
      </c>
      <c r="M399" s="0" t="n">
        <v>27304</v>
      </c>
      <c r="N399" s="0" t="n">
        <v>48</v>
      </c>
      <c r="O399" s="54" t="n">
        <f aca="false">YEAR(B399)</f>
        <v>2021</v>
      </c>
      <c r="P399" s="54" t="n">
        <f aca="false">IF(AND(E399&gt;=14400,K399&gt;0,L399&gt;0),1,0)</f>
        <v>1</v>
      </c>
      <c r="Q399" s="53" t="n">
        <f aca="false">IF(P399=1,F399/E399*MIN(L399/K399,1)*MIN(MAX(M399/L399,0),1),0)</f>
        <v>0.405185325315961</v>
      </c>
      <c r="R399" s="55" t="n">
        <f aca="false">IF(F399&gt;0,N399/(F399/3600),0)</f>
        <v>5.56677572994025</v>
      </c>
    </row>
    <row r="400" customFormat="false" ht="15" hidden="false" customHeight="false" outlineLevel="0" collapsed="false">
      <c r="A400" s="0" t="s">
        <v>258</v>
      </c>
      <c r="B400" s="52" t="n">
        <v>44236</v>
      </c>
      <c r="C400" s="0" t="n">
        <v>84915.205</v>
      </c>
      <c r="D400" s="0" t="n">
        <v>9913.657</v>
      </c>
      <c r="E400" s="0" t="n">
        <v>75001.548</v>
      </c>
      <c r="F400" s="0" t="n">
        <v>62029.61</v>
      </c>
      <c r="G400" s="0" t="n">
        <v>54349.208</v>
      </c>
      <c r="H400" s="0" t="n">
        <v>7680.402</v>
      </c>
      <c r="I400" s="0" t="n">
        <v>10999.428</v>
      </c>
      <c r="J400" s="0" t="n">
        <v>1972.51</v>
      </c>
      <c r="K400" s="0" t="n">
        <v>77617.4648611111</v>
      </c>
      <c r="L400" s="0" t="n">
        <v>67576</v>
      </c>
      <c r="M400" s="0" t="n">
        <v>67302</v>
      </c>
      <c r="N400" s="0" t="n">
        <v>81</v>
      </c>
      <c r="O400" s="54" t="n">
        <f aca="false">YEAR(B400)</f>
        <v>2021</v>
      </c>
      <c r="P400" s="54" t="n">
        <f aca="false">IF(AND(E400&gt;=14400,K400&gt;0,L400&gt;0),1,0)</f>
        <v>1</v>
      </c>
      <c r="Q400" s="53" t="n">
        <f aca="false">IF(P400=1,F400/E400*MIN(L400/K400,1)*MIN(MAX(M400/L400,0),1),0)</f>
        <v>0.717129090351598</v>
      </c>
      <c r="R400" s="55" t="n">
        <f aca="false">IF(F400&gt;0,N400/(F400/3600),0)</f>
        <v>4.70098070905169</v>
      </c>
    </row>
    <row r="401" customFormat="false" ht="15" hidden="false" customHeight="false" outlineLevel="0" collapsed="false">
      <c r="A401" s="0" t="s">
        <v>258</v>
      </c>
      <c r="B401" s="52" t="n">
        <v>44237</v>
      </c>
      <c r="C401" s="0" t="n">
        <v>75547.239</v>
      </c>
      <c r="D401" s="0" t="n">
        <v>3557.163</v>
      </c>
      <c r="E401" s="0" t="n">
        <v>71990.076</v>
      </c>
      <c r="F401" s="0" t="n">
        <v>54725.565</v>
      </c>
      <c r="G401" s="0" t="n">
        <v>44281.681</v>
      </c>
      <c r="H401" s="0" t="n">
        <v>10443.884</v>
      </c>
      <c r="I401" s="0" t="n">
        <v>14714.82</v>
      </c>
      <c r="J401" s="0" t="n">
        <v>2549.691</v>
      </c>
      <c r="K401" s="0" t="n">
        <v>67642.8089583333</v>
      </c>
      <c r="L401" s="0" t="n">
        <v>55747</v>
      </c>
      <c r="M401" s="0" t="n">
        <v>55413</v>
      </c>
      <c r="N401" s="0" t="n">
        <v>61</v>
      </c>
      <c r="O401" s="54" t="n">
        <f aca="false">YEAR(B401)</f>
        <v>2021</v>
      </c>
      <c r="P401" s="54" t="n">
        <f aca="false">IF(AND(E401&gt;=14400,K401&gt;0,L401&gt;0),1,0)</f>
        <v>1</v>
      </c>
      <c r="Q401" s="53" t="n">
        <f aca="false">IF(P401=1,F401/E401*MIN(L401/K401,1)*MIN(MAX(M401/L401,0),1),0)</f>
        <v>0.62274127433324</v>
      </c>
      <c r="R401" s="55" t="n">
        <f aca="false">IF(F401&gt;0,N401/(F401/3600),0)</f>
        <v>4.01274979984218</v>
      </c>
    </row>
    <row r="402" customFormat="false" ht="15" hidden="false" customHeight="false" outlineLevel="0" collapsed="false">
      <c r="A402" s="0" t="s">
        <v>258</v>
      </c>
      <c r="B402" s="52" t="n">
        <v>44238</v>
      </c>
      <c r="C402" s="0" t="n">
        <v>85080.208</v>
      </c>
      <c r="D402" s="0" t="n">
        <v>8091.669</v>
      </c>
      <c r="E402" s="0" t="n">
        <v>76988.539</v>
      </c>
      <c r="F402" s="0" t="n">
        <v>56526.161</v>
      </c>
      <c r="G402" s="0" t="n">
        <v>53762.461</v>
      </c>
      <c r="H402" s="0" t="n">
        <v>2763.7</v>
      </c>
      <c r="I402" s="0" t="n">
        <v>17581.097</v>
      </c>
      <c r="J402" s="0" t="n">
        <v>2881.281</v>
      </c>
      <c r="K402" s="0" t="n">
        <v>69770.2045416667</v>
      </c>
      <c r="L402" s="0" t="n">
        <v>65148</v>
      </c>
      <c r="M402" s="0" t="n">
        <v>64932</v>
      </c>
      <c r="N402" s="0" t="n">
        <v>67</v>
      </c>
      <c r="O402" s="54" t="n">
        <f aca="false">YEAR(B402)</f>
        <v>2021</v>
      </c>
      <c r="P402" s="54" t="n">
        <f aca="false">IF(AND(E402&gt;=14400,K402&gt;0,L402&gt;0),1,0)</f>
        <v>1</v>
      </c>
      <c r="Q402" s="53" t="n">
        <f aca="false">IF(P402=1,F402/E402*MIN(L402/K402,1)*MIN(MAX(M402/L402,0),1),0)</f>
        <v>0.683301221029947</v>
      </c>
      <c r="R402" s="55" t="n">
        <f aca="false">IF(F402&gt;0,N402/(F402/3600),0)</f>
        <v>4.26705079087186</v>
      </c>
    </row>
    <row r="403" customFormat="false" ht="15" hidden="false" customHeight="false" outlineLevel="0" collapsed="false">
      <c r="A403" s="0" t="s">
        <v>258</v>
      </c>
      <c r="B403" s="52" t="n">
        <v>44239</v>
      </c>
      <c r="C403" s="0" t="n">
        <v>80698.219</v>
      </c>
      <c r="D403" s="0" t="n">
        <v>7399.928</v>
      </c>
      <c r="E403" s="0" t="n">
        <v>73298.291</v>
      </c>
      <c r="F403" s="0" t="n">
        <v>55679.417</v>
      </c>
      <c r="G403" s="0" t="n">
        <v>50975.916</v>
      </c>
      <c r="H403" s="0" t="n">
        <v>4703.501</v>
      </c>
      <c r="I403" s="0" t="n">
        <v>15238.474</v>
      </c>
      <c r="J403" s="0" t="n">
        <v>2380.4</v>
      </c>
      <c r="K403" s="0" t="n">
        <v>69446.0997222222</v>
      </c>
      <c r="L403" s="0" t="n">
        <v>62252</v>
      </c>
      <c r="M403" s="0" t="n">
        <v>61987</v>
      </c>
      <c r="N403" s="0" t="n">
        <v>74</v>
      </c>
      <c r="O403" s="54" t="n">
        <f aca="false">YEAR(B403)</f>
        <v>2021</v>
      </c>
      <c r="P403" s="54" t="n">
        <f aca="false">IF(AND(E403&gt;=14400,K403&gt;0,L403&gt;0),1,0)</f>
        <v>1</v>
      </c>
      <c r="Q403" s="53" t="n">
        <f aca="false">IF(P403=1,F403/E403*MIN(L403/K403,1)*MIN(MAX(M403/L403,0),1),0)</f>
        <v>0.678037304934615</v>
      </c>
      <c r="R403" s="55" t="n">
        <f aca="false">IF(F403&gt;0,N403/(F403/3600),0)</f>
        <v>4.78453285529193</v>
      </c>
    </row>
    <row r="404" customFormat="false" ht="15" hidden="false" customHeight="false" outlineLevel="0" collapsed="false">
      <c r="A404" s="0" t="s">
        <v>258</v>
      </c>
      <c r="B404" s="52" t="n">
        <v>44240</v>
      </c>
      <c r="C404" s="0" t="n">
        <v>34741.848</v>
      </c>
      <c r="D404" s="0" t="n">
        <v>799.73</v>
      </c>
      <c r="E404" s="0" t="n">
        <v>33942.118</v>
      </c>
      <c r="F404" s="0" t="n">
        <v>13566.252</v>
      </c>
      <c r="G404" s="0" t="n">
        <v>11475.328</v>
      </c>
      <c r="H404" s="0" t="n">
        <v>2090.924</v>
      </c>
      <c r="I404" s="0" t="n">
        <v>8313.809</v>
      </c>
      <c r="J404" s="0" t="n">
        <v>12062.057</v>
      </c>
      <c r="K404" s="0" t="n">
        <v>16957.815</v>
      </c>
      <c r="L404" s="0" t="n">
        <v>14210</v>
      </c>
      <c r="M404" s="0" t="n">
        <v>14072</v>
      </c>
      <c r="N404" s="0" t="n">
        <v>33</v>
      </c>
      <c r="O404" s="54" t="n">
        <f aca="false">YEAR(B404)</f>
        <v>2021</v>
      </c>
      <c r="P404" s="54" t="n">
        <f aca="false">IF(AND(E404&gt;=14400,K404&gt;0,L404&gt;0),1,0)</f>
        <v>1</v>
      </c>
      <c r="Q404" s="53" t="n">
        <f aca="false">IF(P404=1,F404/E404*MIN(L404/K404,1)*MIN(MAX(M404/L404,0),1),0)</f>
        <v>0.331670522151859</v>
      </c>
      <c r="R404" s="55" t="n">
        <f aca="false">IF(F404&gt;0,N404/(F404/3600),0)</f>
        <v>8.75702441617626</v>
      </c>
    </row>
    <row r="405" customFormat="false" ht="15" hidden="false" customHeight="false" outlineLevel="0" collapsed="false">
      <c r="A405" s="0" t="s">
        <v>258</v>
      </c>
      <c r="B405" s="52" t="n">
        <v>44241</v>
      </c>
      <c r="C405" s="0" t="n">
        <v>83060.097</v>
      </c>
      <c r="D405" s="0" t="n">
        <v>16341.32</v>
      </c>
      <c r="E405" s="0" t="n">
        <v>66718.777</v>
      </c>
      <c r="F405" s="0" t="n">
        <v>53492.07</v>
      </c>
      <c r="G405" s="0" t="n">
        <v>48408.94</v>
      </c>
      <c r="H405" s="0" t="n">
        <v>5083.13</v>
      </c>
      <c r="I405" s="0" t="n">
        <v>4559.619</v>
      </c>
      <c r="J405" s="0" t="n">
        <v>8667.088</v>
      </c>
      <c r="K405" s="0" t="n">
        <v>66730.2145833333</v>
      </c>
      <c r="L405" s="0" t="n">
        <v>60301</v>
      </c>
      <c r="M405" s="0" t="n">
        <v>60089</v>
      </c>
      <c r="N405" s="0" t="n">
        <v>45</v>
      </c>
      <c r="O405" s="54" t="n">
        <f aca="false">YEAR(B405)</f>
        <v>2021</v>
      </c>
      <c r="P405" s="54" t="n">
        <f aca="false">IF(AND(E405&gt;=14400,K405&gt;0,L405&gt;0),1,0)</f>
        <v>1</v>
      </c>
      <c r="Q405" s="53" t="n">
        <f aca="false">IF(P405=1,F405/E405*MIN(L405/K405,1)*MIN(MAX(M405/L405,0),1),0)</f>
        <v>0.721961074460468</v>
      </c>
      <c r="R405" s="55" t="n">
        <f aca="false">IF(F405&gt;0,N405/(F405/3600),0)</f>
        <v>3.02848627843342</v>
      </c>
    </row>
    <row r="406" customFormat="false" ht="15" hidden="false" customHeight="false" outlineLevel="0" collapsed="false">
      <c r="A406" s="0" t="s">
        <v>258</v>
      </c>
      <c r="B406" s="52" t="n">
        <v>44242</v>
      </c>
      <c r="C406" s="0" t="n">
        <v>83887.15</v>
      </c>
      <c r="D406" s="0" t="n">
        <v>8058.089</v>
      </c>
      <c r="E406" s="0" t="n">
        <v>75829.061</v>
      </c>
      <c r="F406" s="0" t="n">
        <v>63912.21</v>
      </c>
      <c r="G406" s="0" t="n">
        <v>57428.119</v>
      </c>
      <c r="H406" s="0" t="n">
        <v>6484.091</v>
      </c>
      <c r="I406" s="0" t="n">
        <v>10769.881</v>
      </c>
      <c r="J406" s="0" t="n">
        <v>1146.97</v>
      </c>
      <c r="K406" s="0" t="n">
        <v>79700.8430555556</v>
      </c>
      <c r="L406" s="0" t="n">
        <v>70381</v>
      </c>
      <c r="M406" s="0" t="n">
        <v>70099</v>
      </c>
      <c r="N406" s="0" t="n">
        <v>58</v>
      </c>
      <c r="O406" s="54" t="n">
        <f aca="false">YEAR(B406)</f>
        <v>2021</v>
      </c>
      <c r="P406" s="54" t="n">
        <f aca="false">IF(AND(E406&gt;=14400,K406&gt;0,L406&gt;0),1,0)</f>
        <v>1</v>
      </c>
      <c r="Q406" s="53" t="n">
        <f aca="false">IF(P406=1,F406/E406*MIN(L406/K406,1)*MIN(MAX(M406/L406,0),1),0)</f>
        <v>0.741305230326844</v>
      </c>
      <c r="R406" s="55" t="n">
        <f aca="false">IF(F406&gt;0,N406/(F406/3600),0)</f>
        <v>3.26698137961432</v>
      </c>
    </row>
    <row r="407" customFormat="false" ht="15" hidden="false" customHeight="false" outlineLevel="0" collapsed="false">
      <c r="A407" s="0" t="s">
        <v>258</v>
      </c>
      <c r="B407" s="52" t="n">
        <v>44243</v>
      </c>
      <c r="C407" s="0" t="n">
        <v>82514.996</v>
      </c>
      <c r="D407" s="0" t="n">
        <v>5055.729</v>
      </c>
      <c r="E407" s="0" t="n">
        <v>77459.267</v>
      </c>
      <c r="F407" s="0" t="n">
        <v>61064.009</v>
      </c>
      <c r="G407" s="0" t="n">
        <v>48386.325</v>
      </c>
      <c r="H407" s="0" t="n">
        <v>12677.684</v>
      </c>
      <c r="I407" s="0" t="n">
        <v>14450.57</v>
      </c>
      <c r="J407" s="0" t="n">
        <v>1944.688</v>
      </c>
      <c r="K407" s="0" t="n">
        <v>75736.1779166667</v>
      </c>
      <c r="L407" s="0" t="n">
        <v>58538</v>
      </c>
      <c r="M407" s="0" t="n">
        <v>58080</v>
      </c>
      <c r="N407" s="0" t="n">
        <v>83</v>
      </c>
      <c r="O407" s="54" t="n">
        <f aca="false">YEAR(B407)</f>
        <v>2021</v>
      </c>
      <c r="P407" s="54" t="n">
        <f aca="false">IF(AND(E407&gt;=14400,K407&gt;0,L407&gt;0),1,0)</f>
        <v>1</v>
      </c>
      <c r="Q407" s="53" t="n">
        <f aca="false">IF(P407=1,F407/E407*MIN(L407/K407,1)*MIN(MAX(M407/L407,0),1),0)</f>
        <v>0.604554076297818</v>
      </c>
      <c r="R407" s="55" t="n">
        <f aca="false">IF(F407&gt;0,N407/(F407/3600),0)</f>
        <v>4.89322605726722</v>
      </c>
    </row>
    <row r="408" customFormat="false" ht="15" hidden="false" customHeight="false" outlineLevel="0" collapsed="false">
      <c r="A408" s="0" t="s">
        <v>258</v>
      </c>
      <c r="B408" s="52" t="n">
        <v>44244</v>
      </c>
      <c r="C408" s="0" t="n">
        <v>87374.745</v>
      </c>
      <c r="D408" s="0" t="n">
        <v>7619.111</v>
      </c>
      <c r="E408" s="0" t="n">
        <v>79755.634</v>
      </c>
      <c r="F408" s="0" t="n">
        <v>63217.396</v>
      </c>
      <c r="G408" s="0" t="n">
        <v>39701.568</v>
      </c>
      <c r="H408" s="0" t="n">
        <v>23515.828</v>
      </c>
      <c r="I408" s="0" t="n">
        <v>4059.628</v>
      </c>
      <c r="J408" s="0" t="n">
        <v>12478.61</v>
      </c>
      <c r="K408" s="0" t="n">
        <v>79021.745</v>
      </c>
      <c r="L408" s="0" t="n">
        <v>49411</v>
      </c>
      <c r="M408" s="0" t="n">
        <v>49250</v>
      </c>
      <c r="N408" s="0" t="n">
        <v>37</v>
      </c>
      <c r="O408" s="54" t="n">
        <f aca="false">YEAR(B408)</f>
        <v>2021</v>
      </c>
      <c r="P408" s="54" t="n">
        <f aca="false">IF(AND(E408&gt;=14400,K408&gt;0,L408&gt;0),1,0)</f>
        <v>1</v>
      </c>
      <c r="Q408" s="53" t="n">
        <f aca="false">IF(P408=1,F408/E408*MIN(L408/K408,1)*MIN(MAX(M408/L408,0),1),0)</f>
        <v>0.494008987503002</v>
      </c>
      <c r="R408" s="55" t="n">
        <f aca="false">IF(F408&gt;0,N408/(F408/3600),0)</f>
        <v>2.10701497416945</v>
      </c>
    </row>
    <row r="409" customFormat="false" ht="15" hidden="false" customHeight="false" outlineLevel="0" collapsed="false">
      <c r="A409" s="0" t="s">
        <v>258</v>
      </c>
      <c r="B409" s="52" t="n">
        <v>44245</v>
      </c>
      <c r="C409" s="0" t="n">
        <v>6689.28</v>
      </c>
      <c r="D409" s="0" t="n">
        <v>1135.3</v>
      </c>
      <c r="E409" s="0" t="n">
        <v>5553.98</v>
      </c>
      <c r="F409" s="0" t="n">
        <v>5094.06</v>
      </c>
      <c r="G409" s="0" t="n">
        <v>2755.16</v>
      </c>
      <c r="H409" s="0" t="n">
        <v>2338.9</v>
      </c>
      <c r="I409" s="0" t="n">
        <v>227.61</v>
      </c>
      <c r="J409" s="0" t="n">
        <v>232.31</v>
      </c>
      <c r="K409" s="0" t="n">
        <v>6367.575</v>
      </c>
      <c r="L409" s="0" t="n">
        <v>3481</v>
      </c>
      <c r="M409" s="0" t="n">
        <v>3472</v>
      </c>
      <c r="N409" s="0" t="n">
        <v>2</v>
      </c>
      <c r="O409" s="54" t="n">
        <f aca="false">YEAR(B409)</f>
        <v>2021</v>
      </c>
      <c r="P409" s="54" t="n">
        <f aca="false">IF(AND(E409&gt;=14400,K409&gt;0,L409&gt;0),1,0)</f>
        <v>0</v>
      </c>
      <c r="Q409" s="53" t="n">
        <f aca="false">IF(P409=1,F409/E409*MIN(L409/K409,1)*MIN(MAX(M409/L409,0),1),0)</f>
        <v>0</v>
      </c>
      <c r="R409" s="55" t="n">
        <f aca="false">IF(F409&gt;0,N409/(F409/3600),0)</f>
        <v>1.41341091388794</v>
      </c>
    </row>
    <row r="410" customFormat="false" ht="15" hidden="false" customHeight="false" outlineLevel="0" collapsed="false">
      <c r="A410" s="0" t="s">
        <v>258</v>
      </c>
      <c r="B410" s="52" t="n">
        <v>44272</v>
      </c>
      <c r="C410" s="0" t="n">
        <v>69139.526</v>
      </c>
      <c r="D410" s="0" t="n">
        <v>9884.857</v>
      </c>
      <c r="E410" s="0" t="n">
        <v>59254.669</v>
      </c>
      <c r="F410" s="0" t="n">
        <v>23085.443</v>
      </c>
      <c r="G410" s="0" t="n">
        <v>13928.979</v>
      </c>
      <c r="H410" s="0" t="n">
        <v>9156.464</v>
      </c>
      <c r="I410" s="0" t="n">
        <v>9014.33</v>
      </c>
      <c r="J410" s="0" t="n">
        <v>27154.896</v>
      </c>
      <c r="K410" s="0" t="n">
        <v>28141.87125</v>
      </c>
      <c r="L410" s="0" t="n">
        <v>16669</v>
      </c>
      <c r="M410" s="0" t="n">
        <v>15828</v>
      </c>
      <c r="N410" s="0" t="n">
        <v>76</v>
      </c>
      <c r="O410" s="54" t="n">
        <f aca="false">YEAR(B410)</f>
        <v>2021</v>
      </c>
      <c r="P410" s="54" t="n">
        <f aca="false">IF(AND(E410&gt;=14400,K410&gt;0,L410&gt;0),1,0)</f>
        <v>1</v>
      </c>
      <c r="Q410" s="53" t="n">
        <f aca="false">IF(P410=1,F410/E410*MIN(L410/K410,1)*MIN(MAX(M410/L410,0),1),0)</f>
        <v>0.219123373889807</v>
      </c>
      <c r="R410" s="55" t="n">
        <f aca="false">IF(F410&gt;0,N410/(F410/3600),0)</f>
        <v>11.8516244197696</v>
      </c>
    </row>
    <row r="411" customFormat="false" ht="15" hidden="false" customHeight="false" outlineLevel="0" collapsed="false">
      <c r="A411" s="0" t="s">
        <v>258</v>
      </c>
      <c r="B411" s="52" t="n">
        <v>44273</v>
      </c>
      <c r="C411" s="0" t="n">
        <v>84134.458</v>
      </c>
      <c r="D411" s="0" t="n">
        <v>10938.698</v>
      </c>
      <c r="E411" s="0" t="n">
        <v>73195.76</v>
      </c>
      <c r="F411" s="0" t="n">
        <v>50536.11</v>
      </c>
      <c r="G411" s="0" t="n">
        <v>40319.315</v>
      </c>
      <c r="H411" s="0" t="n">
        <v>10216.795</v>
      </c>
      <c r="I411" s="0" t="n">
        <v>12814.758</v>
      </c>
      <c r="J411" s="0" t="n">
        <v>9844.892</v>
      </c>
      <c r="K411" s="0" t="n">
        <v>60842.8534027778</v>
      </c>
      <c r="L411" s="0" t="n">
        <v>47070</v>
      </c>
      <c r="M411" s="0" t="n">
        <v>46847</v>
      </c>
      <c r="N411" s="0" t="n">
        <v>68</v>
      </c>
      <c r="O411" s="54" t="n">
        <f aca="false">YEAR(B411)</f>
        <v>2021</v>
      </c>
      <c r="P411" s="54" t="n">
        <f aca="false">IF(AND(E411&gt;=14400,K411&gt;0,L411&gt;0),1,0)</f>
        <v>1</v>
      </c>
      <c r="Q411" s="53" t="n">
        <f aca="false">IF(P411=1,F411/E411*MIN(L411/K411,1)*MIN(MAX(M411/L411,0),1),0)</f>
        <v>0.531603823648148</v>
      </c>
      <c r="R411" s="55" t="n">
        <f aca="false">IF(F411&gt;0,N411/(F411/3600),0)</f>
        <v>4.84406100904878</v>
      </c>
    </row>
    <row r="412" customFormat="false" ht="15" hidden="false" customHeight="false" outlineLevel="0" collapsed="false">
      <c r="A412" s="0" t="s">
        <v>258</v>
      </c>
      <c r="B412" s="52" t="n">
        <v>44274</v>
      </c>
      <c r="C412" s="0" t="n">
        <v>86401.417</v>
      </c>
      <c r="D412" s="0" t="n">
        <v>10240.624</v>
      </c>
      <c r="E412" s="0" t="n">
        <v>76160.793</v>
      </c>
      <c r="F412" s="0" t="n">
        <v>52105.607</v>
      </c>
      <c r="G412" s="0" t="n">
        <v>48448.89</v>
      </c>
      <c r="H412" s="0" t="n">
        <v>3656.717</v>
      </c>
      <c r="I412" s="0" t="n">
        <v>21681.813</v>
      </c>
      <c r="J412" s="0" t="n">
        <v>2373.373</v>
      </c>
      <c r="K412" s="0" t="n">
        <v>64916.0527083333</v>
      </c>
      <c r="L412" s="0" t="n">
        <v>59931</v>
      </c>
      <c r="M412" s="0" t="n">
        <v>59604</v>
      </c>
      <c r="N412" s="0" t="n">
        <v>141</v>
      </c>
      <c r="O412" s="54" t="n">
        <f aca="false">YEAR(B412)</f>
        <v>2021</v>
      </c>
      <c r="P412" s="54" t="n">
        <f aca="false">IF(AND(E412&gt;=14400,K412&gt;0,L412&gt;0),1,0)</f>
        <v>1</v>
      </c>
      <c r="Q412" s="53" t="n">
        <f aca="false">IF(P412=1,F412/E412*MIN(L412/K412,1)*MIN(MAX(M412/L412,0),1),0)</f>
        <v>0.628168716169133</v>
      </c>
      <c r="R412" s="55" t="n">
        <f aca="false">IF(F412&gt;0,N412/(F412/3600),0)</f>
        <v>9.74175389608262</v>
      </c>
    </row>
    <row r="413" customFormat="false" ht="15" hidden="false" customHeight="false" outlineLevel="0" collapsed="false">
      <c r="A413" s="0" t="s">
        <v>258</v>
      </c>
      <c r="B413" s="52" t="n">
        <v>44275</v>
      </c>
      <c r="C413" s="0" t="n">
        <v>28272.708</v>
      </c>
      <c r="D413" s="0" t="n">
        <v>1226.507</v>
      </c>
      <c r="E413" s="0" t="n">
        <v>27046.201</v>
      </c>
      <c r="F413" s="0" t="n">
        <v>22602.42</v>
      </c>
      <c r="G413" s="0" t="n">
        <v>19707.882</v>
      </c>
      <c r="H413" s="0" t="n">
        <v>2894.538</v>
      </c>
      <c r="I413" s="0" t="n">
        <v>3217.47</v>
      </c>
      <c r="J413" s="0" t="n">
        <v>1226.311</v>
      </c>
      <c r="K413" s="0" t="n">
        <v>28253.025</v>
      </c>
      <c r="L413" s="0" t="n">
        <v>24496</v>
      </c>
      <c r="M413" s="0" t="n">
        <v>24427</v>
      </c>
      <c r="N413" s="0" t="n">
        <v>34</v>
      </c>
      <c r="O413" s="54" t="n">
        <f aca="false">YEAR(B413)</f>
        <v>2021</v>
      </c>
      <c r="P413" s="54" t="n">
        <f aca="false">IF(AND(E413&gt;=14400,K413&gt;0,L413&gt;0),1,0)</f>
        <v>1</v>
      </c>
      <c r="Q413" s="53" t="n">
        <f aca="false">IF(P413=1,F413/E413*MIN(L413/K413,1)*MIN(MAX(M413/L413,0),1),0)</f>
        <v>0.722526612887333</v>
      </c>
      <c r="R413" s="55" t="n">
        <f aca="false">IF(F413&gt;0,N413/(F413/3600),0)</f>
        <v>5.41534932985052</v>
      </c>
    </row>
    <row r="414" customFormat="false" ht="15" hidden="false" customHeight="false" outlineLevel="0" collapsed="false">
      <c r="A414" s="0" t="s">
        <v>258</v>
      </c>
      <c r="B414" s="52" t="n">
        <v>44276</v>
      </c>
      <c r="C414" s="0" t="n">
        <v>79473.13</v>
      </c>
      <c r="D414" s="0" t="n">
        <v>16925.07</v>
      </c>
      <c r="E414" s="0" t="n">
        <v>62548.06</v>
      </c>
      <c r="F414" s="0" t="n">
        <v>28027.99</v>
      </c>
      <c r="G414" s="0" t="n">
        <v>22813.251</v>
      </c>
      <c r="H414" s="0" t="n">
        <v>5214.739</v>
      </c>
      <c r="I414" s="0" t="n">
        <v>4031.825</v>
      </c>
      <c r="J414" s="0" t="n">
        <v>30488.245</v>
      </c>
      <c r="K414" s="0" t="n">
        <v>35034.9875</v>
      </c>
      <c r="L414" s="0" t="n">
        <v>27220</v>
      </c>
      <c r="M414" s="0" t="n">
        <v>27161</v>
      </c>
      <c r="N414" s="0" t="n">
        <v>33</v>
      </c>
      <c r="O414" s="54" t="n">
        <f aca="false">YEAR(B414)</f>
        <v>2021</v>
      </c>
      <c r="P414" s="54" t="n">
        <f aca="false">IF(AND(E414&gt;=14400,K414&gt;0,L414&gt;0),1,0)</f>
        <v>1</v>
      </c>
      <c r="Q414" s="53" t="n">
        <f aca="false">IF(P414=1,F414/E414*MIN(L414/K414,1)*MIN(MAX(M414/L414,0),1),0)</f>
        <v>0.347393668164928</v>
      </c>
      <c r="R414" s="55" t="n">
        <f aca="false">IF(F414&gt;0,N414/(F414/3600),0)</f>
        <v>4.2386200366134</v>
      </c>
    </row>
    <row r="415" customFormat="false" ht="15" hidden="false" customHeight="false" outlineLevel="0" collapsed="false">
      <c r="A415" s="0" t="s">
        <v>258</v>
      </c>
      <c r="B415" s="52" t="n">
        <v>44277</v>
      </c>
      <c r="C415" s="0" t="n">
        <v>91429.626</v>
      </c>
      <c r="D415" s="0" t="n">
        <v>8316.985</v>
      </c>
      <c r="E415" s="0" t="n">
        <v>83112.641</v>
      </c>
      <c r="F415" s="0" t="n">
        <v>56143.41</v>
      </c>
      <c r="G415" s="0" t="n">
        <v>47507.242</v>
      </c>
      <c r="H415" s="0" t="n">
        <v>8636.168</v>
      </c>
      <c r="I415" s="0" t="n">
        <v>10452.975</v>
      </c>
      <c r="J415" s="0" t="n">
        <v>16516.256</v>
      </c>
      <c r="K415" s="0" t="n">
        <v>68371.4909027778</v>
      </c>
      <c r="L415" s="0" t="n">
        <v>57636</v>
      </c>
      <c r="M415" s="0" t="n">
        <v>57527</v>
      </c>
      <c r="N415" s="0" t="n">
        <v>63</v>
      </c>
      <c r="O415" s="54" t="n">
        <f aca="false">YEAR(B415)</f>
        <v>2021</v>
      </c>
      <c r="P415" s="54" t="n">
        <f aca="false">IF(AND(E415&gt;=14400,K415&gt;0,L415&gt;0),1,0)</f>
        <v>1</v>
      </c>
      <c r="Q415" s="53" t="n">
        <f aca="false">IF(P415=1,F415/E415*MIN(L415/K415,1)*MIN(MAX(M415/L415,0),1),0)</f>
        <v>0.568366379772331</v>
      </c>
      <c r="R415" s="55" t="n">
        <f aca="false">IF(F415&gt;0,N415/(F415/3600),0)</f>
        <v>4.03965487668099</v>
      </c>
    </row>
    <row r="416" customFormat="false" ht="15" hidden="false" customHeight="false" outlineLevel="0" collapsed="false">
      <c r="A416" s="0" t="s">
        <v>258</v>
      </c>
      <c r="B416" s="52" t="n">
        <v>44278</v>
      </c>
      <c r="C416" s="0" t="n">
        <v>83471.324</v>
      </c>
      <c r="D416" s="0" t="n">
        <v>3872.44</v>
      </c>
      <c r="E416" s="0" t="n">
        <v>79598.884</v>
      </c>
      <c r="F416" s="0" t="n">
        <v>63967.827</v>
      </c>
      <c r="G416" s="0" t="n">
        <v>59263.635</v>
      </c>
      <c r="H416" s="0" t="n">
        <v>4704.192</v>
      </c>
      <c r="I416" s="0" t="n">
        <v>11270.345</v>
      </c>
      <c r="J416" s="0" t="n">
        <v>4360.712</v>
      </c>
      <c r="K416" s="0" t="n">
        <v>79705.1697916667</v>
      </c>
      <c r="L416" s="0" t="n">
        <v>73408</v>
      </c>
      <c r="M416" s="0" t="n">
        <v>73213</v>
      </c>
      <c r="N416" s="0" t="n">
        <v>119</v>
      </c>
      <c r="O416" s="54" t="n">
        <f aca="false">YEAR(B416)</f>
        <v>2021</v>
      </c>
      <c r="P416" s="54" t="n">
        <f aca="false">IF(AND(E416&gt;=14400,K416&gt;0,L416&gt;0),1,0)</f>
        <v>1</v>
      </c>
      <c r="Q416" s="53" t="n">
        <f aca="false">IF(P416=1,F416/E416*MIN(L416/K416,1)*MIN(MAX(M416/L416,0),1),0)</f>
        <v>0.738169897603774</v>
      </c>
      <c r="R416" s="55" t="n">
        <f aca="false">IF(F416&gt;0,N416/(F416/3600),0)</f>
        <v>6.69711666147421</v>
      </c>
    </row>
    <row r="417" customFormat="false" ht="15" hidden="false" customHeight="false" outlineLevel="0" collapsed="false">
      <c r="A417" s="0" t="s">
        <v>258</v>
      </c>
      <c r="B417" s="52" t="n">
        <v>44279</v>
      </c>
      <c r="C417" s="0" t="n">
        <v>82472.386</v>
      </c>
      <c r="D417" s="0" t="n">
        <v>8245.319</v>
      </c>
      <c r="E417" s="0" t="n">
        <v>74227.067</v>
      </c>
      <c r="F417" s="0" t="n">
        <v>54152.373</v>
      </c>
      <c r="G417" s="0" t="n">
        <v>45068.402</v>
      </c>
      <c r="H417" s="0" t="n">
        <v>9083.971</v>
      </c>
      <c r="I417" s="0" t="n">
        <v>8044.314</v>
      </c>
      <c r="J417" s="0" t="n">
        <v>12030.38</v>
      </c>
      <c r="K417" s="0" t="n">
        <v>67690.46625</v>
      </c>
      <c r="L417" s="0" t="n">
        <v>54924</v>
      </c>
      <c r="M417" s="0" t="n">
        <v>54795</v>
      </c>
      <c r="N417" s="0" t="n">
        <v>54</v>
      </c>
      <c r="O417" s="54" t="n">
        <f aca="false">YEAR(B417)</f>
        <v>2021</v>
      </c>
      <c r="P417" s="54" t="n">
        <f aca="false">IF(AND(E417&gt;=14400,K417&gt;0,L417&gt;0),1,0)</f>
        <v>1</v>
      </c>
      <c r="Q417" s="53" t="n">
        <f aca="false">IF(P417=1,F417/E417*MIN(L417/K417,1)*MIN(MAX(M417/L417,0),1),0)</f>
        <v>0.590566241826583</v>
      </c>
      <c r="R417" s="55" t="n">
        <f aca="false">IF(F417&gt;0,N417/(F417/3600),0)</f>
        <v>3.58987038296549</v>
      </c>
    </row>
    <row r="418" customFormat="false" ht="15" hidden="false" customHeight="false" outlineLevel="0" collapsed="false">
      <c r="A418" s="0" t="s">
        <v>258</v>
      </c>
      <c r="B418" s="52" t="n">
        <v>44280</v>
      </c>
      <c r="C418" s="0" t="n">
        <v>86480.279</v>
      </c>
      <c r="D418" s="0" t="n">
        <v>7791.039</v>
      </c>
      <c r="E418" s="0" t="n">
        <v>78689.24</v>
      </c>
      <c r="F418" s="0" t="n">
        <v>60535.152</v>
      </c>
      <c r="G418" s="0" t="n">
        <v>56132.99</v>
      </c>
      <c r="H418" s="0" t="n">
        <v>4402.162</v>
      </c>
      <c r="I418" s="0" t="n">
        <v>17470.768</v>
      </c>
      <c r="J418" s="0" t="n">
        <v>683.32</v>
      </c>
      <c r="K418" s="0" t="n">
        <v>75487.92125</v>
      </c>
      <c r="L418" s="0" t="n">
        <v>69673</v>
      </c>
      <c r="M418" s="0" t="n">
        <v>69482</v>
      </c>
      <c r="N418" s="0" t="n">
        <v>80</v>
      </c>
      <c r="O418" s="54" t="n">
        <f aca="false">YEAR(B418)</f>
        <v>2021</v>
      </c>
      <c r="P418" s="54" t="n">
        <f aca="false">IF(AND(E418&gt;=14400,K418&gt;0,L418&gt;0),1,0)</f>
        <v>1</v>
      </c>
      <c r="Q418" s="53" t="n">
        <f aca="false">IF(P418=1,F418/E418*MIN(L418/K418,1)*MIN(MAX(M418/L418,0),1),0)</f>
        <v>0.708087831607893</v>
      </c>
      <c r="R418" s="55" t="n">
        <f aca="false">IF(F418&gt;0,N418/(F418/3600),0)</f>
        <v>4.75756631452747</v>
      </c>
    </row>
    <row r="419" customFormat="false" ht="15" hidden="false" customHeight="false" outlineLevel="0" collapsed="false">
      <c r="A419" s="0" t="s">
        <v>258</v>
      </c>
      <c r="B419" s="52" t="n">
        <v>44281</v>
      </c>
      <c r="C419" s="0" t="n">
        <v>3971.6</v>
      </c>
      <c r="D419" s="0" t="n">
        <v>0</v>
      </c>
      <c r="E419" s="0" t="n">
        <v>3971.6</v>
      </c>
      <c r="F419" s="0" t="n">
        <v>2757.69</v>
      </c>
      <c r="G419" s="0" t="n">
        <v>2270.69</v>
      </c>
      <c r="H419" s="0" t="n">
        <v>487</v>
      </c>
      <c r="I419" s="0" t="n">
        <v>1213.91</v>
      </c>
      <c r="J419" s="0" t="n">
        <v>0</v>
      </c>
      <c r="K419" s="0" t="n">
        <v>3447.1125</v>
      </c>
      <c r="L419" s="0" t="n">
        <v>1741</v>
      </c>
      <c r="M419" s="0" t="n">
        <v>1734</v>
      </c>
      <c r="N419" s="0" t="n">
        <v>6</v>
      </c>
      <c r="O419" s="54" t="n">
        <f aca="false">YEAR(B419)</f>
        <v>2021</v>
      </c>
      <c r="P419" s="54" t="n">
        <f aca="false">IF(AND(E419&gt;=14400,K419&gt;0,L419&gt;0),1,0)</f>
        <v>0</v>
      </c>
      <c r="Q419" s="53" t="n">
        <f aca="false">IF(P419=1,F419/E419*MIN(L419/K419,1)*MIN(MAX(M419/L419,0),1),0)</f>
        <v>0</v>
      </c>
      <c r="R419" s="55" t="n">
        <f aca="false">IF(F419&gt;0,N419/(F419/3600),0)</f>
        <v>7.83264253777618</v>
      </c>
    </row>
    <row r="420" customFormat="false" ht="15" hidden="false" customHeight="false" outlineLevel="0" collapsed="false">
      <c r="A420" s="0" t="s">
        <v>258</v>
      </c>
      <c r="B420" s="52" t="n">
        <v>44300</v>
      </c>
      <c r="C420" s="0" t="n">
        <v>68131.995</v>
      </c>
      <c r="D420" s="0" t="n">
        <v>11599.565</v>
      </c>
      <c r="E420" s="0" t="n">
        <v>56532.43</v>
      </c>
      <c r="F420" s="0" t="n">
        <v>46761.152</v>
      </c>
      <c r="G420" s="0" t="n">
        <v>42214.471</v>
      </c>
      <c r="H420" s="0" t="n">
        <v>4546.681</v>
      </c>
      <c r="I420" s="0" t="n">
        <v>3054.336</v>
      </c>
      <c r="J420" s="0" t="n">
        <v>6716.942</v>
      </c>
      <c r="K420" s="0" t="n">
        <v>57878.2232638889</v>
      </c>
      <c r="L420" s="0" t="n">
        <v>52226</v>
      </c>
      <c r="M420" s="0" t="n">
        <v>52031</v>
      </c>
      <c r="N420" s="0" t="n">
        <v>21</v>
      </c>
      <c r="O420" s="54" t="n">
        <f aca="false">YEAR(B420)</f>
        <v>2021</v>
      </c>
      <c r="P420" s="54" t="n">
        <f aca="false">IF(AND(E420&gt;=14400,K420&gt;0,L420&gt;0),1,0)</f>
        <v>1</v>
      </c>
      <c r="Q420" s="53" t="n">
        <f aca="false">IF(P420=1,F420/E420*MIN(L420/K420,1)*MIN(MAX(M420/L420,0),1),0)</f>
        <v>0.743591694396208</v>
      </c>
      <c r="R420" s="55" t="n">
        <f aca="false">IF(F420&gt;0,N420/(F420/3600),0)</f>
        <v>1.61672663667482</v>
      </c>
    </row>
    <row r="421" customFormat="false" ht="15" hidden="false" customHeight="false" outlineLevel="0" collapsed="false">
      <c r="A421" s="0" t="s">
        <v>258</v>
      </c>
      <c r="B421" s="52" t="n">
        <v>44301</v>
      </c>
      <c r="C421" s="0" t="n">
        <v>85095.664</v>
      </c>
      <c r="D421" s="0" t="n">
        <v>7384.859</v>
      </c>
      <c r="E421" s="0" t="n">
        <v>77710.805</v>
      </c>
      <c r="F421" s="0" t="n">
        <v>64269.121</v>
      </c>
      <c r="G421" s="0" t="n">
        <v>53072.524</v>
      </c>
      <c r="H421" s="0" t="n">
        <v>11196.597</v>
      </c>
      <c r="I421" s="0" t="n">
        <v>10791.2</v>
      </c>
      <c r="J421" s="0" t="n">
        <v>2650.484</v>
      </c>
      <c r="K421" s="0" t="n">
        <v>80336.40125</v>
      </c>
      <c r="L421" s="0" t="n">
        <v>64992</v>
      </c>
      <c r="M421" s="0" t="n">
        <v>64643</v>
      </c>
      <c r="N421" s="0" t="n">
        <v>59</v>
      </c>
      <c r="O421" s="54" t="n">
        <f aca="false">YEAR(B421)</f>
        <v>2021</v>
      </c>
      <c r="P421" s="54" t="n">
        <f aca="false">IF(AND(E421&gt;=14400,K421&gt;0,L421&gt;0),1,0)</f>
        <v>1</v>
      </c>
      <c r="Q421" s="53" t="n">
        <f aca="false">IF(P421=1,F421/E421*MIN(L421/K421,1)*MIN(MAX(M421/L421,0),1),0)</f>
        <v>0.665472452640273</v>
      </c>
      <c r="R421" s="55" t="n">
        <f aca="false">IF(F421&gt;0,N421/(F421/3600),0)</f>
        <v>3.30485304132291</v>
      </c>
    </row>
    <row r="422" customFormat="false" ht="15" hidden="false" customHeight="false" outlineLevel="0" collapsed="false">
      <c r="A422" s="0" t="s">
        <v>258</v>
      </c>
      <c r="B422" s="52" t="n">
        <v>44302</v>
      </c>
      <c r="C422" s="0" t="n">
        <v>82404.126</v>
      </c>
      <c r="D422" s="0" t="n">
        <v>4088.575</v>
      </c>
      <c r="E422" s="0" t="n">
        <v>78315.551</v>
      </c>
      <c r="F422" s="0" t="n">
        <v>72986.194</v>
      </c>
      <c r="G422" s="0" t="n">
        <v>61276.638</v>
      </c>
      <c r="H422" s="0" t="n">
        <v>11709.556</v>
      </c>
      <c r="I422" s="0" t="n">
        <v>4337.023</v>
      </c>
      <c r="J422" s="0" t="n">
        <v>992.334</v>
      </c>
      <c r="K422" s="0" t="n">
        <v>88095.1022916667</v>
      </c>
      <c r="L422" s="0" t="n">
        <v>72780</v>
      </c>
      <c r="M422" s="0" t="n">
        <v>72444</v>
      </c>
      <c r="N422" s="0" t="n">
        <v>29</v>
      </c>
      <c r="O422" s="54" t="n">
        <f aca="false">YEAR(B422)</f>
        <v>2021</v>
      </c>
      <c r="P422" s="54" t="n">
        <f aca="false">IF(AND(E422&gt;=14400,K422&gt;0,L422&gt;0),1,0)</f>
        <v>1</v>
      </c>
      <c r="Q422" s="53" t="n">
        <f aca="false">IF(P422=1,F422/E422*MIN(L422/K422,1)*MIN(MAX(M422/L422,0),1),0)</f>
        <v>0.766378596213504</v>
      </c>
      <c r="R422" s="55" t="n">
        <f aca="false">IF(F422&gt;0,N422/(F422/3600),0)</f>
        <v>1.43040750967231</v>
      </c>
    </row>
    <row r="423" customFormat="false" ht="15" hidden="false" customHeight="false" outlineLevel="0" collapsed="false">
      <c r="A423" s="0" t="s">
        <v>258</v>
      </c>
      <c r="B423" s="52" t="n">
        <v>44303</v>
      </c>
      <c r="C423" s="0" t="n">
        <v>24161.09</v>
      </c>
      <c r="D423" s="0" t="n">
        <v>467.921</v>
      </c>
      <c r="E423" s="0" t="n">
        <v>23693.169</v>
      </c>
      <c r="F423" s="0" t="n">
        <v>18804.903</v>
      </c>
      <c r="G423" s="0" t="n">
        <v>15063.312</v>
      </c>
      <c r="H423" s="0" t="n">
        <v>3741.591</v>
      </c>
      <c r="I423" s="0" t="n">
        <v>3988.266</v>
      </c>
      <c r="J423" s="0" t="n">
        <v>900</v>
      </c>
      <c r="K423" s="0" t="n">
        <v>23506.12875</v>
      </c>
      <c r="L423" s="0" t="n">
        <v>18845</v>
      </c>
      <c r="M423" s="0" t="n">
        <v>18732</v>
      </c>
      <c r="N423" s="0" t="n">
        <v>14</v>
      </c>
      <c r="O423" s="54" t="n">
        <f aca="false">YEAR(B423)</f>
        <v>2021</v>
      </c>
      <c r="P423" s="54" t="n">
        <f aca="false">IF(AND(E423&gt;=14400,K423&gt;0,L423&gt;0),1,0)</f>
        <v>1</v>
      </c>
      <c r="Q423" s="53" t="n">
        <f aca="false">IF(P423=1,F423/E423*MIN(L423/K423,1)*MIN(MAX(M423/L423,0),1),0)</f>
        <v>0.632486097575213</v>
      </c>
      <c r="R423" s="55" t="n">
        <f aca="false">IF(F423&gt;0,N423/(F423/3600),0)</f>
        <v>2.68015208586824</v>
      </c>
    </row>
    <row r="424" customFormat="false" ht="15" hidden="false" customHeight="false" outlineLevel="0" collapsed="false">
      <c r="A424" s="0" t="s">
        <v>258</v>
      </c>
      <c r="B424" s="52" t="n">
        <v>44304</v>
      </c>
      <c r="C424" s="0" t="n">
        <v>73885.15</v>
      </c>
      <c r="D424" s="0" t="n">
        <v>24274.544</v>
      </c>
      <c r="E424" s="0" t="n">
        <v>49610.606</v>
      </c>
      <c r="F424" s="0" t="n">
        <v>24247.338</v>
      </c>
      <c r="G424" s="0" t="n">
        <v>18133.525</v>
      </c>
      <c r="H424" s="0" t="n">
        <v>6113.813</v>
      </c>
      <c r="I424" s="0" t="n">
        <v>4861.102</v>
      </c>
      <c r="J424" s="0" t="n">
        <v>20502.166</v>
      </c>
      <c r="K424" s="0" t="n">
        <v>30309.1725</v>
      </c>
      <c r="L424" s="0" t="n">
        <v>22504</v>
      </c>
      <c r="M424" s="0" t="n">
        <v>22421</v>
      </c>
      <c r="N424" s="0" t="n">
        <v>21</v>
      </c>
      <c r="O424" s="54" t="n">
        <f aca="false">YEAR(B424)</f>
        <v>2021</v>
      </c>
      <c r="P424" s="54" t="n">
        <f aca="false">IF(AND(E424&gt;=14400,K424&gt;0,L424&gt;0),1,0)</f>
        <v>1</v>
      </c>
      <c r="Q424" s="53" t="n">
        <f aca="false">IF(P424=1,F424/E424*MIN(L424/K424,1)*MIN(MAX(M424/L424,0),1),0)</f>
        <v>0.361551721420214</v>
      </c>
      <c r="R424" s="55" t="n">
        <f aca="false">IF(F424&gt;0,N424/(F424/3600),0)</f>
        <v>3.11786803153402</v>
      </c>
    </row>
    <row r="425" customFormat="false" ht="15" hidden="false" customHeight="false" outlineLevel="0" collapsed="false">
      <c r="A425" s="0" t="s">
        <v>258</v>
      </c>
      <c r="B425" s="52" t="n">
        <v>44305</v>
      </c>
      <c r="C425" s="0" t="n">
        <v>86289.277</v>
      </c>
      <c r="D425" s="0" t="n">
        <v>10842.851</v>
      </c>
      <c r="E425" s="0" t="n">
        <v>75446.426</v>
      </c>
      <c r="F425" s="0" t="n">
        <v>64009.596</v>
      </c>
      <c r="G425" s="0" t="n">
        <v>49583.071</v>
      </c>
      <c r="H425" s="0" t="n">
        <v>14426.525</v>
      </c>
      <c r="I425" s="0" t="n">
        <v>7930.453</v>
      </c>
      <c r="J425" s="0" t="n">
        <v>3506.377</v>
      </c>
      <c r="K425" s="0" t="n">
        <v>78373.5145833333</v>
      </c>
      <c r="L425" s="0" t="n">
        <v>60182</v>
      </c>
      <c r="M425" s="0" t="n">
        <v>59805</v>
      </c>
      <c r="N425" s="0" t="n">
        <v>95</v>
      </c>
      <c r="O425" s="54" t="n">
        <f aca="false">YEAR(B425)</f>
        <v>2021</v>
      </c>
      <c r="P425" s="54" t="n">
        <f aca="false">IF(AND(E425&gt;=14400,K425&gt;0,L425&gt;0),1,0)</f>
        <v>1</v>
      </c>
      <c r="Q425" s="53" t="n">
        <f aca="false">IF(P425=1,F425/E425*MIN(L425/K425,1)*MIN(MAX(M425/L425,0),1),0)</f>
        <v>0.647402819788931</v>
      </c>
      <c r="R425" s="55" t="n">
        <f aca="false">IF(F425&gt;0,N425/(F425/3600),0)</f>
        <v>5.34294889160057</v>
      </c>
    </row>
    <row r="426" customFormat="false" ht="15" hidden="false" customHeight="false" outlineLevel="0" collapsed="false">
      <c r="A426" s="0" t="s">
        <v>258</v>
      </c>
      <c r="B426" s="52" t="n">
        <v>44306</v>
      </c>
      <c r="C426" s="0" t="n">
        <v>86430.117</v>
      </c>
      <c r="D426" s="0" t="n">
        <v>2944.851</v>
      </c>
      <c r="E426" s="0" t="n">
        <v>83485.266</v>
      </c>
      <c r="F426" s="0" t="n">
        <v>76818.33</v>
      </c>
      <c r="G426" s="0" t="n">
        <v>67502.385</v>
      </c>
      <c r="H426" s="0" t="n">
        <v>9315.945</v>
      </c>
      <c r="I426" s="0" t="n">
        <v>6302.275</v>
      </c>
      <c r="J426" s="0" t="n">
        <v>364.661</v>
      </c>
      <c r="K426" s="0" t="n">
        <v>95978.525</v>
      </c>
      <c r="L426" s="0" t="n">
        <v>84131</v>
      </c>
      <c r="M426" s="0" t="n">
        <v>83723</v>
      </c>
      <c r="N426" s="0" t="n">
        <v>35</v>
      </c>
      <c r="O426" s="54" t="n">
        <f aca="false">YEAR(B426)</f>
        <v>2021</v>
      </c>
      <c r="P426" s="54" t="n">
        <f aca="false">IF(AND(E426&gt;=14400,K426&gt;0,L426&gt;0),1,0)</f>
        <v>1</v>
      </c>
      <c r="Q426" s="53" t="n">
        <f aca="false">IF(P426=1,F426/E426*MIN(L426/K426,1)*MIN(MAX(M426/L426,0),1),0)</f>
        <v>0.802649125152907</v>
      </c>
      <c r="R426" s="55" t="n">
        <f aca="false">IF(F426&gt;0,N426/(F426/3600),0)</f>
        <v>1.64023352238977</v>
      </c>
    </row>
    <row r="427" customFormat="false" ht="15" hidden="false" customHeight="false" outlineLevel="0" collapsed="false">
      <c r="A427" s="0" t="s">
        <v>258</v>
      </c>
      <c r="B427" s="52" t="n">
        <v>44307</v>
      </c>
      <c r="C427" s="0" t="n">
        <v>86405.129</v>
      </c>
      <c r="D427" s="0" t="n">
        <v>8603.962</v>
      </c>
      <c r="E427" s="0" t="n">
        <v>77801.167</v>
      </c>
      <c r="F427" s="0" t="n">
        <v>70616.993</v>
      </c>
      <c r="G427" s="0" t="n">
        <v>62582.547</v>
      </c>
      <c r="H427" s="0" t="n">
        <v>8034.446</v>
      </c>
      <c r="I427" s="0" t="n">
        <v>5671.537</v>
      </c>
      <c r="J427" s="0" t="n">
        <v>1512.637</v>
      </c>
      <c r="K427" s="0" t="n">
        <v>88271.24125</v>
      </c>
      <c r="L427" s="0" t="n">
        <v>77969</v>
      </c>
      <c r="M427" s="0" t="n">
        <v>77683</v>
      </c>
      <c r="N427" s="0" t="n">
        <v>47</v>
      </c>
      <c r="O427" s="54" t="n">
        <f aca="false">YEAR(B427)</f>
        <v>2021</v>
      </c>
      <c r="P427" s="54" t="n">
        <f aca="false">IF(AND(E427&gt;=14400,K427&gt;0,L427&gt;0),1,0)</f>
        <v>1</v>
      </c>
      <c r="Q427" s="53" t="n">
        <f aca="false">IF(P427=1,F427/E427*MIN(L427/K427,1)*MIN(MAX(M427/L427,0),1),0)</f>
        <v>0.798784933393094</v>
      </c>
      <c r="R427" s="55" t="n">
        <f aca="false">IF(F427&gt;0,N427/(F427/3600),0)</f>
        <v>2.39602385788361</v>
      </c>
    </row>
    <row r="428" customFormat="false" ht="15" hidden="false" customHeight="false" outlineLevel="0" collapsed="false">
      <c r="A428" s="0" t="s">
        <v>258</v>
      </c>
      <c r="B428" s="52" t="n">
        <v>44308</v>
      </c>
      <c r="C428" s="0" t="n">
        <v>86556.641</v>
      </c>
      <c r="D428" s="0" t="n">
        <v>7661.297</v>
      </c>
      <c r="E428" s="0" t="n">
        <v>78895.344</v>
      </c>
      <c r="F428" s="0" t="n">
        <v>69045.588</v>
      </c>
      <c r="G428" s="0" t="n">
        <v>60964.552</v>
      </c>
      <c r="H428" s="0" t="n">
        <v>8081.036</v>
      </c>
      <c r="I428" s="0" t="n">
        <v>5856.284</v>
      </c>
      <c r="J428" s="0" t="n">
        <v>3993.472</v>
      </c>
      <c r="K428" s="0" t="n">
        <v>86262.4177083333</v>
      </c>
      <c r="L428" s="0" t="n">
        <v>75960</v>
      </c>
      <c r="M428" s="0" t="n">
        <v>75797</v>
      </c>
      <c r="N428" s="0" t="n">
        <v>43</v>
      </c>
      <c r="O428" s="54" t="n">
        <f aca="false">YEAR(B428)</f>
        <v>2021</v>
      </c>
      <c r="P428" s="54" t="n">
        <f aca="false">IF(AND(E428&gt;=14400,K428&gt;0,L428&gt;0),1,0)</f>
        <v>1</v>
      </c>
      <c r="Q428" s="53" t="n">
        <f aca="false">IF(P428=1,F428/E428*MIN(L428/K428,1)*MIN(MAX(M428/L428,0),1),0)</f>
        <v>0.768979830862789</v>
      </c>
      <c r="R428" s="55" t="n">
        <f aca="false">IF(F428&gt;0,N428/(F428/3600),0)</f>
        <v>2.24199698321057</v>
      </c>
    </row>
    <row r="429" customFormat="false" ht="15" hidden="false" customHeight="false" outlineLevel="0" collapsed="false">
      <c r="A429" s="0" t="s">
        <v>258</v>
      </c>
      <c r="B429" s="52" t="n">
        <v>44309</v>
      </c>
      <c r="C429" s="0" t="n">
        <v>86217.497</v>
      </c>
      <c r="D429" s="0" t="n">
        <v>2934.081</v>
      </c>
      <c r="E429" s="0" t="n">
        <v>83283.416</v>
      </c>
      <c r="F429" s="0" t="n">
        <v>65778.96</v>
      </c>
      <c r="G429" s="0" t="n">
        <v>61029.741</v>
      </c>
      <c r="H429" s="0" t="n">
        <v>4749.219</v>
      </c>
      <c r="I429" s="0" t="n">
        <v>17292.26</v>
      </c>
      <c r="J429" s="0" t="n">
        <v>212.196</v>
      </c>
      <c r="K429" s="0" t="n">
        <v>82223.7</v>
      </c>
      <c r="L429" s="0" t="n">
        <v>76082</v>
      </c>
      <c r="M429" s="0" t="n">
        <v>75818</v>
      </c>
      <c r="N429" s="0" t="n">
        <v>63</v>
      </c>
      <c r="O429" s="54" t="n">
        <f aca="false">YEAR(B429)</f>
        <v>2021</v>
      </c>
      <c r="P429" s="54" t="n">
        <f aca="false">IF(AND(E429&gt;=14400,K429&gt;0,L429&gt;0),1,0)</f>
        <v>1</v>
      </c>
      <c r="Q429" s="53" t="n">
        <f aca="false">IF(P429=1,F429/E429*MIN(L429/K429,1)*MIN(MAX(M429/L429,0),1),0)</f>
        <v>0.728289050967842</v>
      </c>
      <c r="R429" s="55" t="n">
        <f aca="false">IF(F429&gt;0,N429/(F429/3600),0)</f>
        <v>3.44791100376169</v>
      </c>
    </row>
    <row r="430" customFormat="false" ht="15" hidden="false" customHeight="false" outlineLevel="0" collapsed="false">
      <c r="A430" s="0" t="s">
        <v>258</v>
      </c>
      <c r="B430" s="52" t="n">
        <v>44310</v>
      </c>
      <c r="C430" s="0" t="n">
        <v>17791.519</v>
      </c>
      <c r="D430" s="0" t="n">
        <v>5660.345</v>
      </c>
      <c r="E430" s="0" t="n">
        <v>12131.174</v>
      </c>
      <c r="F430" s="0" t="n">
        <v>6580.17</v>
      </c>
      <c r="G430" s="0" t="n">
        <v>6576.327</v>
      </c>
      <c r="H430" s="0" t="n">
        <v>3.843</v>
      </c>
      <c r="I430" s="0" t="n">
        <v>1865.675</v>
      </c>
      <c r="J430" s="0" t="n">
        <v>3685.329</v>
      </c>
      <c r="K430" s="0" t="n">
        <v>8225.2125</v>
      </c>
      <c r="L430" s="0" t="n">
        <v>8161</v>
      </c>
      <c r="M430" s="0" t="n">
        <v>8152</v>
      </c>
      <c r="N430" s="0" t="n">
        <v>14</v>
      </c>
      <c r="O430" s="54" t="n">
        <f aca="false">YEAR(B430)</f>
        <v>2021</v>
      </c>
      <c r="P430" s="54" t="n">
        <f aca="false">IF(AND(E430&gt;=14400,K430&gt;0,L430&gt;0),1,0)</f>
        <v>0</v>
      </c>
      <c r="Q430" s="53" t="n">
        <f aca="false">IF(P430=1,F430/E430*MIN(L430/K430,1)*MIN(MAX(M430/L430,0),1),0)</f>
        <v>0</v>
      </c>
      <c r="R430" s="55" t="n">
        <f aca="false">IF(F430&gt;0,N430/(F430/3600),0)</f>
        <v>7.6593765814561</v>
      </c>
    </row>
    <row r="431" customFormat="false" ht="15" hidden="false" customHeight="false" outlineLevel="0" collapsed="false">
      <c r="A431" s="0" t="s">
        <v>258</v>
      </c>
      <c r="B431" s="52" t="n">
        <v>44311</v>
      </c>
      <c r="C431" s="0" t="n">
        <v>35728.837</v>
      </c>
      <c r="D431" s="0" t="n">
        <v>7200.564</v>
      </c>
      <c r="E431" s="0" t="n">
        <v>28528.273</v>
      </c>
      <c r="F431" s="0" t="n">
        <v>22936.165</v>
      </c>
      <c r="G431" s="0" t="n">
        <v>17306.13</v>
      </c>
      <c r="H431" s="0" t="n">
        <v>5630.035</v>
      </c>
      <c r="I431" s="0" t="n">
        <v>3097.887</v>
      </c>
      <c r="J431" s="0" t="n">
        <v>2494.221</v>
      </c>
      <c r="K431" s="0" t="n">
        <v>28049.0297916667</v>
      </c>
      <c r="L431" s="0" t="n">
        <v>21124</v>
      </c>
      <c r="M431" s="0" t="n">
        <v>20980</v>
      </c>
      <c r="N431" s="0" t="n">
        <v>32</v>
      </c>
      <c r="O431" s="54" t="n">
        <f aca="false">YEAR(B431)</f>
        <v>2021</v>
      </c>
      <c r="P431" s="54" t="n">
        <f aca="false">IF(AND(E431&gt;=14400,K431&gt;0,L431&gt;0),1,0)</f>
        <v>1</v>
      </c>
      <c r="Q431" s="53" t="n">
        <f aca="false">IF(P431=1,F431/E431*MIN(L431/K431,1)*MIN(MAX(M431/L431,0),1),0)</f>
        <v>0.601357819537765</v>
      </c>
      <c r="R431" s="55" t="n">
        <f aca="false">IF(F431&gt;0,N431/(F431/3600),0)</f>
        <v>5.0226356498569</v>
      </c>
    </row>
    <row r="432" customFormat="false" ht="15" hidden="false" customHeight="false" outlineLevel="0" collapsed="false">
      <c r="A432" s="0" t="s">
        <v>258</v>
      </c>
      <c r="B432" s="52" t="n">
        <v>44312</v>
      </c>
      <c r="C432" s="0" t="n">
        <v>82011.802</v>
      </c>
      <c r="D432" s="0" t="n">
        <v>2802.419</v>
      </c>
      <c r="E432" s="0" t="n">
        <v>79209.383</v>
      </c>
      <c r="F432" s="0" t="n">
        <v>74232.911</v>
      </c>
      <c r="G432" s="0" t="n">
        <v>62522.758</v>
      </c>
      <c r="H432" s="0" t="n">
        <v>11710.153</v>
      </c>
      <c r="I432" s="0" t="n">
        <v>4336.868</v>
      </c>
      <c r="J432" s="0" t="n">
        <v>639.604</v>
      </c>
      <c r="K432" s="0" t="n">
        <v>92791.13875</v>
      </c>
      <c r="L432" s="0" t="n">
        <v>76741</v>
      </c>
      <c r="M432" s="0" t="n">
        <v>76363</v>
      </c>
      <c r="N432" s="0" t="n">
        <v>50</v>
      </c>
      <c r="O432" s="54" t="n">
        <f aca="false">YEAR(B432)</f>
        <v>2021</v>
      </c>
      <c r="P432" s="54" t="n">
        <f aca="false">IF(AND(E432&gt;=14400,K432&gt;0,L432&gt;0),1,0)</f>
        <v>1</v>
      </c>
      <c r="Q432" s="53" t="n">
        <f aca="false">IF(P432=1,F432/E432*MIN(L432/K432,1)*MIN(MAX(M432/L432,0),1),0)</f>
        <v>0.771252062397709</v>
      </c>
      <c r="R432" s="55" t="n">
        <f aca="false">IF(F432&gt;0,N432/(F432/3600),0)</f>
        <v>2.42480050391665</v>
      </c>
    </row>
    <row r="433" customFormat="false" ht="15" hidden="false" customHeight="false" outlineLevel="0" collapsed="false">
      <c r="A433" s="0" t="s">
        <v>258</v>
      </c>
      <c r="B433" s="52" t="n">
        <v>44313</v>
      </c>
      <c r="C433" s="0" t="n">
        <v>86436.543</v>
      </c>
      <c r="D433" s="0" t="n">
        <v>7409.775</v>
      </c>
      <c r="E433" s="0" t="n">
        <v>79026.768</v>
      </c>
      <c r="F433" s="0" t="n">
        <v>47785.198</v>
      </c>
      <c r="G433" s="0" t="n">
        <v>40630.141</v>
      </c>
      <c r="H433" s="0" t="n">
        <v>7155.057</v>
      </c>
      <c r="I433" s="0" t="n">
        <v>5867.235</v>
      </c>
      <c r="J433" s="0" t="n">
        <v>25374.335</v>
      </c>
      <c r="K433" s="0" t="n">
        <v>59495.6986111111</v>
      </c>
      <c r="L433" s="0" t="n">
        <v>50690</v>
      </c>
      <c r="M433" s="0" t="n">
        <v>50598</v>
      </c>
      <c r="N433" s="0" t="n">
        <v>37</v>
      </c>
      <c r="O433" s="54" t="n">
        <f aca="false">YEAR(B433)</f>
        <v>2021</v>
      </c>
      <c r="P433" s="54" t="n">
        <f aca="false">IF(AND(E433&gt;=14400,K433&gt;0,L433&gt;0),1,0)</f>
        <v>1</v>
      </c>
      <c r="Q433" s="53" t="n">
        <f aca="false">IF(P433=1,F433/E433*MIN(L433/K433,1)*MIN(MAX(M433/L433,0),1),0)</f>
        <v>0.514241298106087</v>
      </c>
      <c r="R433" s="55" t="n">
        <f aca="false">IF(F433&gt;0,N433/(F433/3600),0)</f>
        <v>2.78747406257478</v>
      </c>
    </row>
    <row r="434" customFormat="false" ht="15" hidden="false" customHeight="false" outlineLevel="0" collapsed="false">
      <c r="A434" s="0" t="s">
        <v>258</v>
      </c>
      <c r="B434" s="52" t="n">
        <v>44314</v>
      </c>
      <c r="C434" s="0" t="n">
        <v>84484.331</v>
      </c>
      <c r="D434" s="0" t="n">
        <v>9067.512</v>
      </c>
      <c r="E434" s="0" t="n">
        <v>75416.819</v>
      </c>
      <c r="F434" s="0" t="n">
        <v>59885.963</v>
      </c>
      <c r="G434" s="0" t="n">
        <v>46883.519</v>
      </c>
      <c r="H434" s="0" t="n">
        <v>13002.444</v>
      </c>
      <c r="I434" s="0" t="n">
        <v>9644.429</v>
      </c>
      <c r="J434" s="0" t="n">
        <v>5886.427</v>
      </c>
      <c r="K434" s="0" t="n">
        <v>74730.279375</v>
      </c>
      <c r="L434" s="0" t="n">
        <v>57254</v>
      </c>
      <c r="M434" s="0" t="n">
        <v>56878</v>
      </c>
      <c r="N434" s="0" t="n">
        <v>47</v>
      </c>
      <c r="O434" s="54" t="n">
        <f aca="false">YEAR(B434)</f>
        <v>2021</v>
      </c>
      <c r="P434" s="54" t="n">
        <f aca="false">IF(AND(E434&gt;=14400,K434&gt;0,L434&gt;0),1,0)</f>
        <v>1</v>
      </c>
      <c r="Q434" s="53" t="n">
        <f aca="false">IF(P434=1,F434/E434*MIN(L434/K434,1)*MIN(MAX(M434/L434,0),1),0)</f>
        <v>0.60437228201452</v>
      </c>
      <c r="R434" s="55" t="n">
        <f aca="false">IF(F434&gt;0,N434/(F434/3600),0)</f>
        <v>2.82536994520736</v>
      </c>
    </row>
    <row r="435" customFormat="false" ht="15" hidden="false" customHeight="false" outlineLevel="0" collapsed="false">
      <c r="A435" s="0" t="s">
        <v>258</v>
      </c>
      <c r="B435" s="52" t="n">
        <v>44315</v>
      </c>
      <c r="C435" s="0" t="n">
        <v>86055.93</v>
      </c>
      <c r="D435" s="0" t="n">
        <v>3948.029</v>
      </c>
      <c r="E435" s="0" t="n">
        <v>82107.901</v>
      </c>
      <c r="F435" s="0" t="n">
        <v>62531.917</v>
      </c>
      <c r="G435" s="0" t="n">
        <v>49886.816</v>
      </c>
      <c r="H435" s="0" t="n">
        <v>12645.101</v>
      </c>
      <c r="I435" s="0" t="n">
        <v>13275.287</v>
      </c>
      <c r="J435" s="0" t="n">
        <v>6300.697</v>
      </c>
      <c r="K435" s="0" t="n">
        <v>72899.9445833333</v>
      </c>
      <c r="L435" s="0" t="n">
        <v>59112</v>
      </c>
      <c r="M435" s="0" t="n">
        <v>58540</v>
      </c>
      <c r="N435" s="0" t="n">
        <v>68</v>
      </c>
      <c r="O435" s="54" t="n">
        <f aca="false">YEAR(B435)</f>
        <v>2021</v>
      </c>
      <c r="P435" s="54" t="n">
        <f aca="false">IF(AND(E435&gt;=14400,K435&gt;0,L435&gt;0),1,0)</f>
        <v>1</v>
      </c>
      <c r="Q435" s="53" t="n">
        <f aca="false">IF(P435=1,F435/E435*MIN(L435/K435,1)*MIN(MAX(M435/L435,0),1),0)</f>
        <v>0.611564563466441</v>
      </c>
      <c r="R435" s="55" t="n">
        <f aca="false">IF(F435&gt;0,N435/(F435/3600),0)</f>
        <v>3.91480082083522</v>
      </c>
    </row>
    <row r="436" customFormat="false" ht="15" hidden="false" customHeight="false" outlineLevel="0" collapsed="false">
      <c r="A436" s="0" t="s">
        <v>258</v>
      </c>
      <c r="B436" s="52" t="n">
        <v>44316</v>
      </c>
      <c r="C436" s="0" t="n">
        <v>86368.314</v>
      </c>
      <c r="D436" s="0" t="n">
        <v>8003.951</v>
      </c>
      <c r="E436" s="0" t="n">
        <v>78364.363</v>
      </c>
      <c r="F436" s="0" t="n">
        <v>67033.962</v>
      </c>
      <c r="G436" s="0" t="n">
        <v>52501.395</v>
      </c>
      <c r="H436" s="0" t="n">
        <v>14532.567</v>
      </c>
      <c r="I436" s="0" t="n">
        <v>8768.052</v>
      </c>
      <c r="J436" s="0" t="n">
        <v>2562.349</v>
      </c>
      <c r="K436" s="0" t="n">
        <v>83792.4525</v>
      </c>
      <c r="L436" s="0" t="n">
        <v>65304</v>
      </c>
      <c r="M436" s="0" t="n">
        <v>65130</v>
      </c>
      <c r="N436" s="0" t="n">
        <v>55</v>
      </c>
      <c r="O436" s="54" t="n">
        <f aca="false">YEAR(B436)</f>
        <v>2021</v>
      </c>
      <c r="P436" s="54" t="n">
        <f aca="false">IF(AND(E436&gt;=14400,K436&gt;0,L436&gt;0),1,0)</f>
        <v>1</v>
      </c>
      <c r="Q436" s="53" t="n">
        <f aca="false">IF(P436=1,F436/E436*MIN(L436/K436,1)*MIN(MAX(M436/L436,0),1),0)</f>
        <v>0.664894066707337</v>
      </c>
      <c r="R436" s="55" t="n">
        <f aca="false">IF(F436&gt;0,N436/(F436/3600),0)</f>
        <v>2.95372664978388</v>
      </c>
    </row>
    <row r="437" customFormat="false" ht="15" hidden="false" customHeight="false" outlineLevel="0" collapsed="false">
      <c r="A437" s="0" t="s">
        <v>258</v>
      </c>
      <c r="B437" s="52" t="n">
        <v>44317</v>
      </c>
      <c r="C437" s="0" t="n">
        <v>20305.558</v>
      </c>
      <c r="D437" s="0" t="n">
        <v>5137.8</v>
      </c>
      <c r="E437" s="0" t="n">
        <v>15167.758</v>
      </c>
      <c r="F437" s="0" t="n">
        <v>11215.745</v>
      </c>
      <c r="G437" s="0" t="n">
        <v>10711.76</v>
      </c>
      <c r="H437" s="0" t="n">
        <v>503.985</v>
      </c>
      <c r="I437" s="0" t="n">
        <v>1418.162</v>
      </c>
      <c r="J437" s="0" t="n">
        <v>2533.851</v>
      </c>
      <c r="K437" s="0" t="n">
        <v>14019.68125</v>
      </c>
      <c r="L437" s="0" t="n">
        <v>13387</v>
      </c>
      <c r="M437" s="0" t="n">
        <v>13372</v>
      </c>
      <c r="N437" s="0" t="n">
        <v>17</v>
      </c>
      <c r="O437" s="54" t="n">
        <f aca="false">YEAR(B437)</f>
        <v>2021</v>
      </c>
      <c r="P437" s="54" t="n">
        <f aca="false">IF(AND(E437&gt;=14400,K437&gt;0,L437&gt;0),1,0)</f>
        <v>1</v>
      </c>
      <c r="Q437" s="53" t="n">
        <f aca="false">IF(P437=1,F437/E437*MIN(L437/K437,1)*MIN(MAX(M437/L437,0),1),0)</f>
        <v>0.705285514180804</v>
      </c>
      <c r="R437" s="55" t="n">
        <f aca="false">IF(F437&gt;0,N437/(F437/3600),0)</f>
        <v>5.45661478573202</v>
      </c>
    </row>
    <row r="438" customFormat="false" ht="15" hidden="false" customHeight="false" outlineLevel="0" collapsed="false">
      <c r="A438" s="0" t="s">
        <v>258</v>
      </c>
      <c r="B438" s="52" t="n">
        <v>44318</v>
      </c>
      <c r="C438" s="0" t="n">
        <v>81690.964</v>
      </c>
      <c r="D438" s="0" t="n">
        <v>16966.968</v>
      </c>
      <c r="E438" s="0" t="n">
        <v>64723.996</v>
      </c>
      <c r="F438" s="0" t="n">
        <v>31487.829</v>
      </c>
      <c r="G438" s="0" t="n">
        <v>26819.471</v>
      </c>
      <c r="H438" s="0" t="n">
        <v>4668.358</v>
      </c>
      <c r="I438" s="0" t="n">
        <v>3416.482</v>
      </c>
      <c r="J438" s="0" t="n">
        <v>29819.685</v>
      </c>
      <c r="K438" s="0" t="n">
        <v>34920.7934722222</v>
      </c>
      <c r="L438" s="0" t="n">
        <v>28926</v>
      </c>
      <c r="M438" s="0" t="n">
        <v>28855</v>
      </c>
      <c r="N438" s="0" t="n">
        <v>12</v>
      </c>
      <c r="O438" s="54" t="n">
        <f aca="false">YEAR(B438)</f>
        <v>2021</v>
      </c>
      <c r="P438" s="54" t="n">
        <f aca="false">IF(AND(E438&gt;=14400,K438&gt;0,L438&gt;0),1,0)</f>
        <v>1</v>
      </c>
      <c r="Q438" s="53" t="n">
        <f aca="false">IF(P438=1,F438/E438*MIN(L438/K438,1)*MIN(MAX(M438/L438,0),1),0)</f>
        <v>0.401989187036359</v>
      </c>
      <c r="R438" s="55" t="n">
        <f aca="false">IF(F438&gt;0,N438/(F438/3600),0)</f>
        <v>1.37195867012616</v>
      </c>
    </row>
    <row r="439" customFormat="false" ht="15" hidden="false" customHeight="false" outlineLevel="0" collapsed="false">
      <c r="A439" s="0" t="s">
        <v>258</v>
      </c>
      <c r="B439" s="52" t="n">
        <v>44319</v>
      </c>
      <c r="C439" s="0" t="n">
        <v>86386.557</v>
      </c>
      <c r="D439" s="0" t="n">
        <v>8202.265</v>
      </c>
      <c r="E439" s="0" t="n">
        <v>78184.292</v>
      </c>
      <c r="F439" s="0" t="n">
        <v>66343.36</v>
      </c>
      <c r="G439" s="0" t="n">
        <v>54727.173</v>
      </c>
      <c r="H439" s="0" t="n">
        <v>11616.187</v>
      </c>
      <c r="I439" s="0" t="n">
        <v>9284.175</v>
      </c>
      <c r="J439" s="0" t="n">
        <v>2556.757</v>
      </c>
      <c r="K439" s="0" t="n">
        <v>82782.5640972222</v>
      </c>
      <c r="L439" s="0" t="n">
        <v>68036</v>
      </c>
      <c r="M439" s="0" t="n">
        <v>67833</v>
      </c>
      <c r="N439" s="0" t="n">
        <v>46</v>
      </c>
      <c r="O439" s="54" t="n">
        <f aca="false">YEAR(B439)</f>
        <v>2021</v>
      </c>
      <c r="P439" s="54" t="n">
        <f aca="false">IF(AND(E439&gt;=14400,K439&gt;0,L439&gt;0),1,0)</f>
        <v>1</v>
      </c>
      <c r="Q439" s="53" t="n">
        <f aca="false">IF(P439=1,F439/E439*MIN(L439/K439,1)*MIN(MAX(M439/L439,0),1),0)</f>
        <v>0.695312610073464</v>
      </c>
      <c r="R439" s="55" t="n">
        <f aca="false">IF(F439&gt;0,N439/(F439/3600),0)</f>
        <v>2.49610511134799</v>
      </c>
    </row>
    <row r="440" customFormat="false" ht="15" hidden="false" customHeight="false" outlineLevel="0" collapsed="false">
      <c r="A440" s="0" t="s">
        <v>258</v>
      </c>
      <c r="B440" s="52" t="n">
        <v>44320</v>
      </c>
      <c r="C440" s="0" t="n">
        <v>88201.895</v>
      </c>
      <c r="D440" s="0" t="n">
        <v>2735.437</v>
      </c>
      <c r="E440" s="0" t="n">
        <v>85466.458</v>
      </c>
      <c r="F440" s="0" t="n">
        <v>72641.702</v>
      </c>
      <c r="G440" s="0" t="n">
        <v>60099.715</v>
      </c>
      <c r="H440" s="0" t="n">
        <v>12541.987</v>
      </c>
      <c r="I440" s="0" t="n">
        <v>12373.687</v>
      </c>
      <c r="J440" s="0" t="n">
        <v>451.069</v>
      </c>
      <c r="K440" s="0" t="n">
        <v>90802.1275</v>
      </c>
      <c r="L440" s="0" t="n">
        <v>74908</v>
      </c>
      <c r="M440" s="0" t="n">
        <v>74746</v>
      </c>
      <c r="N440" s="0" t="n">
        <v>66</v>
      </c>
      <c r="O440" s="54" t="n">
        <f aca="false">YEAR(B440)</f>
        <v>2021</v>
      </c>
      <c r="P440" s="54" t="n">
        <f aca="false">IF(AND(E440&gt;=14400,K440&gt;0,L440&gt;0),1,0)</f>
        <v>1</v>
      </c>
      <c r="Q440" s="53" t="n">
        <f aca="false">IF(P440=1,F440/E440*MIN(L440/K440,1)*MIN(MAX(M440/L440,0),1),0)</f>
        <v>0.699652254221182</v>
      </c>
      <c r="R440" s="55" t="n">
        <f aca="false">IF(F440&gt;0,N440/(F440/3600),0)</f>
        <v>3.27084847213519</v>
      </c>
    </row>
    <row r="441" customFormat="false" ht="15" hidden="false" customHeight="false" outlineLevel="0" collapsed="false">
      <c r="A441" s="0" t="s">
        <v>258</v>
      </c>
      <c r="B441" s="52" t="n">
        <v>44321</v>
      </c>
      <c r="C441" s="0" t="n">
        <v>80023.41</v>
      </c>
      <c r="D441" s="0" t="n">
        <v>9019.57</v>
      </c>
      <c r="E441" s="0" t="n">
        <v>71003.84</v>
      </c>
      <c r="F441" s="0" t="n">
        <v>62898.611</v>
      </c>
      <c r="G441" s="0" t="n">
        <v>50781.218</v>
      </c>
      <c r="H441" s="0" t="n">
        <v>12117.393</v>
      </c>
      <c r="I441" s="0" t="n">
        <v>5672.462</v>
      </c>
      <c r="J441" s="0" t="n">
        <v>2432.767</v>
      </c>
      <c r="K441" s="0" t="n">
        <v>78522.9547222222</v>
      </c>
      <c r="L441" s="0" t="n">
        <v>62108</v>
      </c>
      <c r="M441" s="0" t="n">
        <v>61869</v>
      </c>
      <c r="N441" s="0" t="n">
        <v>46</v>
      </c>
      <c r="O441" s="54" t="n">
        <f aca="false">YEAR(B441)</f>
        <v>2021</v>
      </c>
      <c r="P441" s="54" t="n">
        <f aca="false">IF(AND(E441&gt;=14400,K441&gt;0,L441&gt;0),1,0)</f>
        <v>1</v>
      </c>
      <c r="Q441" s="53" t="n">
        <f aca="false">IF(P441=1,F441/E441*MIN(L441/K441,1)*MIN(MAX(M441/L441,0),1),0)</f>
        <v>0.697968272802418</v>
      </c>
      <c r="R441" s="55" t="n">
        <f aca="false">IF(F441&gt;0,N441/(F441/3600),0)</f>
        <v>2.63280853690076</v>
      </c>
    </row>
    <row r="442" customFormat="false" ht="15" hidden="false" customHeight="false" outlineLevel="0" collapsed="false">
      <c r="A442" s="0" t="s">
        <v>258</v>
      </c>
      <c r="B442" s="52" t="n">
        <v>44322</v>
      </c>
      <c r="C442" s="0" t="n">
        <v>86167.926</v>
      </c>
      <c r="D442" s="0" t="n">
        <v>10138.549</v>
      </c>
      <c r="E442" s="0" t="n">
        <v>76029.377</v>
      </c>
      <c r="F442" s="0" t="n">
        <v>69473.336</v>
      </c>
      <c r="G442" s="0" t="n">
        <v>60763.605</v>
      </c>
      <c r="H442" s="0" t="n">
        <v>8709.731</v>
      </c>
      <c r="I442" s="0" t="n">
        <v>5747.374</v>
      </c>
      <c r="J442" s="0" t="n">
        <v>808.667</v>
      </c>
      <c r="K442" s="0" t="n">
        <v>86548.9777777778</v>
      </c>
      <c r="L442" s="0" t="n">
        <v>75718</v>
      </c>
      <c r="M442" s="0" t="n">
        <v>75590</v>
      </c>
      <c r="N442" s="0" t="n">
        <v>47</v>
      </c>
      <c r="O442" s="54" t="n">
        <f aca="false">YEAR(B442)</f>
        <v>2021</v>
      </c>
      <c r="P442" s="54" t="n">
        <f aca="false">IF(AND(E442&gt;=14400,K442&gt;0,L442&gt;0),1,0)</f>
        <v>1</v>
      </c>
      <c r="Q442" s="53" t="n">
        <f aca="false">IF(P442=1,F442/E442*MIN(L442/K442,1)*MIN(MAX(M442/L442,0),1),0)</f>
        <v>0.798066579328511</v>
      </c>
      <c r="R442" s="55" t="n">
        <f aca="false">IF(F442&gt;0,N442/(F442/3600),0)</f>
        <v>2.43546675230912</v>
      </c>
    </row>
    <row r="443" customFormat="false" ht="15" hidden="false" customHeight="false" outlineLevel="0" collapsed="false">
      <c r="A443" s="0" t="s">
        <v>258</v>
      </c>
      <c r="B443" s="52" t="n">
        <v>44323</v>
      </c>
      <c r="C443" s="0" t="n">
        <v>86407.689</v>
      </c>
      <c r="D443" s="0" t="n">
        <v>9215.994</v>
      </c>
      <c r="E443" s="0" t="n">
        <v>77191.695</v>
      </c>
      <c r="F443" s="0" t="n">
        <v>64658.684</v>
      </c>
      <c r="G443" s="0" t="n">
        <v>52456.86</v>
      </c>
      <c r="H443" s="0" t="n">
        <v>12201.824</v>
      </c>
      <c r="I443" s="0" t="n">
        <v>10547.831</v>
      </c>
      <c r="J443" s="0" t="n">
        <v>1985.18</v>
      </c>
      <c r="K443" s="0" t="n">
        <v>80819.9591666667</v>
      </c>
      <c r="L443" s="0" t="n">
        <v>65173</v>
      </c>
      <c r="M443" s="0" t="n">
        <v>64938</v>
      </c>
      <c r="N443" s="0" t="n">
        <v>99</v>
      </c>
      <c r="O443" s="54" t="n">
        <f aca="false">YEAR(B443)</f>
        <v>2021</v>
      </c>
      <c r="P443" s="54" t="n">
        <f aca="false">IF(AND(E443&gt;=14400,K443&gt;0,L443&gt;0),1,0)</f>
        <v>1</v>
      </c>
      <c r="Q443" s="53" t="n">
        <f aca="false">IF(P443=1,F443/E443*MIN(L443/K443,1)*MIN(MAX(M443/L443,0),1),0)</f>
        <v>0.673033320663907</v>
      </c>
      <c r="R443" s="55" t="n">
        <f aca="false">IF(F443&gt;0,N443/(F443/3600),0)</f>
        <v>5.5120206281959</v>
      </c>
    </row>
    <row r="444" customFormat="false" ht="15" hidden="false" customHeight="false" outlineLevel="0" collapsed="false">
      <c r="A444" s="0" t="s">
        <v>258</v>
      </c>
      <c r="B444" s="52" t="n">
        <v>44324</v>
      </c>
      <c r="C444" s="0" t="n">
        <v>30605.07</v>
      </c>
      <c r="D444" s="0" t="n">
        <v>11754.859</v>
      </c>
      <c r="E444" s="0" t="n">
        <v>18850.211</v>
      </c>
      <c r="F444" s="0" t="n">
        <v>13601.58</v>
      </c>
      <c r="G444" s="0" t="n">
        <v>11099.009</v>
      </c>
      <c r="H444" s="0" t="n">
        <v>2502.571</v>
      </c>
      <c r="I444" s="0" t="n">
        <v>3407.652</v>
      </c>
      <c r="J444" s="0" t="n">
        <v>1840.979</v>
      </c>
      <c r="K444" s="0" t="n">
        <v>17001.975</v>
      </c>
      <c r="L444" s="0" t="n">
        <v>13726</v>
      </c>
      <c r="M444" s="0" t="n">
        <v>13655</v>
      </c>
      <c r="N444" s="0" t="n">
        <v>32</v>
      </c>
      <c r="O444" s="54" t="n">
        <f aca="false">YEAR(B444)</f>
        <v>2021</v>
      </c>
      <c r="P444" s="54" t="n">
        <f aca="false">IF(AND(E444&gt;=14400,K444&gt;0,L444&gt;0),1,0)</f>
        <v>1</v>
      </c>
      <c r="Q444" s="53" t="n">
        <f aca="false">IF(P444=1,F444/E444*MIN(L444/K444,1)*MIN(MAX(M444/L444,0),1),0)</f>
        <v>0.579516059528458</v>
      </c>
      <c r="R444" s="55" t="n">
        <f aca="false">IF(F444&gt;0,N444/(F444/3600),0)</f>
        <v>8.46960426656315</v>
      </c>
    </row>
    <row r="445" customFormat="false" ht="15" hidden="false" customHeight="false" outlineLevel="0" collapsed="false">
      <c r="A445" s="0" t="s">
        <v>258</v>
      </c>
      <c r="B445" s="52" t="n">
        <v>44325</v>
      </c>
      <c r="C445" s="0" t="n">
        <v>65237.186</v>
      </c>
      <c r="D445" s="0" t="n">
        <v>8307.576</v>
      </c>
      <c r="E445" s="0" t="n">
        <v>56929.61</v>
      </c>
      <c r="F445" s="0" t="n">
        <v>49966.407</v>
      </c>
      <c r="G445" s="0" t="n">
        <v>37205.489</v>
      </c>
      <c r="H445" s="0" t="n">
        <v>12760.918</v>
      </c>
      <c r="I445" s="0" t="n">
        <v>5550.741</v>
      </c>
      <c r="J445" s="0" t="n">
        <v>1412.462</v>
      </c>
      <c r="K445" s="0" t="n">
        <v>62458.00875</v>
      </c>
      <c r="L445" s="0" t="n">
        <v>46353</v>
      </c>
      <c r="M445" s="0" t="n">
        <v>46246</v>
      </c>
      <c r="N445" s="0" t="n">
        <v>28</v>
      </c>
      <c r="O445" s="54" t="n">
        <f aca="false">YEAR(B445)</f>
        <v>2021</v>
      </c>
      <c r="P445" s="54" t="n">
        <f aca="false">IF(AND(E445&gt;=14400,K445&gt;0,L445&gt;0),1,0)</f>
        <v>1</v>
      </c>
      <c r="Q445" s="53" t="n">
        <f aca="false">IF(P445=1,F445/E445*MIN(L445/K445,1)*MIN(MAX(M445/L445,0),1),0)</f>
        <v>0.649869198120275</v>
      </c>
      <c r="R445" s="55" t="n">
        <f aca="false">IF(F445&gt;0,N445/(F445/3600),0)</f>
        <v>2.01735538038587</v>
      </c>
    </row>
    <row r="446" customFormat="false" ht="15" hidden="false" customHeight="false" outlineLevel="0" collapsed="false">
      <c r="A446" s="0" t="s">
        <v>258</v>
      </c>
      <c r="B446" s="52" t="n">
        <v>44326</v>
      </c>
      <c r="C446" s="0" t="n">
        <v>86073.284</v>
      </c>
      <c r="D446" s="0" t="n">
        <v>11868.378</v>
      </c>
      <c r="E446" s="0" t="n">
        <v>74204.906</v>
      </c>
      <c r="F446" s="0" t="n">
        <v>56864.556</v>
      </c>
      <c r="G446" s="0" t="n">
        <v>42198.478</v>
      </c>
      <c r="H446" s="0" t="n">
        <v>14666.078</v>
      </c>
      <c r="I446" s="0" t="n">
        <v>9525.958</v>
      </c>
      <c r="J446" s="0" t="n">
        <v>7814.392</v>
      </c>
      <c r="K446" s="0" t="n">
        <v>71080.695</v>
      </c>
      <c r="L446" s="0" t="n">
        <v>52107</v>
      </c>
      <c r="M446" s="0" t="n">
        <v>51910</v>
      </c>
      <c r="N446" s="0" t="n">
        <v>117</v>
      </c>
      <c r="O446" s="54" t="n">
        <f aca="false">YEAR(B446)</f>
        <v>2021</v>
      </c>
      <c r="P446" s="54" t="n">
        <f aca="false">IF(AND(E446&gt;=14400,K446&gt;0,L446&gt;0),1,0)</f>
        <v>1</v>
      </c>
      <c r="Q446" s="53" t="n">
        <f aca="false">IF(P446=1,F446/E446*MIN(L446/K446,1)*MIN(MAX(M446/L446,0),1),0)</f>
        <v>0.559639547282763</v>
      </c>
      <c r="R446" s="55" t="n">
        <f aca="false">IF(F446&gt;0,N446/(F446/3600),0)</f>
        <v>7.40707445249375</v>
      </c>
    </row>
    <row r="447" customFormat="false" ht="15" hidden="false" customHeight="false" outlineLevel="0" collapsed="false">
      <c r="A447" s="0" t="s">
        <v>258</v>
      </c>
      <c r="B447" s="52" t="n">
        <v>44327</v>
      </c>
      <c r="C447" s="0" t="n">
        <v>14995.495</v>
      </c>
      <c r="D447" s="0" t="n">
        <v>2730.001</v>
      </c>
      <c r="E447" s="0" t="n">
        <v>12265.494</v>
      </c>
      <c r="F447" s="0" t="n">
        <v>6420.197</v>
      </c>
      <c r="G447" s="0" t="n">
        <v>3513.22</v>
      </c>
      <c r="H447" s="0" t="n">
        <v>2906.977</v>
      </c>
      <c r="I447" s="0" t="n">
        <v>2251.696</v>
      </c>
      <c r="J447" s="0" t="n">
        <v>3593.601</v>
      </c>
      <c r="K447" s="0" t="n">
        <v>8025.24625</v>
      </c>
      <c r="L447" s="0" t="n">
        <v>3704</v>
      </c>
      <c r="M447" s="0" t="n">
        <v>3643</v>
      </c>
      <c r="N447" s="0" t="n">
        <v>41</v>
      </c>
      <c r="O447" s="54" t="n">
        <f aca="false">YEAR(B447)</f>
        <v>2021</v>
      </c>
      <c r="P447" s="54" t="n">
        <f aca="false">IF(AND(E447&gt;=14400,K447&gt;0,L447&gt;0),1,0)</f>
        <v>0</v>
      </c>
      <c r="Q447" s="53" t="n">
        <f aca="false">IF(P447=1,F447/E447*MIN(L447/K447,1)*MIN(MAX(M447/L447,0),1),0)</f>
        <v>0</v>
      </c>
      <c r="R447" s="55" t="n">
        <f aca="false">IF(F447&gt;0,N447/(F447/3600),0)</f>
        <v>22.9899487507938</v>
      </c>
    </row>
    <row r="448" customFormat="false" ht="15" hidden="false" customHeight="false" outlineLevel="0" collapsed="false">
      <c r="A448" s="0" t="s">
        <v>258</v>
      </c>
      <c r="B448" s="52" t="n">
        <v>44332</v>
      </c>
      <c r="C448" s="0" t="n">
        <v>64685.771</v>
      </c>
      <c r="D448" s="0" t="n">
        <v>2367.913</v>
      </c>
      <c r="E448" s="0" t="n">
        <v>62317.858</v>
      </c>
      <c r="F448" s="0" t="n">
        <v>55820.972</v>
      </c>
      <c r="G448" s="0" t="n">
        <v>50149.918</v>
      </c>
      <c r="H448" s="0" t="n">
        <v>5671.054</v>
      </c>
      <c r="I448" s="0" t="n">
        <v>5298.276</v>
      </c>
      <c r="J448" s="0" t="n">
        <v>1198.61</v>
      </c>
      <c r="K448" s="0" t="n">
        <v>69776.215</v>
      </c>
      <c r="L448" s="0" t="n">
        <v>62598</v>
      </c>
      <c r="M448" s="0" t="n">
        <v>62544</v>
      </c>
      <c r="N448" s="0" t="n">
        <v>30</v>
      </c>
      <c r="O448" s="54" t="n">
        <f aca="false">YEAR(B448)</f>
        <v>2021</v>
      </c>
      <c r="P448" s="54" t="n">
        <f aca="false">IF(AND(E448&gt;=14400,K448&gt;0,L448&gt;0),1,0)</f>
        <v>1</v>
      </c>
      <c r="Q448" s="53" t="n">
        <f aca="false">IF(P448=1,F448/E448*MIN(L448/K448,1)*MIN(MAX(M448/L448,0),1),0)</f>
        <v>0.802903077958809</v>
      </c>
      <c r="R448" s="55" t="n">
        <f aca="false">IF(F448&gt;0,N448/(F448/3600),0)</f>
        <v>1.93475670756862</v>
      </c>
    </row>
    <row r="449" customFormat="false" ht="15" hidden="false" customHeight="false" outlineLevel="0" collapsed="false">
      <c r="A449" s="0" t="s">
        <v>258</v>
      </c>
      <c r="B449" s="52" t="n">
        <v>44333</v>
      </c>
      <c r="C449" s="0" t="n">
        <v>86790.097</v>
      </c>
      <c r="D449" s="0" t="n">
        <v>6493.249</v>
      </c>
      <c r="E449" s="0" t="n">
        <v>80296.848</v>
      </c>
      <c r="F449" s="0" t="n">
        <v>61445.511</v>
      </c>
      <c r="G449" s="0" t="n">
        <v>49752.998</v>
      </c>
      <c r="H449" s="0" t="n">
        <v>11692.513</v>
      </c>
      <c r="I449" s="0" t="n">
        <v>10161.914</v>
      </c>
      <c r="J449" s="0" t="n">
        <v>8689.423</v>
      </c>
      <c r="K449" s="0" t="n">
        <v>76640.29125</v>
      </c>
      <c r="L449" s="0" t="n">
        <v>62001</v>
      </c>
      <c r="M449" s="0" t="n">
        <v>61771</v>
      </c>
      <c r="N449" s="0" t="n">
        <v>36</v>
      </c>
      <c r="O449" s="54" t="n">
        <f aca="false">YEAR(B449)</f>
        <v>2021</v>
      </c>
      <c r="P449" s="54" t="n">
        <f aca="false">IF(AND(E449&gt;=14400,K449&gt;0,L449&gt;0),1,0)</f>
        <v>1</v>
      </c>
      <c r="Q449" s="53" t="n">
        <f aca="false">IF(P449=1,F449/E449*MIN(L449/K449,1)*MIN(MAX(M449/L449,0),1),0)</f>
        <v>0.616764187294209</v>
      </c>
      <c r="R449" s="55" t="n">
        <f aca="false">IF(F449&gt;0,N449/(F449/3600),0)</f>
        <v>2.10918581179999</v>
      </c>
    </row>
    <row r="450" customFormat="false" ht="15" hidden="false" customHeight="false" outlineLevel="0" collapsed="false">
      <c r="A450" s="0" t="s">
        <v>258</v>
      </c>
      <c r="B450" s="52" t="n">
        <v>44334</v>
      </c>
      <c r="C450" s="0" t="n">
        <v>85516.435</v>
      </c>
      <c r="D450" s="0" t="n">
        <v>3117.311</v>
      </c>
      <c r="E450" s="0" t="n">
        <v>82399.124</v>
      </c>
      <c r="F450" s="0" t="n">
        <v>61244.478</v>
      </c>
      <c r="G450" s="0" t="n">
        <v>46076.918</v>
      </c>
      <c r="H450" s="0" t="n">
        <v>15167.56</v>
      </c>
      <c r="I450" s="0" t="n">
        <v>10931.127</v>
      </c>
      <c r="J450" s="0" t="n">
        <v>10223.519</v>
      </c>
      <c r="K450" s="0" t="n">
        <v>76491.14125</v>
      </c>
      <c r="L450" s="0" t="n">
        <v>57448</v>
      </c>
      <c r="M450" s="0" t="n">
        <v>57305</v>
      </c>
      <c r="N450" s="0" t="n">
        <v>37</v>
      </c>
      <c r="O450" s="54" t="n">
        <f aca="false">YEAR(B450)</f>
        <v>2021</v>
      </c>
      <c r="P450" s="54" t="n">
        <f aca="false">IF(AND(E450&gt;=14400,K450&gt;0,L450&gt;0),1,0)</f>
        <v>1</v>
      </c>
      <c r="Q450" s="53" t="n">
        <f aca="false">IF(P450=1,F450/E450*MIN(L450/K450,1)*MIN(MAX(M450/L450,0),1),0)</f>
        <v>0.556833966339734</v>
      </c>
      <c r="R450" s="55" t="n">
        <f aca="false">IF(F450&gt;0,N450/(F450/3600),0)</f>
        <v>2.17488995497684</v>
      </c>
    </row>
    <row r="451" customFormat="false" ht="15" hidden="false" customHeight="false" outlineLevel="0" collapsed="false">
      <c r="A451" s="0" t="s">
        <v>258</v>
      </c>
      <c r="B451" s="52" t="n">
        <v>44335</v>
      </c>
      <c r="C451" s="0" t="n">
        <v>87603.335</v>
      </c>
      <c r="D451" s="0" t="n">
        <v>11072.767</v>
      </c>
      <c r="E451" s="0" t="n">
        <v>76530.568</v>
      </c>
      <c r="F451" s="0" t="n">
        <v>54136.163</v>
      </c>
      <c r="G451" s="0" t="n">
        <v>42094.307</v>
      </c>
      <c r="H451" s="0" t="n">
        <v>12041.856</v>
      </c>
      <c r="I451" s="0" t="n">
        <v>9065.047</v>
      </c>
      <c r="J451" s="0" t="n">
        <v>13329.358</v>
      </c>
      <c r="K451" s="0" t="n">
        <v>67670.20375</v>
      </c>
      <c r="L451" s="0" t="n">
        <v>52420</v>
      </c>
      <c r="M451" s="0" t="n">
        <v>52245</v>
      </c>
      <c r="N451" s="0" t="n">
        <v>34</v>
      </c>
      <c r="O451" s="54" t="n">
        <f aca="false">YEAR(B451)</f>
        <v>2021</v>
      </c>
      <c r="P451" s="54" t="n">
        <f aca="false">IF(AND(E451&gt;=14400,K451&gt;0,L451&gt;0),1,0)</f>
        <v>1</v>
      </c>
      <c r="Q451" s="53" t="n">
        <f aca="false">IF(P451=1,F451/E451*MIN(L451/K451,1)*MIN(MAX(M451/L451,0),1),0)</f>
        <v>0.546134715738684</v>
      </c>
      <c r="R451" s="55" t="n">
        <f aca="false">IF(F451&gt;0,N451/(F451/3600),0)</f>
        <v>2.26096555827202</v>
      </c>
    </row>
    <row r="452" customFormat="false" ht="15" hidden="false" customHeight="false" outlineLevel="0" collapsed="false">
      <c r="A452" s="0" t="s">
        <v>258</v>
      </c>
      <c r="B452" s="52" t="n">
        <v>44336</v>
      </c>
      <c r="C452" s="0" t="n">
        <v>79864.708</v>
      </c>
      <c r="D452" s="0" t="n">
        <v>5926</v>
      </c>
      <c r="E452" s="0" t="n">
        <v>73938.708</v>
      </c>
      <c r="F452" s="0" t="n">
        <v>65304.556</v>
      </c>
      <c r="G452" s="0" t="n">
        <v>58140.894</v>
      </c>
      <c r="H452" s="0" t="n">
        <v>7163.662</v>
      </c>
      <c r="I452" s="0" t="n">
        <v>8273.514</v>
      </c>
      <c r="J452" s="0" t="n">
        <v>360.638</v>
      </c>
      <c r="K452" s="0" t="n">
        <v>81630.695</v>
      </c>
      <c r="L452" s="0" t="n">
        <v>72416</v>
      </c>
      <c r="M452" s="0" t="n">
        <v>72220</v>
      </c>
      <c r="N452" s="0" t="n">
        <v>40</v>
      </c>
      <c r="O452" s="54" t="n">
        <f aca="false">YEAR(B452)</f>
        <v>2021</v>
      </c>
      <c r="P452" s="54" t="n">
        <f aca="false">IF(AND(E452&gt;=14400,K452&gt;0,L452&gt;0),1,0)</f>
        <v>1</v>
      </c>
      <c r="Q452" s="53" t="n">
        <f aca="false">IF(P452=1,F452/E452*MIN(L452/K452,1)*MIN(MAX(M452/L452,0),1),0)</f>
        <v>0.781403970434539</v>
      </c>
      <c r="R452" s="55" t="n">
        <f aca="false">IF(F452&gt;0,N452/(F452/3600),0)</f>
        <v>2.20505289094991</v>
      </c>
    </row>
    <row r="453" customFormat="false" ht="15" hidden="false" customHeight="false" outlineLevel="0" collapsed="false">
      <c r="A453" s="0" t="s">
        <v>258</v>
      </c>
      <c r="B453" s="52" t="n">
        <v>44337</v>
      </c>
      <c r="C453" s="0" t="n">
        <v>84138.299</v>
      </c>
      <c r="D453" s="0" t="n">
        <v>2737.921</v>
      </c>
      <c r="E453" s="0" t="n">
        <v>81400.378</v>
      </c>
      <c r="F453" s="0" t="n">
        <v>73830.245</v>
      </c>
      <c r="G453" s="0" t="n">
        <v>59971.071</v>
      </c>
      <c r="H453" s="0" t="n">
        <v>13859.174</v>
      </c>
      <c r="I453" s="0" t="n">
        <v>7266.553</v>
      </c>
      <c r="J453" s="0" t="n">
        <v>303.58</v>
      </c>
      <c r="K453" s="0" t="n">
        <v>92287.80625</v>
      </c>
      <c r="L453" s="0" t="n">
        <v>73609</v>
      </c>
      <c r="M453" s="0" t="n">
        <v>73439</v>
      </c>
      <c r="N453" s="0" t="n">
        <v>61</v>
      </c>
      <c r="O453" s="54" t="n">
        <f aca="false">YEAR(B453)</f>
        <v>2021</v>
      </c>
      <c r="P453" s="54" t="n">
        <f aca="false">IF(AND(E453&gt;=14400,K453&gt;0,L453&gt;0),1,0)</f>
        <v>1</v>
      </c>
      <c r="Q453" s="53" t="n">
        <f aca="false">IF(P453=1,F453/E453*MIN(L453/K453,1)*MIN(MAX(M453/L453,0),1),0)</f>
        <v>0.721755862116512</v>
      </c>
      <c r="R453" s="55" t="n">
        <f aca="false">IF(F453&gt;0,N453/(F453/3600),0)</f>
        <v>2.97439077982201</v>
      </c>
    </row>
    <row r="454" customFormat="false" ht="15" hidden="false" customHeight="false" outlineLevel="0" collapsed="false">
      <c r="A454" s="0" t="s">
        <v>258</v>
      </c>
      <c r="B454" s="52" t="n">
        <v>44338</v>
      </c>
      <c r="C454" s="0" t="n">
        <v>36361.507</v>
      </c>
      <c r="D454" s="0" t="n">
        <v>12402.048</v>
      </c>
      <c r="E454" s="0" t="n">
        <v>23959.459</v>
      </c>
      <c r="F454" s="0" t="n">
        <v>16911.13</v>
      </c>
      <c r="G454" s="0" t="n">
        <v>16607.329</v>
      </c>
      <c r="H454" s="0" t="n">
        <v>303.801</v>
      </c>
      <c r="I454" s="0" t="n">
        <v>1067.24</v>
      </c>
      <c r="J454" s="0" t="n">
        <v>5981.089</v>
      </c>
      <c r="K454" s="0" t="n">
        <v>21007.2701388889</v>
      </c>
      <c r="L454" s="0" t="n">
        <v>20704</v>
      </c>
      <c r="M454" s="0" t="n">
        <v>20667</v>
      </c>
      <c r="N454" s="0" t="n">
        <v>14</v>
      </c>
      <c r="O454" s="54" t="n">
        <f aca="false">YEAR(B454)</f>
        <v>2021</v>
      </c>
      <c r="P454" s="54" t="n">
        <f aca="false">IF(AND(E454&gt;=14400,K454&gt;0,L454&gt;0),1,0)</f>
        <v>1</v>
      </c>
      <c r="Q454" s="53" t="n">
        <f aca="false">IF(P454=1,F454/E454*MIN(L454/K454,1)*MIN(MAX(M454/L454,0),1),0)</f>
        <v>0.694389971105151</v>
      </c>
      <c r="R454" s="55" t="n">
        <f aca="false">IF(F454&gt;0,N454/(F454/3600),0)</f>
        <v>2.98028576446399</v>
      </c>
    </row>
    <row r="455" customFormat="false" ht="15" hidden="false" customHeight="false" outlineLevel="0" collapsed="false">
      <c r="A455" s="0" t="s">
        <v>258</v>
      </c>
      <c r="B455" s="52" t="n">
        <v>44339</v>
      </c>
      <c r="C455" s="0" t="n">
        <v>26855.989</v>
      </c>
      <c r="D455" s="0" t="n">
        <v>19229.74</v>
      </c>
      <c r="E455" s="0" t="n">
        <v>7626.249</v>
      </c>
      <c r="F455" s="0" t="n">
        <v>4232.261</v>
      </c>
      <c r="G455" s="0" t="n">
        <v>3423.762</v>
      </c>
      <c r="H455" s="0" t="n">
        <v>808.499</v>
      </c>
      <c r="I455" s="0" t="n">
        <v>439</v>
      </c>
      <c r="J455" s="0" t="n">
        <v>2954.988</v>
      </c>
      <c r="K455" s="0" t="n">
        <v>5290.32625</v>
      </c>
      <c r="L455" s="0" t="n">
        <v>4234</v>
      </c>
      <c r="M455" s="0" t="n">
        <v>4214</v>
      </c>
      <c r="N455" s="0" t="n">
        <v>12</v>
      </c>
      <c r="O455" s="54" t="n">
        <f aca="false">YEAR(B455)</f>
        <v>2021</v>
      </c>
      <c r="P455" s="54" t="n">
        <f aca="false">IF(AND(E455&gt;=14400,K455&gt;0,L455&gt;0),1,0)</f>
        <v>0</v>
      </c>
      <c r="Q455" s="53" t="n">
        <f aca="false">IF(P455=1,F455/E455*MIN(L455/K455,1)*MIN(MAX(M455/L455,0),1),0)</f>
        <v>0</v>
      </c>
      <c r="R455" s="55" t="n">
        <f aca="false">IF(F455&gt;0,N455/(F455/3600),0)</f>
        <v>10.2073099934054</v>
      </c>
    </row>
    <row r="456" customFormat="false" ht="15" hidden="false" customHeight="false" outlineLevel="0" collapsed="false">
      <c r="A456" s="0" t="s">
        <v>258</v>
      </c>
      <c r="B456" s="52" t="n">
        <v>44340</v>
      </c>
      <c r="C456" s="0" t="n">
        <v>83682.758</v>
      </c>
      <c r="D456" s="0" t="n">
        <v>3385.487</v>
      </c>
      <c r="E456" s="0" t="n">
        <v>80297.271</v>
      </c>
      <c r="F456" s="0" t="n">
        <v>56383.292</v>
      </c>
      <c r="G456" s="0" t="n">
        <v>47255.69</v>
      </c>
      <c r="H456" s="0" t="n">
        <v>9127.602</v>
      </c>
      <c r="I456" s="0" t="n">
        <v>17431.521</v>
      </c>
      <c r="J456" s="0" t="n">
        <v>6482.458</v>
      </c>
      <c r="K456" s="0" t="n">
        <v>70479.115</v>
      </c>
      <c r="L456" s="0" t="n">
        <v>58783</v>
      </c>
      <c r="M456" s="0" t="n">
        <v>58419</v>
      </c>
      <c r="N456" s="0" t="n">
        <v>72</v>
      </c>
      <c r="O456" s="54" t="n">
        <f aca="false">YEAR(B456)</f>
        <v>2021</v>
      </c>
      <c r="P456" s="54" t="n">
        <f aca="false">IF(AND(E456&gt;=14400,K456&gt;0,L456&gt;0),1,0)</f>
        <v>1</v>
      </c>
      <c r="Q456" s="53" t="n">
        <f aca="false">IF(P456=1,F456/E456*MIN(L456/K456,1)*MIN(MAX(M456/L456,0),1),0)</f>
        <v>0.582027252208858</v>
      </c>
      <c r="R456" s="55" t="n">
        <f aca="false">IF(F456&gt;0,N456/(F456/3600),0)</f>
        <v>4.59710653290695</v>
      </c>
    </row>
    <row r="457" customFormat="false" ht="15" hidden="false" customHeight="false" outlineLevel="0" collapsed="false">
      <c r="A457" s="0" t="s">
        <v>258</v>
      </c>
      <c r="B457" s="52" t="n">
        <v>44341</v>
      </c>
      <c r="C457" s="0" t="n">
        <v>85024.515</v>
      </c>
      <c r="D457" s="0" t="n">
        <v>7914.877</v>
      </c>
      <c r="E457" s="0" t="n">
        <v>77109.638</v>
      </c>
      <c r="F457" s="0" t="n">
        <v>67017.986</v>
      </c>
      <c r="G457" s="0" t="n">
        <v>56370.14</v>
      </c>
      <c r="H457" s="0" t="n">
        <v>10647.846</v>
      </c>
      <c r="I457" s="0" t="n">
        <v>2711.918</v>
      </c>
      <c r="J457" s="0" t="n">
        <v>7379.734</v>
      </c>
      <c r="K457" s="0" t="n">
        <v>83772.4825</v>
      </c>
      <c r="L457" s="0" t="n">
        <v>70205</v>
      </c>
      <c r="M457" s="0" t="n">
        <v>70035</v>
      </c>
      <c r="N457" s="0" t="n">
        <v>35</v>
      </c>
      <c r="O457" s="54" t="n">
        <f aca="false">YEAR(B457)</f>
        <v>2021</v>
      </c>
      <c r="P457" s="54" t="n">
        <f aca="false">IF(AND(E457&gt;=14400,K457&gt;0,L457&gt;0),1,0)</f>
        <v>1</v>
      </c>
      <c r="Q457" s="53" t="n">
        <f aca="false">IF(P457=1,F457/E457*MIN(L457/K457,1)*MIN(MAX(M457/L457,0),1),0)</f>
        <v>0.726601777069684</v>
      </c>
      <c r="R457" s="55" t="n">
        <f aca="false">IF(F457&gt;0,N457/(F457/3600),0)</f>
        <v>1.88009230835436</v>
      </c>
    </row>
    <row r="458" customFormat="false" ht="15" hidden="false" customHeight="false" outlineLevel="0" collapsed="false">
      <c r="A458" s="0" t="s">
        <v>258</v>
      </c>
      <c r="B458" s="52" t="n">
        <v>44342</v>
      </c>
      <c r="C458" s="0" t="n">
        <v>83934.507</v>
      </c>
      <c r="D458" s="0" t="n">
        <v>7957.27</v>
      </c>
      <c r="E458" s="0" t="n">
        <v>75977.237</v>
      </c>
      <c r="F458" s="0" t="n">
        <v>62806.463</v>
      </c>
      <c r="G458" s="0" t="n">
        <v>50550.172</v>
      </c>
      <c r="H458" s="0" t="n">
        <v>12256.291</v>
      </c>
      <c r="I458" s="0" t="n">
        <v>9111.555</v>
      </c>
      <c r="J458" s="0" t="n">
        <v>4059.219</v>
      </c>
      <c r="K458" s="0" t="n">
        <v>78508.07875</v>
      </c>
      <c r="L458" s="0" t="n">
        <v>61908</v>
      </c>
      <c r="M458" s="0" t="n">
        <v>61527</v>
      </c>
      <c r="N458" s="0" t="n">
        <v>48</v>
      </c>
      <c r="O458" s="54" t="n">
        <f aca="false">YEAR(B458)</f>
        <v>2021</v>
      </c>
      <c r="P458" s="54" t="n">
        <f aca="false">IF(AND(E458&gt;=14400,K458&gt;0,L458&gt;0),1,0)</f>
        <v>1</v>
      </c>
      <c r="Q458" s="53" t="n">
        <f aca="false">IF(P458=1,F458/E458*MIN(L458/K458,1)*MIN(MAX(M458/L458,0),1),0)</f>
        <v>0.647846670180965</v>
      </c>
      <c r="R458" s="55" t="n">
        <f aca="false">IF(F458&gt;0,N458/(F458/3600),0)</f>
        <v>2.75130920841697</v>
      </c>
    </row>
    <row r="459" customFormat="false" ht="15" hidden="false" customHeight="false" outlineLevel="0" collapsed="false">
      <c r="A459" s="0" t="s">
        <v>258</v>
      </c>
      <c r="B459" s="52" t="n">
        <v>44343</v>
      </c>
      <c r="C459" s="0" t="n">
        <v>85853.043</v>
      </c>
      <c r="D459" s="0" t="n">
        <v>7977.182</v>
      </c>
      <c r="E459" s="0" t="n">
        <v>77875.861</v>
      </c>
      <c r="F459" s="0" t="n">
        <v>64878.826</v>
      </c>
      <c r="G459" s="0" t="n">
        <v>56801.438</v>
      </c>
      <c r="H459" s="0" t="n">
        <v>8077.388</v>
      </c>
      <c r="I459" s="0" t="n">
        <v>11153.775</v>
      </c>
      <c r="J459" s="0" t="n">
        <v>1843.26</v>
      </c>
      <c r="K459" s="0" t="n">
        <v>81098.5325</v>
      </c>
      <c r="L459" s="0" t="n">
        <v>69638</v>
      </c>
      <c r="M459" s="0" t="n">
        <v>69483</v>
      </c>
      <c r="N459" s="0" t="n">
        <v>52</v>
      </c>
      <c r="O459" s="54" t="n">
        <f aca="false">YEAR(B459)</f>
        <v>2021</v>
      </c>
      <c r="P459" s="54" t="n">
        <f aca="false">IF(AND(E459&gt;=14400,K459&gt;0,L459&gt;0),1,0)</f>
        <v>1</v>
      </c>
      <c r="Q459" s="53" t="n">
        <f aca="false">IF(P459=1,F459/E459*MIN(L459/K459,1)*MIN(MAX(M459/L459,0),1),0)</f>
        <v>0.713782156450251</v>
      </c>
      <c r="R459" s="55" t="n">
        <f aca="false">IF(F459&gt;0,N459/(F459/3600),0)</f>
        <v>2.88537896786233</v>
      </c>
    </row>
    <row r="460" customFormat="false" ht="15" hidden="false" customHeight="false" outlineLevel="0" collapsed="false">
      <c r="A460" s="0" t="s">
        <v>258</v>
      </c>
      <c r="B460" s="52" t="n">
        <v>44344</v>
      </c>
      <c r="C460" s="0" t="n">
        <v>82653.939</v>
      </c>
      <c r="D460" s="0" t="n">
        <v>2713.459</v>
      </c>
      <c r="E460" s="0" t="n">
        <v>79940.48</v>
      </c>
      <c r="F460" s="0" t="n">
        <v>62176.062</v>
      </c>
      <c r="G460" s="0" t="n">
        <v>47051.494</v>
      </c>
      <c r="H460" s="0" t="n">
        <v>15124.568</v>
      </c>
      <c r="I460" s="0" t="n">
        <v>17210.938</v>
      </c>
      <c r="J460" s="0" t="n">
        <v>553.48</v>
      </c>
      <c r="K460" s="0" t="n">
        <v>77720.0775</v>
      </c>
      <c r="L460" s="0" t="n">
        <v>57532</v>
      </c>
      <c r="M460" s="0" t="n">
        <v>57023</v>
      </c>
      <c r="N460" s="0" t="n">
        <v>77</v>
      </c>
      <c r="O460" s="54" t="n">
        <f aca="false">YEAR(B460)</f>
        <v>2021</v>
      </c>
      <c r="P460" s="54" t="n">
        <f aca="false">IF(AND(E460&gt;=14400,K460&gt;0,L460&gt;0),1,0)</f>
        <v>1</v>
      </c>
      <c r="Q460" s="53" t="n">
        <f aca="false">IF(P460=1,F460/E460*MIN(L460/K460,1)*MIN(MAX(M460/L460,0),1),0)</f>
        <v>0.570654566997846</v>
      </c>
      <c r="R460" s="55" t="n">
        <f aca="false">IF(F460&gt;0,N460/(F460/3600),0)</f>
        <v>4.45830744314428</v>
      </c>
    </row>
    <row r="461" customFormat="false" ht="15" hidden="false" customHeight="false" outlineLevel="0" collapsed="false">
      <c r="A461" s="0" t="s">
        <v>258</v>
      </c>
      <c r="B461" s="52" t="n">
        <v>44345</v>
      </c>
      <c r="C461" s="0" t="n">
        <v>72210.558</v>
      </c>
      <c r="D461" s="0" t="n">
        <v>53821.659</v>
      </c>
      <c r="E461" s="0" t="n">
        <v>18388.899</v>
      </c>
      <c r="F461" s="0" t="n">
        <v>14729.281</v>
      </c>
      <c r="G461" s="0" t="n">
        <v>12984.071</v>
      </c>
      <c r="H461" s="0" t="n">
        <v>1745.21</v>
      </c>
      <c r="I461" s="0" t="n">
        <v>1025.489</v>
      </c>
      <c r="J461" s="0" t="n">
        <v>2634.129</v>
      </c>
      <c r="K461" s="0" t="n">
        <v>18287.295</v>
      </c>
      <c r="L461" s="0" t="n">
        <v>16154</v>
      </c>
      <c r="M461" s="0" t="n">
        <v>16139</v>
      </c>
      <c r="N461" s="0" t="n">
        <v>9</v>
      </c>
      <c r="O461" s="54" t="n">
        <f aca="false">YEAR(B461)</f>
        <v>2021</v>
      </c>
      <c r="P461" s="54" t="n">
        <f aca="false">IF(AND(E461&gt;=14400,K461&gt;0,L461&gt;0),1,0)</f>
        <v>1</v>
      </c>
      <c r="Q461" s="53" t="n">
        <f aca="false">IF(P461=1,F461/E461*MIN(L461/K461,1)*MIN(MAX(M461/L461,0),1),0)</f>
        <v>0.706891844134147</v>
      </c>
      <c r="R461" s="55" t="n">
        <f aca="false">IF(F461&gt;0,N461/(F461/3600),0)</f>
        <v>2.19970003966928</v>
      </c>
    </row>
    <row r="462" customFormat="false" ht="15" hidden="false" customHeight="false" outlineLevel="0" collapsed="false">
      <c r="A462" s="0" t="s">
        <v>258</v>
      </c>
      <c r="B462" s="52" t="n">
        <v>44346</v>
      </c>
      <c r="C462" s="0" t="n">
        <v>43390.058</v>
      </c>
      <c r="D462" s="0" t="n">
        <v>2616.193</v>
      </c>
      <c r="E462" s="0" t="n">
        <v>40773.865</v>
      </c>
      <c r="F462" s="0" t="n">
        <v>33245.401</v>
      </c>
      <c r="G462" s="0" t="n">
        <v>19187.868</v>
      </c>
      <c r="H462" s="0" t="n">
        <v>14057.533</v>
      </c>
      <c r="I462" s="0" t="n">
        <v>3719.037</v>
      </c>
      <c r="J462" s="0" t="n">
        <v>3809.427</v>
      </c>
      <c r="K462" s="0" t="n">
        <v>41556.75125</v>
      </c>
      <c r="L462" s="0" t="n">
        <v>23904</v>
      </c>
      <c r="M462" s="0" t="n">
        <v>23683</v>
      </c>
      <c r="N462" s="0" t="n">
        <v>23</v>
      </c>
      <c r="O462" s="54" t="n">
        <f aca="false">YEAR(B462)</f>
        <v>2021</v>
      </c>
      <c r="P462" s="54" t="n">
        <f aca="false">IF(AND(E462&gt;=14400,K462&gt;0,L462&gt;0),1,0)</f>
        <v>1</v>
      </c>
      <c r="Q462" s="53" t="n">
        <f aca="false">IF(P462=1,F462/E462*MIN(L462/K462,1)*MIN(MAX(M462/L462,0),1),0)</f>
        <v>0.464670199893976</v>
      </c>
      <c r="R462" s="55" t="n">
        <f aca="false">IF(F462&gt;0,N462/(F462/3600),0)</f>
        <v>2.49057004907235</v>
      </c>
    </row>
    <row r="463" customFormat="false" ht="15" hidden="false" customHeight="false" outlineLevel="0" collapsed="false">
      <c r="A463" s="0" t="s">
        <v>258</v>
      </c>
      <c r="B463" s="52" t="n">
        <v>44347</v>
      </c>
      <c r="C463" s="0" t="n">
        <v>80772.466</v>
      </c>
      <c r="D463" s="0" t="n">
        <v>8356.924</v>
      </c>
      <c r="E463" s="0" t="n">
        <v>72415.542</v>
      </c>
      <c r="F463" s="0" t="n">
        <v>47216.198</v>
      </c>
      <c r="G463" s="0" t="n">
        <v>39163.898</v>
      </c>
      <c r="H463" s="0" t="n">
        <v>8052.3</v>
      </c>
      <c r="I463" s="0" t="n">
        <v>16476.431</v>
      </c>
      <c r="J463" s="0" t="n">
        <v>8722.913</v>
      </c>
      <c r="K463" s="0" t="n">
        <v>59020.2475</v>
      </c>
      <c r="L463" s="0" t="n">
        <v>47729</v>
      </c>
      <c r="M463" s="0" t="n">
        <v>47318</v>
      </c>
      <c r="N463" s="0" t="n">
        <v>42</v>
      </c>
      <c r="O463" s="54" t="n">
        <f aca="false">YEAR(B463)</f>
        <v>2021</v>
      </c>
      <c r="P463" s="54" t="n">
        <f aca="false">IF(AND(E463&gt;=14400,K463&gt;0,L463&gt;0),1,0)</f>
        <v>1</v>
      </c>
      <c r="Q463" s="53" t="n">
        <f aca="false">IF(P463=1,F463/E463*MIN(L463/K463,1)*MIN(MAX(M463/L463,0),1),0)</f>
        <v>0.52273861321096</v>
      </c>
      <c r="R463" s="55" t="n">
        <f aca="false">IF(F463&gt;0,N463/(F463/3600),0)</f>
        <v>3.20229087483918</v>
      </c>
    </row>
    <row r="464" customFormat="false" ht="15" hidden="false" customHeight="false" outlineLevel="0" collapsed="false">
      <c r="A464" s="0" t="s">
        <v>258</v>
      </c>
      <c r="B464" s="52" t="n">
        <v>44348</v>
      </c>
      <c r="C464" s="0" t="n">
        <v>88200.209</v>
      </c>
      <c r="D464" s="0" t="n">
        <v>7715.168</v>
      </c>
      <c r="E464" s="0" t="n">
        <v>80485.041</v>
      </c>
      <c r="F464" s="0" t="n">
        <v>62232.164</v>
      </c>
      <c r="G464" s="0" t="n">
        <v>50970.362</v>
      </c>
      <c r="H464" s="0" t="n">
        <v>11261.802</v>
      </c>
      <c r="I464" s="0" t="n">
        <v>6597.938</v>
      </c>
      <c r="J464" s="0" t="n">
        <v>11654.939</v>
      </c>
      <c r="K464" s="0" t="n">
        <v>76382.9965625</v>
      </c>
      <c r="L464" s="0" t="n">
        <v>62046</v>
      </c>
      <c r="M464" s="0" t="n">
        <v>61873</v>
      </c>
      <c r="N464" s="0" t="n">
        <v>53</v>
      </c>
      <c r="O464" s="54" t="n">
        <f aca="false">YEAR(B464)</f>
        <v>2021</v>
      </c>
      <c r="P464" s="54" t="n">
        <f aca="false">IF(AND(E464&gt;=14400,K464&gt;0,L464&gt;0),1,0)</f>
        <v>1</v>
      </c>
      <c r="Q464" s="53" t="n">
        <f aca="false">IF(P464=1,F464/E464*MIN(L464/K464,1)*MIN(MAX(M464/L464,0),1),0)</f>
        <v>0.626331443802528</v>
      </c>
      <c r="R464" s="55" t="n">
        <f aca="false">IF(F464&gt;0,N464/(F464/3600),0)</f>
        <v>3.06593870012298</v>
      </c>
    </row>
    <row r="465" customFormat="false" ht="15" hidden="false" customHeight="false" outlineLevel="0" collapsed="false">
      <c r="A465" s="0" t="s">
        <v>258</v>
      </c>
      <c r="B465" s="52" t="n">
        <v>44349</v>
      </c>
      <c r="C465" s="0" t="n">
        <v>81404.805</v>
      </c>
      <c r="D465" s="0" t="n">
        <v>4889.618</v>
      </c>
      <c r="E465" s="0" t="n">
        <v>76515.187</v>
      </c>
      <c r="F465" s="0" t="n">
        <v>47655.554</v>
      </c>
      <c r="G465" s="0" t="n">
        <v>29142.352</v>
      </c>
      <c r="H465" s="0" t="n">
        <v>18513.202</v>
      </c>
      <c r="I465" s="0" t="n">
        <v>15622.826</v>
      </c>
      <c r="J465" s="0" t="n">
        <v>13236.807</v>
      </c>
      <c r="K465" s="0" t="n">
        <v>59514.0494444445</v>
      </c>
      <c r="L465" s="0" t="n">
        <v>36160</v>
      </c>
      <c r="M465" s="0" t="n">
        <v>36005</v>
      </c>
      <c r="N465" s="0" t="n">
        <v>67</v>
      </c>
      <c r="O465" s="54" t="n">
        <f aca="false">YEAR(B465)</f>
        <v>2021</v>
      </c>
      <c r="P465" s="54" t="n">
        <f aca="false">IF(AND(E465&gt;=14400,K465&gt;0,L465&gt;0),1,0)</f>
        <v>1</v>
      </c>
      <c r="Q465" s="53" t="n">
        <f aca="false">IF(P465=1,F465/E465*MIN(L465/K465,1)*MIN(MAX(M465/L465,0),1),0)</f>
        <v>0.376798523596998</v>
      </c>
      <c r="R465" s="55" t="n">
        <f aca="false">IF(F465&gt;0,N465/(F465/3600),0)</f>
        <v>5.06131982014101</v>
      </c>
    </row>
    <row r="466" customFormat="false" ht="15" hidden="false" customHeight="false" outlineLevel="0" collapsed="false">
      <c r="A466" s="0" t="s">
        <v>258</v>
      </c>
      <c r="B466" s="52" t="n">
        <v>44350</v>
      </c>
      <c r="C466" s="0" t="n">
        <v>86403.866</v>
      </c>
      <c r="D466" s="0" t="n">
        <v>8504.429</v>
      </c>
      <c r="E466" s="0" t="n">
        <v>77899.437</v>
      </c>
      <c r="F466" s="0" t="n">
        <v>54074.727</v>
      </c>
      <c r="G466" s="0" t="n">
        <v>44410.169</v>
      </c>
      <c r="H466" s="0" t="n">
        <v>9664.558</v>
      </c>
      <c r="I466" s="0" t="n">
        <v>20273.381</v>
      </c>
      <c r="J466" s="0" t="n">
        <v>3551.329</v>
      </c>
      <c r="K466" s="0" t="n">
        <v>67593.40875</v>
      </c>
      <c r="L466" s="0" t="n">
        <v>55135</v>
      </c>
      <c r="M466" s="0" t="n">
        <v>54749</v>
      </c>
      <c r="N466" s="0" t="n">
        <v>107</v>
      </c>
      <c r="O466" s="54" t="n">
        <f aca="false">YEAR(B466)</f>
        <v>2021</v>
      </c>
      <c r="P466" s="54" t="n">
        <f aca="false">IF(AND(E466&gt;=14400,K466&gt;0,L466&gt;0),1,0)</f>
        <v>1</v>
      </c>
      <c r="Q466" s="53" t="n">
        <f aca="false">IF(P466=1,F466/E466*MIN(L466/K466,1)*MIN(MAX(M466/L466,0),1),0)</f>
        <v>0.562253100750908</v>
      </c>
      <c r="R466" s="55" t="n">
        <f aca="false">IF(F466&gt;0,N466/(F466/3600),0)</f>
        <v>7.12347563030693</v>
      </c>
    </row>
    <row r="467" customFormat="false" ht="15" hidden="false" customHeight="false" outlineLevel="0" collapsed="false">
      <c r="A467" s="0" t="s">
        <v>258</v>
      </c>
      <c r="B467" s="52" t="n">
        <v>44351</v>
      </c>
      <c r="C467" s="0" t="n">
        <v>86526.008</v>
      </c>
      <c r="D467" s="0" t="n">
        <v>3805.591</v>
      </c>
      <c r="E467" s="0" t="n">
        <v>82720.417</v>
      </c>
      <c r="F467" s="0" t="n">
        <v>61382.587</v>
      </c>
      <c r="G467" s="0" t="n">
        <v>55781.695</v>
      </c>
      <c r="H467" s="0" t="n">
        <v>5600.892</v>
      </c>
      <c r="I467" s="0" t="n">
        <v>19665.7</v>
      </c>
      <c r="J467" s="0" t="n">
        <v>1672.13</v>
      </c>
      <c r="K467" s="0" t="n">
        <v>76728.23375</v>
      </c>
      <c r="L467" s="0" t="n">
        <v>69421</v>
      </c>
      <c r="M467" s="0" t="n">
        <v>69193</v>
      </c>
      <c r="N467" s="0" t="n">
        <v>67</v>
      </c>
      <c r="O467" s="54" t="n">
        <f aca="false">YEAR(B467)</f>
        <v>2021</v>
      </c>
      <c r="P467" s="54" t="n">
        <f aca="false">IF(AND(E467&gt;=14400,K467&gt;0,L467&gt;0),1,0)</f>
        <v>1</v>
      </c>
      <c r="Q467" s="53" t="n">
        <f aca="false">IF(P467=1,F467/E467*MIN(L467/K467,1)*MIN(MAX(M467/L467,0),1),0)</f>
        <v>0.669174576332225</v>
      </c>
      <c r="R467" s="55" t="n">
        <f aca="false">IF(F467&gt;0,N467/(F467/3600),0)</f>
        <v>3.92945315256915</v>
      </c>
    </row>
    <row r="468" customFormat="false" ht="15" hidden="false" customHeight="false" outlineLevel="0" collapsed="false">
      <c r="A468" s="0" t="s">
        <v>258</v>
      </c>
      <c r="B468" s="52" t="n">
        <v>44352</v>
      </c>
      <c r="C468" s="0" t="n">
        <v>23703.941</v>
      </c>
      <c r="D468" s="0" t="n">
        <v>1040.829</v>
      </c>
      <c r="E468" s="0" t="n">
        <v>22663.112</v>
      </c>
      <c r="F468" s="0" t="n">
        <v>17802.067</v>
      </c>
      <c r="G468" s="0" t="n">
        <v>17456.661</v>
      </c>
      <c r="H468" s="0" t="n">
        <v>345.406</v>
      </c>
      <c r="I468" s="0" t="n">
        <v>3675.646</v>
      </c>
      <c r="J468" s="0" t="n">
        <v>1185.399</v>
      </c>
      <c r="K468" s="0" t="n">
        <v>22248.3435416667</v>
      </c>
      <c r="L468" s="0" t="n">
        <v>21768</v>
      </c>
      <c r="M468" s="0" t="n">
        <v>21726</v>
      </c>
      <c r="N468" s="0" t="n">
        <v>21</v>
      </c>
      <c r="O468" s="54" t="n">
        <f aca="false">YEAR(B468)</f>
        <v>2021</v>
      </c>
      <c r="P468" s="54" t="n">
        <f aca="false">IF(AND(E468&gt;=14400,K468&gt;0,L468&gt;0),1,0)</f>
        <v>1</v>
      </c>
      <c r="Q468" s="53" t="n">
        <f aca="false">IF(P468=1,F468/E468*MIN(L468/K468,1)*MIN(MAX(M468/L468,0),1),0)</f>
        <v>0.767066434911738</v>
      </c>
      <c r="R468" s="55" t="n">
        <f aca="false">IF(F468&gt;0,N468/(F468/3600),0)</f>
        <v>4.24669786941033</v>
      </c>
    </row>
    <row r="469" customFormat="false" ht="15" hidden="false" customHeight="false" outlineLevel="0" collapsed="false">
      <c r="A469" s="0" t="s">
        <v>258</v>
      </c>
      <c r="B469" s="52" t="n">
        <v>44353</v>
      </c>
      <c r="C469" s="0" t="n">
        <v>72494.413</v>
      </c>
      <c r="D469" s="0" t="n">
        <v>10768.417</v>
      </c>
      <c r="E469" s="0" t="n">
        <v>61725.996</v>
      </c>
      <c r="F469" s="0" t="n">
        <v>50338.612</v>
      </c>
      <c r="G469" s="0" t="n">
        <v>38921.059</v>
      </c>
      <c r="H469" s="0" t="n">
        <v>11417.553</v>
      </c>
      <c r="I469" s="0" t="n">
        <v>5134.467</v>
      </c>
      <c r="J469" s="0" t="n">
        <v>6252.917</v>
      </c>
      <c r="K469" s="0" t="n">
        <v>62494.175</v>
      </c>
      <c r="L469" s="0" t="n">
        <v>48483</v>
      </c>
      <c r="M469" s="0" t="n">
        <v>48275</v>
      </c>
      <c r="N469" s="0" t="n">
        <v>38</v>
      </c>
      <c r="O469" s="54" t="n">
        <f aca="false">YEAR(B469)</f>
        <v>2021</v>
      </c>
      <c r="P469" s="54" t="n">
        <f aca="false">IF(AND(E469&gt;=14400,K469&gt;0,L469&gt;0),1,0)</f>
        <v>1</v>
      </c>
      <c r="Q469" s="53" t="n">
        <f aca="false">IF(P469=1,F469/E469*MIN(L469/K469,1)*MIN(MAX(M469/L469,0),1),0)</f>
        <v>0.629964205137463</v>
      </c>
      <c r="R469" s="55" t="n">
        <f aca="false">IF(F469&gt;0,N469/(F469/3600),0)</f>
        <v>2.71759578909327</v>
      </c>
    </row>
    <row r="470" customFormat="false" ht="15" hidden="false" customHeight="false" outlineLevel="0" collapsed="false">
      <c r="A470" s="0" t="s">
        <v>258</v>
      </c>
      <c r="B470" s="52" t="n">
        <v>44354</v>
      </c>
      <c r="C470" s="0" t="n">
        <v>84684.031</v>
      </c>
      <c r="D470" s="0" t="n">
        <v>9843.678</v>
      </c>
      <c r="E470" s="0" t="n">
        <v>74840.353</v>
      </c>
      <c r="F470" s="0" t="n">
        <v>54861.163</v>
      </c>
      <c r="G470" s="0" t="n">
        <v>44816.688</v>
      </c>
      <c r="H470" s="0" t="n">
        <v>10044.475</v>
      </c>
      <c r="I470" s="0" t="n">
        <v>9796.651</v>
      </c>
      <c r="J470" s="0" t="n">
        <v>10182.539</v>
      </c>
      <c r="K470" s="0" t="n">
        <v>68576.45375</v>
      </c>
      <c r="L470" s="0" t="n">
        <v>55786</v>
      </c>
      <c r="M470" s="0" t="n">
        <v>55352</v>
      </c>
      <c r="N470" s="0" t="n">
        <v>45</v>
      </c>
      <c r="O470" s="54" t="n">
        <f aca="false">YEAR(B470)</f>
        <v>2021</v>
      </c>
      <c r="P470" s="54" t="n">
        <f aca="false">IF(AND(E470&gt;=14400,K470&gt;0,L470&gt;0),1,0)</f>
        <v>1</v>
      </c>
      <c r="Q470" s="53" t="n">
        <f aca="false">IF(P470=1,F470/E470*MIN(L470/K470,1)*MIN(MAX(M470/L470,0),1),0)</f>
        <v>0.591680800864208</v>
      </c>
      <c r="R470" s="55" t="n">
        <f aca="false">IF(F470&gt;0,N470/(F470/3600),0)</f>
        <v>2.95290859947683</v>
      </c>
    </row>
    <row r="471" customFormat="false" ht="15" hidden="false" customHeight="false" outlineLevel="0" collapsed="false">
      <c r="A471" s="0" t="s">
        <v>258</v>
      </c>
      <c r="B471" s="52" t="n">
        <v>44355</v>
      </c>
      <c r="C471" s="0" t="n">
        <v>105754.944</v>
      </c>
      <c r="D471" s="0" t="n">
        <v>3127.766</v>
      </c>
      <c r="E471" s="0" t="n">
        <v>102627.178</v>
      </c>
      <c r="F471" s="0" t="n">
        <v>52260.217</v>
      </c>
      <c r="G471" s="0" t="n">
        <v>27748.902</v>
      </c>
      <c r="H471" s="0" t="n">
        <v>24511.315</v>
      </c>
      <c r="I471" s="0" t="n">
        <v>15958.14</v>
      </c>
      <c r="J471" s="0" t="n">
        <v>34408.821</v>
      </c>
      <c r="K471" s="0" t="n">
        <v>65325.27125</v>
      </c>
      <c r="L471" s="0" t="n">
        <v>34378</v>
      </c>
      <c r="M471" s="0" t="n">
        <v>34014</v>
      </c>
      <c r="N471" s="0" t="n">
        <v>91</v>
      </c>
      <c r="O471" s="54" t="n">
        <f aca="false">YEAR(B471)</f>
        <v>2021</v>
      </c>
      <c r="P471" s="54" t="n">
        <f aca="false">IF(AND(E471&gt;=14400,K471&gt;0,L471&gt;0),1,0)</f>
        <v>1</v>
      </c>
      <c r="Q471" s="53" t="n">
        <f aca="false">IF(P471=1,F471/E471*MIN(L471/K471,1)*MIN(MAX(M471/L471,0),1),0)</f>
        <v>0.265146138969153</v>
      </c>
      <c r="R471" s="55" t="n">
        <f aca="false">IF(F471&gt;0,N471/(F471/3600),0)</f>
        <v>6.26863068708651</v>
      </c>
    </row>
    <row r="472" customFormat="false" ht="15" hidden="false" customHeight="false" outlineLevel="0" collapsed="false">
      <c r="A472" s="0" t="s">
        <v>258</v>
      </c>
      <c r="B472" s="52" t="n">
        <v>44356</v>
      </c>
      <c r="C472" s="0" t="n">
        <v>66767.346</v>
      </c>
      <c r="D472" s="0" t="n">
        <v>12735.765</v>
      </c>
      <c r="E472" s="0" t="n">
        <v>54031.581</v>
      </c>
      <c r="F472" s="0" t="n">
        <v>42988.405</v>
      </c>
      <c r="G472" s="0" t="n">
        <v>29447.937</v>
      </c>
      <c r="H472" s="0" t="n">
        <v>13540.468</v>
      </c>
      <c r="I472" s="0" t="n">
        <v>5242.507</v>
      </c>
      <c r="J472" s="0" t="n">
        <v>5800.669</v>
      </c>
      <c r="K472" s="0" t="n">
        <v>53735.50625</v>
      </c>
      <c r="L472" s="0" t="n">
        <v>36615</v>
      </c>
      <c r="M472" s="0" t="n">
        <v>36450</v>
      </c>
      <c r="N472" s="0" t="n">
        <v>34</v>
      </c>
      <c r="O472" s="54" t="n">
        <f aca="false">YEAR(B472)</f>
        <v>2021</v>
      </c>
      <c r="P472" s="54" t="n">
        <f aca="false">IF(AND(E472&gt;=14400,K472&gt;0,L472&gt;0),1,0)</f>
        <v>1</v>
      </c>
      <c r="Q472" s="53" t="n">
        <f aca="false">IF(P472=1,F472/E472*MIN(L472/K472,1)*MIN(MAX(M472/L472,0),1),0)</f>
        <v>0.539684374588262</v>
      </c>
      <c r="R472" s="55" t="n">
        <f aca="false">IF(F472&gt;0,N472/(F472/3600),0)</f>
        <v>2.84727940010801</v>
      </c>
    </row>
    <row r="473" customFormat="false" ht="15" hidden="false" customHeight="false" outlineLevel="0" collapsed="false">
      <c r="A473" s="0" t="s">
        <v>258</v>
      </c>
      <c r="B473" s="52" t="n">
        <v>44357</v>
      </c>
      <c r="C473" s="0" t="n">
        <v>88360.938</v>
      </c>
      <c r="D473" s="0" t="n">
        <v>13816.321</v>
      </c>
      <c r="E473" s="0" t="n">
        <v>74544.617</v>
      </c>
      <c r="F473" s="0" t="n">
        <v>64832.861</v>
      </c>
      <c r="G473" s="0" t="n">
        <v>48148.725</v>
      </c>
      <c r="H473" s="0" t="n">
        <v>16684.136</v>
      </c>
      <c r="I473" s="0" t="n">
        <v>3815.287</v>
      </c>
      <c r="J473" s="0" t="n">
        <v>5896.469</v>
      </c>
      <c r="K473" s="0" t="n">
        <v>80970.881875</v>
      </c>
      <c r="L473" s="0" t="n">
        <v>60092</v>
      </c>
      <c r="M473" s="0" t="n">
        <v>59894</v>
      </c>
      <c r="N473" s="0" t="n">
        <v>38</v>
      </c>
      <c r="O473" s="54" t="n">
        <f aca="false">YEAR(B473)</f>
        <v>2021</v>
      </c>
      <c r="P473" s="54" t="n">
        <f aca="false">IF(AND(E473&gt;=14400,K473&gt;0,L473&gt;0),1,0)</f>
        <v>1</v>
      </c>
      <c r="Q473" s="53" t="n">
        <f aca="false">IF(P473=1,F473/E473*MIN(L473/K473,1)*MIN(MAX(M473/L473,0),1),0)</f>
        <v>0.643329324657583</v>
      </c>
      <c r="R473" s="55" t="n">
        <f aca="false">IF(F473&gt;0,N473/(F473/3600),0)</f>
        <v>2.11004107932241</v>
      </c>
    </row>
    <row r="474" customFormat="false" ht="15" hidden="false" customHeight="false" outlineLevel="0" collapsed="false">
      <c r="A474" s="0" t="s">
        <v>258</v>
      </c>
      <c r="B474" s="52" t="n">
        <v>44358</v>
      </c>
      <c r="C474" s="0" t="n">
        <v>85122.247</v>
      </c>
      <c r="D474" s="0" t="n">
        <v>3748.735</v>
      </c>
      <c r="E474" s="0" t="n">
        <v>81373.512</v>
      </c>
      <c r="F474" s="0" t="n">
        <v>61702.999</v>
      </c>
      <c r="G474" s="0" t="n">
        <v>51922.855</v>
      </c>
      <c r="H474" s="0" t="n">
        <v>9780.144</v>
      </c>
      <c r="I474" s="0" t="n">
        <v>16102.73</v>
      </c>
      <c r="J474" s="0" t="n">
        <v>3567.783</v>
      </c>
      <c r="K474" s="0" t="n">
        <v>77128.74875</v>
      </c>
      <c r="L474" s="0" t="n">
        <v>64495</v>
      </c>
      <c r="M474" s="0" t="n">
        <v>64231</v>
      </c>
      <c r="N474" s="0" t="n">
        <v>91</v>
      </c>
      <c r="O474" s="54" t="n">
        <f aca="false">YEAR(B474)</f>
        <v>2021</v>
      </c>
      <c r="P474" s="54" t="n">
        <f aca="false">IF(AND(E474&gt;=14400,K474&gt;0,L474&gt;0),1,0)</f>
        <v>1</v>
      </c>
      <c r="Q474" s="53" t="n">
        <f aca="false">IF(P474=1,F474/E474*MIN(L474/K474,1)*MIN(MAX(M474/L474,0),1),0)</f>
        <v>0.631468382487904</v>
      </c>
      <c r="R474" s="55" t="n">
        <f aca="false">IF(F474&gt;0,N474/(F474/3600),0)</f>
        <v>5.30930433381366</v>
      </c>
    </row>
    <row r="475" customFormat="false" ht="15" hidden="false" customHeight="false" outlineLevel="0" collapsed="false">
      <c r="A475" s="0" t="s">
        <v>258</v>
      </c>
      <c r="B475" s="52" t="n">
        <v>44359</v>
      </c>
      <c r="C475" s="0" t="n">
        <v>49120.441</v>
      </c>
      <c r="D475" s="0" t="n">
        <v>5999.489</v>
      </c>
      <c r="E475" s="0" t="n">
        <v>43120.952</v>
      </c>
      <c r="F475" s="0" t="n">
        <v>29993.701</v>
      </c>
      <c r="G475" s="0" t="n">
        <v>25609.343</v>
      </c>
      <c r="H475" s="0" t="n">
        <v>4384.358</v>
      </c>
      <c r="I475" s="0" t="n">
        <v>11605.854</v>
      </c>
      <c r="J475" s="0" t="n">
        <v>1521.397</v>
      </c>
      <c r="K475" s="0" t="n">
        <v>37492.12625</v>
      </c>
      <c r="L475" s="0" t="n">
        <v>31864</v>
      </c>
      <c r="M475" s="0" t="n">
        <v>31766</v>
      </c>
      <c r="N475" s="0" t="n">
        <v>58</v>
      </c>
      <c r="O475" s="54" t="n">
        <f aca="false">YEAR(B475)</f>
        <v>2021</v>
      </c>
      <c r="P475" s="54" t="n">
        <f aca="false">IF(AND(E475&gt;=14400,K475&gt;0,L475&gt;0),1,0)</f>
        <v>1</v>
      </c>
      <c r="Q475" s="53" t="n">
        <f aca="false">IF(P475=1,F475/E475*MIN(L475/K475,1)*MIN(MAX(M475/L475,0),1),0)</f>
        <v>0.5893376380002</v>
      </c>
      <c r="R475" s="55" t="n">
        <f aca="false">IF(F475&gt;0,N475/(F475/3600),0)</f>
        <v>6.96146167490301</v>
      </c>
    </row>
    <row r="476" customFormat="false" ht="15" hidden="false" customHeight="false" outlineLevel="0" collapsed="false">
      <c r="A476" s="0" t="s">
        <v>258</v>
      </c>
      <c r="B476" s="52" t="n">
        <v>44360</v>
      </c>
      <c r="C476" s="0" t="n">
        <v>65162.804</v>
      </c>
      <c r="D476" s="0" t="n">
        <v>3348.349</v>
      </c>
      <c r="E476" s="0" t="n">
        <v>61814.455</v>
      </c>
      <c r="F476" s="0" t="n">
        <v>55741.325</v>
      </c>
      <c r="G476" s="0" t="n">
        <v>41709.463</v>
      </c>
      <c r="H476" s="0" t="n">
        <v>14031.862</v>
      </c>
      <c r="I476" s="0" t="n">
        <v>5174.44</v>
      </c>
      <c r="J476" s="0" t="n">
        <v>898.69</v>
      </c>
      <c r="K476" s="0" t="n">
        <v>69676.65625</v>
      </c>
      <c r="L476" s="0" t="n">
        <v>51932</v>
      </c>
      <c r="M476" s="0" t="n">
        <v>51813</v>
      </c>
      <c r="N476" s="0" t="n">
        <v>46</v>
      </c>
      <c r="O476" s="54" t="n">
        <f aca="false">YEAR(B476)</f>
        <v>2021</v>
      </c>
      <c r="P476" s="54" t="n">
        <f aca="false">IF(AND(E476&gt;=14400,K476&gt;0,L476&gt;0),1,0)</f>
        <v>1</v>
      </c>
      <c r="Q476" s="53" t="n">
        <f aca="false">IF(P476=1,F476/E476*MIN(L476/K476,1)*MIN(MAX(M476/L476,0),1),0)</f>
        <v>0.670561602460137</v>
      </c>
      <c r="R476" s="55" t="n">
        <f aca="false">IF(F476&gt;0,N476/(F476/3600),0)</f>
        <v>2.97086587016007</v>
      </c>
    </row>
    <row r="477" customFormat="false" ht="15" hidden="false" customHeight="false" outlineLevel="0" collapsed="false">
      <c r="A477" s="0" t="s">
        <v>258</v>
      </c>
      <c r="B477" s="52" t="n">
        <v>44361</v>
      </c>
      <c r="C477" s="0" t="n">
        <v>86469.28</v>
      </c>
      <c r="D477" s="0" t="n">
        <v>7970.546</v>
      </c>
      <c r="E477" s="0" t="n">
        <v>78498.734</v>
      </c>
      <c r="F477" s="0" t="n">
        <v>68053.461</v>
      </c>
      <c r="G477" s="0" t="n">
        <v>51785.268</v>
      </c>
      <c r="H477" s="0" t="n">
        <v>16268.193</v>
      </c>
      <c r="I477" s="0" t="n">
        <v>7130.824</v>
      </c>
      <c r="J477" s="0" t="n">
        <v>3314.449</v>
      </c>
      <c r="K477" s="0" t="n">
        <v>84849.22625</v>
      </c>
      <c r="L477" s="0" t="n">
        <v>64454</v>
      </c>
      <c r="M477" s="0" t="n">
        <v>64272</v>
      </c>
      <c r="N477" s="0" t="n">
        <v>55</v>
      </c>
      <c r="O477" s="54" t="n">
        <f aca="false">YEAR(B477)</f>
        <v>2021</v>
      </c>
      <c r="P477" s="54" t="n">
        <f aca="false">IF(AND(E477&gt;=14400,K477&gt;0,L477&gt;0),1,0)</f>
        <v>1</v>
      </c>
      <c r="Q477" s="53" t="n">
        <f aca="false">IF(P477=1,F477/E477*MIN(L477/K477,1)*MIN(MAX(M477/L477,0),1),0)</f>
        <v>0.656691647481528</v>
      </c>
      <c r="R477" s="55" t="n">
        <f aca="false">IF(F477&gt;0,N477/(F477/3600),0)</f>
        <v>2.90947730050056</v>
      </c>
    </row>
    <row r="478" customFormat="false" ht="15" hidden="false" customHeight="false" outlineLevel="0" collapsed="false">
      <c r="A478" s="0" t="s">
        <v>258</v>
      </c>
      <c r="B478" s="52" t="n">
        <v>44362</v>
      </c>
      <c r="C478" s="0" t="n">
        <v>86288.654</v>
      </c>
      <c r="D478" s="0" t="n">
        <v>6127.968</v>
      </c>
      <c r="E478" s="0" t="n">
        <v>80160.686</v>
      </c>
      <c r="F478" s="0" t="n">
        <v>62338.812</v>
      </c>
      <c r="G478" s="0" t="n">
        <v>47912.872</v>
      </c>
      <c r="H478" s="0" t="n">
        <v>14425.94</v>
      </c>
      <c r="I478" s="0" t="n">
        <v>10743.808</v>
      </c>
      <c r="J478" s="0" t="n">
        <v>7078.066</v>
      </c>
      <c r="K478" s="0" t="n">
        <v>77350.84</v>
      </c>
      <c r="L478" s="0" t="n">
        <v>59172</v>
      </c>
      <c r="M478" s="0" t="n">
        <v>58806</v>
      </c>
      <c r="N478" s="0" t="n">
        <v>63</v>
      </c>
      <c r="O478" s="54" t="n">
        <f aca="false">YEAR(B478)</f>
        <v>2021</v>
      </c>
      <c r="P478" s="54" t="n">
        <f aca="false">IF(AND(E478&gt;=14400,K478&gt;0,L478&gt;0),1,0)</f>
        <v>1</v>
      </c>
      <c r="Q478" s="53" t="n">
        <f aca="false">IF(P478=1,F478/E478*MIN(L478/K478,1)*MIN(MAX(M478/L478,0),1),0)</f>
        <v>0.591226241208785</v>
      </c>
      <c r="R478" s="55" t="n">
        <f aca="false">IF(F478&gt;0,N478/(F478/3600),0)</f>
        <v>3.63818290281182</v>
      </c>
    </row>
    <row r="479" customFormat="false" ht="15" hidden="false" customHeight="false" outlineLevel="0" collapsed="false">
      <c r="A479" s="0" t="s">
        <v>258</v>
      </c>
      <c r="B479" s="52" t="n">
        <v>44363</v>
      </c>
      <c r="C479" s="0" t="n">
        <v>82646.111</v>
      </c>
      <c r="D479" s="0" t="n">
        <v>8056.157</v>
      </c>
      <c r="E479" s="0" t="n">
        <v>74589.954</v>
      </c>
      <c r="F479" s="0" t="n">
        <v>69267.638</v>
      </c>
      <c r="G479" s="0" t="n">
        <v>57023.447</v>
      </c>
      <c r="H479" s="0" t="n">
        <v>12244.191</v>
      </c>
      <c r="I479" s="0" t="n">
        <v>2984.655</v>
      </c>
      <c r="J479" s="0" t="n">
        <v>2337.661</v>
      </c>
      <c r="K479" s="0" t="n">
        <v>86571.3381944444</v>
      </c>
      <c r="L479" s="0" t="n">
        <v>75932</v>
      </c>
      <c r="M479" s="0" t="n">
        <v>75760</v>
      </c>
      <c r="N479" s="0" t="n">
        <v>36</v>
      </c>
      <c r="O479" s="54" t="n">
        <f aca="false">YEAR(B479)</f>
        <v>2021</v>
      </c>
      <c r="P479" s="54" t="n">
        <f aca="false">IF(AND(E479&gt;=14400,K479&gt;0,L479&gt;0),1,0)</f>
        <v>1</v>
      </c>
      <c r="Q479" s="53" t="n">
        <f aca="false">IF(P479=1,F479/E479*MIN(L479/K479,1)*MIN(MAX(M479/L479,0),1),0)</f>
        <v>0.812673081206151</v>
      </c>
      <c r="R479" s="55" t="n">
        <f aca="false">IF(F479&gt;0,N479/(F479/3600),0)</f>
        <v>1.87100359911219</v>
      </c>
    </row>
    <row r="480" customFormat="false" ht="15" hidden="false" customHeight="false" outlineLevel="0" collapsed="false">
      <c r="A480" s="0" t="s">
        <v>258</v>
      </c>
      <c r="B480" s="52" t="n">
        <v>44364</v>
      </c>
      <c r="C480" s="0" t="n">
        <v>86350.62</v>
      </c>
      <c r="D480" s="0" t="n">
        <v>9258.793</v>
      </c>
      <c r="E480" s="0" t="n">
        <v>77091.827</v>
      </c>
      <c r="F480" s="0" t="n">
        <v>51947.358</v>
      </c>
      <c r="G480" s="0" t="n">
        <v>43502.486</v>
      </c>
      <c r="H480" s="0" t="n">
        <v>8444.872</v>
      </c>
      <c r="I480" s="0" t="n">
        <v>18991.734</v>
      </c>
      <c r="J480" s="0" t="n">
        <v>6152.735</v>
      </c>
      <c r="K480" s="0" t="n">
        <v>64934.1975</v>
      </c>
      <c r="L480" s="0" t="n">
        <v>54098</v>
      </c>
      <c r="M480" s="0" t="n">
        <v>53868</v>
      </c>
      <c r="N480" s="0" t="n">
        <v>60</v>
      </c>
      <c r="O480" s="54" t="n">
        <f aca="false">YEAR(B480)</f>
        <v>2021</v>
      </c>
      <c r="P480" s="54" t="n">
        <f aca="false">IF(AND(E480&gt;=14400,K480&gt;0,L480&gt;0),1,0)</f>
        <v>1</v>
      </c>
      <c r="Q480" s="53" t="n">
        <f aca="false">IF(P480=1,F480/E480*MIN(L480/K480,1)*MIN(MAX(M480/L480,0),1),0)</f>
        <v>0.559000891235851</v>
      </c>
      <c r="R480" s="55" t="n">
        <f aca="false">IF(F480&gt;0,N480/(F480/3600),0)</f>
        <v>4.158055545385</v>
      </c>
    </row>
    <row r="481" customFormat="false" ht="15" hidden="false" customHeight="false" outlineLevel="0" collapsed="false">
      <c r="A481" s="0" t="s">
        <v>258</v>
      </c>
      <c r="B481" s="52" t="n">
        <v>44365</v>
      </c>
      <c r="C481" s="0" t="n">
        <v>87411.258</v>
      </c>
      <c r="D481" s="0" t="n">
        <v>6868.128</v>
      </c>
      <c r="E481" s="0" t="n">
        <v>80543.13</v>
      </c>
      <c r="F481" s="0" t="n">
        <v>69560.827</v>
      </c>
      <c r="G481" s="0" t="n">
        <v>49638.706</v>
      </c>
      <c r="H481" s="0" t="n">
        <v>19922.121</v>
      </c>
      <c r="I481" s="0" t="n">
        <v>6956.794</v>
      </c>
      <c r="J481" s="0" t="n">
        <v>4025.509</v>
      </c>
      <c r="K481" s="0" t="n">
        <v>86951.03375</v>
      </c>
      <c r="L481" s="0" t="n">
        <v>61884</v>
      </c>
      <c r="M481" s="0" t="n">
        <v>61610</v>
      </c>
      <c r="N481" s="0" t="n">
        <v>43</v>
      </c>
      <c r="O481" s="54" t="n">
        <f aca="false">YEAR(B481)</f>
        <v>2021</v>
      </c>
      <c r="P481" s="54" t="n">
        <f aca="false">IF(AND(E481&gt;=14400,K481&gt;0,L481&gt;0),1,0)</f>
        <v>1</v>
      </c>
      <c r="Q481" s="53" t="n">
        <f aca="false">IF(P481=1,F481/E481*MIN(L481/K481,1)*MIN(MAX(M481/L481,0),1),0)</f>
        <v>0.611945426009642</v>
      </c>
      <c r="R481" s="55" t="n">
        <f aca="false">IF(F481&gt;0,N481/(F481/3600),0)</f>
        <v>2.22539044856382</v>
      </c>
    </row>
    <row r="482" customFormat="false" ht="15" hidden="false" customHeight="false" outlineLevel="0" collapsed="false">
      <c r="A482" s="0" t="s">
        <v>258</v>
      </c>
      <c r="B482" s="52" t="n">
        <v>44366</v>
      </c>
      <c r="C482" s="0" t="n">
        <v>21620.91</v>
      </c>
      <c r="D482" s="0" t="n">
        <v>7105.63</v>
      </c>
      <c r="E482" s="0" t="n">
        <v>14515.28</v>
      </c>
      <c r="F482" s="0" t="n">
        <v>9503.92</v>
      </c>
      <c r="G482" s="0" t="n">
        <v>7843.271</v>
      </c>
      <c r="H482" s="0" t="n">
        <v>1660.649</v>
      </c>
      <c r="I482" s="0" t="n">
        <v>1018.009</v>
      </c>
      <c r="J482" s="0" t="n">
        <v>3993.351</v>
      </c>
      <c r="K482" s="0" t="n">
        <v>11879.9</v>
      </c>
      <c r="L482" s="0" t="n">
        <v>9774</v>
      </c>
      <c r="M482" s="0" t="n">
        <v>9744</v>
      </c>
      <c r="N482" s="0" t="n">
        <v>7</v>
      </c>
      <c r="O482" s="54" t="n">
        <f aca="false">YEAR(B482)</f>
        <v>2021</v>
      </c>
      <c r="P482" s="54" t="n">
        <f aca="false">IF(AND(E482&gt;=14400,K482&gt;0,L482&gt;0),1,0)</f>
        <v>1</v>
      </c>
      <c r="Q482" s="53" t="n">
        <f aca="false">IF(P482=1,F482/E482*MIN(L482/K482,1)*MIN(MAX(M482/L482,0),1),0)</f>
        <v>0.537034077193137</v>
      </c>
      <c r="R482" s="55" t="n">
        <f aca="false">IF(F482&gt;0,N482/(F482/3600),0)</f>
        <v>2.65153747085413</v>
      </c>
    </row>
    <row r="483" customFormat="false" ht="15" hidden="false" customHeight="false" outlineLevel="0" collapsed="false">
      <c r="A483" s="0" t="s">
        <v>258</v>
      </c>
      <c r="B483" s="52" t="n">
        <v>44367</v>
      </c>
      <c r="C483" s="0" t="n">
        <v>65456.645</v>
      </c>
      <c r="D483" s="0" t="n">
        <v>7521.442</v>
      </c>
      <c r="E483" s="0" t="n">
        <v>57935.203</v>
      </c>
      <c r="F483" s="0" t="n">
        <v>44353.943</v>
      </c>
      <c r="G483" s="0" t="n">
        <v>37820.188</v>
      </c>
      <c r="H483" s="0" t="n">
        <v>6533.755</v>
      </c>
      <c r="I483" s="0" t="n">
        <v>11174.781</v>
      </c>
      <c r="J483" s="0" t="n">
        <v>2406.479</v>
      </c>
      <c r="K483" s="0" t="n">
        <v>55442.42875</v>
      </c>
      <c r="L483" s="0" t="n">
        <v>47042</v>
      </c>
      <c r="M483" s="0" t="n">
        <v>46861</v>
      </c>
      <c r="N483" s="0" t="n">
        <v>58</v>
      </c>
      <c r="O483" s="54" t="n">
        <f aca="false">YEAR(B483)</f>
        <v>2021</v>
      </c>
      <c r="P483" s="54" t="n">
        <f aca="false">IF(AND(E483&gt;=14400,K483&gt;0,L483&gt;0),1,0)</f>
        <v>1</v>
      </c>
      <c r="Q483" s="53" t="n">
        <f aca="false">IF(P483=1,F483/E483*MIN(L483/K483,1)*MIN(MAX(M483/L483,0),1),0)</f>
        <v>0.647081533484918</v>
      </c>
      <c r="R483" s="55" t="n">
        <f aca="false">IF(F483&gt;0,N483/(F483/3600),0)</f>
        <v>4.70758597493801</v>
      </c>
    </row>
    <row r="484" customFormat="false" ht="15" hidden="false" customHeight="false" outlineLevel="0" collapsed="false">
      <c r="A484" s="0" t="s">
        <v>258</v>
      </c>
      <c r="B484" s="52" t="n">
        <v>44368</v>
      </c>
      <c r="C484" s="0" t="n">
        <v>85605.476</v>
      </c>
      <c r="D484" s="0" t="n">
        <v>12279.327</v>
      </c>
      <c r="E484" s="0" t="n">
        <v>73326.149</v>
      </c>
      <c r="F484" s="0" t="n">
        <v>55665.908</v>
      </c>
      <c r="G484" s="0" t="n">
        <v>44489.619</v>
      </c>
      <c r="H484" s="0" t="n">
        <v>11176.289</v>
      </c>
      <c r="I484" s="0" t="n">
        <v>11469.286</v>
      </c>
      <c r="J484" s="0" t="n">
        <v>6190.955</v>
      </c>
      <c r="K484" s="0" t="n">
        <v>69383.9975</v>
      </c>
      <c r="L484" s="0" t="n">
        <v>55343</v>
      </c>
      <c r="M484" s="0" t="n">
        <v>54813</v>
      </c>
      <c r="N484" s="0" t="n">
        <v>72</v>
      </c>
      <c r="O484" s="54" t="n">
        <f aca="false">YEAR(B484)</f>
        <v>2021</v>
      </c>
      <c r="P484" s="54" t="n">
        <f aca="false">IF(AND(E484&gt;=14400,K484&gt;0,L484&gt;0),1,0)</f>
        <v>1</v>
      </c>
      <c r="Q484" s="53" t="n">
        <f aca="false">IF(P484=1,F484/E484*MIN(L484/K484,1)*MIN(MAX(M484/L484,0),1),0)</f>
        <v>0.599728482686964</v>
      </c>
      <c r="R484" s="55" t="n">
        <f aca="false">IF(F484&gt;0,N484/(F484/3600),0)</f>
        <v>4.65635088535698</v>
      </c>
    </row>
    <row r="485" customFormat="false" ht="15" hidden="false" customHeight="false" outlineLevel="0" collapsed="false">
      <c r="A485" s="0" t="s">
        <v>258</v>
      </c>
      <c r="B485" s="52" t="n">
        <v>44369</v>
      </c>
      <c r="C485" s="0" t="n">
        <v>116501.957</v>
      </c>
      <c r="D485" s="0" t="n">
        <v>7591.371</v>
      </c>
      <c r="E485" s="0" t="n">
        <v>108910.586</v>
      </c>
      <c r="F485" s="0" t="n">
        <v>57295.852</v>
      </c>
      <c r="G485" s="0" t="n">
        <v>48325.778</v>
      </c>
      <c r="H485" s="0" t="n">
        <v>8970.074</v>
      </c>
      <c r="I485" s="0" t="n">
        <v>10577.542</v>
      </c>
      <c r="J485" s="0" t="n">
        <v>41037.192</v>
      </c>
      <c r="K485" s="0" t="n">
        <v>71619.815</v>
      </c>
      <c r="L485" s="0" t="n">
        <v>58891</v>
      </c>
      <c r="M485" s="0" t="n">
        <v>58318</v>
      </c>
      <c r="N485" s="0" t="n">
        <v>86</v>
      </c>
      <c r="O485" s="54" t="n">
        <f aca="false">YEAR(B485)</f>
        <v>2021</v>
      </c>
      <c r="P485" s="54" t="n">
        <f aca="false">IF(AND(E485&gt;=14400,K485&gt;0,L485&gt;0),1,0)</f>
        <v>1</v>
      </c>
      <c r="Q485" s="53" t="n">
        <f aca="false">IF(P485=1,F485/E485*MIN(L485/K485,1)*MIN(MAX(M485/L485,0),1),0)</f>
        <v>0.428373418172592</v>
      </c>
      <c r="R485" s="55" t="n">
        <f aca="false">IF(F485&gt;0,N485/(F485/3600),0)</f>
        <v>5.40353252797428</v>
      </c>
    </row>
    <row r="486" customFormat="false" ht="15" hidden="false" customHeight="false" outlineLevel="0" collapsed="false">
      <c r="A486" s="0" t="s">
        <v>258</v>
      </c>
      <c r="B486" s="52" t="n">
        <v>44370</v>
      </c>
      <c r="C486" s="0" t="n">
        <v>53580.281</v>
      </c>
      <c r="D486" s="0" t="n">
        <v>13388.163</v>
      </c>
      <c r="E486" s="0" t="n">
        <v>40192.118</v>
      </c>
      <c r="F486" s="0" t="n">
        <v>33446.23</v>
      </c>
      <c r="G486" s="0" t="n">
        <v>26278.41</v>
      </c>
      <c r="H486" s="0" t="n">
        <v>7167.82</v>
      </c>
      <c r="I486" s="0" t="n">
        <v>1957.886</v>
      </c>
      <c r="J486" s="0" t="n">
        <v>4788.002</v>
      </c>
      <c r="K486" s="0" t="n">
        <v>41807.7875</v>
      </c>
      <c r="L486" s="0" t="n">
        <v>32779</v>
      </c>
      <c r="M486" s="0" t="n">
        <v>32717</v>
      </c>
      <c r="N486" s="0" t="n">
        <v>10</v>
      </c>
      <c r="O486" s="54" t="n">
        <f aca="false">YEAR(B486)</f>
        <v>2021</v>
      </c>
      <c r="P486" s="54" t="n">
        <f aca="false">IF(AND(E486&gt;=14400,K486&gt;0,L486&gt;0),1,0)</f>
        <v>1</v>
      </c>
      <c r="Q486" s="53" t="n">
        <f aca="false">IF(P486=1,F486/E486*MIN(L486/K486,1)*MIN(MAX(M486/L486,0),1),0)</f>
        <v>0.651212260075471</v>
      </c>
      <c r="R486" s="55" t="n">
        <f aca="false">IF(F486&gt;0,N486/(F486/3600),0)</f>
        <v>1.07635449496102</v>
      </c>
    </row>
    <row r="487" customFormat="false" ht="15" hidden="false" customHeight="false" outlineLevel="0" collapsed="false">
      <c r="A487" s="0" t="s">
        <v>258</v>
      </c>
      <c r="B487" s="52" t="n">
        <v>44371</v>
      </c>
      <c r="C487" s="0" t="n">
        <v>13747.312</v>
      </c>
      <c r="D487" s="0" t="n">
        <v>235.88</v>
      </c>
      <c r="E487" s="0" t="n">
        <v>13511.432</v>
      </c>
      <c r="F487" s="0" t="n">
        <v>10911.519</v>
      </c>
      <c r="G487" s="0" t="n">
        <v>9172.057</v>
      </c>
      <c r="H487" s="0" t="n">
        <v>1739.462</v>
      </c>
      <c r="I487" s="0" t="n">
        <v>2599.913</v>
      </c>
      <c r="J487" s="0" t="n">
        <v>0</v>
      </c>
      <c r="K487" s="0" t="n">
        <v>13639.39875</v>
      </c>
      <c r="L487" s="0" t="n">
        <v>11395</v>
      </c>
      <c r="M487" s="0" t="n">
        <v>11366</v>
      </c>
      <c r="N487" s="0" t="n">
        <v>18</v>
      </c>
      <c r="O487" s="54" t="n">
        <f aca="false">YEAR(B487)</f>
        <v>2021</v>
      </c>
      <c r="P487" s="54" t="n">
        <f aca="false">IF(AND(E487&gt;=14400,K487&gt;0,L487&gt;0),1,0)</f>
        <v>0</v>
      </c>
      <c r="Q487" s="53" t="n">
        <f aca="false">IF(P487=1,F487/E487*MIN(L487/K487,1)*MIN(MAX(M487/L487,0),1),0)</f>
        <v>0</v>
      </c>
      <c r="R487" s="55" t="n">
        <f aca="false">IF(F487&gt;0,N487/(F487/3600),0)</f>
        <v>5.93867819869992</v>
      </c>
    </row>
    <row r="488" customFormat="false" ht="15" hidden="false" customHeight="false" outlineLevel="0" collapsed="false">
      <c r="A488" s="0" t="s">
        <v>258</v>
      </c>
      <c r="B488" s="52" t="n">
        <v>44372</v>
      </c>
      <c r="C488" s="0" t="n">
        <v>32697.151</v>
      </c>
      <c r="D488" s="0" t="n">
        <v>5794.566</v>
      </c>
      <c r="E488" s="0" t="n">
        <v>26902.585</v>
      </c>
      <c r="F488" s="0" t="n">
        <v>22719.712</v>
      </c>
      <c r="G488" s="0" t="n">
        <v>18910.671</v>
      </c>
      <c r="H488" s="0" t="n">
        <v>3809.041</v>
      </c>
      <c r="I488" s="0" t="n">
        <v>3252.995</v>
      </c>
      <c r="J488" s="0" t="n">
        <v>929.878</v>
      </c>
      <c r="K488" s="0" t="n">
        <v>28399.64</v>
      </c>
      <c r="L488" s="0" t="n">
        <v>22427</v>
      </c>
      <c r="M488" s="0" t="n">
        <v>22350</v>
      </c>
      <c r="N488" s="0" t="n">
        <v>28</v>
      </c>
      <c r="O488" s="54" t="n">
        <f aca="false">YEAR(B488)</f>
        <v>2021</v>
      </c>
      <c r="P488" s="54" t="n">
        <f aca="false">IF(AND(E488&gt;=14400,K488&gt;0,L488&gt;0),1,0)</f>
        <v>1</v>
      </c>
      <c r="Q488" s="53" t="n">
        <f aca="false">IF(P488=1,F488/E488*MIN(L488/K488,1)*MIN(MAX(M488/L488,0),1),0)</f>
        <v>0.664620147097389</v>
      </c>
      <c r="R488" s="55" t="n">
        <f aca="false">IF(F488&gt;0,N488/(F488/3600),0)</f>
        <v>4.43667595786426</v>
      </c>
    </row>
    <row r="489" customFormat="false" ht="15" hidden="false" customHeight="false" outlineLevel="0" collapsed="false">
      <c r="A489" s="0" t="s">
        <v>258</v>
      </c>
      <c r="B489" s="52" t="n">
        <v>44373</v>
      </c>
      <c r="C489" s="0" t="n">
        <v>37601.559</v>
      </c>
      <c r="D489" s="0" t="n">
        <v>16111.012</v>
      </c>
      <c r="E489" s="0" t="n">
        <v>21490.547</v>
      </c>
      <c r="F489" s="0" t="n">
        <v>15204.385</v>
      </c>
      <c r="G489" s="0" t="n">
        <v>14943.138</v>
      </c>
      <c r="H489" s="0" t="n">
        <v>261.247</v>
      </c>
      <c r="I489" s="0" t="n">
        <v>1186.903</v>
      </c>
      <c r="J489" s="0" t="n">
        <v>5099.259</v>
      </c>
      <c r="K489" s="0" t="n">
        <v>19005.48125</v>
      </c>
      <c r="L489" s="0" t="n">
        <v>18684</v>
      </c>
      <c r="M489" s="0" t="n">
        <v>18646</v>
      </c>
      <c r="N489" s="0" t="n">
        <v>13</v>
      </c>
      <c r="O489" s="54" t="n">
        <f aca="false">YEAR(B489)</f>
        <v>2021</v>
      </c>
      <c r="P489" s="54" t="n">
        <f aca="false">IF(AND(E489&gt;=14400,K489&gt;0,L489&gt;0),1,0)</f>
        <v>1</v>
      </c>
      <c r="Q489" s="53" t="n">
        <f aca="false">IF(P489=1,F489/E489*MIN(L489/K489,1)*MIN(MAX(M489/L489,0),1),0)</f>
        <v>0.694109833500283</v>
      </c>
      <c r="R489" s="55" t="n">
        <f aca="false">IF(F489&gt;0,N489/(F489/3600),0)</f>
        <v>3.07805938878817</v>
      </c>
    </row>
    <row r="490" customFormat="false" ht="15" hidden="false" customHeight="false" outlineLevel="0" collapsed="false">
      <c r="A490" s="0" t="s">
        <v>258</v>
      </c>
      <c r="B490" s="52" t="n">
        <v>44374</v>
      </c>
      <c r="C490" s="0" t="n">
        <v>84365.573</v>
      </c>
      <c r="D490" s="0" t="n">
        <v>4042.371</v>
      </c>
      <c r="E490" s="0" t="n">
        <v>80323.202</v>
      </c>
      <c r="F490" s="0" t="n">
        <v>55588.503</v>
      </c>
      <c r="G490" s="0" t="n">
        <v>42870.418</v>
      </c>
      <c r="H490" s="0" t="n">
        <v>12718.085</v>
      </c>
      <c r="I490" s="0" t="n">
        <v>3723.929</v>
      </c>
      <c r="J490" s="0" t="n">
        <v>21010.77</v>
      </c>
      <c r="K490" s="0" t="n">
        <v>69485.62875</v>
      </c>
      <c r="L490" s="0" t="n">
        <v>53375</v>
      </c>
      <c r="M490" s="0" t="n">
        <v>53254</v>
      </c>
      <c r="N490" s="0" t="n">
        <v>40</v>
      </c>
      <c r="O490" s="54" t="n">
        <f aca="false">YEAR(B490)</f>
        <v>2021</v>
      </c>
      <c r="P490" s="54" t="n">
        <f aca="false">IF(AND(E490&gt;=14400,K490&gt;0,L490&gt;0),1,0)</f>
        <v>1</v>
      </c>
      <c r="Q490" s="53" t="n">
        <f aca="false">IF(P490=1,F490/E490*MIN(L490/K490,1)*MIN(MAX(M490/L490,0),1),0)</f>
        <v>0.530397182124288</v>
      </c>
      <c r="R490" s="55" t="n">
        <f aca="false">IF(F490&gt;0,N490/(F490/3600),0)</f>
        <v>2.59046371513189</v>
      </c>
    </row>
    <row r="491" customFormat="false" ht="15" hidden="false" customHeight="false" outlineLevel="0" collapsed="false">
      <c r="A491" s="0" t="s">
        <v>258</v>
      </c>
      <c r="B491" s="52" t="n">
        <v>44375</v>
      </c>
      <c r="C491" s="0" t="n">
        <v>86407.973</v>
      </c>
      <c r="D491" s="0" t="n">
        <v>9140.546</v>
      </c>
      <c r="E491" s="0" t="n">
        <v>77267.427</v>
      </c>
      <c r="F491" s="0" t="n">
        <v>67687.754</v>
      </c>
      <c r="G491" s="0" t="n">
        <v>53255.729</v>
      </c>
      <c r="H491" s="0" t="n">
        <v>14432.025</v>
      </c>
      <c r="I491" s="0" t="n">
        <v>4693.997</v>
      </c>
      <c r="J491" s="0" t="n">
        <v>4885.676</v>
      </c>
      <c r="K491" s="0" t="n">
        <v>84609.6925</v>
      </c>
      <c r="L491" s="0" t="n">
        <v>66415</v>
      </c>
      <c r="M491" s="0" t="n">
        <v>66062</v>
      </c>
      <c r="N491" s="0" t="n">
        <v>44</v>
      </c>
      <c r="O491" s="54" t="n">
        <f aca="false">YEAR(B491)</f>
        <v>2021</v>
      </c>
      <c r="P491" s="54" t="n">
        <f aca="false">IF(AND(E491&gt;=14400,K491&gt;0,L491&gt;0),1,0)</f>
        <v>1</v>
      </c>
      <c r="Q491" s="53" t="n">
        <f aca="false">IF(P491=1,F491/E491*MIN(L491/K491,1)*MIN(MAX(M491/L491,0),1),0)</f>
        <v>0.68398291559521</v>
      </c>
      <c r="R491" s="55" t="n">
        <f aca="false">IF(F491&gt;0,N491/(F491/3600),0)</f>
        <v>2.34015742345358</v>
      </c>
    </row>
    <row r="492" customFormat="false" ht="15" hidden="false" customHeight="false" outlineLevel="0" collapsed="false">
      <c r="A492" s="0" t="s">
        <v>258</v>
      </c>
      <c r="B492" s="52" t="n">
        <v>44376</v>
      </c>
      <c r="C492" s="0" t="n">
        <v>83581.029</v>
      </c>
      <c r="D492" s="0" t="n">
        <v>3402.844</v>
      </c>
      <c r="E492" s="0" t="n">
        <v>80178.185</v>
      </c>
      <c r="F492" s="0" t="n">
        <v>75311.226</v>
      </c>
      <c r="G492" s="0" t="n">
        <v>67210.267</v>
      </c>
      <c r="H492" s="0" t="n">
        <v>8100.959</v>
      </c>
      <c r="I492" s="0" t="n">
        <v>4700.239</v>
      </c>
      <c r="J492" s="0" t="n">
        <v>166.72</v>
      </c>
      <c r="K492" s="0" t="n">
        <v>94139.0325</v>
      </c>
      <c r="L492" s="0" t="n">
        <v>82671</v>
      </c>
      <c r="M492" s="0" t="n">
        <v>82519</v>
      </c>
      <c r="N492" s="0" t="n">
        <v>34</v>
      </c>
      <c r="O492" s="54" t="n">
        <f aca="false">YEAR(B492)</f>
        <v>2021</v>
      </c>
      <c r="P492" s="54" t="n">
        <f aca="false">IF(AND(E492&gt;=14400,K492&gt;0,L492&gt;0),1,0)</f>
        <v>1</v>
      </c>
      <c r="Q492" s="53" t="n">
        <f aca="false">IF(P492=1,F492/E492*MIN(L492/K492,1)*MIN(MAX(M492/L492,0),1),0)</f>
        <v>0.823356128602811</v>
      </c>
      <c r="R492" s="55" t="n">
        <f aca="false">IF(F492&gt;0,N492/(F492/3600),0)</f>
        <v>1.62525570888993</v>
      </c>
    </row>
    <row r="493" customFormat="false" ht="15" hidden="false" customHeight="false" outlineLevel="0" collapsed="false">
      <c r="A493" s="0" t="s">
        <v>258</v>
      </c>
      <c r="B493" s="52" t="n">
        <v>44377</v>
      </c>
      <c r="C493" s="0" t="n">
        <v>83914.367</v>
      </c>
      <c r="D493" s="0" t="n">
        <v>9543.884</v>
      </c>
      <c r="E493" s="0" t="n">
        <v>74370.483</v>
      </c>
      <c r="F493" s="0" t="n">
        <v>41010.121</v>
      </c>
      <c r="G493" s="0" t="n">
        <v>35160.493</v>
      </c>
      <c r="H493" s="0" t="n">
        <v>5849.628</v>
      </c>
      <c r="I493" s="0" t="n">
        <v>12045.007</v>
      </c>
      <c r="J493" s="0" t="n">
        <v>21315.355</v>
      </c>
      <c r="K493" s="0" t="n">
        <v>51262.65125</v>
      </c>
      <c r="L493" s="0" t="n">
        <v>46797</v>
      </c>
      <c r="M493" s="0" t="n">
        <v>46686</v>
      </c>
      <c r="N493" s="0" t="n">
        <v>63</v>
      </c>
      <c r="O493" s="54" t="n">
        <f aca="false">YEAR(B493)</f>
        <v>2021</v>
      </c>
      <c r="P493" s="54" t="n">
        <f aca="false">IF(AND(E493&gt;=14400,K493&gt;0,L493&gt;0),1,0)</f>
        <v>1</v>
      </c>
      <c r="Q493" s="53" t="n">
        <f aca="false">IF(P493=1,F493/E493*MIN(L493/K493,1)*MIN(MAX(M493/L493,0),1),0)</f>
        <v>0.502199239448263</v>
      </c>
      <c r="R493" s="55" t="n">
        <f aca="false">IF(F493&gt;0,N493/(F493/3600),0)</f>
        <v>5.53034213188496</v>
      </c>
    </row>
    <row r="494" customFormat="false" ht="15" hidden="false" customHeight="false" outlineLevel="0" collapsed="false">
      <c r="A494" s="0" t="s">
        <v>258</v>
      </c>
      <c r="B494" s="52" t="n">
        <v>44378</v>
      </c>
      <c r="C494" s="0" t="n">
        <v>86375.944</v>
      </c>
      <c r="D494" s="0" t="n">
        <v>11035.564</v>
      </c>
      <c r="E494" s="0" t="n">
        <v>75340.38</v>
      </c>
      <c r="F494" s="0" t="n">
        <v>42778.552</v>
      </c>
      <c r="G494" s="0" t="n">
        <v>33654.544</v>
      </c>
      <c r="H494" s="0" t="n">
        <v>9124.008</v>
      </c>
      <c r="I494" s="0" t="n">
        <v>16326.06</v>
      </c>
      <c r="J494" s="0" t="n">
        <v>16235.768</v>
      </c>
      <c r="K494" s="0" t="n">
        <v>53093.253125</v>
      </c>
      <c r="L494" s="0" t="n">
        <v>41370</v>
      </c>
      <c r="M494" s="0" t="n">
        <v>41111</v>
      </c>
      <c r="N494" s="0" t="n">
        <v>157</v>
      </c>
      <c r="O494" s="54" t="n">
        <f aca="false">YEAR(B494)</f>
        <v>2021</v>
      </c>
      <c r="P494" s="54" t="n">
        <f aca="false">IF(AND(E494&gt;=14400,K494&gt;0,L494&gt;0),1,0)</f>
        <v>1</v>
      </c>
      <c r="Q494" s="53" t="n">
        <f aca="false">IF(P494=1,F494/E494*MIN(L494/K494,1)*MIN(MAX(M494/L494,0),1),0)</f>
        <v>0.439660023170112</v>
      </c>
      <c r="R494" s="55" t="n">
        <f aca="false">IF(F494&gt;0,N494/(F494/3600),0)</f>
        <v>13.2122284082921</v>
      </c>
    </row>
    <row r="495" customFormat="false" ht="15" hidden="false" customHeight="false" outlineLevel="0" collapsed="false">
      <c r="A495" s="0" t="s">
        <v>258</v>
      </c>
      <c r="B495" s="52" t="n">
        <v>44379</v>
      </c>
      <c r="C495" s="0" t="n">
        <v>86392.75</v>
      </c>
      <c r="D495" s="0" t="n">
        <v>19974.129</v>
      </c>
      <c r="E495" s="0" t="n">
        <v>66418.621</v>
      </c>
      <c r="F495" s="0" t="n">
        <v>19504.538</v>
      </c>
      <c r="G495" s="0" t="n">
        <v>6891.433</v>
      </c>
      <c r="H495" s="0" t="n">
        <v>12613.105</v>
      </c>
      <c r="I495" s="0" t="n">
        <v>5535.679</v>
      </c>
      <c r="J495" s="0" t="n">
        <v>41378.404</v>
      </c>
      <c r="K495" s="0" t="n">
        <v>20774.178125</v>
      </c>
      <c r="L495" s="0" t="n">
        <v>8421</v>
      </c>
      <c r="M495" s="0" t="n">
        <v>8105</v>
      </c>
      <c r="N495" s="0" t="n">
        <v>29</v>
      </c>
      <c r="O495" s="54" t="n">
        <f aca="false">YEAR(B495)</f>
        <v>2021</v>
      </c>
      <c r="P495" s="54" t="n">
        <f aca="false">IF(AND(E495&gt;=14400,K495&gt;0,L495&gt;0),1,0)</f>
        <v>1</v>
      </c>
      <c r="Q495" s="53" t="n">
        <f aca="false">IF(P495=1,F495/E495*MIN(L495/K495,1)*MIN(MAX(M495/L495,0),1),0)</f>
        <v>0.114571073251519</v>
      </c>
      <c r="R495" s="55" t="n">
        <f aca="false">IF(F495&gt;0,N495/(F495/3600),0)</f>
        <v>5.35260050763571</v>
      </c>
    </row>
    <row r="496" customFormat="false" ht="15" hidden="false" customHeight="false" outlineLevel="0" collapsed="false">
      <c r="A496" s="0" t="s">
        <v>258</v>
      </c>
      <c r="B496" s="52" t="n">
        <v>44380</v>
      </c>
      <c r="C496" s="0" t="n">
        <v>38891.845</v>
      </c>
      <c r="D496" s="0" t="n">
        <v>9865.449</v>
      </c>
      <c r="E496" s="0" t="n">
        <v>29026.396</v>
      </c>
      <c r="F496" s="0" t="n">
        <v>16966.892</v>
      </c>
      <c r="G496" s="0" t="n">
        <v>11043.513</v>
      </c>
      <c r="H496" s="0" t="n">
        <v>5923.379</v>
      </c>
      <c r="I496" s="0" t="n">
        <v>4999.856</v>
      </c>
      <c r="J496" s="0" t="n">
        <v>7059.648</v>
      </c>
      <c r="K496" s="0" t="n">
        <v>20981.331875</v>
      </c>
      <c r="L496" s="0" t="n">
        <v>13662</v>
      </c>
      <c r="M496" s="0" t="n">
        <v>13392</v>
      </c>
      <c r="N496" s="0" t="n">
        <v>32</v>
      </c>
      <c r="O496" s="54" t="n">
        <f aca="false">YEAR(B496)</f>
        <v>2021</v>
      </c>
      <c r="P496" s="54" t="n">
        <f aca="false">IF(AND(E496&gt;=14400,K496&gt;0,L496&gt;0),1,0)</f>
        <v>1</v>
      </c>
      <c r="Q496" s="53" t="n">
        <f aca="false">IF(P496=1,F496/E496*MIN(L496/K496,1)*MIN(MAX(M496/L496,0),1),0)</f>
        <v>0.373096836616828</v>
      </c>
      <c r="R496" s="55" t="n">
        <f aca="false">IF(F496&gt;0,N496/(F496/3600),0)</f>
        <v>6.78969371644495</v>
      </c>
    </row>
    <row r="497" customFormat="false" ht="15" hidden="false" customHeight="false" outlineLevel="0" collapsed="false">
      <c r="A497" s="0" t="s">
        <v>258</v>
      </c>
      <c r="B497" s="52" t="n">
        <v>44381</v>
      </c>
      <c r="C497" s="0" t="n">
        <v>64803.095</v>
      </c>
      <c r="D497" s="0" t="n">
        <v>3858.979</v>
      </c>
      <c r="E497" s="0" t="n">
        <v>60944.116</v>
      </c>
      <c r="F497" s="0" t="n">
        <v>47791.862</v>
      </c>
      <c r="G497" s="0" t="n">
        <v>36741.314</v>
      </c>
      <c r="H497" s="0" t="n">
        <v>11050.548</v>
      </c>
      <c r="I497" s="0" t="n">
        <v>8647.892</v>
      </c>
      <c r="J497" s="0" t="n">
        <v>4504.362</v>
      </c>
      <c r="K497" s="0" t="n">
        <v>59734.0818055556</v>
      </c>
      <c r="L497" s="0" t="n">
        <v>44400</v>
      </c>
      <c r="M497" s="0" t="n">
        <v>44008</v>
      </c>
      <c r="N497" s="0" t="n">
        <v>95</v>
      </c>
      <c r="O497" s="54" t="n">
        <f aca="false">YEAR(B497)</f>
        <v>2021</v>
      </c>
      <c r="P497" s="54" t="n">
        <f aca="false">IF(AND(E497&gt;=14400,K497&gt;0,L497&gt;0),1,0)</f>
        <v>1</v>
      </c>
      <c r="Q497" s="53" t="n">
        <f aca="false">IF(P497=1,F497/E497*MIN(L497/K497,1)*MIN(MAX(M497/L497,0),1),0)</f>
        <v>0.577738898187188</v>
      </c>
      <c r="R497" s="55" t="n">
        <f aca="false">IF(F497&gt;0,N497/(F497/3600),0)</f>
        <v>7.15603003708037</v>
      </c>
    </row>
    <row r="498" customFormat="false" ht="15" hidden="false" customHeight="false" outlineLevel="0" collapsed="false">
      <c r="A498" s="0" t="s">
        <v>258</v>
      </c>
      <c r="B498" s="52" t="n">
        <v>44382</v>
      </c>
      <c r="C498" s="0" t="n">
        <v>87220.067</v>
      </c>
      <c r="D498" s="0" t="n">
        <v>8009.562</v>
      </c>
      <c r="E498" s="0" t="n">
        <v>79210.505</v>
      </c>
      <c r="F498" s="0" t="n">
        <v>63914.164</v>
      </c>
      <c r="G498" s="0" t="n">
        <v>52578.586</v>
      </c>
      <c r="H498" s="0" t="n">
        <v>11335.578</v>
      </c>
      <c r="I498" s="0" t="n">
        <v>14696.508</v>
      </c>
      <c r="J498" s="0" t="n">
        <v>599.833</v>
      </c>
      <c r="K498" s="0" t="n">
        <v>79892.705</v>
      </c>
      <c r="L498" s="0" t="n">
        <v>65312</v>
      </c>
      <c r="M498" s="0" t="n">
        <v>65021</v>
      </c>
      <c r="N498" s="0" t="n">
        <v>134</v>
      </c>
      <c r="O498" s="54" t="n">
        <f aca="false">YEAR(B498)</f>
        <v>2021</v>
      </c>
      <c r="P498" s="54" t="n">
        <f aca="false">IF(AND(E498&gt;=14400,K498&gt;0,L498&gt;0),1,0)</f>
        <v>1</v>
      </c>
      <c r="Q498" s="53" t="n">
        <f aca="false">IF(P498=1,F498/E498*MIN(L498/K498,1)*MIN(MAX(M498/L498,0),1),0)</f>
        <v>0.656690675056294</v>
      </c>
      <c r="R498" s="55" t="n">
        <f aca="false">IF(F498&gt;0,N498/(F498/3600),0)</f>
        <v>7.54762277732366</v>
      </c>
    </row>
    <row r="499" customFormat="false" ht="15" hidden="false" customHeight="false" outlineLevel="0" collapsed="false">
      <c r="A499" s="0" t="s">
        <v>258</v>
      </c>
      <c r="B499" s="52" t="n">
        <v>44383</v>
      </c>
      <c r="C499" s="0" t="n">
        <v>99425.908</v>
      </c>
      <c r="D499" s="0" t="n">
        <v>2451.411</v>
      </c>
      <c r="E499" s="0" t="n">
        <v>96974.497</v>
      </c>
      <c r="F499" s="0" t="n">
        <v>54927.017</v>
      </c>
      <c r="G499" s="0" t="n">
        <v>48421.942</v>
      </c>
      <c r="H499" s="0" t="n">
        <v>6505.075</v>
      </c>
      <c r="I499" s="0" t="n">
        <v>25016.415</v>
      </c>
      <c r="J499" s="0" t="n">
        <v>17031.065</v>
      </c>
      <c r="K499" s="0" t="n">
        <v>68555.2784375</v>
      </c>
      <c r="L499" s="0" t="n">
        <v>60082</v>
      </c>
      <c r="M499" s="0" t="n">
        <v>59924</v>
      </c>
      <c r="N499" s="0" t="n">
        <v>141</v>
      </c>
      <c r="O499" s="54" t="n">
        <f aca="false">YEAR(B499)</f>
        <v>2021</v>
      </c>
      <c r="P499" s="54" t="n">
        <f aca="false">IF(AND(E499&gt;=14400,K499&gt;0,L499&gt;0),1,0)</f>
        <v>1</v>
      </c>
      <c r="Q499" s="53" t="n">
        <f aca="false">IF(P499=1,F499/E499*MIN(L499/K499,1)*MIN(MAX(M499/L499,0),1),0)</f>
        <v>0.495094810854918</v>
      </c>
      <c r="R499" s="55" t="n">
        <f aca="false">IF(F499&gt;0,N499/(F499/3600),0)</f>
        <v>9.2413538496001</v>
      </c>
    </row>
    <row r="500" customFormat="false" ht="15" hidden="false" customHeight="false" outlineLevel="0" collapsed="false">
      <c r="A500" s="0" t="s">
        <v>258</v>
      </c>
      <c r="B500" s="52" t="n">
        <v>44384</v>
      </c>
      <c r="C500" s="0" t="n">
        <v>72473.444</v>
      </c>
      <c r="D500" s="0" t="n">
        <v>8137.653</v>
      </c>
      <c r="E500" s="0" t="n">
        <v>64335.791</v>
      </c>
      <c r="F500" s="0" t="n">
        <v>48827.38</v>
      </c>
      <c r="G500" s="0" t="n">
        <v>40137.108</v>
      </c>
      <c r="H500" s="0" t="n">
        <v>8690.272</v>
      </c>
      <c r="I500" s="0" t="n">
        <v>7224.246</v>
      </c>
      <c r="J500" s="0" t="n">
        <v>8284.165</v>
      </c>
      <c r="K500" s="0" t="n">
        <v>61034.225</v>
      </c>
      <c r="L500" s="0" t="n">
        <v>49759</v>
      </c>
      <c r="M500" s="0" t="n">
        <v>49653</v>
      </c>
      <c r="N500" s="0" t="n">
        <v>87</v>
      </c>
      <c r="O500" s="54" t="n">
        <f aca="false">YEAR(B500)</f>
        <v>2021</v>
      </c>
      <c r="P500" s="54" t="n">
        <f aca="false">IF(AND(E500&gt;=14400,K500&gt;0,L500&gt;0),1,0)</f>
        <v>1</v>
      </c>
      <c r="Q500" s="53" t="n">
        <f aca="false">IF(P500=1,F500/E500*MIN(L500/K500,1)*MIN(MAX(M500/L500,0),1),0)</f>
        <v>0.617423045284389</v>
      </c>
      <c r="R500" s="55" t="n">
        <f aca="false">IF(F500&gt;0,N500/(F500/3600),0)</f>
        <v>6.4144338688662</v>
      </c>
    </row>
    <row r="501" customFormat="false" ht="15" hidden="false" customHeight="false" outlineLevel="0" collapsed="false">
      <c r="A501" s="0" t="s">
        <v>258</v>
      </c>
      <c r="B501" s="52" t="n">
        <v>44385</v>
      </c>
      <c r="C501" s="0" t="n">
        <v>139578.285</v>
      </c>
      <c r="D501" s="0" t="n">
        <v>8173.176</v>
      </c>
      <c r="E501" s="0" t="n">
        <v>131405.109</v>
      </c>
      <c r="F501" s="0" t="n">
        <v>61779.581</v>
      </c>
      <c r="G501" s="0" t="n">
        <v>50953.491</v>
      </c>
      <c r="H501" s="0" t="n">
        <v>10826.09</v>
      </c>
      <c r="I501" s="0" t="n">
        <v>66568.924</v>
      </c>
      <c r="J501" s="0" t="n">
        <v>3056.604</v>
      </c>
      <c r="K501" s="0" t="n">
        <v>77224.47625</v>
      </c>
      <c r="L501" s="0" t="n">
        <v>107921</v>
      </c>
      <c r="M501" s="0" t="n">
        <v>107582</v>
      </c>
      <c r="N501" s="0" t="n">
        <v>108</v>
      </c>
      <c r="O501" s="54" t="n">
        <f aca="false">YEAR(B501)</f>
        <v>2021</v>
      </c>
      <c r="P501" s="54" t="n">
        <f aca="false">IF(AND(E501&gt;=14400,K501&gt;0,L501&gt;0),1,0)</f>
        <v>1</v>
      </c>
      <c r="Q501" s="53" t="n">
        <f aca="false">IF(P501=1,F501/E501*MIN(L501/K501,1)*MIN(MAX(M501/L501,0),1),0)</f>
        <v>0.468669142898167</v>
      </c>
      <c r="R501" s="55" t="n">
        <f aca="false">IF(F501&gt;0,N501/(F501/3600),0)</f>
        <v>6.29334148446232</v>
      </c>
    </row>
    <row r="502" customFormat="false" ht="15" hidden="false" customHeight="false" outlineLevel="0" collapsed="false">
      <c r="A502" s="0" t="s">
        <v>258</v>
      </c>
      <c r="B502" s="52" t="n">
        <v>44386</v>
      </c>
      <c r="C502" s="0" t="n">
        <v>33256.777</v>
      </c>
      <c r="D502" s="0" t="n">
        <v>2611.033</v>
      </c>
      <c r="E502" s="0" t="n">
        <v>30645.744</v>
      </c>
      <c r="F502" s="0" t="n">
        <v>26678.149</v>
      </c>
      <c r="G502" s="0" t="n">
        <v>21881.24</v>
      </c>
      <c r="H502" s="0" t="n">
        <v>4796.909</v>
      </c>
      <c r="I502" s="0" t="n">
        <v>3832.966</v>
      </c>
      <c r="J502" s="0" t="n">
        <v>134.629</v>
      </c>
      <c r="K502" s="0" t="n">
        <v>33347.68625</v>
      </c>
      <c r="L502" s="0" t="n">
        <v>27022</v>
      </c>
      <c r="M502" s="0" t="n">
        <v>26915</v>
      </c>
      <c r="N502" s="0" t="n">
        <v>67</v>
      </c>
      <c r="O502" s="54" t="n">
        <f aca="false">YEAR(B502)</f>
        <v>2021</v>
      </c>
      <c r="P502" s="54" t="n">
        <f aca="false">IF(AND(E502&gt;=14400,K502&gt;0,L502&gt;0),1,0)</f>
        <v>1</v>
      </c>
      <c r="Q502" s="53" t="n">
        <f aca="false">IF(P502=1,F502/E502*MIN(L502/K502,1)*MIN(MAX(M502/L502,0),1),0)</f>
        <v>0.702609797954326</v>
      </c>
      <c r="R502" s="55" t="n">
        <f aca="false">IF(F502&gt;0,N502/(F502/3600),0)</f>
        <v>9.04110701233433</v>
      </c>
    </row>
    <row r="503" customFormat="false" ht="15" hidden="false" customHeight="false" outlineLevel="0" collapsed="false">
      <c r="A503" s="0" t="s">
        <v>258</v>
      </c>
      <c r="B503" s="52" t="n">
        <v>44387</v>
      </c>
      <c r="C503" s="0" t="n">
        <v>39626.332</v>
      </c>
      <c r="D503" s="0" t="n">
        <v>20628.958</v>
      </c>
      <c r="E503" s="0" t="n">
        <v>18997.374</v>
      </c>
      <c r="F503" s="0" t="n">
        <v>14329.673</v>
      </c>
      <c r="G503" s="0" t="n">
        <v>11664.771</v>
      </c>
      <c r="H503" s="0" t="n">
        <v>2664.902</v>
      </c>
      <c r="I503" s="0" t="n">
        <v>1949.819</v>
      </c>
      <c r="J503" s="0" t="n">
        <v>2717.882</v>
      </c>
      <c r="K503" s="0" t="n">
        <v>17912.09125</v>
      </c>
      <c r="L503" s="0" t="n">
        <v>14562</v>
      </c>
      <c r="M503" s="0" t="n">
        <v>14515</v>
      </c>
      <c r="N503" s="0" t="n">
        <v>26</v>
      </c>
      <c r="O503" s="54" t="n">
        <f aca="false">YEAR(B503)</f>
        <v>2021</v>
      </c>
      <c r="P503" s="54" t="n">
        <f aca="false">IF(AND(E503&gt;=14400,K503&gt;0,L503&gt;0),1,0)</f>
        <v>1</v>
      </c>
      <c r="Q503" s="53" t="n">
        <f aca="false">IF(P503=1,F503/E503*MIN(L503/K503,1)*MIN(MAX(M503/L503,0),1),0)</f>
        <v>0.611242374867179</v>
      </c>
      <c r="R503" s="55" t="n">
        <f aca="false">IF(F503&gt;0,N503/(F503/3600),0)</f>
        <v>6.53190062327312</v>
      </c>
    </row>
    <row r="504" customFormat="false" ht="15" hidden="false" customHeight="false" outlineLevel="0" collapsed="false">
      <c r="A504" s="0" t="s">
        <v>258</v>
      </c>
      <c r="B504" s="52" t="n">
        <v>44388</v>
      </c>
      <c r="C504" s="0" t="n">
        <v>72767.254</v>
      </c>
      <c r="D504" s="0" t="n">
        <v>3967.804</v>
      </c>
      <c r="E504" s="0" t="n">
        <v>68799.45</v>
      </c>
      <c r="F504" s="0" t="n">
        <v>51462.629</v>
      </c>
      <c r="G504" s="0" t="n">
        <v>40337.021</v>
      </c>
      <c r="H504" s="0" t="n">
        <v>11125.608</v>
      </c>
      <c r="I504" s="0" t="n">
        <v>6557.323</v>
      </c>
      <c r="J504" s="0" t="n">
        <v>10779.498</v>
      </c>
      <c r="K504" s="0" t="n">
        <v>64328.28625</v>
      </c>
      <c r="L504" s="0" t="n">
        <v>50096</v>
      </c>
      <c r="M504" s="0" t="n">
        <v>49919</v>
      </c>
      <c r="N504" s="0" t="n">
        <v>77</v>
      </c>
      <c r="O504" s="54" t="n">
        <f aca="false">YEAR(B504)</f>
        <v>2021</v>
      </c>
      <c r="P504" s="54" t="n">
        <f aca="false">IF(AND(E504&gt;=14400,K504&gt;0,L504&gt;0),1,0)</f>
        <v>1</v>
      </c>
      <c r="Q504" s="53" t="n">
        <f aca="false">IF(P504=1,F504/E504*MIN(L504/K504,1)*MIN(MAX(M504/L504,0),1),0)</f>
        <v>0.580458128662366</v>
      </c>
      <c r="R504" s="55" t="n">
        <f aca="false">IF(F504&gt;0,N504/(F504/3600),0)</f>
        <v>5.386432939522</v>
      </c>
    </row>
    <row r="505" customFormat="false" ht="15" hidden="false" customHeight="false" outlineLevel="0" collapsed="false">
      <c r="A505" s="0" t="s">
        <v>258</v>
      </c>
      <c r="B505" s="52" t="n">
        <v>44389</v>
      </c>
      <c r="C505" s="0" t="n">
        <v>86005.234</v>
      </c>
      <c r="D505" s="0" t="n">
        <v>8267.12</v>
      </c>
      <c r="E505" s="0" t="n">
        <v>77738.114</v>
      </c>
      <c r="F505" s="0" t="n">
        <v>58800.051</v>
      </c>
      <c r="G505" s="0" t="n">
        <v>51379.203</v>
      </c>
      <c r="H505" s="0" t="n">
        <v>7420.848</v>
      </c>
      <c r="I505" s="0" t="n">
        <v>9669.665</v>
      </c>
      <c r="J505" s="0" t="n">
        <v>9268.398</v>
      </c>
      <c r="K505" s="0" t="n">
        <v>73500.06375</v>
      </c>
      <c r="L505" s="0" t="n">
        <v>63920</v>
      </c>
      <c r="M505" s="0" t="n">
        <v>63725</v>
      </c>
      <c r="N505" s="0" t="n">
        <v>94</v>
      </c>
      <c r="O505" s="54" t="n">
        <f aca="false">YEAR(B505)</f>
        <v>2021</v>
      </c>
      <c r="P505" s="54" t="n">
        <f aca="false">IF(AND(E505&gt;=14400,K505&gt;0,L505&gt;0),1,0)</f>
        <v>1</v>
      </c>
      <c r="Q505" s="53" t="n">
        <f aca="false">IF(P505=1,F505/E505*MIN(L505/K505,1)*MIN(MAX(M505/L505,0),1),0)</f>
        <v>0.655791572200993</v>
      </c>
      <c r="R505" s="55" t="n">
        <f aca="false">IF(F505&gt;0,N505/(F505/3600),0)</f>
        <v>5.75509704915052</v>
      </c>
    </row>
    <row r="506" customFormat="false" ht="15" hidden="false" customHeight="false" outlineLevel="0" collapsed="false">
      <c r="A506" s="0" t="s">
        <v>258</v>
      </c>
      <c r="B506" s="52" t="n">
        <v>44390</v>
      </c>
      <c r="C506" s="0" t="n">
        <v>86397.312</v>
      </c>
      <c r="D506" s="0" t="n">
        <v>11910.891</v>
      </c>
      <c r="E506" s="0" t="n">
        <v>74486.421</v>
      </c>
      <c r="F506" s="0" t="n">
        <v>44667.903</v>
      </c>
      <c r="G506" s="0" t="n">
        <v>30214.043</v>
      </c>
      <c r="H506" s="0" t="n">
        <v>14453.86</v>
      </c>
      <c r="I506" s="0" t="n">
        <v>8572.842</v>
      </c>
      <c r="J506" s="0" t="n">
        <v>21245.676</v>
      </c>
      <c r="K506" s="0" t="n">
        <v>55834.87875</v>
      </c>
      <c r="L506" s="0" t="n">
        <v>37481</v>
      </c>
      <c r="M506" s="0" t="n">
        <v>37135</v>
      </c>
      <c r="N506" s="0" t="n">
        <v>74</v>
      </c>
      <c r="O506" s="54" t="n">
        <f aca="false">YEAR(B506)</f>
        <v>2021</v>
      </c>
      <c r="P506" s="54" t="n">
        <f aca="false">IF(AND(E506&gt;=14400,K506&gt;0,L506&gt;0),1,0)</f>
        <v>1</v>
      </c>
      <c r="Q506" s="53" t="n">
        <f aca="false">IF(P506=1,F506/E506*MIN(L506/K506,1)*MIN(MAX(M506/L506,0),1),0)</f>
        <v>0.398837796220602</v>
      </c>
      <c r="R506" s="55" t="n">
        <f aca="false">IF(F506&gt;0,N506/(F506/3600),0)</f>
        <v>5.96401402591028</v>
      </c>
    </row>
    <row r="507" customFormat="false" ht="15" hidden="false" customHeight="false" outlineLevel="0" collapsed="false">
      <c r="A507" s="0" t="s">
        <v>258</v>
      </c>
      <c r="B507" s="52" t="n">
        <v>44391</v>
      </c>
      <c r="C507" s="0" t="n">
        <v>98105.745</v>
      </c>
      <c r="D507" s="0" t="n">
        <v>5304.889</v>
      </c>
      <c r="E507" s="0" t="n">
        <v>92800.856</v>
      </c>
      <c r="F507" s="0" t="n">
        <v>54216.098</v>
      </c>
      <c r="G507" s="0" t="n">
        <v>50188.97</v>
      </c>
      <c r="H507" s="0" t="n">
        <v>4027.128</v>
      </c>
      <c r="I507" s="0" t="n">
        <v>12753.738</v>
      </c>
      <c r="J507" s="0" t="n">
        <v>25831.02</v>
      </c>
      <c r="K507" s="0" t="n">
        <v>67342.388125</v>
      </c>
      <c r="L507" s="0" t="n">
        <v>62033</v>
      </c>
      <c r="M507" s="0" t="n">
        <v>61712</v>
      </c>
      <c r="N507" s="0" t="n">
        <v>115</v>
      </c>
      <c r="O507" s="54" t="n">
        <f aca="false">YEAR(B507)</f>
        <v>2021</v>
      </c>
      <c r="P507" s="54" t="n">
        <f aca="false">IF(AND(E507&gt;=14400,K507&gt;0,L507&gt;0),1,0)</f>
        <v>1</v>
      </c>
      <c r="Q507" s="53" t="n">
        <f aca="false">IF(P507=1,F507/E507*MIN(L507/K507,1)*MIN(MAX(M507/L507,0),1),0)</f>
        <v>0.535374132289404</v>
      </c>
      <c r="R507" s="55" t="n">
        <f aca="false">IF(F507&gt;0,N507/(F507/3600),0)</f>
        <v>7.63610837504389</v>
      </c>
    </row>
    <row r="508" customFormat="false" ht="15" hidden="false" customHeight="false" outlineLevel="0" collapsed="false">
      <c r="A508" s="0" t="s">
        <v>258</v>
      </c>
      <c r="B508" s="52" t="n">
        <v>44392</v>
      </c>
      <c r="C508" s="0" t="n">
        <v>74922.376</v>
      </c>
      <c r="D508" s="0" t="n">
        <v>27250.787</v>
      </c>
      <c r="E508" s="0" t="n">
        <v>47671.589</v>
      </c>
      <c r="F508" s="0" t="n">
        <v>29729.057</v>
      </c>
      <c r="G508" s="0" t="n">
        <v>23023.974</v>
      </c>
      <c r="H508" s="0" t="n">
        <v>6705.083</v>
      </c>
      <c r="I508" s="0" t="n">
        <v>8870.959</v>
      </c>
      <c r="J508" s="0" t="n">
        <v>9071.573</v>
      </c>
      <c r="K508" s="0" t="n">
        <v>37161.32125</v>
      </c>
      <c r="L508" s="0" t="n">
        <v>28481</v>
      </c>
      <c r="M508" s="0" t="n">
        <v>28306</v>
      </c>
      <c r="N508" s="0" t="n">
        <v>63</v>
      </c>
      <c r="O508" s="54" t="n">
        <f aca="false">YEAR(B508)</f>
        <v>2021</v>
      </c>
      <c r="P508" s="54" t="n">
        <f aca="false">IF(AND(E508&gt;=14400,K508&gt;0,L508&gt;0),1,0)</f>
        <v>1</v>
      </c>
      <c r="Q508" s="53" t="n">
        <f aca="false">IF(P508=1,F508/E508*MIN(L508/K508,1)*MIN(MAX(M508/L508,0),1),0)</f>
        <v>0.475016681319349</v>
      </c>
      <c r="R508" s="55" t="n">
        <f aca="false">IF(F508&gt;0,N508/(F508/3600),0)</f>
        <v>7.6288999008613</v>
      </c>
    </row>
    <row r="509" customFormat="false" ht="15" hidden="false" customHeight="false" outlineLevel="0" collapsed="false">
      <c r="A509" s="0" t="s">
        <v>258</v>
      </c>
      <c r="B509" s="52" t="n">
        <v>44393</v>
      </c>
      <c r="C509" s="0" t="n">
        <v>86041.797</v>
      </c>
      <c r="D509" s="0" t="n">
        <v>8882.516</v>
      </c>
      <c r="E509" s="0" t="n">
        <v>77159.281</v>
      </c>
      <c r="F509" s="0" t="n">
        <v>58021.707</v>
      </c>
      <c r="G509" s="0" t="n">
        <v>50820.485</v>
      </c>
      <c r="H509" s="0" t="n">
        <v>7201.222</v>
      </c>
      <c r="I509" s="0" t="n">
        <v>16336.023</v>
      </c>
      <c r="J509" s="0" t="n">
        <v>2801.551</v>
      </c>
      <c r="K509" s="0" t="n">
        <v>72527.13375</v>
      </c>
      <c r="L509" s="0" t="n">
        <v>63096</v>
      </c>
      <c r="M509" s="0" t="n">
        <v>62840</v>
      </c>
      <c r="N509" s="0" t="n">
        <v>106</v>
      </c>
      <c r="O509" s="54" t="n">
        <f aca="false">YEAR(B509)</f>
        <v>2021</v>
      </c>
      <c r="P509" s="54" t="n">
        <f aca="false">IF(AND(E509&gt;=14400,K509&gt;0,L509&gt;0),1,0)</f>
        <v>1</v>
      </c>
      <c r="Q509" s="53" t="n">
        <f aca="false">IF(P509=1,F509/E509*MIN(L509/K509,1)*MIN(MAX(M509/L509,0),1),0)</f>
        <v>0.651535360989173</v>
      </c>
      <c r="R509" s="55" t="n">
        <f aca="false">IF(F509&gt;0,N509/(F509/3600),0)</f>
        <v>6.57684890242888</v>
      </c>
    </row>
    <row r="510" customFormat="false" ht="15" hidden="false" customHeight="false" outlineLevel="0" collapsed="false">
      <c r="A510" s="0" t="s">
        <v>258</v>
      </c>
      <c r="B510" s="52" t="n">
        <v>44394</v>
      </c>
      <c r="C510" s="0" t="n">
        <v>46147.544</v>
      </c>
      <c r="D510" s="0" t="n">
        <v>6975.197</v>
      </c>
      <c r="E510" s="0" t="n">
        <v>39172.347</v>
      </c>
      <c r="F510" s="0" t="n">
        <v>27441.389</v>
      </c>
      <c r="G510" s="0" t="n">
        <v>23498.905</v>
      </c>
      <c r="H510" s="0" t="n">
        <v>3942.484</v>
      </c>
      <c r="I510" s="0" t="n">
        <v>9439.288</v>
      </c>
      <c r="J510" s="0" t="n">
        <v>2291.67</v>
      </c>
      <c r="K510" s="0" t="n">
        <v>34301.73625</v>
      </c>
      <c r="L510" s="0" t="n">
        <v>29129</v>
      </c>
      <c r="M510" s="0" t="n">
        <v>28984</v>
      </c>
      <c r="N510" s="0" t="n">
        <v>89</v>
      </c>
      <c r="O510" s="54" t="n">
        <f aca="false">YEAR(B510)</f>
        <v>2021</v>
      </c>
      <c r="P510" s="54" t="n">
        <f aca="false">IF(AND(E510&gt;=14400,K510&gt;0,L510&gt;0),1,0)</f>
        <v>1</v>
      </c>
      <c r="Q510" s="53" t="n">
        <f aca="false">IF(P510=1,F510/E510*MIN(L510/K510,1)*MIN(MAX(M510/L510,0),1),0)</f>
        <v>0.591927769862755</v>
      </c>
      <c r="R510" s="55" t="n">
        <f aca="false">IF(F510&gt;0,N510/(F510/3600),0)</f>
        <v>11.6757938164136</v>
      </c>
    </row>
    <row r="511" customFormat="false" ht="15" hidden="false" customHeight="false" outlineLevel="0" collapsed="false">
      <c r="A511" s="0" t="s">
        <v>258</v>
      </c>
      <c r="B511" s="52" t="n">
        <v>44395</v>
      </c>
      <c r="C511" s="0" t="n">
        <v>60109.166</v>
      </c>
      <c r="D511" s="0" t="n">
        <v>8566.124</v>
      </c>
      <c r="E511" s="0" t="n">
        <v>51543.042</v>
      </c>
      <c r="F511" s="0" t="n">
        <v>34949.616</v>
      </c>
      <c r="G511" s="0" t="n">
        <v>27240.353</v>
      </c>
      <c r="H511" s="0" t="n">
        <v>7709.263</v>
      </c>
      <c r="I511" s="0" t="n">
        <v>12508.133</v>
      </c>
      <c r="J511" s="0" t="n">
        <v>4085.293</v>
      </c>
      <c r="K511" s="0" t="n">
        <v>43540.620625</v>
      </c>
      <c r="L511" s="0" t="n">
        <v>32453</v>
      </c>
      <c r="M511" s="0" t="n">
        <v>32141</v>
      </c>
      <c r="N511" s="0" t="n">
        <v>93</v>
      </c>
      <c r="O511" s="54" t="n">
        <f aca="false">YEAR(B511)</f>
        <v>2021</v>
      </c>
      <c r="P511" s="54" t="n">
        <f aca="false">IF(AND(E511&gt;=14400,K511&gt;0,L511&gt;0),1,0)</f>
        <v>1</v>
      </c>
      <c r="Q511" s="53" t="n">
        <f aca="false">IF(P511=1,F511/E511*MIN(L511/K511,1)*MIN(MAX(M511/L511,0),1),0)</f>
        <v>0.500538089491189</v>
      </c>
      <c r="R511" s="55" t="n">
        <f aca="false">IF(F511&gt;0,N511/(F511/3600),0)</f>
        <v>9.57950439283797</v>
      </c>
    </row>
    <row r="512" customFormat="false" ht="15" hidden="false" customHeight="false" outlineLevel="0" collapsed="false">
      <c r="A512" s="0" t="s">
        <v>258</v>
      </c>
      <c r="B512" s="52" t="n">
        <v>44400</v>
      </c>
      <c r="C512" s="0" t="n">
        <v>8955.747</v>
      </c>
      <c r="D512" s="0" t="n">
        <v>0</v>
      </c>
      <c r="E512" s="0" t="n">
        <v>8955.747</v>
      </c>
      <c r="F512" s="0" t="n">
        <v>8911.697</v>
      </c>
      <c r="G512" s="0" t="n">
        <v>591.09</v>
      </c>
      <c r="H512" s="0" t="n">
        <v>8320.607</v>
      </c>
      <c r="I512" s="0" t="n">
        <v>44.05</v>
      </c>
      <c r="J512" s="0" t="n">
        <v>0</v>
      </c>
      <c r="K512" s="0" t="n">
        <v>11139.62125</v>
      </c>
      <c r="L512" s="0" t="n">
        <v>722</v>
      </c>
      <c r="M512" s="0" t="n">
        <v>712</v>
      </c>
      <c r="N512" s="0" t="n">
        <v>1</v>
      </c>
      <c r="O512" s="54" t="n">
        <f aca="false">YEAR(B512)</f>
        <v>2021</v>
      </c>
      <c r="P512" s="54" t="n">
        <f aca="false">IF(AND(E512&gt;=14400,K512&gt;0,L512&gt;0),1,0)</f>
        <v>0</v>
      </c>
      <c r="Q512" s="53" t="n">
        <f aca="false">IF(P512=1,F512/E512*MIN(L512/K512,1)*MIN(MAX(M512/L512,0),1),0)</f>
        <v>0</v>
      </c>
      <c r="R512" s="55" t="n">
        <f aca="false">IF(F512&gt;0,N512/(F512/3600),0)</f>
        <v>0.403963465095369</v>
      </c>
    </row>
    <row r="513" customFormat="false" ht="15" hidden="false" customHeight="false" outlineLevel="0" collapsed="false">
      <c r="A513" s="0" t="s">
        <v>258</v>
      </c>
      <c r="B513" s="52" t="n">
        <v>44401</v>
      </c>
      <c r="C513" s="0" t="n">
        <v>44182.873</v>
      </c>
      <c r="D513" s="0" t="n">
        <v>23169.692</v>
      </c>
      <c r="E513" s="0" t="n">
        <v>21013.181</v>
      </c>
      <c r="F513" s="0" t="n">
        <v>9556.027</v>
      </c>
      <c r="G513" s="0" t="n">
        <v>8545.307</v>
      </c>
      <c r="H513" s="0" t="n">
        <v>1010.72</v>
      </c>
      <c r="I513" s="0" t="n">
        <v>4023.363</v>
      </c>
      <c r="J513" s="0" t="n">
        <v>7433.791</v>
      </c>
      <c r="K513" s="0" t="n">
        <v>11945.03375</v>
      </c>
      <c r="L513" s="0" t="n">
        <v>10634</v>
      </c>
      <c r="M513" s="0" t="n">
        <v>10532</v>
      </c>
      <c r="N513" s="0" t="n">
        <v>11</v>
      </c>
      <c r="O513" s="54" t="n">
        <f aca="false">YEAR(B513)</f>
        <v>2021</v>
      </c>
      <c r="P513" s="54" t="n">
        <f aca="false">IF(AND(E513&gt;=14400,K513&gt;0,L513&gt;0),1,0)</f>
        <v>1</v>
      </c>
      <c r="Q513" s="53" t="n">
        <f aca="false">IF(P513=1,F513/E513*MIN(L513/K513,1)*MIN(MAX(M513/L513,0),1),0)</f>
        <v>0.400967373764115</v>
      </c>
      <c r="R513" s="55" t="n">
        <f aca="false">IF(F513&gt;0,N513/(F513/3600),0)</f>
        <v>4.14398159402438</v>
      </c>
    </row>
    <row r="514" customFormat="false" ht="15" hidden="false" customHeight="false" outlineLevel="0" collapsed="false">
      <c r="A514" s="0" t="s">
        <v>258</v>
      </c>
      <c r="B514" s="52" t="n">
        <v>44402</v>
      </c>
      <c r="C514" s="0" t="n">
        <v>65392.202</v>
      </c>
      <c r="D514" s="0" t="n">
        <v>6833.99</v>
      </c>
      <c r="E514" s="0" t="n">
        <v>58558.212</v>
      </c>
      <c r="F514" s="0" t="n">
        <v>45347.253</v>
      </c>
      <c r="G514" s="0" t="n">
        <v>33827.056</v>
      </c>
      <c r="H514" s="0" t="n">
        <v>11520.197</v>
      </c>
      <c r="I514" s="0" t="n">
        <v>6687.098</v>
      </c>
      <c r="J514" s="0" t="n">
        <v>6523.861</v>
      </c>
      <c r="K514" s="0" t="n">
        <v>56569.5899305556</v>
      </c>
      <c r="L514" s="0" t="n">
        <v>40972</v>
      </c>
      <c r="M514" s="0" t="n">
        <v>40743</v>
      </c>
      <c r="N514" s="0" t="n">
        <v>51</v>
      </c>
      <c r="O514" s="54" t="n">
        <f aca="false">YEAR(B514)</f>
        <v>2021</v>
      </c>
      <c r="P514" s="54" t="n">
        <f aca="false">IF(AND(E514&gt;=14400,K514&gt;0,L514&gt;0),1,0)</f>
        <v>1</v>
      </c>
      <c r="Q514" s="53" t="n">
        <f aca="false">IF(P514=1,F514/E514*MIN(L514/K514,1)*MIN(MAX(M514/L514,0),1),0)</f>
        <v>0.557741743143469</v>
      </c>
      <c r="R514" s="55" t="n">
        <f aca="false">IF(F514&gt;0,N514/(F514/3600),0)</f>
        <v>4.04875682326336</v>
      </c>
    </row>
    <row r="515" customFormat="false" ht="15" hidden="false" customHeight="false" outlineLevel="0" collapsed="false">
      <c r="A515" s="0" t="s">
        <v>258</v>
      </c>
      <c r="B515" s="52" t="n">
        <v>44403</v>
      </c>
      <c r="C515" s="0" t="n">
        <v>85939.245</v>
      </c>
      <c r="D515" s="0" t="n">
        <v>12533.827</v>
      </c>
      <c r="E515" s="0" t="n">
        <v>73405.418</v>
      </c>
      <c r="F515" s="0" t="n">
        <v>53294.211</v>
      </c>
      <c r="G515" s="0" t="n">
        <v>45151.31</v>
      </c>
      <c r="H515" s="0" t="n">
        <v>8142.901</v>
      </c>
      <c r="I515" s="0" t="n">
        <v>13491.458</v>
      </c>
      <c r="J515" s="0" t="n">
        <v>6619.749</v>
      </c>
      <c r="K515" s="0" t="n">
        <v>66193.5883333333</v>
      </c>
      <c r="L515" s="0" t="n">
        <v>55820</v>
      </c>
      <c r="M515" s="0" t="n">
        <v>55142</v>
      </c>
      <c r="N515" s="0" t="n">
        <v>83</v>
      </c>
      <c r="O515" s="54" t="n">
        <f aca="false">YEAR(B515)</f>
        <v>2021</v>
      </c>
      <c r="P515" s="54" t="n">
        <f aca="false">IF(AND(E515&gt;=14400,K515&gt;0,L515&gt;0),1,0)</f>
        <v>1</v>
      </c>
      <c r="Q515" s="53" t="n">
        <f aca="false">IF(P515=1,F515/E515*MIN(L515/K515,1)*MIN(MAX(M515/L515,0),1),0)</f>
        <v>0.604809369097783</v>
      </c>
      <c r="R515" s="55" t="n">
        <f aca="false">IF(F515&gt;0,N515/(F515/3600),0)</f>
        <v>5.6066126957016</v>
      </c>
    </row>
    <row r="516" customFormat="false" ht="15" hidden="false" customHeight="false" outlineLevel="0" collapsed="false">
      <c r="A516" s="0" t="s">
        <v>258</v>
      </c>
      <c r="B516" s="52" t="n">
        <v>44404</v>
      </c>
      <c r="C516" s="0" t="n">
        <v>86849.658</v>
      </c>
      <c r="D516" s="0" t="n">
        <v>2647.349</v>
      </c>
      <c r="E516" s="0" t="n">
        <v>84202.309</v>
      </c>
      <c r="F516" s="0" t="n">
        <v>73129.889</v>
      </c>
      <c r="G516" s="0" t="n">
        <v>63245.867</v>
      </c>
      <c r="H516" s="0" t="n">
        <v>9884.022</v>
      </c>
      <c r="I516" s="0" t="n">
        <v>10443.541</v>
      </c>
      <c r="J516" s="0" t="n">
        <v>628.879</v>
      </c>
      <c r="K516" s="0" t="n">
        <v>91412.36125</v>
      </c>
      <c r="L516" s="0" t="n">
        <v>78634</v>
      </c>
      <c r="M516" s="0" t="n">
        <v>78417</v>
      </c>
      <c r="N516" s="0" t="n">
        <v>73</v>
      </c>
      <c r="O516" s="54" t="n">
        <f aca="false">YEAR(B516)</f>
        <v>2021</v>
      </c>
      <c r="P516" s="54" t="n">
        <f aca="false">IF(AND(E516&gt;=14400,K516&gt;0,L516&gt;0),1,0)</f>
        <v>1</v>
      </c>
      <c r="Q516" s="53" t="n">
        <f aca="false">IF(P516=1,F516/E516*MIN(L516/K516,1)*MIN(MAX(M516/L516,0),1),0)</f>
        <v>0.745034200902971</v>
      </c>
      <c r="R516" s="55" t="n">
        <f aca="false">IF(F516&gt;0,N516/(F516/3600),0)</f>
        <v>3.59360589211342</v>
      </c>
    </row>
    <row r="517" customFormat="false" ht="15" hidden="false" customHeight="false" outlineLevel="0" collapsed="false">
      <c r="A517" s="0" t="s">
        <v>258</v>
      </c>
      <c r="B517" s="52" t="n">
        <v>44405</v>
      </c>
      <c r="C517" s="0" t="n">
        <v>88267.565</v>
      </c>
      <c r="D517" s="0" t="n">
        <v>10539.119</v>
      </c>
      <c r="E517" s="0" t="n">
        <v>77728.446</v>
      </c>
      <c r="F517" s="0" t="n">
        <v>55083.643</v>
      </c>
      <c r="G517" s="0" t="n">
        <v>42617.441</v>
      </c>
      <c r="H517" s="0" t="n">
        <v>12466.202</v>
      </c>
      <c r="I517" s="0" t="n">
        <v>6425.556</v>
      </c>
      <c r="J517" s="0" t="n">
        <v>16219.247</v>
      </c>
      <c r="K517" s="0" t="n">
        <v>68854.55375</v>
      </c>
      <c r="L517" s="0" t="n">
        <v>53150</v>
      </c>
      <c r="M517" s="0" t="n">
        <v>52760</v>
      </c>
      <c r="N517" s="0" t="n">
        <v>47</v>
      </c>
      <c r="O517" s="54" t="n">
        <f aca="false">YEAR(B517)</f>
        <v>2021</v>
      </c>
      <c r="P517" s="54" t="n">
        <f aca="false">IF(AND(E517&gt;=14400,K517&gt;0,L517&gt;0),1,0)</f>
        <v>1</v>
      </c>
      <c r="Q517" s="53" t="n">
        <f aca="false">IF(P517=1,F517/E517*MIN(L517/K517,1)*MIN(MAX(M517/L517,0),1),0)</f>
        <v>0.54301870386036</v>
      </c>
      <c r="R517" s="55" t="n">
        <f aca="false">IF(F517&gt;0,N517/(F517/3600),0)</f>
        <v>3.0716922626196</v>
      </c>
    </row>
    <row r="518" customFormat="false" ht="15" hidden="false" customHeight="false" outlineLevel="0" collapsed="false">
      <c r="A518" s="0" t="s">
        <v>258</v>
      </c>
      <c r="B518" s="52" t="n">
        <v>44406</v>
      </c>
      <c r="C518" s="0" t="n">
        <v>84372.386</v>
      </c>
      <c r="D518" s="0" t="n">
        <v>18708.142</v>
      </c>
      <c r="E518" s="0" t="n">
        <v>65664.244</v>
      </c>
      <c r="F518" s="0" t="n">
        <v>51058.422</v>
      </c>
      <c r="G518" s="0" t="n">
        <v>41017.296</v>
      </c>
      <c r="H518" s="0" t="n">
        <v>10041.126</v>
      </c>
      <c r="I518" s="0" t="n">
        <v>6976.851</v>
      </c>
      <c r="J518" s="0" t="n">
        <v>7628.971</v>
      </c>
      <c r="K518" s="0" t="n">
        <v>63649.706875</v>
      </c>
      <c r="L518" s="0" t="n">
        <v>50916</v>
      </c>
      <c r="M518" s="0" t="n">
        <v>50697</v>
      </c>
      <c r="N518" s="0" t="n">
        <v>40</v>
      </c>
      <c r="O518" s="54" t="n">
        <f aca="false">YEAR(B518)</f>
        <v>2021</v>
      </c>
      <c r="P518" s="54" t="n">
        <f aca="false">IF(AND(E518&gt;=14400,K518&gt;0,L518&gt;0),1,0)</f>
        <v>1</v>
      </c>
      <c r="Q518" s="53" t="n">
        <f aca="false">IF(P518=1,F518/E518*MIN(L518/K518,1)*MIN(MAX(M518/L518,0),1),0)</f>
        <v>0.619333101904138</v>
      </c>
      <c r="R518" s="55" t="n">
        <f aca="false">IF(F518&gt;0,N518/(F518/3600),0)</f>
        <v>2.82029867668061</v>
      </c>
    </row>
    <row r="519" customFormat="false" ht="15" hidden="false" customHeight="false" outlineLevel="0" collapsed="false">
      <c r="A519" s="0" t="s">
        <v>258</v>
      </c>
      <c r="B519" s="52" t="n">
        <v>44407</v>
      </c>
      <c r="C519" s="0" t="n">
        <v>85944.921</v>
      </c>
      <c r="D519" s="0" t="n">
        <v>11519.362</v>
      </c>
      <c r="E519" s="0" t="n">
        <v>74425.559</v>
      </c>
      <c r="F519" s="0" t="n">
        <v>58259.796</v>
      </c>
      <c r="G519" s="0" t="n">
        <v>52606.228</v>
      </c>
      <c r="H519" s="0" t="n">
        <v>5653.568</v>
      </c>
      <c r="I519" s="0" t="n">
        <v>12357.639</v>
      </c>
      <c r="J519" s="0" t="n">
        <v>3808.124</v>
      </c>
      <c r="K519" s="0" t="n">
        <v>72824.745</v>
      </c>
      <c r="L519" s="0" t="n">
        <v>65547</v>
      </c>
      <c r="M519" s="0" t="n">
        <v>65003</v>
      </c>
      <c r="N519" s="0" t="n">
        <v>72</v>
      </c>
      <c r="O519" s="54" t="n">
        <f aca="false">YEAR(B519)</f>
        <v>2021</v>
      </c>
      <c r="P519" s="54" t="n">
        <f aca="false">IF(AND(E519&gt;=14400,K519&gt;0,L519&gt;0),1,0)</f>
        <v>1</v>
      </c>
      <c r="Q519" s="53" t="n">
        <f aca="false">IF(P519=1,F519/E519*MIN(L519/K519,1)*MIN(MAX(M519/L519,0),1),0)</f>
        <v>0.698716955555551</v>
      </c>
      <c r="R519" s="55" t="n">
        <f aca="false">IF(F519&gt;0,N519/(F519/3600),0)</f>
        <v>4.44903720569155</v>
      </c>
    </row>
    <row r="520" customFormat="false" ht="15" hidden="false" customHeight="false" outlineLevel="0" collapsed="false">
      <c r="A520" s="0" t="s">
        <v>258</v>
      </c>
      <c r="B520" s="52" t="n">
        <v>44408</v>
      </c>
      <c r="C520" s="0" t="n">
        <v>47142.823</v>
      </c>
      <c r="D520" s="0" t="n">
        <v>6527.16</v>
      </c>
      <c r="E520" s="0" t="n">
        <v>40615.663</v>
      </c>
      <c r="F520" s="0" t="n">
        <v>34870.227</v>
      </c>
      <c r="G520" s="0" t="n">
        <v>27899.51</v>
      </c>
      <c r="H520" s="0" t="n">
        <v>6970.717</v>
      </c>
      <c r="I520" s="0" t="n">
        <v>2283.141</v>
      </c>
      <c r="J520" s="0" t="n">
        <v>3462.295</v>
      </c>
      <c r="K520" s="0" t="n">
        <v>43587.78375</v>
      </c>
      <c r="L520" s="0" t="n">
        <v>34806</v>
      </c>
      <c r="M520" s="0" t="n">
        <v>34718</v>
      </c>
      <c r="N520" s="0" t="n">
        <v>20</v>
      </c>
      <c r="O520" s="54" t="n">
        <f aca="false">YEAR(B520)</f>
        <v>2021</v>
      </c>
      <c r="P520" s="54" t="n">
        <f aca="false">IF(AND(E520&gt;=14400,K520&gt;0,L520&gt;0),1,0)</f>
        <v>1</v>
      </c>
      <c r="Q520" s="53" t="n">
        <f aca="false">IF(P520=1,F520/E520*MIN(L520/K520,1)*MIN(MAX(M520/L520,0),1),0)</f>
        <v>0.683834706822341</v>
      </c>
      <c r="R520" s="55" t="n">
        <f aca="false">IF(F520&gt;0,N520/(F520/3600),0)</f>
        <v>2.06479871782882</v>
      </c>
    </row>
    <row r="521" customFormat="false" ht="15" hidden="false" customHeight="false" outlineLevel="0" collapsed="false">
      <c r="A521" s="0" t="s">
        <v>258</v>
      </c>
      <c r="B521" s="52" t="n">
        <v>44409</v>
      </c>
      <c r="C521" s="0" t="n">
        <v>62877.199</v>
      </c>
      <c r="D521" s="0" t="n">
        <v>11777.033</v>
      </c>
      <c r="E521" s="0" t="n">
        <v>51100.166</v>
      </c>
      <c r="F521" s="0" t="n">
        <v>42412.795</v>
      </c>
      <c r="G521" s="0" t="n">
        <v>38072.687</v>
      </c>
      <c r="H521" s="0" t="n">
        <v>4340.108</v>
      </c>
      <c r="I521" s="0" t="n">
        <v>4983.476</v>
      </c>
      <c r="J521" s="0" t="n">
        <v>3703.895</v>
      </c>
      <c r="K521" s="0" t="n">
        <v>53015.99375</v>
      </c>
      <c r="L521" s="0" t="n">
        <v>46281</v>
      </c>
      <c r="M521" s="0" t="n">
        <v>46079</v>
      </c>
      <c r="N521" s="0" t="n">
        <v>44</v>
      </c>
      <c r="O521" s="54" t="n">
        <f aca="false">YEAR(B521)</f>
        <v>2021</v>
      </c>
      <c r="P521" s="54" t="n">
        <f aca="false">IF(AND(E521&gt;=14400,K521&gt;0,L521&gt;0),1,0)</f>
        <v>1</v>
      </c>
      <c r="Q521" s="53" t="n">
        <f aca="false">IF(P521=1,F521/E521*MIN(L521/K521,1)*MIN(MAX(M521/L521,0),1),0)</f>
        <v>0.721391002917681</v>
      </c>
      <c r="R521" s="55" t="n">
        <f aca="false">IF(F521&gt;0,N521/(F521/3600),0)</f>
        <v>3.73472203376363</v>
      </c>
    </row>
    <row r="522" customFormat="false" ht="15" hidden="false" customHeight="false" outlineLevel="0" collapsed="false">
      <c r="A522" s="0" t="s">
        <v>258</v>
      </c>
      <c r="B522" s="52" t="n">
        <v>44410</v>
      </c>
      <c r="C522" s="0" t="n">
        <v>85083.529</v>
      </c>
      <c r="D522" s="0" t="n">
        <v>6777.932</v>
      </c>
      <c r="E522" s="0" t="n">
        <v>78305.597</v>
      </c>
      <c r="F522" s="0" t="n">
        <v>64365.485</v>
      </c>
      <c r="G522" s="0" t="n">
        <v>58064.092</v>
      </c>
      <c r="H522" s="0" t="n">
        <v>6301.393</v>
      </c>
      <c r="I522" s="0" t="n">
        <v>11199.111</v>
      </c>
      <c r="J522" s="0" t="n">
        <v>2741.001</v>
      </c>
      <c r="K522" s="0" t="n">
        <v>79385.2951388889</v>
      </c>
      <c r="L522" s="0" t="n">
        <v>71912</v>
      </c>
      <c r="M522" s="0" t="n">
        <v>71657</v>
      </c>
      <c r="N522" s="0" t="n">
        <v>64</v>
      </c>
      <c r="O522" s="54" t="n">
        <f aca="false">YEAR(B522)</f>
        <v>2021</v>
      </c>
      <c r="P522" s="54" t="n">
        <f aca="false">IF(AND(E522&gt;=14400,K522&gt;0,L522&gt;0),1,0)</f>
        <v>1</v>
      </c>
      <c r="Q522" s="53" t="n">
        <f aca="false">IF(P522=1,F522/E522*MIN(L522/K522,1)*MIN(MAX(M522/L522,0),1),0)</f>
        <v>0.741957107278705</v>
      </c>
      <c r="R522" s="55" t="n">
        <f aca="false">IF(F522&gt;0,N522/(F522/3600),0)</f>
        <v>3.5795582057682</v>
      </c>
    </row>
    <row r="523" customFormat="false" ht="15" hidden="false" customHeight="false" outlineLevel="0" collapsed="false">
      <c r="A523" s="0" t="s">
        <v>258</v>
      </c>
      <c r="B523" s="52" t="n">
        <v>44411</v>
      </c>
      <c r="C523" s="0" t="n">
        <v>85893.986</v>
      </c>
      <c r="D523" s="0" t="n">
        <v>8530.326</v>
      </c>
      <c r="E523" s="0" t="n">
        <v>77363.66</v>
      </c>
      <c r="F523" s="0" t="n">
        <v>60240.549</v>
      </c>
      <c r="G523" s="0" t="n">
        <v>51902.466</v>
      </c>
      <c r="H523" s="0" t="n">
        <v>8338.083</v>
      </c>
      <c r="I523" s="0" t="n">
        <v>10713.666</v>
      </c>
      <c r="J523" s="0" t="n">
        <v>6409.445</v>
      </c>
      <c r="K523" s="0" t="n">
        <v>75096.64875</v>
      </c>
      <c r="L523" s="0" t="n">
        <v>64487</v>
      </c>
      <c r="M523" s="0" t="n">
        <v>64251</v>
      </c>
      <c r="N523" s="0" t="n">
        <v>78</v>
      </c>
      <c r="O523" s="54" t="n">
        <f aca="false">YEAR(B523)</f>
        <v>2021</v>
      </c>
      <c r="P523" s="54" t="n">
        <f aca="false">IF(AND(E523&gt;=14400,K523&gt;0,L523&gt;0),1,0)</f>
        <v>1</v>
      </c>
      <c r="Q523" s="53" t="n">
        <f aca="false">IF(P523=1,F523/E523*MIN(L523/K523,1)*MIN(MAX(M523/L523,0),1),0)</f>
        <v>0.666210154855821</v>
      </c>
      <c r="R523" s="55" t="n">
        <f aca="false">IF(F523&gt;0,N523/(F523/3600),0)</f>
        <v>4.66131210059191</v>
      </c>
    </row>
    <row r="524" customFormat="false" ht="15" hidden="false" customHeight="false" outlineLevel="0" collapsed="false">
      <c r="A524" s="0" t="s">
        <v>258</v>
      </c>
      <c r="B524" s="52" t="n">
        <v>44412</v>
      </c>
      <c r="C524" s="0" t="n">
        <v>86349.459</v>
      </c>
      <c r="D524" s="0" t="n">
        <v>8991.554</v>
      </c>
      <c r="E524" s="0" t="n">
        <v>77357.905</v>
      </c>
      <c r="F524" s="0" t="n">
        <v>66665.389</v>
      </c>
      <c r="G524" s="0" t="n">
        <v>61257.479</v>
      </c>
      <c r="H524" s="0" t="n">
        <v>5407.91</v>
      </c>
      <c r="I524" s="0" t="n">
        <v>8807.961</v>
      </c>
      <c r="J524" s="0" t="n">
        <v>1884.555</v>
      </c>
      <c r="K524" s="0" t="n">
        <v>83331.73625</v>
      </c>
      <c r="L524" s="0" t="n">
        <v>76487</v>
      </c>
      <c r="M524" s="0" t="n">
        <v>76321</v>
      </c>
      <c r="N524" s="0" t="n">
        <v>48</v>
      </c>
      <c r="O524" s="54" t="n">
        <f aca="false">YEAR(B524)</f>
        <v>2021</v>
      </c>
      <c r="P524" s="54" t="n">
        <f aca="false">IF(AND(E524&gt;=14400,K524&gt;0,L524&gt;0),1,0)</f>
        <v>1</v>
      </c>
      <c r="Q524" s="53" t="n">
        <f aca="false">IF(P524=1,F524/E524*MIN(L524/K524,1)*MIN(MAX(M524/L524,0),1),0)</f>
        <v>0.789276803708684</v>
      </c>
      <c r="R524" s="55" t="n">
        <f aca="false">IF(F524&gt;0,N524/(F524/3600),0)</f>
        <v>2.59204967663205</v>
      </c>
    </row>
    <row r="525" customFormat="false" ht="15" hidden="false" customHeight="false" outlineLevel="0" collapsed="false">
      <c r="A525" s="0" t="s">
        <v>258</v>
      </c>
      <c r="B525" s="52" t="n">
        <v>44413</v>
      </c>
      <c r="C525" s="0" t="n">
        <v>85697.663</v>
      </c>
      <c r="D525" s="0" t="n">
        <v>3654.027</v>
      </c>
      <c r="E525" s="0" t="n">
        <v>82043.636</v>
      </c>
      <c r="F525" s="0" t="n">
        <v>75230.75</v>
      </c>
      <c r="G525" s="0" t="n">
        <v>68383.615</v>
      </c>
      <c r="H525" s="0" t="n">
        <v>6847.135</v>
      </c>
      <c r="I525" s="0" t="n">
        <v>6259.976</v>
      </c>
      <c r="J525" s="0" t="n">
        <v>552.91</v>
      </c>
      <c r="K525" s="0" t="n">
        <v>94038.4375</v>
      </c>
      <c r="L525" s="0" t="n">
        <v>84082</v>
      </c>
      <c r="M525" s="0" t="n">
        <v>83793</v>
      </c>
      <c r="N525" s="0" t="n">
        <v>58</v>
      </c>
      <c r="O525" s="54" t="n">
        <f aca="false">YEAR(B525)</f>
        <v>2021</v>
      </c>
      <c r="P525" s="54" t="n">
        <f aca="false">IF(AND(E525&gt;=14400,K525&gt;0,L525&gt;0),1,0)</f>
        <v>1</v>
      </c>
      <c r="Q525" s="53" t="n">
        <f aca="false">IF(P525=1,F525/E525*MIN(L525/K525,1)*MIN(MAX(M525/L525,0),1),0)</f>
        <v>0.817057888560668</v>
      </c>
      <c r="R525" s="55" t="n">
        <f aca="false">IF(F525&gt;0,N525/(F525/3600),0)</f>
        <v>2.77546083217301</v>
      </c>
    </row>
    <row r="526" customFormat="false" ht="15" hidden="false" customHeight="false" outlineLevel="0" collapsed="false">
      <c r="A526" s="0" t="s">
        <v>258</v>
      </c>
      <c r="B526" s="52" t="n">
        <v>44414</v>
      </c>
      <c r="C526" s="0" t="n">
        <v>81796.974</v>
      </c>
      <c r="D526" s="0" t="n">
        <v>7742.205</v>
      </c>
      <c r="E526" s="0" t="n">
        <v>74054.769</v>
      </c>
      <c r="F526" s="0" t="n">
        <v>63370.044</v>
      </c>
      <c r="G526" s="0" t="n">
        <v>51729.242</v>
      </c>
      <c r="H526" s="0" t="n">
        <v>11640.802</v>
      </c>
      <c r="I526" s="0" t="n">
        <v>7604.923</v>
      </c>
      <c r="J526" s="0" t="n">
        <v>3079.802</v>
      </c>
      <c r="K526" s="0" t="n">
        <v>79212.555</v>
      </c>
      <c r="L526" s="0" t="n">
        <v>63394</v>
      </c>
      <c r="M526" s="0" t="n">
        <v>63244</v>
      </c>
      <c r="N526" s="0" t="n">
        <v>42</v>
      </c>
      <c r="O526" s="54" t="n">
        <f aca="false">YEAR(B526)</f>
        <v>2021</v>
      </c>
      <c r="P526" s="54" t="n">
        <f aca="false">IF(AND(E526&gt;=14400,K526&gt;0,L526&gt;0),1,0)</f>
        <v>1</v>
      </c>
      <c r="Q526" s="53" t="n">
        <f aca="false">IF(P526=1,F526/E526*MIN(L526/K526,1)*MIN(MAX(M526/L526,0),1),0)</f>
        <v>0.683213258014484</v>
      </c>
      <c r="R526" s="55" t="n">
        <f aca="false">IF(F526&gt;0,N526/(F526/3600),0)</f>
        <v>2.38598540345025</v>
      </c>
    </row>
    <row r="527" customFormat="false" ht="15" hidden="false" customHeight="false" outlineLevel="0" collapsed="false">
      <c r="A527" s="0" t="s">
        <v>258</v>
      </c>
      <c r="B527" s="52" t="n">
        <v>44415</v>
      </c>
      <c r="C527" s="0" t="n">
        <v>31776.304</v>
      </c>
      <c r="D527" s="0" t="n">
        <v>6333.802</v>
      </c>
      <c r="E527" s="0" t="n">
        <v>25442.502</v>
      </c>
      <c r="F527" s="0" t="n">
        <v>16429.995</v>
      </c>
      <c r="G527" s="0" t="n">
        <v>15652.538</v>
      </c>
      <c r="H527" s="0" t="n">
        <v>777.457</v>
      </c>
      <c r="I527" s="0" t="n">
        <v>5219.33</v>
      </c>
      <c r="J527" s="0" t="n">
        <v>3793.177</v>
      </c>
      <c r="K527" s="0" t="n">
        <v>20537.49375</v>
      </c>
      <c r="L527" s="0" t="n">
        <v>19476</v>
      </c>
      <c r="M527" s="0" t="n">
        <v>19250</v>
      </c>
      <c r="N527" s="0" t="n">
        <v>25</v>
      </c>
      <c r="O527" s="54" t="n">
        <f aca="false">YEAR(B527)</f>
        <v>2021</v>
      </c>
      <c r="P527" s="54" t="n">
        <f aca="false">IF(AND(E527&gt;=14400,K527&gt;0,L527&gt;0),1,0)</f>
        <v>1</v>
      </c>
      <c r="Q527" s="53" t="n">
        <f aca="false">IF(P527=1,F527/E527*MIN(L527/K527,1)*MIN(MAX(M527/L527,0),1),0)</f>
        <v>0.605286382604981</v>
      </c>
      <c r="R527" s="55" t="n">
        <f aca="false">IF(F527&gt;0,N527/(F527/3600),0)</f>
        <v>5.47778620748211</v>
      </c>
    </row>
    <row r="528" customFormat="false" ht="15" hidden="false" customHeight="false" outlineLevel="0" collapsed="false">
      <c r="A528" s="0" t="s">
        <v>258</v>
      </c>
      <c r="B528" s="52" t="n">
        <v>44416</v>
      </c>
      <c r="C528" s="0" t="n">
        <v>82018.93</v>
      </c>
      <c r="D528" s="0" t="n">
        <v>14650.214</v>
      </c>
      <c r="E528" s="0" t="n">
        <v>67368.716</v>
      </c>
      <c r="F528" s="0" t="n">
        <v>48055.297</v>
      </c>
      <c r="G528" s="0" t="n">
        <v>38322.031</v>
      </c>
      <c r="H528" s="0" t="n">
        <v>9733.266</v>
      </c>
      <c r="I528" s="0" t="n">
        <v>6314.548</v>
      </c>
      <c r="J528" s="0" t="n">
        <v>12998.871</v>
      </c>
      <c r="K528" s="0" t="n">
        <v>60069.12125</v>
      </c>
      <c r="L528" s="0" t="n">
        <v>46421</v>
      </c>
      <c r="M528" s="0" t="n">
        <v>46221</v>
      </c>
      <c r="N528" s="0" t="n">
        <v>52</v>
      </c>
      <c r="O528" s="54" t="n">
        <f aca="false">YEAR(B528)</f>
        <v>2021</v>
      </c>
      <c r="P528" s="54" t="n">
        <f aca="false">IF(AND(E528&gt;=14400,K528&gt;0,L528&gt;0),1,0)</f>
        <v>1</v>
      </c>
      <c r="Q528" s="53" t="n">
        <f aca="false">IF(P528=1,F528/E528*MIN(L528/K528,1)*MIN(MAX(M528/L528,0),1),0)</f>
        <v>0.548871971969898</v>
      </c>
      <c r="R528" s="55" t="n">
        <f aca="false">IF(F528&gt;0,N528/(F528/3600),0)</f>
        <v>3.89551228868693</v>
      </c>
    </row>
    <row r="529" customFormat="false" ht="15" hidden="false" customHeight="false" outlineLevel="0" collapsed="false">
      <c r="A529" s="0" t="s">
        <v>258</v>
      </c>
      <c r="B529" s="52" t="n">
        <v>44417</v>
      </c>
      <c r="C529" s="0" t="n">
        <v>82680.106</v>
      </c>
      <c r="D529" s="0" t="n">
        <v>9248.876</v>
      </c>
      <c r="E529" s="0" t="n">
        <v>73431.23</v>
      </c>
      <c r="F529" s="0" t="n">
        <v>60771.581</v>
      </c>
      <c r="G529" s="0" t="n">
        <v>49936.179</v>
      </c>
      <c r="H529" s="0" t="n">
        <v>10835.402</v>
      </c>
      <c r="I529" s="0" t="n">
        <v>7820.446</v>
      </c>
      <c r="J529" s="0" t="n">
        <v>4839.203</v>
      </c>
      <c r="K529" s="0" t="n">
        <v>76624.9118055556</v>
      </c>
      <c r="L529" s="0" t="n">
        <v>61405</v>
      </c>
      <c r="M529" s="0" t="n">
        <v>61194</v>
      </c>
      <c r="N529" s="0" t="n">
        <v>57</v>
      </c>
      <c r="O529" s="54" t="n">
        <f aca="false">YEAR(B529)</f>
        <v>2021</v>
      </c>
      <c r="P529" s="54" t="n">
        <f aca="false">IF(AND(E529&gt;=14400,K529&gt;0,L529&gt;0),1,0)</f>
        <v>1</v>
      </c>
      <c r="Q529" s="53" t="n">
        <f aca="false">IF(P529=1,F529/E529*MIN(L529/K529,1)*MIN(MAX(M529/L529,0),1),0)</f>
        <v>0.660934750176007</v>
      </c>
      <c r="R529" s="55" t="n">
        <f aca="false">IF(F529&gt;0,N529/(F529/3600),0)</f>
        <v>3.37657827266334</v>
      </c>
    </row>
    <row r="530" customFormat="false" ht="15" hidden="false" customHeight="false" outlineLevel="0" collapsed="false">
      <c r="A530" s="0" t="s">
        <v>258</v>
      </c>
      <c r="B530" s="52" t="n">
        <v>44418</v>
      </c>
      <c r="C530" s="0" t="n">
        <v>88102.247</v>
      </c>
      <c r="D530" s="0" t="n">
        <v>8367.782</v>
      </c>
      <c r="E530" s="0" t="n">
        <v>79734.465</v>
      </c>
      <c r="F530" s="0" t="n">
        <v>64961.393</v>
      </c>
      <c r="G530" s="0" t="n">
        <v>54768.131</v>
      </c>
      <c r="H530" s="0" t="n">
        <v>10193.262</v>
      </c>
      <c r="I530" s="0" t="n">
        <v>11630.649</v>
      </c>
      <c r="J530" s="0" t="n">
        <v>3142.423</v>
      </c>
      <c r="K530" s="0" t="n">
        <v>81148.4327083333</v>
      </c>
      <c r="L530" s="0" t="n">
        <v>68183</v>
      </c>
      <c r="M530" s="0" t="n">
        <v>67970</v>
      </c>
      <c r="N530" s="0" t="n">
        <v>76</v>
      </c>
      <c r="O530" s="54" t="n">
        <f aca="false">YEAR(B530)</f>
        <v>2021</v>
      </c>
      <c r="P530" s="54" t="n">
        <f aca="false">IF(AND(E530&gt;=14400,K530&gt;0,L530&gt;0),1,0)</f>
        <v>1</v>
      </c>
      <c r="Q530" s="53" t="n">
        <f aca="false">IF(P530=1,F530/E530*MIN(L530/K530,1)*MIN(MAX(M530/L530,0),1),0)</f>
        <v>0.682411564758605</v>
      </c>
      <c r="R530" s="55" t="n">
        <f aca="false">IF(F530&gt;0,N530/(F530/3600),0)</f>
        <v>4.21173234385537</v>
      </c>
    </row>
    <row r="531" customFormat="false" ht="15" hidden="false" customHeight="false" outlineLevel="0" collapsed="false">
      <c r="A531" s="0" t="s">
        <v>258</v>
      </c>
      <c r="B531" s="52" t="n">
        <v>44419</v>
      </c>
      <c r="C531" s="0" t="n">
        <v>84455.489</v>
      </c>
      <c r="D531" s="0" t="n">
        <v>7789.647</v>
      </c>
      <c r="E531" s="0" t="n">
        <v>76665.842</v>
      </c>
      <c r="F531" s="0" t="n">
        <v>64816.787</v>
      </c>
      <c r="G531" s="0" t="n">
        <v>58815.414</v>
      </c>
      <c r="H531" s="0" t="n">
        <v>6001.373</v>
      </c>
      <c r="I531" s="0" t="n">
        <v>7314.907</v>
      </c>
      <c r="J531" s="0" t="n">
        <v>4534.148</v>
      </c>
      <c r="K531" s="0" t="n">
        <v>81020.98375</v>
      </c>
      <c r="L531" s="0" t="n">
        <v>72112</v>
      </c>
      <c r="M531" s="0" t="n">
        <v>71956</v>
      </c>
      <c r="N531" s="0" t="n">
        <v>53</v>
      </c>
      <c r="O531" s="54" t="n">
        <f aca="false">YEAR(B531)</f>
        <v>2021</v>
      </c>
      <c r="P531" s="54" t="n">
        <f aca="false">IF(AND(E531&gt;=14400,K531&gt;0,L531&gt;0),1,0)</f>
        <v>1</v>
      </c>
      <c r="Q531" s="53" t="n">
        <f aca="false">IF(P531=1,F531/E531*MIN(L531/K531,1)*MIN(MAX(M531/L531,0),1),0)</f>
        <v>0.750853293961084</v>
      </c>
      <c r="R531" s="55" t="n">
        <f aca="false">IF(F531&gt;0,N531/(F531/3600),0)</f>
        <v>2.94368185821985</v>
      </c>
    </row>
    <row r="532" customFormat="false" ht="15" hidden="false" customHeight="false" outlineLevel="0" collapsed="false">
      <c r="A532" s="0" t="s">
        <v>258</v>
      </c>
      <c r="B532" s="52" t="n">
        <v>44420</v>
      </c>
      <c r="C532" s="0" t="n">
        <v>86243.364</v>
      </c>
      <c r="D532" s="0" t="n">
        <v>10120.065</v>
      </c>
      <c r="E532" s="0" t="n">
        <v>76123.299</v>
      </c>
      <c r="F532" s="0" t="n">
        <v>63562.344</v>
      </c>
      <c r="G532" s="0" t="n">
        <v>52045.06</v>
      </c>
      <c r="H532" s="0" t="n">
        <v>11517.284</v>
      </c>
      <c r="I532" s="0" t="n">
        <v>8839.825</v>
      </c>
      <c r="J532" s="0" t="n">
        <v>3721.13</v>
      </c>
      <c r="K532" s="0" t="n">
        <v>79452.93</v>
      </c>
      <c r="L532" s="0" t="n">
        <v>64762</v>
      </c>
      <c r="M532" s="0" t="n">
        <v>64551</v>
      </c>
      <c r="N532" s="0" t="n">
        <v>70</v>
      </c>
      <c r="O532" s="54" t="n">
        <f aca="false">YEAR(B532)</f>
        <v>2021</v>
      </c>
      <c r="P532" s="54" t="n">
        <f aca="false">IF(AND(E532&gt;=14400,K532&gt;0,L532&gt;0),1,0)</f>
        <v>1</v>
      </c>
      <c r="Q532" s="53" t="n">
        <f aca="false">IF(P532=1,F532/E532*MIN(L532/K532,1)*MIN(MAX(M532/L532,0),1),0)</f>
        <v>0.678383631271682</v>
      </c>
      <c r="R532" s="55" t="n">
        <f aca="false">IF(F532&gt;0,N532/(F532/3600),0)</f>
        <v>3.96461150016746</v>
      </c>
    </row>
    <row r="533" customFormat="false" ht="15" hidden="false" customHeight="false" outlineLevel="0" collapsed="false">
      <c r="A533" s="0" t="s">
        <v>258</v>
      </c>
      <c r="B533" s="52" t="n">
        <v>44421</v>
      </c>
      <c r="C533" s="0" t="n">
        <v>86763.431</v>
      </c>
      <c r="D533" s="0" t="n">
        <v>2569.15</v>
      </c>
      <c r="E533" s="0" t="n">
        <v>84194.281</v>
      </c>
      <c r="F533" s="0" t="n">
        <v>72472.723</v>
      </c>
      <c r="G533" s="0" t="n">
        <v>57298.986</v>
      </c>
      <c r="H533" s="0" t="n">
        <v>15173.737</v>
      </c>
      <c r="I533" s="0" t="n">
        <v>11605.959</v>
      </c>
      <c r="J533" s="0" t="n">
        <v>115.599</v>
      </c>
      <c r="K533" s="0" t="n">
        <v>90203.935</v>
      </c>
      <c r="L533" s="0" t="n">
        <v>70292</v>
      </c>
      <c r="M533" s="0" t="n">
        <v>70142</v>
      </c>
      <c r="N533" s="0" t="n">
        <v>53</v>
      </c>
      <c r="O533" s="54" t="n">
        <f aca="false">YEAR(B533)</f>
        <v>2021</v>
      </c>
      <c r="P533" s="54" t="n">
        <f aca="false">IF(AND(E533&gt;=14400,K533&gt;0,L533&gt;0),1,0)</f>
        <v>1</v>
      </c>
      <c r="Q533" s="53" t="n">
        <f aca="false">IF(P533=1,F533/E533*MIN(L533/K533,1)*MIN(MAX(M533/L533,0),1),0)</f>
        <v>0.669336715755857</v>
      </c>
      <c r="R533" s="55" t="n">
        <f aca="false">IF(F533&gt;0,N533/(F533/3600),0)</f>
        <v>2.63271465596787</v>
      </c>
    </row>
    <row r="534" customFormat="false" ht="15" hidden="false" customHeight="false" outlineLevel="0" collapsed="false">
      <c r="A534" s="0" t="s">
        <v>258</v>
      </c>
      <c r="B534" s="52" t="n">
        <v>44422</v>
      </c>
      <c r="C534" s="0" t="n">
        <v>41672.684</v>
      </c>
      <c r="D534" s="0" t="n">
        <v>5787.645</v>
      </c>
      <c r="E534" s="0" t="n">
        <v>35885.039</v>
      </c>
      <c r="F534" s="0" t="n">
        <v>20576.974</v>
      </c>
      <c r="G534" s="0" t="n">
        <v>17888.55</v>
      </c>
      <c r="H534" s="0" t="n">
        <v>2688.424</v>
      </c>
      <c r="I534" s="0" t="n">
        <v>9697.516</v>
      </c>
      <c r="J534" s="0" t="n">
        <v>5610.549</v>
      </c>
      <c r="K534" s="0" t="n">
        <v>25721.2175</v>
      </c>
      <c r="L534" s="0" t="n">
        <v>22234</v>
      </c>
      <c r="M534" s="0" t="n">
        <v>22143</v>
      </c>
      <c r="N534" s="0" t="n">
        <v>28</v>
      </c>
      <c r="O534" s="54" t="n">
        <f aca="false">YEAR(B534)</f>
        <v>2021</v>
      </c>
      <c r="P534" s="54" t="n">
        <f aca="false">IF(AND(E534&gt;=14400,K534&gt;0,L534&gt;0),1,0)</f>
        <v>1</v>
      </c>
      <c r="Q534" s="53" t="n">
        <f aca="false">IF(P534=1,F534/E534*MIN(L534/K534,1)*MIN(MAX(M534/L534,0),1),0)</f>
        <v>0.49364304717629</v>
      </c>
      <c r="R534" s="55" t="n">
        <f aca="false">IF(F534&gt;0,N534/(F534/3600),0)</f>
        <v>4.89867946569792</v>
      </c>
    </row>
    <row r="535" customFormat="false" ht="15" hidden="false" customHeight="false" outlineLevel="0" collapsed="false">
      <c r="A535" s="0" t="s">
        <v>258</v>
      </c>
      <c r="B535" s="52" t="n">
        <v>44423</v>
      </c>
      <c r="C535" s="0" t="n">
        <v>65563.578</v>
      </c>
      <c r="D535" s="0" t="n">
        <v>4193.95</v>
      </c>
      <c r="E535" s="0" t="n">
        <v>61369.628</v>
      </c>
      <c r="F535" s="0" t="n">
        <v>49863.114</v>
      </c>
      <c r="G535" s="0" t="n">
        <v>39321.592</v>
      </c>
      <c r="H535" s="0" t="n">
        <v>10541.522</v>
      </c>
      <c r="I535" s="0" t="n">
        <v>8331.009</v>
      </c>
      <c r="J535" s="0" t="n">
        <v>3175.505</v>
      </c>
      <c r="K535" s="0" t="n">
        <v>61694.1577777778</v>
      </c>
      <c r="L535" s="0" t="n">
        <v>48887</v>
      </c>
      <c r="M535" s="0" t="n">
        <v>48717</v>
      </c>
      <c r="N535" s="0" t="n">
        <v>49</v>
      </c>
      <c r="O535" s="54" t="n">
        <f aca="false">YEAR(B535)</f>
        <v>2021</v>
      </c>
      <c r="P535" s="54" t="n">
        <f aca="false">IF(AND(E535&gt;=14400,K535&gt;0,L535&gt;0),1,0)</f>
        <v>1</v>
      </c>
      <c r="Q535" s="53" t="n">
        <f aca="false">IF(P535=1,F535/E535*MIN(L535/K535,1)*MIN(MAX(M535/L535,0),1),0)</f>
        <v>0.641597115975208</v>
      </c>
      <c r="R535" s="55" t="n">
        <f aca="false">IF(F535&gt;0,N535/(F535/3600),0)</f>
        <v>3.53768519150248</v>
      </c>
    </row>
    <row r="536" customFormat="false" ht="15" hidden="false" customHeight="false" outlineLevel="0" collapsed="false">
      <c r="A536" s="0" t="s">
        <v>258</v>
      </c>
      <c r="B536" s="52" t="n">
        <v>44424</v>
      </c>
      <c r="C536" s="0" t="n">
        <v>85938.438</v>
      </c>
      <c r="D536" s="0" t="n">
        <v>8658.95</v>
      </c>
      <c r="E536" s="0" t="n">
        <v>77279.488</v>
      </c>
      <c r="F536" s="0" t="n">
        <v>68203.191</v>
      </c>
      <c r="G536" s="0" t="n">
        <v>56233.184</v>
      </c>
      <c r="H536" s="0" t="n">
        <v>11970.007</v>
      </c>
      <c r="I536" s="0" t="n">
        <v>6435.208</v>
      </c>
      <c r="J536" s="0" t="n">
        <v>2641.089</v>
      </c>
      <c r="K536" s="0" t="n">
        <v>85253.98875</v>
      </c>
      <c r="L536" s="0" t="n">
        <v>68886</v>
      </c>
      <c r="M536" s="0" t="n">
        <v>68690</v>
      </c>
      <c r="N536" s="0" t="n">
        <v>54</v>
      </c>
      <c r="O536" s="54" t="n">
        <f aca="false">YEAR(B536)</f>
        <v>2021</v>
      </c>
      <c r="P536" s="54" t="n">
        <f aca="false">IF(AND(E536&gt;=14400,K536&gt;0,L536&gt;0),1,0)</f>
        <v>1</v>
      </c>
      <c r="Q536" s="53" t="n">
        <f aca="false">IF(P536=1,F536/E536*MIN(L536/K536,1)*MIN(MAX(M536/L536,0),1),0)</f>
        <v>0.711081315652609</v>
      </c>
      <c r="R536" s="55" t="n">
        <f aca="false">IF(F536&gt;0,N536/(F536/3600),0)</f>
        <v>2.85030652011575</v>
      </c>
    </row>
    <row r="537" customFormat="false" ht="15" hidden="false" customHeight="false" outlineLevel="0" collapsed="false">
      <c r="A537" s="0" t="s">
        <v>258</v>
      </c>
      <c r="B537" s="52" t="n">
        <v>44425</v>
      </c>
      <c r="C537" s="0" t="n">
        <v>86621.719</v>
      </c>
      <c r="D537" s="0" t="n">
        <v>8419.055</v>
      </c>
      <c r="E537" s="0" t="n">
        <v>78202.664</v>
      </c>
      <c r="F537" s="0" t="n">
        <v>63580.247</v>
      </c>
      <c r="G537" s="0" t="n">
        <v>59575.313</v>
      </c>
      <c r="H537" s="0" t="n">
        <v>4004.934</v>
      </c>
      <c r="I537" s="0" t="n">
        <v>11287.675</v>
      </c>
      <c r="J537" s="0" t="n">
        <v>3334.742</v>
      </c>
      <c r="K537" s="0" t="n">
        <v>77388.4053125</v>
      </c>
      <c r="L537" s="0" t="n">
        <v>73194</v>
      </c>
      <c r="M537" s="0" t="n">
        <v>73006</v>
      </c>
      <c r="N537" s="0" t="n">
        <v>75</v>
      </c>
      <c r="O537" s="54" t="n">
        <f aca="false">YEAR(B537)</f>
        <v>2021</v>
      </c>
      <c r="P537" s="54" t="n">
        <f aca="false">IF(AND(E537&gt;=14400,K537&gt;0,L537&gt;0),1,0)</f>
        <v>1</v>
      </c>
      <c r="Q537" s="53" t="n">
        <f aca="false">IF(P537=1,F537/E537*MIN(L537/K537,1)*MIN(MAX(M537/L537,0),1),0)</f>
        <v>0.766978728956473</v>
      </c>
      <c r="R537" s="55" t="n">
        <f aca="false">IF(F537&gt;0,N537/(F537/3600),0)</f>
        <v>4.24660193597549</v>
      </c>
    </row>
    <row r="538" customFormat="false" ht="15" hidden="false" customHeight="false" outlineLevel="0" collapsed="false">
      <c r="A538" s="0" t="s">
        <v>258</v>
      </c>
      <c r="B538" s="52" t="n">
        <v>44426</v>
      </c>
      <c r="C538" s="0" t="n">
        <v>87015.965</v>
      </c>
      <c r="D538" s="0" t="n">
        <v>7225.672</v>
      </c>
      <c r="E538" s="0" t="n">
        <v>79790.293</v>
      </c>
      <c r="F538" s="0" t="n">
        <v>59848.869</v>
      </c>
      <c r="G538" s="0" t="n">
        <v>51181.576</v>
      </c>
      <c r="H538" s="0" t="n">
        <v>8667.293</v>
      </c>
      <c r="I538" s="0" t="n">
        <v>17270.55</v>
      </c>
      <c r="J538" s="0" t="n">
        <v>2670.874</v>
      </c>
      <c r="K538" s="0" t="n">
        <v>74811.08625</v>
      </c>
      <c r="L538" s="0" t="n">
        <v>63771</v>
      </c>
      <c r="M538" s="0" t="n">
        <v>63624</v>
      </c>
      <c r="N538" s="0" t="n">
        <v>42</v>
      </c>
      <c r="O538" s="54" t="n">
        <f aca="false">YEAR(B538)</f>
        <v>2021</v>
      </c>
      <c r="P538" s="54" t="n">
        <f aca="false">IF(AND(E538&gt;=14400,K538&gt;0,L538&gt;0),1,0)</f>
        <v>1</v>
      </c>
      <c r="Q538" s="53" t="n">
        <f aca="false">IF(P538=1,F538/E538*MIN(L538/K538,1)*MIN(MAX(M538/L538,0),1),0)</f>
        <v>0.637912183127339</v>
      </c>
      <c r="R538" s="55" t="n">
        <f aca="false">IF(F538&gt;0,N538/(F538/3600),0)</f>
        <v>2.5263635307795</v>
      </c>
    </row>
    <row r="539" customFormat="false" ht="15" hidden="false" customHeight="false" outlineLevel="0" collapsed="false">
      <c r="A539" s="0" t="s">
        <v>258</v>
      </c>
      <c r="B539" s="52" t="n">
        <v>44427</v>
      </c>
      <c r="C539" s="0" t="n">
        <v>85474.069</v>
      </c>
      <c r="D539" s="0" t="n">
        <v>8105.148</v>
      </c>
      <c r="E539" s="0" t="n">
        <v>77368.921</v>
      </c>
      <c r="F539" s="0" t="n">
        <v>67346.638</v>
      </c>
      <c r="G539" s="0" t="n">
        <v>56907.996</v>
      </c>
      <c r="H539" s="0" t="n">
        <v>10438.642</v>
      </c>
      <c r="I539" s="0" t="n">
        <v>7691.542</v>
      </c>
      <c r="J539" s="0" t="n">
        <v>2330.741</v>
      </c>
      <c r="K539" s="0" t="n">
        <v>84114.9475</v>
      </c>
      <c r="L539" s="0" t="n">
        <v>70889</v>
      </c>
      <c r="M539" s="0" t="n">
        <v>70664</v>
      </c>
      <c r="N539" s="0" t="n">
        <v>57</v>
      </c>
      <c r="O539" s="54" t="n">
        <f aca="false">YEAR(B539)</f>
        <v>2021</v>
      </c>
      <c r="P539" s="54" t="n">
        <f aca="false">IF(AND(E539&gt;=14400,K539&gt;0,L539&gt;0),1,0)</f>
        <v>1</v>
      </c>
      <c r="Q539" s="53" t="n">
        <f aca="false">IF(P539=1,F539/E539*MIN(L539/K539,1)*MIN(MAX(M539/L539,0),1),0)</f>
        <v>0.731264379906922</v>
      </c>
      <c r="R539" s="55" t="n">
        <f aca="false">IF(F539&gt;0,N539/(F539/3600),0)</f>
        <v>3.04692269865053</v>
      </c>
    </row>
    <row r="540" customFormat="false" ht="15" hidden="false" customHeight="false" outlineLevel="0" collapsed="false">
      <c r="A540" s="0" t="s">
        <v>258</v>
      </c>
      <c r="B540" s="52" t="n">
        <v>44428</v>
      </c>
      <c r="C540" s="0" t="n">
        <v>85112.87</v>
      </c>
      <c r="D540" s="0" t="n">
        <v>2734.801</v>
      </c>
      <c r="E540" s="0" t="n">
        <v>82378.069</v>
      </c>
      <c r="F540" s="0" t="n">
        <v>66826.335</v>
      </c>
      <c r="G540" s="0" t="n">
        <v>54904.278</v>
      </c>
      <c r="H540" s="0" t="n">
        <v>11922.057</v>
      </c>
      <c r="I540" s="0" t="n">
        <v>15260.064</v>
      </c>
      <c r="J540" s="0" t="n">
        <v>291.67</v>
      </c>
      <c r="K540" s="0" t="n">
        <v>81284.8774305556</v>
      </c>
      <c r="L540" s="0" t="n">
        <v>69992</v>
      </c>
      <c r="M540" s="0" t="n">
        <v>69822</v>
      </c>
      <c r="N540" s="0" t="n">
        <v>48</v>
      </c>
      <c r="O540" s="54" t="n">
        <f aca="false">YEAR(B540)</f>
        <v>2021</v>
      </c>
      <c r="P540" s="54" t="n">
        <f aca="false">IF(AND(E540&gt;=14400,K540&gt;0,L540&gt;0),1,0)</f>
        <v>1</v>
      </c>
      <c r="Q540" s="53" t="n">
        <f aca="false">IF(P540=1,F540/E540*MIN(L540/K540,1)*MIN(MAX(M540/L540,0),1),0)</f>
        <v>0.696816723965905</v>
      </c>
      <c r="R540" s="55" t="n">
        <f aca="false">IF(F540&gt;0,N540/(F540/3600),0)</f>
        <v>2.58580692776283</v>
      </c>
    </row>
    <row r="541" customFormat="false" ht="15" hidden="false" customHeight="false" outlineLevel="0" collapsed="false">
      <c r="A541" s="0" t="s">
        <v>258</v>
      </c>
      <c r="B541" s="52" t="n">
        <v>44429</v>
      </c>
      <c r="C541" s="0" t="n">
        <v>60049.966</v>
      </c>
      <c r="D541" s="0" t="n">
        <v>21113.96</v>
      </c>
      <c r="E541" s="0" t="n">
        <v>38936.006</v>
      </c>
      <c r="F541" s="0" t="n">
        <v>23966.326</v>
      </c>
      <c r="G541" s="0" t="n">
        <v>18526.094</v>
      </c>
      <c r="H541" s="0" t="n">
        <v>5440.232</v>
      </c>
      <c r="I541" s="0" t="n">
        <v>8310.166</v>
      </c>
      <c r="J541" s="0" t="n">
        <v>6659.514</v>
      </c>
      <c r="K541" s="0" t="n">
        <v>29957.9075</v>
      </c>
      <c r="L541" s="0" t="n">
        <v>22941</v>
      </c>
      <c r="M541" s="0" t="n">
        <v>22861</v>
      </c>
      <c r="N541" s="0" t="n">
        <v>35</v>
      </c>
      <c r="O541" s="54" t="n">
        <f aca="false">YEAR(B541)</f>
        <v>2021</v>
      </c>
      <c r="P541" s="54" t="n">
        <f aca="false">IF(AND(E541&gt;=14400,K541&gt;0,L541&gt;0),1,0)</f>
        <v>1</v>
      </c>
      <c r="Q541" s="53" t="n">
        <f aca="false">IF(P541=1,F541/E541*MIN(L541/K541,1)*MIN(MAX(M541/L541,0),1),0)</f>
        <v>0.469714330740549</v>
      </c>
      <c r="R541" s="55" t="n">
        <f aca="false">IF(F541&gt;0,N541/(F541/3600),0)</f>
        <v>5.25737653739668</v>
      </c>
    </row>
    <row r="542" customFormat="false" ht="15" hidden="false" customHeight="false" outlineLevel="0" collapsed="false">
      <c r="A542" s="0" t="s">
        <v>258</v>
      </c>
      <c r="B542" s="52" t="n">
        <v>44430</v>
      </c>
      <c r="C542" s="0" t="n">
        <v>78159.119</v>
      </c>
      <c r="D542" s="0" t="n">
        <v>3017.385</v>
      </c>
      <c r="E542" s="0" t="n">
        <v>75141.734</v>
      </c>
      <c r="F542" s="0" t="n">
        <v>53862.927</v>
      </c>
      <c r="G542" s="0" t="n">
        <v>47179.962</v>
      </c>
      <c r="H542" s="0" t="n">
        <v>6682.965</v>
      </c>
      <c r="I542" s="0" t="n">
        <v>6459.66</v>
      </c>
      <c r="J542" s="0" t="n">
        <v>14819.147</v>
      </c>
      <c r="K542" s="0" t="n">
        <v>67287.3275</v>
      </c>
      <c r="L542" s="0" t="n">
        <v>58739</v>
      </c>
      <c r="M542" s="0" t="n">
        <v>58635</v>
      </c>
      <c r="N542" s="0" t="n">
        <v>51</v>
      </c>
      <c r="O542" s="54" t="n">
        <f aca="false">YEAR(B542)</f>
        <v>2021</v>
      </c>
      <c r="P542" s="54" t="n">
        <f aca="false">IF(AND(E542&gt;=14400,K542&gt;0,L542&gt;0),1,0)</f>
        <v>1</v>
      </c>
      <c r="Q542" s="53" t="n">
        <f aca="false">IF(P542=1,F542/E542*MIN(L542/K542,1)*MIN(MAX(M542/L542,0),1),0)</f>
        <v>0.624643733205999</v>
      </c>
      <c r="R542" s="55" t="n">
        <f aca="false">IF(F542&gt;0,N542/(F542/3600),0)</f>
        <v>3.40865248559552</v>
      </c>
    </row>
    <row r="543" customFormat="false" ht="15" hidden="false" customHeight="false" outlineLevel="0" collapsed="false">
      <c r="A543" s="0" t="s">
        <v>258</v>
      </c>
      <c r="B543" s="52" t="n">
        <v>44431</v>
      </c>
      <c r="C543" s="0" t="n">
        <v>86378.976</v>
      </c>
      <c r="D543" s="0" t="n">
        <v>8071.608</v>
      </c>
      <c r="E543" s="0" t="n">
        <v>78307.368</v>
      </c>
      <c r="F543" s="0" t="n">
        <v>68454.942</v>
      </c>
      <c r="G543" s="0" t="n">
        <v>56865.195</v>
      </c>
      <c r="H543" s="0" t="n">
        <v>11589.747</v>
      </c>
      <c r="I543" s="0" t="n">
        <v>8293.408</v>
      </c>
      <c r="J543" s="0" t="n">
        <v>1559.018</v>
      </c>
      <c r="K543" s="0" t="n">
        <v>85568.6775</v>
      </c>
      <c r="L543" s="0" t="n">
        <v>70805</v>
      </c>
      <c r="M543" s="0" t="n">
        <v>70649</v>
      </c>
      <c r="N543" s="0" t="n">
        <v>71</v>
      </c>
      <c r="O543" s="54" t="n">
        <f aca="false">YEAR(B543)</f>
        <v>2021</v>
      </c>
      <c r="P543" s="54" t="n">
        <f aca="false">IF(AND(E543&gt;=14400,K543&gt;0,L543&gt;0),1,0)</f>
        <v>1</v>
      </c>
      <c r="Q543" s="53" t="n">
        <f aca="false">IF(P543=1,F543/E543*MIN(L543/K543,1)*MIN(MAX(M543/L543,0),1),0)</f>
        <v>0.721760945917631</v>
      </c>
      <c r="R543" s="55" t="n">
        <f aca="false">IF(F543&gt;0,N543/(F543/3600),0)</f>
        <v>3.73384291232034</v>
      </c>
    </row>
    <row r="544" customFormat="false" ht="15" hidden="false" customHeight="false" outlineLevel="0" collapsed="false">
      <c r="A544" s="0" t="s">
        <v>258</v>
      </c>
      <c r="B544" s="52" t="n">
        <v>44432</v>
      </c>
      <c r="C544" s="0" t="n">
        <v>86611.092</v>
      </c>
      <c r="D544" s="0" t="n">
        <v>2635.373</v>
      </c>
      <c r="E544" s="0" t="n">
        <v>83975.719</v>
      </c>
      <c r="F544" s="0" t="n">
        <v>73240.721</v>
      </c>
      <c r="G544" s="0" t="n">
        <v>58001.571</v>
      </c>
      <c r="H544" s="0" t="n">
        <v>15239.15</v>
      </c>
      <c r="I544" s="0" t="n">
        <v>10383.978</v>
      </c>
      <c r="J544" s="0" t="n">
        <v>351.02</v>
      </c>
      <c r="K544" s="0" t="n">
        <v>91550.90125</v>
      </c>
      <c r="L544" s="0" t="n">
        <v>72237</v>
      </c>
      <c r="M544" s="0" t="n">
        <v>72063</v>
      </c>
      <c r="N544" s="0" t="n">
        <v>80</v>
      </c>
      <c r="O544" s="54" t="n">
        <f aca="false">YEAR(B544)</f>
        <v>2021</v>
      </c>
      <c r="P544" s="54" t="n">
        <f aca="false">IF(AND(E544&gt;=14400,K544&gt;0,L544&gt;0),1,0)</f>
        <v>1</v>
      </c>
      <c r="Q544" s="53" t="n">
        <f aca="false">IF(P544=1,F544/E544*MIN(L544/K544,1)*MIN(MAX(M544/L544,0),1),0)</f>
        <v>0.686512728756749</v>
      </c>
      <c r="R544" s="55" t="n">
        <f aca="false">IF(F544&gt;0,N544/(F544/3600),0)</f>
        <v>3.9322387336957</v>
      </c>
    </row>
    <row r="545" customFormat="false" ht="15" hidden="false" customHeight="false" outlineLevel="0" collapsed="false">
      <c r="A545" s="0" t="s">
        <v>258</v>
      </c>
      <c r="B545" s="52" t="n">
        <v>44433</v>
      </c>
      <c r="C545" s="0" t="n">
        <v>86351.035</v>
      </c>
      <c r="D545" s="0" t="n">
        <v>8277.386</v>
      </c>
      <c r="E545" s="0" t="n">
        <v>78073.649</v>
      </c>
      <c r="F545" s="0" t="n">
        <v>66926.19</v>
      </c>
      <c r="G545" s="0" t="n">
        <v>59555.672</v>
      </c>
      <c r="H545" s="0" t="n">
        <v>7370.518</v>
      </c>
      <c r="I545" s="0" t="n">
        <v>7917.3</v>
      </c>
      <c r="J545" s="0" t="n">
        <v>3230.159</v>
      </c>
      <c r="K545" s="0" t="n">
        <v>83850.9054166667</v>
      </c>
      <c r="L545" s="0" t="n">
        <v>73121</v>
      </c>
      <c r="M545" s="0" t="n">
        <v>72984</v>
      </c>
      <c r="N545" s="0" t="n">
        <v>45</v>
      </c>
      <c r="O545" s="54" t="n">
        <f aca="false">YEAR(B545)</f>
        <v>2021</v>
      </c>
      <c r="P545" s="54" t="n">
        <f aca="false">IF(AND(E545&gt;=14400,K545&gt;0,L545&gt;0),1,0)</f>
        <v>1</v>
      </c>
      <c r="Q545" s="53" t="n">
        <f aca="false">IF(P545=1,F545/E545*MIN(L545/K545,1)*MIN(MAX(M545/L545,0),1),0)</f>
        <v>0.746124892912514</v>
      </c>
      <c r="R545" s="55" t="n">
        <f aca="false">IF(F545&gt;0,N545/(F545/3600),0)</f>
        <v>2.42057705660519</v>
      </c>
    </row>
    <row r="546" customFormat="false" ht="15" hidden="false" customHeight="false" outlineLevel="0" collapsed="false">
      <c r="A546" s="0" t="s">
        <v>258</v>
      </c>
      <c r="B546" s="52" t="n">
        <v>44434</v>
      </c>
      <c r="C546" s="0" t="n">
        <v>85752.7</v>
      </c>
      <c r="D546" s="0" t="n">
        <v>8272.268</v>
      </c>
      <c r="E546" s="0" t="n">
        <v>77480.432</v>
      </c>
      <c r="F546" s="0" t="n">
        <v>62663.829</v>
      </c>
      <c r="G546" s="0" t="n">
        <v>50767.93</v>
      </c>
      <c r="H546" s="0" t="n">
        <v>11895.899</v>
      </c>
      <c r="I546" s="0" t="n">
        <v>12028.514</v>
      </c>
      <c r="J546" s="0" t="n">
        <v>2788.089</v>
      </c>
      <c r="K546" s="0" t="n">
        <v>75598.9069444445</v>
      </c>
      <c r="L546" s="0" t="n">
        <v>61167</v>
      </c>
      <c r="M546" s="0" t="n">
        <v>60976</v>
      </c>
      <c r="N546" s="0" t="n">
        <v>76</v>
      </c>
      <c r="O546" s="54" t="n">
        <f aca="false">YEAR(B546)</f>
        <v>2021</v>
      </c>
      <c r="P546" s="54" t="n">
        <f aca="false">IF(AND(E546&gt;=14400,K546&gt;0,L546&gt;0),1,0)</f>
        <v>1</v>
      </c>
      <c r="Q546" s="53" t="n">
        <f aca="false">IF(P546=1,F546/E546*MIN(L546/K546,1)*MIN(MAX(M546/L546,0),1),0)</f>
        <v>0.652331439467303</v>
      </c>
      <c r="R546" s="55" t="n">
        <f aca="false">IF(F546&gt;0,N546/(F546/3600),0)</f>
        <v>4.36615515467464</v>
      </c>
    </row>
    <row r="547" customFormat="false" ht="15" hidden="false" customHeight="false" outlineLevel="0" collapsed="false">
      <c r="A547" s="0" t="s">
        <v>258</v>
      </c>
      <c r="B547" s="52" t="n">
        <v>44435</v>
      </c>
      <c r="C547" s="0" t="n">
        <v>85640.599</v>
      </c>
      <c r="D547" s="0" t="n">
        <v>2830.517</v>
      </c>
      <c r="E547" s="0" t="n">
        <v>82810.082</v>
      </c>
      <c r="F547" s="0" t="n">
        <v>77719.85</v>
      </c>
      <c r="G547" s="0" t="n">
        <v>61465.308</v>
      </c>
      <c r="H547" s="0" t="n">
        <v>16254.542</v>
      </c>
      <c r="I547" s="0" t="n">
        <v>4913.631</v>
      </c>
      <c r="J547" s="0" t="n">
        <v>176.601</v>
      </c>
      <c r="K547" s="0" t="n">
        <v>97149.8125</v>
      </c>
      <c r="L547" s="0" t="n">
        <v>75539</v>
      </c>
      <c r="M547" s="0" t="n">
        <v>75368</v>
      </c>
      <c r="N547" s="0" t="n">
        <v>45</v>
      </c>
      <c r="O547" s="54" t="n">
        <f aca="false">YEAR(B547)</f>
        <v>2021</v>
      </c>
      <c r="P547" s="54" t="n">
        <f aca="false">IF(AND(E547&gt;=14400,K547&gt;0,L547&gt;0),1,0)</f>
        <v>1</v>
      </c>
      <c r="Q547" s="53" t="n">
        <f aca="false">IF(P547=1,F547/E547*MIN(L547/K547,1)*MIN(MAX(M547/L547,0),1),0)</f>
        <v>0.728104580309436</v>
      </c>
      <c r="R547" s="55" t="n">
        <f aca="false">IF(F547&gt;0,N547/(F547/3600),0)</f>
        <v>2.08440958133604</v>
      </c>
    </row>
    <row r="548" customFormat="false" ht="15" hidden="false" customHeight="false" outlineLevel="0" collapsed="false">
      <c r="A548" s="0" t="s">
        <v>258</v>
      </c>
      <c r="B548" s="52" t="n">
        <v>44436</v>
      </c>
      <c r="C548" s="0" t="n">
        <v>44904.375</v>
      </c>
      <c r="D548" s="0" t="n">
        <v>16548.204</v>
      </c>
      <c r="E548" s="0" t="n">
        <v>28356.171</v>
      </c>
      <c r="F548" s="0" t="n">
        <v>14140.183</v>
      </c>
      <c r="G548" s="0" t="n">
        <v>12277.342</v>
      </c>
      <c r="H548" s="0" t="n">
        <v>1862.841</v>
      </c>
      <c r="I548" s="0" t="n">
        <v>2731.113</v>
      </c>
      <c r="J548" s="0" t="n">
        <v>11484.875</v>
      </c>
      <c r="K548" s="0" t="n">
        <v>17675.22875</v>
      </c>
      <c r="L548" s="0" t="n">
        <v>15274</v>
      </c>
      <c r="M548" s="0" t="n">
        <v>15105</v>
      </c>
      <c r="N548" s="0" t="n">
        <v>21</v>
      </c>
      <c r="O548" s="54" t="n">
        <f aca="false">YEAR(B548)</f>
        <v>2021</v>
      </c>
      <c r="P548" s="54" t="n">
        <f aca="false">IF(AND(E548&gt;=14400,K548&gt;0,L548&gt;0),1,0)</f>
        <v>1</v>
      </c>
      <c r="Q548" s="53" t="n">
        <f aca="false">IF(P548=1,F548/E548*MIN(L548/K548,1)*MIN(MAX(M548/L548,0),1),0)</f>
        <v>0.426150625202535</v>
      </c>
      <c r="R548" s="55" t="n">
        <f aca="false">IF(F548&gt;0,N548/(F548/3600),0)</f>
        <v>5.346465459464</v>
      </c>
    </row>
    <row r="549" customFormat="false" ht="15" hidden="false" customHeight="false" outlineLevel="0" collapsed="false">
      <c r="A549" s="0" t="s">
        <v>258</v>
      </c>
      <c r="B549" s="52" t="n">
        <v>44437</v>
      </c>
      <c r="C549" s="0" t="n">
        <v>70336.479</v>
      </c>
      <c r="D549" s="0" t="n">
        <v>3183.77</v>
      </c>
      <c r="E549" s="0" t="n">
        <v>67152.709</v>
      </c>
      <c r="F549" s="0" t="n">
        <v>57211.936</v>
      </c>
      <c r="G549" s="0" t="n">
        <v>42584.837</v>
      </c>
      <c r="H549" s="0" t="n">
        <v>14627.099</v>
      </c>
      <c r="I549" s="0" t="n">
        <v>4957.761</v>
      </c>
      <c r="J549" s="0" t="n">
        <v>4983.012</v>
      </c>
      <c r="K549" s="0" t="n">
        <v>71514.92</v>
      </c>
      <c r="L549" s="0" t="n">
        <v>53108</v>
      </c>
      <c r="M549" s="0" t="n">
        <v>52991</v>
      </c>
      <c r="N549" s="0" t="n">
        <v>31</v>
      </c>
      <c r="O549" s="54" t="n">
        <f aca="false">YEAR(B549)</f>
        <v>2021</v>
      </c>
      <c r="P549" s="54" t="n">
        <f aca="false">IF(AND(E549&gt;=14400,K549&gt;0,L549&gt;0),1,0)</f>
        <v>1</v>
      </c>
      <c r="Q549" s="53" t="n">
        <f aca="false">IF(P549=1,F549/E549*MIN(L549/K549,1)*MIN(MAX(M549/L549,0),1),0)</f>
        <v>0.631289498685749</v>
      </c>
      <c r="R549" s="55" t="n">
        <f aca="false">IF(F549&gt;0,N549/(F549/3600),0)</f>
        <v>1.95064190801024</v>
      </c>
    </row>
    <row r="550" customFormat="false" ht="15" hidden="false" customHeight="false" outlineLevel="0" collapsed="false">
      <c r="A550" s="0" t="s">
        <v>258</v>
      </c>
      <c r="B550" s="52" t="n">
        <v>44438</v>
      </c>
      <c r="C550" s="0" t="n">
        <v>84794.796</v>
      </c>
      <c r="D550" s="0" t="n">
        <v>7588.186</v>
      </c>
      <c r="E550" s="0" t="n">
        <v>77206.61</v>
      </c>
      <c r="F550" s="0" t="n">
        <v>62800.813</v>
      </c>
      <c r="G550" s="0" t="n">
        <v>50034.901</v>
      </c>
      <c r="H550" s="0" t="n">
        <v>12765.912</v>
      </c>
      <c r="I550" s="0" t="n">
        <v>10042.305</v>
      </c>
      <c r="J550" s="0" t="n">
        <v>4363.492</v>
      </c>
      <c r="K550" s="0" t="n">
        <v>79088.5840277778</v>
      </c>
      <c r="L550" s="0" t="n">
        <v>61891</v>
      </c>
      <c r="M550" s="0" t="n">
        <v>61786</v>
      </c>
      <c r="N550" s="0" t="n">
        <v>84</v>
      </c>
      <c r="O550" s="54" t="n">
        <f aca="false">YEAR(B550)</f>
        <v>2021</v>
      </c>
      <c r="P550" s="54" t="n">
        <f aca="false">IF(AND(E550&gt;=14400,K550&gt;0,L550&gt;0),1,0)</f>
        <v>1</v>
      </c>
      <c r="Q550" s="53" t="n">
        <f aca="false">IF(P550=1,F550/E550*MIN(L550/K550,1)*MIN(MAX(M550/L550,0),1),0)</f>
        <v>0.63545830811342</v>
      </c>
      <c r="R550" s="55" t="n">
        <f aca="false">IF(F550&gt;0,N550/(F550/3600),0)</f>
        <v>4.81522428698495</v>
      </c>
    </row>
    <row r="551" customFormat="false" ht="15" hidden="false" customHeight="false" outlineLevel="0" collapsed="false">
      <c r="A551" s="0" t="s">
        <v>258</v>
      </c>
      <c r="B551" s="52" t="n">
        <v>44439</v>
      </c>
      <c r="C551" s="0" t="n">
        <v>96947.087</v>
      </c>
      <c r="D551" s="0" t="n">
        <v>2594.241</v>
      </c>
      <c r="E551" s="0" t="n">
        <v>94352.846</v>
      </c>
      <c r="F551" s="0" t="n">
        <v>65237.392</v>
      </c>
      <c r="G551" s="0" t="n">
        <v>52709.429</v>
      </c>
      <c r="H551" s="0" t="n">
        <v>12527.963</v>
      </c>
      <c r="I551" s="0" t="n">
        <v>5472.503</v>
      </c>
      <c r="J551" s="0" t="n">
        <v>23642.951</v>
      </c>
      <c r="K551" s="0" t="n">
        <v>77439.834375</v>
      </c>
      <c r="L551" s="0" t="n">
        <v>62495</v>
      </c>
      <c r="M551" s="0" t="n">
        <v>62375</v>
      </c>
      <c r="N551" s="0" t="n">
        <v>38</v>
      </c>
      <c r="O551" s="54" t="n">
        <f aca="false">YEAR(B551)</f>
        <v>2021</v>
      </c>
      <c r="P551" s="54" t="n">
        <f aca="false">IF(AND(E551&gt;=14400,K551&gt;0,L551&gt;0),1,0)</f>
        <v>1</v>
      </c>
      <c r="Q551" s="53" t="n">
        <f aca="false">IF(P551=1,F551/E551*MIN(L551/K551,1)*MIN(MAX(M551/L551,0),1),0)</f>
        <v>0.556913479416279</v>
      </c>
      <c r="R551" s="55" t="n">
        <f aca="false">IF(F551&gt;0,N551/(F551/3600),0)</f>
        <v>2.09695691084647</v>
      </c>
    </row>
    <row r="552" customFormat="false" ht="15" hidden="false" customHeight="false" outlineLevel="0" collapsed="false">
      <c r="A552" s="0" t="s">
        <v>258</v>
      </c>
      <c r="B552" s="52" t="n">
        <v>44440</v>
      </c>
      <c r="C552" s="0" t="n">
        <v>75867.016</v>
      </c>
      <c r="D552" s="0" t="n">
        <v>14645.67</v>
      </c>
      <c r="E552" s="0" t="n">
        <v>61221.346</v>
      </c>
      <c r="F552" s="0" t="n">
        <v>39248.079</v>
      </c>
      <c r="G552" s="0" t="n">
        <v>30978.526</v>
      </c>
      <c r="H552" s="0" t="n">
        <v>8269.553</v>
      </c>
      <c r="I552" s="0" t="n">
        <v>7231.002</v>
      </c>
      <c r="J552" s="0" t="n">
        <v>14742.265</v>
      </c>
      <c r="K552" s="0" t="n">
        <v>40556.125625</v>
      </c>
      <c r="L552" s="0" t="n">
        <v>31696</v>
      </c>
      <c r="M552" s="0" t="n">
        <v>31223</v>
      </c>
      <c r="N552" s="0" t="n">
        <v>50</v>
      </c>
      <c r="O552" s="54" t="n">
        <f aca="false">YEAR(B552)</f>
        <v>2021</v>
      </c>
      <c r="P552" s="54" t="n">
        <f aca="false">IF(AND(E552&gt;=14400,K552&gt;0,L552&gt;0),1,0)</f>
        <v>1</v>
      </c>
      <c r="Q552" s="53" t="n">
        <f aca="false">IF(P552=1,F552/E552*MIN(L552/K552,1)*MIN(MAX(M552/L552,0),1),0)</f>
        <v>0.493552891710099</v>
      </c>
      <c r="R552" s="55" t="n">
        <f aca="false">IF(F552&gt;0,N552/(F552/3600),0)</f>
        <v>4.58621172261705</v>
      </c>
    </row>
    <row r="553" customFormat="false" ht="15" hidden="false" customHeight="false" outlineLevel="0" collapsed="false">
      <c r="A553" s="0" t="s">
        <v>258</v>
      </c>
      <c r="B553" s="52" t="n">
        <v>44441</v>
      </c>
      <c r="C553" s="0" t="n">
        <v>87998.711</v>
      </c>
      <c r="D553" s="0" t="n">
        <v>13524.446</v>
      </c>
      <c r="E553" s="0" t="n">
        <v>74474.265</v>
      </c>
      <c r="F553" s="0" t="n">
        <v>55248.602</v>
      </c>
      <c r="G553" s="0" t="n">
        <v>45334.241</v>
      </c>
      <c r="H553" s="0" t="n">
        <v>9914.361</v>
      </c>
      <c r="I553" s="0" t="n">
        <v>5723.401</v>
      </c>
      <c r="J553" s="0" t="n">
        <v>13502.262</v>
      </c>
      <c r="K553" s="0" t="n">
        <v>65186.363125</v>
      </c>
      <c r="L553" s="0" t="n">
        <v>52506</v>
      </c>
      <c r="M553" s="0" t="n">
        <v>52319</v>
      </c>
      <c r="N553" s="0" t="n">
        <v>40</v>
      </c>
      <c r="O553" s="54" t="n">
        <f aca="false">YEAR(B553)</f>
        <v>2021</v>
      </c>
      <c r="P553" s="54" t="n">
        <f aca="false">IF(AND(E553&gt;=14400,K553&gt;0,L553&gt;0),1,0)</f>
        <v>1</v>
      </c>
      <c r="Q553" s="53" t="n">
        <f aca="false">IF(P553=1,F553/E553*MIN(L553/K553,1)*MIN(MAX(M553/L553,0),1),0)</f>
        <v>0.595412229122362</v>
      </c>
      <c r="R553" s="55" t="n">
        <f aca="false">IF(F553&gt;0,N553/(F553/3600),0)</f>
        <v>2.60640079182456</v>
      </c>
    </row>
    <row r="554" customFormat="false" ht="15" hidden="false" customHeight="false" outlineLevel="0" collapsed="false">
      <c r="A554" s="0" t="s">
        <v>258</v>
      </c>
      <c r="B554" s="52" t="n">
        <v>44442</v>
      </c>
      <c r="C554" s="0" t="n">
        <v>82267.226</v>
      </c>
      <c r="D554" s="0" t="n">
        <v>4828.629</v>
      </c>
      <c r="E554" s="0" t="n">
        <v>77438.597</v>
      </c>
      <c r="F554" s="0" t="n">
        <v>65942.086</v>
      </c>
      <c r="G554" s="0" t="n">
        <v>56505.152</v>
      </c>
      <c r="H554" s="0" t="n">
        <v>9436.934</v>
      </c>
      <c r="I554" s="0" t="n">
        <v>10225.368</v>
      </c>
      <c r="J554" s="0" t="n">
        <v>1271.143</v>
      </c>
      <c r="K554" s="0" t="n">
        <v>82423.855625</v>
      </c>
      <c r="L554" s="0" t="n">
        <v>69215</v>
      </c>
      <c r="M554" s="0" t="n">
        <v>68903</v>
      </c>
      <c r="N554" s="0" t="n">
        <v>69</v>
      </c>
      <c r="O554" s="54" t="n">
        <f aca="false">YEAR(B554)</f>
        <v>2021</v>
      </c>
      <c r="P554" s="54" t="n">
        <f aca="false">IF(AND(E554&gt;=14400,K554&gt;0,L554&gt;0),1,0)</f>
        <v>1</v>
      </c>
      <c r="Q554" s="53" t="n">
        <f aca="false">IF(P554=1,F554/E554*MIN(L554/K554,1)*MIN(MAX(M554/L554,0),1),0)</f>
        <v>0.711853149047267</v>
      </c>
      <c r="R554" s="55" t="n">
        <f aca="false">IF(F554&gt;0,N554/(F554/3600),0)</f>
        <v>3.76694179798922</v>
      </c>
    </row>
    <row r="555" customFormat="false" ht="15" hidden="false" customHeight="false" outlineLevel="0" collapsed="false">
      <c r="A555" s="0" t="s">
        <v>258</v>
      </c>
      <c r="B555" s="52" t="n">
        <v>44443</v>
      </c>
      <c r="C555" s="0" t="n">
        <v>55570.47</v>
      </c>
      <c r="D555" s="0" t="n">
        <v>9679.962</v>
      </c>
      <c r="E555" s="0" t="n">
        <v>45890.508</v>
      </c>
      <c r="F555" s="0" t="n">
        <v>30360.758</v>
      </c>
      <c r="G555" s="0" t="n">
        <v>25369.924</v>
      </c>
      <c r="H555" s="0" t="n">
        <v>4990.834</v>
      </c>
      <c r="I555" s="0" t="n">
        <v>5157.832</v>
      </c>
      <c r="J555" s="0" t="n">
        <v>10371.918</v>
      </c>
      <c r="K555" s="0" t="n">
        <v>37950.9475</v>
      </c>
      <c r="L555" s="0" t="n">
        <v>31676</v>
      </c>
      <c r="M555" s="0" t="n">
        <v>31535</v>
      </c>
      <c r="N555" s="0" t="n">
        <v>33</v>
      </c>
      <c r="O555" s="54" t="n">
        <f aca="false">YEAR(B555)</f>
        <v>2021</v>
      </c>
      <c r="P555" s="54" t="n">
        <f aca="false">IF(AND(E555&gt;=14400,K555&gt;0,L555&gt;0),1,0)</f>
        <v>1</v>
      </c>
      <c r="Q555" s="53" t="n">
        <f aca="false">IF(P555=1,F555/E555*MIN(L555/K555,1)*MIN(MAX(M555/L555,0),1),0)</f>
        <v>0.549743315109957</v>
      </c>
      <c r="R555" s="55" t="n">
        <f aca="false">IF(F555&gt;0,N555/(F555/3600),0)</f>
        <v>3.91294578350119</v>
      </c>
    </row>
    <row r="556" customFormat="false" ht="15" hidden="false" customHeight="false" outlineLevel="0" collapsed="false">
      <c r="A556" s="0" t="s">
        <v>258</v>
      </c>
      <c r="B556" s="52" t="n">
        <v>44444</v>
      </c>
      <c r="C556" s="0" t="n">
        <v>81411.953</v>
      </c>
      <c r="D556" s="0" t="n">
        <v>28863.57</v>
      </c>
      <c r="E556" s="0" t="n">
        <v>52548.383</v>
      </c>
      <c r="F556" s="0" t="n">
        <v>34575.745</v>
      </c>
      <c r="G556" s="0" t="n">
        <v>29230.622</v>
      </c>
      <c r="H556" s="0" t="n">
        <v>5345.123</v>
      </c>
      <c r="I556" s="0" t="n">
        <v>9604.382</v>
      </c>
      <c r="J556" s="0" t="n">
        <v>8368.256</v>
      </c>
      <c r="K556" s="0" t="n">
        <v>42439.3183066667</v>
      </c>
      <c r="L556" s="0" t="n">
        <v>35945</v>
      </c>
      <c r="M556" s="0" t="n">
        <v>35622</v>
      </c>
      <c r="N556" s="0" t="n">
        <v>59</v>
      </c>
      <c r="O556" s="54" t="n">
        <f aca="false">YEAR(B556)</f>
        <v>2021</v>
      </c>
      <c r="P556" s="54" t="n">
        <f aca="false">IF(AND(E556&gt;=14400,K556&gt;0,L556&gt;0),1,0)</f>
        <v>1</v>
      </c>
      <c r="Q556" s="53" t="n">
        <f aca="false">IF(P556=1,F556/E556*MIN(L556/K556,1)*MIN(MAX(M556/L556,0),1),0)</f>
        <v>0.55228352735634</v>
      </c>
      <c r="R556" s="55" t="n">
        <f aca="false">IF(F556&gt;0,N556/(F556/3600),0)</f>
        <v>6.14303466201524</v>
      </c>
    </row>
    <row r="557" customFormat="false" ht="15" hidden="false" customHeight="false" outlineLevel="0" collapsed="false">
      <c r="A557" s="0" t="s">
        <v>258</v>
      </c>
      <c r="B557" s="52" t="n">
        <v>44445</v>
      </c>
      <c r="C557" s="0" t="n">
        <v>86528.184</v>
      </c>
      <c r="D557" s="0" t="n">
        <v>7847.782</v>
      </c>
      <c r="E557" s="0" t="n">
        <v>78680.402</v>
      </c>
      <c r="F557" s="0" t="n">
        <v>70850.209</v>
      </c>
      <c r="G557" s="0" t="n">
        <v>60891.46</v>
      </c>
      <c r="H557" s="0" t="n">
        <v>9958.749</v>
      </c>
      <c r="I557" s="0" t="n">
        <v>5882.51</v>
      </c>
      <c r="J557" s="0" t="n">
        <v>1947.683</v>
      </c>
      <c r="K557" s="0" t="n">
        <v>83599.5125333333</v>
      </c>
      <c r="L557" s="0" t="n">
        <v>71628</v>
      </c>
      <c r="M557" s="0" t="n">
        <v>71380</v>
      </c>
      <c r="N557" s="0" t="n">
        <v>44</v>
      </c>
      <c r="O557" s="54" t="n">
        <f aca="false">YEAR(B557)</f>
        <v>2021</v>
      </c>
      <c r="P557" s="54" t="n">
        <f aca="false">IF(AND(E557&gt;=14400,K557&gt;0,L557&gt;0),1,0)</f>
        <v>1</v>
      </c>
      <c r="Q557" s="53" t="n">
        <f aca="false">IF(P557=1,F557/E557*MIN(L557/K557,1)*MIN(MAX(M557/L557,0),1),0)</f>
        <v>0.76886017131075</v>
      </c>
      <c r="R557" s="55" t="n">
        <f aca="false">IF(F557&gt;0,N557/(F557/3600),0)</f>
        <v>2.23570264979741</v>
      </c>
    </row>
    <row r="558" customFormat="false" ht="15" hidden="false" customHeight="false" outlineLevel="0" collapsed="false">
      <c r="A558" s="0" t="s">
        <v>258</v>
      </c>
      <c r="B558" s="52" t="n">
        <v>44446</v>
      </c>
      <c r="C558" s="0" t="n">
        <v>85812.696</v>
      </c>
      <c r="D558" s="0" t="n">
        <v>5389.198</v>
      </c>
      <c r="E558" s="0" t="n">
        <v>80423.498</v>
      </c>
      <c r="F558" s="0" t="n">
        <v>61771.568</v>
      </c>
      <c r="G558" s="0" t="n">
        <v>51623.343</v>
      </c>
      <c r="H558" s="0" t="n">
        <v>10148.225</v>
      </c>
      <c r="I558" s="0" t="n">
        <v>13706.743</v>
      </c>
      <c r="J558" s="0" t="n">
        <v>4945.187</v>
      </c>
      <c r="K558" s="0" t="n">
        <v>72681.6010763889</v>
      </c>
      <c r="L558" s="0" t="n">
        <v>60861</v>
      </c>
      <c r="M558" s="0" t="n">
        <v>60620</v>
      </c>
      <c r="N558" s="0" t="n">
        <v>61</v>
      </c>
      <c r="O558" s="54" t="n">
        <f aca="false">YEAR(B558)</f>
        <v>2021</v>
      </c>
      <c r="P558" s="54" t="n">
        <f aca="false">IF(AND(E558&gt;=14400,K558&gt;0,L558&gt;0),1,0)</f>
        <v>1</v>
      </c>
      <c r="Q558" s="53" t="n">
        <f aca="false">IF(P558=1,F558/E558*MIN(L558/K558,1)*MIN(MAX(M558/L558,0),1),0)</f>
        <v>0.640615014393993</v>
      </c>
      <c r="R558" s="55" t="n">
        <f aca="false">IF(F558&gt;0,N558/(F558/3600),0)</f>
        <v>3.55503360380944</v>
      </c>
    </row>
    <row r="559" customFormat="false" ht="15" hidden="false" customHeight="false" outlineLevel="0" collapsed="false">
      <c r="A559" s="0" t="s">
        <v>258</v>
      </c>
      <c r="B559" s="52" t="n">
        <v>44447</v>
      </c>
      <c r="C559" s="0" t="n">
        <v>86198.396</v>
      </c>
      <c r="D559" s="0" t="n">
        <v>15302.044</v>
      </c>
      <c r="E559" s="0" t="n">
        <v>70896.352</v>
      </c>
      <c r="F559" s="0" t="n">
        <v>51647.648</v>
      </c>
      <c r="G559" s="0" t="n">
        <v>43704.464</v>
      </c>
      <c r="H559" s="0" t="n">
        <v>7943.184</v>
      </c>
      <c r="I559" s="0" t="n">
        <v>10100.935</v>
      </c>
      <c r="J559" s="0" t="n">
        <v>9147.769</v>
      </c>
      <c r="K559" s="0" t="n">
        <v>64190.1559722222</v>
      </c>
      <c r="L559" s="0" t="n">
        <v>54452</v>
      </c>
      <c r="M559" s="0" t="n">
        <v>54077</v>
      </c>
      <c r="N559" s="0" t="n">
        <v>52</v>
      </c>
      <c r="O559" s="54" t="n">
        <f aca="false">YEAR(B559)</f>
        <v>2021</v>
      </c>
      <c r="P559" s="54" t="n">
        <f aca="false">IF(AND(E559&gt;=14400,K559&gt;0,L559&gt;0),1,0)</f>
        <v>1</v>
      </c>
      <c r="Q559" s="53" t="n">
        <f aca="false">IF(P559=1,F559/E559*MIN(L559/K559,1)*MIN(MAX(M559/L559,0),1),0)</f>
        <v>0.613720767365275</v>
      </c>
      <c r="R559" s="55" t="n">
        <f aca="false">IF(F559&gt;0,N559/(F559/3600),0)</f>
        <v>3.62456001868662</v>
      </c>
    </row>
    <row r="560" customFormat="false" ht="15" hidden="false" customHeight="false" outlineLevel="0" collapsed="false">
      <c r="A560" s="0" t="s">
        <v>258</v>
      </c>
      <c r="B560" s="52" t="n">
        <v>44448</v>
      </c>
      <c r="C560" s="0" t="n">
        <v>86283.95</v>
      </c>
      <c r="D560" s="0" t="n">
        <v>16292.525</v>
      </c>
      <c r="E560" s="0" t="n">
        <v>69991.425</v>
      </c>
      <c r="F560" s="0" t="n">
        <v>47323.286</v>
      </c>
      <c r="G560" s="0" t="n">
        <v>35684.468</v>
      </c>
      <c r="H560" s="0" t="n">
        <v>11638.818</v>
      </c>
      <c r="I560" s="0" t="n">
        <v>4036.991</v>
      </c>
      <c r="J560" s="0" t="n">
        <v>18631.148</v>
      </c>
      <c r="K560" s="0" t="n">
        <v>42290.136875</v>
      </c>
      <c r="L560" s="0" t="n">
        <v>30299</v>
      </c>
      <c r="M560" s="0" t="n">
        <v>30060</v>
      </c>
      <c r="N560" s="0" t="n">
        <v>32</v>
      </c>
      <c r="O560" s="54" t="n">
        <f aca="false">YEAR(B560)</f>
        <v>2021</v>
      </c>
      <c r="P560" s="54" t="n">
        <f aca="false">IF(AND(E560&gt;=14400,K560&gt;0,L560&gt;0),1,0)</f>
        <v>1</v>
      </c>
      <c r="Q560" s="53" t="n">
        <f aca="false">IF(P560=1,F560/E560*MIN(L560/K560,1)*MIN(MAX(M560/L560,0),1),0)</f>
        <v>0.480595768909762</v>
      </c>
      <c r="R560" s="55" t="n">
        <f aca="false">IF(F560&gt;0,N560/(F560/3600),0)</f>
        <v>2.43431954408238</v>
      </c>
    </row>
    <row r="561" customFormat="false" ht="15" hidden="false" customHeight="false" outlineLevel="0" collapsed="false">
      <c r="A561" s="0" t="s">
        <v>258</v>
      </c>
      <c r="B561" s="52" t="n">
        <v>44449</v>
      </c>
      <c r="C561" s="0" t="n">
        <v>84122.813</v>
      </c>
      <c r="D561" s="0" t="n">
        <v>12537.671</v>
      </c>
      <c r="E561" s="0" t="n">
        <v>71585.142</v>
      </c>
      <c r="F561" s="0" t="n">
        <v>52729.762</v>
      </c>
      <c r="G561" s="0" t="n">
        <v>34477.981</v>
      </c>
      <c r="H561" s="0" t="n">
        <v>18251.781</v>
      </c>
      <c r="I561" s="0" t="n">
        <v>10303.419</v>
      </c>
      <c r="J561" s="0" t="n">
        <v>8551.961</v>
      </c>
      <c r="K561" s="0" t="n">
        <v>54360.61875</v>
      </c>
      <c r="L561" s="0" t="n">
        <v>40159</v>
      </c>
      <c r="M561" s="0" t="n">
        <v>39893</v>
      </c>
      <c r="N561" s="0" t="n">
        <v>56</v>
      </c>
      <c r="O561" s="54" t="n">
        <f aca="false">YEAR(B561)</f>
        <v>2021</v>
      </c>
      <c r="P561" s="54" t="n">
        <f aca="false">IF(AND(E561&gt;=14400,K561&gt;0,L561&gt;0),1,0)</f>
        <v>1</v>
      </c>
      <c r="Q561" s="53" t="n">
        <f aca="false">IF(P561=1,F561/E561*MIN(L561/K561,1)*MIN(MAX(M561/L561,0),1),0)</f>
        <v>0.540561643026147</v>
      </c>
      <c r="R561" s="55" t="n">
        <f aca="false">IF(F561&gt;0,N561/(F561/3600),0)</f>
        <v>3.8232677780719</v>
      </c>
    </row>
    <row r="562" customFormat="false" ht="15" hidden="false" customHeight="false" outlineLevel="0" collapsed="false">
      <c r="A562" s="0" t="s">
        <v>258</v>
      </c>
      <c r="B562" s="52" t="n">
        <v>44450</v>
      </c>
      <c r="C562" s="0" t="n">
        <v>50639.951</v>
      </c>
      <c r="D562" s="0" t="n">
        <v>6595.729</v>
      </c>
      <c r="E562" s="0" t="n">
        <v>44044.222</v>
      </c>
      <c r="F562" s="0" t="n">
        <v>33732.422</v>
      </c>
      <c r="G562" s="0" t="n">
        <v>29734.619</v>
      </c>
      <c r="H562" s="0" t="n">
        <v>3997.803</v>
      </c>
      <c r="I562" s="0" t="n">
        <v>4007.787</v>
      </c>
      <c r="J562" s="0" t="n">
        <v>6304.013</v>
      </c>
      <c r="K562" s="0" t="n">
        <v>41560.654375</v>
      </c>
      <c r="L562" s="0" t="n">
        <v>36700</v>
      </c>
      <c r="M562" s="0" t="n">
        <v>36624</v>
      </c>
      <c r="N562" s="0" t="n">
        <v>48</v>
      </c>
      <c r="O562" s="54" t="n">
        <f aca="false">YEAR(B562)</f>
        <v>2021</v>
      </c>
      <c r="P562" s="54" t="n">
        <f aca="false">IF(AND(E562&gt;=14400,K562&gt;0,L562&gt;0),1,0)</f>
        <v>1</v>
      </c>
      <c r="Q562" s="53" t="n">
        <f aca="false">IF(P562=1,F562/E562*MIN(L562/K562,1)*MIN(MAX(M562/L562,0),1),0)</f>
        <v>0.674903965984025</v>
      </c>
      <c r="R562" s="55" t="n">
        <f aca="false">IF(F562&gt;0,N562/(F562/3600),0)</f>
        <v>5.12266803729658</v>
      </c>
    </row>
    <row r="563" customFormat="false" ht="15" hidden="false" customHeight="false" outlineLevel="0" collapsed="false">
      <c r="A563" s="0" t="s">
        <v>258</v>
      </c>
      <c r="B563" s="52" t="n">
        <v>44451</v>
      </c>
      <c r="C563" s="0" t="n">
        <v>62657.778</v>
      </c>
      <c r="D563" s="0" t="n">
        <v>4112.858</v>
      </c>
      <c r="E563" s="0" t="n">
        <v>58544.92</v>
      </c>
      <c r="F563" s="0" t="n">
        <v>50849.61</v>
      </c>
      <c r="G563" s="0" t="n">
        <v>40649.946</v>
      </c>
      <c r="H563" s="0" t="n">
        <v>10199.664</v>
      </c>
      <c r="I563" s="0" t="n">
        <v>5194.631</v>
      </c>
      <c r="J563" s="0" t="n">
        <v>2500.679</v>
      </c>
      <c r="K563" s="0" t="n">
        <v>63562.0125</v>
      </c>
      <c r="L563" s="0" t="n">
        <v>49528</v>
      </c>
      <c r="M563" s="0" t="n">
        <v>49381</v>
      </c>
      <c r="N563" s="0" t="n">
        <v>40</v>
      </c>
      <c r="O563" s="54" t="n">
        <f aca="false">YEAR(B563)</f>
        <v>2021</v>
      </c>
      <c r="P563" s="54" t="n">
        <f aca="false">IF(AND(E563&gt;=14400,K563&gt;0,L563&gt;0),1,0)</f>
        <v>1</v>
      </c>
      <c r="Q563" s="53" t="n">
        <f aca="false">IF(P563=1,F563/E563*MIN(L563/K563,1)*MIN(MAX(M563/L563,0),1),0)</f>
        <v>0.674777589584203</v>
      </c>
      <c r="R563" s="55" t="n">
        <f aca="false">IF(F563&gt;0,N563/(F563/3600),0)</f>
        <v>2.83188012651425</v>
      </c>
    </row>
    <row r="564" customFormat="false" ht="15" hidden="false" customHeight="false" outlineLevel="0" collapsed="false">
      <c r="A564" s="0" t="s">
        <v>258</v>
      </c>
      <c r="B564" s="52" t="n">
        <v>44452</v>
      </c>
      <c r="C564" s="0" t="n">
        <v>85319.963</v>
      </c>
      <c r="D564" s="0" t="n">
        <v>8244.659</v>
      </c>
      <c r="E564" s="0" t="n">
        <v>77075.304</v>
      </c>
      <c r="F564" s="0" t="n">
        <v>63280.743</v>
      </c>
      <c r="G564" s="0" t="n">
        <v>44368.304</v>
      </c>
      <c r="H564" s="0" t="n">
        <v>18912.439</v>
      </c>
      <c r="I564" s="0" t="n">
        <v>4803.194</v>
      </c>
      <c r="J564" s="0" t="n">
        <v>8991.367</v>
      </c>
      <c r="K564" s="0" t="n">
        <v>79100.92875</v>
      </c>
      <c r="L564" s="0" t="n">
        <v>53880</v>
      </c>
      <c r="M564" s="0" t="n">
        <v>53511</v>
      </c>
      <c r="N564" s="0" t="n">
        <v>40</v>
      </c>
      <c r="O564" s="54" t="n">
        <f aca="false">YEAR(B564)</f>
        <v>2021</v>
      </c>
      <c r="P564" s="54" t="n">
        <f aca="false">IF(AND(E564&gt;=14400,K564&gt;0,L564&gt;0),1,0)</f>
        <v>1</v>
      </c>
      <c r="Q564" s="53" t="n">
        <f aca="false">IF(P564=1,F564/E564*MIN(L564/K564,1)*MIN(MAX(M564/L564,0),1),0)</f>
        <v>0.555415259860668</v>
      </c>
      <c r="R564" s="55" t="n">
        <f aca="false">IF(F564&gt;0,N564/(F564/3600),0)</f>
        <v>2.27557378711562</v>
      </c>
    </row>
    <row r="565" customFormat="false" ht="15" hidden="false" customHeight="false" outlineLevel="0" collapsed="false">
      <c r="A565" s="0" t="s">
        <v>258</v>
      </c>
      <c r="B565" s="52" t="n">
        <v>44453</v>
      </c>
      <c r="C565" s="0" t="n">
        <v>86548.928</v>
      </c>
      <c r="D565" s="0" t="n">
        <v>3569.913</v>
      </c>
      <c r="E565" s="0" t="n">
        <v>82979.015</v>
      </c>
      <c r="F565" s="0" t="n">
        <v>70298.663</v>
      </c>
      <c r="G565" s="0" t="n">
        <v>58166.28</v>
      </c>
      <c r="H565" s="0" t="n">
        <v>12132.383</v>
      </c>
      <c r="I565" s="0" t="n">
        <v>5123.426</v>
      </c>
      <c r="J565" s="0" t="n">
        <v>7556.926</v>
      </c>
      <c r="K565" s="0" t="n">
        <v>87873.32875</v>
      </c>
      <c r="L565" s="0" t="n">
        <v>72774</v>
      </c>
      <c r="M565" s="0" t="n">
        <v>72535</v>
      </c>
      <c r="N565" s="0" t="n">
        <v>41</v>
      </c>
      <c r="O565" s="54" t="n">
        <f aca="false">YEAR(B565)</f>
        <v>2021</v>
      </c>
      <c r="P565" s="54" t="n">
        <f aca="false">IF(AND(E565&gt;=14400,K565&gt;0,L565&gt;0),1,0)</f>
        <v>1</v>
      </c>
      <c r="Q565" s="53" t="n">
        <f aca="false">IF(P565=1,F565/E565*MIN(L565/K565,1)*MIN(MAX(M565/L565,0),1),0)</f>
        <v>0.699309337427059</v>
      </c>
      <c r="R565" s="55" t="n">
        <f aca="false">IF(F565&gt;0,N565/(F565/3600),0)</f>
        <v>2.099613188945</v>
      </c>
    </row>
    <row r="566" customFormat="false" ht="15" hidden="false" customHeight="false" outlineLevel="0" collapsed="false">
      <c r="A566" s="0" t="s">
        <v>258</v>
      </c>
      <c r="B566" s="52" t="n">
        <v>44454</v>
      </c>
      <c r="C566" s="0" t="n">
        <v>82403.733</v>
      </c>
      <c r="D566" s="0" t="n">
        <v>12848.774</v>
      </c>
      <c r="E566" s="0" t="n">
        <v>69554.959</v>
      </c>
      <c r="F566" s="0" t="n">
        <v>59585.591</v>
      </c>
      <c r="G566" s="0" t="n">
        <v>49020.911</v>
      </c>
      <c r="H566" s="0" t="n">
        <v>10564.68</v>
      </c>
      <c r="I566" s="0" t="n">
        <v>5495.338</v>
      </c>
      <c r="J566" s="0" t="n">
        <v>4474.03</v>
      </c>
      <c r="K566" s="0" t="n">
        <v>74481.98875</v>
      </c>
      <c r="L566" s="0" t="n">
        <v>65853</v>
      </c>
      <c r="M566" s="0" t="n">
        <v>65523</v>
      </c>
      <c r="N566" s="0" t="n">
        <v>31</v>
      </c>
      <c r="O566" s="54" t="n">
        <f aca="false">YEAR(B566)</f>
        <v>2021</v>
      </c>
      <c r="P566" s="54" t="n">
        <f aca="false">IF(AND(E566&gt;=14400,K566&gt;0,L566&gt;0),1,0)</f>
        <v>1</v>
      </c>
      <c r="Q566" s="53" t="n">
        <f aca="false">IF(P566=1,F566/E566*MIN(L566/K566,1)*MIN(MAX(M566/L566,0),1),0)</f>
        <v>0.753625632932944</v>
      </c>
      <c r="R566" s="55" t="n">
        <f aca="false">IF(F566&gt;0,N566/(F566/3600),0)</f>
        <v>1.87293602575831</v>
      </c>
    </row>
    <row r="567" customFormat="false" ht="15" hidden="false" customHeight="false" outlineLevel="0" collapsed="false">
      <c r="A567" s="0" t="s">
        <v>258</v>
      </c>
      <c r="B567" s="52" t="n">
        <v>44455</v>
      </c>
      <c r="C567" s="0" t="n">
        <v>82641.081</v>
      </c>
      <c r="D567" s="0" t="n">
        <v>7717.639</v>
      </c>
      <c r="E567" s="0" t="n">
        <v>74923.442</v>
      </c>
      <c r="F567" s="0" t="n">
        <v>65997.387</v>
      </c>
      <c r="G567" s="0" t="n">
        <v>53876.698</v>
      </c>
      <c r="H567" s="0" t="n">
        <v>12120.689</v>
      </c>
      <c r="I567" s="0" t="n">
        <v>7512.727</v>
      </c>
      <c r="J567" s="0" t="n">
        <v>1413.328</v>
      </c>
      <c r="K567" s="0" t="n">
        <v>82496.73375</v>
      </c>
      <c r="L567" s="0" t="n">
        <v>66078</v>
      </c>
      <c r="M567" s="0" t="n">
        <v>65966</v>
      </c>
      <c r="N567" s="0" t="n">
        <v>38</v>
      </c>
      <c r="O567" s="54" t="n">
        <f aca="false">YEAR(B567)</f>
        <v>2021</v>
      </c>
      <c r="P567" s="54" t="n">
        <f aca="false">IF(AND(E567&gt;=14400,K567&gt;0,L567&gt;0),1,0)</f>
        <v>1</v>
      </c>
      <c r="Q567" s="53" t="n">
        <f aca="false">IF(P567=1,F567/E567*MIN(L567/K567,1)*MIN(MAX(M567/L567,0),1),0)</f>
        <v>0.704356321483469</v>
      </c>
      <c r="R567" s="55" t="n">
        <f aca="false">IF(F567&gt;0,N567/(F567/3600),0)</f>
        <v>2.0728093371333</v>
      </c>
    </row>
    <row r="568" customFormat="false" ht="15" hidden="false" customHeight="false" outlineLevel="0" collapsed="false">
      <c r="A568" s="0" t="s">
        <v>258</v>
      </c>
      <c r="B568" s="52" t="n">
        <v>44456</v>
      </c>
      <c r="C568" s="0" t="n">
        <v>84978.825</v>
      </c>
      <c r="D568" s="0" t="n">
        <v>2373.652</v>
      </c>
      <c r="E568" s="0" t="n">
        <v>82605.173</v>
      </c>
      <c r="F568" s="0" t="n">
        <v>77128.702</v>
      </c>
      <c r="G568" s="0" t="n">
        <v>60251.618</v>
      </c>
      <c r="H568" s="0" t="n">
        <v>16877.084</v>
      </c>
      <c r="I568" s="0" t="n">
        <v>5476.471</v>
      </c>
      <c r="J568" s="0" t="n">
        <v>0</v>
      </c>
      <c r="K568" s="0" t="n">
        <v>96410.8775</v>
      </c>
      <c r="L568" s="0" t="n">
        <v>73072</v>
      </c>
      <c r="M568" s="0" t="n">
        <v>72909</v>
      </c>
      <c r="N568" s="0" t="n">
        <v>38</v>
      </c>
      <c r="O568" s="54" t="n">
        <f aca="false">YEAR(B568)</f>
        <v>2021</v>
      </c>
      <c r="P568" s="54" t="n">
        <f aca="false">IF(AND(E568&gt;=14400,K568&gt;0,L568&gt;0),1,0)</f>
        <v>1</v>
      </c>
      <c r="Q568" s="53" t="n">
        <f aca="false">IF(P568=1,F568/E568*MIN(L568/K568,1)*MIN(MAX(M568/L568,0),1),0)</f>
        <v>0.706096215063916</v>
      </c>
      <c r="R568" s="55" t="n">
        <f aca="false">IF(F568&gt;0,N568/(F568/3600),0)</f>
        <v>1.77365878658246</v>
      </c>
    </row>
    <row r="569" customFormat="false" ht="15" hidden="false" customHeight="false" outlineLevel="0" collapsed="false">
      <c r="A569" s="0" t="s">
        <v>258</v>
      </c>
      <c r="B569" s="52" t="n">
        <v>44457</v>
      </c>
      <c r="C569" s="0" t="n">
        <v>55571.336</v>
      </c>
      <c r="D569" s="0" t="n">
        <v>29536.969</v>
      </c>
      <c r="E569" s="0" t="n">
        <v>26034.367</v>
      </c>
      <c r="F569" s="0" t="n">
        <v>18351.897</v>
      </c>
      <c r="G569" s="0" t="n">
        <v>16847.246</v>
      </c>
      <c r="H569" s="0" t="n">
        <v>1504.651</v>
      </c>
      <c r="I569" s="0" t="n">
        <v>5830.081</v>
      </c>
      <c r="J569" s="0" t="n">
        <v>1852.389</v>
      </c>
      <c r="K569" s="0" t="n">
        <v>22939.87125</v>
      </c>
      <c r="L569" s="0" t="n">
        <v>21040</v>
      </c>
      <c r="M569" s="0" t="n">
        <v>20927</v>
      </c>
      <c r="N569" s="0" t="n">
        <v>15</v>
      </c>
      <c r="O569" s="54" t="n">
        <f aca="false">YEAR(B569)</f>
        <v>2021</v>
      </c>
      <c r="P569" s="54" t="n">
        <f aca="false">IF(AND(E569&gt;=14400,K569&gt;0,L569&gt;0),1,0)</f>
        <v>1</v>
      </c>
      <c r="Q569" s="53" t="n">
        <f aca="false">IF(P569=1,F569/E569*MIN(L569/K569,1)*MIN(MAX(M569/L569,0),1),0)</f>
        <v>0.64305769370156</v>
      </c>
      <c r="R569" s="55" t="n">
        <f aca="false">IF(F569&gt;0,N569/(F569/3600),0)</f>
        <v>2.94247510216519</v>
      </c>
    </row>
    <row r="570" customFormat="false" ht="15" hidden="false" customHeight="false" outlineLevel="0" collapsed="false">
      <c r="A570" s="0" t="s">
        <v>258</v>
      </c>
      <c r="B570" s="52" t="n">
        <v>44458</v>
      </c>
      <c r="C570" s="0" t="n">
        <v>69911.372</v>
      </c>
      <c r="D570" s="0" t="n">
        <v>2982.783</v>
      </c>
      <c r="E570" s="0" t="n">
        <v>66928.589</v>
      </c>
      <c r="F570" s="0" t="n">
        <v>51394.052</v>
      </c>
      <c r="G570" s="0" t="n">
        <v>33616.732</v>
      </c>
      <c r="H570" s="0" t="n">
        <v>17777.32</v>
      </c>
      <c r="I570" s="0" t="n">
        <v>13257.856</v>
      </c>
      <c r="J570" s="0" t="n">
        <v>2276.681</v>
      </c>
      <c r="K570" s="0" t="n">
        <v>64242.565</v>
      </c>
      <c r="L570" s="0" t="n">
        <v>41780</v>
      </c>
      <c r="M570" s="0" t="n">
        <v>41494</v>
      </c>
      <c r="N570" s="0" t="n">
        <v>22</v>
      </c>
      <c r="O570" s="54" t="n">
        <f aca="false">YEAR(B570)</f>
        <v>2021</v>
      </c>
      <c r="P570" s="54" t="n">
        <f aca="false">IF(AND(E570&gt;=14400,K570&gt;0,L570&gt;0),1,0)</f>
        <v>1</v>
      </c>
      <c r="Q570" s="53" t="n">
        <f aca="false">IF(P570=1,F570/E570*MIN(L570/K570,1)*MIN(MAX(M570/L570,0),1),0)</f>
        <v>0.495979378857068</v>
      </c>
      <c r="R570" s="55" t="n">
        <f aca="false">IF(F570&gt;0,N570/(F570/3600),0)</f>
        <v>1.54103435938462</v>
      </c>
    </row>
    <row r="571" customFormat="false" ht="15" hidden="false" customHeight="false" outlineLevel="0" collapsed="false">
      <c r="A571" s="0" t="s">
        <v>258</v>
      </c>
      <c r="B571" s="52" t="n">
        <v>44459</v>
      </c>
      <c r="C571" s="0" t="n">
        <v>85203.366</v>
      </c>
      <c r="D571" s="0" t="n">
        <v>8498.964</v>
      </c>
      <c r="E571" s="0" t="n">
        <v>76704.402</v>
      </c>
      <c r="F571" s="0" t="n">
        <v>61133.727</v>
      </c>
      <c r="G571" s="0" t="n">
        <v>51319.897</v>
      </c>
      <c r="H571" s="0" t="n">
        <v>9813.83</v>
      </c>
      <c r="I571" s="0" t="n">
        <v>12520.342</v>
      </c>
      <c r="J571" s="0" t="n">
        <v>3050.333</v>
      </c>
      <c r="K571" s="0" t="n">
        <v>76378.82125</v>
      </c>
      <c r="L571" s="0" t="n">
        <v>62886</v>
      </c>
      <c r="M571" s="0" t="n">
        <v>62582</v>
      </c>
      <c r="N571" s="0" t="n">
        <v>46</v>
      </c>
      <c r="O571" s="54" t="n">
        <f aca="false">YEAR(B571)</f>
        <v>2021</v>
      </c>
      <c r="P571" s="54" t="n">
        <f aca="false">IF(AND(E571&gt;=14400,K571&gt;0,L571&gt;0),1,0)</f>
        <v>1</v>
      </c>
      <c r="Q571" s="53" t="n">
        <f aca="false">IF(P571=1,F571/E571*MIN(L571/K571,1)*MIN(MAX(M571/L571,0),1),0)</f>
        <v>0.653035921865273</v>
      </c>
      <c r="R571" s="55" t="n">
        <f aca="false">IF(F571&gt;0,N571/(F571/3600),0)</f>
        <v>2.708815708226</v>
      </c>
    </row>
    <row r="572" customFormat="false" ht="15" hidden="false" customHeight="false" outlineLevel="0" collapsed="false">
      <c r="A572" s="0" t="s">
        <v>258</v>
      </c>
      <c r="B572" s="52" t="n">
        <v>44460</v>
      </c>
      <c r="C572" s="0" t="n">
        <v>87957.748</v>
      </c>
      <c r="D572" s="0" t="n">
        <v>2764.26</v>
      </c>
      <c r="E572" s="0" t="n">
        <v>85193.488</v>
      </c>
      <c r="F572" s="0" t="n">
        <v>78627.799</v>
      </c>
      <c r="G572" s="0" t="n">
        <v>53636.204</v>
      </c>
      <c r="H572" s="0" t="n">
        <v>24991.595</v>
      </c>
      <c r="I572" s="0" t="n">
        <v>5698.26</v>
      </c>
      <c r="J572" s="0" t="n">
        <v>867.429</v>
      </c>
      <c r="K572" s="0" t="n">
        <v>98205.6175</v>
      </c>
      <c r="L572" s="0" t="n">
        <v>66884</v>
      </c>
      <c r="M572" s="0" t="n">
        <v>66665</v>
      </c>
      <c r="N572" s="0" t="n">
        <v>37</v>
      </c>
      <c r="O572" s="54" t="n">
        <f aca="false">YEAR(B572)</f>
        <v>2021</v>
      </c>
      <c r="P572" s="54" t="n">
        <f aca="false">IF(AND(E572&gt;=14400,K572&gt;0,L572&gt;0),1,0)</f>
        <v>1</v>
      </c>
      <c r="Q572" s="53" t="n">
        <f aca="false">IF(P572=1,F572/E572*MIN(L572/K572,1)*MIN(MAX(M572/L572,0),1),0)</f>
        <v>0.626514709494614</v>
      </c>
      <c r="R572" s="55" t="n">
        <f aca="false">IF(F572&gt;0,N572/(F572/3600),0)</f>
        <v>1.69405733969483</v>
      </c>
    </row>
    <row r="573" customFormat="false" ht="15" hidden="false" customHeight="false" outlineLevel="0" collapsed="false">
      <c r="A573" s="0" t="s">
        <v>258</v>
      </c>
      <c r="B573" s="52" t="n">
        <v>44461</v>
      </c>
      <c r="C573" s="0" t="n">
        <v>85212.276</v>
      </c>
      <c r="D573" s="0" t="n">
        <v>9469.721</v>
      </c>
      <c r="E573" s="0" t="n">
        <v>75742.555</v>
      </c>
      <c r="F573" s="0" t="n">
        <v>66827.542</v>
      </c>
      <c r="G573" s="0" t="n">
        <v>54683.399</v>
      </c>
      <c r="H573" s="0" t="n">
        <v>12144.143</v>
      </c>
      <c r="I573" s="0" t="n">
        <v>4463.348</v>
      </c>
      <c r="J573" s="0" t="n">
        <v>4451.665</v>
      </c>
      <c r="K573" s="0" t="n">
        <v>83534.4275</v>
      </c>
      <c r="L573" s="0" t="n">
        <v>68185</v>
      </c>
      <c r="M573" s="0" t="n">
        <v>67934</v>
      </c>
      <c r="N573" s="0" t="n">
        <v>39</v>
      </c>
      <c r="O573" s="54" t="n">
        <f aca="false">YEAR(B573)</f>
        <v>2021</v>
      </c>
      <c r="P573" s="54" t="n">
        <f aca="false">IF(AND(E573&gt;=14400,K573&gt;0,L573&gt;0),1,0)</f>
        <v>1</v>
      </c>
      <c r="Q573" s="53" t="n">
        <f aca="false">IF(P573=1,F573/E573*MIN(L573/K573,1)*MIN(MAX(M573/L573,0),1),0)</f>
        <v>0.717525306612643</v>
      </c>
      <c r="R573" s="55" t="n">
        <f aca="false">IF(F573&gt;0,N573/(F573/3600),0)</f>
        <v>2.10093018234907</v>
      </c>
    </row>
    <row r="574" customFormat="false" ht="15" hidden="false" customHeight="false" outlineLevel="0" collapsed="false">
      <c r="A574" s="0" t="s">
        <v>258</v>
      </c>
      <c r="B574" s="52" t="n">
        <v>44462</v>
      </c>
      <c r="C574" s="0" t="n">
        <v>81979.961</v>
      </c>
      <c r="D574" s="0" t="n">
        <v>8040.104</v>
      </c>
      <c r="E574" s="0" t="n">
        <v>73939.857</v>
      </c>
      <c r="F574" s="0" t="n">
        <v>60197.021</v>
      </c>
      <c r="G574" s="0" t="n">
        <v>47182.583</v>
      </c>
      <c r="H574" s="0" t="n">
        <v>13014.438</v>
      </c>
      <c r="I574" s="0" t="n">
        <v>10389.645</v>
      </c>
      <c r="J574" s="0" t="n">
        <v>3353.191</v>
      </c>
      <c r="K574" s="0" t="n">
        <v>75246.27625</v>
      </c>
      <c r="L574" s="0" t="n">
        <v>58683</v>
      </c>
      <c r="M574" s="0" t="n">
        <v>58517</v>
      </c>
      <c r="N574" s="0" t="n">
        <v>55</v>
      </c>
      <c r="O574" s="54" t="n">
        <f aca="false">YEAR(B574)</f>
        <v>2021</v>
      </c>
      <c r="P574" s="54" t="n">
        <f aca="false">IF(AND(E574&gt;=14400,K574&gt;0,L574&gt;0),1,0)</f>
        <v>1</v>
      </c>
      <c r="Q574" s="53" t="n">
        <f aca="false">IF(P574=1,F574/E574*MIN(L574/K574,1)*MIN(MAX(M574/L574,0),1),0)</f>
        <v>0.633130788987055</v>
      </c>
      <c r="R574" s="55" t="n">
        <f aca="false">IF(F574&gt;0,N574/(F574/3600),0)</f>
        <v>3.28919931104232</v>
      </c>
    </row>
    <row r="575" customFormat="false" ht="15" hidden="false" customHeight="false" outlineLevel="0" collapsed="false">
      <c r="A575" s="0" t="s">
        <v>258</v>
      </c>
      <c r="B575" s="52" t="n">
        <v>44463</v>
      </c>
      <c r="C575" s="0" t="n">
        <v>86515.352</v>
      </c>
      <c r="D575" s="0" t="n">
        <v>8638.544</v>
      </c>
      <c r="E575" s="0" t="n">
        <v>77876.808</v>
      </c>
      <c r="F575" s="0" t="n">
        <v>66682.493</v>
      </c>
      <c r="G575" s="0" t="n">
        <v>57396.477</v>
      </c>
      <c r="H575" s="0" t="n">
        <v>9286.016</v>
      </c>
      <c r="I575" s="0" t="n">
        <v>6710.591</v>
      </c>
      <c r="J575" s="0" t="n">
        <v>4483.724</v>
      </c>
      <c r="K575" s="0" t="n">
        <v>83365.7166666667</v>
      </c>
      <c r="L575" s="0" t="n">
        <v>71433</v>
      </c>
      <c r="M575" s="0" t="n">
        <v>71271</v>
      </c>
      <c r="N575" s="0" t="n">
        <v>63</v>
      </c>
      <c r="O575" s="54" t="n">
        <f aca="false">YEAR(B575)</f>
        <v>2021</v>
      </c>
      <c r="P575" s="54" t="n">
        <f aca="false">IF(AND(E575&gt;=14400,K575&gt;0,L575&gt;0),1,0)</f>
        <v>1</v>
      </c>
      <c r="Q575" s="53" t="n">
        <f aca="false">IF(P575=1,F575/E575*MIN(L575/K575,1)*MIN(MAX(M575/L575,0),1),0)</f>
        <v>0.732030287164091</v>
      </c>
      <c r="R575" s="55" t="n">
        <f aca="false">IF(F575&gt;0,N575/(F575/3600),0)</f>
        <v>3.40119257388892</v>
      </c>
    </row>
    <row r="576" customFormat="false" ht="15" hidden="false" customHeight="false" outlineLevel="0" collapsed="false">
      <c r="A576" s="0" t="s">
        <v>258</v>
      </c>
      <c r="B576" s="52" t="n">
        <v>44464</v>
      </c>
      <c r="C576" s="0" t="n">
        <v>34640.831</v>
      </c>
      <c r="D576" s="0" t="n">
        <v>5826.167</v>
      </c>
      <c r="E576" s="0" t="n">
        <v>28814.664</v>
      </c>
      <c r="F576" s="0" t="n">
        <v>24903.136</v>
      </c>
      <c r="G576" s="0" t="n">
        <v>23654.935</v>
      </c>
      <c r="H576" s="0" t="n">
        <v>1248.201</v>
      </c>
      <c r="I576" s="0" t="n">
        <v>2903.028</v>
      </c>
      <c r="J576" s="0" t="n">
        <v>1008.5</v>
      </c>
      <c r="K576" s="0" t="n">
        <v>31128.92</v>
      </c>
      <c r="L576" s="0" t="n">
        <v>29549</v>
      </c>
      <c r="M576" s="0" t="n">
        <v>29506</v>
      </c>
      <c r="N576" s="0" t="n">
        <v>13</v>
      </c>
      <c r="O576" s="54" t="n">
        <f aca="false">YEAR(B576)</f>
        <v>2021</v>
      </c>
      <c r="P576" s="54" t="n">
        <f aca="false">IF(AND(E576&gt;=14400,K576&gt;0,L576&gt;0),1,0)</f>
        <v>1</v>
      </c>
      <c r="Q576" s="53" t="n">
        <f aca="false">IF(P576=1,F576/E576*MIN(L576/K576,1)*MIN(MAX(M576/L576,0),1),0)</f>
        <v>0.819194004830318</v>
      </c>
      <c r="R576" s="55" t="n">
        <f aca="false">IF(F576&gt;0,N576/(F576/3600),0)</f>
        <v>1.87928138849661</v>
      </c>
    </row>
    <row r="577" customFormat="false" ht="15" hidden="false" customHeight="false" outlineLevel="0" collapsed="false">
      <c r="A577" s="0" t="s">
        <v>258</v>
      </c>
      <c r="B577" s="52" t="n">
        <v>44465</v>
      </c>
      <c r="C577" s="0" t="n">
        <v>64956.39</v>
      </c>
      <c r="D577" s="0" t="n">
        <v>12771.515</v>
      </c>
      <c r="E577" s="0" t="n">
        <v>52184.875</v>
      </c>
      <c r="F577" s="0" t="n">
        <v>39185.374</v>
      </c>
      <c r="G577" s="0" t="n">
        <v>31648.381</v>
      </c>
      <c r="H577" s="0" t="n">
        <v>7536.993</v>
      </c>
      <c r="I577" s="0" t="n">
        <v>5245.958</v>
      </c>
      <c r="J577" s="0" t="n">
        <v>7753.543</v>
      </c>
      <c r="K577" s="0" t="n">
        <v>48981.7175</v>
      </c>
      <c r="L577" s="0" t="n">
        <v>38277</v>
      </c>
      <c r="M577" s="0" t="n">
        <v>38124</v>
      </c>
      <c r="N577" s="0" t="n">
        <v>44</v>
      </c>
      <c r="O577" s="54" t="n">
        <f aca="false">YEAR(B577)</f>
        <v>2021</v>
      </c>
      <c r="P577" s="54" t="n">
        <f aca="false">IF(AND(E577&gt;=14400,K577&gt;0,L577&gt;0),1,0)</f>
        <v>1</v>
      </c>
      <c r="Q577" s="53" t="n">
        <f aca="false">IF(P577=1,F577/E577*MIN(L577/K577,1)*MIN(MAX(M577/L577,0),1),0)</f>
        <v>0.584445205627109</v>
      </c>
      <c r="R577" s="55" t="n">
        <f aca="false">IF(F577&gt;0,N577/(F577/3600),0)</f>
        <v>4.04232456732453</v>
      </c>
    </row>
    <row r="578" customFormat="false" ht="15" hidden="false" customHeight="false" outlineLevel="0" collapsed="false">
      <c r="A578" s="0" t="s">
        <v>258</v>
      </c>
      <c r="B578" s="52" t="n">
        <v>44466</v>
      </c>
      <c r="C578" s="0" t="n">
        <v>86916.159</v>
      </c>
      <c r="D578" s="0" t="n">
        <v>8238.772</v>
      </c>
      <c r="E578" s="0" t="n">
        <v>78677.387</v>
      </c>
      <c r="F578" s="0" t="n">
        <v>63994.903</v>
      </c>
      <c r="G578" s="0" t="n">
        <v>56376.437</v>
      </c>
      <c r="H578" s="0" t="n">
        <v>7618.466</v>
      </c>
      <c r="I578" s="0" t="n">
        <v>9164.818</v>
      </c>
      <c r="J578" s="0" t="n">
        <v>5517.666</v>
      </c>
      <c r="K578" s="0" t="n">
        <v>79993.62875</v>
      </c>
      <c r="L578" s="0" t="n">
        <v>69185</v>
      </c>
      <c r="M578" s="0" t="n">
        <v>68968</v>
      </c>
      <c r="N578" s="0" t="n">
        <v>42</v>
      </c>
      <c r="O578" s="54" t="n">
        <f aca="false">YEAR(B578)</f>
        <v>2021</v>
      </c>
      <c r="P578" s="54" t="n">
        <f aca="false">IF(AND(E578&gt;=14400,K578&gt;0,L578&gt;0),1,0)</f>
        <v>1</v>
      </c>
      <c r="Q578" s="53" t="n">
        <f aca="false">IF(P578=1,F578/E578*MIN(L578/K578,1)*MIN(MAX(M578/L578,0),1),0)</f>
        <v>0.701273925124128</v>
      </c>
      <c r="R578" s="55" t="n">
        <f aca="false">IF(F578&gt;0,N578/(F578/3600),0)</f>
        <v>2.36268816596222</v>
      </c>
    </row>
    <row r="579" customFormat="false" ht="15" hidden="false" customHeight="false" outlineLevel="0" collapsed="false">
      <c r="A579" s="0" t="s">
        <v>258</v>
      </c>
      <c r="B579" s="52" t="n">
        <v>44467</v>
      </c>
      <c r="C579" s="0" t="n">
        <v>106134.129</v>
      </c>
      <c r="D579" s="0" t="n">
        <v>7646.994</v>
      </c>
      <c r="E579" s="0" t="n">
        <v>98487.135</v>
      </c>
      <c r="F579" s="0" t="n">
        <v>49362.397</v>
      </c>
      <c r="G579" s="0" t="n">
        <v>42199.498</v>
      </c>
      <c r="H579" s="0" t="n">
        <v>7162.899</v>
      </c>
      <c r="I579" s="0" t="n">
        <v>14282.699</v>
      </c>
      <c r="J579" s="0" t="n">
        <v>34842.039</v>
      </c>
      <c r="K579" s="0" t="n">
        <v>61702.99625</v>
      </c>
      <c r="L579" s="0" t="n">
        <v>52452</v>
      </c>
      <c r="M579" s="0" t="n">
        <v>52203</v>
      </c>
      <c r="N579" s="0" t="n">
        <v>57</v>
      </c>
      <c r="O579" s="54" t="n">
        <f aca="false">YEAR(B579)</f>
        <v>2021</v>
      </c>
      <c r="P579" s="54" t="n">
        <f aca="false">IF(AND(E579&gt;=14400,K579&gt;0,L579&gt;0),1,0)</f>
        <v>1</v>
      </c>
      <c r="Q579" s="53" t="n">
        <f aca="false">IF(P579=1,F579/E579*MIN(L579/K579,1)*MIN(MAX(M579/L579,0),1),0)</f>
        <v>0.424039139731296</v>
      </c>
      <c r="R579" s="55" t="n">
        <f aca="false">IF(F579&gt;0,N579/(F579/3600),0)</f>
        <v>4.15701044663613</v>
      </c>
    </row>
    <row r="580" customFormat="false" ht="15" hidden="false" customHeight="false" outlineLevel="0" collapsed="false">
      <c r="A580" s="0" t="s">
        <v>258</v>
      </c>
      <c r="B580" s="52" t="n">
        <v>44468</v>
      </c>
      <c r="C580" s="0" t="n">
        <v>60439.916</v>
      </c>
      <c r="D580" s="0" t="n">
        <v>9868.439</v>
      </c>
      <c r="E580" s="0" t="n">
        <v>50571.477</v>
      </c>
      <c r="F580" s="0" t="n">
        <v>39107.273</v>
      </c>
      <c r="G580" s="0" t="n">
        <v>25673.499</v>
      </c>
      <c r="H580" s="0" t="n">
        <v>13433.774</v>
      </c>
      <c r="I580" s="0" t="n">
        <v>2905.759</v>
      </c>
      <c r="J580" s="0" t="n">
        <v>8558.445</v>
      </c>
      <c r="K580" s="0" t="n">
        <v>48884.09125</v>
      </c>
      <c r="L580" s="0" t="n">
        <v>30905</v>
      </c>
      <c r="M580" s="0" t="n">
        <v>30595</v>
      </c>
      <c r="N580" s="0" t="n">
        <v>14</v>
      </c>
      <c r="O580" s="54" t="n">
        <f aca="false">YEAR(B580)</f>
        <v>2021</v>
      </c>
      <c r="P580" s="54" t="n">
        <f aca="false">IF(AND(E580&gt;=14400,K580&gt;0,L580&gt;0),1,0)</f>
        <v>1</v>
      </c>
      <c r="Q580" s="53" t="n">
        <f aca="false">IF(P580=1,F580/E580*MIN(L580/K580,1)*MIN(MAX(M580/L580,0),1),0)</f>
        <v>0.483988237084711</v>
      </c>
      <c r="R580" s="55" t="n">
        <f aca="false">IF(F580&gt;0,N580/(F580/3600),0)</f>
        <v>1.28876283447327</v>
      </c>
    </row>
    <row r="581" customFormat="false" ht="15" hidden="false" customHeight="false" outlineLevel="0" collapsed="false">
      <c r="A581" s="0" t="s">
        <v>258</v>
      </c>
      <c r="B581" s="52" t="n">
        <v>44469</v>
      </c>
      <c r="C581" s="0" t="n">
        <v>86568.761</v>
      </c>
      <c r="D581" s="0" t="n">
        <v>17194.036</v>
      </c>
      <c r="E581" s="0" t="n">
        <v>69374.725</v>
      </c>
      <c r="F581" s="0" t="n">
        <v>56343.22</v>
      </c>
      <c r="G581" s="0" t="n">
        <v>49148.095</v>
      </c>
      <c r="H581" s="0" t="n">
        <v>7195.125</v>
      </c>
      <c r="I581" s="0" t="n">
        <v>3596.632</v>
      </c>
      <c r="J581" s="0" t="n">
        <v>9434.873</v>
      </c>
      <c r="K581" s="0" t="n">
        <v>70401.10625</v>
      </c>
      <c r="L581" s="0" t="n">
        <v>60115</v>
      </c>
      <c r="M581" s="0" t="n">
        <v>60000</v>
      </c>
      <c r="N581" s="0" t="n">
        <v>39</v>
      </c>
      <c r="O581" s="54" t="n">
        <f aca="false">YEAR(B581)</f>
        <v>2021</v>
      </c>
      <c r="P581" s="54" t="n">
        <f aca="false">IF(AND(E581&gt;=14400,K581&gt;0,L581&gt;0),1,0)</f>
        <v>1</v>
      </c>
      <c r="Q581" s="53" t="n">
        <f aca="false">IF(P581=1,F581/E581*MIN(L581/K581,1)*MIN(MAX(M581/L581,0),1),0)</f>
        <v>0.692169017062749</v>
      </c>
      <c r="R581" s="55" t="n">
        <f aca="false">IF(F581&gt;0,N581/(F581/3600),0)</f>
        <v>2.49187036168682</v>
      </c>
    </row>
    <row r="582" customFormat="false" ht="15" hidden="false" customHeight="false" outlineLevel="0" collapsed="false">
      <c r="A582" s="0" t="s">
        <v>258</v>
      </c>
      <c r="B582" s="52" t="n">
        <v>44470</v>
      </c>
      <c r="C582" s="0" t="n">
        <v>81448.762</v>
      </c>
      <c r="D582" s="0" t="n">
        <v>17796.75</v>
      </c>
      <c r="E582" s="0" t="n">
        <v>63652.012</v>
      </c>
      <c r="F582" s="0" t="n">
        <v>51919.692</v>
      </c>
      <c r="G582" s="0" t="n">
        <v>44304.669</v>
      </c>
      <c r="H582" s="0" t="n">
        <v>7615.023</v>
      </c>
      <c r="I582" s="0" t="n">
        <v>7063.426</v>
      </c>
      <c r="J582" s="0" t="n">
        <v>4668.894</v>
      </c>
      <c r="K582" s="0" t="n">
        <v>64899.615</v>
      </c>
      <c r="L582" s="0" t="n">
        <v>55032</v>
      </c>
      <c r="M582" s="0" t="n">
        <v>54766</v>
      </c>
      <c r="N582" s="0" t="n">
        <v>62</v>
      </c>
      <c r="O582" s="54" t="n">
        <f aca="false">YEAR(B582)</f>
        <v>2021</v>
      </c>
      <c r="P582" s="54" t="n">
        <f aca="false">IF(AND(E582&gt;=14400,K582&gt;0,L582&gt;0),1,0)</f>
        <v>1</v>
      </c>
      <c r="Q582" s="53" t="n">
        <f aca="false">IF(P582=1,F582/E582*MIN(L582/K582,1)*MIN(MAX(M582/L582,0),1),0)</f>
        <v>0.688317597878917</v>
      </c>
      <c r="R582" s="55" t="n">
        <f aca="false">IF(F582&gt;0,N582/(F582/3600),0)</f>
        <v>4.29894691979298</v>
      </c>
    </row>
    <row r="583" customFormat="false" ht="15" hidden="false" customHeight="false" outlineLevel="0" collapsed="false">
      <c r="A583" s="0" t="s">
        <v>258</v>
      </c>
      <c r="B583" s="52" t="n">
        <v>44471</v>
      </c>
      <c r="C583" s="0" t="n">
        <v>58425.536</v>
      </c>
      <c r="D583" s="0" t="n">
        <v>7934.532</v>
      </c>
      <c r="E583" s="0" t="n">
        <v>50491.004</v>
      </c>
      <c r="F583" s="0" t="n">
        <v>31790.129</v>
      </c>
      <c r="G583" s="0" t="n">
        <v>26683.609</v>
      </c>
      <c r="H583" s="0" t="n">
        <v>5106.52</v>
      </c>
      <c r="I583" s="0" t="n">
        <v>6066.98</v>
      </c>
      <c r="J583" s="0" t="n">
        <v>12633.895</v>
      </c>
      <c r="K583" s="0" t="n">
        <v>39737.66125</v>
      </c>
      <c r="L583" s="0" t="n">
        <v>33198</v>
      </c>
      <c r="M583" s="0" t="n">
        <v>33019</v>
      </c>
      <c r="N583" s="0" t="n">
        <v>38</v>
      </c>
      <c r="O583" s="54" t="n">
        <f aca="false">YEAR(B583)</f>
        <v>2021</v>
      </c>
      <c r="P583" s="54" t="n">
        <f aca="false">IF(AND(E583&gt;=14400,K583&gt;0,L583&gt;0),1,0)</f>
        <v>1</v>
      </c>
      <c r="Q583" s="53" t="n">
        <f aca="false">IF(P583=1,F583/E583*MIN(L583/K583,1)*MIN(MAX(M583/L583,0),1),0)</f>
        <v>0.523166463475355</v>
      </c>
      <c r="R583" s="55" t="n">
        <f aca="false">IF(F583&gt;0,N583/(F583/3600),0)</f>
        <v>4.30322255062255</v>
      </c>
    </row>
    <row r="584" customFormat="false" ht="15" hidden="false" customHeight="false" outlineLevel="0" collapsed="false">
      <c r="A584" s="0" t="s">
        <v>258</v>
      </c>
      <c r="B584" s="52" t="n">
        <v>44472</v>
      </c>
      <c r="C584" s="0" t="n">
        <v>79876.677</v>
      </c>
      <c r="D584" s="0" t="n">
        <v>15529.784</v>
      </c>
      <c r="E584" s="0" t="n">
        <v>64346.893</v>
      </c>
      <c r="F584" s="0" t="n">
        <v>53979.029</v>
      </c>
      <c r="G584" s="0" t="n">
        <v>47481.668</v>
      </c>
      <c r="H584" s="0" t="n">
        <v>6497.361</v>
      </c>
      <c r="I584" s="0" t="n">
        <v>3881.132</v>
      </c>
      <c r="J584" s="0" t="n">
        <v>6486.732</v>
      </c>
      <c r="K584" s="0" t="n">
        <v>67473.78625</v>
      </c>
      <c r="L584" s="0" t="n">
        <v>58129</v>
      </c>
      <c r="M584" s="0" t="n">
        <v>57786</v>
      </c>
      <c r="N584" s="0" t="n">
        <v>39</v>
      </c>
      <c r="O584" s="54" t="n">
        <f aca="false">YEAR(B584)</f>
        <v>2021</v>
      </c>
      <c r="P584" s="54" t="n">
        <f aca="false">IF(AND(E584&gt;=14400,K584&gt;0,L584&gt;0),1,0)</f>
        <v>1</v>
      </c>
      <c r="Q584" s="53" t="n">
        <f aca="false">IF(P584=1,F584/E584*MIN(L584/K584,1)*MIN(MAX(M584/L584,0),1),0)</f>
        <v>0.718430958274862</v>
      </c>
      <c r="R584" s="55" t="n">
        <f aca="false">IF(F584&gt;0,N584/(F584/3600),0)</f>
        <v>2.60101010709177</v>
      </c>
    </row>
    <row r="585" customFormat="false" ht="15" hidden="false" customHeight="false" outlineLevel="0" collapsed="false">
      <c r="A585" s="0" t="s">
        <v>258</v>
      </c>
      <c r="B585" s="52" t="n">
        <v>44473</v>
      </c>
      <c r="C585" s="0" t="n">
        <v>86355.316</v>
      </c>
      <c r="D585" s="0" t="n">
        <v>14510.448</v>
      </c>
      <c r="E585" s="0" t="n">
        <v>71844.868</v>
      </c>
      <c r="F585" s="0" t="n">
        <v>56546.137</v>
      </c>
      <c r="G585" s="0" t="n">
        <v>51848.209</v>
      </c>
      <c r="H585" s="0" t="n">
        <v>4697.928</v>
      </c>
      <c r="I585" s="0" t="n">
        <v>4759.114</v>
      </c>
      <c r="J585" s="0" t="n">
        <v>10539.617</v>
      </c>
      <c r="K585" s="0" t="n">
        <v>70649.565</v>
      </c>
      <c r="L585" s="0" t="n">
        <v>64584</v>
      </c>
      <c r="M585" s="0" t="n">
        <v>64393</v>
      </c>
      <c r="N585" s="0" t="n">
        <v>50</v>
      </c>
      <c r="O585" s="54" t="n">
        <f aca="false">YEAR(B585)</f>
        <v>2021</v>
      </c>
      <c r="P585" s="54" t="n">
        <f aca="false">IF(AND(E585&gt;=14400,K585&gt;0,L585&gt;0),1,0)</f>
        <v>1</v>
      </c>
      <c r="Q585" s="53" t="n">
        <f aca="false">IF(P585=1,F585/E585*MIN(L585/K585,1)*MIN(MAX(M585/L585,0),1),0)</f>
        <v>0.717358678264384</v>
      </c>
      <c r="R585" s="55" t="n">
        <f aca="false">IF(F585&gt;0,N585/(F585/3600),0)</f>
        <v>3.18324132380608</v>
      </c>
    </row>
    <row r="586" customFormat="false" ht="15" hidden="false" customHeight="false" outlineLevel="0" collapsed="false">
      <c r="A586" s="0" t="s">
        <v>258</v>
      </c>
      <c r="B586" s="52" t="n">
        <v>44474</v>
      </c>
      <c r="C586" s="0" t="n">
        <v>92388.207</v>
      </c>
      <c r="D586" s="0" t="n">
        <v>7511.317</v>
      </c>
      <c r="E586" s="0" t="n">
        <v>84876.89</v>
      </c>
      <c r="F586" s="0" t="n">
        <v>54614.349</v>
      </c>
      <c r="G586" s="0" t="n">
        <v>45773.523</v>
      </c>
      <c r="H586" s="0" t="n">
        <v>8840.826</v>
      </c>
      <c r="I586" s="0" t="n">
        <v>13210.588</v>
      </c>
      <c r="J586" s="0" t="n">
        <v>17051.953</v>
      </c>
      <c r="K586" s="0" t="n">
        <v>68233.54875</v>
      </c>
      <c r="L586" s="0" t="n">
        <v>56879</v>
      </c>
      <c r="M586" s="0" t="n">
        <v>56701</v>
      </c>
      <c r="N586" s="0" t="n">
        <v>96</v>
      </c>
      <c r="O586" s="54" t="n">
        <f aca="false">YEAR(B586)</f>
        <v>2021</v>
      </c>
      <c r="P586" s="54" t="n">
        <f aca="false">IF(AND(E586&gt;=14400,K586&gt;0,L586&gt;0),1,0)</f>
        <v>1</v>
      </c>
      <c r="Q586" s="53" t="n">
        <f aca="false">IF(P586=1,F586/E586*MIN(L586/K586,1)*MIN(MAX(M586/L586,0),1),0)</f>
        <v>0.53469985027692</v>
      </c>
      <c r="R586" s="55" t="n">
        <f aca="false">IF(F586&gt;0,N586/(F586/3600),0)</f>
        <v>6.32800731544012</v>
      </c>
    </row>
    <row r="587" customFormat="false" ht="15" hidden="false" customHeight="false" outlineLevel="0" collapsed="false">
      <c r="A587" s="0" t="s">
        <v>258</v>
      </c>
      <c r="B587" s="52" t="n">
        <v>44475</v>
      </c>
      <c r="C587" s="0" t="n">
        <v>80828.643</v>
      </c>
      <c r="D587" s="0" t="n">
        <v>4274.891</v>
      </c>
      <c r="E587" s="0" t="n">
        <v>76553.752</v>
      </c>
      <c r="F587" s="0" t="n">
        <v>51801.095</v>
      </c>
      <c r="G587" s="0" t="n">
        <v>35775.822</v>
      </c>
      <c r="H587" s="0" t="n">
        <v>16025.273</v>
      </c>
      <c r="I587" s="0" t="n">
        <v>9122.448</v>
      </c>
      <c r="J587" s="0" t="n">
        <v>15630.209</v>
      </c>
      <c r="K587" s="0" t="n">
        <v>64751.36875</v>
      </c>
      <c r="L587" s="0" t="n">
        <v>44365</v>
      </c>
      <c r="M587" s="0" t="n">
        <v>44254</v>
      </c>
      <c r="N587" s="0" t="n">
        <v>53</v>
      </c>
      <c r="O587" s="54" t="n">
        <f aca="false">YEAR(B587)</f>
        <v>2021</v>
      </c>
      <c r="P587" s="54" t="n">
        <f aca="false">IF(AND(E587&gt;=14400,K587&gt;0,L587&gt;0),1,0)</f>
        <v>1</v>
      </c>
      <c r="Q587" s="53" t="n">
        <f aca="false">IF(P587=1,F587/E587*MIN(L587/K587,1)*MIN(MAX(M587/L587,0),1),0)</f>
        <v>0.462461983574626</v>
      </c>
      <c r="R587" s="55" t="n">
        <f aca="false">IF(F587&gt;0,N587/(F587/3600),0)</f>
        <v>3.68331982171419</v>
      </c>
    </row>
    <row r="588" customFormat="false" ht="15" hidden="false" customHeight="false" outlineLevel="0" collapsed="false">
      <c r="A588" s="0" t="s">
        <v>258</v>
      </c>
      <c r="B588" s="52" t="n">
        <v>44476</v>
      </c>
      <c r="C588" s="0" t="n">
        <v>83965.537</v>
      </c>
      <c r="D588" s="0" t="n">
        <v>9301.274</v>
      </c>
      <c r="E588" s="0" t="n">
        <v>74664.263</v>
      </c>
      <c r="F588" s="0" t="n">
        <v>57028.888</v>
      </c>
      <c r="G588" s="0" t="n">
        <v>45129.47</v>
      </c>
      <c r="H588" s="0" t="n">
        <v>11899.418</v>
      </c>
      <c r="I588" s="0" t="n">
        <v>11307.002</v>
      </c>
      <c r="J588" s="0" t="n">
        <v>6328.373</v>
      </c>
      <c r="K588" s="0" t="n">
        <v>69941.353125</v>
      </c>
      <c r="L588" s="0" t="n">
        <v>54124</v>
      </c>
      <c r="M588" s="0" t="n">
        <v>53910</v>
      </c>
      <c r="N588" s="0" t="n">
        <v>61</v>
      </c>
      <c r="O588" s="54" t="n">
        <f aca="false">YEAR(B588)</f>
        <v>2021</v>
      </c>
      <c r="P588" s="54" t="n">
        <f aca="false">IF(AND(E588&gt;=14400,K588&gt;0,L588&gt;0),1,0)</f>
        <v>1</v>
      </c>
      <c r="Q588" s="53" t="n">
        <f aca="false">IF(P588=1,F588/E588*MIN(L588/K588,1)*MIN(MAX(M588/L588,0),1),0)</f>
        <v>0.588731702223475</v>
      </c>
      <c r="R588" s="55" t="n">
        <f aca="false">IF(F588&gt;0,N588/(F588/3600),0)</f>
        <v>3.85068002728722</v>
      </c>
    </row>
    <row r="589" customFormat="false" ht="15" hidden="false" customHeight="false" outlineLevel="0" collapsed="false">
      <c r="A589" s="0" t="s">
        <v>258</v>
      </c>
      <c r="B589" s="52" t="n">
        <v>44477</v>
      </c>
      <c r="C589" s="0" t="n">
        <v>84060.335</v>
      </c>
      <c r="D589" s="0" t="n">
        <v>4970.483</v>
      </c>
      <c r="E589" s="0" t="n">
        <v>79089.852</v>
      </c>
      <c r="F589" s="0" t="n">
        <v>62708.742</v>
      </c>
      <c r="G589" s="0" t="n">
        <v>52460.628</v>
      </c>
      <c r="H589" s="0" t="n">
        <v>10248.114</v>
      </c>
      <c r="I589" s="0" t="n">
        <v>14646.251</v>
      </c>
      <c r="J589" s="0" t="n">
        <v>1734.859</v>
      </c>
      <c r="K589" s="0" t="n">
        <v>77816.350625</v>
      </c>
      <c r="L589" s="0" t="n">
        <v>67695</v>
      </c>
      <c r="M589" s="0" t="n">
        <v>67213</v>
      </c>
      <c r="N589" s="0" t="n">
        <v>104</v>
      </c>
      <c r="O589" s="54" t="n">
        <f aca="false">YEAR(B589)</f>
        <v>2021</v>
      </c>
      <c r="P589" s="54" t="n">
        <f aca="false">IF(AND(E589&gt;=14400,K589&gt;0,L589&gt;0),1,0)</f>
        <v>1</v>
      </c>
      <c r="Q589" s="53" t="n">
        <f aca="false">IF(P589=1,F589/E589*MIN(L589/K589,1)*MIN(MAX(M589/L589,0),1),0)</f>
        <v>0.684840989581697</v>
      </c>
      <c r="R589" s="55" t="n">
        <f aca="false">IF(F589&gt;0,N589/(F589/3600),0)</f>
        <v>5.97045942972353</v>
      </c>
    </row>
    <row r="590" customFormat="false" ht="15" hidden="false" customHeight="false" outlineLevel="0" collapsed="false">
      <c r="A590" s="0" t="s">
        <v>258</v>
      </c>
      <c r="B590" s="52" t="n">
        <v>44478</v>
      </c>
      <c r="C590" s="0" t="n">
        <v>45643.435</v>
      </c>
      <c r="D590" s="0" t="n">
        <v>5638.456</v>
      </c>
      <c r="E590" s="0" t="n">
        <v>40004.979</v>
      </c>
      <c r="F590" s="0" t="n">
        <v>33171.428</v>
      </c>
      <c r="G590" s="0" t="n">
        <v>28725.144</v>
      </c>
      <c r="H590" s="0" t="n">
        <v>4446.284</v>
      </c>
      <c r="I590" s="0" t="n">
        <v>4202.513</v>
      </c>
      <c r="J590" s="0" t="n">
        <v>2631.038</v>
      </c>
      <c r="K590" s="0" t="n">
        <v>36609.235625</v>
      </c>
      <c r="L590" s="0" t="n">
        <v>31780</v>
      </c>
      <c r="M590" s="0" t="n">
        <v>31642</v>
      </c>
      <c r="N590" s="0" t="n">
        <v>41</v>
      </c>
      <c r="O590" s="54" t="n">
        <f aca="false">YEAR(B590)</f>
        <v>2021</v>
      </c>
      <c r="P590" s="54" t="n">
        <f aca="false">IF(AND(E590&gt;=14400,K590&gt;0,L590&gt;0),1,0)</f>
        <v>1</v>
      </c>
      <c r="Q590" s="53" t="n">
        <f aca="false">IF(P590=1,F590/E590*MIN(L590/K590,1)*MIN(MAX(M590/L590,0),1),0)</f>
        <v>0.716676866420841</v>
      </c>
      <c r="R590" s="55" t="n">
        <f aca="false">IF(F590&gt;0,N590/(F590/3600),0)</f>
        <v>4.44961247975215</v>
      </c>
    </row>
    <row r="591" customFormat="false" ht="15" hidden="false" customHeight="false" outlineLevel="0" collapsed="false">
      <c r="A591" s="0" t="s">
        <v>258</v>
      </c>
      <c r="B591" s="52" t="n">
        <v>44479</v>
      </c>
      <c r="C591" s="0" t="n">
        <v>900</v>
      </c>
      <c r="D591" s="0" t="n">
        <v>0</v>
      </c>
      <c r="E591" s="0" t="n">
        <v>900</v>
      </c>
      <c r="F591" s="0" t="n">
        <v>0</v>
      </c>
      <c r="G591" s="0" t="n">
        <v>0</v>
      </c>
      <c r="H591" s="0" t="n">
        <v>0</v>
      </c>
      <c r="I591" s="0" t="n">
        <v>0</v>
      </c>
      <c r="J591" s="0" t="n">
        <v>900</v>
      </c>
      <c r="K591" s="0" t="n">
        <v>0</v>
      </c>
      <c r="L591" s="0" t="n">
        <v>0</v>
      </c>
      <c r="M591" s="0" t="n">
        <v>0</v>
      </c>
      <c r="N591" s="0" t="n">
        <v>0</v>
      </c>
      <c r="O591" s="54" t="n">
        <f aca="false">YEAR(B591)</f>
        <v>2021</v>
      </c>
      <c r="P591" s="54" t="n">
        <f aca="false">IF(AND(E591&gt;=14400,K591&gt;0,L591&gt;0),1,0)</f>
        <v>0</v>
      </c>
      <c r="Q591" s="53" t="n">
        <f aca="false">IF(P591=1,F591/E591*MIN(L591/K591,1)*MIN(MAX(M591/L591,0),1),0)</f>
        <v>0</v>
      </c>
      <c r="R591" s="55" t="n">
        <f aca="false">IF(F591&gt;0,N591/(F591/3600),0)</f>
        <v>0</v>
      </c>
    </row>
    <row r="592" customFormat="false" ht="15" hidden="false" customHeight="false" outlineLevel="0" collapsed="false">
      <c r="A592" s="0" t="s">
        <v>258</v>
      </c>
      <c r="B592" s="52" t="n">
        <v>44484</v>
      </c>
      <c r="C592" s="0" t="n">
        <v>21846.741</v>
      </c>
      <c r="D592" s="0" t="n">
        <v>735.755</v>
      </c>
      <c r="E592" s="0" t="n">
        <v>21110.986</v>
      </c>
      <c r="F592" s="0" t="n">
        <v>100.258</v>
      </c>
      <c r="G592" s="0" t="n">
        <v>0</v>
      </c>
      <c r="H592" s="0" t="n">
        <v>100.258</v>
      </c>
      <c r="I592" s="0" t="n">
        <v>0</v>
      </c>
      <c r="J592" s="0" t="n">
        <v>21010.728</v>
      </c>
      <c r="K592" s="0" t="n">
        <v>125.3225</v>
      </c>
      <c r="L592" s="0" t="n">
        <v>8</v>
      </c>
      <c r="M592" s="0" t="n">
        <v>0</v>
      </c>
      <c r="N592" s="0" t="n">
        <v>0</v>
      </c>
      <c r="O592" s="54" t="n">
        <f aca="false">YEAR(B592)</f>
        <v>2021</v>
      </c>
      <c r="P592" s="54" t="n">
        <f aca="false">IF(AND(E592&gt;=14400,K592&gt;0,L592&gt;0),1,0)</f>
        <v>1</v>
      </c>
      <c r="Q592" s="53" t="n">
        <f aca="false">IF(P592=1,F592/E592*MIN(L592/K592,1)*MIN(MAX(M592/L592,0),1),0)</f>
        <v>0</v>
      </c>
      <c r="R592" s="55" t="n">
        <f aca="false">IF(F592&gt;0,N592/(F592/3600),0)</f>
        <v>0</v>
      </c>
    </row>
    <row r="593" customFormat="false" ht="15" hidden="false" customHeight="false" outlineLevel="0" collapsed="false">
      <c r="A593" s="0" t="s">
        <v>258</v>
      </c>
      <c r="B593" s="52" t="n">
        <v>44485</v>
      </c>
      <c r="C593" s="0" t="n">
        <v>64763.535</v>
      </c>
      <c r="D593" s="0" t="n">
        <v>29815.161</v>
      </c>
      <c r="E593" s="0" t="n">
        <v>34948.374</v>
      </c>
      <c r="F593" s="0" t="n">
        <v>25214.447</v>
      </c>
      <c r="G593" s="0" t="n">
        <v>20164.342</v>
      </c>
      <c r="H593" s="0" t="n">
        <v>5050.105</v>
      </c>
      <c r="I593" s="0" t="n">
        <v>3423.342</v>
      </c>
      <c r="J593" s="0" t="n">
        <v>6310.585</v>
      </c>
      <c r="K593" s="0" t="n">
        <v>31518.05875</v>
      </c>
      <c r="L593" s="0" t="n">
        <v>25053</v>
      </c>
      <c r="M593" s="0" t="n">
        <v>24990</v>
      </c>
      <c r="N593" s="0" t="n">
        <v>42</v>
      </c>
      <c r="O593" s="54" t="n">
        <f aca="false">YEAR(B593)</f>
        <v>2021</v>
      </c>
      <c r="P593" s="54" t="n">
        <f aca="false">IF(AND(E593&gt;=14400,K593&gt;0,L593&gt;0),1,0)</f>
        <v>1</v>
      </c>
      <c r="Q593" s="53" t="n">
        <f aca="false">IF(P593=1,F593/E593*MIN(L593/K593,1)*MIN(MAX(M593/L593,0),1),0)</f>
        <v>0.572043780920966</v>
      </c>
      <c r="R593" s="55" t="n">
        <f aca="false">IF(F593&gt;0,N593/(F593/3600),0)</f>
        <v>5.99656220895901</v>
      </c>
    </row>
    <row r="594" customFormat="false" ht="15" hidden="false" customHeight="false" outlineLevel="0" collapsed="false">
      <c r="A594" s="0" t="s">
        <v>258</v>
      </c>
      <c r="B594" s="52" t="n">
        <v>44486</v>
      </c>
      <c r="C594" s="0" t="n">
        <v>68014.48</v>
      </c>
      <c r="D594" s="0" t="n">
        <v>4510.215</v>
      </c>
      <c r="E594" s="0" t="n">
        <v>63504.265</v>
      </c>
      <c r="F594" s="0" t="n">
        <v>50440.136</v>
      </c>
      <c r="G594" s="0" t="n">
        <v>33916.441</v>
      </c>
      <c r="H594" s="0" t="n">
        <v>16523.695</v>
      </c>
      <c r="I594" s="0" t="n">
        <v>5813.545</v>
      </c>
      <c r="J594" s="0" t="n">
        <v>7250.584</v>
      </c>
      <c r="K594" s="0" t="n">
        <v>63050.17</v>
      </c>
      <c r="L594" s="0" t="n">
        <v>42186</v>
      </c>
      <c r="M594" s="0" t="n">
        <v>42035</v>
      </c>
      <c r="N594" s="0" t="n">
        <v>60</v>
      </c>
      <c r="O594" s="54" t="n">
        <f aca="false">YEAR(B594)</f>
        <v>2021</v>
      </c>
      <c r="P594" s="54" t="n">
        <f aca="false">IF(AND(E594&gt;=14400,K594&gt;0,L594&gt;0),1,0)</f>
        <v>1</v>
      </c>
      <c r="Q594" s="53" t="n">
        <f aca="false">IF(P594=1,F594/E594*MIN(L594/K594,1)*MIN(MAX(M594/L594,0),1),0)</f>
        <v>0.529539236459158</v>
      </c>
      <c r="R594" s="55" t="n">
        <f aca="false">IF(F594&gt;0,N594/(F594/3600),0)</f>
        <v>4.28230407626181</v>
      </c>
    </row>
    <row r="595" customFormat="false" ht="15" hidden="false" customHeight="false" outlineLevel="0" collapsed="false">
      <c r="A595" s="0" t="s">
        <v>258</v>
      </c>
      <c r="B595" s="52" t="n">
        <v>44487</v>
      </c>
      <c r="C595" s="0" t="n">
        <v>86248.023</v>
      </c>
      <c r="D595" s="0" t="n">
        <v>7874.853</v>
      </c>
      <c r="E595" s="0" t="n">
        <v>78373.17</v>
      </c>
      <c r="F595" s="0" t="n">
        <v>60707.605</v>
      </c>
      <c r="G595" s="0" t="n">
        <v>48419.856</v>
      </c>
      <c r="H595" s="0" t="n">
        <v>12287.749</v>
      </c>
      <c r="I595" s="0" t="n">
        <v>15523.84</v>
      </c>
      <c r="J595" s="0" t="n">
        <v>2141.725</v>
      </c>
      <c r="K595" s="0" t="n">
        <v>75884.50625</v>
      </c>
      <c r="L595" s="0" t="n">
        <v>60011</v>
      </c>
      <c r="M595" s="0" t="n">
        <v>59822</v>
      </c>
      <c r="N595" s="0" t="n">
        <v>109</v>
      </c>
      <c r="O595" s="54" t="n">
        <f aca="false">YEAR(B595)</f>
        <v>2021</v>
      </c>
      <c r="P595" s="54" t="n">
        <f aca="false">IF(AND(E595&gt;=14400,K595&gt;0,L595&gt;0),1,0)</f>
        <v>1</v>
      </c>
      <c r="Q595" s="53" t="n">
        <f aca="false">IF(P595=1,F595/E595*MIN(L595/K595,1)*MIN(MAX(M595/L595,0),1),0)</f>
        <v>0.610637543434826</v>
      </c>
      <c r="R595" s="55" t="n">
        <f aca="false">IF(F595&gt;0,N595/(F595/3600),0)</f>
        <v>6.46377006636977</v>
      </c>
    </row>
    <row r="596" customFormat="false" ht="15" hidden="false" customHeight="false" outlineLevel="0" collapsed="false">
      <c r="A596" s="0" t="s">
        <v>258</v>
      </c>
      <c r="B596" s="52" t="n">
        <v>44488</v>
      </c>
      <c r="C596" s="0" t="n">
        <v>86629.109</v>
      </c>
      <c r="D596" s="0" t="n">
        <v>11481.14</v>
      </c>
      <c r="E596" s="0" t="n">
        <v>75147.969</v>
      </c>
      <c r="F596" s="0" t="n">
        <v>56953.61</v>
      </c>
      <c r="G596" s="0" t="n">
        <v>43373.502</v>
      </c>
      <c r="H596" s="0" t="n">
        <v>13580.108</v>
      </c>
      <c r="I596" s="0" t="n">
        <v>9033.643</v>
      </c>
      <c r="J596" s="0" t="n">
        <v>9160.716</v>
      </c>
      <c r="K596" s="0" t="n">
        <v>68349.78375</v>
      </c>
      <c r="L596" s="0" t="n">
        <v>52070</v>
      </c>
      <c r="M596" s="0" t="n">
        <v>51875</v>
      </c>
      <c r="N596" s="0" t="n">
        <v>107</v>
      </c>
      <c r="O596" s="54" t="n">
        <f aca="false">YEAR(B596)</f>
        <v>2021</v>
      </c>
      <c r="P596" s="54" t="n">
        <f aca="false">IF(AND(E596&gt;=14400,K596&gt;0,L596&gt;0),1,0)</f>
        <v>1</v>
      </c>
      <c r="Q596" s="53" t="n">
        <f aca="false">IF(P596=1,F596/E596*MIN(L596/K596,1)*MIN(MAX(M596/L596,0),1),0)</f>
        <v>0.57520807515136</v>
      </c>
      <c r="R596" s="55" t="n">
        <f aca="false">IF(F596&gt;0,N596/(F596/3600),0)</f>
        <v>6.76339919453745</v>
      </c>
    </row>
    <row r="597" customFormat="false" ht="15" hidden="false" customHeight="false" outlineLevel="0" collapsed="false">
      <c r="A597" s="0" t="s">
        <v>258</v>
      </c>
      <c r="B597" s="52" t="n">
        <v>44489</v>
      </c>
      <c r="C597" s="0" t="n">
        <v>86200.549</v>
      </c>
      <c r="D597" s="0" t="n">
        <v>8532.196</v>
      </c>
      <c r="E597" s="0" t="n">
        <v>77668.353</v>
      </c>
      <c r="F597" s="0" t="n">
        <v>62746.456</v>
      </c>
      <c r="G597" s="0" t="n">
        <v>49734.954</v>
      </c>
      <c r="H597" s="0" t="n">
        <v>13011.502</v>
      </c>
      <c r="I597" s="0" t="n">
        <v>7681.998</v>
      </c>
      <c r="J597" s="0" t="n">
        <v>7239.899</v>
      </c>
      <c r="K597" s="0" t="n">
        <v>78330.07875</v>
      </c>
      <c r="L597" s="0" t="n">
        <v>61769</v>
      </c>
      <c r="M597" s="0" t="n">
        <v>61587</v>
      </c>
      <c r="N597" s="0" t="n">
        <v>54</v>
      </c>
      <c r="O597" s="54" t="n">
        <f aca="false">YEAR(B597)</f>
        <v>2021</v>
      </c>
      <c r="P597" s="54" t="n">
        <f aca="false">IF(AND(E597&gt;=14400,K597&gt;0,L597&gt;0),1,0)</f>
        <v>1</v>
      </c>
      <c r="Q597" s="53" t="n">
        <f aca="false">IF(P597=1,F597/E597*MIN(L597/K597,1)*MIN(MAX(M597/L597,0),1),0)</f>
        <v>0.635192836785998</v>
      </c>
      <c r="R597" s="55" t="n">
        <f aca="false">IF(F597&gt;0,N597/(F597/3600),0)</f>
        <v>3.09818294757556</v>
      </c>
    </row>
    <row r="598" customFormat="false" ht="15" hidden="false" customHeight="false" outlineLevel="0" collapsed="false">
      <c r="A598" s="0" t="s">
        <v>258</v>
      </c>
      <c r="B598" s="52" t="n">
        <v>44490</v>
      </c>
      <c r="C598" s="0" t="n">
        <v>84912.658</v>
      </c>
      <c r="D598" s="0" t="n">
        <v>8488.994</v>
      </c>
      <c r="E598" s="0" t="n">
        <v>76423.664</v>
      </c>
      <c r="F598" s="0" t="n">
        <v>63393.338</v>
      </c>
      <c r="G598" s="0" t="n">
        <v>47083.702</v>
      </c>
      <c r="H598" s="0" t="n">
        <v>16309.636</v>
      </c>
      <c r="I598" s="0" t="n">
        <v>6180.759</v>
      </c>
      <c r="J598" s="0" t="n">
        <v>6849.567</v>
      </c>
      <c r="K598" s="0" t="n">
        <v>78067.618125</v>
      </c>
      <c r="L598" s="0" t="n">
        <v>60889</v>
      </c>
      <c r="M598" s="0" t="n">
        <v>60735</v>
      </c>
      <c r="N598" s="0" t="n">
        <v>54</v>
      </c>
      <c r="O598" s="54" t="n">
        <f aca="false">YEAR(B598)</f>
        <v>2021</v>
      </c>
      <c r="P598" s="54" t="n">
        <f aca="false">IF(AND(E598&gt;=14400,K598&gt;0,L598&gt;0),1,0)</f>
        <v>1</v>
      </c>
      <c r="Q598" s="53" t="n">
        <f aca="false">IF(P598=1,F598/E598*MIN(L598/K598,1)*MIN(MAX(M598/L598,0),1),0)</f>
        <v>0.645332996728923</v>
      </c>
      <c r="R598" s="55" t="n">
        <f aca="false">IF(F598&gt;0,N598/(F598/3600),0)</f>
        <v>3.06656828829553</v>
      </c>
    </row>
    <row r="599" customFormat="false" ht="15" hidden="false" customHeight="false" outlineLevel="0" collapsed="false">
      <c r="A599" s="0" t="s">
        <v>258</v>
      </c>
      <c r="B599" s="52" t="n">
        <v>44491</v>
      </c>
      <c r="C599" s="0" t="n">
        <v>84505.96</v>
      </c>
      <c r="D599" s="0" t="n">
        <v>3197.705</v>
      </c>
      <c r="E599" s="0" t="n">
        <v>81308.255</v>
      </c>
      <c r="F599" s="0" t="n">
        <v>64471.134</v>
      </c>
      <c r="G599" s="0" t="n">
        <v>47502.156</v>
      </c>
      <c r="H599" s="0" t="n">
        <v>16968.978</v>
      </c>
      <c r="I599" s="0" t="n">
        <v>11959.718</v>
      </c>
      <c r="J599" s="0" t="n">
        <v>4877.403</v>
      </c>
      <c r="K599" s="0" t="n">
        <v>80588.9175</v>
      </c>
      <c r="L599" s="0" t="n">
        <v>57903</v>
      </c>
      <c r="M599" s="0" t="n">
        <v>57642</v>
      </c>
      <c r="N599" s="0" t="n">
        <v>85</v>
      </c>
      <c r="O599" s="54" t="n">
        <f aca="false">YEAR(B599)</f>
        <v>2021</v>
      </c>
      <c r="P599" s="54" t="n">
        <f aca="false">IF(AND(E599&gt;=14400,K599&gt;0,L599&gt;0),1,0)</f>
        <v>1</v>
      </c>
      <c r="Q599" s="53" t="n">
        <f aca="false">IF(P599=1,F599/E599*MIN(L599/K599,1)*MIN(MAX(M599/L599,0),1),0)</f>
        <v>0.567145365498251</v>
      </c>
      <c r="R599" s="55" t="n">
        <f aca="false">IF(F599&gt;0,N599/(F599/3600),0)</f>
        <v>4.74631018588877</v>
      </c>
    </row>
    <row r="600" customFormat="false" ht="15" hidden="false" customHeight="false" outlineLevel="0" collapsed="false">
      <c r="A600" s="0" t="s">
        <v>258</v>
      </c>
      <c r="B600" s="52" t="n">
        <v>44492</v>
      </c>
      <c r="C600" s="0" t="n">
        <v>53900.126</v>
      </c>
      <c r="D600" s="0" t="n">
        <v>8178.625</v>
      </c>
      <c r="E600" s="0" t="n">
        <v>45721.501</v>
      </c>
      <c r="F600" s="0" t="n">
        <v>34964.197</v>
      </c>
      <c r="G600" s="0" t="n">
        <v>30380.558</v>
      </c>
      <c r="H600" s="0" t="n">
        <v>4583.639</v>
      </c>
      <c r="I600" s="0" t="n">
        <v>6050.748</v>
      </c>
      <c r="J600" s="0" t="n">
        <v>4706.556</v>
      </c>
      <c r="K600" s="0" t="n">
        <v>43705.24625</v>
      </c>
      <c r="L600" s="0" t="n">
        <v>37841</v>
      </c>
      <c r="M600" s="0" t="n">
        <v>37750</v>
      </c>
      <c r="N600" s="0" t="n">
        <v>28</v>
      </c>
      <c r="O600" s="54" t="n">
        <f aca="false">YEAR(B600)</f>
        <v>2021</v>
      </c>
      <c r="P600" s="54" t="n">
        <f aca="false">IF(AND(E600&gt;=14400,K600&gt;0,L600&gt;0),1,0)</f>
        <v>1</v>
      </c>
      <c r="Q600" s="53" t="n">
        <f aca="false">IF(P600=1,F600/E600*MIN(L600/K600,1)*MIN(MAX(M600/L600,0),1),0)</f>
        <v>0.660520747120704</v>
      </c>
      <c r="R600" s="55" t="n">
        <f aca="false">IF(F600&gt;0,N600/(F600/3600),0)</f>
        <v>2.88294909218135</v>
      </c>
    </row>
    <row r="601" customFormat="false" ht="15" hidden="false" customHeight="false" outlineLevel="0" collapsed="false">
      <c r="A601" s="0" t="s">
        <v>258</v>
      </c>
      <c r="B601" s="52" t="n">
        <v>44493</v>
      </c>
      <c r="C601" s="0" t="n">
        <v>63928.973</v>
      </c>
      <c r="D601" s="0" t="n">
        <v>8672.237</v>
      </c>
      <c r="E601" s="0" t="n">
        <v>55256.736</v>
      </c>
      <c r="F601" s="0" t="n">
        <v>45581.295</v>
      </c>
      <c r="G601" s="0" t="n">
        <v>39360</v>
      </c>
      <c r="H601" s="0" t="n">
        <v>6221.295</v>
      </c>
      <c r="I601" s="0" t="n">
        <v>6376.58</v>
      </c>
      <c r="J601" s="0" t="n">
        <v>3298.861</v>
      </c>
      <c r="K601" s="0" t="n">
        <v>56976.61875</v>
      </c>
      <c r="L601" s="0" t="n">
        <v>47927</v>
      </c>
      <c r="M601" s="0" t="n">
        <v>47689</v>
      </c>
      <c r="N601" s="0" t="n">
        <v>38</v>
      </c>
      <c r="O601" s="54" t="n">
        <f aca="false">YEAR(B601)</f>
        <v>2021</v>
      </c>
      <c r="P601" s="54" t="n">
        <f aca="false">IF(AND(E601&gt;=14400,K601&gt;0,L601&gt;0),1,0)</f>
        <v>1</v>
      </c>
      <c r="Q601" s="53" t="n">
        <f aca="false">IF(P601=1,F601/E601*MIN(L601/K601,1)*MIN(MAX(M601/L601,0),1),0)</f>
        <v>0.690435280143945</v>
      </c>
      <c r="R601" s="55" t="n">
        <f aca="false">IF(F601&gt;0,N601/(F601/3600),0)</f>
        <v>3.00123109709805</v>
      </c>
    </row>
    <row r="602" customFormat="false" ht="15" hidden="false" customHeight="false" outlineLevel="0" collapsed="false">
      <c r="A602" s="0" t="s">
        <v>258</v>
      </c>
      <c r="B602" s="52" t="n">
        <v>44494</v>
      </c>
      <c r="C602" s="0" t="n">
        <v>86771.057</v>
      </c>
      <c r="D602" s="0" t="n">
        <v>7410.748</v>
      </c>
      <c r="E602" s="0" t="n">
        <v>79360.309</v>
      </c>
      <c r="F602" s="0" t="n">
        <v>61125.928</v>
      </c>
      <c r="G602" s="0" t="n">
        <v>53259.37</v>
      </c>
      <c r="H602" s="0" t="n">
        <v>7866.558</v>
      </c>
      <c r="I602" s="0" t="n">
        <v>17386.094</v>
      </c>
      <c r="J602" s="0" t="n">
        <v>848.287</v>
      </c>
      <c r="K602" s="0" t="n">
        <v>76407.41</v>
      </c>
      <c r="L602" s="0" t="n">
        <v>66354</v>
      </c>
      <c r="M602" s="0" t="n">
        <v>66188</v>
      </c>
      <c r="N602" s="0" t="n">
        <v>69</v>
      </c>
      <c r="O602" s="54" t="n">
        <f aca="false">YEAR(B602)</f>
        <v>2021</v>
      </c>
      <c r="P602" s="54" t="n">
        <f aca="false">IF(AND(E602&gt;=14400,K602&gt;0,L602&gt;0),1,0)</f>
        <v>1</v>
      </c>
      <c r="Q602" s="53" t="n">
        <f aca="false">IF(P602=1,F602/E602*MIN(L602/K602,1)*MIN(MAX(M602/L602,0),1),0)</f>
        <v>0.667215144033776</v>
      </c>
      <c r="R602" s="55" t="n">
        <f aca="false">IF(F602&gt;0,N602/(F602/3600),0)</f>
        <v>4.06374198523416</v>
      </c>
    </row>
    <row r="603" customFormat="false" ht="15" hidden="false" customHeight="false" outlineLevel="0" collapsed="false">
      <c r="A603" s="0" t="s">
        <v>258</v>
      </c>
      <c r="B603" s="52" t="n">
        <v>44495</v>
      </c>
      <c r="C603" s="0" t="n">
        <v>99936.585</v>
      </c>
      <c r="D603" s="0" t="n">
        <v>7146.501</v>
      </c>
      <c r="E603" s="0" t="n">
        <v>92790.084</v>
      </c>
      <c r="F603" s="0" t="n">
        <v>57200.381</v>
      </c>
      <c r="G603" s="0" t="n">
        <v>47038.393</v>
      </c>
      <c r="H603" s="0" t="n">
        <v>10161.988</v>
      </c>
      <c r="I603" s="0" t="n">
        <v>10371.259</v>
      </c>
      <c r="J603" s="0" t="n">
        <v>25218.444</v>
      </c>
      <c r="K603" s="0" t="n">
        <v>71500.47625</v>
      </c>
      <c r="L603" s="0" t="n">
        <v>58561</v>
      </c>
      <c r="M603" s="0" t="n">
        <v>58412</v>
      </c>
      <c r="N603" s="0" t="n">
        <v>90</v>
      </c>
      <c r="O603" s="54" t="n">
        <f aca="false">YEAR(B603)</f>
        <v>2021</v>
      </c>
      <c r="P603" s="54" t="n">
        <f aca="false">IF(AND(E603&gt;=14400,K603&gt;0,L603&gt;0),1,0)</f>
        <v>1</v>
      </c>
      <c r="Q603" s="53" t="n">
        <f aca="false">IF(P603=1,F603/E603*MIN(L603/K603,1)*MIN(MAX(M603/L603,0),1),0)</f>
        <v>0.503605536126037</v>
      </c>
      <c r="R603" s="55" t="n">
        <f aca="false">IF(F603&gt;0,N603/(F603/3600),0)</f>
        <v>5.66429793535816</v>
      </c>
    </row>
    <row r="604" customFormat="false" ht="15" hidden="false" customHeight="false" outlineLevel="0" collapsed="false">
      <c r="A604" s="0" t="s">
        <v>258</v>
      </c>
      <c r="B604" s="52" t="n">
        <v>44496</v>
      </c>
      <c r="C604" s="0" t="n">
        <v>69872.268</v>
      </c>
      <c r="D604" s="0" t="n">
        <v>7861.733</v>
      </c>
      <c r="E604" s="0" t="n">
        <v>62010.535</v>
      </c>
      <c r="F604" s="0" t="n">
        <v>53903.644</v>
      </c>
      <c r="G604" s="0" t="n">
        <v>46085.457</v>
      </c>
      <c r="H604" s="0" t="n">
        <v>7818.187</v>
      </c>
      <c r="I604" s="0" t="n">
        <v>5089.83</v>
      </c>
      <c r="J604" s="0" t="n">
        <v>3017.061</v>
      </c>
      <c r="K604" s="0" t="n">
        <v>67379.555</v>
      </c>
      <c r="L604" s="0" t="n">
        <v>56275</v>
      </c>
      <c r="M604" s="0" t="n">
        <v>56170</v>
      </c>
      <c r="N604" s="0" t="n">
        <v>29</v>
      </c>
      <c r="O604" s="54" t="n">
        <f aca="false">YEAR(B604)</f>
        <v>2021</v>
      </c>
      <c r="P604" s="54" t="n">
        <f aca="false">IF(AND(E604&gt;=14400,K604&gt;0,L604&gt;0),1,0)</f>
        <v>1</v>
      </c>
      <c r="Q604" s="53" t="n">
        <f aca="false">IF(P604=1,F604/E604*MIN(L604/K604,1)*MIN(MAX(M604/L604,0),1),0)</f>
        <v>0.724651061307567</v>
      </c>
      <c r="R604" s="55" t="n">
        <f aca="false">IF(F604&gt;0,N604/(F604/3600),0)</f>
        <v>1.93678928274311</v>
      </c>
    </row>
    <row r="605" customFormat="false" ht="15" hidden="false" customHeight="false" outlineLevel="0" collapsed="false">
      <c r="A605" s="0" t="s">
        <v>258</v>
      </c>
      <c r="B605" s="52" t="n">
        <v>44497</v>
      </c>
      <c r="C605" s="0" t="n">
        <v>85507.086</v>
      </c>
      <c r="D605" s="0" t="n">
        <v>9743.647</v>
      </c>
      <c r="E605" s="0" t="n">
        <v>75763.439</v>
      </c>
      <c r="F605" s="0" t="n">
        <v>64511.29</v>
      </c>
      <c r="G605" s="0" t="n">
        <v>54807.43</v>
      </c>
      <c r="H605" s="0" t="n">
        <v>9703.86</v>
      </c>
      <c r="I605" s="0" t="n">
        <v>5296.453</v>
      </c>
      <c r="J605" s="0" t="n">
        <v>5955.696</v>
      </c>
      <c r="K605" s="0" t="n">
        <v>79869.031875</v>
      </c>
      <c r="L605" s="0" t="n">
        <v>68316</v>
      </c>
      <c r="M605" s="0" t="n">
        <v>68129</v>
      </c>
      <c r="N605" s="0" t="n">
        <v>49</v>
      </c>
      <c r="O605" s="54" t="n">
        <f aca="false">YEAR(B605)</f>
        <v>2021</v>
      </c>
      <c r="P605" s="54" t="n">
        <f aca="false">IF(AND(E605&gt;=14400,K605&gt;0,L605&gt;0),1,0)</f>
        <v>1</v>
      </c>
      <c r="Q605" s="53" t="n">
        <f aca="false">IF(P605=1,F605/E605*MIN(L605/K605,1)*MIN(MAX(M605/L605,0),1),0)</f>
        <v>0.726322739122995</v>
      </c>
      <c r="R605" s="55" t="n">
        <f aca="false">IF(F605&gt;0,N605/(F605/3600),0)</f>
        <v>2.73440509405408</v>
      </c>
    </row>
    <row r="606" customFormat="false" ht="15" hidden="false" customHeight="false" outlineLevel="0" collapsed="false">
      <c r="A606" s="0" t="s">
        <v>258</v>
      </c>
      <c r="B606" s="52" t="n">
        <v>44498</v>
      </c>
      <c r="C606" s="0" t="n">
        <v>86572.376</v>
      </c>
      <c r="D606" s="0" t="n">
        <v>8703.025</v>
      </c>
      <c r="E606" s="0" t="n">
        <v>77869.351</v>
      </c>
      <c r="F606" s="0" t="n">
        <v>65400.662</v>
      </c>
      <c r="G606" s="0" t="n">
        <v>54687.52</v>
      </c>
      <c r="H606" s="0" t="n">
        <v>10713.142</v>
      </c>
      <c r="I606" s="0" t="n">
        <v>10482</v>
      </c>
      <c r="J606" s="0" t="n">
        <v>1986.689</v>
      </c>
      <c r="K606" s="0" t="n">
        <v>81750.8275</v>
      </c>
      <c r="L606" s="0" t="n">
        <v>68060</v>
      </c>
      <c r="M606" s="0" t="n">
        <v>67929</v>
      </c>
      <c r="N606" s="0" t="n">
        <v>68</v>
      </c>
      <c r="O606" s="54" t="n">
        <f aca="false">YEAR(B606)</f>
        <v>2021</v>
      </c>
      <c r="P606" s="54" t="n">
        <f aca="false">IF(AND(E606&gt;=14400,K606&gt;0,L606&gt;0),1,0)</f>
        <v>1</v>
      </c>
      <c r="Q606" s="53" t="n">
        <f aca="false">IF(P606=1,F606/E606*MIN(L606/K606,1)*MIN(MAX(M606/L606,0),1),0)</f>
        <v>0.697876626710296</v>
      </c>
      <c r="R606" s="55" t="n">
        <f aca="false">IF(F606&gt;0,N606/(F606/3600),0)</f>
        <v>3.74308137737199</v>
      </c>
    </row>
    <row r="607" customFormat="false" ht="15" hidden="false" customHeight="false" outlineLevel="0" collapsed="false">
      <c r="A607" s="0" t="s">
        <v>258</v>
      </c>
      <c r="B607" s="52" t="n">
        <v>44499</v>
      </c>
      <c r="C607" s="0" t="n">
        <v>36081.628</v>
      </c>
      <c r="D607" s="0" t="n">
        <v>5677.468</v>
      </c>
      <c r="E607" s="0" t="n">
        <v>30404.16</v>
      </c>
      <c r="F607" s="0" t="n">
        <v>18688.475</v>
      </c>
      <c r="G607" s="0" t="n">
        <v>17772.182</v>
      </c>
      <c r="H607" s="0" t="n">
        <v>916.293</v>
      </c>
      <c r="I607" s="0" t="n">
        <v>442.81</v>
      </c>
      <c r="J607" s="0" t="n">
        <v>11272.875</v>
      </c>
      <c r="K607" s="0" t="n">
        <v>23360.59375</v>
      </c>
      <c r="L607" s="0" t="n">
        <v>22242</v>
      </c>
      <c r="M607" s="0" t="n">
        <v>22217</v>
      </c>
      <c r="N607" s="0" t="n">
        <v>4</v>
      </c>
      <c r="O607" s="54" t="n">
        <f aca="false">YEAR(B607)</f>
        <v>2021</v>
      </c>
      <c r="P607" s="54" t="n">
        <f aca="false">IF(AND(E607&gt;=14400,K607&gt;0,L607&gt;0),1,0)</f>
        <v>1</v>
      </c>
      <c r="Q607" s="53" t="n">
        <f aca="false">IF(P607=1,F607/E607*MIN(L607/K607,1)*MIN(MAX(M607/L607,0),1),0)</f>
        <v>0.584577899866334</v>
      </c>
      <c r="R607" s="55" t="n">
        <f aca="false">IF(F607&gt;0,N607/(F607/3600),0)</f>
        <v>0.770528360393237</v>
      </c>
    </row>
    <row r="608" customFormat="false" ht="15" hidden="false" customHeight="false" outlineLevel="0" collapsed="false">
      <c r="A608" s="0" t="s">
        <v>258</v>
      </c>
      <c r="B608" s="52" t="n">
        <v>44500</v>
      </c>
      <c r="C608" s="0" t="n">
        <v>84597.949</v>
      </c>
      <c r="D608" s="0" t="n">
        <v>23410.565</v>
      </c>
      <c r="E608" s="0" t="n">
        <v>61187.384</v>
      </c>
      <c r="F608" s="0" t="n">
        <v>8.71</v>
      </c>
      <c r="G608" s="0" t="n">
        <v>0</v>
      </c>
      <c r="H608" s="0" t="n">
        <v>8.71</v>
      </c>
      <c r="I608" s="0" t="n">
        <v>0</v>
      </c>
      <c r="J608" s="0" t="n">
        <v>61178.674</v>
      </c>
      <c r="K608" s="0" t="n">
        <v>10.8875</v>
      </c>
      <c r="L608" s="0" t="n">
        <v>0</v>
      </c>
      <c r="M608" s="0" t="n">
        <v>0</v>
      </c>
      <c r="N608" s="0" t="n">
        <v>0</v>
      </c>
      <c r="O608" s="54" t="n">
        <f aca="false">YEAR(B608)</f>
        <v>2021</v>
      </c>
      <c r="P608" s="54" t="n">
        <f aca="false">IF(AND(E608&gt;=14400,K608&gt;0,L608&gt;0),1,0)</f>
        <v>0</v>
      </c>
      <c r="Q608" s="53" t="n">
        <f aca="false">IF(P608=1,F608/E608*MIN(L608/K608,1)*MIN(MAX(M608/L608,0),1),0)</f>
        <v>0</v>
      </c>
      <c r="R608" s="55" t="n">
        <f aca="false">IF(F608&gt;0,N608/(F608/3600),0)</f>
        <v>0</v>
      </c>
    </row>
    <row r="609" customFormat="false" ht="15" hidden="false" customHeight="false" outlineLevel="0" collapsed="false">
      <c r="A609" s="0" t="s">
        <v>258</v>
      </c>
      <c r="B609" s="52" t="n">
        <v>44501</v>
      </c>
      <c r="C609" s="0" t="n">
        <v>83092.056</v>
      </c>
      <c r="D609" s="0" t="n">
        <v>9681.678</v>
      </c>
      <c r="E609" s="0" t="n">
        <v>73410.378</v>
      </c>
      <c r="F609" s="0" t="n">
        <v>58063.175</v>
      </c>
      <c r="G609" s="0" t="n">
        <v>45088.227</v>
      </c>
      <c r="H609" s="0" t="n">
        <v>12974.948</v>
      </c>
      <c r="I609" s="0" t="n">
        <v>7064.502</v>
      </c>
      <c r="J609" s="0" t="n">
        <v>8282.701</v>
      </c>
      <c r="K609" s="0" t="n">
        <v>72578.96875</v>
      </c>
      <c r="L609" s="0" t="n">
        <v>54935</v>
      </c>
      <c r="M609" s="0" t="n">
        <v>54691</v>
      </c>
      <c r="N609" s="0" t="n">
        <v>57</v>
      </c>
      <c r="O609" s="54" t="n">
        <f aca="false">YEAR(B609)</f>
        <v>2021</v>
      </c>
      <c r="P609" s="54" t="n">
        <f aca="false">IF(AND(E609&gt;=14400,K609&gt;0,L609&gt;0),1,0)</f>
        <v>1</v>
      </c>
      <c r="Q609" s="53" t="n">
        <f aca="false">IF(P609=1,F609/E609*MIN(L609/K609,1)*MIN(MAX(M609/L609,0),1),0)</f>
        <v>0.596002924818069</v>
      </c>
      <c r="R609" s="55" t="n">
        <f aca="false">IF(F609&gt;0,N609/(F609/3600),0)</f>
        <v>3.5340816274687</v>
      </c>
    </row>
    <row r="610" customFormat="false" ht="15" hidden="false" customHeight="false" outlineLevel="0" collapsed="false">
      <c r="A610" s="0" t="s">
        <v>258</v>
      </c>
      <c r="B610" s="52" t="n">
        <v>44502</v>
      </c>
      <c r="C610" s="0" t="n">
        <v>86190.089</v>
      </c>
      <c r="D610" s="0" t="n">
        <v>8773.95</v>
      </c>
      <c r="E610" s="0" t="n">
        <v>77416.139</v>
      </c>
      <c r="F610" s="0" t="n">
        <v>59934.144</v>
      </c>
      <c r="G610" s="0" t="n">
        <v>51355.832</v>
      </c>
      <c r="H610" s="0" t="n">
        <v>8578.312</v>
      </c>
      <c r="I610" s="0" t="n">
        <v>9874.201</v>
      </c>
      <c r="J610" s="0" t="n">
        <v>7607.794</v>
      </c>
      <c r="K610" s="0" t="n">
        <v>74749.8861805556</v>
      </c>
      <c r="L610" s="0" t="n">
        <v>63867</v>
      </c>
      <c r="M610" s="0" t="n">
        <v>63488</v>
      </c>
      <c r="N610" s="0" t="n">
        <v>70</v>
      </c>
      <c r="O610" s="54" t="n">
        <f aca="false">YEAR(B610)</f>
        <v>2021</v>
      </c>
      <c r="P610" s="54" t="n">
        <f aca="false">IF(AND(E610&gt;=14400,K610&gt;0,L610&gt;0),1,0)</f>
        <v>1</v>
      </c>
      <c r="Q610" s="53" t="n">
        <f aca="false">IF(P610=1,F610/E610*MIN(L610/K610,1)*MIN(MAX(M610/L610,0),1),0)</f>
        <v>0.657542622726016</v>
      </c>
      <c r="R610" s="55" t="n">
        <f aca="false">IF(F610&gt;0,N610/(F610/3600),0)</f>
        <v>4.20461498540798</v>
      </c>
    </row>
    <row r="611" customFormat="false" ht="15" hidden="false" customHeight="false" outlineLevel="0" collapsed="false">
      <c r="A611" s="0" t="s">
        <v>258</v>
      </c>
      <c r="B611" s="52" t="n">
        <v>44503</v>
      </c>
      <c r="C611" s="0" t="n">
        <v>82477.854</v>
      </c>
      <c r="D611" s="0" t="n">
        <v>8219.773</v>
      </c>
      <c r="E611" s="0" t="n">
        <v>74258.081</v>
      </c>
      <c r="F611" s="0" t="n">
        <v>60959.197</v>
      </c>
      <c r="G611" s="0" t="n">
        <v>53223.741</v>
      </c>
      <c r="H611" s="0" t="n">
        <v>7735.456</v>
      </c>
      <c r="I611" s="0" t="n">
        <v>9540.508</v>
      </c>
      <c r="J611" s="0" t="n">
        <v>3758.376</v>
      </c>
      <c r="K611" s="0" t="n">
        <v>76167.72</v>
      </c>
      <c r="L611" s="0" t="n">
        <v>65104</v>
      </c>
      <c r="M611" s="0" t="n">
        <v>64985</v>
      </c>
      <c r="N611" s="0" t="n">
        <v>64</v>
      </c>
      <c r="O611" s="54" t="n">
        <f aca="false">YEAR(B611)</f>
        <v>2021</v>
      </c>
      <c r="P611" s="54" t="n">
        <f aca="false">IF(AND(E611&gt;=14400,K611&gt;0,L611&gt;0),1,0)</f>
        <v>1</v>
      </c>
      <c r="Q611" s="53" t="n">
        <f aca="false">IF(P611=1,F611/E611*MIN(L611/K611,1)*MIN(MAX(M611/L611,0),1),0)</f>
        <v>0.700386365903764</v>
      </c>
      <c r="R611" s="55" t="n">
        <f aca="false">IF(F611&gt;0,N611/(F611/3600),0)</f>
        <v>3.77957734581051</v>
      </c>
    </row>
    <row r="612" customFormat="false" ht="15" hidden="false" customHeight="false" outlineLevel="0" collapsed="false">
      <c r="A612" s="0" t="s">
        <v>258</v>
      </c>
      <c r="B612" s="52" t="n">
        <v>44504</v>
      </c>
      <c r="C612" s="0" t="n">
        <v>79562.147</v>
      </c>
      <c r="D612" s="0" t="n">
        <v>2497.889</v>
      </c>
      <c r="E612" s="0" t="n">
        <v>77064.258</v>
      </c>
      <c r="F612" s="0" t="n">
        <v>58766.519</v>
      </c>
      <c r="G612" s="0" t="n">
        <v>42225.946</v>
      </c>
      <c r="H612" s="0" t="n">
        <v>16540.573</v>
      </c>
      <c r="I612" s="0" t="n">
        <v>18281.529</v>
      </c>
      <c r="J612" s="0" t="n">
        <v>16.21</v>
      </c>
      <c r="K612" s="0" t="n">
        <v>73422.855</v>
      </c>
      <c r="L612" s="0" t="n">
        <v>52561</v>
      </c>
      <c r="M612" s="0" t="n">
        <v>52345</v>
      </c>
      <c r="N612" s="0" t="n">
        <v>53</v>
      </c>
      <c r="O612" s="54" t="n">
        <f aca="false">YEAR(B612)</f>
        <v>2021</v>
      </c>
      <c r="P612" s="54" t="n">
        <f aca="false">IF(AND(E612&gt;=14400,K612&gt;0,L612&gt;0),1,0)</f>
        <v>1</v>
      </c>
      <c r="Q612" s="53" t="n">
        <f aca="false">IF(P612=1,F612/E612*MIN(L612/K612,1)*MIN(MAX(M612/L612,0),1),0)</f>
        <v>0.543651889072146</v>
      </c>
      <c r="R612" s="55" t="n">
        <f aca="false">IF(F612&gt;0,N612/(F612/3600),0)</f>
        <v>3.24674667219952</v>
      </c>
    </row>
    <row r="613" customFormat="false" ht="15" hidden="false" customHeight="false" outlineLevel="0" collapsed="false">
      <c r="A613" s="0" t="s">
        <v>258</v>
      </c>
      <c r="B613" s="52" t="n">
        <v>44505</v>
      </c>
      <c r="C613" s="0" t="n">
        <v>85836.46</v>
      </c>
      <c r="D613" s="0" t="n">
        <v>8051.009</v>
      </c>
      <c r="E613" s="0" t="n">
        <v>77785.451</v>
      </c>
      <c r="F613" s="0" t="n">
        <v>65729.769</v>
      </c>
      <c r="G613" s="0" t="n">
        <v>53792.472</v>
      </c>
      <c r="H613" s="0" t="n">
        <v>11937.297</v>
      </c>
      <c r="I613" s="0" t="n">
        <v>8083.871</v>
      </c>
      <c r="J613" s="0" t="n">
        <v>3971.811</v>
      </c>
      <c r="K613" s="0" t="n">
        <v>82162.21125</v>
      </c>
      <c r="L613" s="0" t="n">
        <v>66999</v>
      </c>
      <c r="M613" s="0" t="n">
        <v>66780</v>
      </c>
      <c r="N613" s="0" t="n">
        <v>57</v>
      </c>
      <c r="O613" s="54" t="n">
        <f aca="false">YEAR(B613)</f>
        <v>2021</v>
      </c>
      <c r="P613" s="54" t="n">
        <f aca="false">IF(AND(E613&gt;=14400,K613&gt;0,L613&gt;0),1,0)</f>
        <v>1</v>
      </c>
      <c r="Q613" s="53" t="n">
        <f aca="false">IF(P613=1,F613/E613*MIN(L613/K613,1)*MIN(MAX(M613/L613,0),1),0)</f>
        <v>0.686812242047681</v>
      </c>
      <c r="R613" s="55" t="n">
        <f aca="false">IF(F613&gt;0,N613/(F613/3600),0)</f>
        <v>3.12187313483484</v>
      </c>
    </row>
    <row r="614" customFormat="false" ht="15" hidden="false" customHeight="false" outlineLevel="0" collapsed="false">
      <c r="A614" s="0" t="s">
        <v>258</v>
      </c>
      <c r="B614" s="52" t="n">
        <v>44506</v>
      </c>
      <c r="C614" s="0" t="n">
        <v>44055.369</v>
      </c>
      <c r="D614" s="0" t="n">
        <v>2055.581</v>
      </c>
      <c r="E614" s="0" t="n">
        <v>41999.788</v>
      </c>
      <c r="F614" s="0" t="n">
        <v>33979.63</v>
      </c>
      <c r="G614" s="0" t="n">
        <v>31551.624</v>
      </c>
      <c r="H614" s="0" t="n">
        <v>2428.006</v>
      </c>
      <c r="I614" s="0" t="n">
        <v>5159.936</v>
      </c>
      <c r="J614" s="0" t="n">
        <v>2860.222</v>
      </c>
      <c r="K614" s="0" t="n">
        <v>42474.5375</v>
      </c>
      <c r="L614" s="0" t="n">
        <v>39320</v>
      </c>
      <c r="M614" s="0" t="n">
        <v>39208</v>
      </c>
      <c r="N614" s="0" t="n">
        <v>49</v>
      </c>
      <c r="O614" s="54" t="n">
        <f aca="false">YEAR(B614)</f>
        <v>2021</v>
      </c>
      <c r="P614" s="54" t="n">
        <f aca="false">IF(AND(E614&gt;=14400,K614&gt;0,L614&gt;0),1,0)</f>
        <v>1</v>
      </c>
      <c r="Q614" s="53" t="n">
        <f aca="false">IF(P614=1,F614/E614*MIN(L614/K614,1)*MIN(MAX(M614/L614,0),1),0)</f>
        <v>0.746822817296125</v>
      </c>
      <c r="R614" s="55" t="n">
        <f aca="false">IF(F614&gt;0,N614/(F614/3600),0)</f>
        <v>5.19134552083116</v>
      </c>
    </row>
    <row r="615" customFormat="false" ht="15" hidden="false" customHeight="false" outlineLevel="0" collapsed="false">
      <c r="A615" s="0" t="s">
        <v>258</v>
      </c>
      <c r="B615" s="52" t="n">
        <v>44507</v>
      </c>
      <c r="C615" s="0" t="n">
        <v>63954.498</v>
      </c>
      <c r="D615" s="0" t="n">
        <v>7424.784</v>
      </c>
      <c r="E615" s="0" t="n">
        <v>56529.714</v>
      </c>
      <c r="F615" s="0" t="n">
        <v>49663.365</v>
      </c>
      <c r="G615" s="0" t="n">
        <v>39110.344</v>
      </c>
      <c r="H615" s="0" t="n">
        <v>10553.021</v>
      </c>
      <c r="I615" s="0" t="n">
        <v>5544.736</v>
      </c>
      <c r="J615" s="0" t="n">
        <v>1321.613</v>
      </c>
      <c r="K615" s="0" t="n">
        <v>62079.20625</v>
      </c>
      <c r="L615" s="0" t="n">
        <v>47640</v>
      </c>
      <c r="M615" s="0" t="n">
        <v>47550</v>
      </c>
      <c r="N615" s="0" t="n">
        <v>27</v>
      </c>
      <c r="O615" s="54" t="n">
        <f aca="false">YEAR(B615)</f>
        <v>2021</v>
      </c>
      <c r="P615" s="54" t="n">
        <f aca="false">IF(AND(E615&gt;=14400,K615&gt;0,L615&gt;0),1,0)</f>
        <v>1</v>
      </c>
      <c r="Q615" s="53" t="n">
        <f aca="false">IF(P615=1,F615/E615*MIN(L615/K615,1)*MIN(MAX(M615/L615,0),1),0)</f>
        <v>0.672920439682394</v>
      </c>
      <c r="R615" s="55" t="n">
        <f aca="false">IF(F615&gt;0,N615/(F615/3600),0)</f>
        <v>1.95717708616804</v>
      </c>
    </row>
    <row r="616" customFormat="false" ht="15" hidden="false" customHeight="false" outlineLevel="0" collapsed="false">
      <c r="A616" s="0" t="s">
        <v>258</v>
      </c>
      <c r="B616" s="52" t="n">
        <v>44508</v>
      </c>
      <c r="C616" s="0" t="n">
        <v>86414.149</v>
      </c>
      <c r="D616" s="0" t="n">
        <v>7508.647</v>
      </c>
      <c r="E616" s="0" t="n">
        <v>78905.502</v>
      </c>
      <c r="F616" s="0" t="n">
        <v>69861.947</v>
      </c>
      <c r="G616" s="0" t="n">
        <v>55341.854</v>
      </c>
      <c r="H616" s="0" t="n">
        <v>14520.093</v>
      </c>
      <c r="I616" s="0" t="n">
        <v>7125.067</v>
      </c>
      <c r="J616" s="0" t="n">
        <v>1918.488</v>
      </c>
      <c r="K616" s="0" t="n">
        <v>87255.09625</v>
      </c>
      <c r="L616" s="0" t="n">
        <v>68977</v>
      </c>
      <c r="M616" s="0" t="n">
        <v>68846</v>
      </c>
      <c r="N616" s="0" t="n">
        <v>60</v>
      </c>
      <c r="O616" s="54" t="n">
        <f aca="false">YEAR(B616)</f>
        <v>2021</v>
      </c>
      <c r="P616" s="54" t="n">
        <f aca="false">IF(AND(E616&gt;=14400,K616&gt;0,L616&gt;0),1,0)</f>
        <v>1</v>
      </c>
      <c r="Q616" s="53" t="n">
        <f aca="false">IF(P616=1,F616/E616*MIN(L616/K616,1)*MIN(MAX(M616/L616,0),1),0)</f>
        <v>0.698588300936983</v>
      </c>
      <c r="R616" s="55" t="n">
        <f aca="false">IF(F616&gt;0,N616/(F616/3600),0)</f>
        <v>3.09181191300036</v>
      </c>
    </row>
    <row r="617" customFormat="false" ht="15" hidden="false" customHeight="false" outlineLevel="0" collapsed="false">
      <c r="A617" s="0" t="s">
        <v>258</v>
      </c>
      <c r="B617" s="52" t="n">
        <v>44509</v>
      </c>
      <c r="C617" s="0" t="n">
        <v>86579.656</v>
      </c>
      <c r="D617" s="0" t="n">
        <v>11305.078</v>
      </c>
      <c r="E617" s="0" t="n">
        <v>75274.578</v>
      </c>
      <c r="F617" s="0" t="n">
        <v>64146.052</v>
      </c>
      <c r="G617" s="0" t="n">
        <v>58470.835</v>
      </c>
      <c r="H617" s="0" t="n">
        <v>5675.217</v>
      </c>
      <c r="I617" s="0" t="n">
        <v>9778.114</v>
      </c>
      <c r="J617" s="0" t="n">
        <v>1350.412</v>
      </c>
      <c r="K617" s="0" t="n">
        <v>80025.840625</v>
      </c>
      <c r="L617" s="0" t="n">
        <v>71565</v>
      </c>
      <c r="M617" s="0" t="n">
        <v>71363</v>
      </c>
      <c r="N617" s="0" t="n">
        <v>80</v>
      </c>
      <c r="O617" s="54" t="n">
        <f aca="false">YEAR(B617)</f>
        <v>2021</v>
      </c>
      <c r="P617" s="54" t="n">
        <f aca="false">IF(AND(E617&gt;=14400,K617&gt;0,L617&gt;0),1,0)</f>
        <v>1</v>
      </c>
      <c r="Q617" s="53" t="n">
        <f aca="false">IF(P617=1,F617/E617*MIN(L617/K617,1)*MIN(MAX(M617/L617,0),1),0)</f>
        <v>0.759914019061842</v>
      </c>
      <c r="R617" s="55" t="n">
        <f aca="false">IF(F617&gt;0,N617/(F617/3600),0)</f>
        <v>4.48975410053295</v>
      </c>
    </row>
    <row r="618" customFormat="false" ht="15" hidden="false" customHeight="false" outlineLevel="0" collapsed="false">
      <c r="A618" s="0" t="s">
        <v>258</v>
      </c>
      <c r="B618" s="52" t="n">
        <v>44510</v>
      </c>
      <c r="C618" s="0" t="n">
        <v>86092.517</v>
      </c>
      <c r="D618" s="0" t="n">
        <v>3750.667</v>
      </c>
      <c r="E618" s="0" t="n">
        <v>82341.85</v>
      </c>
      <c r="F618" s="0" t="n">
        <v>66567.893</v>
      </c>
      <c r="G618" s="0" t="n">
        <v>52051.925</v>
      </c>
      <c r="H618" s="0" t="n">
        <v>14515.968</v>
      </c>
      <c r="I618" s="0" t="n">
        <v>14354.408</v>
      </c>
      <c r="J618" s="0" t="n">
        <v>1419.549</v>
      </c>
      <c r="K618" s="0" t="n">
        <v>82347.0225</v>
      </c>
      <c r="L618" s="0" t="n">
        <v>63623</v>
      </c>
      <c r="M618" s="0" t="n">
        <v>63458</v>
      </c>
      <c r="N618" s="0" t="n">
        <v>139</v>
      </c>
      <c r="O618" s="54" t="n">
        <f aca="false">YEAR(B618)</f>
        <v>2021</v>
      </c>
      <c r="P618" s="54" t="n">
        <f aca="false">IF(AND(E618&gt;=14400,K618&gt;0,L618&gt;0),1,0)</f>
        <v>1</v>
      </c>
      <c r="Q618" s="53" t="n">
        <f aca="false">IF(P618=1,F618/E618*MIN(L618/K618,1)*MIN(MAX(M618/L618,0),1),0)</f>
        <v>0.622992287886011</v>
      </c>
      <c r="R618" s="55" t="n">
        <f aca="false">IF(F618&gt;0,N618/(F618/3600),0)</f>
        <v>7.51713742839961</v>
      </c>
    </row>
    <row r="619" customFormat="false" ht="15" hidden="false" customHeight="false" outlineLevel="0" collapsed="false">
      <c r="A619" s="0" t="s">
        <v>258</v>
      </c>
      <c r="B619" s="52" t="n">
        <v>44511</v>
      </c>
      <c r="C619" s="0" t="n">
        <v>82312.769</v>
      </c>
      <c r="D619" s="0" t="n">
        <v>6298.398</v>
      </c>
      <c r="E619" s="0" t="n">
        <v>76014.371</v>
      </c>
      <c r="F619" s="0" t="n">
        <v>42331.802</v>
      </c>
      <c r="G619" s="0" t="n">
        <v>21376.23</v>
      </c>
      <c r="H619" s="0" t="n">
        <v>20955.572</v>
      </c>
      <c r="I619" s="0" t="n">
        <v>27180.913</v>
      </c>
      <c r="J619" s="0" t="n">
        <v>6501.656</v>
      </c>
      <c r="K619" s="0" t="n">
        <v>52914.7525</v>
      </c>
      <c r="L619" s="0" t="n">
        <v>26458</v>
      </c>
      <c r="M619" s="0" t="n">
        <v>26263</v>
      </c>
      <c r="N619" s="0" t="n">
        <v>77</v>
      </c>
      <c r="O619" s="54" t="n">
        <f aca="false">YEAR(B619)</f>
        <v>2021</v>
      </c>
      <c r="P619" s="54" t="n">
        <f aca="false">IF(AND(E619&gt;=14400,K619&gt;0,L619&gt;0),1,0)</f>
        <v>1</v>
      </c>
      <c r="Q619" s="53" t="n">
        <f aca="false">IF(P619=1,F619/E619*MIN(L619/K619,1)*MIN(MAX(M619/L619,0),1),0)</f>
        <v>0.27640036645176</v>
      </c>
      <c r="R619" s="55" t="n">
        <f aca="false">IF(F619&gt;0,N619/(F619/3600),0)</f>
        <v>6.54826836806994</v>
      </c>
    </row>
    <row r="620" customFormat="false" ht="15" hidden="false" customHeight="false" outlineLevel="0" collapsed="false">
      <c r="A620" s="0" t="s">
        <v>258</v>
      </c>
      <c r="B620" s="52" t="n">
        <v>44512</v>
      </c>
      <c r="C620" s="0" t="n">
        <v>83831.357</v>
      </c>
      <c r="D620" s="0" t="n">
        <v>3580</v>
      </c>
      <c r="E620" s="0" t="n">
        <v>80251.357</v>
      </c>
      <c r="F620" s="0" t="n">
        <v>61422.371</v>
      </c>
      <c r="G620" s="0" t="n">
        <v>48834.761</v>
      </c>
      <c r="H620" s="0" t="n">
        <v>12587.61</v>
      </c>
      <c r="I620" s="0" t="n">
        <v>17055.997</v>
      </c>
      <c r="J620" s="0" t="n">
        <v>1772.989</v>
      </c>
      <c r="K620" s="0" t="n">
        <v>76777.96375</v>
      </c>
      <c r="L620" s="0" t="n">
        <v>59554</v>
      </c>
      <c r="M620" s="0" t="n">
        <v>59344</v>
      </c>
      <c r="N620" s="0" t="n">
        <v>114</v>
      </c>
      <c r="O620" s="54" t="n">
        <f aca="false">YEAR(B620)</f>
        <v>2021</v>
      </c>
      <c r="P620" s="54" t="n">
        <f aca="false">IF(AND(E620&gt;=14400,K620&gt;0,L620&gt;0),1,0)</f>
        <v>1</v>
      </c>
      <c r="Q620" s="53" t="n">
        <f aca="false">IF(P620=1,F620/E620*MIN(L620/K620,1)*MIN(MAX(M620/L620,0),1),0)</f>
        <v>0.591581273821949</v>
      </c>
      <c r="R620" s="55" t="n">
        <f aca="false">IF(F620&gt;0,N620/(F620/3600),0)</f>
        <v>6.68160465508568</v>
      </c>
    </row>
    <row r="621" customFormat="false" ht="15" hidden="false" customHeight="false" outlineLevel="0" collapsed="false">
      <c r="A621" s="0" t="s">
        <v>258</v>
      </c>
      <c r="B621" s="52" t="n">
        <v>44513</v>
      </c>
      <c r="C621" s="0" t="n">
        <v>43263.661</v>
      </c>
      <c r="D621" s="0" t="n">
        <v>10443.787</v>
      </c>
      <c r="E621" s="0" t="n">
        <v>32819.874</v>
      </c>
      <c r="F621" s="0" t="n">
        <v>12804.953</v>
      </c>
      <c r="G621" s="0" t="n">
        <v>10133.554</v>
      </c>
      <c r="H621" s="0" t="n">
        <v>2671.399</v>
      </c>
      <c r="I621" s="0" t="n">
        <v>4528.751</v>
      </c>
      <c r="J621" s="0" t="n">
        <v>15486.17</v>
      </c>
      <c r="K621" s="0" t="n">
        <v>16006.19125</v>
      </c>
      <c r="L621" s="0" t="n">
        <v>12571</v>
      </c>
      <c r="M621" s="0" t="n">
        <v>12479</v>
      </c>
      <c r="N621" s="0" t="n">
        <v>29</v>
      </c>
      <c r="O621" s="54" t="n">
        <f aca="false">YEAR(B621)</f>
        <v>2021</v>
      </c>
      <c r="P621" s="54" t="n">
        <f aca="false">IF(AND(E621&gt;=14400,K621&gt;0,L621&gt;0),1,0)</f>
        <v>1</v>
      </c>
      <c r="Q621" s="53" t="n">
        <f aca="false">IF(P621=1,F621/E621*MIN(L621/K621,1)*MIN(MAX(M621/L621,0),1),0)</f>
        <v>0.304181545608615</v>
      </c>
      <c r="R621" s="55" t="n">
        <f aca="false">IF(F621&gt;0,N621/(F621/3600),0)</f>
        <v>8.15309513435934</v>
      </c>
    </row>
    <row r="622" customFormat="false" ht="15" hidden="false" customHeight="false" outlineLevel="0" collapsed="false">
      <c r="A622" s="0" t="s">
        <v>258</v>
      </c>
      <c r="B622" s="52" t="n">
        <v>44514</v>
      </c>
      <c r="C622" s="0" t="n">
        <v>72930.295</v>
      </c>
      <c r="D622" s="0" t="n">
        <v>18859.977</v>
      </c>
      <c r="E622" s="0" t="n">
        <v>54070.318</v>
      </c>
      <c r="F622" s="0" t="n">
        <v>40125.648</v>
      </c>
      <c r="G622" s="0" t="n">
        <v>32928.978</v>
      </c>
      <c r="H622" s="0" t="n">
        <v>7196.67</v>
      </c>
      <c r="I622" s="0" t="n">
        <v>3900.479</v>
      </c>
      <c r="J622" s="0" t="n">
        <v>10044.191</v>
      </c>
      <c r="K622" s="0" t="n">
        <v>50157.06</v>
      </c>
      <c r="L622" s="0" t="n">
        <v>39851</v>
      </c>
      <c r="M622" s="0" t="n">
        <v>39536</v>
      </c>
      <c r="N622" s="0" t="n">
        <v>41</v>
      </c>
      <c r="O622" s="54" t="n">
        <f aca="false">YEAR(B622)</f>
        <v>2021</v>
      </c>
      <c r="P622" s="54" t="n">
        <f aca="false">IF(AND(E622&gt;=14400,K622&gt;0,L622&gt;0),1,0)</f>
        <v>1</v>
      </c>
      <c r="Q622" s="53" t="n">
        <f aca="false">IF(P622=1,F622/E622*MIN(L622/K622,1)*MIN(MAX(M622/L622,0),1),0)</f>
        <v>0.584956796444216</v>
      </c>
      <c r="R622" s="55" t="n">
        <f aca="false">IF(F622&gt;0,N622/(F622/3600),0)</f>
        <v>3.67844526772502</v>
      </c>
    </row>
    <row r="623" customFormat="false" ht="15" hidden="false" customHeight="false" outlineLevel="0" collapsed="false">
      <c r="A623" s="0" t="s">
        <v>258</v>
      </c>
      <c r="B623" s="52" t="n">
        <v>44515</v>
      </c>
      <c r="C623" s="0" t="n">
        <v>86276.723</v>
      </c>
      <c r="D623" s="0" t="n">
        <v>8469.438</v>
      </c>
      <c r="E623" s="0" t="n">
        <v>77807.285</v>
      </c>
      <c r="F623" s="0" t="n">
        <v>64327.669</v>
      </c>
      <c r="G623" s="0" t="n">
        <v>54337.345</v>
      </c>
      <c r="H623" s="0" t="n">
        <v>9990.324</v>
      </c>
      <c r="I623" s="0" t="n">
        <v>9708.708</v>
      </c>
      <c r="J623" s="0" t="n">
        <v>3770.908</v>
      </c>
      <c r="K623" s="0" t="n">
        <v>80107.8896875</v>
      </c>
      <c r="L623" s="0" t="n">
        <v>67634</v>
      </c>
      <c r="M623" s="0" t="n">
        <v>67509</v>
      </c>
      <c r="N623" s="0" t="n">
        <v>82</v>
      </c>
      <c r="O623" s="54" t="n">
        <f aca="false">YEAR(B623)</f>
        <v>2021</v>
      </c>
      <c r="P623" s="54" t="n">
        <f aca="false">IF(AND(E623&gt;=14400,K623&gt;0,L623&gt;0),1,0)</f>
        <v>1</v>
      </c>
      <c r="Q623" s="53" t="n">
        <f aca="false">IF(P623=1,F623/E623*MIN(L623/K623,1)*MIN(MAX(M623/L623,0),1),0)</f>
        <v>0.696729079102432</v>
      </c>
      <c r="R623" s="55" t="n">
        <f aca="false">IF(F623&gt;0,N623/(F623/3600),0)</f>
        <v>4.58900508271177</v>
      </c>
    </row>
    <row r="624" customFormat="false" ht="15" hidden="false" customHeight="false" outlineLevel="0" collapsed="false">
      <c r="A624" s="0" t="s">
        <v>258</v>
      </c>
      <c r="B624" s="52" t="n">
        <v>44516</v>
      </c>
      <c r="C624" s="0" t="n">
        <v>84123.93</v>
      </c>
      <c r="D624" s="0" t="n">
        <v>7677.741</v>
      </c>
      <c r="E624" s="0" t="n">
        <v>76446.189</v>
      </c>
      <c r="F624" s="0" t="n">
        <v>52275.856</v>
      </c>
      <c r="G624" s="0" t="n">
        <v>43937.886</v>
      </c>
      <c r="H624" s="0" t="n">
        <v>8337.97</v>
      </c>
      <c r="I624" s="0" t="n">
        <v>21780.832</v>
      </c>
      <c r="J624" s="0" t="n">
        <v>2389.501</v>
      </c>
      <c r="K624" s="0" t="n">
        <v>65271.229375</v>
      </c>
      <c r="L624" s="0" t="n">
        <v>53369</v>
      </c>
      <c r="M624" s="0" t="n">
        <v>53197</v>
      </c>
      <c r="N624" s="0" t="n">
        <v>108</v>
      </c>
      <c r="O624" s="54" t="n">
        <f aca="false">YEAR(B624)</f>
        <v>2021</v>
      </c>
      <c r="P624" s="54" t="n">
        <f aca="false">IF(AND(E624&gt;=14400,K624&gt;0,L624&gt;0),1,0)</f>
        <v>1</v>
      </c>
      <c r="Q624" s="53" t="n">
        <f aca="false">IF(P624=1,F624/E624*MIN(L624/K624,1)*MIN(MAX(M624/L624,0),1),0)</f>
        <v>0.557327742559127</v>
      </c>
      <c r="R624" s="55" t="n">
        <f aca="false">IF(F624&gt;0,N624/(F624/3600),0)</f>
        <v>7.43746788192239</v>
      </c>
    </row>
    <row r="625" customFormat="false" ht="15" hidden="false" customHeight="false" outlineLevel="0" collapsed="false">
      <c r="A625" s="0" t="s">
        <v>258</v>
      </c>
      <c r="B625" s="52" t="n">
        <v>44517</v>
      </c>
      <c r="C625" s="0" t="n">
        <v>84943.661</v>
      </c>
      <c r="D625" s="0" t="n">
        <v>2767.949</v>
      </c>
      <c r="E625" s="0" t="n">
        <v>82175.712</v>
      </c>
      <c r="F625" s="0" t="n">
        <v>74757.503</v>
      </c>
      <c r="G625" s="0" t="n">
        <v>58412.098</v>
      </c>
      <c r="H625" s="0" t="n">
        <v>16345.405</v>
      </c>
      <c r="I625" s="0" t="n">
        <v>6576.949</v>
      </c>
      <c r="J625" s="0" t="n">
        <v>841.26</v>
      </c>
      <c r="K625" s="0" t="n">
        <v>93446.87875</v>
      </c>
      <c r="L625" s="0" t="n">
        <v>71545</v>
      </c>
      <c r="M625" s="0" t="n">
        <v>71400</v>
      </c>
      <c r="N625" s="0" t="n">
        <v>74</v>
      </c>
      <c r="O625" s="54" t="n">
        <f aca="false">YEAR(B625)</f>
        <v>2021</v>
      </c>
      <c r="P625" s="54" t="n">
        <f aca="false">IF(AND(E625&gt;=14400,K625&gt;0,L625&gt;0),1,0)</f>
        <v>1</v>
      </c>
      <c r="Q625" s="53" t="n">
        <f aca="false">IF(P625=1,F625/E625*MIN(L625/K625,1)*MIN(MAX(M625/L625,0),1),0)</f>
        <v>0.695095894027666</v>
      </c>
      <c r="R625" s="55" t="n">
        <f aca="false">IF(F625&gt;0,N625/(F625/3600),0)</f>
        <v>3.56352191164009</v>
      </c>
    </row>
    <row r="626" customFormat="false" ht="15" hidden="false" customHeight="false" outlineLevel="0" collapsed="false">
      <c r="A626" s="0" t="s">
        <v>258</v>
      </c>
      <c r="B626" s="52" t="n">
        <v>44518</v>
      </c>
      <c r="C626" s="0" t="n">
        <v>86466.535</v>
      </c>
      <c r="D626" s="0" t="n">
        <v>8516.523</v>
      </c>
      <c r="E626" s="0" t="n">
        <v>77950.012</v>
      </c>
      <c r="F626" s="0" t="n">
        <v>65653.139</v>
      </c>
      <c r="G626" s="0" t="n">
        <v>56150.005</v>
      </c>
      <c r="H626" s="0" t="n">
        <v>9503.134</v>
      </c>
      <c r="I626" s="0" t="n">
        <v>9425.603</v>
      </c>
      <c r="J626" s="0" t="n">
        <v>2871.27</v>
      </c>
      <c r="K626" s="0" t="n">
        <v>81584.151875</v>
      </c>
      <c r="L626" s="0" t="n">
        <v>69844</v>
      </c>
      <c r="M626" s="0" t="n">
        <v>69656</v>
      </c>
      <c r="N626" s="0" t="n">
        <v>82</v>
      </c>
      <c r="O626" s="54" t="n">
        <f aca="false">YEAR(B626)</f>
        <v>2021</v>
      </c>
      <c r="P626" s="54" t="n">
        <f aca="false">IF(AND(E626&gt;=14400,K626&gt;0,L626&gt;0),1,0)</f>
        <v>1</v>
      </c>
      <c r="Q626" s="53" t="n">
        <f aca="false">IF(P626=1,F626/E626*MIN(L626/K626,1)*MIN(MAX(M626/L626,0),1),0)</f>
        <v>0.719104551078824</v>
      </c>
      <c r="R626" s="55" t="n">
        <f aca="false">IF(F626&gt;0,N626/(F626/3600),0)</f>
        <v>4.49635774460076</v>
      </c>
    </row>
    <row r="627" customFormat="false" ht="15" hidden="false" customHeight="false" outlineLevel="0" collapsed="false">
      <c r="A627" s="0" t="s">
        <v>258</v>
      </c>
      <c r="B627" s="52" t="n">
        <v>44519</v>
      </c>
      <c r="C627" s="0" t="n">
        <v>86280.911</v>
      </c>
      <c r="D627" s="0" t="n">
        <v>9540.771</v>
      </c>
      <c r="E627" s="0" t="n">
        <v>76740.14</v>
      </c>
      <c r="F627" s="0" t="n">
        <v>68182.687</v>
      </c>
      <c r="G627" s="0" t="n">
        <v>55141.091</v>
      </c>
      <c r="H627" s="0" t="n">
        <v>13041.596</v>
      </c>
      <c r="I627" s="0" t="n">
        <v>6160.114</v>
      </c>
      <c r="J627" s="0" t="n">
        <v>2397.339</v>
      </c>
      <c r="K627" s="0" t="n">
        <v>85228.35875</v>
      </c>
      <c r="L627" s="0" t="n">
        <v>68766</v>
      </c>
      <c r="M627" s="0" t="n">
        <v>68552</v>
      </c>
      <c r="N627" s="0" t="n">
        <v>73</v>
      </c>
      <c r="O627" s="54" t="n">
        <f aca="false">YEAR(B627)</f>
        <v>2021</v>
      </c>
      <c r="P627" s="54" t="n">
        <f aca="false">IF(AND(E627&gt;=14400,K627&gt;0,L627&gt;0),1,0)</f>
        <v>1</v>
      </c>
      <c r="Q627" s="53" t="n">
        <f aca="false">IF(P627=1,F627/E627*MIN(L627/K627,1)*MIN(MAX(M627/L627,0),1),0)</f>
        <v>0.7146403433718</v>
      </c>
      <c r="R627" s="55" t="n">
        <f aca="false">IF(F627&gt;0,N627/(F627/3600),0)</f>
        <v>3.85435088529145</v>
      </c>
    </row>
    <row r="628" customFormat="false" ht="15" hidden="false" customHeight="false" outlineLevel="0" collapsed="false">
      <c r="A628" s="0" t="s">
        <v>258</v>
      </c>
      <c r="B628" s="52" t="n">
        <v>44520</v>
      </c>
      <c r="C628" s="0" t="n">
        <v>48491.708</v>
      </c>
      <c r="D628" s="0" t="n">
        <v>6110.318</v>
      </c>
      <c r="E628" s="0" t="n">
        <v>42381.39</v>
      </c>
      <c r="F628" s="0" t="n">
        <v>24152.587</v>
      </c>
      <c r="G628" s="0" t="n">
        <v>22536.927</v>
      </c>
      <c r="H628" s="0" t="n">
        <v>1615.66</v>
      </c>
      <c r="I628" s="0" t="n">
        <v>3279.573</v>
      </c>
      <c r="J628" s="0" t="n">
        <v>14949.23</v>
      </c>
      <c r="K628" s="0" t="n">
        <v>30190.73375</v>
      </c>
      <c r="L628" s="0" t="n">
        <v>28055</v>
      </c>
      <c r="M628" s="0" t="n">
        <v>27985</v>
      </c>
      <c r="N628" s="0" t="n">
        <v>34</v>
      </c>
      <c r="O628" s="54" t="n">
        <f aca="false">YEAR(B628)</f>
        <v>2021</v>
      </c>
      <c r="P628" s="54" t="n">
        <f aca="false">IF(AND(E628&gt;=14400,K628&gt;0,L628&gt;0),1,0)</f>
        <v>1</v>
      </c>
      <c r="Q628" s="53" t="n">
        <f aca="false">IF(P628=1,F628/E628*MIN(L628/K628,1)*MIN(MAX(M628/L628,0),1),0)</f>
        <v>0.528250725141389</v>
      </c>
      <c r="R628" s="55" t="n">
        <f aca="false">IF(F628&gt;0,N628/(F628/3600),0)</f>
        <v>5.0677801098491</v>
      </c>
    </row>
    <row r="629" customFormat="false" ht="15" hidden="false" customHeight="false" outlineLevel="0" collapsed="false">
      <c r="A629" s="0" t="s">
        <v>258</v>
      </c>
      <c r="B629" s="52" t="n">
        <v>44521</v>
      </c>
      <c r="C629" s="0" t="n">
        <v>57763.058</v>
      </c>
      <c r="D629" s="0" t="n">
        <v>3476.918</v>
      </c>
      <c r="E629" s="0" t="n">
        <v>54286.14</v>
      </c>
      <c r="F629" s="0" t="n">
        <v>47947.224</v>
      </c>
      <c r="G629" s="0" t="n">
        <v>35241.943</v>
      </c>
      <c r="H629" s="0" t="n">
        <v>12705.281</v>
      </c>
      <c r="I629" s="0" t="n">
        <v>5338.425</v>
      </c>
      <c r="J629" s="0" t="n">
        <v>1000.491</v>
      </c>
      <c r="K629" s="0" t="n">
        <v>59573.17125</v>
      </c>
      <c r="L629" s="0" t="n">
        <v>42727</v>
      </c>
      <c r="M629" s="0" t="n">
        <v>42508</v>
      </c>
      <c r="N629" s="0" t="n">
        <v>41</v>
      </c>
      <c r="O629" s="54" t="n">
        <f aca="false">YEAR(B629)</f>
        <v>2021</v>
      </c>
      <c r="P629" s="54" t="n">
        <f aca="false">IF(AND(E629&gt;=14400,K629&gt;0,L629&gt;0),1,0)</f>
        <v>1</v>
      </c>
      <c r="Q629" s="53" t="n">
        <f aca="false">IF(P629=1,F629/E629*MIN(L629/K629,1)*MIN(MAX(M629/L629,0),1),0)</f>
        <v>0.630223303671132</v>
      </c>
      <c r="R629" s="55" t="n">
        <f aca="false">IF(F629&gt;0,N629/(F629/3600),0)</f>
        <v>3.07838468396001</v>
      </c>
    </row>
    <row r="630" customFormat="false" ht="15" hidden="false" customHeight="false" outlineLevel="0" collapsed="false">
      <c r="A630" s="0" t="s">
        <v>258</v>
      </c>
      <c r="B630" s="52" t="n">
        <v>44522</v>
      </c>
      <c r="C630" s="0" t="n">
        <v>86528.908</v>
      </c>
      <c r="D630" s="0" t="n">
        <v>7839.779</v>
      </c>
      <c r="E630" s="0" t="n">
        <v>78689.129</v>
      </c>
      <c r="F630" s="0" t="n">
        <v>58530.243</v>
      </c>
      <c r="G630" s="0" t="n">
        <v>51161.02</v>
      </c>
      <c r="H630" s="0" t="n">
        <v>7369.223</v>
      </c>
      <c r="I630" s="0" t="n">
        <v>9032.086</v>
      </c>
      <c r="J630" s="0" t="n">
        <v>11126.8</v>
      </c>
      <c r="K630" s="0" t="n">
        <v>73019.098125</v>
      </c>
      <c r="L630" s="0" t="n">
        <v>63672</v>
      </c>
      <c r="M630" s="0" t="n">
        <v>63476</v>
      </c>
      <c r="N630" s="0" t="n">
        <v>65</v>
      </c>
      <c r="O630" s="54" t="n">
        <f aca="false">YEAR(B630)</f>
        <v>2021</v>
      </c>
      <c r="P630" s="54" t="n">
        <f aca="false">IF(AND(E630&gt;=14400,K630&gt;0,L630&gt;0),1,0)</f>
        <v>1</v>
      </c>
      <c r="Q630" s="53" t="n">
        <f aca="false">IF(P630=1,F630/E630*MIN(L630/K630,1)*MIN(MAX(M630/L630,0),1),0)</f>
        <v>0.646604430250119</v>
      </c>
      <c r="R630" s="55" t="n">
        <f aca="false">IF(F630&gt;0,N630/(F630/3600),0)</f>
        <v>3.99793317106167</v>
      </c>
    </row>
    <row r="631" customFormat="false" ht="15" hidden="false" customHeight="false" outlineLevel="0" collapsed="false">
      <c r="A631" s="0" t="s">
        <v>258</v>
      </c>
      <c r="B631" s="52" t="n">
        <v>44523</v>
      </c>
      <c r="C631" s="0" t="n">
        <v>91171.479</v>
      </c>
      <c r="D631" s="0" t="n">
        <v>7068.701</v>
      </c>
      <c r="E631" s="0" t="n">
        <v>84102.778</v>
      </c>
      <c r="F631" s="0" t="n">
        <v>56459.89</v>
      </c>
      <c r="G631" s="0" t="n">
        <v>44933.38</v>
      </c>
      <c r="H631" s="0" t="n">
        <v>11526.51</v>
      </c>
      <c r="I631" s="0" t="n">
        <v>14789.788</v>
      </c>
      <c r="J631" s="0" t="n">
        <v>12853.1</v>
      </c>
      <c r="K631" s="0" t="n">
        <v>70410.671875</v>
      </c>
      <c r="L631" s="0" t="n">
        <v>55860</v>
      </c>
      <c r="M631" s="0" t="n">
        <v>55650</v>
      </c>
      <c r="N631" s="0" t="n">
        <v>99</v>
      </c>
      <c r="O631" s="54" t="n">
        <f aca="false">YEAR(B631)</f>
        <v>2021</v>
      </c>
      <c r="P631" s="54" t="n">
        <f aca="false">IF(AND(E631&gt;=14400,K631&gt;0,L631&gt;0),1,0)</f>
        <v>1</v>
      </c>
      <c r="Q631" s="53" t="n">
        <f aca="false">IF(P631=1,F631/E631*MIN(L631/K631,1)*MIN(MAX(M631/L631,0),1),0)</f>
        <v>0.530586708739668</v>
      </c>
      <c r="R631" s="55" t="n">
        <f aca="false">IF(F631&gt;0,N631/(F631/3600),0)</f>
        <v>6.31244587972098</v>
      </c>
    </row>
    <row r="632" customFormat="false" ht="15" hidden="false" customHeight="false" outlineLevel="0" collapsed="false">
      <c r="A632" s="0" t="s">
        <v>258</v>
      </c>
      <c r="B632" s="52" t="n">
        <v>44524</v>
      </c>
      <c r="C632" s="0" t="n">
        <v>78651.06</v>
      </c>
      <c r="D632" s="0" t="n">
        <v>4746.59</v>
      </c>
      <c r="E632" s="0" t="n">
        <v>73904.47</v>
      </c>
      <c r="F632" s="0" t="n">
        <v>47577.291</v>
      </c>
      <c r="G632" s="0" t="n">
        <v>35291.886</v>
      </c>
      <c r="H632" s="0" t="n">
        <v>12285.405</v>
      </c>
      <c r="I632" s="0" t="n">
        <v>8107.891</v>
      </c>
      <c r="J632" s="0" t="n">
        <v>18219.288</v>
      </c>
      <c r="K632" s="0" t="n">
        <v>59306.720625</v>
      </c>
      <c r="L632" s="0" t="n">
        <v>42726</v>
      </c>
      <c r="M632" s="0" t="n">
        <v>42567</v>
      </c>
      <c r="N632" s="0" t="n">
        <v>54</v>
      </c>
      <c r="O632" s="54" t="n">
        <f aca="false">YEAR(B632)</f>
        <v>2021</v>
      </c>
      <c r="P632" s="54" t="n">
        <f aca="false">IF(AND(E632&gt;=14400,K632&gt;0,L632&gt;0),1,0)</f>
        <v>1</v>
      </c>
      <c r="Q632" s="53" t="n">
        <f aca="false">IF(P632=1,F632/E632*MIN(L632/K632,1)*MIN(MAX(M632/L632,0),1),0)</f>
        <v>0.462059747475256</v>
      </c>
      <c r="R632" s="55" t="n">
        <f aca="false">IF(F632&gt;0,N632/(F632/3600),0)</f>
        <v>4.08598295350612</v>
      </c>
    </row>
    <row r="633" customFormat="false" ht="15" hidden="false" customHeight="false" outlineLevel="0" collapsed="false">
      <c r="A633" s="0" t="s">
        <v>258</v>
      </c>
      <c r="B633" s="52" t="n">
        <v>44525</v>
      </c>
      <c r="C633" s="0" t="n">
        <v>87823.363</v>
      </c>
      <c r="D633" s="0" t="n">
        <v>7771.968</v>
      </c>
      <c r="E633" s="0" t="n">
        <v>80051.395</v>
      </c>
      <c r="F633" s="0" t="n">
        <v>69586.268</v>
      </c>
      <c r="G633" s="0" t="n">
        <v>53358.128</v>
      </c>
      <c r="H633" s="0" t="n">
        <v>16228.14</v>
      </c>
      <c r="I633" s="0" t="n">
        <v>4866.308</v>
      </c>
      <c r="J633" s="0" t="n">
        <v>5598.819</v>
      </c>
      <c r="K633" s="0" t="n">
        <v>85585.80625</v>
      </c>
      <c r="L633" s="0" t="n">
        <v>65846</v>
      </c>
      <c r="M633" s="0" t="n">
        <v>65680</v>
      </c>
      <c r="N633" s="0" t="n">
        <v>54</v>
      </c>
      <c r="O633" s="54" t="n">
        <f aca="false">YEAR(B633)</f>
        <v>2021</v>
      </c>
      <c r="P633" s="54" t="n">
        <f aca="false">IF(AND(E633&gt;=14400,K633&gt;0,L633&gt;0),1,0)</f>
        <v>1</v>
      </c>
      <c r="Q633" s="53" t="n">
        <f aca="false">IF(P633=1,F633/E633*MIN(L633/K633,1)*MIN(MAX(M633/L633,0),1),0)</f>
        <v>0.667092470466755</v>
      </c>
      <c r="R633" s="55" t="n">
        <f aca="false">IF(F633&gt;0,N633/(F633/3600),0)</f>
        <v>2.79365463312388</v>
      </c>
    </row>
    <row r="634" customFormat="false" ht="15" hidden="false" customHeight="false" outlineLevel="0" collapsed="false">
      <c r="A634" s="0" t="s">
        <v>258</v>
      </c>
      <c r="B634" s="52" t="n">
        <v>44526</v>
      </c>
      <c r="C634" s="0" t="n">
        <v>85017.608</v>
      </c>
      <c r="D634" s="0" t="n">
        <v>8686.123</v>
      </c>
      <c r="E634" s="0" t="n">
        <v>76331.485</v>
      </c>
      <c r="F634" s="0" t="n">
        <v>64067.569</v>
      </c>
      <c r="G634" s="0" t="n">
        <v>50118.601</v>
      </c>
      <c r="H634" s="0" t="n">
        <v>13948.968</v>
      </c>
      <c r="I634" s="0" t="n">
        <v>5067.083</v>
      </c>
      <c r="J634" s="0" t="n">
        <v>7196.833</v>
      </c>
      <c r="K634" s="0" t="n">
        <v>78695.9545138889</v>
      </c>
      <c r="L634" s="0" t="n">
        <v>61091</v>
      </c>
      <c r="M634" s="0" t="n">
        <v>60931</v>
      </c>
      <c r="N634" s="0" t="n">
        <v>46</v>
      </c>
      <c r="O634" s="54" t="n">
        <f aca="false">YEAR(B634)</f>
        <v>2021</v>
      </c>
      <c r="P634" s="54" t="n">
        <f aca="false">IF(AND(E634&gt;=14400,K634&gt;0,L634&gt;0),1,0)</f>
        <v>1</v>
      </c>
      <c r="Q634" s="53" t="n">
        <f aca="false">IF(P634=1,F634/E634*MIN(L634/K634,1)*MIN(MAX(M634/L634,0),1),0)</f>
        <v>0.64986093679527</v>
      </c>
      <c r="R634" s="55" t="n">
        <f aca="false">IF(F634&gt;0,N634/(F634/3600),0)</f>
        <v>2.58477108753728</v>
      </c>
    </row>
    <row r="635" customFormat="false" ht="15" hidden="false" customHeight="false" outlineLevel="0" collapsed="false">
      <c r="A635" s="0" t="s">
        <v>258</v>
      </c>
      <c r="B635" s="52" t="n">
        <v>44527</v>
      </c>
      <c r="C635" s="0" t="n">
        <v>34210.566</v>
      </c>
      <c r="D635" s="0" t="n">
        <v>6467.421</v>
      </c>
      <c r="E635" s="0" t="n">
        <v>27743.145</v>
      </c>
      <c r="F635" s="0" t="n">
        <v>15751.753</v>
      </c>
      <c r="G635" s="0" t="n">
        <v>14116.332</v>
      </c>
      <c r="H635" s="0" t="n">
        <v>1635.421</v>
      </c>
      <c r="I635" s="0" t="n">
        <v>3227.167</v>
      </c>
      <c r="J635" s="0" t="n">
        <v>8764.225</v>
      </c>
      <c r="K635" s="0" t="n">
        <v>19689.69125</v>
      </c>
      <c r="L635" s="0" t="n">
        <v>17536</v>
      </c>
      <c r="M635" s="0" t="n">
        <v>17470</v>
      </c>
      <c r="N635" s="0" t="n">
        <v>32</v>
      </c>
      <c r="O635" s="54" t="n">
        <f aca="false">YEAR(B635)</f>
        <v>2021</v>
      </c>
      <c r="P635" s="54" t="n">
        <f aca="false">IF(AND(E635&gt;=14400,K635&gt;0,L635&gt;0),1,0)</f>
        <v>1</v>
      </c>
      <c r="Q635" s="53" t="n">
        <f aca="false">IF(P635=1,F635/E635*MIN(L635/K635,1)*MIN(MAX(M635/L635,0),1),0)</f>
        <v>0.503764082983382</v>
      </c>
      <c r="R635" s="55" t="n">
        <f aca="false">IF(F635&gt;0,N635/(F635/3600),0)</f>
        <v>7.31347171327534</v>
      </c>
    </row>
    <row r="636" customFormat="false" ht="15" hidden="false" customHeight="false" outlineLevel="0" collapsed="false">
      <c r="A636" s="0" t="s">
        <v>258</v>
      </c>
      <c r="B636" s="52" t="n">
        <v>44528</v>
      </c>
      <c r="C636" s="0" t="n">
        <v>81315.819</v>
      </c>
      <c r="D636" s="0" t="n">
        <v>19792.895</v>
      </c>
      <c r="E636" s="0" t="n">
        <v>61522.924</v>
      </c>
      <c r="F636" s="0" t="n">
        <v>39896.789</v>
      </c>
      <c r="G636" s="0" t="n">
        <v>31901.514</v>
      </c>
      <c r="H636" s="0" t="n">
        <v>7995.275</v>
      </c>
      <c r="I636" s="0" t="n">
        <v>6206.501</v>
      </c>
      <c r="J636" s="0" t="n">
        <v>15419.634</v>
      </c>
      <c r="K636" s="0" t="n">
        <v>49870.98625</v>
      </c>
      <c r="L636" s="0" t="n">
        <v>43381</v>
      </c>
      <c r="M636" s="0" t="n">
        <v>43157</v>
      </c>
      <c r="N636" s="0" t="n">
        <v>42</v>
      </c>
      <c r="O636" s="54" t="n">
        <f aca="false">YEAR(B636)</f>
        <v>2021</v>
      </c>
      <c r="P636" s="54" t="n">
        <f aca="false">IF(AND(E636&gt;=14400,K636&gt;0,L636&gt;0),1,0)</f>
        <v>1</v>
      </c>
      <c r="Q636" s="53" t="n">
        <f aca="false">IF(P636=1,F636/E636*MIN(L636/K636,1)*MIN(MAX(M636/L636,0),1),0)</f>
        <v>0.561182690211538</v>
      </c>
      <c r="R636" s="55" t="n">
        <f aca="false">IF(F636&gt;0,N636/(F636/3600),0)</f>
        <v>3.78977867116073</v>
      </c>
    </row>
    <row r="637" customFormat="false" ht="15" hidden="false" customHeight="false" outlineLevel="0" collapsed="false">
      <c r="A637" s="0" t="s">
        <v>258</v>
      </c>
      <c r="B637" s="52" t="n">
        <v>44529</v>
      </c>
      <c r="C637" s="0" t="n">
        <v>86570.83</v>
      </c>
      <c r="D637" s="0" t="n">
        <v>7627.387</v>
      </c>
      <c r="E637" s="0" t="n">
        <v>78943.443</v>
      </c>
      <c r="F637" s="0" t="n">
        <v>68461.169</v>
      </c>
      <c r="G637" s="0" t="n">
        <v>53750.396</v>
      </c>
      <c r="H637" s="0" t="n">
        <v>14710.773</v>
      </c>
      <c r="I637" s="0" t="n">
        <v>6848.578</v>
      </c>
      <c r="J637" s="0" t="n">
        <v>3633.696</v>
      </c>
      <c r="K637" s="0" t="n">
        <v>85576.46125</v>
      </c>
      <c r="L637" s="0" t="n">
        <v>66876</v>
      </c>
      <c r="M637" s="0" t="n">
        <v>66734</v>
      </c>
      <c r="N637" s="0" t="n">
        <v>60</v>
      </c>
      <c r="O637" s="54" t="n">
        <f aca="false">YEAR(B637)</f>
        <v>2021</v>
      </c>
      <c r="P637" s="54" t="n">
        <f aca="false">IF(AND(E637&gt;=14400,K637&gt;0,L637&gt;0),1,0)</f>
        <v>1</v>
      </c>
      <c r="Q637" s="53" t="n">
        <f aca="false">IF(P637=1,F637/E637*MIN(L637/K637,1)*MIN(MAX(M637/L637,0),1),0)</f>
        <v>0.676271492237804</v>
      </c>
      <c r="R637" s="55" t="n">
        <f aca="false">IF(F637&gt;0,N637/(F637/3600),0)</f>
        <v>3.15507320653552</v>
      </c>
    </row>
    <row r="638" customFormat="false" ht="15" hidden="false" customHeight="false" outlineLevel="0" collapsed="false">
      <c r="A638" s="0" t="s">
        <v>258</v>
      </c>
      <c r="B638" s="52" t="n">
        <v>44530</v>
      </c>
      <c r="C638" s="0" t="n">
        <v>86201.342</v>
      </c>
      <c r="D638" s="0" t="n">
        <v>2710.056</v>
      </c>
      <c r="E638" s="0" t="n">
        <v>83491.286</v>
      </c>
      <c r="F638" s="0" t="n">
        <v>70846.783</v>
      </c>
      <c r="G638" s="0" t="n">
        <v>58808.46</v>
      </c>
      <c r="H638" s="0" t="n">
        <v>12038.323</v>
      </c>
      <c r="I638" s="0" t="n">
        <v>11791.914</v>
      </c>
      <c r="J638" s="0" t="n">
        <v>852.589</v>
      </c>
      <c r="K638" s="0" t="n">
        <v>88558.47875</v>
      </c>
      <c r="L638" s="0" t="n">
        <v>73105</v>
      </c>
      <c r="M638" s="0" t="n">
        <v>72883</v>
      </c>
      <c r="N638" s="0" t="n">
        <v>81</v>
      </c>
      <c r="O638" s="54" t="n">
        <f aca="false">YEAR(B638)</f>
        <v>2021</v>
      </c>
      <c r="P638" s="54" t="n">
        <f aca="false">IF(AND(E638&gt;=14400,K638&gt;0,L638&gt;0),1,0)</f>
        <v>1</v>
      </c>
      <c r="Q638" s="53" t="n">
        <f aca="false">IF(P638=1,F638/E638*MIN(L638/K638,1)*MIN(MAX(M638/L638,0),1),0)</f>
        <v>0.698353119150662</v>
      </c>
      <c r="R638" s="55" t="n">
        <f aca="false">IF(F638&gt;0,N638/(F638/3600),0)</f>
        <v>4.11592436031993</v>
      </c>
    </row>
    <row r="639" customFormat="false" ht="15" hidden="false" customHeight="false" outlineLevel="0" collapsed="false">
      <c r="A639" s="0" t="s">
        <v>258</v>
      </c>
      <c r="B639" s="52" t="n">
        <v>44531</v>
      </c>
      <c r="C639" s="0" t="n">
        <v>85666.901</v>
      </c>
      <c r="D639" s="0" t="n">
        <v>7551.771</v>
      </c>
      <c r="E639" s="0" t="n">
        <v>78115.13</v>
      </c>
      <c r="F639" s="0" t="n">
        <v>70758.727</v>
      </c>
      <c r="G639" s="0" t="n">
        <v>62509.226</v>
      </c>
      <c r="H639" s="0" t="n">
        <v>8249.501</v>
      </c>
      <c r="I639" s="0" t="n">
        <v>5011.724</v>
      </c>
      <c r="J639" s="0" t="n">
        <v>2344.679</v>
      </c>
      <c r="K639" s="0" t="n">
        <v>88156.0625</v>
      </c>
      <c r="L639" s="0" t="n">
        <v>76773</v>
      </c>
      <c r="M639" s="0" t="n">
        <v>76632</v>
      </c>
      <c r="N639" s="0" t="n">
        <v>49</v>
      </c>
      <c r="O639" s="54" t="n">
        <f aca="false">YEAR(B639)</f>
        <v>2021</v>
      </c>
      <c r="P639" s="54" t="n">
        <f aca="false">IF(AND(E639&gt;=14400,K639&gt;0,L639&gt;0),1,0)</f>
        <v>1</v>
      </c>
      <c r="Q639" s="53" t="n">
        <f aca="false">IF(P639=1,F639/E639*MIN(L639/K639,1)*MIN(MAX(M639/L639,0),1),0)</f>
        <v>0.787413447271111</v>
      </c>
      <c r="R639" s="55" t="n">
        <f aca="false">IF(F639&gt;0,N639/(F639/3600),0)</f>
        <v>2.49297871059778</v>
      </c>
    </row>
    <row r="640" customFormat="false" ht="15" hidden="false" customHeight="false" outlineLevel="0" collapsed="false">
      <c r="A640" s="0" t="s">
        <v>258</v>
      </c>
      <c r="B640" s="52" t="n">
        <v>44532</v>
      </c>
      <c r="C640" s="0" t="n">
        <v>86040.645</v>
      </c>
      <c r="D640" s="0" t="n">
        <v>7919.952</v>
      </c>
      <c r="E640" s="0" t="n">
        <v>78120.693</v>
      </c>
      <c r="F640" s="0" t="n">
        <v>55816.682</v>
      </c>
      <c r="G640" s="0" t="n">
        <v>45262.118</v>
      </c>
      <c r="H640" s="0" t="n">
        <v>10554.564</v>
      </c>
      <c r="I640" s="0" t="n">
        <v>11356.212</v>
      </c>
      <c r="J640" s="0" t="n">
        <v>10947.799</v>
      </c>
      <c r="K640" s="0" t="n">
        <v>69770.8525</v>
      </c>
      <c r="L640" s="0" t="n">
        <v>56361</v>
      </c>
      <c r="M640" s="0" t="n">
        <v>56247</v>
      </c>
      <c r="N640" s="0" t="n">
        <v>54</v>
      </c>
      <c r="O640" s="54" t="n">
        <f aca="false">YEAR(B640)</f>
        <v>2021</v>
      </c>
      <c r="P640" s="54" t="n">
        <f aca="false">IF(AND(E640&gt;=14400,K640&gt;0,L640&gt;0),1,0)</f>
        <v>1</v>
      </c>
      <c r="Q640" s="53" t="n">
        <f aca="false">IF(P640=1,F640/E640*MIN(L640/K640,1)*MIN(MAX(M640/L640,0),1),0)</f>
        <v>0.576001034706643</v>
      </c>
      <c r="R640" s="55" t="n">
        <f aca="false">IF(F640&gt;0,N640/(F640/3600),0)</f>
        <v>3.48282973896585</v>
      </c>
    </row>
    <row r="641" customFormat="false" ht="15" hidden="false" customHeight="false" outlineLevel="0" collapsed="false">
      <c r="A641" s="0" t="s">
        <v>258</v>
      </c>
      <c r="B641" s="52" t="n">
        <v>44533</v>
      </c>
      <c r="C641" s="0" t="n">
        <v>86185.101</v>
      </c>
      <c r="D641" s="0" t="n">
        <v>9023.782</v>
      </c>
      <c r="E641" s="0" t="n">
        <v>77161.319</v>
      </c>
      <c r="F641" s="0" t="n">
        <v>65029.864</v>
      </c>
      <c r="G641" s="0" t="n">
        <v>54208.544</v>
      </c>
      <c r="H641" s="0" t="n">
        <v>10821.32</v>
      </c>
      <c r="I641" s="0" t="n">
        <v>8087.24</v>
      </c>
      <c r="J641" s="0" t="n">
        <v>4044.215</v>
      </c>
      <c r="K641" s="0" t="n">
        <v>81247.03</v>
      </c>
      <c r="L641" s="0" t="n">
        <v>67437</v>
      </c>
      <c r="M641" s="0" t="n">
        <v>67231</v>
      </c>
      <c r="N641" s="0" t="n">
        <v>67</v>
      </c>
      <c r="O641" s="54" t="n">
        <f aca="false">YEAR(B641)</f>
        <v>2021</v>
      </c>
      <c r="P641" s="54" t="n">
        <f aca="false">IF(AND(E641&gt;=14400,K641&gt;0,L641&gt;0),1,0)</f>
        <v>1</v>
      </c>
      <c r="Q641" s="53" t="n">
        <f aca="false">IF(P641=1,F641/E641*MIN(L641/K641,1)*MIN(MAX(M641/L641,0),1),0)</f>
        <v>0.697389299889912</v>
      </c>
      <c r="R641" s="55" t="n">
        <f aca="false">IF(F641&gt;0,N641/(F641/3600),0)</f>
        <v>3.70906511506775</v>
      </c>
    </row>
    <row r="642" customFormat="false" ht="15" hidden="false" customHeight="false" outlineLevel="0" collapsed="false">
      <c r="A642" s="0" t="s">
        <v>258</v>
      </c>
      <c r="B642" s="52" t="n">
        <v>44534</v>
      </c>
      <c r="C642" s="0" t="n">
        <v>36251.878</v>
      </c>
      <c r="D642" s="0" t="n">
        <v>5479.077</v>
      </c>
      <c r="E642" s="0" t="n">
        <v>30772.801</v>
      </c>
      <c r="F642" s="0" t="n">
        <v>21397.77</v>
      </c>
      <c r="G642" s="0" t="n">
        <v>17895.256</v>
      </c>
      <c r="H642" s="0" t="n">
        <v>3502.514</v>
      </c>
      <c r="I642" s="0" t="n">
        <v>5851.231</v>
      </c>
      <c r="J642" s="0" t="n">
        <v>3523.8</v>
      </c>
      <c r="K642" s="0" t="n">
        <v>26738.4839583333</v>
      </c>
      <c r="L642" s="0" t="n">
        <v>22089</v>
      </c>
      <c r="M642" s="0" t="n">
        <v>22046</v>
      </c>
      <c r="N642" s="0" t="n">
        <v>71</v>
      </c>
      <c r="O642" s="54" t="n">
        <f aca="false">YEAR(B642)</f>
        <v>2021</v>
      </c>
      <c r="P642" s="54" t="n">
        <f aca="false">IF(AND(E642&gt;=14400,K642&gt;0,L642&gt;0),1,0)</f>
        <v>1</v>
      </c>
      <c r="Q642" s="53" t="n">
        <f aca="false">IF(P642=1,F642/E642*MIN(L642/K642,1)*MIN(MAX(M642/L642,0),1),0)</f>
        <v>0.573316591408612</v>
      </c>
      <c r="R642" s="55" t="n">
        <f aca="false">IF(F642&gt;0,N642/(F642/3600),0)</f>
        <v>11.9451699873398</v>
      </c>
    </row>
    <row r="643" customFormat="false" ht="15" hidden="false" customHeight="false" outlineLevel="0" collapsed="false">
      <c r="A643" s="0" t="s">
        <v>258</v>
      </c>
      <c r="B643" s="52" t="n">
        <v>44535</v>
      </c>
      <c r="C643" s="0" t="n">
        <v>56442.353</v>
      </c>
      <c r="D643" s="0" t="n">
        <v>5014.213</v>
      </c>
      <c r="E643" s="0" t="n">
        <v>51428.14</v>
      </c>
      <c r="F643" s="0" t="n">
        <v>43306.545</v>
      </c>
      <c r="G643" s="0" t="n">
        <v>35434.726</v>
      </c>
      <c r="H643" s="0" t="n">
        <v>7871.819</v>
      </c>
      <c r="I643" s="0" t="n">
        <v>7223.693</v>
      </c>
      <c r="J643" s="0" t="n">
        <v>897.902</v>
      </c>
      <c r="K643" s="0" t="n">
        <v>52540.4800694445</v>
      </c>
      <c r="L643" s="0" t="n">
        <v>41802</v>
      </c>
      <c r="M643" s="0" t="n">
        <v>41711</v>
      </c>
      <c r="N643" s="0" t="n">
        <v>42</v>
      </c>
      <c r="O643" s="54" t="n">
        <f aca="false">YEAR(B643)</f>
        <v>2021</v>
      </c>
      <c r="P643" s="54" t="n">
        <f aca="false">IF(AND(E643&gt;=14400,K643&gt;0,L643&gt;0),1,0)</f>
        <v>1</v>
      </c>
      <c r="Q643" s="53" t="n">
        <f aca="false">IF(P643=1,F643/E643*MIN(L643/K643,1)*MIN(MAX(M643/L643,0),1),0)</f>
        <v>0.668512119241423</v>
      </c>
      <c r="R643" s="55" t="n">
        <f aca="false">IF(F643&gt;0,N643/(F643/3600),0)</f>
        <v>3.49138911912737</v>
      </c>
    </row>
    <row r="644" customFormat="false" ht="15" hidden="false" customHeight="false" outlineLevel="0" collapsed="false">
      <c r="A644" s="0" t="s">
        <v>258</v>
      </c>
      <c r="B644" s="52" t="n">
        <v>44536</v>
      </c>
      <c r="C644" s="0" t="n">
        <v>82861.312</v>
      </c>
      <c r="D644" s="0" t="n">
        <v>8611.695</v>
      </c>
      <c r="E644" s="0" t="n">
        <v>74249.617</v>
      </c>
      <c r="F644" s="0" t="n">
        <v>63349.445</v>
      </c>
      <c r="G644" s="0" t="n">
        <v>51094.298</v>
      </c>
      <c r="H644" s="0" t="n">
        <v>12255.147</v>
      </c>
      <c r="I644" s="0" t="n">
        <v>10546.842</v>
      </c>
      <c r="J644" s="0" t="n">
        <v>353.33</v>
      </c>
      <c r="K644" s="0" t="n">
        <v>79186.80625</v>
      </c>
      <c r="L644" s="0" t="n">
        <v>62503</v>
      </c>
      <c r="M644" s="0" t="n">
        <v>62381</v>
      </c>
      <c r="N644" s="0" t="n">
        <v>70</v>
      </c>
      <c r="O644" s="54" t="n">
        <f aca="false">YEAR(B644)</f>
        <v>2021</v>
      </c>
      <c r="P644" s="54" t="n">
        <f aca="false">IF(AND(E644&gt;=14400,K644&gt;0,L644&gt;0),1,0)</f>
        <v>1</v>
      </c>
      <c r="Q644" s="53" t="n">
        <f aca="false">IF(P644=1,F644/E644*MIN(L644/K644,1)*MIN(MAX(M644/L644,0),1),0)</f>
        <v>0.672121985491185</v>
      </c>
      <c r="R644" s="55" t="n">
        <f aca="false">IF(F644&gt;0,N644/(F644/3600),0)</f>
        <v>3.97793540259114</v>
      </c>
    </row>
    <row r="645" customFormat="false" ht="15" hidden="false" customHeight="false" outlineLevel="0" collapsed="false">
      <c r="A645" s="0" t="s">
        <v>258</v>
      </c>
      <c r="B645" s="52" t="n">
        <v>44537</v>
      </c>
      <c r="C645" s="0" t="n">
        <v>79865.96</v>
      </c>
      <c r="D645" s="0" t="n">
        <v>3174.166</v>
      </c>
      <c r="E645" s="0" t="n">
        <v>76691.794</v>
      </c>
      <c r="F645" s="0" t="n">
        <v>58259.976</v>
      </c>
      <c r="G645" s="0" t="n">
        <v>49606.456</v>
      </c>
      <c r="H645" s="0" t="n">
        <v>8653.52</v>
      </c>
      <c r="I645" s="0" t="n">
        <v>18213.608</v>
      </c>
      <c r="J645" s="0" t="n">
        <v>218.21</v>
      </c>
      <c r="K645" s="0" t="n">
        <v>72824.97</v>
      </c>
      <c r="L645" s="0" t="n">
        <v>60671</v>
      </c>
      <c r="M645" s="0" t="n">
        <v>60504</v>
      </c>
      <c r="N645" s="0" t="n">
        <v>74</v>
      </c>
      <c r="O645" s="54" t="n">
        <f aca="false">YEAR(B645)</f>
        <v>2021</v>
      </c>
      <c r="P645" s="54" t="n">
        <f aca="false">IF(AND(E645&gt;=14400,K645&gt;0,L645&gt;0),1,0)</f>
        <v>1</v>
      </c>
      <c r="Q645" s="53" t="n">
        <f aca="false">IF(P645=1,F645/E645*MIN(L645/K645,1)*MIN(MAX(M645/L645,0),1),0)</f>
        <v>0.63113923244513</v>
      </c>
      <c r="R645" s="55" t="n">
        <f aca="false">IF(F645&gt;0,N645/(F645/3600),0)</f>
        <v>4.57260744494642</v>
      </c>
    </row>
    <row r="646" customFormat="false" ht="15" hidden="false" customHeight="false" outlineLevel="0" collapsed="false">
      <c r="A646" s="0" t="s">
        <v>258</v>
      </c>
      <c r="B646" s="52" t="n">
        <v>44538</v>
      </c>
      <c r="C646" s="0" t="n">
        <v>86380.479</v>
      </c>
      <c r="D646" s="0" t="n">
        <v>7355.313</v>
      </c>
      <c r="E646" s="0" t="n">
        <v>79025.166</v>
      </c>
      <c r="F646" s="0" t="n">
        <v>57945.342</v>
      </c>
      <c r="G646" s="0" t="n">
        <v>44890.164</v>
      </c>
      <c r="H646" s="0" t="n">
        <v>13055.178</v>
      </c>
      <c r="I646" s="0" t="n">
        <v>3276.266</v>
      </c>
      <c r="J646" s="0" t="n">
        <v>17803.558</v>
      </c>
      <c r="K646" s="0" t="n">
        <v>72431.6775</v>
      </c>
      <c r="L646" s="0" t="n">
        <v>56011</v>
      </c>
      <c r="M646" s="0" t="n">
        <v>55895</v>
      </c>
      <c r="N646" s="0" t="n">
        <v>24</v>
      </c>
      <c r="O646" s="54" t="n">
        <f aca="false">YEAR(B646)</f>
        <v>2021</v>
      </c>
      <c r="P646" s="54" t="n">
        <f aca="false">IF(AND(E646&gt;=14400,K646&gt;0,L646&gt;0),1,0)</f>
        <v>1</v>
      </c>
      <c r="Q646" s="53" t="n">
        <f aca="false">IF(P646=1,F646/E646*MIN(L646/K646,1)*MIN(MAX(M646/L646,0),1),0)</f>
        <v>0.565845062571586</v>
      </c>
      <c r="R646" s="55" t="n">
        <f aca="false">IF(F646&gt;0,N646/(F646/3600),0)</f>
        <v>1.49106031680683</v>
      </c>
    </row>
    <row r="647" customFormat="false" ht="15" hidden="false" customHeight="false" outlineLevel="0" collapsed="false">
      <c r="A647" s="0" t="s">
        <v>258</v>
      </c>
      <c r="B647" s="52" t="n">
        <v>44539</v>
      </c>
      <c r="C647" s="0" t="n">
        <v>86469.095</v>
      </c>
      <c r="D647" s="0" t="n">
        <v>7215.374</v>
      </c>
      <c r="E647" s="0" t="n">
        <v>79253.721</v>
      </c>
      <c r="F647" s="0" t="n">
        <v>56196.32</v>
      </c>
      <c r="G647" s="0" t="n">
        <v>41441.181</v>
      </c>
      <c r="H647" s="0" t="n">
        <v>14755.139</v>
      </c>
      <c r="I647" s="0" t="n">
        <v>10718.375</v>
      </c>
      <c r="J647" s="0" t="n">
        <v>12339.026</v>
      </c>
      <c r="K647" s="0" t="n">
        <v>70245.4</v>
      </c>
      <c r="L647" s="0" t="n">
        <v>51574</v>
      </c>
      <c r="M647" s="0" t="n">
        <v>51382</v>
      </c>
      <c r="N647" s="0" t="n">
        <v>66</v>
      </c>
      <c r="O647" s="54" t="n">
        <f aca="false">YEAR(B647)</f>
        <v>2021</v>
      </c>
      <c r="P647" s="54" t="n">
        <f aca="false">IF(AND(E647&gt;=14400,K647&gt;0,L647&gt;0),1,0)</f>
        <v>1</v>
      </c>
      <c r="Q647" s="53" t="n">
        <f aca="false">IF(P647=1,F647/E647*MIN(L647/K647,1)*MIN(MAX(M647/L647,0),1),0)</f>
        <v>0.518658297444482</v>
      </c>
      <c r="R647" s="55" t="n">
        <f aca="false">IF(F647&gt;0,N647/(F647/3600),0)</f>
        <v>4.22803486064568</v>
      </c>
    </row>
    <row r="648" customFormat="false" ht="15" hidden="false" customHeight="false" outlineLevel="0" collapsed="false">
      <c r="A648" s="0" t="s">
        <v>258</v>
      </c>
      <c r="B648" s="52" t="n">
        <v>44540</v>
      </c>
      <c r="C648" s="0" t="n">
        <v>83462.736</v>
      </c>
      <c r="D648" s="0" t="n">
        <v>5800.834</v>
      </c>
      <c r="E648" s="0" t="n">
        <v>77661.902</v>
      </c>
      <c r="F648" s="0" t="n">
        <v>56368.517</v>
      </c>
      <c r="G648" s="0" t="n">
        <v>40804.3</v>
      </c>
      <c r="H648" s="0" t="n">
        <v>15564.217</v>
      </c>
      <c r="I648" s="0" t="n">
        <v>7585.034</v>
      </c>
      <c r="J648" s="0" t="n">
        <v>13708.351</v>
      </c>
      <c r="K648" s="0" t="n">
        <v>69840.529375</v>
      </c>
      <c r="L648" s="0" t="n">
        <v>49212</v>
      </c>
      <c r="M648" s="0" t="n">
        <v>48852</v>
      </c>
      <c r="N648" s="0" t="n">
        <v>53</v>
      </c>
      <c r="O648" s="54" t="n">
        <f aca="false">YEAR(B648)</f>
        <v>2021</v>
      </c>
      <c r="P648" s="54" t="n">
        <f aca="false">IF(AND(E648&gt;=14400,K648&gt;0,L648&gt;0),1,0)</f>
        <v>1</v>
      </c>
      <c r="Q648" s="53" t="n">
        <f aca="false">IF(P648=1,F648/E648*MIN(L648/K648,1)*MIN(MAX(M648/L648,0),1),0)</f>
        <v>0.507695615044914</v>
      </c>
      <c r="R648" s="55" t="n">
        <f aca="false">IF(F648&gt;0,N648/(F648/3600),0)</f>
        <v>3.38486818803482</v>
      </c>
    </row>
    <row r="649" customFormat="false" ht="15" hidden="false" customHeight="false" outlineLevel="0" collapsed="false">
      <c r="A649" s="0" t="s">
        <v>258</v>
      </c>
      <c r="B649" s="52" t="n">
        <v>44541</v>
      </c>
      <c r="C649" s="0" t="n">
        <v>78009.777</v>
      </c>
      <c r="D649" s="0" t="n">
        <v>7337.781</v>
      </c>
      <c r="E649" s="0" t="n">
        <v>70671.996</v>
      </c>
      <c r="F649" s="0" t="n">
        <v>26985.666</v>
      </c>
      <c r="G649" s="0" t="n">
        <v>25099.213</v>
      </c>
      <c r="H649" s="0" t="n">
        <v>1886.453</v>
      </c>
      <c r="I649" s="0" t="n">
        <v>2904.838</v>
      </c>
      <c r="J649" s="0" t="n">
        <v>40781.492</v>
      </c>
      <c r="K649" s="0" t="n">
        <v>33732.0825</v>
      </c>
      <c r="L649" s="0" t="n">
        <v>31274</v>
      </c>
      <c r="M649" s="0" t="n">
        <v>31224</v>
      </c>
      <c r="N649" s="0" t="n">
        <v>28</v>
      </c>
      <c r="O649" s="54" t="n">
        <f aca="false">YEAR(B649)</f>
        <v>2021</v>
      </c>
      <c r="P649" s="54" t="n">
        <f aca="false">IF(AND(E649&gt;=14400,K649&gt;0,L649&gt;0),1,0)</f>
        <v>1</v>
      </c>
      <c r="Q649" s="53" t="n">
        <f aca="false">IF(P649=1,F649/E649*MIN(L649/K649,1)*MIN(MAX(M649/L649,0),1),0)</f>
        <v>0.353452589622628</v>
      </c>
      <c r="R649" s="55" t="n">
        <f aca="false">IF(F649&gt;0,N649/(F649/3600),0)</f>
        <v>3.73531637129134</v>
      </c>
    </row>
    <row r="650" customFormat="false" ht="15" hidden="false" customHeight="false" outlineLevel="0" collapsed="false">
      <c r="A650" s="0" t="s">
        <v>258</v>
      </c>
      <c r="B650" s="52" t="n">
        <v>44542</v>
      </c>
      <c r="C650" s="0" t="n">
        <v>74308.478</v>
      </c>
      <c r="D650" s="0" t="n">
        <v>6537.892</v>
      </c>
      <c r="E650" s="0" t="n">
        <v>67770.586</v>
      </c>
      <c r="F650" s="0" t="n">
        <v>37405.459</v>
      </c>
      <c r="G650" s="0" t="n">
        <v>29209.705</v>
      </c>
      <c r="H650" s="0" t="n">
        <v>8195.754</v>
      </c>
      <c r="I650" s="0" t="n">
        <v>2103.74</v>
      </c>
      <c r="J650" s="0" t="n">
        <v>28261.387</v>
      </c>
      <c r="K650" s="0" t="n">
        <v>46756.82375</v>
      </c>
      <c r="L650" s="0" t="n">
        <v>36434</v>
      </c>
      <c r="M650" s="0" t="n">
        <v>36295</v>
      </c>
      <c r="N650" s="0" t="n">
        <v>12</v>
      </c>
      <c r="O650" s="54" t="n">
        <f aca="false">YEAR(B650)</f>
        <v>2021</v>
      </c>
      <c r="P650" s="54" t="n">
        <f aca="false">IF(AND(E650&gt;=14400,K650&gt;0,L650&gt;0),1,0)</f>
        <v>1</v>
      </c>
      <c r="Q650" s="53" t="n">
        <f aca="false">IF(P650=1,F650/E650*MIN(L650/K650,1)*MIN(MAX(M650/L650,0),1),0)</f>
        <v>0.428445461575321</v>
      </c>
      <c r="R650" s="55" t="n">
        <f aca="false">IF(F650&gt;0,N650/(F650/3600),0)</f>
        <v>1.15491164003628</v>
      </c>
    </row>
    <row r="651" customFormat="false" ht="15" hidden="false" customHeight="false" outlineLevel="0" collapsed="false">
      <c r="A651" s="0" t="s">
        <v>258</v>
      </c>
      <c r="B651" s="52" t="n">
        <v>44543</v>
      </c>
      <c r="C651" s="0" t="n">
        <v>66420.977</v>
      </c>
      <c r="D651" s="0" t="n">
        <v>7292.198</v>
      </c>
      <c r="E651" s="0" t="n">
        <v>59128.779</v>
      </c>
      <c r="F651" s="0" t="n">
        <v>51613.535</v>
      </c>
      <c r="G651" s="0" t="n">
        <v>38842.814</v>
      </c>
      <c r="H651" s="0" t="n">
        <v>12770.721</v>
      </c>
      <c r="I651" s="0" t="n">
        <v>4826.524</v>
      </c>
      <c r="J651" s="0" t="n">
        <v>2688.72</v>
      </c>
      <c r="K651" s="0" t="n">
        <v>64516.91875</v>
      </c>
      <c r="L651" s="0" t="n">
        <v>48355</v>
      </c>
      <c r="M651" s="0" t="n">
        <v>48271</v>
      </c>
      <c r="N651" s="0" t="n">
        <v>46</v>
      </c>
      <c r="O651" s="54" t="n">
        <f aca="false">YEAR(B651)</f>
        <v>2021</v>
      </c>
      <c r="P651" s="54" t="n">
        <f aca="false">IF(AND(E651&gt;=14400,K651&gt;0,L651&gt;0),1,0)</f>
        <v>1</v>
      </c>
      <c r="Q651" s="53" t="n">
        <f aca="false">IF(P651=1,F651/E651*MIN(L651/K651,1)*MIN(MAX(M651/L651,0),1),0)</f>
        <v>0.653096523437428</v>
      </c>
      <c r="R651" s="55" t="n">
        <f aca="false">IF(F651&gt;0,N651/(F651/3600),0)</f>
        <v>3.20846072643542</v>
      </c>
    </row>
    <row r="652" customFormat="false" ht="15" hidden="false" customHeight="false" outlineLevel="0" collapsed="false">
      <c r="A652" s="0" t="s">
        <v>258</v>
      </c>
      <c r="B652" s="52" t="n">
        <v>44544</v>
      </c>
      <c r="C652" s="0" t="n">
        <v>88862.804</v>
      </c>
      <c r="D652" s="0" t="n">
        <v>10139.314</v>
      </c>
      <c r="E652" s="0" t="n">
        <v>78723.49</v>
      </c>
      <c r="F652" s="0" t="n">
        <v>60091.155</v>
      </c>
      <c r="G652" s="0" t="n">
        <v>50503.762</v>
      </c>
      <c r="H652" s="0" t="n">
        <v>9587.393</v>
      </c>
      <c r="I652" s="0" t="n">
        <v>14504.991</v>
      </c>
      <c r="J652" s="0" t="n">
        <v>4127.344</v>
      </c>
      <c r="K652" s="0" t="n">
        <v>75113.94375</v>
      </c>
      <c r="L652" s="0" t="n">
        <v>62896</v>
      </c>
      <c r="M652" s="0" t="n">
        <v>62700</v>
      </c>
      <c r="N652" s="0" t="n">
        <v>70</v>
      </c>
      <c r="O652" s="54" t="n">
        <f aca="false">YEAR(B652)</f>
        <v>2021</v>
      </c>
      <c r="P652" s="54" t="n">
        <f aca="false">IF(AND(E652&gt;=14400,K652&gt;0,L652&gt;0),1,0)</f>
        <v>1</v>
      </c>
      <c r="Q652" s="53" t="n">
        <f aca="false">IF(P652=1,F652/E652*MIN(L652/K652,1)*MIN(MAX(M652/L652,0),1),0)</f>
        <v>0.637166873572297</v>
      </c>
      <c r="R652" s="55" t="n">
        <f aca="false">IF(F652&gt;0,N652/(F652/3600),0)</f>
        <v>4.19362882940093</v>
      </c>
    </row>
    <row r="653" customFormat="false" ht="15" hidden="false" customHeight="false" outlineLevel="0" collapsed="false">
      <c r="A653" s="0" t="s">
        <v>258</v>
      </c>
      <c r="B653" s="52" t="n">
        <v>44545</v>
      </c>
      <c r="C653" s="0" t="n">
        <v>77959.281</v>
      </c>
      <c r="D653" s="0" t="n">
        <v>7612.031</v>
      </c>
      <c r="E653" s="0" t="n">
        <v>70347.25</v>
      </c>
      <c r="F653" s="0" t="n">
        <v>63806.959</v>
      </c>
      <c r="G653" s="0" t="n">
        <v>49389.428</v>
      </c>
      <c r="H653" s="0" t="n">
        <v>14417.531</v>
      </c>
      <c r="I653" s="0" t="n">
        <v>4537.181</v>
      </c>
      <c r="J653" s="0" t="n">
        <v>2003.11</v>
      </c>
      <c r="K653" s="0" t="n">
        <v>79758.69875</v>
      </c>
      <c r="L653" s="0" t="n">
        <v>60507</v>
      </c>
      <c r="M653" s="0" t="n">
        <v>60345</v>
      </c>
      <c r="N653" s="0" t="n">
        <v>38</v>
      </c>
      <c r="O653" s="54" t="n">
        <f aca="false">YEAR(B653)</f>
        <v>2021</v>
      </c>
      <c r="P653" s="54" t="n">
        <f aca="false">IF(AND(E653&gt;=14400,K653&gt;0,L653&gt;0),1,0)</f>
        <v>1</v>
      </c>
      <c r="Q653" s="53" t="n">
        <f aca="false">IF(P653=1,F653/E653*MIN(L653/K653,1)*MIN(MAX(M653/L653,0),1),0)</f>
        <v>0.686252838597102</v>
      </c>
      <c r="R653" s="55" t="n">
        <f aca="false">IF(F653&gt;0,N653/(F653/3600),0)</f>
        <v>2.14396677327939</v>
      </c>
    </row>
    <row r="654" customFormat="false" ht="15" hidden="false" customHeight="false" outlineLevel="0" collapsed="false">
      <c r="A654" s="0" t="s">
        <v>258</v>
      </c>
      <c r="B654" s="52" t="n">
        <v>44546</v>
      </c>
      <c r="C654" s="0" t="n">
        <v>86035.558</v>
      </c>
      <c r="D654" s="0" t="n">
        <v>2996.306</v>
      </c>
      <c r="E654" s="0" t="n">
        <v>83039.252</v>
      </c>
      <c r="F654" s="0" t="n">
        <v>72711.487</v>
      </c>
      <c r="G654" s="0" t="n">
        <v>57636.046</v>
      </c>
      <c r="H654" s="0" t="n">
        <v>15075.441</v>
      </c>
      <c r="I654" s="0" t="n">
        <v>8908.649</v>
      </c>
      <c r="J654" s="0" t="n">
        <v>1419.116</v>
      </c>
      <c r="K654" s="0" t="n">
        <v>90889.35875</v>
      </c>
      <c r="L654" s="0" t="n">
        <v>71746</v>
      </c>
      <c r="M654" s="0" t="n">
        <v>71511</v>
      </c>
      <c r="N654" s="0" t="n">
        <v>69</v>
      </c>
      <c r="O654" s="54" t="n">
        <f aca="false">YEAR(B654)</f>
        <v>2021</v>
      </c>
      <c r="P654" s="54" t="n">
        <f aca="false">IF(AND(E654&gt;=14400,K654&gt;0,L654&gt;0),1,0)</f>
        <v>1</v>
      </c>
      <c r="Q654" s="53" t="n">
        <f aca="false">IF(P654=1,F654/E654*MIN(L654/K654,1)*MIN(MAX(M654/L654,0),1),0)</f>
        <v>0.68893684157945</v>
      </c>
      <c r="R654" s="55" t="n">
        <f aca="false">IF(F654&gt;0,N654/(F654/3600),0)</f>
        <v>3.41624150803022</v>
      </c>
    </row>
    <row r="655" customFormat="false" ht="15" hidden="false" customHeight="false" outlineLevel="0" collapsed="false">
      <c r="A655" s="0" t="s">
        <v>258</v>
      </c>
      <c r="B655" s="52" t="n">
        <v>44547</v>
      </c>
      <c r="C655" s="0" t="n">
        <v>82967.328</v>
      </c>
      <c r="D655" s="0" t="n">
        <v>7346.029</v>
      </c>
      <c r="E655" s="0" t="n">
        <v>75621.299</v>
      </c>
      <c r="F655" s="0" t="n">
        <v>65010.405</v>
      </c>
      <c r="G655" s="0" t="n">
        <v>55958.66</v>
      </c>
      <c r="H655" s="0" t="n">
        <v>9051.745</v>
      </c>
      <c r="I655" s="0" t="n">
        <v>7001.996</v>
      </c>
      <c r="J655" s="0" t="n">
        <v>3608.898</v>
      </c>
      <c r="K655" s="0" t="n">
        <v>81105.993125</v>
      </c>
      <c r="L655" s="0" t="n">
        <v>68626</v>
      </c>
      <c r="M655" s="0" t="n">
        <v>68499</v>
      </c>
      <c r="N655" s="0" t="n">
        <v>42</v>
      </c>
      <c r="O655" s="54" t="n">
        <f aca="false">YEAR(B655)</f>
        <v>2021</v>
      </c>
      <c r="P655" s="54" t="n">
        <f aca="false">IF(AND(E655&gt;=14400,K655&gt;0,L655&gt;0),1,0)</f>
        <v>1</v>
      </c>
      <c r="Q655" s="53" t="n">
        <f aca="false">IF(P655=1,F655/E655*MIN(L655/K655,1)*MIN(MAX(M655/L655,0),1),0)</f>
        <v>0.726055840346185</v>
      </c>
      <c r="R655" s="55" t="n">
        <f aca="false">IF(F655&gt;0,N655/(F655/3600),0)</f>
        <v>2.32578154220082</v>
      </c>
    </row>
    <row r="656" customFormat="false" ht="15" hidden="false" customHeight="false" outlineLevel="0" collapsed="false">
      <c r="A656" s="0" t="s">
        <v>258</v>
      </c>
      <c r="B656" s="52" t="n">
        <v>44548</v>
      </c>
      <c r="C656" s="0" t="n">
        <v>42182.039</v>
      </c>
      <c r="D656" s="0" t="n">
        <v>9532.388</v>
      </c>
      <c r="E656" s="0" t="n">
        <v>32649.651</v>
      </c>
      <c r="F656" s="0" t="n">
        <v>21390.506</v>
      </c>
      <c r="G656" s="0" t="n">
        <v>19440.686</v>
      </c>
      <c r="H656" s="0" t="n">
        <v>1949.82</v>
      </c>
      <c r="I656" s="0" t="n">
        <v>3454.655</v>
      </c>
      <c r="J656" s="0" t="n">
        <v>7804.49</v>
      </c>
      <c r="K656" s="0" t="n">
        <v>26738.1325</v>
      </c>
      <c r="L656" s="0" t="n">
        <v>24190</v>
      </c>
      <c r="M656" s="0" t="n">
        <v>24148</v>
      </c>
      <c r="N656" s="0" t="n">
        <v>37</v>
      </c>
      <c r="O656" s="54" t="n">
        <f aca="false">YEAR(B656)</f>
        <v>2021</v>
      </c>
      <c r="P656" s="54" t="n">
        <f aca="false">IF(AND(E656&gt;=14400,K656&gt;0,L656&gt;0),1,0)</f>
        <v>1</v>
      </c>
      <c r="Q656" s="53" t="n">
        <f aca="false">IF(P656=1,F656/E656*MIN(L656/K656,1)*MIN(MAX(M656/L656,0),1),0)</f>
        <v>0.591687794763871</v>
      </c>
      <c r="R656" s="55" t="n">
        <f aca="false">IF(F656&gt;0,N656/(F656/3600),0)</f>
        <v>6.22706166932189</v>
      </c>
    </row>
    <row r="657" customFormat="false" ht="15" hidden="false" customHeight="false" outlineLevel="0" collapsed="false">
      <c r="A657" s="0" t="s">
        <v>258</v>
      </c>
      <c r="B657" s="52" t="n">
        <v>44549</v>
      </c>
      <c r="C657" s="0" t="n">
        <v>86554.406</v>
      </c>
      <c r="D657" s="0" t="n">
        <v>23590.079</v>
      </c>
      <c r="E657" s="0" t="n">
        <v>62964.327</v>
      </c>
      <c r="F657" s="0" t="n">
        <v>50206.973</v>
      </c>
      <c r="G657" s="0" t="n">
        <v>40491.272</v>
      </c>
      <c r="H657" s="0" t="n">
        <v>9715.701</v>
      </c>
      <c r="I657" s="0" t="n">
        <v>6134.266</v>
      </c>
      <c r="J657" s="0" t="n">
        <v>6623.088</v>
      </c>
      <c r="K657" s="0" t="n">
        <v>62758.71625</v>
      </c>
      <c r="L657" s="0" t="n">
        <v>50359</v>
      </c>
      <c r="M657" s="0" t="n">
        <v>50233</v>
      </c>
      <c r="N657" s="0" t="n">
        <v>51</v>
      </c>
      <c r="O657" s="54" t="n">
        <f aca="false">YEAR(B657)</f>
        <v>2021</v>
      </c>
      <c r="P657" s="54" t="n">
        <f aca="false">IF(AND(E657&gt;=14400,K657&gt;0,L657&gt;0),1,0)</f>
        <v>1</v>
      </c>
      <c r="Q657" s="53" t="n">
        <f aca="false">IF(P657=1,F657/E657*MIN(L657/K657,1)*MIN(MAX(M657/L657,0),1),0)</f>
        <v>0.638240761312354</v>
      </c>
      <c r="R657" s="55" t="n">
        <f aca="false">IF(F657&gt;0,N657/(F657/3600),0)</f>
        <v>3.6568625636921</v>
      </c>
    </row>
    <row r="658" customFormat="false" ht="15" hidden="false" customHeight="false" outlineLevel="0" collapsed="false">
      <c r="A658" s="0" t="s">
        <v>258</v>
      </c>
      <c r="B658" s="52" t="n">
        <v>44550</v>
      </c>
      <c r="C658" s="0" t="n">
        <v>87219.22</v>
      </c>
      <c r="D658" s="0" t="n">
        <v>8370.802</v>
      </c>
      <c r="E658" s="0" t="n">
        <v>78848.418</v>
      </c>
      <c r="F658" s="0" t="n">
        <v>67053.386</v>
      </c>
      <c r="G658" s="0" t="n">
        <v>51068.583</v>
      </c>
      <c r="H658" s="0" t="n">
        <v>15984.803</v>
      </c>
      <c r="I658" s="0" t="n">
        <v>9123.094</v>
      </c>
      <c r="J658" s="0" t="n">
        <v>2671.938</v>
      </c>
      <c r="K658" s="0" t="n">
        <v>83816.7325</v>
      </c>
      <c r="L658" s="0" t="n">
        <v>63552</v>
      </c>
      <c r="M658" s="0" t="n">
        <v>63347</v>
      </c>
      <c r="N658" s="0" t="n">
        <v>64</v>
      </c>
      <c r="O658" s="54" t="n">
        <f aca="false">YEAR(B658)</f>
        <v>2021</v>
      </c>
      <c r="P658" s="54" t="n">
        <f aca="false">IF(AND(E658&gt;=14400,K658&gt;0,L658&gt;0),1,0)</f>
        <v>1</v>
      </c>
      <c r="Q658" s="53" t="n">
        <f aca="false">IF(P658=1,F658/E658*MIN(L658/K658,1)*MIN(MAX(M658/L658,0),1),0)</f>
        <v>0.642721836219973</v>
      </c>
      <c r="R658" s="55" t="n">
        <f aca="false">IF(F658&gt;0,N658/(F658/3600),0)</f>
        <v>3.43606809058084</v>
      </c>
    </row>
    <row r="659" customFormat="false" ht="15" hidden="false" customHeight="false" outlineLevel="0" collapsed="false">
      <c r="A659" s="0" t="s">
        <v>258</v>
      </c>
      <c r="B659" s="52" t="n">
        <v>44551</v>
      </c>
      <c r="C659" s="0" t="n">
        <v>90281.847</v>
      </c>
      <c r="D659" s="0" t="n">
        <v>7233.951</v>
      </c>
      <c r="E659" s="0" t="n">
        <v>83047.896</v>
      </c>
      <c r="F659" s="0" t="n">
        <v>64120.036</v>
      </c>
      <c r="G659" s="0" t="n">
        <v>51707.148</v>
      </c>
      <c r="H659" s="0" t="n">
        <v>12412.888</v>
      </c>
      <c r="I659" s="0" t="n">
        <v>11706.684</v>
      </c>
      <c r="J659" s="0" t="n">
        <v>7221.176</v>
      </c>
      <c r="K659" s="0" t="n">
        <v>80150.045</v>
      </c>
      <c r="L659" s="0" t="n">
        <v>64320</v>
      </c>
      <c r="M659" s="0" t="n">
        <v>64151</v>
      </c>
      <c r="N659" s="0" t="n">
        <v>78</v>
      </c>
      <c r="O659" s="54" t="n">
        <f aca="false">YEAR(B659)</f>
        <v>2021</v>
      </c>
      <c r="P659" s="54" t="n">
        <f aca="false">IF(AND(E659&gt;=14400,K659&gt;0,L659&gt;0),1,0)</f>
        <v>1</v>
      </c>
      <c r="Q659" s="53" t="n">
        <f aca="false">IF(P659=1,F659/E659*MIN(L659/K659,1)*MIN(MAX(M659/L659,0),1),0)</f>
        <v>0.617966287791325</v>
      </c>
      <c r="R659" s="55" t="n">
        <f aca="false">IF(F659&gt;0,N659/(F659/3600),0)</f>
        <v>4.37928637469886</v>
      </c>
    </row>
    <row r="660" customFormat="false" ht="15" hidden="false" customHeight="false" outlineLevel="0" collapsed="false">
      <c r="A660" s="0" t="s">
        <v>258</v>
      </c>
      <c r="B660" s="52" t="n">
        <v>44552</v>
      </c>
      <c r="C660" s="0" t="n">
        <v>80087.317</v>
      </c>
      <c r="D660" s="0" t="n">
        <v>14262.42</v>
      </c>
      <c r="E660" s="0" t="n">
        <v>65824.897</v>
      </c>
      <c r="F660" s="0" t="n">
        <v>47783.356</v>
      </c>
      <c r="G660" s="0" t="n">
        <v>41030.362</v>
      </c>
      <c r="H660" s="0" t="n">
        <v>6752.994</v>
      </c>
      <c r="I660" s="0" t="n">
        <v>6498.256</v>
      </c>
      <c r="J660" s="0" t="n">
        <v>11543.285</v>
      </c>
      <c r="K660" s="0" t="n">
        <v>59729.195</v>
      </c>
      <c r="L660" s="0" t="n">
        <v>49994</v>
      </c>
      <c r="M660" s="0" t="n">
        <v>49883</v>
      </c>
      <c r="N660" s="0" t="n">
        <v>24</v>
      </c>
      <c r="O660" s="54" t="n">
        <f aca="false">YEAR(B660)</f>
        <v>2021</v>
      </c>
      <c r="P660" s="54" t="n">
        <f aca="false">IF(AND(E660&gt;=14400,K660&gt;0,L660&gt;0),1,0)</f>
        <v>1</v>
      </c>
      <c r="Q660" s="53" t="n">
        <f aca="false">IF(P660=1,F660/E660*MIN(L660/K660,1)*MIN(MAX(M660/L660,0),1),0)</f>
        <v>0.606250853685347</v>
      </c>
      <c r="R660" s="55" t="n">
        <f aca="false">IF(F660&gt;0,N660/(F660/3600),0)</f>
        <v>1.80816098392084</v>
      </c>
    </row>
    <row r="661" customFormat="false" ht="15" hidden="false" customHeight="false" outlineLevel="0" collapsed="false">
      <c r="A661" s="0" t="s">
        <v>258</v>
      </c>
      <c r="B661" s="52" t="n">
        <v>44553</v>
      </c>
      <c r="C661" s="0" t="n">
        <v>86358.811</v>
      </c>
      <c r="D661" s="0" t="n">
        <v>13062.248</v>
      </c>
      <c r="E661" s="0" t="n">
        <v>73296.563</v>
      </c>
      <c r="F661" s="0" t="n">
        <v>60613.404</v>
      </c>
      <c r="G661" s="0" t="n">
        <v>48380.376</v>
      </c>
      <c r="H661" s="0" t="n">
        <v>12233.028</v>
      </c>
      <c r="I661" s="0" t="n">
        <v>9439.905</v>
      </c>
      <c r="J661" s="0" t="n">
        <v>3243.254</v>
      </c>
      <c r="K661" s="0" t="n">
        <v>74211.846875</v>
      </c>
      <c r="L661" s="0" t="n">
        <v>58842</v>
      </c>
      <c r="M661" s="0" t="n">
        <v>58648</v>
      </c>
      <c r="N661" s="0" t="n">
        <v>62</v>
      </c>
      <c r="O661" s="54" t="n">
        <f aca="false">YEAR(B661)</f>
        <v>2021</v>
      </c>
      <c r="P661" s="54" t="n">
        <f aca="false">IF(AND(E661&gt;=14400,K661&gt;0,L661&gt;0),1,0)</f>
        <v>1</v>
      </c>
      <c r="Q661" s="53" t="n">
        <f aca="false">IF(P661=1,F661/E661*MIN(L661/K661,1)*MIN(MAX(M661/L661,0),1),0)</f>
        <v>0.653529250961574</v>
      </c>
      <c r="R661" s="55" t="n">
        <f aca="false">IF(F661&gt;0,N661/(F661/3600),0)</f>
        <v>3.68235382391657</v>
      </c>
    </row>
    <row r="662" customFormat="false" ht="15" hidden="false" customHeight="false" outlineLevel="0" collapsed="false">
      <c r="A662" s="0" t="s">
        <v>258</v>
      </c>
      <c r="B662" s="52" t="n">
        <v>44554</v>
      </c>
      <c r="C662" s="0" t="n">
        <v>53585.446</v>
      </c>
      <c r="D662" s="0" t="n">
        <v>4187.237</v>
      </c>
      <c r="E662" s="0" t="n">
        <v>49398.209</v>
      </c>
      <c r="F662" s="0" t="n">
        <v>29815.511</v>
      </c>
      <c r="G662" s="0" t="n">
        <v>27945.265</v>
      </c>
      <c r="H662" s="0" t="n">
        <v>1870.246</v>
      </c>
      <c r="I662" s="0" t="n">
        <v>7092.455</v>
      </c>
      <c r="J662" s="0" t="n">
        <v>12490.243</v>
      </c>
      <c r="K662" s="0" t="n">
        <v>37269.38875</v>
      </c>
      <c r="L662" s="0" t="n">
        <v>34741</v>
      </c>
      <c r="M662" s="0" t="n">
        <v>34615</v>
      </c>
      <c r="N662" s="0" t="n">
        <v>61</v>
      </c>
      <c r="O662" s="54" t="n">
        <f aca="false">YEAR(B662)</f>
        <v>2021</v>
      </c>
      <c r="P662" s="54" t="n">
        <f aca="false">IF(AND(E662&gt;=14400,K662&gt;0,L662&gt;0),1,0)</f>
        <v>1</v>
      </c>
      <c r="Q662" s="53" t="n">
        <f aca="false">IF(P662=1,F662/E662*MIN(L662/K662,1)*MIN(MAX(M662/L662,0),1),0)</f>
        <v>0.560587125739721</v>
      </c>
      <c r="R662" s="55" t="n">
        <f aca="false">IF(F662&gt;0,N662/(F662/3600),0)</f>
        <v>7.36529385661041</v>
      </c>
    </row>
    <row r="663" customFormat="false" ht="15" hidden="false" customHeight="false" outlineLevel="0" collapsed="false">
      <c r="A663" s="0" t="s">
        <v>258</v>
      </c>
      <c r="B663" s="52" t="n">
        <v>44556</v>
      </c>
      <c r="C663" s="0" t="n">
        <v>83265.339</v>
      </c>
      <c r="D663" s="0" t="n">
        <v>12883.194</v>
      </c>
      <c r="E663" s="0" t="n">
        <v>70382.145</v>
      </c>
      <c r="F663" s="0" t="n">
        <v>49414.599</v>
      </c>
      <c r="G663" s="0" t="n">
        <v>39368.266</v>
      </c>
      <c r="H663" s="0" t="n">
        <v>10046.333</v>
      </c>
      <c r="I663" s="0" t="n">
        <v>6403.816</v>
      </c>
      <c r="J663" s="0" t="n">
        <v>14563.73</v>
      </c>
      <c r="K663" s="0" t="n">
        <v>61711.9675</v>
      </c>
      <c r="L663" s="0" t="n">
        <v>48907</v>
      </c>
      <c r="M663" s="0" t="n">
        <v>48793</v>
      </c>
      <c r="N663" s="0" t="n">
        <v>68</v>
      </c>
      <c r="O663" s="54" t="n">
        <f aca="false">YEAR(B663)</f>
        <v>2021</v>
      </c>
      <c r="P663" s="54" t="n">
        <f aca="false">IF(AND(E663&gt;=14400,K663&gt;0,L663&gt;0),1,0)</f>
        <v>1</v>
      </c>
      <c r="Q663" s="53" t="n">
        <f aca="false">IF(P663=1,F663/E663*MIN(L663/K663,1)*MIN(MAX(M663/L663,0),1),0)</f>
        <v>0.555112370219615</v>
      </c>
      <c r="R663" s="55" t="n">
        <f aca="false">IF(F663&gt;0,N663/(F663/3600),0)</f>
        <v>4.95400154921828</v>
      </c>
    </row>
    <row r="664" customFormat="false" ht="15" hidden="false" customHeight="false" outlineLevel="0" collapsed="false">
      <c r="A664" s="0" t="s">
        <v>258</v>
      </c>
      <c r="B664" s="52" t="n">
        <v>44557</v>
      </c>
      <c r="C664" s="0" t="n">
        <v>77247.238</v>
      </c>
      <c r="D664" s="0" t="n">
        <v>7086.657</v>
      </c>
      <c r="E664" s="0" t="n">
        <v>70160.581</v>
      </c>
      <c r="F664" s="0" t="n">
        <v>54752.507</v>
      </c>
      <c r="G664" s="0" t="n">
        <v>45621.058</v>
      </c>
      <c r="H664" s="0" t="n">
        <v>9131.449</v>
      </c>
      <c r="I664" s="0" t="n">
        <v>12263.643</v>
      </c>
      <c r="J664" s="0" t="n">
        <v>3144.431</v>
      </c>
      <c r="K664" s="0" t="n">
        <v>68440.63375</v>
      </c>
      <c r="L664" s="0" t="n">
        <v>56788</v>
      </c>
      <c r="M664" s="0" t="n">
        <v>56660</v>
      </c>
      <c r="N664" s="0" t="n">
        <v>50</v>
      </c>
      <c r="O664" s="54" t="n">
        <f aca="false">YEAR(B664)</f>
        <v>2021</v>
      </c>
      <c r="P664" s="54" t="n">
        <f aca="false">IF(AND(E664&gt;=14400,K664&gt;0,L664&gt;0),1,0)</f>
        <v>1</v>
      </c>
      <c r="Q664" s="53" t="n">
        <f aca="false">IF(P664=1,F664/E664*MIN(L664/K664,1)*MIN(MAX(M664/L664,0),1),0)</f>
        <v>0.646060784473834</v>
      </c>
      <c r="R664" s="55" t="n">
        <f aca="false">IF(F664&gt;0,N664/(F664/3600),0)</f>
        <v>3.28752069745409</v>
      </c>
    </row>
    <row r="665" customFormat="false" ht="15" hidden="false" customHeight="false" outlineLevel="0" collapsed="false">
      <c r="A665" s="0" t="s">
        <v>258</v>
      </c>
      <c r="B665" s="52" t="n">
        <v>44558</v>
      </c>
      <c r="C665" s="0" t="n">
        <v>78192.468</v>
      </c>
      <c r="D665" s="0" t="n">
        <v>5686.164</v>
      </c>
      <c r="E665" s="0" t="n">
        <v>72506.304</v>
      </c>
      <c r="F665" s="0" t="n">
        <v>48844.076</v>
      </c>
      <c r="G665" s="0" t="n">
        <v>40832.359</v>
      </c>
      <c r="H665" s="0" t="n">
        <v>8011.717</v>
      </c>
      <c r="I665" s="0" t="n">
        <v>6593.238</v>
      </c>
      <c r="J665" s="0" t="n">
        <v>17068.99</v>
      </c>
      <c r="K665" s="0" t="n">
        <v>60966.50125</v>
      </c>
      <c r="L665" s="0" t="n">
        <v>50826</v>
      </c>
      <c r="M665" s="0" t="n">
        <v>50710</v>
      </c>
      <c r="N665" s="0" t="n">
        <v>45</v>
      </c>
      <c r="O665" s="54" t="n">
        <f aca="false">YEAR(B665)</f>
        <v>2021</v>
      </c>
      <c r="P665" s="54" t="n">
        <f aca="false">IF(AND(E665&gt;=14400,K665&gt;0,L665&gt;0),1,0)</f>
        <v>1</v>
      </c>
      <c r="Q665" s="53" t="n">
        <f aca="false">IF(P665=1,F665/E665*MIN(L665/K665,1)*MIN(MAX(M665/L665,0),1),0)</f>
        <v>0.560323024804254</v>
      </c>
      <c r="R665" s="55" t="n">
        <f aca="false">IF(F665&gt;0,N665/(F665/3600),0)</f>
        <v>3.31667651978922</v>
      </c>
    </row>
    <row r="666" customFormat="false" ht="15" hidden="false" customHeight="false" outlineLevel="0" collapsed="false">
      <c r="A666" s="0" t="s">
        <v>258</v>
      </c>
      <c r="B666" s="52" t="n">
        <v>44559</v>
      </c>
      <c r="C666" s="0" t="n">
        <v>82773.597</v>
      </c>
      <c r="D666" s="0" t="n">
        <v>3274.65</v>
      </c>
      <c r="E666" s="0" t="n">
        <v>79498.947</v>
      </c>
      <c r="F666" s="0" t="n">
        <v>59145.296</v>
      </c>
      <c r="G666" s="0" t="n">
        <v>54812.286</v>
      </c>
      <c r="H666" s="0" t="n">
        <v>4333.01</v>
      </c>
      <c r="I666" s="0" t="n">
        <v>17324.108</v>
      </c>
      <c r="J666" s="0" t="n">
        <v>3029.543</v>
      </c>
      <c r="K666" s="0" t="n">
        <v>73931.62</v>
      </c>
      <c r="L666" s="0" t="n">
        <v>67177</v>
      </c>
      <c r="M666" s="0" t="n">
        <v>66914</v>
      </c>
      <c r="N666" s="0" t="n">
        <v>69</v>
      </c>
      <c r="O666" s="54" t="n">
        <f aca="false">YEAR(B666)</f>
        <v>2021</v>
      </c>
      <c r="P666" s="54" t="n">
        <f aca="false">IF(AND(E666&gt;=14400,K666&gt;0,L666&gt;0),1,0)</f>
        <v>1</v>
      </c>
      <c r="Q666" s="53" t="n">
        <f aca="false">IF(P666=1,F666/E666*MIN(L666/K666,1)*MIN(MAX(M666/L666,0),1),0)</f>
        <v>0.673357346481583</v>
      </c>
      <c r="R666" s="55" t="n">
        <f aca="false">IF(F666&gt;0,N666/(F666/3600),0)</f>
        <v>4.19982681293877</v>
      </c>
    </row>
    <row r="667" customFormat="false" ht="15" hidden="false" customHeight="false" outlineLevel="0" collapsed="false">
      <c r="A667" s="0" t="s">
        <v>258</v>
      </c>
      <c r="B667" s="52" t="n">
        <v>44560</v>
      </c>
      <c r="C667" s="0" t="n">
        <v>83607.118</v>
      </c>
      <c r="D667" s="0" t="n">
        <v>11556.96</v>
      </c>
      <c r="E667" s="0" t="n">
        <v>72050.158</v>
      </c>
      <c r="F667" s="0" t="n">
        <v>59416.802</v>
      </c>
      <c r="G667" s="0" t="n">
        <v>51817.692</v>
      </c>
      <c r="H667" s="0" t="n">
        <v>7599.11</v>
      </c>
      <c r="I667" s="0" t="n">
        <v>8602.906</v>
      </c>
      <c r="J667" s="0" t="n">
        <v>4030.45</v>
      </c>
      <c r="K667" s="0" t="n">
        <v>74014.4778125</v>
      </c>
      <c r="L667" s="0" t="n">
        <v>63440</v>
      </c>
      <c r="M667" s="0" t="n">
        <v>63295</v>
      </c>
      <c r="N667" s="0" t="n">
        <v>54</v>
      </c>
      <c r="O667" s="54" t="n">
        <f aca="false">YEAR(B667)</f>
        <v>2021</v>
      </c>
      <c r="P667" s="54" t="n">
        <f aca="false">IF(AND(E667&gt;=14400,K667&gt;0,L667&gt;0),1,0)</f>
        <v>1</v>
      </c>
      <c r="Q667" s="53" t="n">
        <f aca="false">IF(P667=1,F667/E667*MIN(L667/K667,1)*MIN(MAX(M667/L667,0),1),0)</f>
        <v>0.705223961920637</v>
      </c>
      <c r="R667" s="55" t="n">
        <f aca="false">IF(F667&gt;0,N667/(F667/3600),0)</f>
        <v>3.27180180447948</v>
      </c>
    </row>
    <row r="668" customFormat="false" ht="15" hidden="false" customHeight="false" outlineLevel="0" collapsed="false">
      <c r="A668" s="0" t="s">
        <v>258</v>
      </c>
      <c r="B668" s="52" t="n">
        <v>44561</v>
      </c>
      <c r="C668" s="0" t="n">
        <v>36662.501</v>
      </c>
      <c r="D668" s="0" t="n">
        <v>5692.811</v>
      </c>
      <c r="E668" s="0" t="n">
        <v>30969.69</v>
      </c>
      <c r="F668" s="0" t="n">
        <v>20443.805</v>
      </c>
      <c r="G668" s="0" t="n">
        <v>18437.216</v>
      </c>
      <c r="H668" s="0" t="n">
        <v>2006.589</v>
      </c>
      <c r="I668" s="0" t="n">
        <v>6589.297</v>
      </c>
      <c r="J668" s="0" t="n">
        <v>3936.588</v>
      </c>
      <c r="K668" s="0" t="n">
        <v>25554.75625</v>
      </c>
      <c r="L668" s="0" t="n">
        <v>22919</v>
      </c>
      <c r="M668" s="0" t="n">
        <v>22863</v>
      </c>
      <c r="N668" s="0" t="n">
        <v>39</v>
      </c>
      <c r="O668" s="54" t="n">
        <f aca="false">YEAR(B668)</f>
        <v>2021</v>
      </c>
      <c r="P668" s="54" t="n">
        <f aca="false">IF(AND(E668&gt;=14400,K668&gt;0,L668&gt;0),1,0)</f>
        <v>1</v>
      </c>
      <c r="Q668" s="53" t="n">
        <f aca="false">IF(P668=1,F668/E668*MIN(L668/K668,1)*MIN(MAX(M668/L668,0),1),0)</f>
        <v>0.59059034817591</v>
      </c>
      <c r="R668" s="55" t="n">
        <f aca="false">IF(F668&gt;0,N668/(F668/3600),0)</f>
        <v>6.8676061036583</v>
      </c>
    </row>
    <row r="669" customFormat="false" ht="15" hidden="false" customHeight="false" outlineLevel="0" collapsed="false">
      <c r="A669" s="0" t="s">
        <v>259</v>
      </c>
      <c r="B669" s="52" t="n">
        <v>43997</v>
      </c>
      <c r="C669" s="0" t="n">
        <v>34525.761</v>
      </c>
      <c r="D669" s="0" t="n">
        <v>14070.675</v>
      </c>
      <c r="E669" s="0" t="n">
        <v>20455.086</v>
      </c>
      <c r="F669" s="0" t="n">
        <v>0</v>
      </c>
      <c r="G669" s="0" t="n">
        <v>0</v>
      </c>
      <c r="H669" s="0" t="n">
        <v>0</v>
      </c>
      <c r="I669" s="0" t="n">
        <v>0</v>
      </c>
      <c r="J669" s="0" t="n">
        <v>20455.086</v>
      </c>
      <c r="K669" s="0" t="n">
        <v>0</v>
      </c>
      <c r="L669" s="0" t="n">
        <v>0</v>
      </c>
      <c r="M669" s="0" t="n">
        <v>0</v>
      </c>
      <c r="N669" s="0" t="n">
        <v>0</v>
      </c>
      <c r="O669" s="54" t="n">
        <f aca="false">YEAR(B669)</f>
        <v>2020</v>
      </c>
      <c r="P669" s="54" t="n">
        <f aca="false">IF(AND(E669&gt;=14400,K669&gt;0,L669&gt;0),1,0)</f>
        <v>0</v>
      </c>
      <c r="Q669" s="53" t="n">
        <f aca="false">IF(P669=1,F669/E669*MIN(L669/K669,1)*MIN(MAX(M669/L669,0),1),0)</f>
        <v>0</v>
      </c>
      <c r="R669" s="55" t="n">
        <f aca="false">IF(F669&gt;0,N669/(F669/3600),0)</f>
        <v>0</v>
      </c>
    </row>
    <row r="670" customFormat="false" ht="15" hidden="false" customHeight="false" outlineLevel="0" collapsed="false">
      <c r="A670" s="0" t="s">
        <v>259</v>
      </c>
      <c r="B670" s="52" t="n">
        <v>43998</v>
      </c>
      <c r="C670" s="0" t="n">
        <v>38432.044</v>
      </c>
      <c r="D670" s="0" t="n">
        <v>15530.73</v>
      </c>
      <c r="E670" s="0" t="n">
        <v>22901.314</v>
      </c>
      <c r="F670" s="0" t="n">
        <v>309.064</v>
      </c>
      <c r="G670" s="0" t="n">
        <v>0</v>
      </c>
      <c r="H670" s="0" t="n">
        <v>309.064</v>
      </c>
      <c r="I670" s="0" t="n">
        <v>0</v>
      </c>
      <c r="J670" s="0" t="n">
        <v>22592.25</v>
      </c>
      <c r="K670" s="0" t="n">
        <v>537.444297222222</v>
      </c>
      <c r="L670" s="0" t="n">
        <v>0</v>
      </c>
      <c r="M670" s="0" t="n">
        <v>0</v>
      </c>
      <c r="N670" s="0" t="n">
        <v>0</v>
      </c>
      <c r="O670" s="54" t="n">
        <f aca="false">YEAR(B670)</f>
        <v>2020</v>
      </c>
      <c r="P670" s="54" t="n">
        <f aca="false">IF(AND(E670&gt;=14400,K670&gt;0,L670&gt;0),1,0)</f>
        <v>0</v>
      </c>
      <c r="Q670" s="53" t="n">
        <f aca="false">IF(P670=1,F670/E670*MIN(L670/K670,1)*MIN(MAX(M670/L670,0),1),0)</f>
        <v>0</v>
      </c>
      <c r="R670" s="55" t="n">
        <f aca="false">IF(F670&gt;0,N670/(F670/3600),0)</f>
        <v>0</v>
      </c>
    </row>
    <row r="671" customFormat="false" ht="15" hidden="false" customHeight="false" outlineLevel="0" collapsed="false">
      <c r="A671" s="0" t="s">
        <v>259</v>
      </c>
      <c r="B671" s="52" t="n">
        <v>43999</v>
      </c>
      <c r="C671" s="0" t="n">
        <v>78028.856</v>
      </c>
      <c r="D671" s="0" t="n">
        <v>31343.784</v>
      </c>
      <c r="E671" s="0" t="n">
        <v>46685.072</v>
      </c>
      <c r="F671" s="0" t="n">
        <v>12836.697</v>
      </c>
      <c r="G671" s="0" t="n">
        <v>1606.295</v>
      </c>
      <c r="H671" s="0" t="n">
        <v>11230.402</v>
      </c>
      <c r="I671" s="0" t="n">
        <v>17178.256</v>
      </c>
      <c r="J671" s="0" t="n">
        <v>16670.119</v>
      </c>
      <c r="K671" s="0" t="n">
        <v>22097.7925066667</v>
      </c>
      <c r="L671" s="0" t="n">
        <v>2637</v>
      </c>
      <c r="M671" s="0" t="n">
        <v>2472</v>
      </c>
      <c r="N671" s="0" t="n">
        <v>13</v>
      </c>
      <c r="O671" s="54" t="n">
        <f aca="false">YEAR(B671)</f>
        <v>2020</v>
      </c>
      <c r="P671" s="54" t="n">
        <f aca="false">IF(AND(E671&gt;=14400,K671&gt;0,L671&gt;0),1,0)</f>
        <v>1</v>
      </c>
      <c r="Q671" s="53" t="n">
        <f aca="false">IF(P671=1,F671/E671*MIN(L671/K671,1)*MIN(MAX(M671/L671,0),1),0)</f>
        <v>0.0307591855774665</v>
      </c>
      <c r="R671" s="55" t="n">
        <f aca="false">IF(F671&gt;0,N671/(F671/3600),0)</f>
        <v>3.6457976689798</v>
      </c>
    </row>
    <row r="672" customFormat="false" ht="15" hidden="false" customHeight="false" outlineLevel="0" collapsed="false">
      <c r="A672" s="0" t="s">
        <v>259</v>
      </c>
      <c r="B672" s="52" t="n">
        <v>44000</v>
      </c>
      <c r="C672" s="0" t="n">
        <v>35207.271</v>
      </c>
      <c r="D672" s="0" t="n">
        <v>11630.836</v>
      </c>
      <c r="E672" s="0" t="n">
        <v>23576.435</v>
      </c>
      <c r="F672" s="0" t="n">
        <v>3913.01</v>
      </c>
      <c r="G672" s="0" t="n">
        <v>32.837</v>
      </c>
      <c r="H672" s="0" t="n">
        <v>3880.173</v>
      </c>
      <c r="I672" s="0" t="n">
        <v>0</v>
      </c>
      <c r="J672" s="0" t="n">
        <v>19663.425</v>
      </c>
      <c r="K672" s="0" t="n">
        <v>7065.15694444445</v>
      </c>
      <c r="L672" s="0" t="n">
        <v>57</v>
      </c>
      <c r="M672" s="0" t="n">
        <v>30</v>
      </c>
      <c r="N672" s="0" t="n">
        <v>0</v>
      </c>
      <c r="O672" s="54" t="n">
        <f aca="false">YEAR(B672)</f>
        <v>2020</v>
      </c>
      <c r="P672" s="54" t="n">
        <f aca="false">IF(AND(E672&gt;=14400,K672&gt;0,L672&gt;0),1,0)</f>
        <v>1</v>
      </c>
      <c r="Q672" s="53" t="n">
        <f aca="false">IF(P672=1,F672/E672*MIN(L672/K672,1)*MIN(MAX(M672/L672,0),1),0)</f>
        <v>0.000704745421238818</v>
      </c>
      <c r="R672" s="55" t="n">
        <f aca="false">IF(F672&gt;0,N672/(F672/3600),0)</f>
        <v>0</v>
      </c>
    </row>
    <row r="673" customFormat="false" ht="15" hidden="false" customHeight="false" outlineLevel="0" collapsed="false">
      <c r="A673" s="0" t="s">
        <v>259</v>
      </c>
      <c r="B673" s="52" t="n">
        <v>44001</v>
      </c>
      <c r="C673" s="0" t="n">
        <v>29305.333</v>
      </c>
      <c r="D673" s="0" t="n">
        <v>16905.805</v>
      </c>
      <c r="E673" s="0" t="n">
        <v>12399.528</v>
      </c>
      <c r="F673" s="0" t="n">
        <v>2225.732</v>
      </c>
      <c r="G673" s="0" t="n">
        <v>150.493</v>
      </c>
      <c r="H673" s="0" t="n">
        <v>2075.239</v>
      </c>
      <c r="I673" s="0" t="n">
        <v>1500.486</v>
      </c>
      <c r="J673" s="0" t="n">
        <v>8673.31</v>
      </c>
      <c r="K673" s="0" t="n">
        <v>4018.68277777778</v>
      </c>
      <c r="L673" s="0" t="n">
        <v>263</v>
      </c>
      <c r="M673" s="0" t="n">
        <v>173</v>
      </c>
      <c r="N673" s="0" t="n">
        <v>7</v>
      </c>
      <c r="O673" s="54" t="n">
        <f aca="false">YEAR(B673)</f>
        <v>2020</v>
      </c>
      <c r="P673" s="54" t="n">
        <f aca="false">IF(AND(E673&gt;=14400,K673&gt;0,L673&gt;0),1,0)</f>
        <v>0</v>
      </c>
      <c r="Q673" s="53" t="n">
        <f aca="false">IF(P673=1,F673/E673*MIN(L673/K673,1)*MIN(MAX(M673/L673,0),1),0)</f>
        <v>0</v>
      </c>
      <c r="R673" s="55" t="n">
        <f aca="false">IF(F673&gt;0,N673/(F673/3600),0)</f>
        <v>11.3221178470723</v>
      </c>
    </row>
    <row r="674" customFormat="false" ht="15" hidden="false" customHeight="false" outlineLevel="0" collapsed="false">
      <c r="A674" s="0" t="s">
        <v>259</v>
      </c>
      <c r="B674" s="52" t="n">
        <v>44004</v>
      </c>
      <c r="C674" s="0" t="n">
        <v>36533.35</v>
      </c>
      <c r="D674" s="0" t="n">
        <v>23286.022</v>
      </c>
      <c r="E674" s="0" t="n">
        <v>13247.328</v>
      </c>
      <c r="F674" s="0" t="n">
        <v>4930.957</v>
      </c>
      <c r="G674" s="0" t="n">
        <v>0</v>
      </c>
      <c r="H674" s="0" t="n">
        <v>4930.957</v>
      </c>
      <c r="I674" s="0" t="n">
        <v>0</v>
      </c>
      <c r="J674" s="0" t="n">
        <v>8316.371</v>
      </c>
      <c r="K674" s="0" t="n">
        <v>8903.11680555556</v>
      </c>
      <c r="L674" s="0" t="n">
        <v>0</v>
      </c>
      <c r="M674" s="0" t="n">
        <v>0</v>
      </c>
      <c r="N674" s="0" t="n">
        <v>0</v>
      </c>
      <c r="O674" s="54" t="n">
        <f aca="false">YEAR(B674)</f>
        <v>2020</v>
      </c>
      <c r="P674" s="54" t="n">
        <f aca="false">IF(AND(E674&gt;=14400,K674&gt;0,L674&gt;0),1,0)</f>
        <v>0</v>
      </c>
      <c r="Q674" s="53" t="n">
        <f aca="false">IF(P674=1,F674/E674*MIN(L674/K674,1)*MIN(MAX(M674/L674,0),1),0)</f>
        <v>0</v>
      </c>
      <c r="R674" s="55" t="n">
        <f aca="false">IF(F674&gt;0,N674/(F674/3600),0)</f>
        <v>0</v>
      </c>
    </row>
    <row r="675" customFormat="false" ht="15" hidden="false" customHeight="false" outlineLevel="0" collapsed="false">
      <c r="A675" s="0" t="s">
        <v>259</v>
      </c>
      <c r="B675" s="52" t="n">
        <v>44005</v>
      </c>
      <c r="C675" s="0" t="n">
        <v>45671.524</v>
      </c>
      <c r="D675" s="0" t="n">
        <v>16217.482</v>
      </c>
      <c r="E675" s="0" t="n">
        <v>29454.042</v>
      </c>
      <c r="F675" s="0" t="n">
        <v>5645.615</v>
      </c>
      <c r="G675" s="0" t="n">
        <v>74.913</v>
      </c>
      <c r="H675" s="0" t="n">
        <v>5570.702</v>
      </c>
      <c r="I675" s="0" t="n">
        <v>0</v>
      </c>
      <c r="J675" s="0" t="n">
        <v>23808.427</v>
      </c>
      <c r="K675" s="0" t="n">
        <v>10193.4715277778</v>
      </c>
      <c r="L675" s="0" t="n">
        <v>138</v>
      </c>
      <c r="M675" s="0" t="n">
        <v>112</v>
      </c>
      <c r="N675" s="0" t="n">
        <v>0</v>
      </c>
      <c r="O675" s="54" t="n">
        <f aca="false">YEAR(B675)</f>
        <v>2020</v>
      </c>
      <c r="P675" s="54" t="n">
        <f aca="false">IF(AND(E675&gt;=14400,K675&gt;0,L675&gt;0),1,0)</f>
        <v>1</v>
      </c>
      <c r="Q675" s="53" t="n">
        <f aca="false">IF(P675=1,F675/E675*MIN(L675/K675,1)*MIN(MAX(M675/L675,0),1),0)</f>
        <v>0.00210601890330601</v>
      </c>
      <c r="R675" s="55" t="n">
        <f aca="false">IF(F675&gt;0,N675/(F675/3600),0)</f>
        <v>0</v>
      </c>
    </row>
    <row r="676" customFormat="false" ht="15" hidden="false" customHeight="false" outlineLevel="0" collapsed="false">
      <c r="A676" s="0" t="s">
        <v>259</v>
      </c>
      <c r="B676" s="52" t="n">
        <v>44006</v>
      </c>
      <c r="C676" s="0" t="n">
        <v>45255.236</v>
      </c>
      <c r="D676" s="0" t="n">
        <v>7566.06</v>
      </c>
      <c r="E676" s="0" t="n">
        <v>37689.176</v>
      </c>
      <c r="F676" s="0" t="n">
        <v>19810.549</v>
      </c>
      <c r="G676" s="0" t="n">
        <v>2368.05</v>
      </c>
      <c r="H676" s="0" t="n">
        <v>17442.499</v>
      </c>
      <c r="I676" s="0" t="n">
        <v>4588.876</v>
      </c>
      <c r="J676" s="0" t="n">
        <v>13289.751</v>
      </c>
      <c r="K676" s="0" t="n">
        <v>33896.1256288889</v>
      </c>
      <c r="L676" s="0" t="n">
        <v>3988</v>
      </c>
      <c r="M676" s="0" t="n">
        <v>3698</v>
      </c>
      <c r="N676" s="0" t="n">
        <v>25</v>
      </c>
      <c r="O676" s="54" t="n">
        <f aca="false">YEAR(B676)</f>
        <v>2020</v>
      </c>
      <c r="P676" s="54" t="n">
        <f aca="false">IF(AND(E676&gt;=14400,K676&gt;0,L676&gt;0),1,0)</f>
        <v>1</v>
      </c>
      <c r="Q676" s="53" t="n">
        <f aca="false">IF(P676=1,F676/E676*MIN(L676/K676,1)*MIN(MAX(M676/L676,0),1),0)</f>
        <v>0.057345152861013</v>
      </c>
      <c r="R676" s="55" t="n">
        <f aca="false">IF(F676&gt;0,N676/(F676/3600),0)</f>
        <v>4.54303411783288</v>
      </c>
    </row>
    <row r="677" customFormat="false" ht="15" hidden="false" customHeight="false" outlineLevel="0" collapsed="false">
      <c r="A677" s="0" t="s">
        <v>259</v>
      </c>
      <c r="B677" s="52" t="n">
        <v>44007</v>
      </c>
      <c r="C677" s="0" t="n">
        <v>41422.24</v>
      </c>
      <c r="D677" s="0" t="n">
        <v>9925.396</v>
      </c>
      <c r="E677" s="0" t="n">
        <v>31496.844</v>
      </c>
      <c r="F677" s="0" t="n">
        <v>11148.374</v>
      </c>
      <c r="G677" s="0" t="n">
        <v>5422.175</v>
      </c>
      <c r="H677" s="0" t="n">
        <v>5726.199</v>
      </c>
      <c r="I677" s="0" t="n">
        <v>7364.611</v>
      </c>
      <c r="J677" s="0" t="n">
        <v>12983.859</v>
      </c>
      <c r="K677" s="0" t="n">
        <v>19125.6549511111</v>
      </c>
      <c r="L677" s="0" t="n">
        <v>9274</v>
      </c>
      <c r="M677" s="0" t="n">
        <v>9148</v>
      </c>
      <c r="N677" s="0" t="n">
        <v>38</v>
      </c>
      <c r="O677" s="54" t="n">
        <f aca="false">YEAR(B677)</f>
        <v>2020</v>
      </c>
      <c r="P677" s="54" t="n">
        <f aca="false">IF(AND(E677&gt;=14400,K677&gt;0,L677&gt;0),1,0)</f>
        <v>1</v>
      </c>
      <c r="Q677" s="53" t="n">
        <f aca="false">IF(P677=1,F677/E677*MIN(L677/K677,1)*MIN(MAX(M677/L677,0),1),0)</f>
        <v>0.169298975468435</v>
      </c>
      <c r="R677" s="55" t="n">
        <f aca="false">IF(F677&gt;0,N677/(F677/3600),0)</f>
        <v>12.270847748739</v>
      </c>
    </row>
    <row r="678" customFormat="false" ht="15" hidden="false" customHeight="false" outlineLevel="0" collapsed="false">
      <c r="A678" s="0" t="s">
        <v>259</v>
      </c>
      <c r="B678" s="52" t="n">
        <v>44008</v>
      </c>
      <c r="C678" s="0" t="n">
        <v>45089.959</v>
      </c>
      <c r="D678" s="0" t="n">
        <v>7903.672</v>
      </c>
      <c r="E678" s="0" t="n">
        <v>37186.287</v>
      </c>
      <c r="F678" s="0" t="n">
        <v>12571.419</v>
      </c>
      <c r="G678" s="0" t="n">
        <v>8987.161</v>
      </c>
      <c r="H678" s="0" t="n">
        <v>3584.258</v>
      </c>
      <c r="I678" s="0" t="n">
        <v>3210.525</v>
      </c>
      <c r="J678" s="0" t="n">
        <v>21404.343</v>
      </c>
      <c r="K678" s="0" t="n">
        <v>21529.70584</v>
      </c>
      <c r="L678" s="0" t="n">
        <v>15261</v>
      </c>
      <c r="M678" s="0" t="n">
        <v>15069</v>
      </c>
      <c r="N678" s="0" t="n">
        <v>48</v>
      </c>
      <c r="O678" s="54" t="n">
        <f aca="false">YEAR(B678)</f>
        <v>2020</v>
      </c>
      <c r="P678" s="54" t="n">
        <f aca="false">IF(AND(E678&gt;=14400,K678&gt;0,L678&gt;0),1,0)</f>
        <v>1</v>
      </c>
      <c r="Q678" s="53" t="n">
        <f aca="false">IF(P678=1,F678/E678*MIN(L678/K678,1)*MIN(MAX(M678/L678,0),1),0)</f>
        <v>0.236618023019365</v>
      </c>
      <c r="R678" s="55" t="n">
        <f aca="false">IF(F678&gt;0,N678/(F678/3600),0)</f>
        <v>13.7454650107518</v>
      </c>
    </row>
    <row r="679" customFormat="false" ht="15" hidden="false" customHeight="false" outlineLevel="0" collapsed="false">
      <c r="A679" s="0" t="s">
        <v>259</v>
      </c>
      <c r="B679" s="52" t="n">
        <v>44009</v>
      </c>
      <c r="C679" s="0" t="n">
        <v>16917.391</v>
      </c>
      <c r="D679" s="0" t="n">
        <v>7911.039</v>
      </c>
      <c r="E679" s="0" t="n">
        <v>9006.352</v>
      </c>
      <c r="F679" s="0" t="n">
        <v>4188.313</v>
      </c>
      <c r="G679" s="0" t="n">
        <v>3668.068</v>
      </c>
      <c r="H679" s="0" t="n">
        <v>520.245</v>
      </c>
      <c r="I679" s="0" t="n">
        <v>1578.459</v>
      </c>
      <c r="J679" s="0" t="n">
        <v>3239.58</v>
      </c>
      <c r="K679" s="0" t="n">
        <v>6983.30356</v>
      </c>
      <c r="L679" s="0" t="n">
        <v>6257</v>
      </c>
      <c r="M679" s="0" t="n">
        <v>6219</v>
      </c>
      <c r="N679" s="0" t="n">
        <v>22</v>
      </c>
      <c r="O679" s="54" t="n">
        <f aca="false">YEAR(B679)</f>
        <v>2020</v>
      </c>
      <c r="P679" s="54" t="n">
        <f aca="false">IF(AND(E679&gt;=14400,K679&gt;0,L679&gt;0),1,0)</f>
        <v>0</v>
      </c>
      <c r="Q679" s="53" t="n">
        <f aca="false">IF(P679=1,F679/E679*MIN(L679/K679,1)*MIN(MAX(M679/L679,0),1),0)</f>
        <v>0</v>
      </c>
      <c r="R679" s="55" t="n">
        <f aca="false">IF(F679&gt;0,N679/(F679/3600),0)</f>
        <v>18.9097615197336</v>
      </c>
    </row>
    <row r="680" customFormat="false" ht="15" hidden="false" customHeight="false" outlineLevel="0" collapsed="false">
      <c r="A680" s="0" t="s">
        <v>259</v>
      </c>
      <c r="B680" s="52" t="n">
        <v>44010</v>
      </c>
      <c r="C680" s="0" t="n">
        <v>7112.594</v>
      </c>
      <c r="D680" s="0" t="n">
        <v>6111.033</v>
      </c>
      <c r="E680" s="0" t="n">
        <v>1001.561</v>
      </c>
      <c r="F680" s="0" t="n">
        <v>54.521</v>
      </c>
      <c r="G680" s="0" t="n">
        <v>0</v>
      </c>
      <c r="H680" s="0" t="n">
        <v>54.521</v>
      </c>
      <c r="I680" s="0" t="n">
        <v>0</v>
      </c>
      <c r="J680" s="0" t="n">
        <v>947.04</v>
      </c>
      <c r="K680" s="0" t="n">
        <v>93.5338044444444</v>
      </c>
      <c r="L680" s="0" t="n">
        <v>0</v>
      </c>
      <c r="M680" s="0" t="n">
        <v>0</v>
      </c>
      <c r="N680" s="0" t="n">
        <v>0</v>
      </c>
      <c r="O680" s="54" t="n">
        <f aca="false">YEAR(B680)</f>
        <v>2020</v>
      </c>
      <c r="P680" s="54" t="n">
        <f aca="false">IF(AND(E680&gt;=14400,K680&gt;0,L680&gt;0),1,0)</f>
        <v>0</v>
      </c>
      <c r="Q680" s="53" t="n">
        <f aca="false">IF(P680=1,F680/E680*MIN(L680/K680,1)*MIN(MAX(M680/L680,0),1),0)</f>
        <v>0</v>
      </c>
      <c r="R680" s="55" t="n">
        <f aca="false">IF(F680&gt;0,N680/(F680/3600),0)</f>
        <v>0</v>
      </c>
    </row>
    <row r="681" customFormat="false" ht="15" hidden="false" customHeight="false" outlineLevel="0" collapsed="false">
      <c r="A681" s="0" t="s">
        <v>259</v>
      </c>
      <c r="B681" s="52" t="n">
        <v>44011</v>
      </c>
      <c r="C681" s="0" t="n">
        <v>45875.617</v>
      </c>
      <c r="D681" s="0" t="n">
        <v>10882.346</v>
      </c>
      <c r="E681" s="0" t="n">
        <v>34993.271</v>
      </c>
      <c r="F681" s="0" t="n">
        <v>11369.857</v>
      </c>
      <c r="G681" s="0" t="n">
        <v>5752.467</v>
      </c>
      <c r="H681" s="0" t="n">
        <v>5617.39</v>
      </c>
      <c r="I681" s="0" t="n">
        <v>3109.281</v>
      </c>
      <c r="J681" s="0" t="n">
        <v>20514.133</v>
      </c>
      <c r="K681" s="0" t="n">
        <v>19636.9170322222</v>
      </c>
      <c r="L681" s="0" t="n">
        <v>9963</v>
      </c>
      <c r="M681" s="0" t="n">
        <v>12519</v>
      </c>
      <c r="N681" s="0" t="n">
        <v>16</v>
      </c>
      <c r="O681" s="54" t="n">
        <f aca="false">YEAR(B681)</f>
        <v>2020</v>
      </c>
      <c r="P681" s="54" t="n">
        <f aca="false">IF(AND(E681&gt;=14400,K681&gt;0,L681&gt;0),1,0)</f>
        <v>1</v>
      </c>
      <c r="Q681" s="53" t="n">
        <f aca="false">IF(P681=1,F681/E681*MIN(L681/K681,1)*MIN(MAX(M681/L681,0),1),0)</f>
        <v>0.164849368412328</v>
      </c>
      <c r="R681" s="55" t="n">
        <f aca="false">IF(F681&gt;0,N681/(F681/3600),0)</f>
        <v>5.06602677588645</v>
      </c>
    </row>
    <row r="682" customFormat="false" ht="15" hidden="false" customHeight="false" outlineLevel="0" collapsed="false">
      <c r="A682" s="0" t="s">
        <v>259</v>
      </c>
      <c r="B682" s="52" t="n">
        <v>44012</v>
      </c>
      <c r="C682" s="0" t="n">
        <v>44383.435</v>
      </c>
      <c r="D682" s="0" t="n">
        <v>8201.736</v>
      </c>
      <c r="E682" s="0" t="n">
        <v>36181.699</v>
      </c>
      <c r="F682" s="0" t="n">
        <v>10966.969</v>
      </c>
      <c r="G682" s="0" t="n">
        <v>5235.206</v>
      </c>
      <c r="H682" s="0" t="n">
        <v>5731.763</v>
      </c>
      <c r="I682" s="0" t="n">
        <v>3377.224</v>
      </c>
      <c r="J682" s="0" t="n">
        <v>21837.506</v>
      </c>
      <c r="K682" s="0" t="n">
        <v>19646.3472655556</v>
      </c>
      <c r="L682" s="0" t="n">
        <v>9392</v>
      </c>
      <c r="M682" s="0" t="n">
        <v>9392</v>
      </c>
      <c r="N682" s="0" t="n">
        <v>16</v>
      </c>
      <c r="O682" s="54" t="n">
        <f aca="false">YEAR(B682)</f>
        <v>2020</v>
      </c>
      <c r="P682" s="54" t="n">
        <f aca="false">IF(AND(E682&gt;=14400,K682&gt;0,L682&gt;0),1,0)</f>
        <v>1</v>
      </c>
      <c r="Q682" s="53" t="n">
        <f aca="false">IF(P682=1,F682/E682*MIN(L682/K682,1)*MIN(MAX(M682/L682,0),1),0)</f>
        <v>0.144901848950389</v>
      </c>
      <c r="R682" s="55" t="n">
        <f aca="false">IF(F682&gt;0,N682/(F682/3600),0)</f>
        <v>5.25213484236164</v>
      </c>
    </row>
    <row r="683" customFormat="false" ht="15" hidden="false" customHeight="false" outlineLevel="0" collapsed="false">
      <c r="A683" s="0" t="s">
        <v>259</v>
      </c>
      <c r="B683" s="52" t="n">
        <v>44013</v>
      </c>
      <c r="C683" s="0" t="n">
        <v>38558.55</v>
      </c>
      <c r="D683" s="0" t="n">
        <v>11221.661</v>
      </c>
      <c r="E683" s="0" t="n">
        <v>27336.889</v>
      </c>
      <c r="F683" s="0" t="n">
        <v>13754.106</v>
      </c>
      <c r="G683" s="0" t="n">
        <v>5033.744</v>
      </c>
      <c r="H683" s="0" t="n">
        <v>8720.362</v>
      </c>
      <c r="I683" s="0" t="n">
        <v>2999.365</v>
      </c>
      <c r="J683" s="0" t="n">
        <v>10583.418</v>
      </c>
      <c r="K683" s="0" t="n">
        <v>24037.38791</v>
      </c>
      <c r="L683" s="0" t="n">
        <v>8710</v>
      </c>
      <c r="M683" s="0" t="n">
        <v>8218</v>
      </c>
      <c r="N683" s="0" t="n">
        <v>14</v>
      </c>
      <c r="O683" s="54" t="n">
        <f aca="false">YEAR(B683)</f>
        <v>2020</v>
      </c>
      <c r="P683" s="54" t="n">
        <f aca="false">IF(AND(E683&gt;=14400,K683&gt;0,L683&gt;0),1,0)</f>
        <v>1</v>
      </c>
      <c r="Q683" s="53" t="n">
        <f aca="false">IF(P683=1,F683/E683*MIN(L683/K683,1)*MIN(MAX(M683/L683,0),1),0)</f>
        <v>0.172013345494034</v>
      </c>
      <c r="R683" s="55" t="n">
        <f aca="false">IF(F683&gt;0,N683/(F683/3600),0)</f>
        <v>3.66436030084398</v>
      </c>
    </row>
    <row r="684" customFormat="false" ht="15" hidden="false" customHeight="false" outlineLevel="0" collapsed="false">
      <c r="A684" s="0" t="s">
        <v>259</v>
      </c>
      <c r="B684" s="52" t="n">
        <v>44014</v>
      </c>
      <c r="C684" s="0" t="n">
        <v>42180.355</v>
      </c>
      <c r="D684" s="0" t="n">
        <v>10430.673</v>
      </c>
      <c r="E684" s="0" t="n">
        <v>31749.682</v>
      </c>
      <c r="F684" s="0" t="n">
        <v>7939.385</v>
      </c>
      <c r="G684" s="0" t="n">
        <v>5896.863</v>
      </c>
      <c r="H684" s="0" t="n">
        <v>2042.522</v>
      </c>
      <c r="I684" s="0" t="n">
        <v>6005.261</v>
      </c>
      <c r="J684" s="0" t="n">
        <v>17805.036</v>
      </c>
      <c r="K684" s="0" t="n">
        <v>14259.1040544444</v>
      </c>
      <c r="L684" s="0" t="n">
        <v>10591</v>
      </c>
      <c r="M684" s="0" t="n">
        <v>10387</v>
      </c>
      <c r="N684" s="0" t="n">
        <v>31</v>
      </c>
      <c r="O684" s="54" t="n">
        <f aca="false">YEAR(B684)</f>
        <v>2020</v>
      </c>
      <c r="P684" s="54" t="n">
        <f aca="false">IF(AND(E684&gt;=14400,K684&gt;0,L684&gt;0),1,0)</f>
        <v>1</v>
      </c>
      <c r="Q684" s="53" t="n">
        <f aca="false">IF(P684=1,F684/E684*MIN(L684/K684,1)*MIN(MAX(M684/L684,0),1),0)</f>
        <v>0.182156794839366</v>
      </c>
      <c r="R684" s="55" t="n">
        <f aca="false">IF(F684&gt;0,N684/(F684/3600),0)</f>
        <v>14.0565043765984</v>
      </c>
    </row>
    <row r="685" customFormat="false" ht="15" hidden="false" customHeight="false" outlineLevel="0" collapsed="false">
      <c r="A685" s="0" t="s">
        <v>259</v>
      </c>
      <c r="B685" s="52" t="n">
        <v>44015</v>
      </c>
      <c r="C685" s="0" t="n">
        <v>49564.262</v>
      </c>
      <c r="D685" s="0" t="n">
        <v>9707.022</v>
      </c>
      <c r="E685" s="0" t="n">
        <v>39857.24</v>
      </c>
      <c r="F685" s="0" t="n">
        <v>9223.699</v>
      </c>
      <c r="G685" s="0" t="n">
        <v>4080.542</v>
      </c>
      <c r="H685" s="0" t="n">
        <v>5143.157</v>
      </c>
      <c r="I685" s="0" t="n">
        <v>4746.909</v>
      </c>
      <c r="J685" s="0" t="n">
        <v>25886.632</v>
      </c>
      <c r="K685" s="0" t="n">
        <v>13122.2478472222</v>
      </c>
      <c r="L685" s="0" t="n">
        <v>4781</v>
      </c>
      <c r="M685" s="0" t="n">
        <v>4522</v>
      </c>
      <c r="N685" s="0" t="n">
        <v>16</v>
      </c>
      <c r="O685" s="54" t="n">
        <f aca="false">YEAR(B685)</f>
        <v>2020</v>
      </c>
      <c r="P685" s="54" t="n">
        <f aca="false">IF(AND(E685&gt;=14400,K685&gt;0,L685&gt;0),1,0)</f>
        <v>1</v>
      </c>
      <c r="Q685" s="53" t="n">
        <f aca="false">IF(P685=1,F685/E685*MIN(L685/K685,1)*MIN(MAX(M685/L685,0),1),0)</f>
        <v>0.0797480774616217</v>
      </c>
      <c r="R685" s="55" t="n">
        <f aca="false">IF(F685&gt;0,N685/(F685/3600),0)</f>
        <v>6.24478313960592</v>
      </c>
    </row>
    <row r="686" customFormat="false" ht="15" hidden="false" customHeight="false" outlineLevel="0" collapsed="false">
      <c r="A686" s="0" t="s">
        <v>259</v>
      </c>
      <c r="B686" s="52" t="n">
        <v>44016</v>
      </c>
      <c r="C686" s="0" t="n">
        <v>23583.773</v>
      </c>
      <c r="D686" s="0" t="n">
        <v>5866.441</v>
      </c>
      <c r="E686" s="0" t="n">
        <v>17717.332</v>
      </c>
      <c r="F686" s="0" t="n">
        <v>4906.717</v>
      </c>
      <c r="G686" s="0" t="n">
        <v>204.486</v>
      </c>
      <c r="H686" s="0" t="n">
        <v>4702.231</v>
      </c>
      <c r="I686" s="0" t="n">
        <v>147.354</v>
      </c>
      <c r="J686" s="0" t="n">
        <v>12663.261</v>
      </c>
      <c r="K686" s="0" t="n">
        <v>6442.62820138889</v>
      </c>
      <c r="L686" s="0" t="n">
        <v>361</v>
      </c>
      <c r="M686" s="0" t="n">
        <v>320</v>
      </c>
      <c r="N686" s="0" t="n">
        <v>1</v>
      </c>
      <c r="O686" s="54" t="n">
        <f aca="false">YEAR(B686)</f>
        <v>2020</v>
      </c>
      <c r="P686" s="54" t="n">
        <f aca="false">IF(AND(E686&gt;=14400,K686&gt;0,L686&gt;0),1,0)</f>
        <v>1</v>
      </c>
      <c r="Q686" s="53" t="n">
        <f aca="false">IF(P686=1,F686/E686*MIN(L686/K686,1)*MIN(MAX(M686/L686,0),1),0)</f>
        <v>0.0137556018215546</v>
      </c>
      <c r="R686" s="55" t="n">
        <f aca="false">IF(F686&gt;0,N686/(F686/3600),0)</f>
        <v>0.73368812588947</v>
      </c>
    </row>
    <row r="687" customFormat="false" ht="15" hidden="false" customHeight="false" outlineLevel="0" collapsed="false">
      <c r="A687" s="0" t="s">
        <v>259</v>
      </c>
      <c r="B687" s="52" t="n">
        <v>44017</v>
      </c>
      <c r="C687" s="0" t="n">
        <v>13518.535</v>
      </c>
      <c r="D687" s="0" t="n">
        <v>9446.386</v>
      </c>
      <c r="E687" s="0" t="n">
        <v>4072.149</v>
      </c>
      <c r="F687" s="0" t="n">
        <v>0</v>
      </c>
      <c r="G687" s="0" t="n">
        <v>0</v>
      </c>
      <c r="H687" s="0" t="n">
        <v>0</v>
      </c>
      <c r="I687" s="0" t="n">
        <v>0</v>
      </c>
      <c r="J687" s="0" t="n">
        <v>4072.149</v>
      </c>
      <c r="K687" s="0" t="n">
        <v>0</v>
      </c>
      <c r="L687" s="0" t="n">
        <v>0</v>
      </c>
      <c r="M687" s="0" t="n">
        <v>0</v>
      </c>
      <c r="N687" s="0" t="n">
        <v>0</v>
      </c>
      <c r="O687" s="54" t="n">
        <f aca="false">YEAR(B687)</f>
        <v>2020</v>
      </c>
      <c r="P687" s="54" t="n">
        <f aca="false">IF(AND(E687&gt;=14400,K687&gt;0,L687&gt;0),1,0)</f>
        <v>0</v>
      </c>
      <c r="Q687" s="53" t="n">
        <f aca="false">IF(P687=1,F687/E687*MIN(L687/K687,1)*MIN(MAX(M687/L687,0),1),0)</f>
        <v>0</v>
      </c>
      <c r="R687" s="55" t="n">
        <f aca="false">IF(F687&gt;0,N687/(F687/3600),0)</f>
        <v>0</v>
      </c>
    </row>
    <row r="688" customFormat="false" ht="15" hidden="false" customHeight="false" outlineLevel="0" collapsed="false">
      <c r="A688" s="0" t="s">
        <v>259</v>
      </c>
      <c r="B688" s="52" t="n">
        <v>44018</v>
      </c>
      <c r="C688" s="0" t="n">
        <v>44378.363</v>
      </c>
      <c r="D688" s="0" t="n">
        <v>15752.766</v>
      </c>
      <c r="E688" s="0" t="n">
        <v>28625.597</v>
      </c>
      <c r="F688" s="0" t="n">
        <v>7575.718</v>
      </c>
      <c r="G688" s="0" t="n">
        <v>5761.811</v>
      </c>
      <c r="H688" s="0" t="n">
        <v>1813.907</v>
      </c>
      <c r="I688" s="0" t="n">
        <v>4498.454</v>
      </c>
      <c r="J688" s="0" t="n">
        <v>16551.425</v>
      </c>
      <c r="K688" s="0" t="n">
        <v>12092.0643877778</v>
      </c>
      <c r="L688" s="0" t="n">
        <v>8812</v>
      </c>
      <c r="M688" s="0" t="n">
        <v>8540</v>
      </c>
      <c r="N688" s="0" t="n">
        <v>41</v>
      </c>
      <c r="O688" s="54" t="n">
        <f aca="false">YEAR(B688)</f>
        <v>2020</v>
      </c>
      <c r="P688" s="54" t="n">
        <f aca="false">IF(AND(E688&gt;=14400,K688&gt;0,L688&gt;0),1,0)</f>
        <v>1</v>
      </c>
      <c r="Q688" s="53" t="n">
        <f aca="false">IF(P688=1,F688/E688*MIN(L688/K688,1)*MIN(MAX(M688/L688,0),1),0)</f>
        <v>0.186907473425079</v>
      </c>
      <c r="R688" s="55" t="n">
        <f aca="false">IF(F688&gt;0,N688/(F688/3600),0)</f>
        <v>19.4833017807685</v>
      </c>
    </row>
    <row r="689" customFormat="false" ht="15" hidden="false" customHeight="false" outlineLevel="0" collapsed="false">
      <c r="A689" s="0" t="s">
        <v>259</v>
      </c>
      <c r="B689" s="52" t="n">
        <v>44019</v>
      </c>
      <c r="C689" s="0" t="n">
        <v>42001.382</v>
      </c>
      <c r="D689" s="0" t="n">
        <v>15130.552</v>
      </c>
      <c r="E689" s="0" t="n">
        <v>26870.83</v>
      </c>
      <c r="F689" s="0" t="n">
        <v>8351.637</v>
      </c>
      <c r="G689" s="0" t="n">
        <v>4600.96</v>
      </c>
      <c r="H689" s="0" t="n">
        <v>3750.677</v>
      </c>
      <c r="I689" s="0" t="n">
        <v>5118.28</v>
      </c>
      <c r="J689" s="0" t="n">
        <v>13400.913</v>
      </c>
      <c r="K689" s="0" t="n">
        <v>14122.7475555556</v>
      </c>
      <c r="L689" s="0" t="n">
        <v>8081</v>
      </c>
      <c r="M689" s="0" t="n">
        <v>7888</v>
      </c>
      <c r="N689" s="0" t="n">
        <v>41</v>
      </c>
      <c r="O689" s="54" t="n">
        <f aca="false">YEAR(B689)</f>
        <v>2020</v>
      </c>
      <c r="P689" s="54" t="n">
        <f aca="false">IF(AND(E689&gt;=14400,K689&gt;0,L689&gt;0),1,0)</f>
        <v>1</v>
      </c>
      <c r="Q689" s="53" t="n">
        <f aca="false">IF(P689=1,F689/E689*MIN(L689/K689,1)*MIN(MAX(M689/L689,0),1),0)</f>
        <v>0.173595408473869</v>
      </c>
      <c r="R689" s="55" t="n">
        <f aca="false">IF(F689&gt;0,N689/(F689/3600),0)</f>
        <v>17.6731819163117</v>
      </c>
    </row>
    <row r="690" customFormat="false" ht="15" hidden="false" customHeight="false" outlineLevel="0" collapsed="false">
      <c r="A690" s="0" t="s">
        <v>259</v>
      </c>
      <c r="B690" s="52" t="n">
        <v>44020</v>
      </c>
      <c r="C690" s="0" t="n">
        <v>38786.113</v>
      </c>
      <c r="D690" s="0" t="n">
        <v>12120.669</v>
      </c>
      <c r="E690" s="0" t="n">
        <v>26665.444</v>
      </c>
      <c r="F690" s="0" t="n">
        <v>6192.054</v>
      </c>
      <c r="G690" s="0" t="n">
        <v>3885.878</v>
      </c>
      <c r="H690" s="0" t="n">
        <v>2306.176</v>
      </c>
      <c r="I690" s="0" t="n">
        <v>4732.956</v>
      </c>
      <c r="J690" s="0" t="n">
        <v>15740.434</v>
      </c>
      <c r="K690" s="0" t="n">
        <v>11180.0975</v>
      </c>
      <c r="L690" s="0" t="n">
        <v>6995</v>
      </c>
      <c r="M690" s="0" t="n">
        <v>6881</v>
      </c>
      <c r="N690" s="0" t="n">
        <v>32</v>
      </c>
      <c r="O690" s="54" t="n">
        <f aca="false">YEAR(B690)</f>
        <v>2020</v>
      </c>
      <c r="P690" s="54" t="n">
        <f aca="false">IF(AND(E690&gt;=14400,K690&gt;0,L690&gt;0),1,0)</f>
        <v>1</v>
      </c>
      <c r="Q690" s="53" t="n">
        <f aca="false">IF(P690=1,F690/E690*MIN(L690/K690,1)*MIN(MAX(M690/L690,0),1),0)</f>
        <v>0.142919629788103</v>
      </c>
      <c r="R690" s="55" t="n">
        <f aca="false">IF(F690&gt;0,N690/(F690/3600),0)</f>
        <v>18.6044889143409</v>
      </c>
    </row>
    <row r="691" customFormat="false" ht="15" hidden="false" customHeight="false" outlineLevel="0" collapsed="false">
      <c r="A691" s="0" t="s">
        <v>259</v>
      </c>
      <c r="B691" s="52" t="n">
        <v>44021</v>
      </c>
      <c r="C691" s="0" t="n">
        <v>33198.8</v>
      </c>
      <c r="D691" s="0" t="n">
        <v>9584.679</v>
      </c>
      <c r="E691" s="0" t="n">
        <v>23614.121</v>
      </c>
      <c r="F691" s="0" t="n">
        <v>7071.032</v>
      </c>
      <c r="G691" s="0" t="n">
        <v>4871.456</v>
      </c>
      <c r="H691" s="0" t="n">
        <v>2199.576</v>
      </c>
      <c r="I691" s="0" t="n">
        <v>6893.625</v>
      </c>
      <c r="J691" s="0" t="n">
        <v>9649.464</v>
      </c>
      <c r="K691" s="0" t="n">
        <v>12767.1411111111</v>
      </c>
      <c r="L691" s="0" t="n">
        <v>8691</v>
      </c>
      <c r="M691" s="0" t="n">
        <v>8507</v>
      </c>
      <c r="N691" s="0" t="n">
        <v>38</v>
      </c>
      <c r="O691" s="54" t="n">
        <f aca="false">YEAR(B691)</f>
        <v>2020</v>
      </c>
      <c r="P691" s="54" t="n">
        <f aca="false">IF(AND(E691&gt;=14400,K691&gt;0,L691&gt;0),1,0)</f>
        <v>1</v>
      </c>
      <c r="Q691" s="53" t="n">
        <f aca="false">IF(P691=1,F691/E691*MIN(L691/K691,1)*MIN(MAX(M691/L691,0),1),0)</f>
        <v>0.19952337970866</v>
      </c>
      <c r="R691" s="55" t="n">
        <f aca="false">IF(F691&gt;0,N691/(F691/3600),0)</f>
        <v>19.3465395150241</v>
      </c>
    </row>
    <row r="692" customFormat="false" ht="15" hidden="false" customHeight="false" outlineLevel="0" collapsed="false">
      <c r="A692" s="0" t="s">
        <v>259</v>
      </c>
      <c r="B692" s="52" t="n">
        <v>44022</v>
      </c>
      <c r="C692" s="0" t="n">
        <v>61733.657</v>
      </c>
      <c r="D692" s="0" t="n">
        <v>30965.195</v>
      </c>
      <c r="E692" s="0" t="n">
        <v>30768.462</v>
      </c>
      <c r="F692" s="0" t="n">
        <v>17282.637</v>
      </c>
      <c r="G692" s="0" t="n">
        <v>13239.06</v>
      </c>
      <c r="H692" s="0" t="n">
        <v>4043.577</v>
      </c>
      <c r="I692" s="0" t="n">
        <v>5808.451</v>
      </c>
      <c r="J692" s="0" t="n">
        <v>7677.374</v>
      </c>
      <c r="K692" s="0" t="n">
        <v>18457.9361313889</v>
      </c>
      <c r="L692" s="0" t="n">
        <v>12548</v>
      </c>
      <c r="M692" s="0" t="n">
        <v>12070</v>
      </c>
      <c r="N692" s="0" t="n">
        <v>38</v>
      </c>
      <c r="O692" s="54" t="n">
        <f aca="false">YEAR(B692)</f>
        <v>2020</v>
      </c>
      <c r="P692" s="54" t="n">
        <f aca="false">IF(AND(E692&gt;=14400,K692&gt;0,L692&gt;0),1,0)</f>
        <v>1</v>
      </c>
      <c r="Q692" s="53" t="n">
        <f aca="false">IF(P692=1,F692/E692*MIN(L692/K692,1)*MIN(MAX(M692/L692,0),1),0)</f>
        <v>0.36730627802127</v>
      </c>
      <c r="R692" s="55" t="n">
        <f aca="false">IF(F692&gt;0,N692/(F692/3600),0)</f>
        <v>7.91545873468268</v>
      </c>
    </row>
    <row r="693" customFormat="false" ht="15" hidden="false" customHeight="false" outlineLevel="0" collapsed="false">
      <c r="A693" s="0" t="s">
        <v>259</v>
      </c>
      <c r="B693" s="52" t="n">
        <v>44023</v>
      </c>
      <c r="C693" s="0" t="n">
        <v>36098.664</v>
      </c>
      <c r="D693" s="0" t="n">
        <v>11660.226</v>
      </c>
      <c r="E693" s="0" t="n">
        <v>24438.438</v>
      </c>
      <c r="F693" s="0" t="n">
        <v>7450.895</v>
      </c>
      <c r="G693" s="0" t="n">
        <v>4752.805</v>
      </c>
      <c r="H693" s="0" t="n">
        <v>2698.09</v>
      </c>
      <c r="I693" s="0" t="n">
        <v>4081.518</v>
      </c>
      <c r="J693" s="0" t="n">
        <v>12906.025</v>
      </c>
      <c r="K693" s="0" t="n">
        <v>13388.8259416667</v>
      </c>
      <c r="L693" s="0" t="n">
        <v>8334</v>
      </c>
      <c r="M693" s="0" t="n">
        <v>8118</v>
      </c>
      <c r="N693" s="0" t="n">
        <v>58</v>
      </c>
      <c r="O693" s="54" t="n">
        <f aca="false">YEAR(B693)</f>
        <v>2020</v>
      </c>
      <c r="P693" s="54" t="n">
        <f aca="false">IF(AND(E693&gt;=14400,K693&gt;0,L693&gt;0),1,0)</f>
        <v>1</v>
      </c>
      <c r="Q693" s="53" t="n">
        <f aca="false">IF(P693=1,F693/E693*MIN(L693/K693,1)*MIN(MAX(M693/L693,0),1),0)</f>
        <v>0.184859404787715</v>
      </c>
      <c r="R693" s="55" t="n">
        <f aca="false">IF(F693&gt;0,N693/(F693/3600),0)</f>
        <v>28.0234790585561</v>
      </c>
    </row>
    <row r="694" customFormat="false" ht="15" hidden="false" customHeight="false" outlineLevel="0" collapsed="false">
      <c r="A694" s="0" t="s">
        <v>259</v>
      </c>
      <c r="B694" s="52" t="n">
        <v>44024</v>
      </c>
      <c r="C694" s="0" t="n">
        <v>10322.778</v>
      </c>
      <c r="D694" s="0" t="n">
        <v>2280.999</v>
      </c>
      <c r="E694" s="0" t="n">
        <v>8041.779</v>
      </c>
      <c r="F694" s="0" t="n">
        <v>137.118</v>
      </c>
      <c r="G694" s="0" t="n">
        <v>82.279</v>
      </c>
      <c r="H694" s="0" t="n">
        <v>54.839</v>
      </c>
      <c r="I694" s="0" t="n">
        <v>0</v>
      </c>
      <c r="J694" s="0" t="n">
        <v>7904.661</v>
      </c>
      <c r="K694" s="0" t="n">
        <v>247.574166666667</v>
      </c>
      <c r="L694" s="0" t="n">
        <v>110</v>
      </c>
      <c r="M694" s="0" t="n">
        <v>92</v>
      </c>
      <c r="N694" s="0" t="n">
        <v>0</v>
      </c>
      <c r="O694" s="54" t="n">
        <f aca="false">YEAR(B694)</f>
        <v>2020</v>
      </c>
      <c r="P694" s="54" t="n">
        <f aca="false">IF(AND(E694&gt;=14400,K694&gt;0,L694&gt;0),1,0)</f>
        <v>0</v>
      </c>
      <c r="Q694" s="53" t="n">
        <f aca="false">IF(P694=1,F694/E694*MIN(L694/K694,1)*MIN(MAX(M694/L694,0),1),0)</f>
        <v>0</v>
      </c>
      <c r="R694" s="55" t="n">
        <f aca="false">IF(F694&gt;0,N694/(F694/3600),0)</f>
        <v>0</v>
      </c>
    </row>
    <row r="695" customFormat="false" ht="15" hidden="false" customHeight="false" outlineLevel="0" collapsed="false">
      <c r="A695" s="0" t="s">
        <v>259</v>
      </c>
      <c r="B695" s="52" t="n">
        <v>44025</v>
      </c>
      <c r="C695" s="0" t="n">
        <v>29637.412</v>
      </c>
      <c r="D695" s="0" t="n">
        <v>8974.048</v>
      </c>
      <c r="E695" s="0" t="n">
        <v>20663.364</v>
      </c>
      <c r="F695" s="0" t="n">
        <v>6371.323</v>
      </c>
      <c r="G695" s="0" t="n">
        <v>4866.503</v>
      </c>
      <c r="H695" s="0" t="n">
        <v>1504.82</v>
      </c>
      <c r="I695" s="0" t="n">
        <v>3341.798</v>
      </c>
      <c r="J695" s="0" t="n">
        <v>10950.243</v>
      </c>
      <c r="K695" s="0" t="n">
        <v>11370.6422916667</v>
      </c>
      <c r="L695" s="0" t="n">
        <v>8539</v>
      </c>
      <c r="M695" s="0" t="n">
        <v>8413</v>
      </c>
      <c r="N695" s="0" t="n">
        <v>49</v>
      </c>
      <c r="O695" s="54" t="n">
        <f aca="false">YEAR(B695)</f>
        <v>2020</v>
      </c>
      <c r="P695" s="54" t="n">
        <f aca="false">IF(AND(E695&gt;=14400,K695&gt;0,L695&gt;0),1,0)</f>
        <v>1</v>
      </c>
      <c r="Q695" s="53" t="n">
        <f aca="false">IF(P695=1,F695/E695*MIN(L695/K695,1)*MIN(MAX(M695/L695,0),1),0)</f>
        <v>0.228136349543639</v>
      </c>
      <c r="R695" s="55" t="n">
        <f aca="false">IF(F695&gt;0,N695/(F695/3600),0)</f>
        <v>27.6865574073077</v>
      </c>
    </row>
    <row r="696" customFormat="false" ht="15" hidden="false" customHeight="false" outlineLevel="0" collapsed="false">
      <c r="A696" s="0" t="s">
        <v>259</v>
      </c>
      <c r="B696" s="52" t="n">
        <v>44026</v>
      </c>
      <c r="C696" s="0" t="n">
        <v>42262.86</v>
      </c>
      <c r="D696" s="0" t="n">
        <v>9000.123</v>
      </c>
      <c r="E696" s="0" t="n">
        <v>33262.737</v>
      </c>
      <c r="F696" s="0" t="n">
        <v>10670.15</v>
      </c>
      <c r="G696" s="0" t="n">
        <v>5681.611</v>
      </c>
      <c r="H696" s="0" t="n">
        <v>4988.539</v>
      </c>
      <c r="I696" s="0" t="n">
        <v>13516.253</v>
      </c>
      <c r="J696" s="0" t="n">
        <v>9076.334</v>
      </c>
      <c r="K696" s="0" t="n">
        <v>19265.5486111111</v>
      </c>
      <c r="L696" s="0" t="n">
        <v>9911</v>
      </c>
      <c r="M696" s="0" t="n">
        <v>9693</v>
      </c>
      <c r="N696" s="0" t="n">
        <v>79</v>
      </c>
      <c r="O696" s="54" t="n">
        <f aca="false">YEAR(B696)</f>
        <v>2020</v>
      </c>
      <c r="P696" s="54" t="n">
        <f aca="false">IF(AND(E696&gt;=14400,K696&gt;0,L696&gt;0),1,0)</f>
        <v>1</v>
      </c>
      <c r="Q696" s="53" t="n">
        <f aca="false">IF(P696=1,F696/E696*MIN(L696/K696,1)*MIN(MAX(M696/L696,0),1),0)</f>
        <v>0.161394739381512</v>
      </c>
      <c r="R696" s="55" t="n">
        <f aca="false">IF(F696&gt;0,N696/(F696/3600),0)</f>
        <v>26.6537958697863</v>
      </c>
    </row>
    <row r="697" customFormat="false" ht="15" hidden="false" customHeight="false" outlineLevel="0" collapsed="false">
      <c r="A697" s="0" t="s">
        <v>259</v>
      </c>
      <c r="B697" s="52" t="n">
        <v>44027</v>
      </c>
      <c r="C697" s="0" t="n">
        <v>30971.967</v>
      </c>
      <c r="D697" s="0" t="n">
        <v>9002.568</v>
      </c>
      <c r="E697" s="0" t="n">
        <v>21969.399</v>
      </c>
      <c r="F697" s="0" t="n">
        <v>10691.402</v>
      </c>
      <c r="G697" s="0" t="n">
        <v>5837.695</v>
      </c>
      <c r="H697" s="0" t="n">
        <v>4853.707</v>
      </c>
      <c r="I697" s="0" t="n">
        <v>4046.364</v>
      </c>
      <c r="J697" s="0" t="n">
        <v>7231.633</v>
      </c>
      <c r="K697" s="0" t="n">
        <v>19303.9202777778</v>
      </c>
      <c r="L697" s="0" t="n">
        <v>10429</v>
      </c>
      <c r="M697" s="0" t="n">
        <v>10243</v>
      </c>
      <c r="N697" s="0" t="n">
        <v>21</v>
      </c>
      <c r="O697" s="54" t="n">
        <f aca="false">YEAR(B697)</f>
        <v>2020</v>
      </c>
      <c r="P697" s="54" t="n">
        <f aca="false">IF(AND(E697&gt;=14400,K697&gt;0,L697&gt;0),1,0)</f>
        <v>1</v>
      </c>
      <c r="Q697" s="53" t="n">
        <f aca="false">IF(P697=1,F697/E697*MIN(L697/K697,1)*MIN(MAX(M697/L697,0),1),0)</f>
        <v>0.258224913382754</v>
      </c>
      <c r="R697" s="55" t="n">
        <f aca="false">IF(F697&gt;0,N697/(F697/3600),0)</f>
        <v>7.07110255511859</v>
      </c>
    </row>
    <row r="698" customFormat="false" ht="15" hidden="false" customHeight="false" outlineLevel="0" collapsed="false">
      <c r="A698" s="0" t="s">
        <v>259</v>
      </c>
      <c r="B698" s="52" t="n">
        <v>44028</v>
      </c>
      <c r="C698" s="0" t="n">
        <v>33704.698</v>
      </c>
      <c r="D698" s="0" t="n">
        <v>12578.796</v>
      </c>
      <c r="E698" s="0" t="n">
        <v>21125.902</v>
      </c>
      <c r="F698" s="0" t="n">
        <v>8319.875</v>
      </c>
      <c r="G698" s="0" t="n">
        <v>5685.224</v>
      </c>
      <c r="H698" s="0" t="n">
        <v>2634.651</v>
      </c>
      <c r="I698" s="0" t="n">
        <v>6516.856</v>
      </c>
      <c r="J698" s="0" t="n">
        <v>6289.171</v>
      </c>
      <c r="K698" s="0" t="n">
        <v>14757.4158333333</v>
      </c>
      <c r="L698" s="0" t="n">
        <v>10071</v>
      </c>
      <c r="M698" s="0" t="n">
        <v>9905</v>
      </c>
      <c r="N698" s="0" t="n">
        <v>31</v>
      </c>
      <c r="O698" s="54" t="n">
        <f aca="false">YEAR(B698)</f>
        <v>2020</v>
      </c>
      <c r="P698" s="54" t="n">
        <f aca="false">IF(AND(E698&gt;=14400,K698&gt;0,L698&gt;0),1,0)</f>
        <v>1</v>
      </c>
      <c r="Q698" s="53" t="n">
        <f aca="false">IF(P698=1,F698/E698*MIN(L698/K698,1)*MIN(MAX(M698/L698,0),1),0)</f>
        <v>0.264329543214208</v>
      </c>
      <c r="R698" s="55" t="n">
        <f aca="false">IF(F698&gt;0,N698/(F698/3600),0)</f>
        <v>13.4136630658513</v>
      </c>
    </row>
    <row r="699" customFormat="false" ht="15" hidden="false" customHeight="false" outlineLevel="0" collapsed="false">
      <c r="A699" s="0" t="s">
        <v>259</v>
      </c>
      <c r="B699" s="52" t="n">
        <v>44029</v>
      </c>
      <c r="C699" s="0" t="n">
        <v>43309.368</v>
      </c>
      <c r="D699" s="0" t="n">
        <v>8066.076</v>
      </c>
      <c r="E699" s="0" t="n">
        <v>35243.292</v>
      </c>
      <c r="F699" s="0" t="n">
        <v>10068.162</v>
      </c>
      <c r="G699" s="0" t="n">
        <v>6533.094</v>
      </c>
      <c r="H699" s="0" t="n">
        <v>3535.068</v>
      </c>
      <c r="I699" s="0" t="n">
        <v>3887.879</v>
      </c>
      <c r="J699" s="0" t="n">
        <v>21287.251</v>
      </c>
      <c r="K699" s="0" t="n">
        <v>18178.6258333333</v>
      </c>
      <c r="L699" s="0" t="n">
        <v>11801</v>
      </c>
      <c r="M699" s="0" t="n">
        <v>11700</v>
      </c>
      <c r="N699" s="0" t="n">
        <v>22</v>
      </c>
      <c r="O699" s="54" t="n">
        <f aca="false">YEAR(B699)</f>
        <v>2020</v>
      </c>
      <c r="P699" s="54" t="n">
        <f aca="false">IF(AND(E699&gt;=14400,K699&gt;0,L699&gt;0),1,0)</f>
        <v>1</v>
      </c>
      <c r="Q699" s="53" t="n">
        <f aca="false">IF(P699=1,F699/E699*MIN(L699/K699,1)*MIN(MAX(M699/L699,0),1),0)</f>
        <v>0.183864776309773</v>
      </c>
      <c r="R699" s="55" t="n">
        <f aca="false">IF(F699&gt;0,N699/(F699/3600),0)</f>
        <v>7.86638117265098</v>
      </c>
    </row>
    <row r="700" customFormat="false" ht="15" hidden="false" customHeight="false" outlineLevel="0" collapsed="false">
      <c r="A700" s="0" t="s">
        <v>259</v>
      </c>
      <c r="B700" s="52" t="n">
        <v>44030</v>
      </c>
      <c r="C700" s="0" t="n">
        <v>25059.154</v>
      </c>
      <c r="D700" s="0" t="n">
        <v>7433.757</v>
      </c>
      <c r="E700" s="0" t="n">
        <v>17625.397</v>
      </c>
      <c r="F700" s="0" t="n">
        <v>5473.182</v>
      </c>
      <c r="G700" s="0" t="n">
        <v>4735.731</v>
      </c>
      <c r="H700" s="0" t="n">
        <v>737.451</v>
      </c>
      <c r="I700" s="0" t="n">
        <v>7194.291</v>
      </c>
      <c r="J700" s="0" t="n">
        <v>4957.924</v>
      </c>
      <c r="K700" s="0" t="n">
        <v>9882.13416666667</v>
      </c>
      <c r="L700" s="0" t="n">
        <v>8529</v>
      </c>
      <c r="M700" s="0" t="n">
        <v>8478</v>
      </c>
      <c r="N700" s="0" t="n">
        <v>18</v>
      </c>
      <c r="O700" s="54" t="n">
        <f aca="false">YEAR(B700)</f>
        <v>2020</v>
      </c>
      <c r="P700" s="54" t="n">
        <f aca="false">IF(AND(E700&gt;=14400,K700&gt;0,L700&gt;0),1,0)</f>
        <v>1</v>
      </c>
      <c r="Q700" s="53" t="n">
        <f aca="false">IF(P700=1,F700/E700*MIN(L700/K700,1)*MIN(MAX(M700/L700,0),1),0)</f>
        <v>0.266405783217688</v>
      </c>
      <c r="R700" s="55" t="n">
        <f aca="false">IF(F700&gt;0,N700/(F700/3600),0)</f>
        <v>11.8395478169737</v>
      </c>
    </row>
    <row r="701" customFormat="false" ht="15" hidden="false" customHeight="false" outlineLevel="0" collapsed="false">
      <c r="A701" s="0" t="s">
        <v>259</v>
      </c>
      <c r="B701" s="52" t="n">
        <v>44031</v>
      </c>
      <c r="C701" s="0" t="n">
        <v>7841.106</v>
      </c>
      <c r="D701" s="0" t="n">
        <v>2539.967</v>
      </c>
      <c r="E701" s="0" t="n">
        <v>5301.139</v>
      </c>
      <c r="F701" s="0" t="n">
        <v>909.038</v>
      </c>
      <c r="G701" s="0" t="n">
        <v>864.597</v>
      </c>
      <c r="H701" s="0" t="n">
        <v>44.441</v>
      </c>
      <c r="I701" s="0" t="n">
        <v>1289</v>
      </c>
      <c r="J701" s="0" t="n">
        <v>3103.101</v>
      </c>
      <c r="K701" s="0" t="n">
        <v>1641.31861111111</v>
      </c>
      <c r="L701" s="0" t="n">
        <v>1582</v>
      </c>
      <c r="M701" s="0" t="n">
        <v>1566</v>
      </c>
      <c r="N701" s="0" t="n">
        <v>2</v>
      </c>
      <c r="O701" s="54" t="n">
        <f aca="false">YEAR(B701)</f>
        <v>2020</v>
      </c>
      <c r="P701" s="54" t="n">
        <f aca="false">IF(AND(E701&gt;=14400,K701&gt;0,L701&gt;0),1,0)</f>
        <v>0</v>
      </c>
      <c r="Q701" s="53" t="n">
        <f aca="false">IF(P701=1,F701/E701*MIN(L701/K701,1)*MIN(MAX(M701/L701,0),1),0)</f>
        <v>0</v>
      </c>
      <c r="R701" s="55" t="n">
        <f aca="false">IF(F701&gt;0,N701/(F701/3600),0)</f>
        <v>7.9204609708285</v>
      </c>
    </row>
    <row r="702" customFormat="false" ht="15" hidden="false" customHeight="false" outlineLevel="0" collapsed="false">
      <c r="A702" s="0" t="s">
        <v>259</v>
      </c>
      <c r="B702" s="52" t="n">
        <v>44032</v>
      </c>
      <c r="C702" s="0" t="n">
        <v>25685.577</v>
      </c>
      <c r="D702" s="0" t="n">
        <v>7557.875</v>
      </c>
      <c r="E702" s="0" t="n">
        <v>18127.702</v>
      </c>
      <c r="F702" s="0" t="n">
        <v>5448.767</v>
      </c>
      <c r="G702" s="0" t="n">
        <v>4318.904</v>
      </c>
      <c r="H702" s="0" t="n">
        <v>1129.863</v>
      </c>
      <c r="I702" s="0" t="n">
        <v>2393.145</v>
      </c>
      <c r="J702" s="0" t="n">
        <v>10285.79</v>
      </c>
      <c r="K702" s="0" t="n">
        <v>9838.05152777778</v>
      </c>
      <c r="L702" s="0" t="n">
        <v>7768</v>
      </c>
      <c r="M702" s="0" t="n">
        <v>7690</v>
      </c>
      <c r="N702" s="0" t="n">
        <v>18</v>
      </c>
      <c r="O702" s="54" t="n">
        <f aca="false">YEAR(B702)</f>
        <v>2020</v>
      </c>
      <c r="P702" s="54" t="n">
        <f aca="false">IF(AND(E702&gt;=14400,K702&gt;0,L702&gt;0),1,0)</f>
        <v>1</v>
      </c>
      <c r="Q702" s="53" t="n">
        <f aca="false">IF(P702=1,F702/E702*MIN(L702/K702,1)*MIN(MAX(M702/L702,0),1),0)</f>
        <v>0.234948529222122</v>
      </c>
      <c r="R702" s="55" t="n">
        <f aca="false">IF(F702&gt;0,N702/(F702/3600),0)</f>
        <v>11.892598820981</v>
      </c>
    </row>
    <row r="703" customFormat="false" ht="15" hidden="false" customHeight="false" outlineLevel="0" collapsed="false">
      <c r="A703" s="0" t="s">
        <v>259</v>
      </c>
      <c r="B703" s="52" t="n">
        <v>44033</v>
      </c>
      <c r="C703" s="0" t="n">
        <v>36471.617</v>
      </c>
      <c r="D703" s="0" t="n">
        <v>11855.925</v>
      </c>
      <c r="E703" s="0" t="n">
        <v>24615.692</v>
      </c>
      <c r="F703" s="0" t="n">
        <v>5872.887</v>
      </c>
      <c r="G703" s="0" t="n">
        <v>4560.942</v>
      </c>
      <c r="H703" s="0" t="n">
        <v>1311.945</v>
      </c>
      <c r="I703" s="0" t="n">
        <v>4838.097</v>
      </c>
      <c r="J703" s="0" t="n">
        <v>13904.708</v>
      </c>
      <c r="K703" s="0" t="n">
        <v>10603.82375</v>
      </c>
      <c r="L703" s="0" t="n">
        <v>8331</v>
      </c>
      <c r="M703" s="0" t="n">
        <v>8274</v>
      </c>
      <c r="N703" s="0" t="n">
        <v>20</v>
      </c>
      <c r="O703" s="54" t="n">
        <f aca="false">YEAR(B703)</f>
        <v>2020</v>
      </c>
      <c r="P703" s="54" t="n">
        <f aca="false">IF(AND(E703&gt;=14400,K703&gt;0,L703&gt;0),1,0)</f>
        <v>1</v>
      </c>
      <c r="Q703" s="53" t="n">
        <f aca="false">IF(P703=1,F703/E703*MIN(L703/K703,1)*MIN(MAX(M703/L703,0),1),0)</f>
        <v>0.186162675293592</v>
      </c>
      <c r="R703" s="55" t="n">
        <f aca="false">IF(F703&gt;0,N703/(F703/3600),0)</f>
        <v>12.2597284776635</v>
      </c>
    </row>
    <row r="704" customFormat="false" ht="15" hidden="false" customHeight="false" outlineLevel="0" collapsed="false">
      <c r="A704" s="0" t="s">
        <v>259</v>
      </c>
      <c r="B704" s="52" t="n">
        <v>44034</v>
      </c>
      <c r="C704" s="0" t="n">
        <v>42030.162</v>
      </c>
      <c r="D704" s="0" t="n">
        <v>13157.869</v>
      </c>
      <c r="E704" s="0" t="n">
        <v>28872.293</v>
      </c>
      <c r="F704" s="0" t="n">
        <v>6560.561</v>
      </c>
      <c r="G704" s="0" t="n">
        <v>4248.769</v>
      </c>
      <c r="H704" s="0" t="n">
        <v>2311.792</v>
      </c>
      <c r="I704" s="0" t="n">
        <v>4541.882</v>
      </c>
      <c r="J704" s="0" t="n">
        <v>17769.85</v>
      </c>
      <c r="K704" s="0" t="n">
        <v>11670.9793055556</v>
      </c>
      <c r="L704" s="0" t="n">
        <v>7569</v>
      </c>
      <c r="M704" s="0" t="n">
        <v>7510</v>
      </c>
      <c r="N704" s="0" t="n">
        <v>25</v>
      </c>
      <c r="O704" s="54" t="n">
        <f aca="false">YEAR(B704)</f>
        <v>2020</v>
      </c>
      <c r="P704" s="54" t="n">
        <f aca="false">IF(AND(E704&gt;=14400,K704&gt;0,L704&gt;0),1,0)</f>
        <v>1</v>
      </c>
      <c r="Q704" s="53" t="n">
        <f aca="false">IF(P704=1,F704/E704*MIN(L704/K704,1)*MIN(MAX(M704/L704,0),1),0)</f>
        <v>0.146215138364959</v>
      </c>
      <c r="R704" s="55" t="n">
        <f aca="false">IF(F704&gt;0,N704/(F704/3600),0)</f>
        <v>13.71833902619</v>
      </c>
    </row>
    <row r="705" customFormat="false" ht="15" hidden="false" customHeight="false" outlineLevel="0" collapsed="false">
      <c r="A705" s="0" t="s">
        <v>259</v>
      </c>
      <c r="B705" s="52" t="n">
        <v>44035</v>
      </c>
      <c r="C705" s="0" t="n">
        <v>48366.166</v>
      </c>
      <c r="D705" s="0" t="n">
        <v>16497.136</v>
      </c>
      <c r="E705" s="0" t="n">
        <v>31869.03</v>
      </c>
      <c r="F705" s="0" t="n">
        <v>7341.655</v>
      </c>
      <c r="G705" s="0" t="n">
        <v>5810.982</v>
      </c>
      <c r="H705" s="0" t="n">
        <v>1530.673</v>
      </c>
      <c r="I705" s="0" t="n">
        <v>4168.648</v>
      </c>
      <c r="J705" s="0" t="n">
        <v>20358.727</v>
      </c>
      <c r="K705" s="0" t="n">
        <v>12893.3796875</v>
      </c>
      <c r="L705" s="0" t="n">
        <v>10200</v>
      </c>
      <c r="M705" s="0" t="n">
        <v>10028</v>
      </c>
      <c r="N705" s="0" t="n">
        <v>46</v>
      </c>
      <c r="O705" s="54" t="n">
        <f aca="false">YEAR(B705)</f>
        <v>2020</v>
      </c>
      <c r="P705" s="54" t="n">
        <f aca="false">IF(AND(E705&gt;=14400,K705&gt;0,L705&gt;0),1,0)</f>
        <v>1</v>
      </c>
      <c r="Q705" s="53" t="n">
        <f aca="false">IF(P705=1,F705/E705*MIN(L705/K705,1)*MIN(MAX(M705/L705,0),1),0)</f>
        <v>0.179173047453551</v>
      </c>
      <c r="R705" s="55" t="n">
        <f aca="false">IF(F705&gt;0,N705/(F705/3600),0)</f>
        <v>22.5562219962665</v>
      </c>
    </row>
    <row r="706" customFormat="false" ht="15" hidden="false" customHeight="false" outlineLevel="0" collapsed="false">
      <c r="A706" s="0" t="s">
        <v>259</v>
      </c>
      <c r="B706" s="52" t="n">
        <v>44036</v>
      </c>
      <c r="C706" s="0" t="n">
        <v>38036.027</v>
      </c>
      <c r="D706" s="0" t="n">
        <v>12573.765</v>
      </c>
      <c r="E706" s="0" t="n">
        <v>25462.262</v>
      </c>
      <c r="F706" s="0" t="n">
        <v>8637.352</v>
      </c>
      <c r="G706" s="0" t="n">
        <v>7038.791</v>
      </c>
      <c r="H706" s="0" t="n">
        <v>1598.561</v>
      </c>
      <c r="I706" s="0" t="n">
        <v>4088.397</v>
      </c>
      <c r="J706" s="0" t="n">
        <v>12736.513</v>
      </c>
      <c r="K706" s="0" t="n">
        <v>15248.2353472222</v>
      </c>
      <c r="L706" s="0" t="n">
        <v>12477</v>
      </c>
      <c r="M706" s="0" t="n">
        <v>12394</v>
      </c>
      <c r="N706" s="0" t="n">
        <v>49</v>
      </c>
      <c r="O706" s="54" t="n">
        <f aca="false">YEAR(B706)</f>
        <v>2020</v>
      </c>
      <c r="P706" s="54" t="n">
        <f aca="false">IF(AND(E706&gt;=14400,K706&gt;0,L706&gt;0),1,0)</f>
        <v>1</v>
      </c>
      <c r="Q706" s="53" t="n">
        <f aca="false">IF(P706=1,F706/E706*MIN(L706/K706,1)*MIN(MAX(M706/L706,0),1),0)</f>
        <v>0.275724616697681</v>
      </c>
      <c r="R706" s="55" t="n">
        <f aca="false">IF(F706&gt;0,N706/(F706/3600),0)</f>
        <v>20.4229259152574</v>
      </c>
    </row>
    <row r="707" customFormat="false" ht="15" hidden="false" customHeight="false" outlineLevel="0" collapsed="false">
      <c r="A707" s="0" t="s">
        <v>259</v>
      </c>
      <c r="B707" s="52" t="n">
        <v>44037</v>
      </c>
      <c r="C707" s="0" t="n">
        <v>24502.013</v>
      </c>
      <c r="D707" s="0" t="n">
        <v>8352.739</v>
      </c>
      <c r="E707" s="0" t="n">
        <v>16149.274</v>
      </c>
      <c r="F707" s="0" t="n">
        <v>6179.742</v>
      </c>
      <c r="G707" s="0" t="n">
        <v>5004.595</v>
      </c>
      <c r="H707" s="0" t="n">
        <v>1175.147</v>
      </c>
      <c r="I707" s="0" t="n">
        <v>4139.39</v>
      </c>
      <c r="J707" s="0" t="n">
        <v>5830.142</v>
      </c>
      <c r="K707" s="0" t="n">
        <v>10992.3120486111</v>
      </c>
      <c r="L707" s="0" t="n">
        <v>8765</v>
      </c>
      <c r="M707" s="0" t="n">
        <v>8685</v>
      </c>
      <c r="N707" s="0" t="n">
        <v>42</v>
      </c>
      <c r="O707" s="54" t="n">
        <f aca="false">YEAR(B707)</f>
        <v>2020</v>
      </c>
      <c r="P707" s="54" t="n">
        <f aca="false">IF(AND(E707&gt;=14400,K707&gt;0,L707&gt;0),1,0)</f>
        <v>1</v>
      </c>
      <c r="Q707" s="53" t="n">
        <f aca="false">IF(P707=1,F707/E707*MIN(L707/K707,1)*MIN(MAX(M707/L707,0),1),0)</f>
        <v>0.302341744779906</v>
      </c>
      <c r="R707" s="55" t="n">
        <f aca="false">IF(F707&gt;0,N707/(F707/3600),0)</f>
        <v>24.4670408570455</v>
      </c>
    </row>
    <row r="708" customFormat="false" ht="15" hidden="false" customHeight="false" outlineLevel="0" collapsed="false">
      <c r="A708" s="0" t="s">
        <v>259</v>
      </c>
      <c r="B708" s="52" t="n">
        <v>44038</v>
      </c>
      <c r="C708" s="0" t="n">
        <v>13225.851</v>
      </c>
      <c r="D708" s="0" t="n">
        <v>2433.34</v>
      </c>
      <c r="E708" s="0" t="n">
        <v>10792.511</v>
      </c>
      <c r="F708" s="0" t="n">
        <v>7.42</v>
      </c>
      <c r="G708" s="0" t="n">
        <v>0</v>
      </c>
      <c r="H708" s="0" t="n">
        <v>7.42</v>
      </c>
      <c r="I708" s="0" t="n">
        <v>0</v>
      </c>
      <c r="J708" s="0" t="n">
        <v>10785.091</v>
      </c>
      <c r="K708" s="0" t="n">
        <v>13.3972222222222</v>
      </c>
      <c r="L708" s="0" t="n">
        <v>0</v>
      </c>
      <c r="M708" s="0" t="n">
        <v>0</v>
      </c>
      <c r="N708" s="0" t="n">
        <v>0</v>
      </c>
      <c r="O708" s="54" t="n">
        <f aca="false">YEAR(B708)</f>
        <v>2020</v>
      </c>
      <c r="P708" s="54" t="n">
        <f aca="false">IF(AND(E708&gt;=14400,K708&gt;0,L708&gt;0),1,0)</f>
        <v>0</v>
      </c>
      <c r="Q708" s="53" t="n">
        <f aca="false">IF(P708=1,F708/E708*MIN(L708/K708,1)*MIN(MAX(M708/L708,0),1),0)</f>
        <v>0</v>
      </c>
      <c r="R708" s="55" t="n">
        <f aca="false">IF(F708&gt;0,N708/(F708/3600),0)</f>
        <v>0</v>
      </c>
    </row>
    <row r="709" customFormat="false" ht="15" hidden="false" customHeight="false" outlineLevel="0" collapsed="false">
      <c r="A709" s="0" t="s">
        <v>259</v>
      </c>
      <c r="B709" s="52" t="n">
        <v>44039</v>
      </c>
      <c r="C709" s="0" t="n">
        <v>46844.627</v>
      </c>
      <c r="D709" s="0" t="n">
        <v>13466.328</v>
      </c>
      <c r="E709" s="0" t="n">
        <v>33378.299</v>
      </c>
      <c r="F709" s="0" t="n">
        <v>5816.193</v>
      </c>
      <c r="G709" s="0" t="n">
        <v>4963.912</v>
      </c>
      <c r="H709" s="0" t="n">
        <v>852.281</v>
      </c>
      <c r="I709" s="0" t="n">
        <v>5408.596</v>
      </c>
      <c r="J709" s="0" t="n">
        <v>22153.51</v>
      </c>
      <c r="K709" s="0" t="n">
        <v>10285.6794444444</v>
      </c>
      <c r="L709" s="0" t="n">
        <v>8743</v>
      </c>
      <c r="M709" s="0" t="n">
        <v>8682</v>
      </c>
      <c r="N709" s="0" t="n">
        <v>36</v>
      </c>
      <c r="O709" s="54" t="n">
        <f aca="false">YEAR(B709)</f>
        <v>2020</v>
      </c>
      <c r="P709" s="54" t="n">
        <f aca="false">IF(AND(E709&gt;=14400,K709&gt;0,L709&gt;0),1,0)</f>
        <v>1</v>
      </c>
      <c r="Q709" s="53" t="n">
        <f aca="false">IF(P709=1,F709/E709*MIN(L709/K709,1)*MIN(MAX(M709/L709,0),1),0)</f>
        <v>0.147082636070735</v>
      </c>
      <c r="R709" s="55" t="n">
        <f aca="false">IF(F709&gt;0,N709/(F709/3600),0)</f>
        <v>22.2826168251294</v>
      </c>
    </row>
    <row r="710" customFormat="false" ht="15" hidden="false" customHeight="false" outlineLevel="0" collapsed="false">
      <c r="A710" s="0" t="s">
        <v>259</v>
      </c>
      <c r="B710" s="52" t="n">
        <v>44040</v>
      </c>
      <c r="C710" s="0" t="n">
        <v>34062.687</v>
      </c>
      <c r="D710" s="0" t="n">
        <v>9233.284</v>
      </c>
      <c r="E710" s="0" t="n">
        <v>24829.403</v>
      </c>
      <c r="F710" s="0" t="n">
        <v>5086.994</v>
      </c>
      <c r="G710" s="0" t="n">
        <v>4373.797</v>
      </c>
      <c r="H710" s="0" t="n">
        <v>713.197</v>
      </c>
      <c r="I710" s="0" t="n">
        <v>5182.873</v>
      </c>
      <c r="J710" s="0" t="n">
        <v>14559.536</v>
      </c>
      <c r="K710" s="0" t="n">
        <v>9034.35722222222</v>
      </c>
      <c r="L710" s="0" t="n">
        <v>7670</v>
      </c>
      <c r="M710" s="0" t="n">
        <v>7621</v>
      </c>
      <c r="N710" s="0" t="n">
        <v>44</v>
      </c>
      <c r="O710" s="54" t="n">
        <f aca="false">YEAR(B710)</f>
        <v>2020</v>
      </c>
      <c r="P710" s="54" t="n">
        <f aca="false">IF(AND(E710&gt;=14400,K710&gt;0,L710&gt;0),1,0)</f>
        <v>1</v>
      </c>
      <c r="Q710" s="53" t="n">
        <f aca="false">IF(P710=1,F710/E710*MIN(L710/K710,1)*MIN(MAX(M710/L710,0),1),0)</f>
        <v>0.172826227759123</v>
      </c>
      <c r="R710" s="55" t="n">
        <f aca="false">IF(F710&gt;0,N710/(F710/3600),0)</f>
        <v>31.138232126871</v>
      </c>
    </row>
    <row r="711" customFormat="false" ht="15" hidden="false" customHeight="false" outlineLevel="0" collapsed="false">
      <c r="A711" s="0" t="s">
        <v>259</v>
      </c>
      <c r="B711" s="52" t="n">
        <v>44041</v>
      </c>
      <c r="C711" s="0" t="n">
        <v>43699.703</v>
      </c>
      <c r="D711" s="0" t="n">
        <v>17710.539</v>
      </c>
      <c r="E711" s="0" t="n">
        <v>25989.164</v>
      </c>
      <c r="F711" s="0" t="n">
        <v>5767.431</v>
      </c>
      <c r="G711" s="0" t="n">
        <v>4659.836</v>
      </c>
      <c r="H711" s="0" t="n">
        <v>1107.595</v>
      </c>
      <c r="I711" s="0" t="n">
        <v>3486.857</v>
      </c>
      <c r="J711" s="0" t="n">
        <v>16734.876</v>
      </c>
      <c r="K711" s="0" t="n">
        <v>9898.68388888889</v>
      </c>
      <c r="L711" s="0" t="n">
        <v>8045</v>
      </c>
      <c r="M711" s="0" t="n">
        <v>7952</v>
      </c>
      <c r="N711" s="0" t="n">
        <v>45</v>
      </c>
      <c r="O711" s="54" t="n">
        <f aca="false">YEAR(B711)</f>
        <v>2020</v>
      </c>
      <c r="P711" s="54" t="n">
        <f aca="false">IF(AND(E711&gt;=14400,K711&gt;0,L711&gt;0),1,0)</f>
        <v>1</v>
      </c>
      <c r="Q711" s="53" t="n">
        <f aca="false">IF(P711=1,F711/E711*MIN(L711/K711,1)*MIN(MAX(M711/L711,0),1),0)</f>
        <v>0.178274412428317</v>
      </c>
      <c r="R711" s="55" t="n">
        <f aca="false">IF(F711&gt;0,N711/(F711/3600),0)</f>
        <v>28.0887625703715</v>
      </c>
    </row>
    <row r="712" customFormat="false" ht="15" hidden="false" customHeight="false" outlineLevel="0" collapsed="false">
      <c r="A712" s="0" t="s">
        <v>259</v>
      </c>
      <c r="B712" s="52" t="n">
        <v>44042</v>
      </c>
      <c r="C712" s="0" t="n">
        <v>38830.913</v>
      </c>
      <c r="D712" s="0" t="n">
        <v>16168.398</v>
      </c>
      <c r="E712" s="0" t="n">
        <v>22662.515</v>
      </c>
      <c r="F712" s="0" t="n">
        <v>5302.979</v>
      </c>
      <c r="G712" s="0" t="n">
        <v>4895.478</v>
      </c>
      <c r="H712" s="0" t="n">
        <v>407.501</v>
      </c>
      <c r="I712" s="0" t="n">
        <v>3286.67</v>
      </c>
      <c r="J712" s="0" t="n">
        <v>14072.866</v>
      </c>
      <c r="K712" s="0" t="n">
        <v>9574.82319444445</v>
      </c>
      <c r="L712" s="0" t="n">
        <v>8759</v>
      </c>
      <c r="M712" s="0" t="n">
        <v>8707</v>
      </c>
      <c r="N712" s="0" t="n">
        <v>23</v>
      </c>
      <c r="O712" s="54" t="n">
        <f aca="false">YEAR(B712)</f>
        <v>2020</v>
      </c>
      <c r="P712" s="54" t="n">
        <f aca="false">IF(AND(E712&gt;=14400,K712&gt;0,L712&gt;0),1,0)</f>
        <v>1</v>
      </c>
      <c r="Q712" s="53" t="n">
        <f aca="false">IF(P712=1,F712/E712*MIN(L712/K712,1)*MIN(MAX(M712/L712,0),1),0)</f>
        <v>0.212789201089926</v>
      </c>
      <c r="R712" s="55" t="n">
        <f aca="false">IF(F712&gt;0,N712/(F712/3600),0)</f>
        <v>15.6138653387087</v>
      </c>
    </row>
    <row r="713" customFormat="false" ht="15" hidden="false" customHeight="false" outlineLevel="0" collapsed="false">
      <c r="A713" s="0" t="s">
        <v>259</v>
      </c>
      <c r="B713" s="52" t="n">
        <v>44043</v>
      </c>
      <c r="C713" s="0" t="n">
        <v>36744.674</v>
      </c>
      <c r="D713" s="0" t="n">
        <v>10016.936</v>
      </c>
      <c r="E713" s="0" t="n">
        <v>26727.738</v>
      </c>
      <c r="F713" s="0" t="n">
        <v>9313.923</v>
      </c>
      <c r="G713" s="0" t="n">
        <v>8462.263</v>
      </c>
      <c r="H713" s="0" t="n">
        <v>851.66</v>
      </c>
      <c r="I713" s="0" t="n">
        <v>5472.465</v>
      </c>
      <c r="J713" s="0" t="n">
        <v>11941.35</v>
      </c>
      <c r="K713" s="0" t="n">
        <v>16816.8054166667</v>
      </c>
      <c r="L713" s="0" t="n">
        <v>15176</v>
      </c>
      <c r="M713" s="0" t="n">
        <v>15091</v>
      </c>
      <c r="N713" s="0" t="n">
        <v>30</v>
      </c>
      <c r="O713" s="54" t="n">
        <f aca="false">YEAR(B713)</f>
        <v>2020</v>
      </c>
      <c r="P713" s="54" t="n">
        <f aca="false">IF(AND(E713&gt;=14400,K713&gt;0,L713&gt;0),1,0)</f>
        <v>1</v>
      </c>
      <c r="Q713" s="53" t="n">
        <f aca="false">IF(P713=1,F713/E713*MIN(L713/K713,1)*MIN(MAX(M713/L713,0),1),0)</f>
        <v>0.312712295656756</v>
      </c>
      <c r="R713" s="55" t="n">
        <f aca="false">IF(F713&gt;0,N713/(F713/3600),0)</f>
        <v>11.5955435749254</v>
      </c>
    </row>
    <row r="714" customFormat="false" ht="15" hidden="false" customHeight="false" outlineLevel="0" collapsed="false">
      <c r="A714" s="0" t="s">
        <v>259</v>
      </c>
      <c r="B714" s="52" t="n">
        <v>44044</v>
      </c>
      <c r="C714" s="0" t="n">
        <v>17984.472</v>
      </c>
      <c r="D714" s="0" t="n">
        <v>7705.306</v>
      </c>
      <c r="E714" s="0" t="n">
        <v>10279.166</v>
      </c>
      <c r="F714" s="0" t="n">
        <v>2856.326</v>
      </c>
      <c r="G714" s="0" t="n">
        <v>2743.094</v>
      </c>
      <c r="H714" s="0" t="n">
        <v>113.232</v>
      </c>
      <c r="I714" s="0" t="n">
        <v>2035.548</v>
      </c>
      <c r="J714" s="0" t="n">
        <v>5387.292</v>
      </c>
      <c r="K714" s="0" t="n">
        <v>5157.25527777778</v>
      </c>
      <c r="L714" s="0" t="n">
        <v>4963</v>
      </c>
      <c r="M714" s="0" t="n">
        <v>4965</v>
      </c>
      <c r="N714" s="0" t="n">
        <v>7</v>
      </c>
      <c r="O714" s="54" t="n">
        <f aca="false">YEAR(B714)</f>
        <v>2020</v>
      </c>
      <c r="P714" s="54" t="n">
        <f aca="false">IF(AND(E714&gt;=14400,K714&gt;0,L714&gt;0),1,0)</f>
        <v>0</v>
      </c>
      <c r="Q714" s="53" t="n">
        <f aca="false">IF(P714=1,F714/E714*MIN(L714/K714,1)*MIN(MAX(M714/L714,0),1),0)</f>
        <v>0</v>
      </c>
      <c r="R714" s="55" t="n">
        <f aca="false">IF(F714&gt;0,N714/(F714/3600),0)</f>
        <v>8.82252235914248</v>
      </c>
    </row>
    <row r="715" customFormat="false" ht="15" hidden="false" customHeight="false" outlineLevel="0" collapsed="false">
      <c r="A715" s="0" t="s">
        <v>259</v>
      </c>
      <c r="B715" s="52" t="n">
        <v>44045</v>
      </c>
      <c r="C715" s="0" t="n">
        <v>7820.199</v>
      </c>
      <c r="D715" s="0" t="n">
        <v>2425.191</v>
      </c>
      <c r="E715" s="0" t="n">
        <v>5395.008</v>
      </c>
      <c r="F715" s="0" t="n">
        <v>22.729</v>
      </c>
      <c r="G715" s="0" t="n">
        <v>0</v>
      </c>
      <c r="H715" s="0" t="n">
        <v>22.729</v>
      </c>
      <c r="I715" s="0" t="n">
        <v>0</v>
      </c>
      <c r="J715" s="0" t="n">
        <v>5372.279</v>
      </c>
      <c r="K715" s="0" t="n">
        <v>41.0384722222222</v>
      </c>
      <c r="L715" s="0" t="n">
        <v>0</v>
      </c>
      <c r="M715" s="0" t="n">
        <v>0</v>
      </c>
      <c r="N715" s="0" t="n">
        <v>0</v>
      </c>
      <c r="O715" s="54" t="n">
        <f aca="false">YEAR(B715)</f>
        <v>2020</v>
      </c>
      <c r="P715" s="54" t="n">
        <f aca="false">IF(AND(E715&gt;=14400,K715&gt;0,L715&gt;0),1,0)</f>
        <v>0</v>
      </c>
      <c r="Q715" s="53" t="n">
        <f aca="false">IF(P715=1,F715/E715*MIN(L715/K715,1)*MIN(MAX(M715/L715,0),1),0)</f>
        <v>0</v>
      </c>
      <c r="R715" s="55" t="n">
        <f aca="false">IF(F715&gt;0,N715/(F715/3600),0)</f>
        <v>0</v>
      </c>
    </row>
    <row r="716" customFormat="false" ht="15" hidden="false" customHeight="false" outlineLevel="0" collapsed="false">
      <c r="A716" s="0" t="s">
        <v>259</v>
      </c>
      <c r="B716" s="52" t="n">
        <v>44046</v>
      </c>
      <c r="C716" s="0" t="n">
        <v>48688.674</v>
      </c>
      <c r="D716" s="0" t="n">
        <v>12340.954</v>
      </c>
      <c r="E716" s="0" t="n">
        <v>36347.72</v>
      </c>
      <c r="F716" s="0" t="n">
        <v>6596.057</v>
      </c>
      <c r="G716" s="0" t="n">
        <v>5281.854</v>
      </c>
      <c r="H716" s="0" t="n">
        <v>1314.203</v>
      </c>
      <c r="I716" s="0" t="n">
        <v>12628.202</v>
      </c>
      <c r="J716" s="0" t="n">
        <v>17123.461</v>
      </c>
      <c r="K716" s="0" t="n">
        <v>11909.5473611111</v>
      </c>
      <c r="L716" s="0" t="n">
        <v>9415</v>
      </c>
      <c r="M716" s="0" t="n">
        <v>9329</v>
      </c>
      <c r="N716" s="0" t="n">
        <v>25</v>
      </c>
      <c r="O716" s="54" t="n">
        <f aca="false">YEAR(B716)</f>
        <v>2020</v>
      </c>
      <c r="P716" s="54" t="n">
        <f aca="false">IF(AND(E716&gt;=14400,K716&gt;0,L716&gt;0),1,0)</f>
        <v>1</v>
      </c>
      <c r="Q716" s="53" t="n">
        <f aca="false">IF(P716=1,F716/E716*MIN(L716/K716,1)*MIN(MAX(M716/L716,0),1),0)</f>
        <v>0.142150065237401</v>
      </c>
      <c r="R716" s="55" t="n">
        <f aca="false">IF(F716&gt;0,N716/(F716/3600),0)</f>
        <v>13.6445152005206</v>
      </c>
    </row>
    <row r="717" customFormat="false" ht="15" hidden="false" customHeight="false" outlineLevel="0" collapsed="false">
      <c r="A717" s="0" t="s">
        <v>259</v>
      </c>
      <c r="B717" s="52" t="n">
        <v>44047</v>
      </c>
      <c r="C717" s="0" t="n">
        <v>36162.836</v>
      </c>
      <c r="D717" s="0" t="n">
        <v>10245.162</v>
      </c>
      <c r="E717" s="0" t="n">
        <v>25917.674</v>
      </c>
      <c r="F717" s="0" t="n">
        <v>8630.544</v>
      </c>
      <c r="G717" s="0" t="n">
        <v>5140.67</v>
      </c>
      <c r="H717" s="0" t="n">
        <v>3489.874</v>
      </c>
      <c r="I717" s="0" t="n">
        <v>3430.78</v>
      </c>
      <c r="J717" s="0" t="n">
        <v>13856.35</v>
      </c>
      <c r="K717" s="0" t="n">
        <v>15582.9266666667</v>
      </c>
      <c r="L717" s="0" t="n">
        <v>9251</v>
      </c>
      <c r="M717" s="0" t="n">
        <v>9173</v>
      </c>
      <c r="N717" s="0" t="n">
        <v>21</v>
      </c>
      <c r="O717" s="54" t="n">
        <f aca="false">YEAR(B717)</f>
        <v>2020</v>
      </c>
      <c r="P717" s="54" t="n">
        <f aca="false">IF(AND(E717&gt;=14400,K717&gt;0,L717&gt;0),1,0)</f>
        <v>1</v>
      </c>
      <c r="Q717" s="53" t="n">
        <f aca="false">IF(P717=1,F717/E717*MIN(L717/K717,1)*MIN(MAX(M717/L717,0),1),0)</f>
        <v>0.196021864046549</v>
      </c>
      <c r="R717" s="55" t="n">
        <f aca="false">IF(F717&gt;0,N717/(F717/3600),0)</f>
        <v>8.75958688119776</v>
      </c>
    </row>
    <row r="718" customFormat="false" ht="15" hidden="false" customHeight="false" outlineLevel="0" collapsed="false">
      <c r="A718" s="0" t="s">
        <v>259</v>
      </c>
      <c r="B718" s="52" t="n">
        <v>44048</v>
      </c>
      <c r="C718" s="0" t="n">
        <v>11850.215</v>
      </c>
      <c r="D718" s="0" t="n">
        <v>900</v>
      </c>
      <c r="E718" s="0" t="n">
        <v>10950.215</v>
      </c>
      <c r="F718" s="0" t="n">
        <v>5429.24</v>
      </c>
      <c r="G718" s="0" t="n">
        <v>3746.655</v>
      </c>
      <c r="H718" s="0" t="n">
        <v>1682.585</v>
      </c>
      <c r="I718" s="0" t="n">
        <v>3434.836</v>
      </c>
      <c r="J718" s="0" t="n">
        <v>2086.139</v>
      </c>
      <c r="K718" s="0" t="n">
        <v>9802.79444444445</v>
      </c>
      <c r="L718" s="0" t="n">
        <v>6842</v>
      </c>
      <c r="M718" s="0" t="n">
        <v>6814</v>
      </c>
      <c r="N718" s="0" t="n">
        <v>12</v>
      </c>
      <c r="O718" s="54" t="n">
        <f aca="false">YEAR(B718)</f>
        <v>2020</v>
      </c>
      <c r="P718" s="54" t="n">
        <f aca="false">IF(AND(E718&gt;=14400,K718&gt;0,L718&gt;0),1,0)</f>
        <v>0</v>
      </c>
      <c r="Q718" s="53" t="n">
        <f aca="false">IF(P718=1,F718/E718*MIN(L718/K718,1)*MIN(MAX(M718/L718,0),1),0)</f>
        <v>0</v>
      </c>
      <c r="R718" s="55" t="n">
        <f aca="false">IF(F718&gt;0,N718/(F718/3600),0)</f>
        <v>7.9569147799692</v>
      </c>
    </row>
    <row r="719" customFormat="false" ht="15" hidden="false" customHeight="false" outlineLevel="0" collapsed="false">
      <c r="A719" s="0" t="s">
        <v>259</v>
      </c>
      <c r="B719" s="52" t="n">
        <v>44056</v>
      </c>
      <c r="C719" s="0" t="n">
        <v>35077.917</v>
      </c>
      <c r="D719" s="0" t="n">
        <v>0</v>
      </c>
      <c r="E719" s="0" t="n">
        <v>35077.917</v>
      </c>
      <c r="F719" s="0" t="n">
        <v>900</v>
      </c>
      <c r="G719" s="0" t="n">
        <v>900</v>
      </c>
      <c r="H719" s="0" t="n">
        <v>0</v>
      </c>
      <c r="I719" s="0" t="n">
        <v>0</v>
      </c>
      <c r="J719" s="0" t="n">
        <v>34177.917</v>
      </c>
      <c r="K719" s="0" t="n">
        <v>1625</v>
      </c>
      <c r="L719" s="0" t="n">
        <v>0</v>
      </c>
      <c r="M719" s="0" t="n">
        <v>0</v>
      </c>
      <c r="N719" s="0" t="n">
        <v>0</v>
      </c>
      <c r="O719" s="54" t="n">
        <f aca="false">YEAR(B719)</f>
        <v>2020</v>
      </c>
      <c r="P719" s="54" t="n">
        <f aca="false">IF(AND(E719&gt;=14400,K719&gt;0,L719&gt;0),1,0)</f>
        <v>0</v>
      </c>
      <c r="Q719" s="53" t="n">
        <f aca="false">IF(P719=1,F719/E719*MIN(L719/K719,1)*MIN(MAX(M719/L719,0),1),0)</f>
        <v>0</v>
      </c>
      <c r="R719" s="55" t="n">
        <f aca="false">IF(F719&gt;0,N719/(F719/3600),0)</f>
        <v>0</v>
      </c>
    </row>
    <row r="720" customFormat="false" ht="15" hidden="false" customHeight="false" outlineLevel="0" collapsed="false">
      <c r="A720" s="0" t="s">
        <v>259</v>
      </c>
      <c r="B720" s="52" t="n">
        <v>44057</v>
      </c>
      <c r="C720" s="0" t="n">
        <v>900</v>
      </c>
      <c r="D720" s="0" t="n">
        <v>900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O720" s="54" t="n">
        <f aca="false">YEAR(B720)</f>
        <v>2020</v>
      </c>
      <c r="P720" s="54" t="n">
        <f aca="false">IF(AND(E720&gt;=14400,K720&gt;0,L720&gt;0),1,0)</f>
        <v>0</v>
      </c>
      <c r="Q720" s="53" t="n">
        <f aca="false">IF(P720=1,F720/E720*MIN(L720/K720,1)*MIN(MAX(M720/L720,0),1),0)</f>
        <v>0</v>
      </c>
      <c r="R720" s="55" t="n">
        <f aca="false">IF(F720&gt;0,N720/(F720/3600),0)</f>
        <v>0</v>
      </c>
    </row>
    <row r="721" customFormat="false" ht="15" hidden="false" customHeight="false" outlineLevel="0" collapsed="false">
      <c r="A721" s="0" t="s">
        <v>259</v>
      </c>
      <c r="B721" s="52" t="n">
        <v>44090</v>
      </c>
      <c r="C721" s="0" t="n">
        <v>40781.518</v>
      </c>
      <c r="D721" s="0" t="n">
        <v>9677.377</v>
      </c>
      <c r="E721" s="0" t="n">
        <v>31104.141</v>
      </c>
      <c r="F721" s="0" t="n">
        <v>10201.656</v>
      </c>
      <c r="G721" s="0" t="n">
        <v>3697.942</v>
      </c>
      <c r="H721" s="0" t="n">
        <v>6503.714</v>
      </c>
      <c r="I721" s="0" t="n">
        <v>6538.187</v>
      </c>
      <c r="J721" s="0" t="n">
        <v>14364.298</v>
      </c>
      <c r="K721" s="0" t="n">
        <v>18217.2629166667</v>
      </c>
      <c r="L721" s="0" t="n">
        <v>6597</v>
      </c>
      <c r="M721" s="0" t="n">
        <v>6367</v>
      </c>
      <c r="N721" s="0" t="n">
        <v>24</v>
      </c>
      <c r="O721" s="54" t="n">
        <f aca="false">YEAR(B721)</f>
        <v>2020</v>
      </c>
      <c r="P721" s="54" t="n">
        <f aca="false">IF(AND(E721&gt;=14400,K721&gt;0,L721&gt;0),1,0)</f>
        <v>1</v>
      </c>
      <c r="Q721" s="53" t="n">
        <f aca="false">IF(P721=1,F721/E721*MIN(L721/K721,1)*MIN(MAX(M721/L721,0),1),0)</f>
        <v>0.114631555776092</v>
      </c>
      <c r="R721" s="55" t="n">
        <f aca="false">IF(F721&gt;0,N721/(F721/3600),0)</f>
        <v>8.46921323361619</v>
      </c>
    </row>
    <row r="722" customFormat="false" ht="15" hidden="false" customHeight="false" outlineLevel="0" collapsed="false">
      <c r="A722" s="0" t="s">
        <v>259</v>
      </c>
      <c r="B722" s="52" t="n">
        <v>44091</v>
      </c>
      <c r="C722" s="0" t="n">
        <v>51372.135</v>
      </c>
      <c r="D722" s="0" t="n">
        <v>17097.1</v>
      </c>
      <c r="E722" s="0" t="n">
        <v>34275.035</v>
      </c>
      <c r="F722" s="0" t="n">
        <v>19849.69</v>
      </c>
      <c r="G722" s="0" t="n">
        <v>15680.124</v>
      </c>
      <c r="H722" s="0" t="n">
        <v>4169.566</v>
      </c>
      <c r="I722" s="0" t="n">
        <v>5924.729</v>
      </c>
      <c r="J722" s="0" t="n">
        <v>8500.616</v>
      </c>
      <c r="K722" s="0" t="n">
        <v>22994.0170694444</v>
      </c>
      <c r="L722" s="0" t="n">
        <v>16319</v>
      </c>
      <c r="M722" s="0" t="n">
        <v>16271</v>
      </c>
      <c r="N722" s="0" t="n">
        <v>82</v>
      </c>
      <c r="O722" s="54" t="n">
        <f aca="false">YEAR(B722)</f>
        <v>2020</v>
      </c>
      <c r="P722" s="54" t="n">
        <f aca="false">IF(AND(E722&gt;=14400,K722&gt;0,L722&gt;0),1,0)</f>
        <v>1</v>
      </c>
      <c r="Q722" s="53" t="n">
        <f aca="false">IF(P722=1,F722/E722*MIN(L722/K722,1)*MIN(MAX(M722/L722,0),1),0)</f>
        <v>0.409803079225132</v>
      </c>
      <c r="R722" s="55" t="n">
        <f aca="false">IF(F722&gt;0,N722/(F722/3600),0)</f>
        <v>14.871768778253</v>
      </c>
    </row>
    <row r="723" customFormat="false" ht="15" hidden="false" customHeight="false" outlineLevel="0" collapsed="false">
      <c r="A723" s="0" t="s">
        <v>259</v>
      </c>
      <c r="B723" s="52" t="n">
        <v>44092</v>
      </c>
      <c r="C723" s="0" t="n">
        <v>41825.035</v>
      </c>
      <c r="D723" s="0" t="n">
        <v>9743.545</v>
      </c>
      <c r="E723" s="0" t="n">
        <v>32081.49</v>
      </c>
      <c r="F723" s="0" t="n">
        <v>8258.89</v>
      </c>
      <c r="G723" s="0" t="n">
        <v>7413.423</v>
      </c>
      <c r="H723" s="0" t="n">
        <v>845.467</v>
      </c>
      <c r="I723" s="0" t="n">
        <v>2801.616</v>
      </c>
      <c r="J723" s="0" t="n">
        <v>21020.984</v>
      </c>
      <c r="K723" s="0" t="n">
        <v>14898.7691666667</v>
      </c>
      <c r="L723" s="0" t="n">
        <v>13383</v>
      </c>
      <c r="M723" s="0" t="n">
        <v>13347</v>
      </c>
      <c r="N723" s="0" t="n">
        <v>22</v>
      </c>
      <c r="O723" s="54" t="n">
        <f aca="false">YEAR(B723)</f>
        <v>2020</v>
      </c>
      <c r="P723" s="54" t="n">
        <f aca="false">IF(AND(E723&gt;=14400,K723&gt;0,L723&gt;0),1,0)</f>
        <v>1</v>
      </c>
      <c r="Q723" s="53" t="n">
        <f aca="false">IF(P723=1,F723/E723*MIN(L723/K723,1)*MIN(MAX(M723/L723,0),1),0)</f>
        <v>0.230621833318264</v>
      </c>
      <c r="R723" s="55" t="n">
        <f aca="false">IF(F723&gt;0,N723/(F723/3600),0)</f>
        <v>9.58966640795555</v>
      </c>
    </row>
    <row r="724" customFormat="false" ht="15" hidden="false" customHeight="false" outlineLevel="0" collapsed="false">
      <c r="A724" s="0" t="s">
        <v>259</v>
      </c>
      <c r="B724" s="52" t="n">
        <v>44093</v>
      </c>
      <c r="C724" s="0" t="n">
        <v>28357.804</v>
      </c>
      <c r="D724" s="0" t="n">
        <v>5919.04</v>
      </c>
      <c r="E724" s="0" t="n">
        <v>22438.764</v>
      </c>
      <c r="F724" s="0" t="n">
        <v>9205.114</v>
      </c>
      <c r="G724" s="0" t="n">
        <v>7686.824</v>
      </c>
      <c r="H724" s="0" t="n">
        <v>1518.29</v>
      </c>
      <c r="I724" s="0" t="n">
        <v>1990.82</v>
      </c>
      <c r="J724" s="0" t="n">
        <v>11242.83</v>
      </c>
      <c r="K724" s="0" t="n">
        <v>15766.6035763889</v>
      </c>
      <c r="L724" s="0" t="n">
        <v>13237</v>
      </c>
      <c r="M724" s="0" t="n">
        <v>13149</v>
      </c>
      <c r="N724" s="0" t="n">
        <v>21</v>
      </c>
      <c r="O724" s="54" t="n">
        <f aca="false">YEAR(B724)</f>
        <v>2020</v>
      </c>
      <c r="P724" s="54" t="n">
        <f aca="false">IF(AND(E724&gt;=14400,K724&gt;0,L724&gt;0),1,0)</f>
        <v>1</v>
      </c>
      <c r="Q724" s="53" t="n">
        <f aca="false">IF(P724=1,F724/E724*MIN(L724/K724,1)*MIN(MAX(M724/L724,0),1),0)</f>
        <v>0.342125005699861</v>
      </c>
      <c r="R724" s="55" t="n">
        <f aca="false">IF(F724&gt;0,N724/(F724/3600),0)</f>
        <v>8.21282604430537</v>
      </c>
    </row>
    <row r="725" customFormat="false" ht="15" hidden="false" customHeight="false" outlineLevel="0" collapsed="false">
      <c r="A725" s="0" t="s">
        <v>259</v>
      </c>
      <c r="B725" s="52" t="n">
        <v>44094</v>
      </c>
      <c r="C725" s="0" t="n">
        <v>12290.427</v>
      </c>
      <c r="D725" s="0" t="n">
        <v>3915.047</v>
      </c>
      <c r="E725" s="0" t="n">
        <v>8375.38</v>
      </c>
      <c r="F725" s="0" t="n">
        <v>354.629</v>
      </c>
      <c r="G725" s="0" t="n">
        <v>0</v>
      </c>
      <c r="H725" s="0" t="n">
        <v>354.629</v>
      </c>
      <c r="I725" s="0" t="n">
        <v>0</v>
      </c>
      <c r="J725" s="0" t="n">
        <v>8020.751</v>
      </c>
      <c r="K725" s="0" t="n">
        <v>640.302361111111</v>
      </c>
      <c r="L725" s="0" t="n">
        <v>2</v>
      </c>
      <c r="M725" s="0" t="n">
        <v>0</v>
      </c>
      <c r="N725" s="0" t="n">
        <v>0</v>
      </c>
      <c r="O725" s="54" t="n">
        <f aca="false">YEAR(B725)</f>
        <v>2020</v>
      </c>
      <c r="P725" s="54" t="n">
        <f aca="false">IF(AND(E725&gt;=14400,K725&gt;0,L725&gt;0),1,0)</f>
        <v>0</v>
      </c>
      <c r="Q725" s="53" t="n">
        <f aca="false">IF(P725=1,F725/E725*MIN(L725/K725,1)*MIN(MAX(M725/L725,0),1),0)</f>
        <v>0</v>
      </c>
      <c r="R725" s="55" t="n">
        <f aca="false">IF(F725&gt;0,N725/(F725/3600),0)</f>
        <v>0</v>
      </c>
    </row>
    <row r="726" customFormat="false" ht="15" hidden="false" customHeight="false" outlineLevel="0" collapsed="false">
      <c r="A726" s="0" t="s">
        <v>259</v>
      </c>
      <c r="B726" s="52" t="n">
        <v>44095</v>
      </c>
      <c r="C726" s="0" t="n">
        <v>31898.605</v>
      </c>
      <c r="D726" s="0" t="n">
        <v>13078.666</v>
      </c>
      <c r="E726" s="0" t="n">
        <v>18819.939</v>
      </c>
      <c r="F726" s="0" t="n">
        <v>7894.61</v>
      </c>
      <c r="G726" s="0" t="n">
        <v>6831.65</v>
      </c>
      <c r="H726" s="0" t="n">
        <v>1062.96</v>
      </c>
      <c r="I726" s="0" t="n">
        <v>1963.063</v>
      </c>
      <c r="J726" s="0" t="n">
        <v>8962.266</v>
      </c>
      <c r="K726" s="0" t="n">
        <v>14141.3097222222</v>
      </c>
      <c r="L726" s="0" t="n">
        <v>12266</v>
      </c>
      <c r="M726" s="0" t="n">
        <v>12250</v>
      </c>
      <c r="N726" s="0" t="n">
        <v>19</v>
      </c>
      <c r="O726" s="54" t="n">
        <f aca="false">YEAR(B726)</f>
        <v>2020</v>
      </c>
      <c r="P726" s="54" t="n">
        <f aca="false">IF(AND(E726&gt;=14400,K726&gt;0,L726&gt;0),1,0)</f>
        <v>1</v>
      </c>
      <c r="Q726" s="53" t="n">
        <f aca="false">IF(P726=1,F726/E726*MIN(L726/K726,1)*MIN(MAX(M726/L726,0),1),0)</f>
        <v>0.363378245242391</v>
      </c>
      <c r="R726" s="55" t="n">
        <f aca="false">IF(F726&gt;0,N726/(F726/3600),0)</f>
        <v>8.66413920383654</v>
      </c>
    </row>
    <row r="727" customFormat="false" ht="15" hidden="false" customHeight="false" outlineLevel="0" collapsed="false">
      <c r="A727" s="0" t="s">
        <v>259</v>
      </c>
      <c r="B727" s="52" t="n">
        <v>44096</v>
      </c>
      <c r="C727" s="0" t="n">
        <v>38453.703</v>
      </c>
      <c r="D727" s="0" t="n">
        <v>11815.064</v>
      </c>
      <c r="E727" s="0" t="n">
        <v>26638.639</v>
      </c>
      <c r="F727" s="0" t="n">
        <v>11427.414</v>
      </c>
      <c r="G727" s="0" t="n">
        <v>9827.175</v>
      </c>
      <c r="H727" s="0" t="n">
        <v>1600.239</v>
      </c>
      <c r="I727" s="0" t="n">
        <v>5549.377</v>
      </c>
      <c r="J727" s="0" t="n">
        <v>9661.848</v>
      </c>
      <c r="K727" s="0" t="n">
        <v>20539.1333333333</v>
      </c>
      <c r="L727" s="0" t="n">
        <v>17560</v>
      </c>
      <c r="M727" s="0" t="n">
        <v>17420</v>
      </c>
      <c r="N727" s="0" t="n">
        <v>33</v>
      </c>
      <c r="O727" s="54" t="n">
        <f aca="false">YEAR(B727)</f>
        <v>2020</v>
      </c>
      <c r="P727" s="54" t="n">
        <f aca="false">IF(AND(E727&gt;=14400,K727&gt;0,L727&gt;0),1,0)</f>
        <v>1</v>
      </c>
      <c r="Q727" s="53" t="n">
        <f aca="false">IF(P727=1,F727/E727*MIN(L727/K727,1)*MIN(MAX(M727/L727,0),1),0)</f>
        <v>0.363832897926455</v>
      </c>
      <c r="R727" s="55" t="n">
        <f aca="false">IF(F727&gt;0,N727/(F727/3600),0)</f>
        <v>10.3960528602534</v>
      </c>
    </row>
    <row r="728" customFormat="false" ht="15" hidden="false" customHeight="false" outlineLevel="0" collapsed="false">
      <c r="A728" s="0" t="s">
        <v>259</v>
      </c>
      <c r="B728" s="52" t="n">
        <v>44097</v>
      </c>
      <c r="C728" s="0" t="n">
        <v>42880.337</v>
      </c>
      <c r="D728" s="0" t="n">
        <v>11639.072</v>
      </c>
      <c r="E728" s="0" t="n">
        <v>31241.265</v>
      </c>
      <c r="F728" s="0" t="n">
        <v>10760.235</v>
      </c>
      <c r="G728" s="0" t="n">
        <v>9740.575</v>
      </c>
      <c r="H728" s="0" t="n">
        <v>1019.66</v>
      </c>
      <c r="I728" s="0" t="n">
        <v>5115.147</v>
      </c>
      <c r="J728" s="0" t="n">
        <v>15365.883</v>
      </c>
      <c r="K728" s="0" t="n">
        <v>19428.2020833333</v>
      </c>
      <c r="L728" s="0" t="n">
        <v>17530</v>
      </c>
      <c r="M728" s="0" t="n">
        <v>17516</v>
      </c>
      <c r="N728" s="0" t="n">
        <v>21</v>
      </c>
      <c r="O728" s="54" t="n">
        <f aca="false">YEAR(B728)</f>
        <v>2020</v>
      </c>
      <c r="P728" s="54" t="n">
        <f aca="false">IF(AND(E728&gt;=14400,K728&gt;0,L728&gt;0),1,0)</f>
        <v>1</v>
      </c>
      <c r="Q728" s="53" t="n">
        <f aca="false">IF(P728=1,F728/E728*MIN(L728/K728,1)*MIN(MAX(M728/L728,0),1),0)</f>
        <v>0.310524213112665</v>
      </c>
      <c r="R728" s="55" t="n">
        <f aca="false">IF(F728&gt;0,N728/(F728/3600),0)</f>
        <v>7.0258688588121</v>
      </c>
    </row>
    <row r="729" customFormat="false" ht="15" hidden="false" customHeight="false" outlineLevel="0" collapsed="false">
      <c r="A729" s="0" t="s">
        <v>259</v>
      </c>
      <c r="B729" s="52" t="n">
        <v>44098</v>
      </c>
      <c r="C729" s="0" t="n">
        <v>36102.558</v>
      </c>
      <c r="D729" s="0" t="n">
        <v>12861.773</v>
      </c>
      <c r="E729" s="0" t="n">
        <v>23240.785</v>
      </c>
      <c r="F729" s="0" t="n">
        <v>13667.216</v>
      </c>
      <c r="G729" s="0" t="n">
        <v>10595.972</v>
      </c>
      <c r="H729" s="0" t="n">
        <v>3071.244</v>
      </c>
      <c r="I729" s="0" t="n">
        <v>2742.674</v>
      </c>
      <c r="J729" s="0" t="n">
        <v>6830.895</v>
      </c>
      <c r="K729" s="0" t="n">
        <v>22134.5049383333</v>
      </c>
      <c r="L729" s="0" t="n">
        <v>17113</v>
      </c>
      <c r="M729" s="0" t="n">
        <v>16777</v>
      </c>
      <c r="N729" s="0" t="n">
        <v>54</v>
      </c>
      <c r="O729" s="54" t="n">
        <f aca="false">YEAR(B729)</f>
        <v>2020</v>
      </c>
      <c r="P729" s="54" t="n">
        <f aca="false">IF(AND(E729&gt;=14400,K729&gt;0,L729&gt;0),1,0)</f>
        <v>1</v>
      </c>
      <c r="Q729" s="53" t="n">
        <f aca="false">IF(P729=1,F729/E729*MIN(L729/K729,1)*MIN(MAX(M729/L729,0),1),0)</f>
        <v>0.445731941081414</v>
      </c>
      <c r="R729" s="55" t="n">
        <f aca="false">IF(F729&gt;0,N729/(F729/3600),0)</f>
        <v>14.2238185157826</v>
      </c>
    </row>
    <row r="730" customFormat="false" ht="15" hidden="false" customHeight="false" outlineLevel="0" collapsed="false">
      <c r="A730" s="0" t="s">
        <v>259</v>
      </c>
      <c r="B730" s="52" t="n">
        <v>44099</v>
      </c>
      <c r="C730" s="0" t="n">
        <v>55950.362</v>
      </c>
      <c r="D730" s="0" t="n">
        <v>10866.924</v>
      </c>
      <c r="E730" s="0" t="n">
        <v>45083.438</v>
      </c>
      <c r="F730" s="0" t="n">
        <v>14348.186</v>
      </c>
      <c r="G730" s="0" t="n">
        <v>13720.475</v>
      </c>
      <c r="H730" s="0" t="n">
        <v>627.711</v>
      </c>
      <c r="I730" s="0" t="n">
        <v>3859.889</v>
      </c>
      <c r="J730" s="0" t="n">
        <v>26875.363</v>
      </c>
      <c r="K730" s="0" t="n">
        <v>24592.8321144445</v>
      </c>
      <c r="L730" s="0" t="n">
        <v>23385</v>
      </c>
      <c r="M730" s="0" t="n">
        <v>23237</v>
      </c>
      <c r="N730" s="0" t="n">
        <v>33</v>
      </c>
      <c r="O730" s="54" t="n">
        <f aca="false">YEAR(B730)</f>
        <v>2020</v>
      </c>
      <c r="P730" s="54" t="n">
        <f aca="false">IF(AND(E730&gt;=14400,K730&gt;0,L730&gt;0),1,0)</f>
        <v>1</v>
      </c>
      <c r="Q730" s="53" t="n">
        <f aca="false">IF(P730=1,F730/E730*MIN(L730/K730,1)*MIN(MAX(M730/L730,0),1),0)</f>
        <v>0.300712501629003</v>
      </c>
      <c r="R730" s="55" t="n">
        <f aca="false">IF(F730&gt;0,N730/(F730/3600),0)</f>
        <v>8.2797923026646</v>
      </c>
    </row>
    <row r="731" customFormat="false" ht="15" hidden="false" customHeight="false" outlineLevel="0" collapsed="false">
      <c r="A731" s="0" t="s">
        <v>259</v>
      </c>
      <c r="B731" s="52" t="n">
        <v>44100</v>
      </c>
      <c r="C731" s="0" t="n">
        <v>21821.05</v>
      </c>
      <c r="D731" s="0" t="n">
        <v>7087.102</v>
      </c>
      <c r="E731" s="0" t="n">
        <v>14733.948</v>
      </c>
      <c r="F731" s="0" t="n">
        <v>9263.201</v>
      </c>
      <c r="G731" s="0" t="n">
        <v>8441.018</v>
      </c>
      <c r="H731" s="0" t="n">
        <v>822.183</v>
      </c>
      <c r="I731" s="0" t="n">
        <v>1959.732</v>
      </c>
      <c r="J731" s="0" t="n">
        <v>3511.015</v>
      </c>
      <c r="K731" s="0" t="n">
        <v>15264.0234661111</v>
      </c>
      <c r="L731" s="0" t="n">
        <v>13898</v>
      </c>
      <c r="M731" s="0" t="n">
        <v>13798</v>
      </c>
      <c r="N731" s="0" t="n">
        <v>18</v>
      </c>
      <c r="O731" s="54" t="n">
        <f aca="false">YEAR(B731)</f>
        <v>2020</v>
      </c>
      <c r="P731" s="54" t="n">
        <f aca="false">IF(AND(E731&gt;=14400,K731&gt;0,L731&gt;0),1,0)</f>
        <v>1</v>
      </c>
      <c r="Q731" s="53" t="n">
        <f aca="false">IF(P731=1,F731/E731*MIN(L731/K731,1)*MIN(MAX(M731/L731,0),1),0)</f>
        <v>0.56831493683419</v>
      </c>
      <c r="R731" s="55" t="n">
        <f aca="false">IF(F731&gt;0,N731/(F731/3600),0)</f>
        <v>6.99542199289425</v>
      </c>
    </row>
    <row r="732" customFormat="false" ht="15" hidden="false" customHeight="false" outlineLevel="0" collapsed="false">
      <c r="A732" s="0" t="s">
        <v>259</v>
      </c>
      <c r="B732" s="52" t="n">
        <v>44101</v>
      </c>
      <c r="C732" s="0" t="n">
        <v>8340.432</v>
      </c>
      <c r="D732" s="0" t="n">
        <v>3787.952</v>
      </c>
      <c r="E732" s="0" t="n">
        <v>4552.48</v>
      </c>
      <c r="F732" s="0" t="n">
        <v>0</v>
      </c>
      <c r="G732" s="0" t="n">
        <v>0</v>
      </c>
      <c r="H732" s="0" t="n">
        <v>0</v>
      </c>
      <c r="I732" s="0" t="n">
        <v>0</v>
      </c>
      <c r="J732" s="0" t="n">
        <v>4552.48</v>
      </c>
      <c r="K732" s="0" t="n">
        <v>0</v>
      </c>
      <c r="L732" s="0" t="n">
        <v>0</v>
      </c>
      <c r="M732" s="0" t="n">
        <v>0</v>
      </c>
      <c r="N732" s="0" t="n">
        <v>0</v>
      </c>
      <c r="O732" s="54" t="n">
        <f aca="false">YEAR(B732)</f>
        <v>2020</v>
      </c>
      <c r="P732" s="54" t="n">
        <f aca="false">IF(AND(E732&gt;=14400,K732&gt;0,L732&gt;0),1,0)</f>
        <v>0</v>
      </c>
      <c r="Q732" s="53" t="n">
        <f aca="false">IF(P732=1,F732/E732*MIN(L732/K732,1)*MIN(MAX(M732/L732,0),1),0)</f>
        <v>0</v>
      </c>
      <c r="R732" s="55" t="n">
        <f aca="false">IF(F732&gt;0,N732/(F732/3600),0)</f>
        <v>0</v>
      </c>
    </row>
    <row r="733" customFormat="false" ht="15" hidden="false" customHeight="false" outlineLevel="0" collapsed="false">
      <c r="A733" s="0" t="s">
        <v>259</v>
      </c>
      <c r="B733" s="52" t="n">
        <v>44102</v>
      </c>
      <c r="C733" s="0" t="n">
        <v>39277.178</v>
      </c>
      <c r="D733" s="0" t="n">
        <v>13917.817</v>
      </c>
      <c r="E733" s="0" t="n">
        <v>25359.361</v>
      </c>
      <c r="F733" s="0" t="n">
        <v>6827.795</v>
      </c>
      <c r="G733" s="0" t="n">
        <v>5251.615</v>
      </c>
      <c r="H733" s="0" t="n">
        <v>1576.18</v>
      </c>
      <c r="I733" s="0" t="n">
        <v>4049.987</v>
      </c>
      <c r="J733" s="0" t="n">
        <v>14481.579</v>
      </c>
      <c r="K733" s="0" t="n">
        <v>11609.4174011111</v>
      </c>
      <c r="L733" s="0" t="n">
        <v>8971</v>
      </c>
      <c r="M733" s="0" t="n">
        <v>8903</v>
      </c>
      <c r="N733" s="0" t="n">
        <v>49</v>
      </c>
      <c r="O733" s="54" t="n">
        <f aca="false">YEAR(B733)</f>
        <v>2020</v>
      </c>
      <c r="P733" s="54" t="n">
        <f aca="false">IF(AND(E733&gt;=14400,K733&gt;0,L733&gt;0),1,0)</f>
        <v>1</v>
      </c>
      <c r="Q733" s="53" t="n">
        <f aca="false">IF(P733=1,F733/E733*MIN(L733/K733,1)*MIN(MAX(M733/L733,0),1),0)</f>
        <v>0.206475304172362</v>
      </c>
      <c r="R733" s="55" t="n">
        <f aca="false">IF(F733&gt;0,N733/(F733/3600),0)</f>
        <v>25.8355735636468</v>
      </c>
    </row>
    <row r="734" customFormat="false" ht="15" hidden="false" customHeight="false" outlineLevel="0" collapsed="false">
      <c r="A734" s="0" t="s">
        <v>259</v>
      </c>
      <c r="B734" s="52" t="n">
        <v>44103</v>
      </c>
      <c r="C734" s="0" t="n">
        <v>43492.911</v>
      </c>
      <c r="D734" s="0" t="n">
        <v>18156.807</v>
      </c>
      <c r="E734" s="0" t="n">
        <v>25336.104</v>
      </c>
      <c r="F734" s="0" t="n">
        <v>11763.473</v>
      </c>
      <c r="G734" s="0" t="n">
        <v>8916.607</v>
      </c>
      <c r="H734" s="0" t="n">
        <v>2846.866</v>
      </c>
      <c r="I734" s="0" t="n">
        <v>3081.588</v>
      </c>
      <c r="J734" s="0" t="n">
        <v>10491.043</v>
      </c>
      <c r="K734" s="0" t="n">
        <v>20985.1457666667</v>
      </c>
      <c r="L734" s="0" t="n">
        <v>15952</v>
      </c>
      <c r="M734" s="0" t="n">
        <v>15828</v>
      </c>
      <c r="N734" s="0" t="n">
        <v>36</v>
      </c>
      <c r="O734" s="54" t="n">
        <f aca="false">YEAR(B734)</f>
        <v>2020</v>
      </c>
      <c r="P734" s="54" t="n">
        <f aca="false">IF(AND(E734&gt;=14400,K734&gt;0,L734&gt;0),1,0)</f>
        <v>1</v>
      </c>
      <c r="Q734" s="53" t="n">
        <f aca="false">IF(P734=1,F734/E734*MIN(L734/K734,1)*MIN(MAX(M734/L734,0),1),0)</f>
        <v>0.350194868767868</v>
      </c>
      <c r="R734" s="55" t="n">
        <f aca="false">IF(F734&gt;0,N734/(F734/3600),0)</f>
        <v>11.0171545427103</v>
      </c>
    </row>
    <row r="735" customFormat="false" ht="15" hidden="false" customHeight="false" outlineLevel="0" collapsed="false">
      <c r="A735" s="0" t="s">
        <v>259</v>
      </c>
      <c r="B735" s="52" t="n">
        <v>44104</v>
      </c>
      <c r="C735" s="0" t="n">
        <v>50439.894</v>
      </c>
      <c r="D735" s="0" t="n">
        <v>14086.215</v>
      </c>
      <c r="E735" s="0" t="n">
        <v>36353.679</v>
      </c>
      <c r="F735" s="0" t="n">
        <v>14630.71</v>
      </c>
      <c r="G735" s="0" t="n">
        <v>12314.204</v>
      </c>
      <c r="H735" s="0" t="n">
        <v>2316.506</v>
      </c>
      <c r="I735" s="0" t="n">
        <v>2272.093</v>
      </c>
      <c r="J735" s="0" t="n">
        <v>19450.876</v>
      </c>
      <c r="K735" s="0" t="n">
        <v>26378.0923611111</v>
      </c>
      <c r="L735" s="0" t="n">
        <v>22142</v>
      </c>
      <c r="M735" s="0" t="n">
        <v>22107</v>
      </c>
      <c r="N735" s="0" t="n">
        <v>26</v>
      </c>
      <c r="O735" s="54" t="n">
        <f aca="false">YEAR(B735)</f>
        <v>2020</v>
      </c>
      <c r="P735" s="54" t="n">
        <f aca="false">IF(AND(E735&gt;=14400,K735&gt;0,L735&gt;0),1,0)</f>
        <v>1</v>
      </c>
      <c r="Q735" s="53" t="n">
        <f aca="false">IF(P735=1,F735/E735*MIN(L735/K735,1)*MIN(MAX(M735/L735,0),1),0)</f>
        <v>0.337289996331083</v>
      </c>
      <c r="R735" s="55" t="n">
        <f aca="false">IF(F735&gt;0,N735/(F735/3600),0)</f>
        <v>6.39750224015103</v>
      </c>
    </row>
    <row r="736" customFormat="false" ht="15" hidden="false" customHeight="false" outlineLevel="0" collapsed="false">
      <c r="A736" s="0" t="s">
        <v>259</v>
      </c>
      <c r="B736" s="52" t="n">
        <v>44105</v>
      </c>
      <c r="C736" s="0" t="n">
        <v>52225.502</v>
      </c>
      <c r="D736" s="0" t="n">
        <v>12343.953</v>
      </c>
      <c r="E736" s="0" t="n">
        <v>39881.549</v>
      </c>
      <c r="F736" s="0" t="n">
        <v>12054.872</v>
      </c>
      <c r="G736" s="0" t="n">
        <v>9717.82</v>
      </c>
      <c r="H736" s="0" t="n">
        <v>2337.052</v>
      </c>
      <c r="I736" s="0" t="n">
        <v>1485.745</v>
      </c>
      <c r="J736" s="0" t="n">
        <v>26340.932</v>
      </c>
      <c r="K736" s="0" t="n">
        <v>21269.0641055556</v>
      </c>
      <c r="L736" s="0" t="n">
        <v>17048</v>
      </c>
      <c r="M736" s="0" t="n">
        <v>16909</v>
      </c>
      <c r="N736" s="0" t="n">
        <v>44</v>
      </c>
      <c r="O736" s="54" t="n">
        <f aca="false">YEAR(B736)</f>
        <v>2020</v>
      </c>
      <c r="P736" s="54" t="n">
        <f aca="false">IF(AND(E736&gt;=14400,K736&gt;0,L736&gt;0),1,0)</f>
        <v>1</v>
      </c>
      <c r="Q736" s="53" t="n">
        <f aca="false">IF(P736=1,F736/E736*MIN(L736/K736,1)*MIN(MAX(M736/L736,0),1),0)</f>
        <v>0.240303518244371</v>
      </c>
      <c r="R736" s="55" t="n">
        <f aca="false">IF(F736&gt;0,N736/(F736/3600),0)</f>
        <v>13.1399155461792</v>
      </c>
    </row>
    <row r="737" customFormat="false" ht="15" hidden="false" customHeight="false" outlineLevel="0" collapsed="false">
      <c r="A737" s="0" t="s">
        <v>259</v>
      </c>
      <c r="B737" s="52" t="n">
        <v>44106</v>
      </c>
      <c r="C737" s="0" t="n">
        <v>54870.145</v>
      </c>
      <c r="D737" s="0" t="n">
        <v>9704.341</v>
      </c>
      <c r="E737" s="0" t="n">
        <v>45165.804</v>
      </c>
      <c r="F737" s="0" t="n">
        <v>13588.61</v>
      </c>
      <c r="G737" s="0" t="n">
        <v>12527.703</v>
      </c>
      <c r="H737" s="0" t="n">
        <v>1060.907</v>
      </c>
      <c r="I737" s="0" t="n">
        <v>2610.404</v>
      </c>
      <c r="J737" s="0" t="n">
        <v>28966.79</v>
      </c>
      <c r="K737" s="0" t="n">
        <v>22116.1608422222</v>
      </c>
      <c r="L737" s="0" t="n">
        <v>20412</v>
      </c>
      <c r="M737" s="0" t="n">
        <v>20276</v>
      </c>
      <c r="N737" s="0" t="n">
        <v>35</v>
      </c>
      <c r="O737" s="54" t="n">
        <f aca="false">YEAR(B737)</f>
        <v>2020</v>
      </c>
      <c r="P737" s="54" t="n">
        <f aca="false">IF(AND(E737&gt;=14400,K737&gt;0,L737&gt;0),1,0)</f>
        <v>1</v>
      </c>
      <c r="Q737" s="53" t="n">
        <f aca="false">IF(P737=1,F737/E737*MIN(L737/K737,1)*MIN(MAX(M737/L737,0),1),0)</f>
        <v>0.275827670505894</v>
      </c>
      <c r="R737" s="55" t="n">
        <f aca="false">IF(F737&gt;0,N737/(F737/3600),0)</f>
        <v>9.27247157729893</v>
      </c>
    </row>
    <row r="738" customFormat="false" ht="15" hidden="false" customHeight="false" outlineLevel="0" collapsed="false">
      <c r="A738" s="0" t="s">
        <v>259</v>
      </c>
      <c r="B738" s="52" t="n">
        <v>44107</v>
      </c>
      <c r="C738" s="0" t="n">
        <v>28457.668</v>
      </c>
      <c r="D738" s="0" t="n">
        <v>5760.702</v>
      </c>
      <c r="E738" s="0" t="n">
        <v>22696.966</v>
      </c>
      <c r="F738" s="0" t="n">
        <v>11552.401</v>
      </c>
      <c r="G738" s="0" t="n">
        <v>7742.625</v>
      </c>
      <c r="H738" s="0" t="n">
        <v>3809.776</v>
      </c>
      <c r="I738" s="0" t="n">
        <v>3283.656</v>
      </c>
      <c r="J738" s="0" t="n">
        <v>7860.909</v>
      </c>
      <c r="K738" s="0" t="n">
        <v>20858.5018055556</v>
      </c>
      <c r="L738" s="0" t="n">
        <v>13888</v>
      </c>
      <c r="M738" s="0" t="n">
        <v>13828</v>
      </c>
      <c r="N738" s="0" t="n">
        <v>26</v>
      </c>
      <c r="O738" s="54" t="n">
        <f aca="false">YEAR(B738)</f>
        <v>2020</v>
      </c>
      <c r="P738" s="54" t="n">
        <f aca="false">IF(AND(E738&gt;=14400,K738&gt;0,L738&gt;0),1,0)</f>
        <v>1</v>
      </c>
      <c r="Q738" s="53" t="n">
        <f aca="false">IF(P738=1,F738/E738*MIN(L738/K738,1)*MIN(MAX(M738/L738,0),1),0)</f>
        <v>0.337427681540547</v>
      </c>
      <c r="R738" s="55" t="n">
        <f aca="false">IF(F738&gt;0,N738/(F738/3600),0)</f>
        <v>8.1022118259226</v>
      </c>
    </row>
    <row r="739" customFormat="false" ht="15" hidden="false" customHeight="false" outlineLevel="0" collapsed="false">
      <c r="A739" s="0" t="s">
        <v>259</v>
      </c>
      <c r="B739" s="52" t="n">
        <v>44108</v>
      </c>
      <c r="C739" s="0" t="n">
        <v>11794.659</v>
      </c>
      <c r="D739" s="0" t="n">
        <v>4052.37</v>
      </c>
      <c r="E739" s="0" t="n">
        <v>7742.289</v>
      </c>
      <c r="F739" s="0" t="n">
        <v>1199.9</v>
      </c>
      <c r="G739" s="0" t="n">
        <v>600.769</v>
      </c>
      <c r="H739" s="0" t="n">
        <v>599.131</v>
      </c>
      <c r="I739" s="0" t="n">
        <v>0</v>
      </c>
      <c r="J739" s="0" t="n">
        <v>6542.389</v>
      </c>
      <c r="K739" s="0" t="n">
        <v>2166.48611111111</v>
      </c>
      <c r="L739" s="0" t="n">
        <v>1042</v>
      </c>
      <c r="M739" s="0" t="n">
        <v>1024</v>
      </c>
      <c r="N739" s="0" t="n">
        <v>0</v>
      </c>
      <c r="O739" s="54" t="n">
        <f aca="false">YEAR(B739)</f>
        <v>2020</v>
      </c>
      <c r="P739" s="54" t="n">
        <f aca="false">IF(AND(E739&gt;=14400,K739&gt;0,L739&gt;0),1,0)</f>
        <v>0</v>
      </c>
      <c r="Q739" s="53" t="n">
        <f aca="false">IF(P739=1,F739/E739*MIN(L739/K739,1)*MIN(MAX(M739/L739,0),1),0)</f>
        <v>0</v>
      </c>
      <c r="R739" s="55" t="n">
        <f aca="false">IF(F739&gt;0,N739/(F739/3600),0)</f>
        <v>0</v>
      </c>
    </row>
    <row r="740" customFormat="false" ht="15" hidden="false" customHeight="false" outlineLevel="0" collapsed="false">
      <c r="A740" s="0" t="s">
        <v>259</v>
      </c>
      <c r="B740" s="52" t="n">
        <v>44109</v>
      </c>
      <c r="C740" s="0" t="n">
        <v>44215.785</v>
      </c>
      <c r="D740" s="0" t="n">
        <v>9427.453</v>
      </c>
      <c r="E740" s="0" t="n">
        <v>34788.332</v>
      </c>
      <c r="F740" s="0" t="n">
        <v>5524.856</v>
      </c>
      <c r="G740" s="0" t="n">
        <v>4694.637</v>
      </c>
      <c r="H740" s="0" t="n">
        <v>830.219</v>
      </c>
      <c r="I740" s="0" t="n">
        <v>1073.651</v>
      </c>
      <c r="J740" s="0" t="n">
        <v>28189.825</v>
      </c>
      <c r="K740" s="0" t="n">
        <v>9975.43444444445</v>
      </c>
      <c r="L740" s="0" t="n">
        <v>8490</v>
      </c>
      <c r="M740" s="0" t="n">
        <v>8416</v>
      </c>
      <c r="N740" s="0" t="n">
        <v>17</v>
      </c>
      <c r="O740" s="54" t="n">
        <f aca="false">YEAR(B740)</f>
        <v>2020</v>
      </c>
      <c r="P740" s="54" t="n">
        <f aca="false">IF(AND(E740&gt;=14400,K740&gt;0,L740&gt;0),1,0)</f>
        <v>1</v>
      </c>
      <c r="Q740" s="53" t="n">
        <f aca="false">IF(P740=1,F740/E740*MIN(L740/K740,1)*MIN(MAX(M740/L740,0),1),0)</f>
        <v>0.133986568564691</v>
      </c>
      <c r="R740" s="55" t="n">
        <f aca="false">IF(F740&gt;0,N740/(F740/3600),0)</f>
        <v>11.0772117861533</v>
      </c>
    </row>
    <row r="741" customFormat="false" ht="15" hidden="false" customHeight="false" outlineLevel="0" collapsed="false">
      <c r="A741" s="0" t="s">
        <v>259</v>
      </c>
      <c r="B741" s="52" t="n">
        <v>44110</v>
      </c>
      <c r="C741" s="0" t="n">
        <v>28583.887</v>
      </c>
      <c r="D741" s="0" t="n">
        <v>9983.457</v>
      </c>
      <c r="E741" s="0" t="n">
        <v>18600.43</v>
      </c>
      <c r="F741" s="0" t="n">
        <v>5696.027</v>
      </c>
      <c r="G741" s="0" t="n">
        <v>4819.613</v>
      </c>
      <c r="H741" s="0" t="n">
        <v>876.414</v>
      </c>
      <c r="I741" s="0" t="n">
        <v>750.71</v>
      </c>
      <c r="J741" s="0" t="n">
        <v>12153.693</v>
      </c>
      <c r="K741" s="0" t="n">
        <v>10284.4931944444</v>
      </c>
      <c r="L741" s="0" t="n">
        <v>8604</v>
      </c>
      <c r="M741" s="0" t="n">
        <v>8563</v>
      </c>
      <c r="N741" s="0" t="n">
        <v>13</v>
      </c>
      <c r="O741" s="54" t="n">
        <f aca="false">YEAR(B741)</f>
        <v>2020</v>
      </c>
      <c r="P741" s="54" t="n">
        <f aca="false">IF(AND(E741&gt;=14400,K741&gt;0,L741&gt;0),1,0)</f>
        <v>1</v>
      </c>
      <c r="Q741" s="53" t="n">
        <f aca="false">IF(P741=1,F741/E741*MIN(L741/K741,1)*MIN(MAX(M741/L741,0),1),0)</f>
        <v>0.254971772985066</v>
      </c>
      <c r="R741" s="55" t="n">
        <f aca="false">IF(F741&gt;0,N741/(F741/3600),0)</f>
        <v>8.21625318840659</v>
      </c>
    </row>
    <row r="742" customFormat="false" ht="15" hidden="false" customHeight="false" outlineLevel="0" collapsed="false">
      <c r="A742" s="0" t="s">
        <v>259</v>
      </c>
      <c r="B742" s="52" t="n">
        <v>44111</v>
      </c>
      <c r="C742" s="0" t="n">
        <v>54741.528</v>
      </c>
      <c r="D742" s="0" t="n">
        <v>15876.15</v>
      </c>
      <c r="E742" s="0" t="n">
        <v>38865.378</v>
      </c>
      <c r="F742" s="0" t="n">
        <v>18184.586</v>
      </c>
      <c r="G742" s="0" t="n">
        <v>13034.5</v>
      </c>
      <c r="H742" s="0" t="n">
        <v>5150.086</v>
      </c>
      <c r="I742" s="0" t="n">
        <v>6350.211</v>
      </c>
      <c r="J742" s="0" t="n">
        <v>14330.581</v>
      </c>
      <c r="K742" s="0" t="n">
        <v>32645.0385005556</v>
      </c>
      <c r="L742" s="0" t="n">
        <v>23218</v>
      </c>
      <c r="M742" s="0" t="n">
        <v>22938</v>
      </c>
      <c r="N742" s="0" t="n">
        <v>97</v>
      </c>
      <c r="O742" s="54" t="n">
        <f aca="false">YEAR(B742)</f>
        <v>2020</v>
      </c>
      <c r="P742" s="54" t="n">
        <f aca="false">IF(AND(E742&gt;=14400,K742&gt;0,L742&gt;0),1,0)</f>
        <v>1</v>
      </c>
      <c r="Q742" s="53" t="n">
        <f aca="false">IF(P742=1,F742/E742*MIN(L742/K742,1)*MIN(MAX(M742/L742,0),1),0)</f>
        <v>0.328759934639244</v>
      </c>
      <c r="R742" s="55" t="n">
        <f aca="false">IF(F742&gt;0,N742/(F742/3600),0)</f>
        <v>19.2030767156316</v>
      </c>
    </row>
    <row r="743" customFormat="false" ht="15" hidden="false" customHeight="false" outlineLevel="0" collapsed="false">
      <c r="A743" s="0" t="s">
        <v>259</v>
      </c>
      <c r="B743" s="52" t="n">
        <v>44112</v>
      </c>
      <c r="C743" s="0" t="n">
        <v>35004.511</v>
      </c>
      <c r="D743" s="0" t="n">
        <v>10389.932</v>
      </c>
      <c r="E743" s="0" t="n">
        <v>24614.579</v>
      </c>
      <c r="F743" s="0" t="n">
        <v>7904.679</v>
      </c>
      <c r="G743" s="0" t="n">
        <v>6015.821</v>
      </c>
      <c r="H743" s="0" t="n">
        <v>1888.858</v>
      </c>
      <c r="I743" s="0" t="n">
        <v>3098.005</v>
      </c>
      <c r="J743" s="0" t="n">
        <v>13611.895</v>
      </c>
      <c r="K743" s="0" t="n">
        <v>12169.1198241667</v>
      </c>
      <c r="L743" s="0" t="n">
        <v>9248</v>
      </c>
      <c r="M743" s="0" t="n">
        <v>9179</v>
      </c>
      <c r="N743" s="0" t="n">
        <v>51</v>
      </c>
      <c r="O743" s="54" t="n">
        <f aca="false">YEAR(B743)</f>
        <v>2020</v>
      </c>
      <c r="P743" s="54" t="n">
        <f aca="false">IF(AND(E743&gt;=14400,K743&gt;0,L743&gt;0),1,0)</f>
        <v>1</v>
      </c>
      <c r="Q743" s="53" t="n">
        <f aca="false">IF(P743=1,F743/E743*MIN(L743/K743,1)*MIN(MAX(M743/L743,0),1),0)</f>
        <v>0.242230055512141</v>
      </c>
      <c r="R743" s="55" t="n">
        <f aca="false">IF(F743&gt;0,N743/(F743/3600),0)</f>
        <v>23.2267496251271</v>
      </c>
    </row>
    <row r="744" customFormat="false" ht="15" hidden="false" customHeight="false" outlineLevel="0" collapsed="false">
      <c r="A744" s="0" t="s">
        <v>259</v>
      </c>
      <c r="B744" s="52" t="n">
        <v>44113</v>
      </c>
      <c r="C744" s="0" t="n">
        <v>37884.603</v>
      </c>
      <c r="D744" s="0" t="n">
        <v>11261.462</v>
      </c>
      <c r="E744" s="0" t="n">
        <v>26623.141</v>
      </c>
      <c r="F744" s="0" t="n">
        <v>10413.941</v>
      </c>
      <c r="G744" s="0" t="n">
        <v>8422.099</v>
      </c>
      <c r="H744" s="0" t="n">
        <v>1991.842</v>
      </c>
      <c r="I744" s="0" t="n">
        <v>2267.955</v>
      </c>
      <c r="J744" s="0" t="n">
        <v>13941.245</v>
      </c>
      <c r="K744" s="0" t="n">
        <v>17824.2157161111</v>
      </c>
      <c r="L744" s="0" t="n">
        <v>14661</v>
      </c>
      <c r="M744" s="0" t="n">
        <v>14591</v>
      </c>
      <c r="N744" s="0" t="n">
        <v>32</v>
      </c>
      <c r="O744" s="54" t="n">
        <f aca="false">YEAR(B744)</f>
        <v>2020</v>
      </c>
      <c r="P744" s="54" t="n">
        <f aca="false">IF(AND(E744&gt;=14400,K744&gt;0,L744&gt;0),1,0)</f>
        <v>1</v>
      </c>
      <c r="Q744" s="53" t="n">
        <f aca="false">IF(P744=1,F744/E744*MIN(L744/K744,1)*MIN(MAX(M744/L744,0),1),0)</f>
        <v>0.320206724828977</v>
      </c>
      <c r="R744" s="55" t="n">
        <f aca="false">IF(F744&gt;0,N744/(F744/3600),0)</f>
        <v>11.0620945519088</v>
      </c>
    </row>
    <row r="745" customFormat="false" ht="15" hidden="false" customHeight="false" outlineLevel="0" collapsed="false">
      <c r="A745" s="0" t="s">
        <v>259</v>
      </c>
      <c r="B745" s="52" t="n">
        <v>44114</v>
      </c>
      <c r="C745" s="0" t="n">
        <v>26122.802</v>
      </c>
      <c r="D745" s="0" t="n">
        <v>6132.398</v>
      </c>
      <c r="E745" s="0" t="n">
        <v>19990.404</v>
      </c>
      <c r="F745" s="0" t="n">
        <v>8754.522</v>
      </c>
      <c r="G745" s="0" t="n">
        <v>7568.133</v>
      </c>
      <c r="H745" s="0" t="n">
        <v>1186.389</v>
      </c>
      <c r="I745" s="0" t="n">
        <v>1777.501</v>
      </c>
      <c r="J745" s="0" t="n">
        <v>9458.381</v>
      </c>
      <c r="K745" s="0" t="n">
        <v>15761.0591666667</v>
      </c>
      <c r="L745" s="0" t="n">
        <v>13640</v>
      </c>
      <c r="M745" s="0" t="n">
        <v>13608</v>
      </c>
      <c r="N745" s="0" t="n">
        <v>15</v>
      </c>
      <c r="O745" s="54" t="n">
        <f aca="false">YEAR(B745)</f>
        <v>2020</v>
      </c>
      <c r="P745" s="54" t="n">
        <f aca="false">IF(AND(E745&gt;=14400,K745&gt;0,L745&gt;0),1,0)</f>
        <v>1</v>
      </c>
      <c r="Q745" s="53" t="n">
        <f aca="false">IF(P745=1,F745/E745*MIN(L745/K745,1)*MIN(MAX(M745/L745,0),1),0)</f>
        <v>0.378111397414679</v>
      </c>
      <c r="R745" s="55" t="n">
        <f aca="false">IF(F745&gt;0,N745/(F745/3600),0)</f>
        <v>6.16824082457043</v>
      </c>
    </row>
    <row r="746" customFormat="false" ht="15" hidden="false" customHeight="false" outlineLevel="0" collapsed="false">
      <c r="A746" s="0" t="s">
        <v>259</v>
      </c>
      <c r="B746" s="52" t="n">
        <v>44115</v>
      </c>
      <c r="C746" s="0" t="n">
        <v>12098.953</v>
      </c>
      <c r="D746" s="0" t="n">
        <v>3888.575</v>
      </c>
      <c r="E746" s="0" t="n">
        <v>8210.378</v>
      </c>
      <c r="F746" s="0" t="n">
        <v>6.24</v>
      </c>
      <c r="G746" s="0" t="n">
        <v>0</v>
      </c>
      <c r="H746" s="0" t="n">
        <v>6.24</v>
      </c>
      <c r="I746" s="0" t="n">
        <v>0</v>
      </c>
      <c r="J746" s="0" t="n">
        <v>8204.138</v>
      </c>
      <c r="K746" s="0" t="n">
        <v>11.2666666666667</v>
      </c>
      <c r="L746" s="0" t="n">
        <v>0</v>
      </c>
      <c r="M746" s="0" t="n">
        <v>0</v>
      </c>
      <c r="N746" s="0" t="n">
        <v>0</v>
      </c>
      <c r="O746" s="54" t="n">
        <f aca="false">YEAR(B746)</f>
        <v>2020</v>
      </c>
      <c r="P746" s="54" t="n">
        <f aca="false">IF(AND(E746&gt;=14400,K746&gt;0,L746&gt;0),1,0)</f>
        <v>0</v>
      </c>
      <c r="Q746" s="53" t="n">
        <f aca="false">IF(P746=1,F746/E746*MIN(L746/K746,1)*MIN(MAX(M746/L746,0),1),0)</f>
        <v>0</v>
      </c>
      <c r="R746" s="55" t="n">
        <f aca="false">IF(F746&gt;0,N746/(F746/3600),0)</f>
        <v>0</v>
      </c>
    </row>
    <row r="747" customFormat="false" ht="15" hidden="false" customHeight="false" outlineLevel="0" collapsed="false">
      <c r="A747" s="0" t="s">
        <v>259</v>
      </c>
      <c r="B747" s="52" t="n">
        <v>44116</v>
      </c>
      <c r="C747" s="0" t="n">
        <v>33916.922</v>
      </c>
      <c r="D747" s="0" t="n">
        <v>9577.121</v>
      </c>
      <c r="E747" s="0" t="n">
        <v>24339.801</v>
      </c>
      <c r="F747" s="0" t="n">
        <v>6801.211</v>
      </c>
      <c r="G747" s="0" t="n">
        <v>5865.511</v>
      </c>
      <c r="H747" s="0" t="n">
        <v>935.7</v>
      </c>
      <c r="I747" s="0" t="n">
        <v>1374.229</v>
      </c>
      <c r="J747" s="0" t="n">
        <v>16164.361</v>
      </c>
      <c r="K747" s="0" t="n">
        <v>11679.8290294444</v>
      </c>
      <c r="L747" s="0" t="n">
        <v>9970</v>
      </c>
      <c r="M747" s="0" t="n">
        <v>9950</v>
      </c>
      <c r="N747" s="0" t="n">
        <v>21</v>
      </c>
      <c r="O747" s="54" t="n">
        <f aca="false">YEAR(B747)</f>
        <v>2020</v>
      </c>
      <c r="P747" s="54" t="n">
        <f aca="false">IF(AND(E747&gt;=14400,K747&gt;0,L747&gt;0),1,0)</f>
        <v>1</v>
      </c>
      <c r="Q747" s="53" t="n">
        <f aca="false">IF(P747=1,F747/E747*MIN(L747/K747,1)*MIN(MAX(M747/L747,0),1),0)</f>
        <v>0.238043222333793</v>
      </c>
      <c r="R747" s="55" t="n">
        <f aca="false">IF(F747&gt;0,N747/(F747/3600),0)</f>
        <v>11.1156674892163</v>
      </c>
    </row>
    <row r="748" customFormat="false" ht="15" hidden="false" customHeight="false" outlineLevel="0" collapsed="false">
      <c r="A748" s="0" t="s">
        <v>259</v>
      </c>
      <c r="B748" s="52" t="n">
        <v>44117</v>
      </c>
      <c r="C748" s="0" t="n">
        <v>48069.135</v>
      </c>
      <c r="D748" s="0" t="n">
        <v>10195.517</v>
      </c>
      <c r="E748" s="0" t="n">
        <v>37873.618</v>
      </c>
      <c r="F748" s="0" t="n">
        <v>6366.61</v>
      </c>
      <c r="G748" s="0" t="n">
        <v>5141.362</v>
      </c>
      <c r="H748" s="0" t="n">
        <v>1225.248</v>
      </c>
      <c r="I748" s="0" t="n">
        <v>3251.223</v>
      </c>
      <c r="J748" s="0" t="n">
        <v>28255.785</v>
      </c>
      <c r="K748" s="0" t="n">
        <v>10868.8310816667</v>
      </c>
      <c r="L748" s="0" t="n">
        <v>8825</v>
      </c>
      <c r="M748" s="0" t="n">
        <v>8745</v>
      </c>
      <c r="N748" s="0" t="n">
        <v>24</v>
      </c>
      <c r="O748" s="54" t="n">
        <f aca="false">YEAR(B748)</f>
        <v>2020</v>
      </c>
      <c r="P748" s="54" t="n">
        <f aca="false">IF(AND(E748&gt;=14400,K748&gt;0,L748&gt;0),1,0)</f>
        <v>1</v>
      </c>
      <c r="Q748" s="53" t="n">
        <f aca="false">IF(P748=1,F748/E748*MIN(L748/K748,1)*MIN(MAX(M748/L748,0),1),0)</f>
        <v>0.135253473490061</v>
      </c>
      <c r="R748" s="55" t="n">
        <f aca="false">IF(F748&gt;0,N748/(F748/3600),0)</f>
        <v>13.57080141551</v>
      </c>
    </row>
    <row r="749" customFormat="false" ht="15" hidden="false" customHeight="false" outlineLevel="0" collapsed="false">
      <c r="A749" s="0" t="s">
        <v>259</v>
      </c>
      <c r="B749" s="52" t="n">
        <v>44118</v>
      </c>
      <c r="C749" s="0" t="n">
        <v>36517.972</v>
      </c>
      <c r="D749" s="0" t="n">
        <v>10323.074</v>
      </c>
      <c r="E749" s="0" t="n">
        <v>26194.898</v>
      </c>
      <c r="F749" s="0" t="n">
        <v>13133.98</v>
      </c>
      <c r="G749" s="0" t="n">
        <v>11381.333</v>
      </c>
      <c r="H749" s="0" t="n">
        <v>1752.647</v>
      </c>
      <c r="I749" s="0" t="n">
        <v>2801.41</v>
      </c>
      <c r="J749" s="0" t="n">
        <v>10259.508</v>
      </c>
      <c r="K749" s="0" t="n">
        <v>23714.1305555556</v>
      </c>
      <c r="L749" s="0" t="n">
        <v>20403</v>
      </c>
      <c r="M749" s="0" t="n">
        <v>20186</v>
      </c>
      <c r="N749" s="0" t="n">
        <v>38</v>
      </c>
      <c r="O749" s="54" t="n">
        <f aca="false">YEAR(B749)</f>
        <v>2020</v>
      </c>
      <c r="P749" s="54" t="n">
        <f aca="false">IF(AND(E749&gt;=14400,K749&gt;0,L749&gt;0),1,0)</f>
        <v>1</v>
      </c>
      <c r="Q749" s="53" t="n">
        <f aca="false">IF(P749=1,F749/E749*MIN(L749/K749,1)*MIN(MAX(M749/L749,0),1),0)</f>
        <v>0.426798320098</v>
      </c>
      <c r="R749" s="55" t="n">
        <f aca="false">IF(F749&gt;0,N749/(F749/3600),0)</f>
        <v>10.4157307990419</v>
      </c>
    </row>
    <row r="750" customFormat="false" ht="15" hidden="false" customHeight="false" outlineLevel="0" collapsed="false">
      <c r="A750" s="0" t="s">
        <v>259</v>
      </c>
      <c r="B750" s="52" t="n">
        <v>44119</v>
      </c>
      <c r="C750" s="0" t="n">
        <v>38368.113</v>
      </c>
      <c r="D750" s="0" t="n">
        <v>9436.895</v>
      </c>
      <c r="E750" s="0" t="n">
        <v>28931.218</v>
      </c>
      <c r="F750" s="0" t="n">
        <v>6471.339</v>
      </c>
      <c r="G750" s="0" t="n">
        <v>5517.79</v>
      </c>
      <c r="H750" s="0" t="n">
        <v>953.549</v>
      </c>
      <c r="I750" s="0" t="n">
        <v>4049.57</v>
      </c>
      <c r="J750" s="0" t="n">
        <v>18410.309</v>
      </c>
      <c r="K750" s="0" t="n">
        <v>11018.53345</v>
      </c>
      <c r="L750" s="0" t="n">
        <v>9481</v>
      </c>
      <c r="M750" s="0" t="n">
        <v>9383</v>
      </c>
      <c r="N750" s="0" t="n">
        <v>21</v>
      </c>
      <c r="O750" s="54" t="n">
        <f aca="false">YEAR(B750)</f>
        <v>2020</v>
      </c>
      <c r="P750" s="54" t="n">
        <f aca="false">IF(AND(E750&gt;=14400,K750&gt;0,L750&gt;0),1,0)</f>
        <v>1</v>
      </c>
      <c r="Q750" s="53" t="n">
        <f aca="false">IF(P750=1,F750/E750*MIN(L750/K750,1)*MIN(MAX(M750/L750,0),1),0)</f>
        <v>0.190478233602736</v>
      </c>
      <c r="R750" s="55" t="n">
        <f aca="false">IF(F750&gt;0,N750/(F750/3600),0)</f>
        <v>11.6822809004443</v>
      </c>
    </row>
    <row r="751" customFormat="false" ht="15" hidden="false" customHeight="false" outlineLevel="0" collapsed="false">
      <c r="A751" s="0" t="s">
        <v>259</v>
      </c>
      <c r="B751" s="52" t="n">
        <v>44120</v>
      </c>
      <c r="C751" s="0" t="n">
        <v>61604.602</v>
      </c>
      <c r="D751" s="0" t="n">
        <v>11506.894</v>
      </c>
      <c r="E751" s="0" t="n">
        <v>50097.708</v>
      </c>
      <c r="F751" s="0" t="n">
        <v>12848.851</v>
      </c>
      <c r="G751" s="0" t="n">
        <v>10331.244</v>
      </c>
      <c r="H751" s="0" t="n">
        <v>2517.607</v>
      </c>
      <c r="I751" s="0" t="n">
        <v>4448.396</v>
      </c>
      <c r="J751" s="0" t="n">
        <v>32800.461</v>
      </c>
      <c r="K751" s="0" t="n">
        <v>22123.5399533333</v>
      </c>
      <c r="L751" s="0" t="n">
        <v>17731</v>
      </c>
      <c r="M751" s="0" t="n">
        <v>17460</v>
      </c>
      <c r="N751" s="0" t="n">
        <v>52</v>
      </c>
      <c r="O751" s="54" t="n">
        <f aca="false">YEAR(B751)</f>
        <v>2020</v>
      </c>
      <c r="P751" s="54" t="n">
        <f aca="false">IF(AND(E751&gt;=14400,K751&gt;0,L751&gt;0),1,0)</f>
        <v>1</v>
      </c>
      <c r="Q751" s="53" t="n">
        <f aca="false">IF(P751=1,F751/E751*MIN(L751/K751,1)*MIN(MAX(M751/L751,0),1),0)</f>
        <v>0.202411906840531</v>
      </c>
      <c r="R751" s="55" t="n">
        <f aca="false">IF(F751&gt;0,N751/(F751/3600),0)</f>
        <v>14.5693961273269</v>
      </c>
    </row>
    <row r="752" customFormat="false" ht="15" hidden="false" customHeight="false" outlineLevel="0" collapsed="false">
      <c r="A752" s="0" t="s">
        <v>259</v>
      </c>
      <c r="B752" s="52" t="n">
        <v>44121</v>
      </c>
      <c r="C752" s="0" t="n">
        <v>18442.988</v>
      </c>
      <c r="D752" s="0" t="n">
        <v>6229.283</v>
      </c>
      <c r="E752" s="0" t="n">
        <v>12213.705</v>
      </c>
      <c r="F752" s="0" t="n">
        <v>6778.446</v>
      </c>
      <c r="G752" s="0" t="n">
        <v>6550.296</v>
      </c>
      <c r="H752" s="0" t="n">
        <v>228.15</v>
      </c>
      <c r="I752" s="0" t="n">
        <v>1871.15</v>
      </c>
      <c r="J752" s="0" t="n">
        <v>3564.109</v>
      </c>
      <c r="K752" s="0" t="n">
        <v>12089.1719422222</v>
      </c>
      <c r="L752" s="0" t="n">
        <v>11646</v>
      </c>
      <c r="M752" s="0" t="n">
        <v>11626</v>
      </c>
      <c r="N752" s="0" t="n">
        <v>17</v>
      </c>
      <c r="O752" s="54" t="n">
        <f aca="false">YEAR(B752)</f>
        <v>2020</v>
      </c>
      <c r="P752" s="54" t="n">
        <f aca="false">IF(AND(E752&gt;=14400,K752&gt;0,L752&gt;0),1,0)</f>
        <v>0</v>
      </c>
      <c r="Q752" s="53" t="n">
        <f aca="false">IF(P752=1,F752/E752*MIN(L752/K752,1)*MIN(MAX(M752/L752,0),1),0)</f>
        <v>0</v>
      </c>
      <c r="R752" s="55" t="n">
        <f aca="false">IF(F752&gt;0,N752/(F752/3600),0)</f>
        <v>9.0286180637863</v>
      </c>
    </row>
    <row r="753" customFormat="false" ht="15" hidden="false" customHeight="false" outlineLevel="0" collapsed="false">
      <c r="A753" s="0" t="s">
        <v>259</v>
      </c>
      <c r="B753" s="52" t="n">
        <v>44122</v>
      </c>
      <c r="C753" s="0" t="n">
        <v>15937.235</v>
      </c>
      <c r="D753" s="0" t="n">
        <v>3819.894</v>
      </c>
      <c r="E753" s="0" t="n">
        <v>12117.341</v>
      </c>
      <c r="F753" s="0" t="n">
        <v>0</v>
      </c>
      <c r="G753" s="0" t="n">
        <v>0</v>
      </c>
      <c r="H753" s="0" t="n">
        <v>0</v>
      </c>
      <c r="I753" s="0" t="n">
        <v>0</v>
      </c>
      <c r="J753" s="0" t="n">
        <v>12117.341</v>
      </c>
      <c r="K753" s="0" t="n">
        <v>0</v>
      </c>
      <c r="L753" s="0" t="n">
        <v>0</v>
      </c>
      <c r="M753" s="0" t="n">
        <v>0</v>
      </c>
      <c r="N753" s="0" t="n">
        <v>0</v>
      </c>
      <c r="O753" s="54" t="n">
        <f aca="false">YEAR(B753)</f>
        <v>2020</v>
      </c>
      <c r="P753" s="54" t="n">
        <f aca="false">IF(AND(E753&gt;=14400,K753&gt;0,L753&gt;0),1,0)</f>
        <v>0</v>
      </c>
      <c r="Q753" s="53" t="n">
        <f aca="false">IF(P753=1,F753/E753*MIN(L753/K753,1)*MIN(MAX(M753/L753,0),1),0)</f>
        <v>0</v>
      </c>
      <c r="R753" s="55" t="n">
        <f aca="false">IF(F753&gt;0,N753/(F753/3600),0)</f>
        <v>0</v>
      </c>
    </row>
    <row r="754" customFormat="false" ht="15" hidden="false" customHeight="false" outlineLevel="0" collapsed="false">
      <c r="A754" s="0" t="s">
        <v>259</v>
      </c>
      <c r="B754" s="52" t="n">
        <v>44123</v>
      </c>
      <c r="C754" s="0" t="n">
        <v>34260.853</v>
      </c>
      <c r="D754" s="0" t="n">
        <v>10326.021</v>
      </c>
      <c r="E754" s="0" t="n">
        <v>23934.832</v>
      </c>
      <c r="F754" s="0" t="n">
        <v>7900.958</v>
      </c>
      <c r="G754" s="0" t="n">
        <v>7081.479</v>
      </c>
      <c r="H754" s="0" t="n">
        <v>819.479</v>
      </c>
      <c r="I754" s="0" t="n">
        <v>2297.094</v>
      </c>
      <c r="J754" s="0" t="n">
        <v>13736.78</v>
      </c>
      <c r="K754" s="0" t="n">
        <v>14189.9330138889</v>
      </c>
      <c r="L754" s="0" t="n">
        <v>12706</v>
      </c>
      <c r="M754" s="0" t="n">
        <v>12636</v>
      </c>
      <c r="N754" s="0" t="n">
        <v>22</v>
      </c>
      <c r="O754" s="54" t="n">
        <f aca="false">YEAR(B754)</f>
        <v>2020</v>
      </c>
      <c r="P754" s="54" t="n">
        <f aca="false">IF(AND(E754&gt;=14400,K754&gt;0,L754&gt;0),1,0)</f>
        <v>1</v>
      </c>
      <c r="Q754" s="53" t="n">
        <f aca="false">IF(P754=1,F754/E754*MIN(L754/K754,1)*MIN(MAX(M754/L754,0),1),0)</f>
        <v>0.293953504111448</v>
      </c>
      <c r="R754" s="55" t="n">
        <f aca="false">IF(F754&gt;0,N754/(F754/3600),0)</f>
        <v>10.0241008748559</v>
      </c>
    </row>
    <row r="755" customFormat="false" ht="15" hidden="false" customHeight="false" outlineLevel="0" collapsed="false">
      <c r="A755" s="0" t="s">
        <v>259</v>
      </c>
      <c r="B755" s="52" t="n">
        <v>44124</v>
      </c>
      <c r="C755" s="0" t="n">
        <v>38674.165</v>
      </c>
      <c r="D755" s="0" t="n">
        <v>10185.653</v>
      </c>
      <c r="E755" s="0" t="n">
        <v>28488.512</v>
      </c>
      <c r="F755" s="0" t="n">
        <v>7932.606</v>
      </c>
      <c r="G755" s="0" t="n">
        <v>6006.543</v>
      </c>
      <c r="H755" s="0" t="n">
        <v>1926.063</v>
      </c>
      <c r="I755" s="0" t="n">
        <v>3748.375</v>
      </c>
      <c r="J755" s="0" t="n">
        <v>16807.531</v>
      </c>
      <c r="K755" s="0" t="n">
        <v>12351.4207138889</v>
      </c>
      <c r="L755" s="0" t="n">
        <v>9265</v>
      </c>
      <c r="M755" s="0" t="n">
        <v>9036</v>
      </c>
      <c r="N755" s="0" t="n">
        <v>31</v>
      </c>
      <c r="O755" s="54" t="n">
        <f aca="false">YEAR(B755)</f>
        <v>2020</v>
      </c>
      <c r="P755" s="54" t="n">
        <f aca="false">IF(AND(E755&gt;=14400,K755&gt;0,L755&gt;0),1,0)</f>
        <v>1</v>
      </c>
      <c r="Q755" s="53" t="n">
        <f aca="false">IF(P755=1,F755/E755*MIN(L755/K755,1)*MIN(MAX(M755/L755,0),1),0)</f>
        <v>0.203706752599095</v>
      </c>
      <c r="R755" s="55" t="n">
        <f aca="false">IF(F755&gt;0,N755/(F755/3600),0)</f>
        <v>14.0685167018254</v>
      </c>
    </row>
    <row r="756" customFormat="false" ht="15" hidden="false" customHeight="false" outlineLevel="0" collapsed="false">
      <c r="A756" s="0" t="s">
        <v>259</v>
      </c>
      <c r="B756" s="52" t="n">
        <v>44125</v>
      </c>
      <c r="C756" s="0" t="n">
        <v>32285.591</v>
      </c>
      <c r="D756" s="0" t="n">
        <v>10323.85</v>
      </c>
      <c r="E756" s="0" t="n">
        <v>21961.741</v>
      </c>
      <c r="F756" s="0" t="n">
        <v>14198.672</v>
      </c>
      <c r="G756" s="0" t="n">
        <v>12391.766</v>
      </c>
      <c r="H756" s="0" t="n">
        <v>1806.906</v>
      </c>
      <c r="I756" s="0" t="n">
        <v>2293.268</v>
      </c>
      <c r="J756" s="0" t="n">
        <v>5469.801</v>
      </c>
      <c r="K756" s="0" t="n">
        <v>24912.6248027778</v>
      </c>
      <c r="L756" s="0" t="n">
        <v>21583</v>
      </c>
      <c r="M756" s="0" t="n">
        <v>21378</v>
      </c>
      <c r="N756" s="0" t="n">
        <v>63</v>
      </c>
      <c r="O756" s="54" t="n">
        <f aca="false">YEAR(B756)</f>
        <v>2020</v>
      </c>
      <c r="P756" s="54" t="n">
        <f aca="false">IF(AND(E756&gt;=14400,K756&gt;0,L756&gt;0),1,0)</f>
        <v>1</v>
      </c>
      <c r="Q756" s="53" t="n">
        <f aca="false">IF(P756=1,F756/E756*MIN(L756/K756,1)*MIN(MAX(M756/L756,0),1),0)</f>
        <v>0.554789900690396</v>
      </c>
      <c r="R756" s="55" t="n">
        <f aca="false">IF(F756&gt;0,N756/(F756/3600),0)</f>
        <v>15.9733248292516</v>
      </c>
    </row>
    <row r="757" customFormat="false" ht="15" hidden="false" customHeight="false" outlineLevel="0" collapsed="false">
      <c r="A757" s="0" t="s">
        <v>259</v>
      </c>
      <c r="B757" s="52" t="n">
        <v>44126</v>
      </c>
      <c r="C757" s="0" t="n">
        <v>53020.531</v>
      </c>
      <c r="D757" s="0" t="n">
        <v>11121.68</v>
      </c>
      <c r="E757" s="0" t="n">
        <v>41898.851</v>
      </c>
      <c r="F757" s="0" t="n">
        <v>16394.593</v>
      </c>
      <c r="G757" s="0" t="n">
        <v>9828.9</v>
      </c>
      <c r="H757" s="0" t="n">
        <v>6565.693</v>
      </c>
      <c r="I757" s="0" t="n">
        <v>3303.432</v>
      </c>
      <c r="J757" s="0" t="n">
        <v>22200.826</v>
      </c>
      <c r="K757" s="0" t="n">
        <v>25382.6823611111</v>
      </c>
      <c r="L757" s="0" t="n">
        <v>16243</v>
      </c>
      <c r="M757" s="0" t="n">
        <v>15779</v>
      </c>
      <c r="N757" s="0" t="n">
        <v>30</v>
      </c>
      <c r="O757" s="54" t="n">
        <f aca="false">YEAR(B757)</f>
        <v>2020</v>
      </c>
      <c r="P757" s="54" t="n">
        <f aca="false">IF(AND(E757&gt;=14400,K757&gt;0,L757&gt;0),1,0)</f>
        <v>1</v>
      </c>
      <c r="Q757" s="53" t="n">
        <f aca="false">IF(P757=1,F757/E757*MIN(L757/K757,1)*MIN(MAX(M757/L757,0),1),0)</f>
        <v>0.243243076354581</v>
      </c>
      <c r="R757" s="55" t="n">
        <f aca="false">IF(F757&gt;0,N757/(F757/3600),0)</f>
        <v>6.58753773271468</v>
      </c>
    </row>
    <row r="758" customFormat="false" ht="15" hidden="false" customHeight="false" outlineLevel="0" collapsed="false">
      <c r="A758" s="0" t="s">
        <v>259</v>
      </c>
      <c r="B758" s="52" t="n">
        <v>44127</v>
      </c>
      <c r="C758" s="0" t="n">
        <v>46901.204</v>
      </c>
      <c r="D758" s="0" t="n">
        <v>13699.39</v>
      </c>
      <c r="E758" s="0" t="n">
        <v>33201.814</v>
      </c>
      <c r="F758" s="0" t="n">
        <v>15568.191</v>
      </c>
      <c r="G758" s="0" t="n">
        <v>13821.105</v>
      </c>
      <c r="H758" s="0" t="n">
        <v>1747.086</v>
      </c>
      <c r="I758" s="0" t="n">
        <v>4399.215</v>
      </c>
      <c r="J758" s="0" t="n">
        <v>13234.408</v>
      </c>
      <c r="K758" s="0" t="n">
        <v>27757.9362358333</v>
      </c>
      <c r="L758" s="0" t="n">
        <v>24604</v>
      </c>
      <c r="M758" s="0" t="n">
        <v>24530</v>
      </c>
      <c r="N758" s="0" t="n">
        <v>48</v>
      </c>
      <c r="O758" s="54" t="n">
        <f aca="false">YEAR(B758)</f>
        <v>2020</v>
      </c>
      <c r="P758" s="54" t="n">
        <f aca="false">IF(AND(E758&gt;=14400,K758&gt;0,L758&gt;0),1,0)</f>
        <v>1</v>
      </c>
      <c r="Q758" s="53" t="n">
        <f aca="false">IF(P758=1,F758/E758*MIN(L758/K758,1)*MIN(MAX(M758/L758,0),1),0)</f>
        <v>0.414368480966104</v>
      </c>
      <c r="R758" s="55" t="n">
        <f aca="false">IF(F758&gt;0,N758/(F758/3600),0)</f>
        <v>11.0995554974884</v>
      </c>
    </row>
    <row r="759" customFormat="false" ht="15" hidden="false" customHeight="false" outlineLevel="0" collapsed="false">
      <c r="A759" s="0" t="s">
        <v>259</v>
      </c>
      <c r="B759" s="52" t="n">
        <v>44128</v>
      </c>
      <c r="C759" s="0" t="n">
        <v>16666.373</v>
      </c>
      <c r="D759" s="0" t="n">
        <v>5830.336</v>
      </c>
      <c r="E759" s="0" t="n">
        <v>10836.037</v>
      </c>
      <c r="F759" s="0" t="n">
        <v>2867.63</v>
      </c>
      <c r="G759" s="0" t="n">
        <v>2556.911</v>
      </c>
      <c r="H759" s="0" t="n">
        <v>310.719</v>
      </c>
      <c r="I759" s="0" t="n">
        <v>868.762</v>
      </c>
      <c r="J759" s="0" t="n">
        <v>7099.645</v>
      </c>
      <c r="K759" s="0" t="n">
        <v>4923.84569444445</v>
      </c>
      <c r="L759" s="0" t="n">
        <v>4618</v>
      </c>
      <c r="M759" s="0" t="n">
        <v>4602</v>
      </c>
      <c r="N759" s="0" t="n">
        <v>5</v>
      </c>
      <c r="O759" s="54" t="n">
        <f aca="false">YEAR(B759)</f>
        <v>2020</v>
      </c>
      <c r="P759" s="54" t="n">
        <f aca="false">IF(AND(E759&gt;=14400,K759&gt;0,L759&gt;0),1,0)</f>
        <v>0</v>
      </c>
      <c r="Q759" s="53" t="n">
        <f aca="false">IF(P759=1,F759/E759*MIN(L759/K759,1)*MIN(MAX(M759/L759,0),1),0)</f>
        <v>0</v>
      </c>
      <c r="R759" s="55" t="n">
        <f aca="false">IF(F759&gt;0,N759/(F759/3600),0)</f>
        <v>6.27696041679017</v>
      </c>
    </row>
    <row r="760" customFormat="false" ht="15" hidden="false" customHeight="false" outlineLevel="0" collapsed="false">
      <c r="A760" s="0" t="s">
        <v>259</v>
      </c>
      <c r="B760" s="52" t="n">
        <v>44129</v>
      </c>
      <c r="C760" s="0" t="n">
        <v>5991.937</v>
      </c>
      <c r="D760" s="0" t="n">
        <v>3849.159</v>
      </c>
      <c r="E760" s="0" t="n">
        <v>2142.778</v>
      </c>
      <c r="F760" s="0" t="n">
        <v>747.85</v>
      </c>
      <c r="G760" s="0" t="n">
        <v>712.509</v>
      </c>
      <c r="H760" s="0" t="n">
        <v>35.341</v>
      </c>
      <c r="I760" s="0" t="n">
        <v>0</v>
      </c>
      <c r="J760" s="0" t="n">
        <v>1394.928</v>
      </c>
      <c r="K760" s="0" t="n">
        <v>1350.28472222222</v>
      </c>
      <c r="L760" s="0" t="n">
        <v>1236</v>
      </c>
      <c r="M760" s="0" t="n">
        <v>1218</v>
      </c>
      <c r="N760" s="0" t="n">
        <v>0</v>
      </c>
      <c r="O760" s="54" t="n">
        <f aca="false">YEAR(B760)</f>
        <v>2020</v>
      </c>
      <c r="P760" s="54" t="n">
        <f aca="false">IF(AND(E760&gt;=14400,K760&gt;0,L760&gt;0),1,0)</f>
        <v>0</v>
      </c>
      <c r="Q760" s="53" t="n">
        <f aca="false">IF(P760=1,F760/E760*MIN(L760/K760,1)*MIN(MAX(M760/L760,0),1),0)</f>
        <v>0</v>
      </c>
      <c r="R760" s="55" t="n">
        <f aca="false">IF(F760&gt;0,N760/(F760/3600),0)</f>
        <v>0</v>
      </c>
    </row>
    <row r="761" customFormat="false" ht="15" hidden="false" customHeight="false" outlineLevel="0" collapsed="false">
      <c r="A761" s="0" t="s">
        <v>259</v>
      </c>
      <c r="B761" s="52" t="n">
        <v>44130</v>
      </c>
      <c r="C761" s="0" t="n">
        <v>39574.639</v>
      </c>
      <c r="D761" s="0" t="n">
        <v>14001.397</v>
      </c>
      <c r="E761" s="0" t="n">
        <v>25573.242</v>
      </c>
      <c r="F761" s="0" t="n">
        <v>8784.861</v>
      </c>
      <c r="G761" s="0" t="n">
        <v>7451.852</v>
      </c>
      <c r="H761" s="0" t="n">
        <v>1333.009</v>
      </c>
      <c r="I761" s="0" t="n">
        <v>1186.43</v>
      </c>
      <c r="J761" s="0" t="n">
        <v>15601.951</v>
      </c>
      <c r="K761" s="0" t="n">
        <v>15702.259625</v>
      </c>
      <c r="L761" s="0" t="n">
        <v>13419</v>
      </c>
      <c r="M761" s="0" t="n">
        <v>13389</v>
      </c>
      <c r="N761" s="0" t="n">
        <v>13</v>
      </c>
      <c r="O761" s="54" t="n">
        <f aca="false">YEAR(B761)</f>
        <v>2020</v>
      </c>
      <c r="P761" s="54" t="n">
        <f aca="false">IF(AND(E761&gt;=14400,K761&gt;0,L761&gt;0),1,0)</f>
        <v>1</v>
      </c>
      <c r="Q761" s="53" t="n">
        <f aca="false">IF(P761=1,F761/E761*MIN(L761/K761,1)*MIN(MAX(M761/L761,0),1),0)</f>
        <v>0.292910603442448</v>
      </c>
      <c r="R761" s="55" t="n">
        <f aca="false">IF(F761&gt;0,N761/(F761/3600),0)</f>
        <v>5.32734667059615</v>
      </c>
    </row>
    <row r="762" customFormat="false" ht="15" hidden="false" customHeight="false" outlineLevel="0" collapsed="false">
      <c r="A762" s="0" t="s">
        <v>259</v>
      </c>
      <c r="B762" s="52" t="n">
        <v>44131</v>
      </c>
      <c r="C762" s="0" t="n">
        <v>51238.612</v>
      </c>
      <c r="D762" s="0" t="n">
        <v>25642.37</v>
      </c>
      <c r="E762" s="0" t="n">
        <v>25596.242</v>
      </c>
      <c r="F762" s="0" t="n">
        <v>10050.897</v>
      </c>
      <c r="G762" s="0" t="n">
        <v>7699.758</v>
      </c>
      <c r="H762" s="0" t="n">
        <v>2351.139</v>
      </c>
      <c r="I762" s="0" t="n">
        <v>4813.969</v>
      </c>
      <c r="J762" s="0" t="n">
        <v>10731.376</v>
      </c>
      <c r="K762" s="0" t="n">
        <v>16118.97625</v>
      </c>
      <c r="L762" s="0" t="n">
        <v>11854</v>
      </c>
      <c r="M762" s="0" t="n">
        <v>11711</v>
      </c>
      <c r="N762" s="0" t="n">
        <v>42</v>
      </c>
      <c r="O762" s="54" t="n">
        <f aca="false">YEAR(B762)</f>
        <v>2020</v>
      </c>
      <c r="P762" s="54" t="n">
        <f aca="false">IF(AND(E762&gt;=14400,K762&gt;0,L762&gt;0),1,0)</f>
        <v>1</v>
      </c>
      <c r="Q762" s="53" t="n">
        <f aca="false">IF(P762=1,F762/E762*MIN(L762/K762,1)*MIN(MAX(M762/L762,0),1),0)</f>
        <v>0.285289074715359</v>
      </c>
      <c r="R762" s="55" t="n">
        <f aca="false">IF(F762&gt;0,N762/(F762/3600),0)</f>
        <v>15.0434334368365</v>
      </c>
    </row>
    <row r="763" customFormat="false" ht="15" hidden="false" customHeight="false" outlineLevel="0" collapsed="false">
      <c r="A763" s="0" t="s">
        <v>259</v>
      </c>
      <c r="B763" s="52" t="n">
        <v>44132</v>
      </c>
      <c r="C763" s="0" t="n">
        <v>38696.974</v>
      </c>
      <c r="D763" s="0" t="n">
        <v>11005.678</v>
      </c>
      <c r="E763" s="0" t="n">
        <v>27691.296</v>
      </c>
      <c r="F763" s="0" t="n">
        <v>11827.66</v>
      </c>
      <c r="G763" s="0" t="n">
        <v>11179.859</v>
      </c>
      <c r="H763" s="0" t="n">
        <v>647.801</v>
      </c>
      <c r="I763" s="0" t="n">
        <v>3047.283</v>
      </c>
      <c r="J763" s="0" t="n">
        <v>12816.353</v>
      </c>
      <c r="K763" s="0" t="n">
        <v>21355.4972222222</v>
      </c>
      <c r="L763" s="0" t="n">
        <v>20137</v>
      </c>
      <c r="M763" s="0" t="n">
        <v>20091</v>
      </c>
      <c r="N763" s="0" t="n">
        <v>30</v>
      </c>
      <c r="O763" s="54" t="n">
        <f aca="false">YEAR(B763)</f>
        <v>2020</v>
      </c>
      <c r="P763" s="54" t="n">
        <f aca="false">IF(AND(E763&gt;=14400,K763&gt;0,L763&gt;0),1,0)</f>
        <v>1</v>
      </c>
      <c r="Q763" s="53" t="n">
        <f aca="false">IF(P763=1,F763/E763*MIN(L763/K763,1)*MIN(MAX(M763/L763,0),1),0)</f>
        <v>0.401834680360323</v>
      </c>
      <c r="R763" s="55" t="n">
        <f aca="false">IF(F763&gt;0,N763/(F763/3600),0)</f>
        <v>9.13113836549241</v>
      </c>
    </row>
    <row r="764" customFormat="false" ht="15" hidden="false" customHeight="false" outlineLevel="0" collapsed="false">
      <c r="A764" s="0" t="s">
        <v>259</v>
      </c>
      <c r="B764" s="52" t="n">
        <v>44133</v>
      </c>
      <c r="C764" s="0" t="n">
        <v>43608.883</v>
      </c>
      <c r="D764" s="0" t="n">
        <v>9782.377</v>
      </c>
      <c r="E764" s="0" t="n">
        <v>33826.506</v>
      </c>
      <c r="F764" s="0" t="n">
        <v>9977.505</v>
      </c>
      <c r="G764" s="0" t="n">
        <v>9193.09</v>
      </c>
      <c r="H764" s="0" t="n">
        <v>784.415</v>
      </c>
      <c r="I764" s="0" t="n">
        <v>2109.059</v>
      </c>
      <c r="J764" s="0" t="n">
        <v>21739.942</v>
      </c>
      <c r="K764" s="0" t="n">
        <v>17963.2871527778</v>
      </c>
      <c r="L764" s="0" t="n">
        <v>16521</v>
      </c>
      <c r="M764" s="0" t="n">
        <v>16479</v>
      </c>
      <c r="N764" s="0" t="n">
        <v>29</v>
      </c>
      <c r="O764" s="54" t="n">
        <f aca="false">YEAR(B764)</f>
        <v>2020</v>
      </c>
      <c r="P764" s="54" t="n">
        <f aca="false">IF(AND(E764&gt;=14400,K764&gt;0,L764&gt;0),1,0)</f>
        <v>1</v>
      </c>
      <c r="Q764" s="53" t="n">
        <f aca="false">IF(P764=1,F764/E764*MIN(L764/K764,1)*MIN(MAX(M764/L764,0),1),0)</f>
        <v>0.270588823515671</v>
      </c>
      <c r="R764" s="55" t="n">
        <f aca="false">IF(F764&gt;0,N764/(F764/3600),0)</f>
        <v>10.4635377281194</v>
      </c>
    </row>
    <row r="765" customFormat="false" ht="15" hidden="false" customHeight="false" outlineLevel="0" collapsed="false">
      <c r="A765" s="0" t="s">
        <v>259</v>
      </c>
      <c r="B765" s="52" t="n">
        <v>44134</v>
      </c>
      <c r="C765" s="0" t="n">
        <v>68816.944</v>
      </c>
      <c r="D765" s="0" t="n">
        <v>6858.97</v>
      </c>
      <c r="E765" s="0" t="n">
        <v>61957.974</v>
      </c>
      <c r="F765" s="0" t="n">
        <v>16558.52</v>
      </c>
      <c r="G765" s="0" t="n">
        <v>14238.43</v>
      </c>
      <c r="H765" s="0" t="n">
        <v>2320.09</v>
      </c>
      <c r="I765" s="0" t="n">
        <v>4201.622</v>
      </c>
      <c r="J765" s="0" t="n">
        <v>41197.832</v>
      </c>
      <c r="K765" s="0" t="n">
        <v>26926.5402527778</v>
      </c>
      <c r="L765" s="0" t="n">
        <v>23658</v>
      </c>
      <c r="M765" s="0" t="n">
        <v>23612</v>
      </c>
      <c r="N765" s="0" t="n">
        <v>33</v>
      </c>
      <c r="O765" s="54" t="n">
        <f aca="false">YEAR(B765)</f>
        <v>2020</v>
      </c>
      <c r="P765" s="54" t="n">
        <f aca="false">IF(AND(E765&gt;=14400,K765&gt;0,L765&gt;0),1,0)</f>
        <v>1</v>
      </c>
      <c r="Q765" s="53" t="n">
        <f aca="false">IF(P765=1,F765/E765*MIN(L765/K765,1)*MIN(MAX(M765/L765,0),1),0)</f>
        <v>0.234356243581129</v>
      </c>
      <c r="R765" s="55" t="n">
        <f aca="false">IF(F765&gt;0,N765/(F765/3600),0)</f>
        <v>7.17455424760184</v>
      </c>
    </row>
    <row r="766" customFormat="false" ht="15" hidden="false" customHeight="false" outlineLevel="0" collapsed="false">
      <c r="A766" s="0" t="s">
        <v>259</v>
      </c>
      <c r="B766" s="52" t="n">
        <v>44135</v>
      </c>
      <c r="C766" s="0" t="n">
        <v>36310.026</v>
      </c>
      <c r="D766" s="0" t="n">
        <v>7379.728</v>
      </c>
      <c r="E766" s="0" t="n">
        <v>28930.298</v>
      </c>
      <c r="F766" s="0" t="n">
        <v>12319.465</v>
      </c>
      <c r="G766" s="0" t="n">
        <v>9871.58</v>
      </c>
      <c r="H766" s="0" t="n">
        <v>2447.885</v>
      </c>
      <c r="I766" s="0" t="n">
        <v>2863.132</v>
      </c>
      <c r="J766" s="0" t="n">
        <v>13747.701</v>
      </c>
      <c r="K766" s="0" t="n">
        <v>17969.8729166667</v>
      </c>
      <c r="L766" s="0" t="n">
        <v>14237</v>
      </c>
      <c r="M766" s="0" t="n">
        <v>14108</v>
      </c>
      <c r="N766" s="0" t="n">
        <v>16</v>
      </c>
      <c r="O766" s="54" t="n">
        <f aca="false">YEAR(B766)</f>
        <v>2020</v>
      </c>
      <c r="P766" s="54" t="n">
        <f aca="false">IF(AND(E766&gt;=14400,K766&gt;0,L766&gt;0),1,0)</f>
        <v>1</v>
      </c>
      <c r="Q766" s="53" t="n">
        <f aca="false">IF(P766=1,F766/E766*MIN(L766/K766,1)*MIN(MAX(M766/L766,0),1),0)</f>
        <v>0.334317712120514</v>
      </c>
      <c r="R766" s="55" t="n">
        <f aca="false">IF(F766&gt;0,N766/(F766/3600),0)</f>
        <v>4.67552771163358</v>
      </c>
    </row>
    <row r="767" customFormat="false" ht="15" hidden="false" customHeight="false" outlineLevel="0" collapsed="false">
      <c r="A767" s="0" t="s">
        <v>259</v>
      </c>
      <c r="B767" s="52" t="n">
        <v>44136</v>
      </c>
      <c r="C767" s="0" t="n">
        <v>11866.426</v>
      </c>
      <c r="D767" s="0" t="n">
        <v>2329.84</v>
      </c>
      <c r="E767" s="0" t="n">
        <v>9536.586</v>
      </c>
      <c r="F767" s="0" t="n">
        <v>0</v>
      </c>
      <c r="G767" s="0" t="n">
        <v>0</v>
      </c>
      <c r="H767" s="0" t="n">
        <v>0</v>
      </c>
      <c r="I767" s="0" t="n">
        <v>0</v>
      </c>
      <c r="J767" s="0" t="n">
        <v>9536.586</v>
      </c>
      <c r="K767" s="0" t="n">
        <v>0</v>
      </c>
      <c r="L767" s="0" t="n">
        <v>0</v>
      </c>
      <c r="M767" s="0" t="n">
        <v>0</v>
      </c>
      <c r="N767" s="0" t="n">
        <v>0</v>
      </c>
      <c r="O767" s="54" t="n">
        <f aca="false">YEAR(B767)</f>
        <v>2020</v>
      </c>
      <c r="P767" s="54" t="n">
        <f aca="false">IF(AND(E767&gt;=14400,K767&gt;0,L767&gt;0),1,0)</f>
        <v>0</v>
      </c>
      <c r="Q767" s="53" t="n">
        <f aca="false">IF(P767=1,F767/E767*MIN(L767/K767,1)*MIN(MAX(M767/L767,0),1),0)</f>
        <v>0</v>
      </c>
      <c r="R767" s="55" t="n">
        <f aca="false">IF(F767&gt;0,N767/(F767/3600),0)</f>
        <v>0</v>
      </c>
    </row>
    <row r="768" customFormat="false" ht="15" hidden="false" customHeight="false" outlineLevel="0" collapsed="false">
      <c r="A768" s="0" t="s">
        <v>259</v>
      </c>
      <c r="B768" s="52" t="n">
        <v>44137</v>
      </c>
      <c r="C768" s="0" t="n">
        <v>44310.694</v>
      </c>
      <c r="D768" s="0" t="n">
        <v>11434.948</v>
      </c>
      <c r="E768" s="0" t="n">
        <v>32875.746</v>
      </c>
      <c r="F768" s="0" t="n">
        <v>6889.89</v>
      </c>
      <c r="G768" s="0" t="n">
        <v>5056.89</v>
      </c>
      <c r="H768" s="0" t="n">
        <v>1833</v>
      </c>
      <c r="I768" s="0" t="n">
        <v>5309.202</v>
      </c>
      <c r="J768" s="0" t="n">
        <v>20676.654</v>
      </c>
      <c r="K768" s="0" t="n">
        <v>8231.71898611111</v>
      </c>
      <c r="L768" s="0" t="n">
        <v>5690</v>
      </c>
      <c r="M768" s="0" t="n">
        <v>5640</v>
      </c>
      <c r="N768" s="0" t="n">
        <v>18</v>
      </c>
      <c r="O768" s="54" t="n">
        <f aca="false">YEAR(B768)</f>
        <v>2020</v>
      </c>
      <c r="P768" s="54" t="n">
        <f aca="false">IF(AND(E768&gt;=14400,K768&gt;0,L768&gt;0),1,0)</f>
        <v>1</v>
      </c>
      <c r="Q768" s="53" t="n">
        <f aca="false">IF(P768=1,F768/E768*MIN(L768/K768,1)*MIN(MAX(M768/L768,0),1),0)</f>
        <v>0.143590345259995</v>
      </c>
      <c r="R768" s="55" t="n">
        <f aca="false">IF(F768&gt;0,N768/(F768/3600),0)</f>
        <v>9.40508484170284</v>
      </c>
    </row>
    <row r="769" customFormat="false" ht="15" hidden="false" customHeight="false" outlineLevel="0" collapsed="false">
      <c r="A769" s="0" t="s">
        <v>259</v>
      </c>
      <c r="B769" s="52" t="n">
        <v>44138</v>
      </c>
      <c r="C769" s="0" t="n">
        <v>39485.839</v>
      </c>
      <c r="D769" s="0" t="n">
        <v>12812.462</v>
      </c>
      <c r="E769" s="0" t="n">
        <v>26673.377</v>
      </c>
      <c r="F769" s="0" t="n">
        <v>5608.27</v>
      </c>
      <c r="G769" s="0" t="n">
        <v>4324.479</v>
      </c>
      <c r="H769" s="0" t="n">
        <v>1283.791</v>
      </c>
      <c r="I769" s="0" t="n">
        <v>5149.987</v>
      </c>
      <c r="J769" s="0" t="n">
        <v>15915.12</v>
      </c>
      <c r="K769" s="0" t="n">
        <v>9389.96398055555</v>
      </c>
      <c r="L769" s="0" t="n">
        <v>7242</v>
      </c>
      <c r="M769" s="0" t="n">
        <v>7162</v>
      </c>
      <c r="N769" s="0" t="n">
        <v>22</v>
      </c>
      <c r="O769" s="54" t="n">
        <f aca="false">YEAR(B769)</f>
        <v>2020</v>
      </c>
      <c r="P769" s="54" t="n">
        <f aca="false">IF(AND(E769&gt;=14400,K769&gt;0,L769&gt;0),1,0)</f>
        <v>1</v>
      </c>
      <c r="Q769" s="53" t="n">
        <f aca="false">IF(P769=1,F769/E769*MIN(L769/K769,1)*MIN(MAX(M769/L769,0),1),0)</f>
        <v>0.160369324842247</v>
      </c>
      <c r="R769" s="55" t="n">
        <f aca="false">IF(F769&gt;0,N769/(F769/3600),0)</f>
        <v>14.1220019720876</v>
      </c>
    </row>
    <row r="770" customFormat="false" ht="15" hidden="false" customHeight="false" outlineLevel="0" collapsed="false">
      <c r="A770" s="0" t="s">
        <v>259</v>
      </c>
      <c r="B770" s="52" t="n">
        <v>44139</v>
      </c>
      <c r="C770" s="0" t="n">
        <v>38455.162</v>
      </c>
      <c r="D770" s="0" t="n">
        <v>11835.683</v>
      </c>
      <c r="E770" s="0" t="n">
        <v>26619.479</v>
      </c>
      <c r="F770" s="0" t="n">
        <v>12730.918</v>
      </c>
      <c r="G770" s="0" t="n">
        <v>9514.118</v>
      </c>
      <c r="H770" s="0" t="n">
        <v>3216.8</v>
      </c>
      <c r="I770" s="0" t="n">
        <v>1798.713</v>
      </c>
      <c r="J770" s="0" t="n">
        <v>12089.848</v>
      </c>
      <c r="K770" s="0" t="n">
        <v>22643.0504694444</v>
      </c>
      <c r="L770" s="0" t="n">
        <v>16979</v>
      </c>
      <c r="M770" s="0" t="n">
        <v>16909</v>
      </c>
      <c r="N770" s="0" t="n">
        <v>13</v>
      </c>
      <c r="O770" s="54" t="n">
        <f aca="false">YEAR(B770)</f>
        <v>2020</v>
      </c>
      <c r="P770" s="54" t="n">
        <f aca="false">IF(AND(E770&gt;=14400,K770&gt;0,L770&gt;0),1,0)</f>
        <v>1</v>
      </c>
      <c r="Q770" s="53" t="n">
        <f aca="false">IF(P770=1,F770/E770*MIN(L770/K770,1)*MIN(MAX(M770/L770,0),1),0)</f>
        <v>0.357143836248553</v>
      </c>
      <c r="R770" s="55" t="n">
        <f aca="false">IF(F770&gt;0,N770/(F770/3600),0)</f>
        <v>3.67608997245917</v>
      </c>
    </row>
    <row r="771" customFormat="false" ht="15" hidden="false" customHeight="false" outlineLevel="0" collapsed="false">
      <c r="A771" s="0" t="s">
        <v>259</v>
      </c>
      <c r="B771" s="52" t="n">
        <v>44140</v>
      </c>
      <c r="C771" s="0" t="n">
        <v>39517.834</v>
      </c>
      <c r="D771" s="0" t="n">
        <v>9672.837</v>
      </c>
      <c r="E771" s="0" t="n">
        <v>29844.997</v>
      </c>
      <c r="F771" s="0" t="n">
        <v>12158.589</v>
      </c>
      <c r="G771" s="0" t="n">
        <v>10834.768</v>
      </c>
      <c r="H771" s="0" t="n">
        <v>1323.821</v>
      </c>
      <c r="I771" s="0" t="n">
        <v>5777.311</v>
      </c>
      <c r="J771" s="0" t="n">
        <v>11909.097</v>
      </c>
      <c r="K771" s="0" t="n">
        <v>20209.0016097222</v>
      </c>
      <c r="L771" s="0" t="n">
        <v>17892</v>
      </c>
      <c r="M771" s="0" t="n">
        <v>17775</v>
      </c>
      <c r="N771" s="0" t="n">
        <v>27</v>
      </c>
      <c r="O771" s="54" t="n">
        <f aca="false">YEAR(B771)</f>
        <v>2020</v>
      </c>
      <c r="P771" s="54" t="n">
        <f aca="false">IF(AND(E771&gt;=14400,K771&gt;0,L771&gt;0),1,0)</f>
        <v>1</v>
      </c>
      <c r="Q771" s="53" t="n">
        <f aca="false">IF(P771=1,F771/E771*MIN(L771/K771,1)*MIN(MAX(M771/L771,0),1),0)</f>
        <v>0.358324405894832</v>
      </c>
      <c r="R771" s="55" t="n">
        <f aca="false">IF(F771&gt;0,N771/(F771/3600),0)</f>
        <v>7.99434868634839</v>
      </c>
    </row>
    <row r="772" customFormat="false" ht="15" hidden="false" customHeight="false" outlineLevel="0" collapsed="false">
      <c r="A772" s="0" t="s">
        <v>259</v>
      </c>
      <c r="B772" s="52" t="n">
        <v>44141</v>
      </c>
      <c r="C772" s="0" t="n">
        <v>56708.134</v>
      </c>
      <c r="D772" s="0" t="n">
        <v>9602.397</v>
      </c>
      <c r="E772" s="0" t="n">
        <v>47105.737</v>
      </c>
      <c r="F772" s="0" t="n">
        <v>18385.096</v>
      </c>
      <c r="G772" s="0" t="n">
        <v>13894.244</v>
      </c>
      <c r="H772" s="0" t="n">
        <v>4490.852</v>
      </c>
      <c r="I772" s="0" t="n">
        <v>10257.223</v>
      </c>
      <c r="J772" s="0" t="n">
        <v>18463.418</v>
      </c>
      <c r="K772" s="0" t="n">
        <v>30560.7076477778</v>
      </c>
      <c r="L772" s="0" t="n">
        <v>23260</v>
      </c>
      <c r="M772" s="0" t="n">
        <v>23174</v>
      </c>
      <c r="N772" s="0" t="n">
        <v>40</v>
      </c>
      <c r="O772" s="54" t="n">
        <f aca="false">YEAR(B772)</f>
        <v>2020</v>
      </c>
      <c r="P772" s="54" t="n">
        <f aca="false">IF(AND(E772&gt;=14400,K772&gt;0,L772&gt;0),1,0)</f>
        <v>1</v>
      </c>
      <c r="Q772" s="53" t="n">
        <f aca="false">IF(P772=1,F772/E772*MIN(L772/K772,1)*MIN(MAX(M772/L772,0),1),0)</f>
        <v>0.295957735194817</v>
      </c>
      <c r="R772" s="55" t="n">
        <f aca="false">IF(F772&gt;0,N772/(F772/3600),0)</f>
        <v>7.83243122581465</v>
      </c>
    </row>
    <row r="773" customFormat="false" ht="15" hidden="false" customHeight="false" outlineLevel="0" collapsed="false">
      <c r="A773" s="0" t="s">
        <v>259</v>
      </c>
      <c r="B773" s="52" t="n">
        <v>44142</v>
      </c>
      <c r="C773" s="0" t="n">
        <v>24569.412</v>
      </c>
      <c r="D773" s="0" t="n">
        <v>6251.023</v>
      </c>
      <c r="E773" s="0" t="n">
        <v>18318.389</v>
      </c>
      <c r="F773" s="0" t="n">
        <v>6538.452</v>
      </c>
      <c r="G773" s="0" t="n">
        <v>5531.693</v>
      </c>
      <c r="H773" s="0" t="n">
        <v>1006.759</v>
      </c>
      <c r="I773" s="0" t="n">
        <v>1324.559</v>
      </c>
      <c r="J773" s="0" t="n">
        <v>10455.378</v>
      </c>
      <c r="K773" s="0" t="n">
        <v>10874.5655416667</v>
      </c>
      <c r="L773" s="0" t="n">
        <v>9122</v>
      </c>
      <c r="M773" s="0" t="n">
        <v>9089</v>
      </c>
      <c r="N773" s="0" t="n">
        <v>22</v>
      </c>
      <c r="O773" s="54" t="n">
        <f aca="false">YEAR(B773)</f>
        <v>2020</v>
      </c>
      <c r="P773" s="54" t="n">
        <f aca="false">IF(AND(E773&gt;=14400,K773&gt;0,L773&gt;0),1,0)</f>
        <v>1</v>
      </c>
      <c r="Q773" s="53" t="n">
        <f aca="false">IF(P773=1,F773/E773*MIN(L773/K773,1)*MIN(MAX(M773/L773,0),1),0)</f>
        <v>0.298326512327811</v>
      </c>
      <c r="R773" s="55" t="n">
        <f aca="false">IF(F773&gt;0,N773/(F773/3600),0)</f>
        <v>12.11295884714</v>
      </c>
    </row>
    <row r="774" customFormat="false" ht="15" hidden="false" customHeight="false" outlineLevel="0" collapsed="false">
      <c r="A774" s="0" t="s">
        <v>259</v>
      </c>
      <c r="B774" s="52" t="n">
        <v>44143</v>
      </c>
      <c r="C774" s="0" t="n">
        <v>11085.409</v>
      </c>
      <c r="D774" s="0" t="n">
        <v>4359.995</v>
      </c>
      <c r="E774" s="0" t="n">
        <v>6725.414</v>
      </c>
      <c r="F774" s="0" t="n">
        <v>1056.969</v>
      </c>
      <c r="G774" s="0" t="n">
        <v>894.385</v>
      </c>
      <c r="H774" s="0" t="n">
        <v>162.584</v>
      </c>
      <c r="I774" s="0" t="n">
        <v>34.29</v>
      </c>
      <c r="J774" s="0" t="n">
        <v>5634.155</v>
      </c>
      <c r="K774" s="0" t="n">
        <v>1908.41625</v>
      </c>
      <c r="L774" s="0" t="n">
        <v>1566</v>
      </c>
      <c r="M774" s="0" t="n">
        <v>1524</v>
      </c>
      <c r="N774" s="0" t="n">
        <v>1</v>
      </c>
      <c r="O774" s="54" t="n">
        <f aca="false">YEAR(B774)</f>
        <v>2020</v>
      </c>
      <c r="P774" s="54" t="n">
        <f aca="false">IF(AND(E774&gt;=14400,K774&gt;0,L774&gt;0),1,0)</f>
        <v>0</v>
      </c>
      <c r="Q774" s="53" t="n">
        <f aca="false">IF(P774=1,F774/E774*MIN(L774/K774,1)*MIN(MAX(M774/L774,0),1),0)</f>
        <v>0</v>
      </c>
      <c r="R774" s="55" t="n">
        <f aca="false">IF(F774&gt;0,N774/(F774/3600),0)</f>
        <v>3.40596554865848</v>
      </c>
    </row>
    <row r="775" customFormat="false" ht="15" hidden="false" customHeight="false" outlineLevel="0" collapsed="false">
      <c r="A775" s="0" t="s">
        <v>259</v>
      </c>
      <c r="B775" s="52" t="n">
        <v>44144</v>
      </c>
      <c r="C775" s="0" t="n">
        <v>40879.948</v>
      </c>
      <c r="D775" s="0" t="n">
        <v>9820.717</v>
      </c>
      <c r="E775" s="0" t="n">
        <v>31059.231</v>
      </c>
      <c r="F775" s="0" t="n">
        <v>3672.068</v>
      </c>
      <c r="G775" s="0" t="n">
        <v>3414.158</v>
      </c>
      <c r="H775" s="0" t="n">
        <v>257.91</v>
      </c>
      <c r="I775" s="0" t="n">
        <v>464.86</v>
      </c>
      <c r="J775" s="0" t="n">
        <v>26922.303</v>
      </c>
      <c r="K775" s="0" t="n">
        <v>6630.12277777778</v>
      </c>
      <c r="L775" s="0" t="n">
        <v>6189</v>
      </c>
      <c r="M775" s="0" t="n">
        <v>6183</v>
      </c>
      <c r="N775" s="0" t="n">
        <v>12</v>
      </c>
      <c r="O775" s="54" t="n">
        <f aca="false">YEAR(B775)</f>
        <v>2020</v>
      </c>
      <c r="P775" s="54" t="n">
        <f aca="false">IF(AND(E775&gt;=14400,K775&gt;0,L775&gt;0),1,0)</f>
        <v>1</v>
      </c>
      <c r="Q775" s="53" t="n">
        <f aca="false">IF(P775=1,F775/E775*MIN(L775/K775,1)*MIN(MAX(M775/L775,0),1),0)</f>
        <v>0.110254847237872</v>
      </c>
      <c r="R775" s="55" t="n">
        <f aca="false">IF(F775&gt;0,N775/(F775/3600),0)</f>
        <v>11.7644880214637</v>
      </c>
    </row>
    <row r="776" customFormat="false" ht="15" hidden="false" customHeight="false" outlineLevel="0" collapsed="false">
      <c r="A776" s="0" t="s">
        <v>259</v>
      </c>
      <c r="B776" s="52" t="n">
        <v>44145</v>
      </c>
      <c r="C776" s="0" t="n">
        <v>41683.727</v>
      </c>
      <c r="D776" s="0" t="n">
        <v>11849.154</v>
      </c>
      <c r="E776" s="0" t="n">
        <v>29834.573</v>
      </c>
      <c r="F776" s="0" t="n">
        <v>6720.221</v>
      </c>
      <c r="G776" s="0" t="n">
        <v>6044.68</v>
      </c>
      <c r="H776" s="0" t="n">
        <v>675.541</v>
      </c>
      <c r="I776" s="0" t="n">
        <v>1833.128</v>
      </c>
      <c r="J776" s="0" t="n">
        <v>21281.224</v>
      </c>
      <c r="K776" s="0" t="n">
        <v>12133.7323611111</v>
      </c>
      <c r="L776" s="0" t="n">
        <v>10773</v>
      </c>
      <c r="M776" s="0" t="n">
        <v>10738</v>
      </c>
      <c r="N776" s="0" t="n">
        <v>35</v>
      </c>
      <c r="O776" s="54" t="n">
        <f aca="false">YEAR(B776)</f>
        <v>2020</v>
      </c>
      <c r="P776" s="54" t="n">
        <f aca="false">IF(AND(E776&gt;=14400,K776&gt;0,L776&gt;0),1,0)</f>
        <v>1</v>
      </c>
      <c r="Q776" s="53" t="n">
        <f aca="false">IF(P776=1,F776/E776*MIN(L776/K776,1)*MIN(MAX(M776/L776,0),1),0)</f>
        <v>0.199339202877145</v>
      </c>
      <c r="R776" s="55" t="n">
        <f aca="false">IF(F776&gt;0,N776/(F776/3600),0)</f>
        <v>18.7493833908141</v>
      </c>
    </row>
    <row r="777" customFormat="false" ht="15" hidden="false" customHeight="false" outlineLevel="0" collapsed="false">
      <c r="A777" s="0" t="s">
        <v>259</v>
      </c>
      <c r="B777" s="52" t="n">
        <v>44146</v>
      </c>
      <c r="C777" s="0" t="n">
        <v>32560.338</v>
      </c>
      <c r="D777" s="0" t="n">
        <v>10206.442</v>
      </c>
      <c r="E777" s="0" t="n">
        <v>22353.896</v>
      </c>
      <c r="F777" s="0" t="n">
        <v>14340.24</v>
      </c>
      <c r="G777" s="0" t="n">
        <v>12543.546</v>
      </c>
      <c r="H777" s="0" t="n">
        <v>1796.694</v>
      </c>
      <c r="I777" s="0" t="n">
        <v>2794.627</v>
      </c>
      <c r="J777" s="0" t="n">
        <v>5219.029</v>
      </c>
      <c r="K777" s="0" t="n">
        <v>25709.4825</v>
      </c>
      <c r="L777" s="0" t="n">
        <v>22336</v>
      </c>
      <c r="M777" s="0" t="n">
        <v>22295</v>
      </c>
      <c r="N777" s="0" t="n">
        <v>46</v>
      </c>
      <c r="O777" s="54" t="n">
        <f aca="false">YEAR(B777)</f>
        <v>2020</v>
      </c>
      <c r="P777" s="54" t="n">
        <f aca="false">IF(AND(E777&gt;=14400,K777&gt;0,L777&gt;0),1,0)</f>
        <v>1</v>
      </c>
      <c r="Q777" s="53" t="n">
        <f aca="false">IF(P777=1,F777/E777*MIN(L777/K777,1)*MIN(MAX(M777/L777,0),1),0)</f>
        <v>0.556310600481796</v>
      </c>
      <c r="R777" s="55" t="n">
        <f aca="false">IF(F777&gt;0,N777/(F777/3600),0)</f>
        <v>11.5479238841191</v>
      </c>
    </row>
    <row r="778" customFormat="false" ht="15" hidden="false" customHeight="false" outlineLevel="0" collapsed="false">
      <c r="A778" s="0" t="s">
        <v>259</v>
      </c>
      <c r="B778" s="52" t="n">
        <v>44147</v>
      </c>
      <c r="C778" s="0" t="n">
        <v>39213.05</v>
      </c>
      <c r="D778" s="0" t="n">
        <v>9783.412</v>
      </c>
      <c r="E778" s="0" t="n">
        <v>29429.638</v>
      </c>
      <c r="F778" s="0" t="n">
        <v>8425.324</v>
      </c>
      <c r="G778" s="0" t="n">
        <v>7191.686</v>
      </c>
      <c r="H778" s="0" t="n">
        <v>1233.638</v>
      </c>
      <c r="I778" s="0" t="n">
        <v>2135.069</v>
      </c>
      <c r="J778" s="0" t="n">
        <v>18869.245</v>
      </c>
      <c r="K778" s="0" t="n">
        <v>15212.3905555556</v>
      </c>
      <c r="L778" s="0" t="n">
        <v>13000</v>
      </c>
      <c r="M778" s="0" t="n">
        <v>12968</v>
      </c>
      <c r="N778" s="0" t="n">
        <v>22</v>
      </c>
      <c r="O778" s="54" t="n">
        <f aca="false">YEAR(B778)</f>
        <v>2020</v>
      </c>
      <c r="P778" s="54" t="n">
        <f aca="false">IF(AND(E778&gt;=14400,K778&gt;0,L778&gt;0),1,0)</f>
        <v>1</v>
      </c>
      <c r="Q778" s="53" t="n">
        <f aca="false">IF(P778=1,F778/E778*MIN(L778/K778,1)*MIN(MAX(M778/L778,0),1),0)</f>
        <v>0.244049108693655</v>
      </c>
      <c r="R778" s="55" t="n">
        <f aca="false">IF(F778&gt;0,N778/(F778/3600),0)</f>
        <v>9.40023196734037</v>
      </c>
    </row>
    <row r="779" customFormat="false" ht="15" hidden="false" customHeight="false" outlineLevel="0" collapsed="false">
      <c r="A779" s="0" t="s">
        <v>259</v>
      </c>
      <c r="B779" s="52" t="n">
        <v>44148</v>
      </c>
      <c r="C779" s="0" t="n">
        <v>48299.486</v>
      </c>
      <c r="D779" s="0" t="n">
        <v>12902.543</v>
      </c>
      <c r="E779" s="0" t="n">
        <v>35396.943</v>
      </c>
      <c r="F779" s="0" t="n">
        <v>11723.012</v>
      </c>
      <c r="G779" s="0" t="n">
        <v>10077.847</v>
      </c>
      <c r="H779" s="0" t="n">
        <v>1645.165</v>
      </c>
      <c r="I779" s="0" t="n">
        <v>5084.532</v>
      </c>
      <c r="J779" s="0" t="n">
        <v>18589.399</v>
      </c>
      <c r="K779" s="0" t="n">
        <v>21063.8765277778</v>
      </c>
      <c r="L779" s="0" t="n">
        <v>18095</v>
      </c>
      <c r="M779" s="0" t="n">
        <v>17931</v>
      </c>
      <c r="N779" s="0" t="n">
        <v>31</v>
      </c>
      <c r="O779" s="54" t="n">
        <f aca="false">YEAR(B779)</f>
        <v>2020</v>
      </c>
      <c r="P779" s="54" t="n">
        <f aca="false">IF(AND(E779&gt;=14400,K779&gt;0,L779&gt;0),1,0)</f>
        <v>1</v>
      </c>
      <c r="Q779" s="53" t="n">
        <f aca="false">IF(P779=1,F779/E779*MIN(L779/K779,1)*MIN(MAX(M779/L779,0),1),0)</f>
        <v>0.281928943087483</v>
      </c>
      <c r="R779" s="55" t="n">
        <f aca="false">IF(F779&gt;0,N779/(F779/3600),0)</f>
        <v>9.51973776022749</v>
      </c>
    </row>
    <row r="780" customFormat="false" ht="15" hidden="false" customHeight="false" outlineLevel="0" collapsed="false">
      <c r="A780" s="0" t="s">
        <v>259</v>
      </c>
      <c r="B780" s="52" t="n">
        <v>44149</v>
      </c>
      <c r="C780" s="0" t="n">
        <v>27598.592</v>
      </c>
      <c r="D780" s="0" t="n">
        <v>6134.059</v>
      </c>
      <c r="E780" s="0" t="n">
        <v>21464.533</v>
      </c>
      <c r="F780" s="0" t="n">
        <v>12525.546</v>
      </c>
      <c r="G780" s="0" t="n">
        <v>12181.287</v>
      </c>
      <c r="H780" s="0" t="n">
        <v>344.259</v>
      </c>
      <c r="I780" s="0" t="n">
        <v>880.88</v>
      </c>
      <c r="J780" s="0" t="n">
        <v>8058.107</v>
      </c>
      <c r="K780" s="0" t="n">
        <v>11397.871875</v>
      </c>
      <c r="L780" s="0" t="n">
        <v>10970</v>
      </c>
      <c r="M780" s="0" t="n">
        <v>10942</v>
      </c>
      <c r="N780" s="0" t="n">
        <v>14</v>
      </c>
      <c r="O780" s="54" t="n">
        <f aca="false">YEAR(B780)</f>
        <v>2020</v>
      </c>
      <c r="P780" s="54" t="n">
        <f aca="false">IF(AND(E780&gt;=14400,K780&gt;0,L780&gt;0),1,0)</f>
        <v>1</v>
      </c>
      <c r="Q780" s="53" t="n">
        <f aca="false">IF(P780=1,F780/E780*MIN(L780/K780,1)*MIN(MAX(M780/L780,0),1),0)</f>
        <v>0.560206523678006</v>
      </c>
      <c r="R780" s="55" t="n">
        <f aca="false">IF(F780&gt;0,N780/(F780/3600),0)</f>
        <v>4.02377668805815</v>
      </c>
    </row>
    <row r="781" customFormat="false" ht="15" hidden="false" customHeight="false" outlineLevel="0" collapsed="false">
      <c r="A781" s="0" t="s">
        <v>259</v>
      </c>
      <c r="B781" s="52" t="n">
        <v>44150</v>
      </c>
      <c r="C781" s="0" t="n">
        <v>14609.996</v>
      </c>
      <c r="D781" s="0" t="n">
        <v>4303.046</v>
      </c>
      <c r="E781" s="0" t="n">
        <v>10306.95</v>
      </c>
      <c r="F781" s="0" t="n">
        <v>36.07</v>
      </c>
      <c r="G781" s="0" t="n">
        <v>0</v>
      </c>
      <c r="H781" s="0" t="n">
        <v>36.07</v>
      </c>
      <c r="I781" s="0" t="n">
        <v>0</v>
      </c>
      <c r="J781" s="0" t="n">
        <v>10270.88</v>
      </c>
      <c r="K781" s="0" t="n">
        <v>32.5631944444444</v>
      </c>
      <c r="L781" s="0" t="n">
        <v>0</v>
      </c>
      <c r="M781" s="0" t="n">
        <v>0</v>
      </c>
      <c r="N781" s="0" t="n">
        <v>0</v>
      </c>
      <c r="O781" s="54" t="n">
        <f aca="false">YEAR(B781)</f>
        <v>2020</v>
      </c>
      <c r="P781" s="54" t="n">
        <f aca="false">IF(AND(E781&gt;=14400,K781&gt;0,L781&gt;0),1,0)</f>
        <v>0</v>
      </c>
      <c r="Q781" s="53" t="n">
        <f aca="false">IF(P781=1,F781/E781*MIN(L781/K781,1)*MIN(MAX(M781/L781,0),1),0)</f>
        <v>0</v>
      </c>
      <c r="R781" s="55" t="n">
        <f aca="false">IF(F781&gt;0,N781/(F781/3600),0)</f>
        <v>0</v>
      </c>
    </row>
    <row r="782" customFormat="false" ht="15" hidden="false" customHeight="false" outlineLevel="0" collapsed="false">
      <c r="A782" s="0" t="s">
        <v>259</v>
      </c>
      <c r="B782" s="52" t="n">
        <v>44151</v>
      </c>
      <c r="C782" s="0" t="n">
        <v>67992.316</v>
      </c>
      <c r="D782" s="0" t="n">
        <v>12828.318</v>
      </c>
      <c r="E782" s="0" t="n">
        <v>55163.998</v>
      </c>
      <c r="F782" s="0" t="n">
        <v>12288.254</v>
      </c>
      <c r="G782" s="0" t="n">
        <v>3958.178</v>
      </c>
      <c r="H782" s="0" t="n">
        <v>8330.076</v>
      </c>
      <c r="I782" s="0" t="n">
        <v>1179.55</v>
      </c>
      <c r="J782" s="0" t="n">
        <v>41696.194</v>
      </c>
      <c r="K782" s="0" t="n">
        <v>15536.70625</v>
      </c>
      <c r="L782" s="0" t="n">
        <v>3710</v>
      </c>
      <c r="M782" s="0" t="n">
        <v>3433</v>
      </c>
      <c r="N782" s="0" t="n">
        <v>3</v>
      </c>
      <c r="O782" s="54" t="n">
        <f aca="false">YEAR(B782)</f>
        <v>2020</v>
      </c>
      <c r="P782" s="54" t="n">
        <f aca="false">IF(AND(E782&gt;=14400,K782&gt;0,L782&gt;0),1,0)</f>
        <v>1</v>
      </c>
      <c r="Q782" s="53" t="n">
        <f aca="false">IF(P782=1,F782/E782*MIN(L782/K782,1)*MIN(MAX(M782/L782,0),1),0)</f>
        <v>0.0492208709779023</v>
      </c>
      <c r="R782" s="55" t="n">
        <f aca="false">IF(F782&gt;0,N782/(F782/3600),0)</f>
        <v>0.878888082879797</v>
      </c>
    </row>
    <row r="783" customFormat="false" ht="15" hidden="false" customHeight="false" outlineLevel="0" collapsed="false">
      <c r="A783" s="0" t="s">
        <v>259</v>
      </c>
      <c r="B783" s="52" t="n">
        <v>44152</v>
      </c>
      <c r="C783" s="0" t="n">
        <v>35802.693</v>
      </c>
      <c r="D783" s="0" t="n">
        <v>10020.991</v>
      </c>
      <c r="E783" s="0" t="n">
        <v>25781.702</v>
      </c>
      <c r="F783" s="0" t="n">
        <v>6952.244</v>
      </c>
      <c r="G783" s="0" t="n">
        <v>6023.184</v>
      </c>
      <c r="H783" s="0" t="n">
        <v>929.06</v>
      </c>
      <c r="I783" s="0" t="n">
        <v>1507.508</v>
      </c>
      <c r="J783" s="0" t="n">
        <v>17321.95</v>
      </c>
      <c r="K783" s="0" t="n">
        <v>12552.6627777778</v>
      </c>
      <c r="L783" s="0" t="n">
        <v>10797</v>
      </c>
      <c r="M783" s="0" t="n">
        <v>10749</v>
      </c>
      <c r="N783" s="0" t="n">
        <v>21</v>
      </c>
      <c r="O783" s="54" t="n">
        <f aca="false">YEAR(B783)</f>
        <v>2020</v>
      </c>
      <c r="P783" s="54" t="n">
        <f aca="false">IF(AND(E783&gt;=14400,K783&gt;0,L783&gt;0),1,0)</f>
        <v>1</v>
      </c>
      <c r="Q783" s="53" t="n">
        <f aca="false">IF(P783=1,F783/E783*MIN(L783/K783,1)*MIN(MAX(M783/L783,0),1),0)</f>
        <v>0.230911532050611</v>
      </c>
      <c r="R783" s="55" t="n">
        <f aca="false">IF(F783&gt;0,N783/(F783/3600),0)</f>
        <v>10.8741868093237</v>
      </c>
    </row>
    <row r="784" customFormat="false" ht="15" hidden="false" customHeight="false" outlineLevel="0" collapsed="false">
      <c r="A784" s="0" t="s">
        <v>259</v>
      </c>
      <c r="B784" s="52" t="n">
        <v>44153</v>
      </c>
      <c r="C784" s="0" t="n">
        <v>18167.045</v>
      </c>
      <c r="D784" s="0" t="n">
        <v>6035.012</v>
      </c>
      <c r="E784" s="0" t="n">
        <v>12132.033</v>
      </c>
      <c r="F784" s="0" t="n">
        <v>6830.594</v>
      </c>
      <c r="G784" s="0" t="n">
        <v>6188.613</v>
      </c>
      <c r="H784" s="0" t="n">
        <v>641.981</v>
      </c>
      <c r="I784" s="0" t="n">
        <v>2039.719</v>
      </c>
      <c r="J784" s="0" t="n">
        <v>3261.72</v>
      </c>
      <c r="K784" s="0" t="n">
        <v>12210.6815277778</v>
      </c>
      <c r="L784" s="0" t="n">
        <v>11018</v>
      </c>
      <c r="M784" s="0" t="n">
        <v>10919</v>
      </c>
      <c r="N784" s="0" t="n">
        <v>26</v>
      </c>
      <c r="O784" s="54" t="n">
        <f aca="false">YEAR(B784)</f>
        <v>2020</v>
      </c>
      <c r="P784" s="54" t="n">
        <f aca="false">IF(AND(E784&gt;=14400,K784&gt;0,L784&gt;0),1,0)</f>
        <v>0</v>
      </c>
      <c r="Q784" s="53" t="n">
        <f aca="false">IF(P784=1,F784/E784*MIN(L784/K784,1)*MIN(MAX(M784/L784,0),1),0)</f>
        <v>0</v>
      </c>
      <c r="R784" s="55" t="n">
        <f aca="false">IF(F784&gt;0,N784/(F784/3600),0)</f>
        <v>13.7030542292515</v>
      </c>
    </row>
    <row r="785" customFormat="false" ht="15" hidden="false" customHeight="false" outlineLevel="0" collapsed="false">
      <c r="A785" s="0" t="s">
        <v>259</v>
      </c>
      <c r="B785" s="52" t="n">
        <v>44165</v>
      </c>
      <c r="C785" s="0" t="n">
        <v>900</v>
      </c>
      <c r="D785" s="0" t="n">
        <v>0</v>
      </c>
      <c r="E785" s="0" t="n">
        <v>900</v>
      </c>
      <c r="F785" s="0" t="n">
        <v>0</v>
      </c>
      <c r="G785" s="0" t="n">
        <v>0</v>
      </c>
      <c r="H785" s="0" t="n">
        <v>0</v>
      </c>
      <c r="I785" s="0" t="n">
        <v>0</v>
      </c>
      <c r="J785" s="0" t="n">
        <v>900</v>
      </c>
      <c r="K785" s="0" t="n">
        <v>0</v>
      </c>
      <c r="L785" s="0" t="n">
        <v>0</v>
      </c>
      <c r="M785" s="0" t="n">
        <v>0</v>
      </c>
      <c r="N785" s="0" t="n">
        <v>0</v>
      </c>
      <c r="O785" s="54" t="n">
        <f aca="false">YEAR(B785)</f>
        <v>2020</v>
      </c>
      <c r="P785" s="54" t="n">
        <f aca="false">IF(AND(E785&gt;=14400,K785&gt;0,L785&gt;0),1,0)</f>
        <v>0</v>
      </c>
      <c r="Q785" s="53" t="n">
        <f aca="false">IF(P785=1,F785/E785*MIN(L785/K785,1)*MIN(MAX(M785/L785,0),1),0)</f>
        <v>0</v>
      </c>
      <c r="R785" s="55" t="n">
        <f aca="false">IF(F785&gt;0,N785/(F785/3600),0)</f>
        <v>0</v>
      </c>
    </row>
    <row r="786" customFormat="false" ht="15" hidden="false" customHeight="false" outlineLevel="0" collapsed="false">
      <c r="A786" s="0" t="s">
        <v>259</v>
      </c>
      <c r="B786" s="52" t="n">
        <v>44174</v>
      </c>
      <c r="C786" s="0" t="n">
        <v>900</v>
      </c>
      <c r="D786" s="0" t="n">
        <v>0</v>
      </c>
      <c r="E786" s="0" t="n">
        <v>900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n">
        <v>900</v>
      </c>
      <c r="K786" s="0" t="n">
        <v>0</v>
      </c>
      <c r="L786" s="0" t="n">
        <v>0</v>
      </c>
      <c r="M786" s="0" t="n">
        <v>0</v>
      </c>
      <c r="N786" s="0" t="n">
        <v>0</v>
      </c>
      <c r="O786" s="54" t="n">
        <f aca="false">YEAR(B786)</f>
        <v>2020</v>
      </c>
      <c r="P786" s="54" t="n">
        <f aca="false">IF(AND(E786&gt;=14400,K786&gt;0,L786&gt;0),1,0)</f>
        <v>0</v>
      </c>
      <c r="Q786" s="53" t="n">
        <f aca="false">IF(P786=1,F786/E786*MIN(L786/K786,1)*MIN(MAX(M786/L786,0),1),0)</f>
        <v>0</v>
      </c>
      <c r="R786" s="55" t="n">
        <f aca="false">IF(F786&gt;0,N786/(F786/3600),0)</f>
        <v>0</v>
      </c>
    </row>
    <row r="787" customFormat="false" ht="15" hidden="false" customHeight="false" outlineLevel="0" collapsed="false">
      <c r="A787" s="0" t="s">
        <v>259</v>
      </c>
      <c r="B787" s="52" t="n">
        <v>44176</v>
      </c>
      <c r="C787" s="0" t="n">
        <v>35417.522</v>
      </c>
      <c r="D787" s="0" t="n">
        <v>14526.583</v>
      </c>
      <c r="E787" s="0" t="n">
        <v>20890.939</v>
      </c>
      <c r="F787" s="0" t="n">
        <v>740.97</v>
      </c>
      <c r="G787" s="0" t="n">
        <v>237.611</v>
      </c>
      <c r="H787" s="0" t="n">
        <v>503.359</v>
      </c>
      <c r="I787" s="0" t="n">
        <v>391.85</v>
      </c>
      <c r="J787" s="0" t="n">
        <v>19758.119</v>
      </c>
      <c r="K787" s="0" t="n">
        <v>1337.8625</v>
      </c>
      <c r="L787" s="0" t="n">
        <v>104</v>
      </c>
      <c r="M787" s="0" t="n">
        <v>84</v>
      </c>
      <c r="N787" s="0" t="n">
        <v>3</v>
      </c>
      <c r="O787" s="54" t="n">
        <f aca="false">YEAR(B787)</f>
        <v>2020</v>
      </c>
      <c r="P787" s="54" t="n">
        <f aca="false">IF(AND(E787&gt;=14400,K787&gt;0,L787&gt;0),1,0)</f>
        <v>1</v>
      </c>
      <c r="Q787" s="53" t="n">
        <f aca="false">IF(P787=1,F787/E787*MIN(L787/K787,1)*MIN(MAX(M787/L787,0),1),0)</f>
        <v>0.00222695001517533</v>
      </c>
      <c r="R787" s="55" t="n">
        <f aca="false">IF(F787&gt;0,N787/(F787/3600),0)</f>
        <v>14.5754888861897</v>
      </c>
    </row>
    <row r="788" customFormat="false" ht="15" hidden="false" customHeight="false" outlineLevel="0" collapsed="false">
      <c r="A788" s="0" t="s">
        <v>259</v>
      </c>
      <c r="B788" s="52" t="n">
        <v>44177</v>
      </c>
      <c r="C788" s="0" t="n">
        <v>22486.125</v>
      </c>
      <c r="D788" s="0" t="n">
        <v>5978.449</v>
      </c>
      <c r="E788" s="0" t="n">
        <v>16507.676</v>
      </c>
      <c r="F788" s="0" t="n">
        <v>9854.206</v>
      </c>
      <c r="G788" s="0" t="n">
        <v>8219.075</v>
      </c>
      <c r="H788" s="0" t="n">
        <v>1635.131</v>
      </c>
      <c r="I788" s="0" t="n">
        <v>4056.831</v>
      </c>
      <c r="J788" s="0" t="n">
        <v>2596.639</v>
      </c>
      <c r="K788" s="0" t="n">
        <v>17728.4322222222</v>
      </c>
      <c r="L788" s="0" t="n">
        <v>14750</v>
      </c>
      <c r="M788" s="0" t="n">
        <v>14716</v>
      </c>
      <c r="N788" s="0" t="n">
        <v>21</v>
      </c>
      <c r="O788" s="54" t="n">
        <f aca="false">YEAR(B788)</f>
        <v>2020</v>
      </c>
      <c r="P788" s="54" t="n">
        <f aca="false">IF(AND(E788&gt;=14400,K788&gt;0,L788&gt;0),1,0)</f>
        <v>1</v>
      </c>
      <c r="Q788" s="53" t="n">
        <f aca="false">IF(P788=1,F788/E788*MIN(L788/K788,1)*MIN(MAX(M788/L788,0),1),0)</f>
        <v>0.495513108967842</v>
      </c>
      <c r="R788" s="55" t="n">
        <f aca="false">IF(F788&gt;0,N788/(F788/3600),0)</f>
        <v>7.67185098423962</v>
      </c>
    </row>
    <row r="789" customFormat="false" ht="15" hidden="false" customHeight="false" outlineLevel="0" collapsed="false">
      <c r="A789" s="0" t="s">
        <v>259</v>
      </c>
      <c r="B789" s="52" t="n">
        <v>44178</v>
      </c>
      <c r="C789" s="0" t="n">
        <v>11990.864</v>
      </c>
      <c r="D789" s="0" t="n">
        <v>4633.173</v>
      </c>
      <c r="E789" s="0" t="n">
        <v>7357.691</v>
      </c>
      <c r="F789" s="0" t="n">
        <v>16.58</v>
      </c>
      <c r="G789" s="0" t="n">
        <v>0</v>
      </c>
      <c r="H789" s="0" t="n">
        <v>16.58</v>
      </c>
      <c r="I789" s="0" t="n">
        <v>0</v>
      </c>
      <c r="J789" s="0" t="n">
        <v>7341.111</v>
      </c>
      <c r="K789" s="0" t="n">
        <v>29.9361111111111</v>
      </c>
      <c r="L789" s="0" t="n">
        <v>0</v>
      </c>
      <c r="M789" s="0" t="n">
        <v>0</v>
      </c>
      <c r="N789" s="0" t="n">
        <v>0</v>
      </c>
      <c r="O789" s="54" t="n">
        <f aca="false">YEAR(B789)</f>
        <v>2020</v>
      </c>
      <c r="P789" s="54" t="n">
        <f aca="false">IF(AND(E789&gt;=14400,K789&gt;0,L789&gt;0),1,0)</f>
        <v>0</v>
      </c>
      <c r="Q789" s="53" t="n">
        <f aca="false">IF(P789=1,F789/E789*MIN(L789/K789,1)*MIN(MAX(M789/L789,0),1),0)</f>
        <v>0</v>
      </c>
      <c r="R789" s="55" t="n">
        <f aca="false">IF(F789&gt;0,N789/(F789/3600),0)</f>
        <v>0</v>
      </c>
    </row>
    <row r="790" customFormat="false" ht="15" hidden="false" customHeight="false" outlineLevel="0" collapsed="false">
      <c r="A790" s="0" t="s">
        <v>259</v>
      </c>
      <c r="B790" s="52" t="n">
        <v>44179</v>
      </c>
      <c r="C790" s="0" t="n">
        <v>49262.287</v>
      </c>
      <c r="D790" s="0" t="n">
        <v>10057.988</v>
      </c>
      <c r="E790" s="0" t="n">
        <v>39204.299</v>
      </c>
      <c r="F790" s="0" t="n">
        <v>8698.254</v>
      </c>
      <c r="G790" s="0" t="n">
        <v>6639.621</v>
      </c>
      <c r="H790" s="0" t="n">
        <v>2058.633</v>
      </c>
      <c r="I790" s="0" t="n">
        <v>2840.61</v>
      </c>
      <c r="J790" s="0" t="n">
        <v>27665.435</v>
      </c>
      <c r="K790" s="0" t="n">
        <v>15705.1808333333</v>
      </c>
      <c r="L790" s="0" t="n">
        <v>11904</v>
      </c>
      <c r="M790" s="0" t="n">
        <v>11882</v>
      </c>
      <c r="N790" s="0" t="n">
        <v>24</v>
      </c>
      <c r="O790" s="54" t="n">
        <f aca="false">YEAR(B790)</f>
        <v>2020</v>
      </c>
      <c r="P790" s="54" t="n">
        <f aca="false">IF(AND(E790&gt;=14400,K790&gt;0,L790&gt;0),1,0)</f>
        <v>1</v>
      </c>
      <c r="Q790" s="53" t="n">
        <f aca="false">IF(P790=1,F790/E790*MIN(L790/K790,1)*MIN(MAX(M790/L790,0),1),0)</f>
        <v>0.167859142182341</v>
      </c>
      <c r="R790" s="55" t="n">
        <f aca="false">IF(F790&gt;0,N790/(F790/3600),0)</f>
        <v>9.93302793871046</v>
      </c>
    </row>
    <row r="791" customFormat="false" ht="15" hidden="false" customHeight="false" outlineLevel="0" collapsed="false">
      <c r="A791" s="0" t="s">
        <v>259</v>
      </c>
      <c r="B791" s="52" t="n">
        <v>44180</v>
      </c>
      <c r="C791" s="0" t="n">
        <v>38755.114</v>
      </c>
      <c r="D791" s="0" t="n">
        <v>14623.726</v>
      </c>
      <c r="E791" s="0" t="n">
        <v>24131.388</v>
      </c>
      <c r="F791" s="0" t="n">
        <v>9549.75</v>
      </c>
      <c r="G791" s="0" t="n">
        <v>8873.652</v>
      </c>
      <c r="H791" s="0" t="n">
        <v>676.098</v>
      </c>
      <c r="I791" s="0" t="n">
        <v>2521.651</v>
      </c>
      <c r="J791" s="0" t="n">
        <v>12059.987</v>
      </c>
      <c r="K791" s="0" t="n">
        <v>17142.5963466667</v>
      </c>
      <c r="L791" s="0" t="n">
        <v>15821</v>
      </c>
      <c r="M791" s="0" t="n">
        <v>15715</v>
      </c>
      <c r="N791" s="0" t="n">
        <v>33</v>
      </c>
      <c r="O791" s="54" t="n">
        <f aca="false">YEAR(B791)</f>
        <v>2020</v>
      </c>
      <c r="P791" s="54" t="n">
        <f aca="false">IF(AND(E791&gt;=14400,K791&gt;0,L791&gt;0),1,0)</f>
        <v>1</v>
      </c>
      <c r="Q791" s="53" t="n">
        <f aca="false">IF(P791=1,F791/E791*MIN(L791/K791,1)*MIN(MAX(M791/L791,0),1),0)</f>
        <v>0.362783466452629</v>
      </c>
      <c r="R791" s="55" t="n">
        <f aca="false">IF(F791&gt;0,N791/(F791/3600),0)</f>
        <v>12.4401162334093</v>
      </c>
    </row>
    <row r="792" customFormat="false" ht="15" hidden="false" customHeight="false" outlineLevel="0" collapsed="false">
      <c r="A792" s="0" t="s">
        <v>259</v>
      </c>
      <c r="B792" s="52" t="n">
        <v>44181</v>
      </c>
      <c r="C792" s="0" t="n">
        <v>39237.123</v>
      </c>
      <c r="D792" s="0" t="n">
        <v>13686.369</v>
      </c>
      <c r="E792" s="0" t="n">
        <v>25550.754</v>
      </c>
      <c r="F792" s="0" t="n">
        <v>13243.787</v>
      </c>
      <c r="G792" s="0" t="n">
        <v>11105.739</v>
      </c>
      <c r="H792" s="0" t="n">
        <v>2138.048</v>
      </c>
      <c r="I792" s="0" t="n">
        <v>4362.45</v>
      </c>
      <c r="J792" s="0" t="n">
        <v>7944.517</v>
      </c>
      <c r="K792" s="0" t="n">
        <v>23882.6425611111</v>
      </c>
      <c r="L792" s="0" t="n">
        <v>19948</v>
      </c>
      <c r="M792" s="0" t="n">
        <v>19846</v>
      </c>
      <c r="N792" s="0" t="n">
        <v>51</v>
      </c>
      <c r="O792" s="54" t="n">
        <f aca="false">YEAR(B792)</f>
        <v>2020</v>
      </c>
      <c r="P792" s="54" t="n">
        <f aca="false">IF(AND(E792&gt;=14400,K792&gt;0,L792&gt;0),1,0)</f>
        <v>1</v>
      </c>
      <c r="Q792" s="53" t="n">
        <f aca="false">IF(P792=1,F792/E792*MIN(L792/K792,1)*MIN(MAX(M792/L792,0),1),0)</f>
        <v>0.430724003503524</v>
      </c>
      <c r="R792" s="55" t="n">
        <f aca="false">IF(F792&gt;0,N792/(F792/3600),0)</f>
        <v>13.8631042616436</v>
      </c>
    </row>
    <row r="793" customFormat="false" ht="15" hidden="false" customHeight="false" outlineLevel="0" collapsed="false">
      <c r="A793" s="0" t="s">
        <v>259</v>
      </c>
      <c r="B793" s="52" t="n">
        <v>44182</v>
      </c>
      <c r="C793" s="0" t="n">
        <v>54426.531</v>
      </c>
      <c r="D793" s="0" t="n">
        <v>10500.245</v>
      </c>
      <c r="E793" s="0" t="n">
        <v>43926.286</v>
      </c>
      <c r="F793" s="0" t="n">
        <v>14484.582</v>
      </c>
      <c r="G793" s="0" t="n">
        <v>12247.742</v>
      </c>
      <c r="H793" s="0" t="n">
        <v>2236.84</v>
      </c>
      <c r="I793" s="0" t="n">
        <v>8678.479</v>
      </c>
      <c r="J793" s="0" t="n">
        <v>20763.225</v>
      </c>
      <c r="K793" s="0" t="n">
        <v>26152.7175</v>
      </c>
      <c r="L793" s="0" t="n">
        <v>22059</v>
      </c>
      <c r="M793" s="0" t="n">
        <v>22033</v>
      </c>
      <c r="N793" s="0" t="n">
        <v>45</v>
      </c>
      <c r="O793" s="54" t="n">
        <f aca="false">YEAR(B793)</f>
        <v>2020</v>
      </c>
      <c r="P793" s="54" t="n">
        <f aca="false">IF(AND(E793&gt;=14400,K793&gt;0,L793&gt;0),1,0)</f>
        <v>1</v>
      </c>
      <c r="Q793" s="53" t="n">
        <f aca="false">IF(P793=1,F793/E793*MIN(L793/K793,1)*MIN(MAX(M793/L793,0),1),0)</f>
        <v>0.277803871415223</v>
      </c>
      <c r="R793" s="55" t="n">
        <f aca="false">IF(F793&gt;0,N793/(F793/3600),0)</f>
        <v>11.184306181566</v>
      </c>
    </row>
    <row r="794" customFormat="false" ht="15" hidden="false" customHeight="false" outlineLevel="0" collapsed="false">
      <c r="A794" s="0" t="s">
        <v>259</v>
      </c>
      <c r="B794" s="52" t="n">
        <v>44183</v>
      </c>
      <c r="C794" s="0" t="n">
        <v>62608.291</v>
      </c>
      <c r="D794" s="0" t="n">
        <v>6101.018</v>
      </c>
      <c r="E794" s="0" t="n">
        <v>56507.273</v>
      </c>
      <c r="F794" s="0" t="n">
        <v>16868.85</v>
      </c>
      <c r="G794" s="0" t="n">
        <v>14157.658</v>
      </c>
      <c r="H794" s="0" t="n">
        <v>2711.192</v>
      </c>
      <c r="I794" s="0" t="n">
        <v>2517.485</v>
      </c>
      <c r="J794" s="0" t="n">
        <v>37120.938</v>
      </c>
      <c r="K794" s="0" t="n">
        <v>29937.0050361111</v>
      </c>
      <c r="L794" s="0" t="n">
        <v>25171</v>
      </c>
      <c r="M794" s="0" t="n">
        <v>25137</v>
      </c>
      <c r="N794" s="0" t="n">
        <v>32</v>
      </c>
      <c r="O794" s="54" t="n">
        <f aca="false">YEAR(B794)</f>
        <v>2020</v>
      </c>
      <c r="P794" s="54" t="n">
        <f aca="false">IF(AND(E794&gt;=14400,K794&gt;0,L794&gt;0),1,0)</f>
        <v>1</v>
      </c>
      <c r="Q794" s="53" t="n">
        <f aca="false">IF(P794=1,F794/E794*MIN(L794/K794,1)*MIN(MAX(M794/L794,0),1),0)</f>
        <v>0.250660684969634</v>
      </c>
      <c r="R794" s="55" t="n">
        <f aca="false">IF(F794&gt;0,N794/(F794/3600),0)</f>
        <v>6.82915551445416</v>
      </c>
    </row>
    <row r="795" customFormat="false" ht="15" hidden="false" customHeight="false" outlineLevel="0" collapsed="false">
      <c r="A795" s="0" t="s">
        <v>259</v>
      </c>
      <c r="B795" s="52" t="n">
        <v>44184</v>
      </c>
      <c r="C795" s="0" t="n">
        <v>31326.424</v>
      </c>
      <c r="D795" s="0" t="n">
        <v>10133.737</v>
      </c>
      <c r="E795" s="0" t="n">
        <v>21192.687</v>
      </c>
      <c r="F795" s="0" t="n">
        <v>12648.932</v>
      </c>
      <c r="G795" s="0" t="n">
        <v>9639.604</v>
      </c>
      <c r="H795" s="0" t="n">
        <v>3009.328</v>
      </c>
      <c r="I795" s="0" t="n">
        <v>2576.036</v>
      </c>
      <c r="J795" s="0" t="n">
        <v>5967.719</v>
      </c>
      <c r="K795" s="0" t="n">
        <v>21750.7833422222</v>
      </c>
      <c r="L795" s="0" t="n">
        <v>16827</v>
      </c>
      <c r="M795" s="0" t="n">
        <v>16777</v>
      </c>
      <c r="N795" s="0" t="n">
        <v>21</v>
      </c>
      <c r="O795" s="54" t="n">
        <f aca="false">YEAR(B795)</f>
        <v>2020</v>
      </c>
      <c r="P795" s="54" t="n">
        <f aca="false">IF(AND(E795&gt;=14400,K795&gt;0,L795&gt;0),1,0)</f>
        <v>1</v>
      </c>
      <c r="Q795" s="53" t="n">
        <f aca="false">IF(P795=1,F795/E795*MIN(L795/K795,1)*MIN(MAX(M795/L795,0),1),0)</f>
        <v>0.460370234120796</v>
      </c>
      <c r="R795" s="55" t="n">
        <f aca="false">IF(F795&gt;0,N795/(F795/3600),0)</f>
        <v>5.97678918662856</v>
      </c>
    </row>
    <row r="796" customFormat="false" ht="15" hidden="false" customHeight="false" outlineLevel="0" collapsed="false">
      <c r="A796" s="0" t="s">
        <v>259</v>
      </c>
      <c r="B796" s="52" t="n">
        <v>44185</v>
      </c>
      <c r="C796" s="0" t="n">
        <v>5508.591</v>
      </c>
      <c r="D796" s="0" t="n">
        <v>4100.961</v>
      </c>
      <c r="E796" s="0" t="n">
        <v>1407.63</v>
      </c>
      <c r="F796" s="0" t="n">
        <v>0</v>
      </c>
      <c r="G796" s="0" t="n">
        <v>0</v>
      </c>
      <c r="H796" s="0" t="n">
        <v>0</v>
      </c>
      <c r="I796" s="0" t="n">
        <v>0</v>
      </c>
      <c r="J796" s="0" t="n">
        <v>1407.63</v>
      </c>
      <c r="K796" s="0" t="n">
        <v>0</v>
      </c>
      <c r="L796" s="0" t="n">
        <v>0</v>
      </c>
      <c r="M796" s="0" t="n">
        <v>0</v>
      </c>
      <c r="N796" s="0" t="n">
        <v>0</v>
      </c>
      <c r="O796" s="54" t="n">
        <f aca="false">YEAR(B796)</f>
        <v>2020</v>
      </c>
      <c r="P796" s="54" t="n">
        <f aca="false">IF(AND(E796&gt;=14400,K796&gt;0,L796&gt;0),1,0)</f>
        <v>0</v>
      </c>
      <c r="Q796" s="53" t="n">
        <f aca="false">IF(P796=1,F796/E796*MIN(L796/K796,1)*MIN(MAX(M796/L796,0),1),0)</f>
        <v>0</v>
      </c>
      <c r="R796" s="55" t="n">
        <f aca="false">IF(F796&gt;0,N796/(F796/3600),0)</f>
        <v>0</v>
      </c>
    </row>
    <row r="797" customFormat="false" ht="15" hidden="false" customHeight="false" outlineLevel="0" collapsed="false">
      <c r="A797" s="0" t="s">
        <v>259</v>
      </c>
      <c r="B797" s="52" t="n">
        <v>44186</v>
      </c>
      <c r="C797" s="0" t="n">
        <v>28958.36</v>
      </c>
      <c r="D797" s="0" t="n">
        <v>8890.755</v>
      </c>
      <c r="E797" s="0" t="n">
        <v>20067.605</v>
      </c>
      <c r="F797" s="0" t="n">
        <v>10795.267</v>
      </c>
      <c r="G797" s="0" t="n">
        <v>9937.43</v>
      </c>
      <c r="H797" s="0" t="n">
        <v>857.837</v>
      </c>
      <c r="I797" s="0" t="n">
        <v>1215.484</v>
      </c>
      <c r="J797" s="0" t="n">
        <v>8056.854</v>
      </c>
      <c r="K797" s="0" t="n">
        <v>19439.8678194444</v>
      </c>
      <c r="L797" s="0" t="n">
        <v>17781</v>
      </c>
      <c r="M797" s="0" t="n">
        <v>17701</v>
      </c>
      <c r="N797" s="0" t="n">
        <v>30</v>
      </c>
      <c r="O797" s="54" t="n">
        <f aca="false">YEAR(B797)</f>
        <v>2020</v>
      </c>
      <c r="P797" s="54" t="n">
        <f aca="false">IF(AND(E797&gt;=14400,K797&gt;0,L797&gt;0),1,0)</f>
        <v>1</v>
      </c>
      <c r="Q797" s="53" t="n">
        <f aca="false">IF(P797=1,F797/E797*MIN(L797/K797,1)*MIN(MAX(M797/L797,0),1),0)</f>
        <v>0.489826569435898</v>
      </c>
      <c r="R797" s="55" t="n">
        <f aca="false">IF(F797&gt;0,N797/(F797/3600),0)</f>
        <v>10.0043843287989</v>
      </c>
    </row>
    <row r="798" customFormat="false" ht="15" hidden="false" customHeight="false" outlineLevel="0" collapsed="false">
      <c r="A798" s="0" t="s">
        <v>259</v>
      </c>
      <c r="B798" s="52" t="n">
        <v>44187</v>
      </c>
      <c r="C798" s="0" t="n">
        <v>42921.966</v>
      </c>
      <c r="D798" s="0" t="n">
        <v>21256.014</v>
      </c>
      <c r="E798" s="0" t="n">
        <v>21665.952</v>
      </c>
      <c r="F798" s="0" t="n">
        <v>12398.944</v>
      </c>
      <c r="G798" s="0" t="n">
        <v>11291.982</v>
      </c>
      <c r="H798" s="0" t="n">
        <v>1106.962</v>
      </c>
      <c r="I798" s="0" t="n">
        <v>2358.127</v>
      </c>
      <c r="J798" s="0" t="n">
        <v>6908.881</v>
      </c>
      <c r="K798" s="0" t="n">
        <v>22246.0225</v>
      </c>
      <c r="L798" s="0" t="n">
        <v>20355</v>
      </c>
      <c r="M798" s="0" t="n">
        <v>20279</v>
      </c>
      <c r="N798" s="0" t="n">
        <v>37</v>
      </c>
      <c r="O798" s="54" t="n">
        <f aca="false">YEAR(B798)</f>
        <v>2020</v>
      </c>
      <c r="P798" s="54" t="n">
        <f aca="false">IF(AND(E798&gt;=14400,K798&gt;0,L798&gt;0),1,0)</f>
        <v>1</v>
      </c>
      <c r="Q798" s="53" t="n">
        <f aca="false">IF(P798=1,F798/E798*MIN(L798/K798,1)*MIN(MAX(M798/L798,0),1),0)</f>
        <v>0.521676273537627</v>
      </c>
      <c r="R798" s="55" t="n">
        <f aca="false">IF(F798&gt;0,N798/(F798/3600),0)</f>
        <v>10.7428503588693</v>
      </c>
    </row>
    <row r="799" customFormat="false" ht="15" hidden="false" customHeight="false" outlineLevel="0" collapsed="false">
      <c r="A799" s="0" t="s">
        <v>259</v>
      </c>
      <c r="B799" s="52" t="n">
        <v>44188</v>
      </c>
      <c r="C799" s="0" t="n">
        <v>49256.664</v>
      </c>
      <c r="D799" s="0" t="n">
        <v>11783.55</v>
      </c>
      <c r="E799" s="0" t="n">
        <v>37473.114</v>
      </c>
      <c r="F799" s="0" t="n">
        <v>11140.544</v>
      </c>
      <c r="G799" s="0" t="n">
        <v>10136.136</v>
      </c>
      <c r="H799" s="0" t="n">
        <v>1004.408</v>
      </c>
      <c r="I799" s="0" t="n">
        <v>3141.936</v>
      </c>
      <c r="J799" s="0" t="n">
        <v>23190.634</v>
      </c>
      <c r="K799" s="0" t="n">
        <v>20031.6981944445</v>
      </c>
      <c r="L799" s="0" t="n">
        <v>18136</v>
      </c>
      <c r="M799" s="0" t="n">
        <v>18096</v>
      </c>
      <c r="N799" s="0" t="n">
        <v>43</v>
      </c>
      <c r="O799" s="54" t="n">
        <f aca="false">YEAR(B799)</f>
        <v>2020</v>
      </c>
      <c r="P799" s="54" t="n">
        <f aca="false">IF(AND(E799&gt;=14400,K799&gt;0,L799&gt;0),1,0)</f>
        <v>1</v>
      </c>
      <c r="Q799" s="53" t="n">
        <f aca="false">IF(P799=1,F799/E799*MIN(L799/K799,1)*MIN(MAX(M799/L799,0),1),0)</f>
        <v>0.26856624880731</v>
      </c>
      <c r="R799" s="55" t="n">
        <f aca="false">IF(F799&gt;0,N799/(F799/3600),0)</f>
        <v>13.8951921916919</v>
      </c>
    </row>
    <row r="800" customFormat="false" ht="15" hidden="false" customHeight="false" outlineLevel="0" collapsed="false">
      <c r="A800" s="0" t="s">
        <v>259</v>
      </c>
      <c r="B800" s="52" t="n">
        <v>44189</v>
      </c>
      <c r="C800" s="0" t="n">
        <v>39582.999</v>
      </c>
      <c r="D800" s="0" t="n">
        <v>6601.567</v>
      </c>
      <c r="E800" s="0" t="n">
        <v>32981.432</v>
      </c>
      <c r="F800" s="0" t="n">
        <v>18662.619</v>
      </c>
      <c r="G800" s="0" t="n">
        <v>15470.225</v>
      </c>
      <c r="H800" s="0" t="n">
        <v>3192.394</v>
      </c>
      <c r="I800" s="0" t="n">
        <v>2869.909</v>
      </c>
      <c r="J800" s="0" t="n">
        <v>11448.904</v>
      </c>
      <c r="K800" s="0" t="n">
        <v>33696.3954166667</v>
      </c>
      <c r="L800" s="0" t="n">
        <v>27680</v>
      </c>
      <c r="M800" s="0" t="n">
        <v>27648</v>
      </c>
      <c r="N800" s="0" t="n">
        <v>68</v>
      </c>
      <c r="O800" s="54" t="n">
        <f aca="false">YEAR(B800)</f>
        <v>2020</v>
      </c>
      <c r="P800" s="54" t="n">
        <f aca="false">IF(AND(E800&gt;=14400,K800&gt;0,L800&gt;0),1,0)</f>
        <v>1</v>
      </c>
      <c r="Q800" s="53" t="n">
        <f aca="false">IF(P800=1,F800/E800*MIN(L800/K800,1)*MIN(MAX(M800/L800,0),1),0)</f>
        <v>0.464283614536156</v>
      </c>
      <c r="R800" s="55" t="n">
        <f aca="false">IF(F800&gt;0,N800/(F800/3600),0)</f>
        <v>13.1171300233906</v>
      </c>
    </row>
    <row r="801" customFormat="false" ht="15" hidden="false" customHeight="false" outlineLevel="0" collapsed="false">
      <c r="A801" s="0" t="s">
        <v>259</v>
      </c>
      <c r="B801" s="52" t="n">
        <v>44190</v>
      </c>
      <c r="C801" s="0" t="n">
        <v>8390.895</v>
      </c>
      <c r="D801" s="0" t="n">
        <v>2755.056</v>
      </c>
      <c r="E801" s="0" t="n">
        <v>5635.839</v>
      </c>
      <c r="F801" s="0" t="n">
        <v>888.046</v>
      </c>
      <c r="G801" s="0" t="n">
        <v>820.612</v>
      </c>
      <c r="H801" s="0" t="n">
        <v>67.434</v>
      </c>
      <c r="I801" s="0" t="n">
        <v>0</v>
      </c>
      <c r="J801" s="0" t="n">
        <v>4747.793</v>
      </c>
      <c r="K801" s="0" t="n">
        <v>1603.41638888889</v>
      </c>
      <c r="L801" s="0" t="n">
        <v>1434</v>
      </c>
      <c r="M801" s="0" t="n">
        <v>1414</v>
      </c>
      <c r="N801" s="0" t="n">
        <v>0</v>
      </c>
      <c r="O801" s="54" t="n">
        <f aca="false">YEAR(B801)</f>
        <v>2020</v>
      </c>
      <c r="P801" s="54" t="n">
        <f aca="false">IF(AND(E801&gt;=14400,K801&gt;0,L801&gt;0),1,0)</f>
        <v>0</v>
      </c>
      <c r="Q801" s="53" t="n">
        <f aca="false">IF(P801=1,F801/E801*MIN(L801/K801,1)*MIN(MAX(M801/L801,0),1),0)</f>
        <v>0</v>
      </c>
      <c r="R801" s="55" t="n">
        <f aca="false">IF(F801&gt;0,N801/(F801/3600),0)</f>
        <v>0</v>
      </c>
    </row>
    <row r="802" customFormat="false" ht="15" hidden="false" customHeight="false" outlineLevel="0" collapsed="false">
      <c r="A802" s="0" t="s">
        <v>259</v>
      </c>
      <c r="B802" s="52" t="n">
        <v>44191</v>
      </c>
      <c r="C802" s="0" t="n">
        <v>22347.626</v>
      </c>
      <c r="D802" s="0" t="n">
        <v>6059.534</v>
      </c>
      <c r="E802" s="0" t="n">
        <v>16288.092</v>
      </c>
      <c r="F802" s="0" t="n">
        <v>6872.971</v>
      </c>
      <c r="G802" s="0" t="n">
        <v>5659.459</v>
      </c>
      <c r="H802" s="0" t="n">
        <v>1213.512</v>
      </c>
      <c r="I802" s="0" t="n">
        <v>3453.283</v>
      </c>
      <c r="J802" s="0" t="n">
        <v>5961.838</v>
      </c>
      <c r="K802" s="0" t="n">
        <v>12409.5309722222</v>
      </c>
      <c r="L802" s="0" t="n">
        <v>10218</v>
      </c>
      <c r="M802" s="0" t="n">
        <v>10204</v>
      </c>
      <c r="N802" s="0" t="n">
        <v>24</v>
      </c>
      <c r="O802" s="54" t="n">
        <f aca="false">YEAR(B802)</f>
        <v>2020</v>
      </c>
      <c r="P802" s="54" t="n">
        <f aca="false">IF(AND(E802&gt;=14400,K802&gt;0,L802&gt;0),1,0)</f>
        <v>1</v>
      </c>
      <c r="Q802" s="53" t="n">
        <f aca="false">IF(P802=1,F802/E802*MIN(L802/K802,1)*MIN(MAX(M802/L802,0),1),0)</f>
        <v>0.346967966158722</v>
      </c>
      <c r="R802" s="55" t="n">
        <f aca="false">IF(F802&gt;0,N802/(F802/3600),0)</f>
        <v>12.5709827671323</v>
      </c>
    </row>
    <row r="803" customFormat="false" ht="15" hidden="false" customHeight="false" outlineLevel="0" collapsed="false">
      <c r="A803" s="0" t="s">
        <v>259</v>
      </c>
      <c r="B803" s="52" t="n">
        <v>44192</v>
      </c>
      <c r="C803" s="0" t="n">
        <v>14714.348</v>
      </c>
      <c r="D803" s="0" t="n">
        <v>4357.356</v>
      </c>
      <c r="E803" s="0" t="n">
        <v>10356.992</v>
      </c>
      <c r="F803" s="0" t="n">
        <v>4.6</v>
      </c>
      <c r="G803" s="0" t="n">
        <v>0</v>
      </c>
      <c r="H803" s="0" t="n">
        <v>4.6</v>
      </c>
      <c r="I803" s="0" t="n">
        <v>0</v>
      </c>
      <c r="J803" s="0" t="n">
        <v>10352.392</v>
      </c>
      <c r="K803" s="0" t="n">
        <v>8.30555555555556</v>
      </c>
      <c r="L803" s="0" t="n">
        <v>0</v>
      </c>
      <c r="M803" s="0" t="n">
        <v>0</v>
      </c>
      <c r="N803" s="0" t="n">
        <v>0</v>
      </c>
      <c r="O803" s="54" t="n">
        <f aca="false">YEAR(B803)</f>
        <v>2020</v>
      </c>
      <c r="P803" s="54" t="n">
        <f aca="false">IF(AND(E803&gt;=14400,K803&gt;0,L803&gt;0),1,0)</f>
        <v>0</v>
      </c>
      <c r="Q803" s="53" t="n">
        <f aca="false">IF(P803=1,F803/E803*MIN(L803/K803,1)*MIN(MAX(M803/L803,0),1),0)</f>
        <v>0</v>
      </c>
      <c r="R803" s="55" t="n">
        <f aca="false">IF(F803&gt;0,N803/(F803/3600),0)</f>
        <v>0</v>
      </c>
    </row>
    <row r="804" customFormat="false" ht="15" hidden="false" customHeight="false" outlineLevel="0" collapsed="false">
      <c r="A804" s="0" t="s">
        <v>259</v>
      </c>
      <c r="B804" s="52" t="n">
        <v>44193</v>
      </c>
      <c r="C804" s="0" t="n">
        <v>41522.239</v>
      </c>
      <c r="D804" s="0" t="n">
        <v>12774.001</v>
      </c>
      <c r="E804" s="0" t="n">
        <v>28748.238</v>
      </c>
      <c r="F804" s="0" t="n">
        <v>7893.005</v>
      </c>
      <c r="G804" s="0" t="n">
        <v>6596.45</v>
      </c>
      <c r="H804" s="0" t="n">
        <v>1296.555</v>
      </c>
      <c r="I804" s="0" t="n">
        <v>5245.638</v>
      </c>
      <c r="J804" s="0" t="n">
        <v>15609.595</v>
      </c>
      <c r="K804" s="0" t="n">
        <v>14251.2590277778</v>
      </c>
      <c r="L804" s="0" t="n">
        <v>11713</v>
      </c>
      <c r="M804" s="0" t="n">
        <v>11599</v>
      </c>
      <c r="N804" s="0" t="n">
        <v>53</v>
      </c>
      <c r="O804" s="54" t="n">
        <f aca="false">YEAR(B804)</f>
        <v>2020</v>
      </c>
      <c r="P804" s="54" t="n">
        <f aca="false">IF(AND(E804&gt;=14400,K804&gt;0,L804&gt;0),1,0)</f>
        <v>1</v>
      </c>
      <c r="Q804" s="53" t="n">
        <f aca="false">IF(P804=1,F804/E804*MIN(L804/K804,1)*MIN(MAX(M804/L804,0),1),0)</f>
        <v>0.223459313870351</v>
      </c>
      <c r="R804" s="55" t="n">
        <f aca="false">IF(F804&gt;0,N804/(F804/3600),0)</f>
        <v>24.1733028168613</v>
      </c>
    </row>
    <row r="805" customFormat="false" ht="15" hidden="false" customHeight="false" outlineLevel="0" collapsed="false">
      <c r="A805" s="0" t="s">
        <v>259</v>
      </c>
      <c r="B805" s="52" t="n">
        <v>44194</v>
      </c>
      <c r="C805" s="0" t="n">
        <v>49485.888</v>
      </c>
      <c r="D805" s="0" t="n">
        <v>16611.389</v>
      </c>
      <c r="E805" s="0" t="n">
        <v>32874.499</v>
      </c>
      <c r="F805" s="0" t="n">
        <v>3358.619</v>
      </c>
      <c r="G805" s="0" t="n">
        <v>2655.386</v>
      </c>
      <c r="H805" s="0" t="n">
        <v>703.233</v>
      </c>
      <c r="I805" s="0" t="n">
        <v>1318.129</v>
      </c>
      <c r="J805" s="0" t="n">
        <v>28197.751</v>
      </c>
      <c r="K805" s="0" t="n">
        <v>6064.17319444445</v>
      </c>
      <c r="L805" s="0" t="n">
        <v>4790</v>
      </c>
      <c r="M805" s="0" t="n">
        <v>4754</v>
      </c>
      <c r="N805" s="0" t="n">
        <v>10</v>
      </c>
      <c r="O805" s="54" t="n">
        <f aca="false">YEAR(B805)</f>
        <v>2020</v>
      </c>
      <c r="P805" s="54" t="n">
        <f aca="false">IF(AND(E805&gt;=14400,K805&gt;0,L805&gt;0),1,0)</f>
        <v>1</v>
      </c>
      <c r="Q805" s="53" t="n">
        <f aca="false">IF(P805=1,F805/E805*MIN(L805/K805,1)*MIN(MAX(M805/L805,0),1),0)</f>
        <v>0.0800920073454082</v>
      </c>
      <c r="R805" s="55" t="n">
        <f aca="false">IF(F805&gt;0,N805/(F805/3600),0)</f>
        <v>10.7186912239822</v>
      </c>
    </row>
    <row r="806" customFormat="false" ht="15" hidden="false" customHeight="false" outlineLevel="0" collapsed="false">
      <c r="A806" s="0" t="s">
        <v>259</v>
      </c>
      <c r="B806" s="52" t="n">
        <v>44195</v>
      </c>
      <c r="C806" s="0" t="n">
        <v>29832.531</v>
      </c>
      <c r="D806" s="0" t="n">
        <v>10223.159</v>
      </c>
      <c r="E806" s="0" t="n">
        <v>19609.372</v>
      </c>
      <c r="F806" s="0" t="n">
        <v>12194.767</v>
      </c>
      <c r="G806" s="0" t="n">
        <v>9585.23</v>
      </c>
      <c r="H806" s="0" t="n">
        <v>2609.537</v>
      </c>
      <c r="I806" s="0" t="n">
        <v>2267.234</v>
      </c>
      <c r="J806" s="0" t="n">
        <v>5147.371</v>
      </c>
      <c r="K806" s="0" t="n">
        <v>22018.3293055556</v>
      </c>
      <c r="L806" s="0" t="n">
        <v>17153</v>
      </c>
      <c r="M806" s="0" t="n">
        <v>17063</v>
      </c>
      <c r="N806" s="0" t="n">
        <v>38</v>
      </c>
      <c r="O806" s="54" t="n">
        <f aca="false">YEAR(B806)</f>
        <v>2020</v>
      </c>
      <c r="P806" s="54" t="n">
        <f aca="false">IF(AND(E806&gt;=14400,K806&gt;0,L806&gt;0),1,0)</f>
        <v>1</v>
      </c>
      <c r="Q806" s="53" t="n">
        <f aca="false">IF(P806=1,F806/E806*MIN(L806/K806,1)*MIN(MAX(M806/L806,0),1),0)</f>
        <v>0.481926546300255</v>
      </c>
      <c r="R806" s="55" t="n">
        <f aca="false">IF(F806&gt;0,N806/(F806/3600),0)</f>
        <v>11.217926508969</v>
      </c>
    </row>
    <row r="807" customFormat="false" ht="15" hidden="false" customHeight="false" outlineLevel="0" collapsed="false">
      <c r="A807" s="0" t="s">
        <v>259</v>
      </c>
      <c r="B807" s="52" t="n">
        <v>44196</v>
      </c>
      <c r="C807" s="0" t="n">
        <v>42434.006</v>
      </c>
      <c r="D807" s="0" t="n">
        <v>9834.768</v>
      </c>
      <c r="E807" s="0" t="n">
        <v>32599.238</v>
      </c>
      <c r="F807" s="0" t="n">
        <v>20293.443</v>
      </c>
      <c r="G807" s="0" t="n">
        <v>13795.099</v>
      </c>
      <c r="H807" s="0" t="n">
        <v>6498.344</v>
      </c>
      <c r="I807" s="0" t="n">
        <v>4707.159</v>
      </c>
      <c r="J807" s="0" t="n">
        <v>7598.636</v>
      </c>
      <c r="K807" s="0" t="n">
        <v>36545.1377777778</v>
      </c>
      <c r="L807" s="0" t="n">
        <v>24718</v>
      </c>
      <c r="M807" s="0" t="n">
        <v>24566</v>
      </c>
      <c r="N807" s="0" t="n">
        <v>63</v>
      </c>
      <c r="O807" s="54" t="n">
        <f aca="false">YEAR(B807)</f>
        <v>2020</v>
      </c>
      <c r="P807" s="54" t="n">
        <f aca="false">IF(AND(E807&gt;=14400,K807&gt;0,L807&gt;0),1,0)</f>
        <v>1</v>
      </c>
      <c r="Q807" s="53" t="n">
        <f aca="false">IF(P807=1,F807/E807*MIN(L807/K807,1)*MIN(MAX(M807/L807,0),1),0)</f>
        <v>0.418459210473455</v>
      </c>
      <c r="R807" s="55" t="n">
        <f aca="false">IF(F807&gt;0,N807/(F807/3600),0)</f>
        <v>11.1760237038141</v>
      </c>
    </row>
    <row r="808" customFormat="false" ht="15" hidden="false" customHeight="false" outlineLevel="0" collapsed="false">
      <c r="A808" s="0" t="s">
        <v>259</v>
      </c>
      <c r="B808" s="52" t="n">
        <v>44197</v>
      </c>
      <c r="C808" s="0" t="n">
        <v>33373.217</v>
      </c>
      <c r="D808" s="0" t="n">
        <v>6036.867</v>
      </c>
      <c r="E808" s="0" t="n">
        <v>27336.35</v>
      </c>
      <c r="F808" s="0" t="n">
        <v>6837.932</v>
      </c>
      <c r="G808" s="0" t="n">
        <v>6231.695</v>
      </c>
      <c r="H808" s="0" t="n">
        <v>606.237</v>
      </c>
      <c r="I808" s="0" t="n">
        <v>2686.979</v>
      </c>
      <c r="J808" s="0" t="n">
        <v>17811.439</v>
      </c>
      <c r="K808" s="0" t="n">
        <v>12346.2661111111</v>
      </c>
      <c r="L808" s="0" t="n">
        <v>11238</v>
      </c>
      <c r="M808" s="0" t="n">
        <v>11206</v>
      </c>
      <c r="N808" s="0" t="n">
        <v>8</v>
      </c>
      <c r="O808" s="54" t="n">
        <f aca="false">YEAR(B808)</f>
        <v>2021</v>
      </c>
      <c r="P808" s="54" t="n">
        <f aca="false">IF(AND(E808&gt;=14400,K808&gt;0,L808&gt;0),1,0)</f>
        <v>1</v>
      </c>
      <c r="Q808" s="53" t="n">
        <f aca="false">IF(P808=1,F808/E808*MIN(L808/K808,1)*MIN(MAX(M808/L808,0),1),0)</f>
        <v>0.227038357352024</v>
      </c>
      <c r="R808" s="55" t="n">
        <f aca="false">IF(F808&gt;0,N808/(F808/3600),0)</f>
        <v>4.21179970786489</v>
      </c>
    </row>
    <row r="809" customFormat="false" ht="15" hidden="false" customHeight="false" outlineLevel="0" collapsed="false">
      <c r="A809" s="0" t="s">
        <v>259</v>
      </c>
      <c r="B809" s="52" t="n">
        <v>44198</v>
      </c>
      <c r="C809" s="0" t="n">
        <v>33367.833</v>
      </c>
      <c r="D809" s="0" t="n">
        <v>11587.162</v>
      </c>
      <c r="E809" s="0" t="n">
        <v>21780.671</v>
      </c>
      <c r="F809" s="0" t="n">
        <v>9865.866</v>
      </c>
      <c r="G809" s="0" t="n">
        <v>8316.048</v>
      </c>
      <c r="H809" s="0" t="n">
        <v>1549.818</v>
      </c>
      <c r="I809" s="0" t="n">
        <v>2179.01</v>
      </c>
      <c r="J809" s="0" t="n">
        <v>9735.795</v>
      </c>
      <c r="K809" s="0" t="n">
        <v>17813.3691666667</v>
      </c>
      <c r="L809" s="0" t="n">
        <v>14980</v>
      </c>
      <c r="M809" s="0" t="n">
        <v>14948</v>
      </c>
      <c r="N809" s="0" t="n">
        <v>21</v>
      </c>
      <c r="O809" s="54" t="n">
        <f aca="false">YEAR(B809)</f>
        <v>2021</v>
      </c>
      <c r="P809" s="54" t="n">
        <f aca="false">IF(AND(E809&gt;=14400,K809&gt;0,L809&gt;0),1,0)</f>
        <v>1</v>
      </c>
      <c r="Q809" s="53" t="n">
        <f aca="false">IF(P809=1,F809/E809*MIN(L809/K809,1)*MIN(MAX(M809/L809,0),1),0)</f>
        <v>0.380102720788184</v>
      </c>
      <c r="R809" s="55" t="n">
        <f aca="false">IF(F809&gt;0,N809/(F809/3600),0)</f>
        <v>7.66278398672757</v>
      </c>
    </row>
    <row r="810" customFormat="false" ht="15" hidden="false" customHeight="false" outlineLevel="0" collapsed="false">
      <c r="A810" s="0" t="s">
        <v>259</v>
      </c>
      <c r="B810" s="52" t="n">
        <v>44199</v>
      </c>
      <c r="C810" s="0" t="n">
        <v>13645.367</v>
      </c>
      <c r="D810" s="0" t="n">
        <v>4694.397</v>
      </c>
      <c r="E810" s="0" t="n">
        <v>8950.97</v>
      </c>
      <c r="F810" s="0" t="n">
        <v>4370.828</v>
      </c>
      <c r="G810" s="0" t="n">
        <v>3748.448</v>
      </c>
      <c r="H810" s="0" t="n">
        <v>622.38</v>
      </c>
      <c r="I810" s="0" t="n">
        <v>4082.202</v>
      </c>
      <c r="J810" s="0" t="n">
        <v>497.94</v>
      </c>
      <c r="K810" s="0" t="n">
        <v>7891.77277777778</v>
      </c>
      <c r="L810" s="0" t="n">
        <v>6693</v>
      </c>
      <c r="M810" s="0" t="n">
        <v>6671</v>
      </c>
      <c r="N810" s="0" t="n">
        <v>18</v>
      </c>
      <c r="O810" s="54" t="n">
        <f aca="false">YEAR(B810)</f>
        <v>2021</v>
      </c>
      <c r="P810" s="54" t="n">
        <f aca="false">IF(AND(E810&gt;=14400,K810&gt;0,L810&gt;0),1,0)</f>
        <v>0</v>
      </c>
      <c r="Q810" s="53" t="n">
        <f aca="false">IF(P810=1,F810/E810*MIN(L810/K810,1)*MIN(MAX(M810/L810,0),1),0)</f>
        <v>0</v>
      </c>
      <c r="R810" s="55" t="n">
        <f aca="false">IF(F810&gt;0,N810/(F810/3600),0)</f>
        <v>14.8255662313868</v>
      </c>
    </row>
    <row r="811" customFormat="false" ht="15" hidden="false" customHeight="false" outlineLevel="0" collapsed="false">
      <c r="A811" s="0" t="s">
        <v>259</v>
      </c>
      <c r="B811" s="52" t="n">
        <v>44200</v>
      </c>
      <c r="C811" s="0" t="n">
        <v>22896.85</v>
      </c>
      <c r="D811" s="0" t="n">
        <v>7556.213</v>
      </c>
      <c r="E811" s="0" t="n">
        <v>15340.637</v>
      </c>
      <c r="F811" s="0" t="n">
        <v>5600.798</v>
      </c>
      <c r="G811" s="0" t="n">
        <v>4819.04</v>
      </c>
      <c r="H811" s="0" t="n">
        <v>781.758</v>
      </c>
      <c r="I811" s="0" t="n">
        <v>2743.68</v>
      </c>
      <c r="J811" s="0" t="n">
        <v>6996.159</v>
      </c>
      <c r="K811" s="0" t="n">
        <v>10112.5519444444</v>
      </c>
      <c r="L811" s="0" t="n">
        <v>8599</v>
      </c>
      <c r="M811" s="0" t="n">
        <v>8521</v>
      </c>
      <c r="N811" s="0" t="n">
        <v>16</v>
      </c>
      <c r="O811" s="54" t="n">
        <f aca="false">YEAR(B811)</f>
        <v>2021</v>
      </c>
      <c r="P811" s="54" t="n">
        <f aca="false">IF(AND(E811&gt;=14400,K811&gt;0,L811&gt;0),1,0)</f>
        <v>1</v>
      </c>
      <c r="Q811" s="53" t="n">
        <f aca="false">IF(P811=1,F811/E811*MIN(L811/K811,1)*MIN(MAX(M811/L811,0),1),0)</f>
        <v>0.307635405030644</v>
      </c>
      <c r="R811" s="55" t="n">
        <f aca="false">IF(F811&gt;0,N811/(F811/3600),0)</f>
        <v>10.2842487802631</v>
      </c>
    </row>
    <row r="812" customFormat="false" ht="15" hidden="false" customHeight="false" outlineLevel="0" collapsed="false">
      <c r="A812" s="0" t="s">
        <v>259</v>
      </c>
      <c r="B812" s="52" t="n">
        <v>44201</v>
      </c>
      <c r="C812" s="0" t="n">
        <v>36833.383</v>
      </c>
      <c r="D812" s="0" t="n">
        <v>17651.33</v>
      </c>
      <c r="E812" s="0" t="n">
        <v>19182.053</v>
      </c>
      <c r="F812" s="0" t="n">
        <v>7262.634</v>
      </c>
      <c r="G812" s="0" t="n">
        <v>7076.768</v>
      </c>
      <c r="H812" s="0" t="n">
        <v>185.866</v>
      </c>
      <c r="I812" s="0" t="n">
        <v>4971.473</v>
      </c>
      <c r="J812" s="0" t="n">
        <v>6947.946</v>
      </c>
      <c r="K812" s="0" t="n">
        <v>13113.0891666667</v>
      </c>
      <c r="L812" s="0" t="n">
        <v>12763</v>
      </c>
      <c r="M812" s="0" t="n">
        <v>12711</v>
      </c>
      <c r="N812" s="0" t="n">
        <v>18</v>
      </c>
      <c r="O812" s="54" t="n">
        <f aca="false">YEAR(B812)</f>
        <v>2021</v>
      </c>
      <c r="P812" s="54" t="n">
        <f aca="false">IF(AND(E812&gt;=14400,K812&gt;0,L812&gt;0),1,0)</f>
        <v>1</v>
      </c>
      <c r="Q812" s="53" t="n">
        <f aca="false">IF(P812=1,F812/E812*MIN(L812/K812,1)*MIN(MAX(M812/L812,0),1),0)</f>
        <v>0.367006517057296</v>
      </c>
      <c r="R812" s="55" t="n">
        <f aca="false">IF(F812&gt;0,N812/(F812/3600),0)</f>
        <v>8.92238270577865</v>
      </c>
    </row>
    <row r="813" customFormat="false" ht="15" hidden="false" customHeight="false" outlineLevel="0" collapsed="false">
      <c r="A813" s="0" t="s">
        <v>259</v>
      </c>
      <c r="B813" s="52" t="n">
        <v>44202</v>
      </c>
      <c r="C813" s="0" t="n">
        <v>43020.522</v>
      </c>
      <c r="D813" s="0" t="n">
        <v>17709.716</v>
      </c>
      <c r="E813" s="0" t="n">
        <v>25310.806</v>
      </c>
      <c r="F813" s="0" t="n">
        <v>12882.282</v>
      </c>
      <c r="G813" s="0" t="n">
        <v>11336.332</v>
      </c>
      <c r="H813" s="0" t="n">
        <v>1545.95</v>
      </c>
      <c r="I813" s="0" t="n">
        <v>5873.681</v>
      </c>
      <c r="J813" s="0" t="n">
        <v>6554.843</v>
      </c>
      <c r="K813" s="0" t="n">
        <v>22743.2756777778</v>
      </c>
      <c r="L813" s="0" t="n">
        <v>19822</v>
      </c>
      <c r="M813" s="0" t="n">
        <v>19730</v>
      </c>
      <c r="N813" s="0" t="n">
        <v>61</v>
      </c>
      <c r="O813" s="54" t="n">
        <f aca="false">YEAR(B813)</f>
        <v>2021</v>
      </c>
      <c r="P813" s="54" t="n">
        <f aca="false">IF(AND(E813&gt;=14400,K813&gt;0,L813&gt;0),1,0)</f>
        <v>1</v>
      </c>
      <c r="Q813" s="53" t="n">
        <f aca="false">IF(P813=1,F813/E813*MIN(L813/K813,1)*MIN(MAX(M813/L813,0),1),0)</f>
        <v>0.441530690435832</v>
      </c>
      <c r="R813" s="55" t="n">
        <f aca="false">IF(F813&gt;0,N813/(F813/3600),0)</f>
        <v>17.0466692159045</v>
      </c>
    </row>
    <row r="814" customFormat="false" ht="15" hidden="false" customHeight="false" outlineLevel="0" collapsed="false">
      <c r="A814" s="0" t="s">
        <v>259</v>
      </c>
      <c r="B814" s="52" t="n">
        <v>44203</v>
      </c>
      <c r="C814" s="0" t="n">
        <v>49245.129</v>
      </c>
      <c r="D814" s="0" t="n">
        <v>7677.948</v>
      </c>
      <c r="E814" s="0" t="n">
        <v>41567.181</v>
      </c>
      <c r="F814" s="0" t="n">
        <v>14981.434</v>
      </c>
      <c r="G814" s="0" t="n">
        <v>12084.662</v>
      </c>
      <c r="H814" s="0" t="n">
        <v>2896.772</v>
      </c>
      <c r="I814" s="0" t="n">
        <v>7870.74</v>
      </c>
      <c r="J814" s="0" t="n">
        <v>18715.007</v>
      </c>
      <c r="K814" s="0" t="n">
        <v>26942.2995833333</v>
      </c>
      <c r="L814" s="0" t="n">
        <v>21675</v>
      </c>
      <c r="M814" s="0" t="n">
        <v>21634</v>
      </c>
      <c r="N814" s="0" t="n">
        <v>48</v>
      </c>
      <c r="O814" s="54" t="n">
        <f aca="false">YEAR(B814)</f>
        <v>2021</v>
      </c>
      <c r="P814" s="54" t="n">
        <f aca="false">IF(AND(E814&gt;=14400,K814&gt;0,L814&gt;0),1,0)</f>
        <v>1</v>
      </c>
      <c r="Q814" s="53" t="n">
        <f aca="false">IF(P814=1,F814/E814*MIN(L814/K814,1)*MIN(MAX(M814/L814,0),1),0)</f>
        <v>0.289404298408781</v>
      </c>
      <c r="R814" s="55" t="n">
        <f aca="false">IF(F814&gt;0,N814/(F814/3600),0)</f>
        <v>11.5342763583246</v>
      </c>
    </row>
    <row r="815" customFormat="false" ht="15" hidden="false" customHeight="false" outlineLevel="0" collapsed="false">
      <c r="A815" s="0" t="s">
        <v>259</v>
      </c>
      <c r="B815" s="52" t="n">
        <v>44204</v>
      </c>
      <c r="C815" s="0" t="n">
        <v>35046.805</v>
      </c>
      <c r="D815" s="0" t="n">
        <v>3092.426</v>
      </c>
      <c r="E815" s="0" t="n">
        <v>31954.379</v>
      </c>
      <c r="F815" s="0" t="n">
        <v>16045.503</v>
      </c>
      <c r="G815" s="0" t="n">
        <v>13013.196</v>
      </c>
      <c r="H815" s="0" t="n">
        <v>3032.307</v>
      </c>
      <c r="I815" s="0" t="n">
        <v>3932.174</v>
      </c>
      <c r="J815" s="0" t="n">
        <v>11976.702</v>
      </c>
      <c r="K815" s="0" t="n">
        <v>28971.0470833333</v>
      </c>
      <c r="L815" s="0" t="n">
        <v>23273</v>
      </c>
      <c r="M815" s="0" t="n">
        <v>23149</v>
      </c>
      <c r="N815" s="0" t="n">
        <v>81</v>
      </c>
      <c r="O815" s="54" t="n">
        <f aca="false">YEAR(B815)</f>
        <v>2021</v>
      </c>
      <c r="P815" s="54" t="n">
        <f aca="false">IF(AND(E815&gt;=14400,K815&gt;0,L815&gt;0),1,0)</f>
        <v>1</v>
      </c>
      <c r="Q815" s="53" t="n">
        <f aca="false">IF(P815=1,F815/E815*MIN(L815/K815,1)*MIN(MAX(M815/L815,0),1),0)</f>
        <v>0.401227782126031</v>
      </c>
      <c r="R815" s="55" t="n">
        <f aca="false">IF(F815&gt;0,N815/(F815/3600),0)</f>
        <v>18.1733162244898</v>
      </c>
    </row>
    <row r="816" customFormat="false" ht="15" hidden="false" customHeight="false" outlineLevel="0" collapsed="false">
      <c r="A816" s="0" t="s">
        <v>259</v>
      </c>
      <c r="B816" s="52" t="n">
        <v>44205</v>
      </c>
      <c r="C816" s="0" t="n">
        <v>31715.93</v>
      </c>
      <c r="D816" s="0" t="n">
        <v>8448.847</v>
      </c>
      <c r="E816" s="0" t="n">
        <v>23267.083</v>
      </c>
      <c r="F816" s="0" t="n">
        <v>10421.533</v>
      </c>
      <c r="G816" s="0" t="n">
        <v>8438.671</v>
      </c>
      <c r="H816" s="0" t="n">
        <v>1982.862</v>
      </c>
      <c r="I816" s="0" t="n">
        <v>4032.095</v>
      </c>
      <c r="J816" s="0" t="n">
        <v>8813.455</v>
      </c>
      <c r="K816" s="0" t="n">
        <v>18816.6568055556</v>
      </c>
      <c r="L816" s="0" t="n">
        <v>15188</v>
      </c>
      <c r="M816" s="0" t="n">
        <v>15128</v>
      </c>
      <c r="N816" s="0" t="n">
        <v>22</v>
      </c>
      <c r="O816" s="54" t="n">
        <f aca="false">YEAR(B816)</f>
        <v>2021</v>
      </c>
      <c r="P816" s="54" t="n">
        <f aca="false">IF(AND(E816&gt;=14400,K816&gt;0,L816&gt;0),1,0)</f>
        <v>1</v>
      </c>
      <c r="Q816" s="53" t="n">
        <f aca="false">IF(P816=1,F816/E816*MIN(L816/K816,1)*MIN(MAX(M816/L816,0),1),0)</f>
        <v>0.360104642914826</v>
      </c>
      <c r="R816" s="55" t="n">
        <f aca="false">IF(F816&gt;0,N816/(F816/3600),0)</f>
        <v>7.59964968685509</v>
      </c>
    </row>
    <row r="817" customFormat="false" ht="15" hidden="false" customHeight="false" outlineLevel="0" collapsed="false">
      <c r="A817" s="0" t="s">
        <v>259</v>
      </c>
      <c r="B817" s="52" t="n">
        <v>44206</v>
      </c>
      <c r="C817" s="0" t="n">
        <v>12190.947</v>
      </c>
      <c r="D817" s="0" t="n">
        <v>4665.206</v>
      </c>
      <c r="E817" s="0" t="n">
        <v>7525.741</v>
      </c>
      <c r="F817" s="0" t="n">
        <v>2414.299</v>
      </c>
      <c r="G817" s="0" t="n">
        <v>37.92</v>
      </c>
      <c r="H817" s="0" t="n">
        <v>2376.379</v>
      </c>
      <c r="I817" s="0" t="n">
        <v>71.26</v>
      </c>
      <c r="J817" s="0" t="n">
        <v>5040.182</v>
      </c>
      <c r="K817" s="0" t="n">
        <v>4150.82566166667</v>
      </c>
      <c r="L817" s="0" t="n">
        <v>128</v>
      </c>
      <c r="M817" s="0" t="n">
        <v>0</v>
      </c>
      <c r="N817" s="0" t="n">
        <v>2</v>
      </c>
      <c r="O817" s="54" t="n">
        <f aca="false">YEAR(B817)</f>
        <v>2021</v>
      </c>
      <c r="P817" s="54" t="n">
        <f aca="false">IF(AND(E817&gt;=14400,K817&gt;0,L817&gt;0),1,0)</f>
        <v>0</v>
      </c>
      <c r="Q817" s="53" t="n">
        <f aca="false">IF(P817=1,F817/E817*MIN(L817/K817,1)*MIN(MAX(M817/L817,0),1),0)</f>
        <v>0</v>
      </c>
      <c r="R817" s="55" t="n">
        <f aca="false">IF(F817&gt;0,N817/(F817/3600),0)</f>
        <v>2.98223210961028</v>
      </c>
    </row>
    <row r="818" customFormat="false" ht="15" hidden="false" customHeight="false" outlineLevel="0" collapsed="false">
      <c r="A818" s="0" t="s">
        <v>259</v>
      </c>
      <c r="B818" s="52" t="n">
        <v>44207</v>
      </c>
      <c r="C818" s="0" t="n">
        <v>52975.817</v>
      </c>
      <c r="D818" s="0" t="n">
        <v>11593.133</v>
      </c>
      <c r="E818" s="0" t="n">
        <v>41382.684</v>
      </c>
      <c r="F818" s="0" t="n">
        <v>6927.423</v>
      </c>
      <c r="G818" s="0" t="n">
        <v>4576.096</v>
      </c>
      <c r="H818" s="0" t="n">
        <v>2351.327</v>
      </c>
      <c r="I818" s="0" t="n">
        <v>1115.743</v>
      </c>
      <c r="J818" s="0" t="n">
        <v>33339.518</v>
      </c>
      <c r="K818" s="0" t="n">
        <v>12472.83375</v>
      </c>
      <c r="L818" s="0" t="n">
        <v>8287</v>
      </c>
      <c r="M818" s="0" t="n">
        <v>8239</v>
      </c>
      <c r="N818" s="0" t="n">
        <v>13</v>
      </c>
      <c r="O818" s="54" t="n">
        <f aca="false">YEAR(B818)</f>
        <v>2021</v>
      </c>
      <c r="P818" s="54" t="n">
        <f aca="false">IF(AND(E818&gt;=14400,K818&gt;0,L818&gt;0),1,0)</f>
        <v>1</v>
      </c>
      <c r="Q818" s="53" t="n">
        <f aca="false">IF(P818=1,F818/E818*MIN(L818/K818,1)*MIN(MAX(M818/L818,0),1),0)</f>
        <v>0.110576393630041</v>
      </c>
      <c r="R818" s="55" t="n">
        <f aca="false">IF(F818&gt;0,N818/(F818/3600),0)</f>
        <v>6.75575895971706</v>
      </c>
    </row>
    <row r="819" customFormat="false" ht="15" hidden="false" customHeight="false" outlineLevel="0" collapsed="false">
      <c r="A819" s="0" t="s">
        <v>259</v>
      </c>
      <c r="B819" s="52" t="n">
        <v>44208</v>
      </c>
      <c r="C819" s="0" t="n">
        <v>30968.772</v>
      </c>
      <c r="D819" s="0" t="n">
        <v>11383.937</v>
      </c>
      <c r="E819" s="0" t="n">
        <v>19584.835</v>
      </c>
      <c r="F819" s="0" t="n">
        <v>7010.022</v>
      </c>
      <c r="G819" s="0" t="n">
        <v>6048.71</v>
      </c>
      <c r="H819" s="0" t="n">
        <v>961.312</v>
      </c>
      <c r="I819" s="0" t="n">
        <v>2466.573</v>
      </c>
      <c r="J819" s="0" t="n">
        <v>10108.24</v>
      </c>
      <c r="K819" s="0" t="n">
        <v>12656.9841666667</v>
      </c>
      <c r="L819" s="0" t="n">
        <v>10887</v>
      </c>
      <c r="M819" s="0" t="n">
        <v>10855</v>
      </c>
      <c r="N819" s="0" t="n">
        <v>11</v>
      </c>
      <c r="O819" s="54" t="n">
        <f aca="false">YEAR(B819)</f>
        <v>2021</v>
      </c>
      <c r="P819" s="54" t="n">
        <f aca="false">IF(AND(E819&gt;=14400,K819&gt;0,L819&gt;0),1,0)</f>
        <v>1</v>
      </c>
      <c r="Q819" s="53" t="n">
        <f aca="false">IF(P819=1,F819/E819*MIN(L819/K819,1)*MIN(MAX(M819/L819,0),1),0)</f>
        <v>0.306972205790858</v>
      </c>
      <c r="R819" s="55" t="n">
        <f aca="false">IF(F819&gt;0,N819/(F819/3600),0)</f>
        <v>5.64905502436369</v>
      </c>
    </row>
    <row r="820" customFormat="false" ht="15" hidden="false" customHeight="false" outlineLevel="0" collapsed="false">
      <c r="A820" s="0" t="s">
        <v>259</v>
      </c>
      <c r="B820" s="52" t="n">
        <v>44209</v>
      </c>
      <c r="C820" s="0" t="n">
        <v>38941.451</v>
      </c>
      <c r="D820" s="0" t="n">
        <v>11765.525</v>
      </c>
      <c r="E820" s="0" t="n">
        <v>27175.926</v>
      </c>
      <c r="F820" s="0" t="n">
        <v>10777.536</v>
      </c>
      <c r="G820" s="0" t="n">
        <v>10034.493</v>
      </c>
      <c r="H820" s="0" t="n">
        <v>743.043</v>
      </c>
      <c r="I820" s="0" t="n">
        <v>1195.672</v>
      </c>
      <c r="J820" s="0" t="n">
        <v>15202.718</v>
      </c>
      <c r="K820" s="0" t="n">
        <v>19459.44</v>
      </c>
      <c r="L820" s="0" t="n">
        <v>17911</v>
      </c>
      <c r="M820" s="0" t="n">
        <v>17829</v>
      </c>
      <c r="N820" s="0" t="n">
        <v>38</v>
      </c>
      <c r="O820" s="54" t="n">
        <f aca="false">YEAR(B820)</f>
        <v>2021</v>
      </c>
      <c r="P820" s="54" t="n">
        <f aca="false">IF(AND(E820&gt;=14400,K820&gt;0,L820&gt;0),1,0)</f>
        <v>1</v>
      </c>
      <c r="Q820" s="53" t="n">
        <f aca="false">IF(P820=1,F820/E820*MIN(L820/K820,1)*MIN(MAX(M820/L820,0),1),0)</f>
        <v>0.363355533015621</v>
      </c>
      <c r="R820" s="55" t="n">
        <f aca="false">IF(F820&gt;0,N820/(F820/3600),0)</f>
        <v>12.6930682486238</v>
      </c>
    </row>
    <row r="821" customFormat="false" ht="15" hidden="false" customHeight="false" outlineLevel="0" collapsed="false">
      <c r="A821" s="0" t="s">
        <v>259</v>
      </c>
      <c r="B821" s="52" t="n">
        <v>44210</v>
      </c>
      <c r="C821" s="0" t="n">
        <v>48738.463</v>
      </c>
      <c r="D821" s="0" t="n">
        <v>12185.873</v>
      </c>
      <c r="E821" s="0" t="n">
        <v>36552.59</v>
      </c>
      <c r="F821" s="0" t="n">
        <v>10587.885</v>
      </c>
      <c r="G821" s="0" t="n">
        <v>8836.361</v>
      </c>
      <c r="H821" s="0" t="n">
        <v>1751.524</v>
      </c>
      <c r="I821" s="0" t="n">
        <v>6761.895</v>
      </c>
      <c r="J821" s="0" t="n">
        <v>19202.81</v>
      </c>
      <c r="K821" s="0" t="n">
        <v>19010.8443077778</v>
      </c>
      <c r="L821" s="0" t="n">
        <v>15863</v>
      </c>
      <c r="M821" s="0" t="n">
        <v>15763</v>
      </c>
      <c r="N821" s="0" t="n">
        <v>21</v>
      </c>
      <c r="O821" s="54" t="n">
        <f aca="false">YEAR(B821)</f>
        <v>2021</v>
      </c>
      <c r="P821" s="54" t="n">
        <f aca="false">IF(AND(E821&gt;=14400,K821&gt;0,L821&gt;0),1,0)</f>
        <v>1</v>
      </c>
      <c r="Q821" s="53" t="n">
        <f aca="false">IF(P821=1,F821/E821*MIN(L821/K821,1)*MIN(MAX(M821/L821,0),1),0)</f>
        <v>0.24017540454535</v>
      </c>
      <c r="R821" s="55" t="n">
        <f aca="false">IF(F821&gt;0,N821/(F821/3600),0)</f>
        <v>7.14023622281504</v>
      </c>
    </row>
    <row r="822" customFormat="false" ht="15" hidden="false" customHeight="false" outlineLevel="0" collapsed="false">
      <c r="A822" s="0" t="s">
        <v>259</v>
      </c>
      <c r="B822" s="52" t="n">
        <v>44211</v>
      </c>
      <c r="C822" s="0" t="n">
        <v>62060.801</v>
      </c>
      <c r="D822" s="0" t="n">
        <v>10077.209</v>
      </c>
      <c r="E822" s="0" t="n">
        <v>51983.592</v>
      </c>
      <c r="F822" s="0" t="n">
        <v>15733.398</v>
      </c>
      <c r="G822" s="0" t="n">
        <v>10410.767</v>
      </c>
      <c r="H822" s="0" t="n">
        <v>5322.631</v>
      </c>
      <c r="I822" s="0" t="n">
        <v>6909.406</v>
      </c>
      <c r="J822" s="0" t="n">
        <v>29340.788</v>
      </c>
      <c r="K822" s="0" t="n">
        <v>28355.1919444444</v>
      </c>
      <c r="L822" s="0" t="n">
        <v>18742</v>
      </c>
      <c r="M822" s="0" t="n">
        <v>18584</v>
      </c>
      <c r="N822" s="0" t="n">
        <v>65</v>
      </c>
      <c r="O822" s="54" t="n">
        <f aca="false">YEAR(B822)</f>
        <v>2021</v>
      </c>
      <c r="P822" s="54" t="n">
        <f aca="false">IF(AND(E822&gt;=14400,K822&gt;0,L822&gt;0),1,0)</f>
        <v>1</v>
      </c>
      <c r="Q822" s="53" t="n">
        <f aca="false">IF(P822=1,F822/E822*MIN(L822/K822,1)*MIN(MAX(M822/L822,0),1),0)</f>
        <v>0.198363996163178</v>
      </c>
      <c r="R822" s="55" t="n">
        <f aca="false">IF(F822&gt;0,N822/(F822/3600),0)</f>
        <v>14.8728202261203</v>
      </c>
    </row>
    <row r="823" customFormat="false" ht="15" hidden="false" customHeight="false" outlineLevel="0" collapsed="false">
      <c r="A823" s="0" t="s">
        <v>259</v>
      </c>
      <c r="B823" s="52" t="n">
        <v>44212</v>
      </c>
      <c r="C823" s="0" t="n">
        <v>26418.192</v>
      </c>
      <c r="D823" s="0" t="n">
        <v>6088.447</v>
      </c>
      <c r="E823" s="0" t="n">
        <v>20329.745</v>
      </c>
      <c r="F823" s="0" t="n">
        <v>11715.461</v>
      </c>
      <c r="G823" s="0" t="n">
        <v>8295.498</v>
      </c>
      <c r="H823" s="0" t="n">
        <v>3419.963</v>
      </c>
      <c r="I823" s="0" t="n">
        <v>1551.426</v>
      </c>
      <c r="J823" s="0" t="n">
        <v>7062.858</v>
      </c>
      <c r="K823" s="0" t="n">
        <v>21152.9156944444</v>
      </c>
      <c r="L823" s="0" t="n">
        <v>15033</v>
      </c>
      <c r="M823" s="0" t="n">
        <v>15001</v>
      </c>
      <c r="N823" s="0" t="n">
        <v>10</v>
      </c>
      <c r="O823" s="54" t="n">
        <f aca="false">YEAR(B823)</f>
        <v>2021</v>
      </c>
      <c r="P823" s="54" t="n">
        <f aca="false">IF(AND(E823&gt;=14400,K823&gt;0,L823&gt;0),1,0)</f>
        <v>1</v>
      </c>
      <c r="Q823" s="53" t="n">
        <f aca="false">IF(P823=1,F823/E823*MIN(L823/K823,1)*MIN(MAX(M823/L823,0),1),0)</f>
        <v>0.4086743908419</v>
      </c>
      <c r="R823" s="55" t="n">
        <f aca="false">IF(F823&gt;0,N823/(F823/3600),0)</f>
        <v>3.07286243366778</v>
      </c>
    </row>
    <row r="824" customFormat="false" ht="15" hidden="false" customHeight="false" outlineLevel="0" collapsed="false">
      <c r="A824" s="0" t="s">
        <v>259</v>
      </c>
      <c r="B824" s="52" t="n">
        <v>44213</v>
      </c>
      <c r="C824" s="0" t="n">
        <v>13524.212</v>
      </c>
      <c r="D824" s="0" t="n">
        <v>8507.951</v>
      </c>
      <c r="E824" s="0" t="n">
        <v>5016.261</v>
      </c>
      <c r="F824" s="0" t="n">
        <v>485.029</v>
      </c>
      <c r="G824" s="0" t="n">
        <v>381.659</v>
      </c>
      <c r="H824" s="0" t="n">
        <v>103.37</v>
      </c>
      <c r="I824" s="0" t="n">
        <v>0</v>
      </c>
      <c r="J824" s="0" t="n">
        <v>4531.232</v>
      </c>
      <c r="K824" s="0" t="n">
        <v>875.746805555556</v>
      </c>
      <c r="L824" s="0" t="n">
        <v>656</v>
      </c>
      <c r="M824" s="0" t="n">
        <v>638</v>
      </c>
      <c r="N824" s="0" t="n">
        <v>0</v>
      </c>
      <c r="O824" s="54" t="n">
        <f aca="false">YEAR(B824)</f>
        <v>2021</v>
      </c>
      <c r="P824" s="54" t="n">
        <f aca="false">IF(AND(E824&gt;=14400,K824&gt;0,L824&gt;0),1,0)</f>
        <v>0</v>
      </c>
      <c r="Q824" s="53" t="n">
        <f aca="false">IF(P824=1,F824/E824*MIN(L824/K824,1)*MIN(MAX(M824/L824,0),1),0)</f>
        <v>0</v>
      </c>
      <c r="R824" s="55" t="n">
        <f aca="false">IF(F824&gt;0,N824/(F824/3600),0)</f>
        <v>0</v>
      </c>
    </row>
    <row r="825" customFormat="false" ht="15" hidden="false" customHeight="false" outlineLevel="0" collapsed="false">
      <c r="A825" s="0" t="s">
        <v>259</v>
      </c>
      <c r="B825" s="52" t="n">
        <v>44214</v>
      </c>
      <c r="C825" s="0" t="n">
        <v>71257.957</v>
      </c>
      <c r="D825" s="0" t="n">
        <v>15196.966</v>
      </c>
      <c r="E825" s="0" t="n">
        <v>56060.991</v>
      </c>
      <c r="F825" s="0" t="n">
        <v>5737.44</v>
      </c>
      <c r="G825" s="0" t="n">
        <v>5346.8</v>
      </c>
      <c r="H825" s="0" t="n">
        <v>390.64</v>
      </c>
      <c r="I825" s="0" t="n">
        <v>903.769</v>
      </c>
      <c r="J825" s="0" t="n">
        <v>49419.782</v>
      </c>
      <c r="K825" s="0" t="n">
        <v>10359.2666666667</v>
      </c>
      <c r="L825" s="0" t="n">
        <v>9636</v>
      </c>
      <c r="M825" s="0" t="n">
        <v>9628</v>
      </c>
      <c r="N825" s="0" t="n">
        <v>16</v>
      </c>
      <c r="O825" s="54" t="n">
        <f aca="false">YEAR(B825)</f>
        <v>2021</v>
      </c>
      <c r="P825" s="54" t="n">
        <f aca="false">IF(AND(E825&gt;=14400,K825&gt;0,L825&gt;0),1,0)</f>
        <v>1</v>
      </c>
      <c r="Q825" s="53" t="n">
        <f aca="false">IF(P825=1,F825/E825*MIN(L825/K825,1)*MIN(MAX(M825/L825,0),1),0)</f>
        <v>0.0951183822139492</v>
      </c>
      <c r="R825" s="55" t="n">
        <f aca="false">IF(F825&gt;0,N825/(F825/3600),0)</f>
        <v>10.0393206726345</v>
      </c>
    </row>
    <row r="826" customFormat="false" ht="15" hidden="false" customHeight="false" outlineLevel="0" collapsed="false">
      <c r="A826" s="0" t="s">
        <v>259</v>
      </c>
      <c r="B826" s="52" t="n">
        <v>44215</v>
      </c>
      <c r="C826" s="0" t="n">
        <v>53140.375</v>
      </c>
      <c r="D826" s="0" t="n">
        <v>15140.5</v>
      </c>
      <c r="E826" s="0" t="n">
        <v>37999.875</v>
      </c>
      <c r="F826" s="0" t="n">
        <v>9423.152</v>
      </c>
      <c r="G826" s="0" t="n">
        <v>7897.573</v>
      </c>
      <c r="H826" s="0" t="n">
        <v>1525.579</v>
      </c>
      <c r="I826" s="0" t="n">
        <v>2985.269</v>
      </c>
      <c r="J826" s="0" t="n">
        <v>25591.454</v>
      </c>
      <c r="K826" s="0" t="n">
        <v>17014.0244444444</v>
      </c>
      <c r="L826" s="0" t="n">
        <v>14234</v>
      </c>
      <c r="M826" s="0" t="n">
        <v>14182</v>
      </c>
      <c r="N826" s="0" t="n">
        <v>16</v>
      </c>
      <c r="O826" s="54" t="n">
        <f aca="false">YEAR(B826)</f>
        <v>2021</v>
      </c>
      <c r="P826" s="54" t="n">
        <f aca="false">IF(AND(E826&gt;=14400,K826&gt;0,L826&gt;0),1,0)</f>
        <v>1</v>
      </c>
      <c r="Q826" s="53" t="n">
        <f aca="false">IF(P826=1,F826/E826*MIN(L826/K826,1)*MIN(MAX(M826/L826,0),1),0)</f>
        <v>0.206701894515341</v>
      </c>
      <c r="R826" s="55" t="n">
        <f aca="false">IF(F826&gt;0,N826/(F826/3600),0)</f>
        <v>6.11260435998485</v>
      </c>
    </row>
    <row r="827" customFormat="false" ht="15" hidden="false" customHeight="false" outlineLevel="0" collapsed="false">
      <c r="A827" s="0" t="s">
        <v>259</v>
      </c>
      <c r="B827" s="52" t="n">
        <v>44216</v>
      </c>
      <c r="C827" s="0" t="n">
        <v>37974.505</v>
      </c>
      <c r="D827" s="0" t="n">
        <v>14627.526</v>
      </c>
      <c r="E827" s="0" t="n">
        <v>23346.979</v>
      </c>
      <c r="F827" s="0" t="n">
        <v>12343.423</v>
      </c>
      <c r="G827" s="0" t="n">
        <v>10227.182</v>
      </c>
      <c r="H827" s="0" t="n">
        <v>2116.241</v>
      </c>
      <c r="I827" s="0" t="n">
        <v>7324.491</v>
      </c>
      <c r="J827" s="0" t="n">
        <v>3679.065</v>
      </c>
      <c r="K827" s="0" t="n">
        <v>22275.7073722222</v>
      </c>
      <c r="L827" s="0" t="n">
        <v>18190</v>
      </c>
      <c r="M827" s="0" t="n">
        <v>18074</v>
      </c>
      <c r="N827" s="0" t="n">
        <v>78</v>
      </c>
      <c r="O827" s="54" t="n">
        <f aca="false">YEAR(B827)</f>
        <v>2021</v>
      </c>
      <c r="P827" s="54" t="n">
        <f aca="false">IF(AND(E827&gt;=14400,K827&gt;0,L827&gt;0),1,0)</f>
        <v>1</v>
      </c>
      <c r="Q827" s="53" t="n">
        <f aca="false">IF(P827=1,F827/E827*MIN(L827/K827,1)*MIN(MAX(M827/L827,0),1),0)</f>
        <v>0.42897076303072</v>
      </c>
      <c r="R827" s="55" t="n">
        <f aca="false">IF(F827&gt;0,N827/(F827/3600),0)</f>
        <v>22.7489570761692</v>
      </c>
    </row>
    <row r="828" customFormat="false" ht="15" hidden="false" customHeight="false" outlineLevel="0" collapsed="false">
      <c r="A828" s="0" t="s">
        <v>259</v>
      </c>
      <c r="B828" s="52" t="n">
        <v>44217</v>
      </c>
      <c r="C828" s="0" t="n">
        <v>39523.998</v>
      </c>
      <c r="D828" s="0" t="n">
        <v>10052.732</v>
      </c>
      <c r="E828" s="0" t="n">
        <v>29471.266</v>
      </c>
      <c r="F828" s="0" t="n">
        <v>13488.266</v>
      </c>
      <c r="G828" s="0" t="n">
        <v>10214.706</v>
      </c>
      <c r="H828" s="0" t="n">
        <v>3273.56</v>
      </c>
      <c r="I828" s="0" t="n">
        <v>9433.361</v>
      </c>
      <c r="J828" s="0" t="n">
        <v>6549.639</v>
      </c>
      <c r="K828" s="0" t="n">
        <v>24353.8136111111</v>
      </c>
      <c r="L828" s="0" t="n">
        <v>18112</v>
      </c>
      <c r="M828" s="0" t="n">
        <v>18064</v>
      </c>
      <c r="N828" s="0" t="n">
        <v>75</v>
      </c>
      <c r="O828" s="54" t="n">
        <f aca="false">YEAR(B828)</f>
        <v>2021</v>
      </c>
      <c r="P828" s="54" t="n">
        <f aca="false">IF(AND(E828&gt;=14400,K828&gt;0,L828&gt;0),1,0)</f>
        <v>1</v>
      </c>
      <c r="Q828" s="53" t="n">
        <f aca="false">IF(P828=1,F828/E828*MIN(L828/K828,1)*MIN(MAX(M828/L828,0),1),0)</f>
        <v>0.339472248089951</v>
      </c>
      <c r="R828" s="55" t="n">
        <f aca="false">IF(F828&gt;0,N828/(F828/3600),0)</f>
        <v>20.0173988265059</v>
      </c>
    </row>
    <row r="829" customFormat="false" ht="15" hidden="false" customHeight="false" outlineLevel="0" collapsed="false">
      <c r="A829" s="0" t="s">
        <v>259</v>
      </c>
      <c r="B829" s="52" t="n">
        <v>44218</v>
      </c>
      <c r="C829" s="0" t="n">
        <v>51451.329</v>
      </c>
      <c r="D829" s="0" t="n">
        <v>4794.756</v>
      </c>
      <c r="E829" s="0" t="n">
        <v>46656.573</v>
      </c>
      <c r="F829" s="0" t="n">
        <v>13667.72</v>
      </c>
      <c r="G829" s="0" t="n">
        <v>10752.073</v>
      </c>
      <c r="H829" s="0" t="n">
        <v>2915.647</v>
      </c>
      <c r="I829" s="0" t="n">
        <v>2908.37</v>
      </c>
      <c r="J829" s="0" t="n">
        <v>30080.483</v>
      </c>
      <c r="K829" s="0" t="n">
        <v>24677.8277777778</v>
      </c>
      <c r="L829" s="0" t="n">
        <v>19384</v>
      </c>
      <c r="M829" s="0" t="n">
        <v>19322</v>
      </c>
      <c r="N829" s="0" t="n">
        <v>28</v>
      </c>
      <c r="O829" s="54" t="n">
        <f aca="false">YEAR(B829)</f>
        <v>2021</v>
      </c>
      <c r="P829" s="54" t="n">
        <f aca="false">IF(AND(E829&gt;=14400,K829&gt;0,L829&gt;0),1,0)</f>
        <v>1</v>
      </c>
      <c r="Q829" s="53" t="n">
        <f aca="false">IF(P829=1,F829/E829*MIN(L829/K829,1)*MIN(MAX(M829/L829,0),1),0)</f>
        <v>0.229365654108702</v>
      </c>
      <c r="R829" s="55" t="n">
        <f aca="false">IF(F829&gt;0,N829/(F829/3600),0)</f>
        <v>7.37504133827734</v>
      </c>
    </row>
    <row r="830" customFormat="false" ht="15" hidden="false" customHeight="false" outlineLevel="0" collapsed="false">
      <c r="A830" s="0" t="s">
        <v>259</v>
      </c>
      <c r="B830" s="52" t="n">
        <v>44219</v>
      </c>
      <c r="C830" s="0" t="n">
        <v>26211.15</v>
      </c>
      <c r="D830" s="0" t="n">
        <v>9909.238</v>
      </c>
      <c r="E830" s="0" t="n">
        <v>16301.912</v>
      </c>
      <c r="F830" s="0" t="n">
        <v>11713.533</v>
      </c>
      <c r="G830" s="0" t="n">
        <v>8197.771</v>
      </c>
      <c r="H830" s="0" t="n">
        <v>3515.762</v>
      </c>
      <c r="I830" s="0" t="n">
        <v>2858.98</v>
      </c>
      <c r="J830" s="0" t="n">
        <v>1729.399</v>
      </c>
      <c r="K830" s="0" t="n">
        <v>21149.4345833333</v>
      </c>
      <c r="L830" s="0" t="n">
        <v>14849</v>
      </c>
      <c r="M830" s="0" t="n">
        <v>14817</v>
      </c>
      <c r="N830" s="0" t="n">
        <v>7</v>
      </c>
      <c r="O830" s="54" t="n">
        <f aca="false">YEAR(B830)</f>
        <v>2021</v>
      </c>
      <c r="P830" s="54" t="n">
        <f aca="false">IF(AND(E830&gt;=14400,K830&gt;0,L830&gt;0),1,0)</f>
        <v>1</v>
      </c>
      <c r="Q830" s="53" t="n">
        <f aca="false">IF(P830=1,F830/E830*MIN(L830/K830,1)*MIN(MAX(M830/L830,0),1),0)</f>
        <v>0.503397298521699</v>
      </c>
      <c r="R830" s="55" t="n">
        <f aca="false">IF(F830&gt;0,N830/(F830/3600),0)</f>
        <v>2.1513577500486</v>
      </c>
    </row>
    <row r="831" customFormat="false" ht="15" hidden="false" customHeight="false" outlineLevel="0" collapsed="false">
      <c r="A831" s="0" t="s">
        <v>259</v>
      </c>
      <c r="B831" s="52" t="n">
        <v>44220</v>
      </c>
      <c r="C831" s="0" t="n">
        <v>13249.814</v>
      </c>
      <c r="D831" s="0" t="n">
        <v>4426.707</v>
      </c>
      <c r="E831" s="0" t="n">
        <v>8823.107</v>
      </c>
      <c r="F831" s="0" t="n">
        <v>3039.162</v>
      </c>
      <c r="G831" s="0" t="n">
        <v>2910.289</v>
      </c>
      <c r="H831" s="0" t="n">
        <v>128.873</v>
      </c>
      <c r="I831" s="0" t="n">
        <v>2996.305</v>
      </c>
      <c r="J831" s="0" t="n">
        <v>2787.64</v>
      </c>
      <c r="K831" s="0" t="n">
        <v>5487.37583333333</v>
      </c>
      <c r="L831" s="0" t="n">
        <v>5186</v>
      </c>
      <c r="M831" s="0" t="n">
        <v>5170</v>
      </c>
      <c r="N831" s="0" t="n">
        <v>11</v>
      </c>
      <c r="O831" s="54" t="n">
        <f aca="false">YEAR(B831)</f>
        <v>2021</v>
      </c>
      <c r="P831" s="54" t="n">
        <f aca="false">IF(AND(E831&gt;=14400,K831&gt;0,L831&gt;0),1,0)</f>
        <v>0</v>
      </c>
      <c r="Q831" s="53" t="n">
        <f aca="false">IF(P831=1,F831/E831*MIN(L831/K831,1)*MIN(MAX(M831/L831,0),1),0)</f>
        <v>0</v>
      </c>
      <c r="R831" s="55" t="n">
        <f aca="false">IF(F831&gt;0,N831/(F831/3600),0)</f>
        <v>13.0299075863676</v>
      </c>
    </row>
    <row r="832" customFormat="false" ht="15" hidden="false" customHeight="false" outlineLevel="0" collapsed="false">
      <c r="A832" s="0" t="s">
        <v>259</v>
      </c>
      <c r="B832" s="52" t="n">
        <v>44221</v>
      </c>
      <c r="C832" s="0" t="n">
        <v>40241.534</v>
      </c>
      <c r="D832" s="0" t="n">
        <v>5758.712</v>
      </c>
      <c r="E832" s="0" t="n">
        <v>34482.822</v>
      </c>
      <c r="F832" s="0" t="n">
        <v>6470.987</v>
      </c>
      <c r="G832" s="0" t="n">
        <v>5681.325</v>
      </c>
      <c r="H832" s="0" t="n">
        <v>789.662</v>
      </c>
      <c r="I832" s="0" t="n">
        <v>854.839</v>
      </c>
      <c r="J832" s="0" t="n">
        <v>27156.996</v>
      </c>
      <c r="K832" s="0" t="n">
        <v>11683.7265277778</v>
      </c>
      <c r="L832" s="0" t="n">
        <v>10157</v>
      </c>
      <c r="M832" s="0" t="n">
        <v>10139</v>
      </c>
      <c r="N832" s="0" t="n">
        <v>22</v>
      </c>
      <c r="O832" s="54" t="n">
        <f aca="false">YEAR(B832)</f>
        <v>2021</v>
      </c>
      <c r="P832" s="54" t="n">
        <f aca="false">IF(AND(E832&gt;=14400,K832&gt;0,L832&gt;0),1,0)</f>
        <v>1</v>
      </c>
      <c r="Q832" s="53" t="n">
        <f aca="false">IF(P832=1,F832/E832*MIN(L832/K832,1)*MIN(MAX(M832/L832,0),1),0)</f>
        <v>0.162847639147578</v>
      </c>
      <c r="R832" s="55" t="n">
        <f aca="false">IF(F832&gt;0,N832/(F832/3600),0)</f>
        <v>12.2392457286655</v>
      </c>
    </row>
    <row r="833" customFormat="false" ht="15" hidden="false" customHeight="false" outlineLevel="0" collapsed="false">
      <c r="A833" s="0" t="s">
        <v>259</v>
      </c>
      <c r="B833" s="52" t="n">
        <v>44222</v>
      </c>
      <c r="C833" s="0" t="n">
        <v>49669.469</v>
      </c>
      <c r="D833" s="0" t="n">
        <v>14560.006</v>
      </c>
      <c r="E833" s="0" t="n">
        <v>35109.463</v>
      </c>
      <c r="F833" s="0" t="n">
        <v>11720.288</v>
      </c>
      <c r="G833" s="0" t="n">
        <v>10303.157</v>
      </c>
      <c r="H833" s="0" t="n">
        <v>1417.131</v>
      </c>
      <c r="I833" s="0" t="n">
        <v>3817.49</v>
      </c>
      <c r="J833" s="0" t="n">
        <v>19571.685</v>
      </c>
      <c r="K833" s="0" t="n">
        <v>21161.6311111111</v>
      </c>
      <c r="L833" s="0" t="n">
        <v>18543</v>
      </c>
      <c r="M833" s="0" t="n">
        <v>18435</v>
      </c>
      <c r="N833" s="0" t="n">
        <v>28</v>
      </c>
      <c r="O833" s="54" t="n">
        <f aca="false">YEAR(B833)</f>
        <v>2021</v>
      </c>
      <c r="P833" s="54" t="n">
        <f aca="false">IF(AND(E833&gt;=14400,K833&gt;0,L833&gt;0),1,0)</f>
        <v>1</v>
      </c>
      <c r="Q833" s="53" t="n">
        <f aca="false">IF(P833=1,F833/E833*MIN(L833/K833,1)*MIN(MAX(M833/L833,0),1),0)</f>
        <v>0.290809171480459</v>
      </c>
      <c r="R833" s="55" t="n">
        <f aca="false">IF(F833&gt;0,N833/(F833/3600),0)</f>
        <v>8.6004712512184</v>
      </c>
    </row>
    <row r="834" customFormat="false" ht="15" hidden="false" customHeight="false" outlineLevel="0" collapsed="false">
      <c r="A834" s="0" t="s">
        <v>259</v>
      </c>
      <c r="B834" s="52" t="n">
        <v>44223</v>
      </c>
      <c r="C834" s="0" t="n">
        <v>37695.778</v>
      </c>
      <c r="D834" s="0" t="n">
        <v>11328.443</v>
      </c>
      <c r="E834" s="0" t="n">
        <v>26367.335</v>
      </c>
      <c r="F834" s="0" t="n">
        <v>12545.407</v>
      </c>
      <c r="G834" s="0" t="n">
        <v>10841.73</v>
      </c>
      <c r="H834" s="0" t="n">
        <v>1703.677</v>
      </c>
      <c r="I834" s="0" t="n">
        <v>7089.566</v>
      </c>
      <c r="J834" s="0" t="n">
        <v>6732.362</v>
      </c>
      <c r="K834" s="0" t="n">
        <v>22651.4293055556</v>
      </c>
      <c r="L834" s="0" t="n">
        <v>19279</v>
      </c>
      <c r="M834" s="0" t="n">
        <v>19220</v>
      </c>
      <c r="N834" s="0" t="n">
        <v>77</v>
      </c>
      <c r="O834" s="54" t="n">
        <f aca="false">YEAR(B834)</f>
        <v>2021</v>
      </c>
      <c r="P834" s="54" t="n">
        <f aca="false">IF(AND(E834&gt;=14400,K834&gt;0,L834&gt;0),1,0)</f>
        <v>1</v>
      </c>
      <c r="Q834" s="53" t="n">
        <f aca="false">IF(P834=1,F834/E834*MIN(L834/K834,1)*MIN(MAX(M834/L834,0),1),0)</f>
        <v>0.403716305683645</v>
      </c>
      <c r="R834" s="55" t="n">
        <f aca="false">IF(F834&gt;0,N834/(F834/3600),0)</f>
        <v>22.0957359135499</v>
      </c>
    </row>
    <row r="835" customFormat="false" ht="15" hidden="false" customHeight="false" outlineLevel="0" collapsed="false">
      <c r="A835" s="0" t="s">
        <v>259</v>
      </c>
      <c r="B835" s="52" t="n">
        <v>44224</v>
      </c>
      <c r="C835" s="0" t="n">
        <v>49793.014</v>
      </c>
      <c r="D835" s="0" t="n">
        <v>10055.859</v>
      </c>
      <c r="E835" s="0" t="n">
        <v>39737.155</v>
      </c>
      <c r="F835" s="0" t="n">
        <v>13213.689</v>
      </c>
      <c r="G835" s="0" t="n">
        <v>10134.961</v>
      </c>
      <c r="H835" s="0" t="n">
        <v>3078.728</v>
      </c>
      <c r="I835" s="0" t="n">
        <v>4856.081</v>
      </c>
      <c r="J835" s="0" t="n">
        <v>21667.385</v>
      </c>
      <c r="K835" s="0" t="n">
        <v>23138.06625</v>
      </c>
      <c r="L835" s="0" t="n">
        <v>17942</v>
      </c>
      <c r="M835" s="0" t="n">
        <v>17809</v>
      </c>
      <c r="N835" s="0" t="n">
        <v>61</v>
      </c>
      <c r="O835" s="54" t="n">
        <f aca="false">YEAR(B835)</f>
        <v>2021</v>
      </c>
      <c r="P835" s="54" t="n">
        <f aca="false">IF(AND(E835&gt;=14400,K835&gt;0,L835&gt;0),1,0)</f>
        <v>1</v>
      </c>
      <c r="Q835" s="53" t="n">
        <f aca="false">IF(P835=1,F835/E835*MIN(L835/K835,1)*MIN(MAX(M835/L835,0),1),0)</f>
        <v>0.255940953908496</v>
      </c>
      <c r="R835" s="55" t="n">
        <f aca="false">IF(F835&gt;0,N835/(F835/3600),0)</f>
        <v>16.6191288443371</v>
      </c>
    </row>
    <row r="836" customFormat="false" ht="15" hidden="false" customHeight="false" outlineLevel="0" collapsed="false">
      <c r="A836" s="0" t="s">
        <v>259</v>
      </c>
      <c r="B836" s="52" t="n">
        <v>44225</v>
      </c>
      <c r="C836" s="0" t="n">
        <v>42124.605</v>
      </c>
      <c r="D836" s="0" t="n">
        <v>10219.325</v>
      </c>
      <c r="E836" s="0" t="n">
        <v>31905.28</v>
      </c>
      <c r="F836" s="0" t="n">
        <v>11738.911</v>
      </c>
      <c r="G836" s="0" t="n">
        <v>10093.64</v>
      </c>
      <c r="H836" s="0" t="n">
        <v>1645.271</v>
      </c>
      <c r="I836" s="0" t="n">
        <v>2157.962</v>
      </c>
      <c r="J836" s="0" t="n">
        <v>18008.407</v>
      </c>
      <c r="K836" s="0" t="n">
        <v>20235.3513194444</v>
      </c>
      <c r="L836" s="0" t="n">
        <v>17719</v>
      </c>
      <c r="M836" s="0" t="n">
        <v>17667</v>
      </c>
      <c r="N836" s="0" t="n">
        <v>44</v>
      </c>
      <c r="O836" s="54" t="n">
        <f aca="false">YEAR(B836)</f>
        <v>2021</v>
      </c>
      <c r="P836" s="54" t="n">
        <f aca="false">IF(AND(E836&gt;=14400,K836&gt;0,L836&gt;0),1,0)</f>
        <v>1</v>
      </c>
      <c r="Q836" s="53" t="n">
        <f aca="false">IF(P836=1,F836/E836*MIN(L836/K836,1)*MIN(MAX(M836/L836,0),1),0)</f>
        <v>0.32123089654475</v>
      </c>
      <c r="R836" s="55" t="n">
        <f aca="false">IF(F836&gt;0,N836/(F836/3600),0)</f>
        <v>13.4935855634309</v>
      </c>
    </row>
    <row r="837" customFormat="false" ht="15" hidden="false" customHeight="false" outlineLevel="0" collapsed="false">
      <c r="A837" s="0" t="s">
        <v>259</v>
      </c>
      <c r="B837" s="52" t="n">
        <v>44226</v>
      </c>
      <c r="C837" s="0" t="n">
        <v>36019.324</v>
      </c>
      <c r="D837" s="0" t="n">
        <v>5668.1</v>
      </c>
      <c r="E837" s="0" t="n">
        <v>30351.224</v>
      </c>
      <c r="F837" s="0" t="n">
        <v>12023.997</v>
      </c>
      <c r="G837" s="0" t="n">
        <v>9500.04</v>
      </c>
      <c r="H837" s="0" t="n">
        <v>2523.957</v>
      </c>
      <c r="I837" s="0" t="n">
        <v>2880.049</v>
      </c>
      <c r="J837" s="0" t="n">
        <v>15447.178</v>
      </c>
      <c r="K837" s="0" t="n">
        <v>21709.9945833333</v>
      </c>
      <c r="L837" s="0" t="n">
        <v>17144</v>
      </c>
      <c r="M837" s="0" t="n">
        <v>17111</v>
      </c>
      <c r="N837" s="0" t="n">
        <v>15</v>
      </c>
      <c r="O837" s="54" t="n">
        <f aca="false">YEAR(B837)</f>
        <v>2021</v>
      </c>
      <c r="P837" s="54" t="n">
        <f aca="false">IF(AND(E837&gt;=14400,K837&gt;0,L837&gt;0),1,0)</f>
        <v>1</v>
      </c>
      <c r="Q837" s="53" t="n">
        <f aca="false">IF(P837=1,F837/E837*MIN(L837/K837,1)*MIN(MAX(M837/L837,0),1),0)</f>
        <v>0.312239847014458</v>
      </c>
      <c r="R837" s="55" t="n">
        <f aca="false">IF(F837&gt;0,N837/(F837/3600),0)</f>
        <v>4.4910190845856</v>
      </c>
    </row>
    <row r="838" customFormat="false" ht="15" hidden="false" customHeight="false" outlineLevel="0" collapsed="false">
      <c r="A838" s="0" t="s">
        <v>259</v>
      </c>
      <c r="B838" s="52" t="n">
        <v>44227</v>
      </c>
      <c r="C838" s="0" t="n">
        <v>13678.327</v>
      </c>
      <c r="D838" s="0" t="n">
        <v>4618.934</v>
      </c>
      <c r="E838" s="0" t="n">
        <v>9059.393</v>
      </c>
      <c r="F838" s="0" t="n">
        <v>2892.845</v>
      </c>
      <c r="G838" s="0" t="n">
        <v>2612.208</v>
      </c>
      <c r="H838" s="0" t="n">
        <v>280.637</v>
      </c>
      <c r="I838" s="0" t="n">
        <v>2099.741</v>
      </c>
      <c r="J838" s="0" t="n">
        <v>4066.807</v>
      </c>
      <c r="K838" s="0" t="n">
        <v>5223.19236111111</v>
      </c>
      <c r="L838" s="0" t="n">
        <v>4706</v>
      </c>
      <c r="M838" s="0" t="n">
        <v>4690</v>
      </c>
      <c r="N838" s="0" t="n">
        <v>5</v>
      </c>
      <c r="O838" s="54" t="n">
        <f aca="false">YEAR(B838)</f>
        <v>2021</v>
      </c>
      <c r="P838" s="54" t="n">
        <f aca="false">IF(AND(E838&gt;=14400,K838&gt;0,L838&gt;0),1,0)</f>
        <v>0</v>
      </c>
      <c r="Q838" s="53" t="n">
        <f aca="false">IF(P838=1,F838/E838*MIN(L838/K838,1)*MIN(MAX(M838/L838,0),1),0)</f>
        <v>0</v>
      </c>
      <c r="R838" s="55" t="n">
        <f aca="false">IF(F838&gt;0,N838/(F838/3600),0)</f>
        <v>6.22224834030168</v>
      </c>
    </row>
    <row r="839" customFormat="false" ht="15" hidden="false" customHeight="false" outlineLevel="0" collapsed="false">
      <c r="A839" s="0" t="s">
        <v>259</v>
      </c>
      <c r="B839" s="52" t="n">
        <v>44228</v>
      </c>
      <c r="C839" s="0" t="n">
        <v>25809.635</v>
      </c>
      <c r="D839" s="0" t="n">
        <v>8918.063</v>
      </c>
      <c r="E839" s="0" t="n">
        <v>16891.572</v>
      </c>
      <c r="F839" s="0" t="n">
        <v>6359.152</v>
      </c>
      <c r="G839" s="0" t="n">
        <v>5906.5</v>
      </c>
      <c r="H839" s="0" t="n">
        <v>452.652</v>
      </c>
      <c r="I839" s="0" t="n">
        <v>3103.241</v>
      </c>
      <c r="J839" s="0" t="n">
        <v>7429.179</v>
      </c>
      <c r="K839" s="0" t="n">
        <v>11481.8022222222</v>
      </c>
      <c r="L839" s="0" t="n">
        <v>10596</v>
      </c>
      <c r="M839" s="0" t="n">
        <v>10576</v>
      </c>
      <c r="N839" s="0" t="n">
        <v>20</v>
      </c>
      <c r="O839" s="54" t="n">
        <f aca="false">YEAR(B839)</f>
        <v>2021</v>
      </c>
      <c r="P839" s="54" t="n">
        <f aca="false">IF(AND(E839&gt;=14400,K839&gt;0,L839&gt;0),1,0)</f>
        <v>1</v>
      </c>
      <c r="Q839" s="53" t="n">
        <f aca="false">IF(P839=1,F839/E839*MIN(L839/K839,1)*MIN(MAX(M839/L839,0),1),0)</f>
        <v>0.346769200822571</v>
      </c>
      <c r="R839" s="55" t="n">
        <f aca="false">IF(F839&gt;0,N839/(F839/3600),0)</f>
        <v>11.3222643522281</v>
      </c>
    </row>
    <row r="840" customFormat="false" ht="15" hidden="false" customHeight="false" outlineLevel="0" collapsed="false">
      <c r="A840" s="0" t="s">
        <v>259</v>
      </c>
      <c r="B840" s="52" t="n">
        <v>44229</v>
      </c>
      <c r="C840" s="0" t="n">
        <v>53168.202</v>
      </c>
      <c r="D840" s="0" t="n">
        <v>19735.13</v>
      </c>
      <c r="E840" s="0" t="n">
        <v>33433.072</v>
      </c>
      <c r="F840" s="0" t="n">
        <v>16518.715</v>
      </c>
      <c r="G840" s="0" t="n">
        <v>12887.121</v>
      </c>
      <c r="H840" s="0" t="n">
        <v>3631.594</v>
      </c>
      <c r="I840" s="0" t="n">
        <v>4851.187</v>
      </c>
      <c r="J840" s="0" t="n">
        <v>12063.17</v>
      </c>
      <c r="K840" s="0" t="n">
        <v>29610.0490288889</v>
      </c>
      <c r="L840" s="0" t="n">
        <v>23003</v>
      </c>
      <c r="M840" s="0" t="n">
        <v>22916</v>
      </c>
      <c r="N840" s="0" t="n">
        <v>32</v>
      </c>
      <c r="O840" s="54" t="n">
        <f aca="false">YEAR(B840)</f>
        <v>2021</v>
      </c>
      <c r="P840" s="54" t="n">
        <f aca="false">IF(AND(E840&gt;=14400,K840&gt;0,L840&gt;0),1,0)</f>
        <v>1</v>
      </c>
      <c r="Q840" s="53" t="n">
        <f aca="false">IF(P840=1,F840/E840*MIN(L840/K840,1)*MIN(MAX(M840/L840,0),1),0)</f>
        <v>0.382383957609524</v>
      </c>
      <c r="R840" s="55" t="n">
        <f aca="false">IF(F840&gt;0,N840/(F840/3600),0)</f>
        <v>6.97390807941175</v>
      </c>
    </row>
    <row r="841" customFormat="false" ht="15" hidden="false" customHeight="false" outlineLevel="0" collapsed="false">
      <c r="A841" s="0" t="s">
        <v>259</v>
      </c>
      <c r="B841" s="52" t="n">
        <v>44230</v>
      </c>
      <c r="C841" s="0" t="n">
        <v>40255.701</v>
      </c>
      <c r="D841" s="0" t="n">
        <v>11481.84</v>
      </c>
      <c r="E841" s="0" t="n">
        <v>28773.861</v>
      </c>
      <c r="F841" s="0" t="n">
        <v>15064.389</v>
      </c>
      <c r="G841" s="0" t="n">
        <v>12607.094</v>
      </c>
      <c r="H841" s="0" t="n">
        <v>2457.295</v>
      </c>
      <c r="I841" s="0" t="n">
        <v>4182.629</v>
      </c>
      <c r="J841" s="0" t="n">
        <v>9526.843</v>
      </c>
      <c r="K841" s="0" t="n">
        <v>27053.09654</v>
      </c>
      <c r="L841" s="0" t="n">
        <v>22662</v>
      </c>
      <c r="M841" s="0" t="n">
        <v>22503</v>
      </c>
      <c r="N841" s="0" t="n">
        <v>34</v>
      </c>
      <c r="O841" s="54" t="n">
        <f aca="false">YEAR(B841)</f>
        <v>2021</v>
      </c>
      <c r="P841" s="54" t="n">
        <f aca="false">IF(AND(E841&gt;=14400,K841&gt;0,L841&gt;0),1,0)</f>
        <v>1</v>
      </c>
      <c r="Q841" s="53" t="n">
        <f aca="false">IF(P841=1,F841/E841*MIN(L841/K841,1)*MIN(MAX(M841/L841,0),1),0)</f>
        <v>0.435488627610663</v>
      </c>
      <c r="R841" s="55" t="n">
        <f aca="false">IF(F841&gt;0,N841/(F841/3600),0)</f>
        <v>8.12512210086981</v>
      </c>
    </row>
    <row r="842" customFormat="false" ht="15" hidden="false" customHeight="false" outlineLevel="0" collapsed="false">
      <c r="A842" s="0" t="s">
        <v>259</v>
      </c>
      <c r="B842" s="52" t="n">
        <v>44231</v>
      </c>
      <c r="C842" s="0" t="n">
        <v>49198.655</v>
      </c>
      <c r="D842" s="0" t="n">
        <v>10310.236</v>
      </c>
      <c r="E842" s="0" t="n">
        <v>38888.419</v>
      </c>
      <c r="F842" s="0" t="n">
        <v>16076.665</v>
      </c>
      <c r="G842" s="0" t="n">
        <v>12739.991</v>
      </c>
      <c r="H842" s="0" t="n">
        <v>3336.674</v>
      </c>
      <c r="I842" s="0" t="n">
        <v>5751.314</v>
      </c>
      <c r="J842" s="0" t="n">
        <v>17060.44</v>
      </c>
      <c r="K842" s="0" t="n">
        <v>28566.2659027778</v>
      </c>
      <c r="L842" s="0" t="n">
        <v>22598</v>
      </c>
      <c r="M842" s="0" t="n">
        <v>22513</v>
      </c>
      <c r="N842" s="0" t="n">
        <v>44</v>
      </c>
      <c r="O842" s="54" t="n">
        <f aca="false">YEAR(B842)</f>
        <v>2021</v>
      </c>
      <c r="P842" s="54" t="n">
        <f aca="false">IF(AND(E842&gt;=14400,K842&gt;0,L842&gt;0),1,0)</f>
        <v>1</v>
      </c>
      <c r="Q842" s="53" t="n">
        <f aca="false">IF(P842=1,F842/E842*MIN(L842/K842,1)*MIN(MAX(M842/L842,0),1),0)</f>
        <v>0.325803369674251</v>
      </c>
      <c r="R842" s="55" t="n">
        <f aca="false">IF(F842&gt;0,N842/(F842/3600),0)</f>
        <v>9.85278974215112</v>
      </c>
    </row>
    <row r="843" customFormat="false" ht="15" hidden="false" customHeight="false" outlineLevel="0" collapsed="false">
      <c r="A843" s="0" t="s">
        <v>259</v>
      </c>
      <c r="B843" s="52" t="n">
        <v>44232</v>
      </c>
      <c r="C843" s="0" t="n">
        <v>40755.985</v>
      </c>
      <c r="D843" s="0" t="n">
        <v>5671.84</v>
      </c>
      <c r="E843" s="0" t="n">
        <v>35084.145</v>
      </c>
      <c r="F843" s="0" t="n">
        <v>21590.104</v>
      </c>
      <c r="G843" s="0" t="n">
        <v>9925.204</v>
      </c>
      <c r="H843" s="0" t="n">
        <v>11664.9</v>
      </c>
      <c r="I843" s="0" t="n">
        <v>4424.753</v>
      </c>
      <c r="J843" s="0" t="n">
        <v>9069.288</v>
      </c>
      <c r="K843" s="0" t="n">
        <v>38930.6738888889</v>
      </c>
      <c r="L843" s="0" t="n">
        <v>17682</v>
      </c>
      <c r="M843" s="0" t="n">
        <v>17382</v>
      </c>
      <c r="N843" s="0" t="n">
        <v>46</v>
      </c>
      <c r="O843" s="54" t="n">
        <f aca="false">YEAR(B843)</f>
        <v>2021</v>
      </c>
      <c r="P843" s="54" t="n">
        <f aca="false">IF(AND(E843&gt;=14400,K843&gt;0,L843&gt;0),1,0)</f>
        <v>1</v>
      </c>
      <c r="Q843" s="53" t="n">
        <f aca="false">IF(P843=1,F843/E843*MIN(L843/K843,1)*MIN(MAX(M843/L843,0),1),0)</f>
        <v>0.274758831846204</v>
      </c>
      <c r="R843" s="55" t="n">
        <f aca="false">IF(F843&gt;0,N843/(F843/3600),0)</f>
        <v>7.6701807457713</v>
      </c>
    </row>
    <row r="844" customFormat="false" ht="15" hidden="false" customHeight="false" outlineLevel="0" collapsed="false">
      <c r="A844" s="0" t="s">
        <v>259</v>
      </c>
      <c r="B844" s="52" t="n">
        <v>44233</v>
      </c>
      <c r="C844" s="0" t="n">
        <v>26775.805</v>
      </c>
      <c r="D844" s="0" t="n">
        <v>10084.781</v>
      </c>
      <c r="E844" s="0" t="n">
        <v>16691.024</v>
      </c>
      <c r="F844" s="0" t="n">
        <v>9291.729</v>
      </c>
      <c r="G844" s="0" t="n">
        <v>8337.128</v>
      </c>
      <c r="H844" s="0" t="n">
        <v>954.601</v>
      </c>
      <c r="I844" s="0" t="n">
        <v>2148.868</v>
      </c>
      <c r="J844" s="0" t="n">
        <v>5250.427</v>
      </c>
      <c r="K844" s="0" t="n">
        <v>16776.7329166667</v>
      </c>
      <c r="L844" s="0" t="n">
        <v>15058</v>
      </c>
      <c r="M844" s="0" t="n">
        <v>15022</v>
      </c>
      <c r="N844" s="0" t="n">
        <v>13</v>
      </c>
      <c r="O844" s="54" t="n">
        <f aca="false">YEAR(B844)</f>
        <v>2021</v>
      </c>
      <c r="P844" s="54" t="n">
        <f aca="false">IF(AND(E844&gt;=14400,K844&gt;0,L844&gt;0),1,0)</f>
        <v>1</v>
      </c>
      <c r="Q844" s="53" t="n">
        <f aca="false">IF(P844=1,F844/E844*MIN(L844/K844,1)*MIN(MAX(M844/L844,0),1),0)</f>
        <v>0.498464139951924</v>
      </c>
      <c r="R844" s="55" t="n">
        <f aca="false">IF(F844&gt;0,N844/(F844/3600),0)</f>
        <v>5.0367375113932</v>
      </c>
    </row>
    <row r="845" customFormat="false" ht="15" hidden="false" customHeight="false" outlineLevel="0" collapsed="false">
      <c r="A845" s="0" t="s">
        <v>259</v>
      </c>
      <c r="B845" s="52" t="n">
        <v>44234</v>
      </c>
      <c r="C845" s="0" t="n">
        <v>12311.985</v>
      </c>
      <c r="D845" s="0" t="n">
        <v>4473.035</v>
      </c>
      <c r="E845" s="0" t="n">
        <v>7838.95</v>
      </c>
      <c r="F845" s="0" t="n">
        <v>3675.178</v>
      </c>
      <c r="G845" s="0" t="n">
        <v>3193.678</v>
      </c>
      <c r="H845" s="0" t="n">
        <v>481.5</v>
      </c>
      <c r="I845" s="0" t="n">
        <v>753.391</v>
      </c>
      <c r="J845" s="0" t="n">
        <v>3410.381</v>
      </c>
      <c r="K845" s="0" t="n">
        <v>6635.73805555556</v>
      </c>
      <c r="L845" s="0" t="n">
        <v>5712</v>
      </c>
      <c r="M845" s="0" t="n">
        <v>5676</v>
      </c>
      <c r="N845" s="0" t="n">
        <v>4</v>
      </c>
      <c r="O845" s="54" t="n">
        <f aca="false">YEAR(B845)</f>
        <v>2021</v>
      </c>
      <c r="P845" s="54" t="n">
        <f aca="false">IF(AND(E845&gt;=14400,K845&gt;0,L845&gt;0),1,0)</f>
        <v>0</v>
      </c>
      <c r="Q845" s="53" t="n">
        <f aca="false">IF(P845=1,F845/E845*MIN(L845/K845,1)*MIN(MAX(M845/L845,0),1),0)</f>
        <v>0</v>
      </c>
      <c r="R845" s="55" t="n">
        <f aca="false">IF(F845&gt;0,N845/(F845/3600),0)</f>
        <v>3.91817756854226</v>
      </c>
    </row>
    <row r="846" customFormat="false" ht="15" hidden="false" customHeight="false" outlineLevel="0" collapsed="false">
      <c r="A846" s="0" t="s">
        <v>259</v>
      </c>
      <c r="B846" s="52" t="n">
        <v>44235</v>
      </c>
      <c r="C846" s="0" t="n">
        <v>29135.534</v>
      </c>
      <c r="D846" s="0" t="n">
        <v>8300.407</v>
      </c>
      <c r="E846" s="0" t="n">
        <v>20835.127</v>
      </c>
      <c r="F846" s="0" t="n">
        <v>6104.707</v>
      </c>
      <c r="G846" s="0" t="n">
        <v>5195.566</v>
      </c>
      <c r="H846" s="0" t="n">
        <v>909.141</v>
      </c>
      <c r="I846" s="0" t="n">
        <v>1341</v>
      </c>
      <c r="J846" s="0" t="n">
        <v>13389.42</v>
      </c>
      <c r="K846" s="0" t="n">
        <v>11022.3876388889</v>
      </c>
      <c r="L846" s="0" t="n">
        <v>9440</v>
      </c>
      <c r="M846" s="0" t="n">
        <v>9380</v>
      </c>
      <c r="N846" s="0" t="n">
        <v>11</v>
      </c>
      <c r="O846" s="54" t="n">
        <f aca="false">YEAR(B846)</f>
        <v>2021</v>
      </c>
      <c r="P846" s="54" t="n">
        <f aca="false">IF(AND(E846&gt;=14400,K846&gt;0,L846&gt;0),1,0)</f>
        <v>1</v>
      </c>
      <c r="Q846" s="53" t="n">
        <f aca="false">IF(P846=1,F846/E846*MIN(L846/K846,1)*MIN(MAX(M846/L846,0),1),0)</f>
        <v>0.249342224939494</v>
      </c>
      <c r="R846" s="55" t="n">
        <f aca="false">IF(F846&gt;0,N846/(F846/3600),0)</f>
        <v>6.48679781027984</v>
      </c>
    </row>
    <row r="847" customFormat="false" ht="15" hidden="false" customHeight="false" outlineLevel="0" collapsed="false">
      <c r="A847" s="0" t="s">
        <v>259</v>
      </c>
      <c r="B847" s="52" t="n">
        <v>44236</v>
      </c>
      <c r="C847" s="0" t="n">
        <v>45241.981</v>
      </c>
      <c r="D847" s="0" t="n">
        <v>14538.432</v>
      </c>
      <c r="E847" s="0" t="n">
        <v>30703.549</v>
      </c>
      <c r="F847" s="0" t="n">
        <v>8346.687</v>
      </c>
      <c r="G847" s="0" t="n">
        <v>7842.351</v>
      </c>
      <c r="H847" s="0" t="n">
        <v>504.336</v>
      </c>
      <c r="I847" s="0" t="n">
        <v>3811.49</v>
      </c>
      <c r="J847" s="0" t="n">
        <v>18545.372</v>
      </c>
      <c r="K847" s="0" t="n">
        <v>15070.4070833333</v>
      </c>
      <c r="L847" s="0" t="n">
        <v>14104</v>
      </c>
      <c r="M847" s="0" t="n">
        <v>14040</v>
      </c>
      <c r="N847" s="0" t="n">
        <v>20</v>
      </c>
      <c r="O847" s="54" t="n">
        <f aca="false">YEAR(B847)</f>
        <v>2021</v>
      </c>
      <c r="P847" s="54" t="n">
        <f aca="false">IF(AND(E847&gt;=14400,K847&gt;0,L847&gt;0),1,0)</f>
        <v>1</v>
      </c>
      <c r="Q847" s="53" t="n">
        <f aca="false">IF(P847=1,F847/E847*MIN(L847/K847,1)*MIN(MAX(M847/L847,0),1),0)</f>
        <v>0.253260624691953</v>
      </c>
      <c r="R847" s="55" t="n">
        <f aca="false">IF(F847&gt;0,N847/(F847/3600),0)</f>
        <v>8.62617706881784</v>
      </c>
    </row>
    <row r="848" customFormat="false" ht="15" hidden="false" customHeight="false" outlineLevel="0" collapsed="false">
      <c r="A848" s="0" t="s">
        <v>259</v>
      </c>
      <c r="B848" s="52" t="n">
        <v>44237</v>
      </c>
      <c r="C848" s="0" t="n">
        <v>54294.051</v>
      </c>
      <c r="D848" s="0" t="n">
        <v>10286.548</v>
      </c>
      <c r="E848" s="0" t="n">
        <v>44007.503</v>
      </c>
      <c r="F848" s="0" t="n">
        <v>19492.605</v>
      </c>
      <c r="G848" s="0" t="n">
        <v>9679.817</v>
      </c>
      <c r="H848" s="0" t="n">
        <v>9812.788</v>
      </c>
      <c r="I848" s="0" t="n">
        <v>6137.834</v>
      </c>
      <c r="J848" s="0" t="n">
        <v>18377.064</v>
      </c>
      <c r="K848" s="0" t="n">
        <v>34695.0628194444</v>
      </c>
      <c r="L848" s="0" t="n">
        <v>17332</v>
      </c>
      <c r="M848" s="0" t="n">
        <v>17149</v>
      </c>
      <c r="N848" s="0" t="n">
        <v>37</v>
      </c>
      <c r="O848" s="54" t="n">
        <f aca="false">YEAR(B848)</f>
        <v>2021</v>
      </c>
      <c r="P848" s="54" t="n">
        <f aca="false">IF(AND(E848&gt;=14400,K848&gt;0,L848&gt;0),1,0)</f>
        <v>1</v>
      </c>
      <c r="Q848" s="53" t="n">
        <f aca="false">IF(P848=1,F848/E848*MIN(L848/K848,1)*MIN(MAX(M848/L848,0),1),0)</f>
        <v>0.218934537072119</v>
      </c>
      <c r="R848" s="55" t="n">
        <f aca="false">IF(F848&gt;0,N848/(F848/3600),0)</f>
        <v>6.83336065138549</v>
      </c>
    </row>
    <row r="849" customFormat="false" ht="15" hidden="false" customHeight="false" outlineLevel="0" collapsed="false">
      <c r="A849" s="0" t="s">
        <v>259</v>
      </c>
      <c r="B849" s="52" t="n">
        <v>44238</v>
      </c>
      <c r="C849" s="0" t="n">
        <v>49430.381</v>
      </c>
      <c r="D849" s="0" t="n">
        <v>10113.092</v>
      </c>
      <c r="E849" s="0" t="n">
        <v>39317.289</v>
      </c>
      <c r="F849" s="0" t="n">
        <v>14501.808</v>
      </c>
      <c r="G849" s="0" t="n">
        <v>10236.789</v>
      </c>
      <c r="H849" s="0" t="n">
        <v>4265.019</v>
      </c>
      <c r="I849" s="0" t="n">
        <v>5562.011</v>
      </c>
      <c r="J849" s="0" t="n">
        <v>19253.47</v>
      </c>
      <c r="K849" s="0" t="n">
        <v>22401.3002777778</v>
      </c>
      <c r="L849" s="0" t="n">
        <v>15582</v>
      </c>
      <c r="M849" s="0" t="n">
        <v>15372</v>
      </c>
      <c r="N849" s="0" t="n">
        <v>27</v>
      </c>
      <c r="O849" s="54" t="n">
        <f aca="false">YEAR(B849)</f>
        <v>2021</v>
      </c>
      <c r="P849" s="54" t="n">
        <f aca="false">IF(AND(E849&gt;=14400,K849&gt;0,L849&gt;0),1,0)</f>
        <v>1</v>
      </c>
      <c r="Q849" s="53" t="n">
        <f aca="false">IF(P849=1,F849/E849*MIN(L849/K849,1)*MIN(MAX(M849/L849,0),1),0)</f>
        <v>0.253102091715529</v>
      </c>
      <c r="R849" s="55" t="n">
        <f aca="false">IF(F849&gt;0,N849/(F849/3600),0)</f>
        <v>6.70261252941702</v>
      </c>
    </row>
    <row r="850" customFormat="false" ht="15" hidden="false" customHeight="false" outlineLevel="0" collapsed="false">
      <c r="A850" s="0" t="s">
        <v>259</v>
      </c>
      <c r="B850" s="52" t="n">
        <v>44239</v>
      </c>
      <c r="C850" s="0" t="n">
        <v>65067.127</v>
      </c>
      <c r="D850" s="0" t="n">
        <v>5728.249</v>
      </c>
      <c r="E850" s="0" t="n">
        <v>59338.878</v>
      </c>
      <c r="F850" s="0" t="n">
        <v>19610.571</v>
      </c>
      <c r="G850" s="0" t="n">
        <v>13964.966</v>
      </c>
      <c r="H850" s="0" t="n">
        <v>5645.605</v>
      </c>
      <c r="I850" s="0" t="n">
        <v>9057.664</v>
      </c>
      <c r="J850" s="0" t="n">
        <v>30670.643</v>
      </c>
      <c r="K850" s="0" t="n">
        <v>35407.9754166667</v>
      </c>
      <c r="L850" s="0" t="n">
        <v>25214</v>
      </c>
      <c r="M850" s="0" t="n">
        <v>25156</v>
      </c>
      <c r="N850" s="0" t="n">
        <v>51</v>
      </c>
      <c r="O850" s="54" t="n">
        <f aca="false">YEAR(B850)</f>
        <v>2021</v>
      </c>
      <c r="P850" s="54" t="n">
        <f aca="false">IF(AND(E850&gt;=14400,K850&gt;0,L850&gt;0),1,0)</f>
        <v>1</v>
      </c>
      <c r="Q850" s="53" t="n">
        <f aca="false">IF(P850=1,F850/E850*MIN(L850/K850,1)*MIN(MAX(M850/L850,0),1),0)</f>
        <v>0.234796381659826</v>
      </c>
      <c r="R850" s="55" t="n">
        <f aca="false">IF(F850&gt;0,N850/(F850/3600),0)</f>
        <v>9.36229750780842</v>
      </c>
    </row>
    <row r="851" customFormat="false" ht="15" hidden="false" customHeight="false" outlineLevel="0" collapsed="false">
      <c r="A851" s="0" t="s">
        <v>259</v>
      </c>
      <c r="B851" s="52" t="n">
        <v>44240</v>
      </c>
      <c r="C851" s="0" t="n">
        <v>34758.306</v>
      </c>
      <c r="D851" s="0" t="n">
        <v>10369.469</v>
      </c>
      <c r="E851" s="0" t="n">
        <v>24388.837</v>
      </c>
      <c r="F851" s="0" t="n">
        <v>12336.513</v>
      </c>
      <c r="G851" s="0" t="n">
        <v>8508.265</v>
      </c>
      <c r="H851" s="0" t="n">
        <v>3828.248</v>
      </c>
      <c r="I851" s="0" t="n">
        <v>932.012</v>
      </c>
      <c r="J851" s="0" t="n">
        <v>11120.312</v>
      </c>
      <c r="K851" s="0" t="n">
        <v>21753.6498388889</v>
      </c>
      <c r="L851" s="0" t="n">
        <v>15434</v>
      </c>
      <c r="M851" s="0" t="n">
        <v>15350</v>
      </c>
      <c r="N851" s="0" t="n">
        <v>11</v>
      </c>
      <c r="O851" s="54" t="n">
        <f aca="false">YEAR(B851)</f>
        <v>2021</v>
      </c>
      <c r="P851" s="54" t="n">
        <f aca="false">IF(AND(E851&gt;=14400,K851&gt;0,L851&gt;0),1,0)</f>
        <v>1</v>
      </c>
      <c r="Q851" s="53" t="n">
        <f aca="false">IF(P851=1,F851/E851*MIN(L851/K851,1)*MIN(MAX(M851/L851,0),1),0)</f>
        <v>0.356925499389982</v>
      </c>
      <c r="R851" s="55" t="n">
        <f aca="false">IF(F851&gt;0,N851/(F851/3600),0)</f>
        <v>3.20998324242839</v>
      </c>
    </row>
    <row r="852" customFormat="false" ht="15" hidden="false" customHeight="false" outlineLevel="0" collapsed="false">
      <c r="A852" s="0" t="s">
        <v>259</v>
      </c>
      <c r="B852" s="52" t="n">
        <v>44241</v>
      </c>
      <c r="C852" s="0" t="n">
        <v>8637.292</v>
      </c>
      <c r="D852" s="0" t="n">
        <v>4146.804</v>
      </c>
      <c r="E852" s="0" t="n">
        <v>4490.488</v>
      </c>
      <c r="F852" s="0" t="n">
        <v>10.53</v>
      </c>
      <c r="G852" s="0" t="n">
        <v>0</v>
      </c>
      <c r="H852" s="0" t="n">
        <v>10.53</v>
      </c>
      <c r="I852" s="0" t="n">
        <v>0</v>
      </c>
      <c r="J852" s="0" t="n">
        <v>4479.958</v>
      </c>
      <c r="K852" s="0" t="n">
        <v>19.0125</v>
      </c>
      <c r="L852" s="0" t="n">
        <v>0</v>
      </c>
      <c r="M852" s="0" t="n">
        <v>0</v>
      </c>
      <c r="N852" s="0" t="n">
        <v>0</v>
      </c>
      <c r="O852" s="54" t="n">
        <f aca="false">YEAR(B852)</f>
        <v>2021</v>
      </c>
      <c r="P852" s="54" t="n">
        <f aca="false">IF(AND(E852&gt;=14400,K852&gt;0,L852&gt;0),1,0)</f>
        <v>0</v>
      </c>
      <c r="Q852" s="53" t="n">
        <f aca="false">IF(P852=1,F852/E852*MIN(L852/K852,1)*MIN(MAX(M852/L852,0),1),0)</f>
        <v>0</v>
      </c>
      <c r="R852" s="55" t="n">
        <f aca="false">IF(F852&gt;0,N852/(F852/3600),0)</f>
        <v>0</v>
      </c>
    </row>
    <row r="853" customFormat="false" ht="15" hidden="false" customHeight="false" outlineLevel="0" collapsed="false">
      <c r="A853" s="0" t="s">
        <v>259</v>
      </c>
      <c r="B853" s="52" t="n">
        <v>44242</v>
      </c>
      <c r="C853" s="0" t="n">
        <v>27763.631</v>
      </c>
      <c r="D853" s="0" t="n">
        <v>8439.008</v>
      </c>
      <c r="E853" s="0" t="n">
        <v>19324.623</v>
      </c>
      <c r="F853" s="0" t="n">
        <v>6818.338</v>
      </c>
      <c r="G853" s="0" t="n">
        <v>6456.088</v>
      </c>
      <c r="H853" s="0" t="n">
        <v>362.25</v>
      </c>
      <c r="I853" s="0" t="n">
        <v>1021.549</v>
      </c>
      <c r="J853" s="0" t="n">
        <v>11484.736</v>
      </c>
      <c r="K853" s="0" t="n">
        <v>12310.8880555556</v>
      </c>
      <c r="L853" s="0" t="n">
        <v>11587</v>
      </c>
      <c r="M853" s="0" t="n">
        <v>11567</v>
      </c>
      <c r="N853" s="0" t="n">
        <v>14</v>
      </c>
      <c r="O853" s="54" t="n">
        <f aca="false">YEAR(B853)</f>
        <v>2021</v>
      </c>
      <c r="P853" s="54" t="n">
        <f aca="false">IF(AND(E853&gt;=14400,K853&gt;0,L853&gt;0),1,0)</f>
        <v>1</v>
      </c>
      <c r="Q853" s="53" t="n">
        <f aca="false">IF(P853=1,F853/E853*MIN(L853/K853,1)*MIN(MAX(M853/L853,0),1),0)</f>
        <v>0.33151169166604</v>
      </c>
      <c r="R853" s="55" t="n">
        <f aca="false">IF(F853&gt;0,N853/(F853/3600),0)</f>
        <v>7.39183067779861</v>
      </c>
    </row>
    <row r="854" customFormat="false" ht="15" hidden="false" customHeight="false" outlineLevel="0" collapsed="false">
      <c r="A854" s="0" t="s">
        <v>259</v>
      </c>
      <c r="B854" s="52" t="n">
        <v>44243</v>
      </c>
      <c r="C854" s="0" t="n">
        <v>44962.474</v>
      </c>
      <c r="D854" s="0" t="n">
        <v>19528.244</v>
      </c>
      <c r="E854" s="0" t="n">
        <v>25434.23</v>
      </c>
      <c r="F854" s="0" t="n">
        <v>12743.064</v>
      </c>
      <c r="G854" s="0" t="n">
        <v>10571.055</v>
      </c>
      <c r="H854" s="0" t="n">
        <v>2172.009</v>
      </c>
      <c r="I854" s="0" t="n">
        <v>6046.805</v>
      </c>
      <c r="J854" s="0" t="n">
        <v>6644.361</v>
      </c>
      <c r="K854" s="0" t="n">
        <v>22326.0618</v>
      </c>
      <c r="L854" s="0" t="n">
        <v>18465</v>
      </c>
      <c r="M854" s="0" t="n">
        <v>18269</v>
      </c>
      <c r="N854" s="0" t="n">
        <v>35</v>
      </c>
      <c r="O854" s="54" t="n">
        <f aca="false">YEAR(B854)</f>
        <v>2021</v>
      </c>
      <c r="P854" s="54" t="n">
        <f aca="false">IF(AND(E854&gt;=14400,K854&gt;0,L854&gt;0),1,0)</f>
        <v>1</v>
      </c>
      <c r="Q854" s="53" t="n">
        <f aca="false">IF(P854=1,F854/E854*MIN(L854/K854,1)*MIN(MAX(M854/L854,0),1),0)</f>
        <v>0.40997551798613</v>
      </c>
      <c r="R854" s="55" t="n">
        <f aca="false">IF(F854&gt;0,N854/(F854/3600),0)</f>
        <v>9.88773186731229</v>
      </c>
    </row>
    <row r="855" customFormat="false" ht="15" hidden="false" customHeight="false" outlineLevel="0" collapsed="false">
      <c r="A855" s="0" t="s">
        <v>259</v>
      </c>
      <c r="B855" s="52" t="n">
        <v>44244</v>
      </c>
      <c r="C855" s="0" t="n">
        <v>36589.566</v>
      </c>
      <c r="D855" s="0" t="n">
        <v>10736.67</v>
      </c>
      <c r="E855" s="0" t="n">
        <v>25852.896</v>
      </c>
      <c r="F855" s="0" t="n">
        <v>12777.86</v>
      </c>
      <c r="G855" s="0" t="n">
        <v>11017.009</v>
      </c>
      <c r="H855" s="0" t="n">
        <v>1760.851</v>
      </c>
      <c r="I855" s="0" t="n">
        <v>3897.75</v>
      </c>
      <c r="J855" s="0" t="n">
        <v>9177.286</v>
      </c>
      <c r="K855" s="0" t="n">
        <v>23071.1361111111</v>
      </c>
      <c r="L855" s="0" t="n">
        <v>19699</v>
      </c>
      <c r="M855" s="0" t="n">
        <v>19653</v>
      </c>
      <c r="N855" s="0" t="n">
        <v>41</v>
      </c>
      <c r="O855" s="54" t="n">
        <f aca="false">YEAR(B855)</f>
        <v>2021</v>
      </c>
      <c r="P855" s="54" t="n">
        <f aca="false">IF(AND(E855&gt;=14400,K855&gt;0,L855&gt;0),1,0)</f>
        <v>1</v>
      </c>
      <c r="Q855" s="53" t="n">
        <f aca="false">IF(P855=1,F855/E855*MIN(L855/K855,1)*MIN(MAX(M855/L855,0),1),0)</f>
        <v>0.421025886675847</v>
      </c>
      <c r="R855" s="55" t="n">
        <f aca="false">IF(F855&gt;0,N855/(F855/3600),0)</f>
        <v>11.5512300181721</v>
      </c>
    </row>
    <row r="856" customFormat="false" ht="15" hidden="false" customHeight="false" outlineLevel="0" collapsed="false">
      <c r="A856" s="0" t="s">
        <v>259</v>
      </c>
      <c r="B856" s="52" t="n">
        <v>44245</v>
      </c>
      <c r="C856" s="0" t="n">
        <v>38979.508</v>
      </c>
      <c r="D856" s="0" t="n">
        <v>9686.267</v>
      </c>
      <c r="E856" s="0" t="n">
        <v>29293.241</v>
      </c>
      <c r="F856" s="0" t="n">
        <v>10900.936</v>
      </c>
      <c r="G856" s="0" t="n">
        <v>9462.021</v>
      </c>
      <c r="H856" s="0" t="n">
        <v>1438.915</v>
      </c>
      <c r="I856" s="0" t="n">
        <v>2719.005</v>
      </c>
      <c r="J856" s="0" t="n">
        <v>15673.3</v>
      </c>
      <c r="K856" s="0" t="n">
        <v>19610.9983333333</v>
      </c>
      <c r="L856" s="0" t="n">
        <v>16977</v>
      </c>
      <c r="M856" s="0" t="n">
        <v>16922</v>
      </c>
      <c r="N856" s="0" t="n">
        <v>39</v>
      </c>
      <c r="O856" s="54" t="n">
        <f aca="false">YEAR(B856)</f>
        <v>2021</v>
      </c>
      <c r="P856" s="54" t="n">
        <f aca="false">IF(AND(E856&gt;=14400,K856&gt;0,L856&gt;0),1,0)</f>
        <v>1</v>
      </c>
      <c r="Q856" s="53" t="n">
        <f aca="false">IF(P856=1,F856/E856*MIN(L856/K856,1)*MIN(MAX(M856/L856,0),1),0)</f>
        <v>0.321105950155887</v>
      </c>
      <c r="R856" s="55" t="n">
        <f aca="false">IF(F856&gt;0,N856/(F856/3600),0)</f>
        <v>12.8796279512145</v>
      </c>
    </row>
    <row r="857" customFormat="false" ht="15" hidden="false" customHeight="false" outlineLevel="0" collapsed="false">
      <c r="A857" s="0" t="s">
        <v>259</v>
      </c>
      <c r="B857" s="52" t="n">
        <v>44246</v>
      </c>
      <c r="C857" s="0" t="n">
        <v>28528.963</v>
      </c>
      <c r="D857" s="0" t="n">
        <v>5741.053</v>
      </c>
      <c r="E857" s="0" t="n">
        <v>22787.91</v>
      </c>
      <c r="F857" s="0" t="n">
        <v>6349.969</v>
      </c>
      <c r="G857" s="0" t="n">
        <v>6124.959</v>
      </c>
      <c r="H857" s="0" t="n">
        <v>225.01</v>
      </c>
      <c r="I857" s="0" t="n">
        <v>3381.288</v>
      </c>
      <c r="J857" s="0" t="n">
        <v>13056.653</v>
      </c>
      <c r="K857" s="0" t="n">
        <v>11465.2218055556</v>
      </c>
      <c r="L857" s="0" t="n">
        <v>11041</v>
      </c>
      <c r="M857" s="0" t="n">
        <v>11043</v>
      </c>
      <c r="N857" s="0" t="n">
        <v>18</v>
      </c>
      <c r="O857" s="54" t="n">
        <f aca="false">YEAR(B857)</f>
        <v>2021</v>
      </c>
      <c r="P857" s="54" t="n">
        <f aca="false">IF(AND(E857&gt;=14400,K857&gt;0,L857&gt;0),1,0)</f>
        <v>1</v>
      </c>
      <c r="Q857" s="53" t="n">
        <f aca="false">IF(P857=1,F857/E857*MIN(L857/K857,1)*MIN(MAX(M857/L857,0),1),0)</f>
        <v>0.268344722469739</v>
      </c>
      <c r="R857" s="55" t="n">
        <f aca="false">IF(F857&gt;0,N857/(F857/3600),0)</f>
        <v>10.2047742280317</v>
      </c>
    </row>
    <row r="858" customFormat="false" ht="15" hidden="false" customHeight="false" outlineLevel="0" collapsed="false">
      <c r="A858" s="0" t="s">
        <v>259</v>
      </c>
      <c r="B858" s="52" t="n">
        <v>44247</v>
      </c>
      <c r="C858" s="0" t="n">
        <v>1590.15</v>
      </c>
      <c r="D858" s="0" t="n">
        <v>0</v>
      </c>
      <c r="E858" s="0" t="n">
        <v>1590.15</v>
      </c>
      <c r="F858" s="0" t="n">
        <v>48.74</v>
      </c>
      <c r="G858" s="0" t="n">
        <v>0</v>
      </c>
      <c r="H858" s="0" t="n">
        <v>48.74</v>
      </c>
      <c r="I858" s="0" t="n">
        <v>0</v>
      </c>
      <c r="J858" s="0" t="n">
        <v>1541.41</v>
      </c>
      <c r="K858" s="0" t="n">
        <v>88.0027777777778</v>
      </c>
      <c r="L858" s="0" t="n">
        <v>0</v>
      </c>
      <c r="M858" s="0" t="n">
        <v>0</v>
      </c>
      <c r="N858" s="0" t="n">
        <v>0</v>
      </c>
      <c r="O858" s="54" t="n">
        <f aca="false">YEAR(B858)</f>
        <v>2021</v>
      </c>
      <c r="P858" s="54" t="n">
        <f aca="false">IF(AND(E858&gt;=14400,K858&gt;0,L858&gt;0),1,0)</f>
        <v>0</v>
      </c>
      <c r="Q858" s="53" t="n">
        <f aca="false">IF(P858=1,F858/E858*MIN(L858/K858,1)*MIN(MAX(M858/L858,0),1),0)</f>
        <v>0</v>
      </c>
      <c r="R858" s="55" t="n">
        <f aca="false">IF(F858&gt;0,N858/(F858/3600),0)</f>
        <v>0</v>
      </c>
    </row>
    <row r="859" customFormat="false" ht="15" hidden="false" customHeight="false" outlineLevel="0" collapsed="false">
      <c r="A859" s="0" t="s">
        <v>259</v>
      </c>
      <c r="B859" s="52" t="n">
        <v>44248</v>
      </c>
      <c r="C859" s="0" t="n">
        <v>23960.853</v>
      </c>
      <c r="D859" s="0" t="n">
        <v>13983.791</v>
      </c>
      <c r="E859" s="0" t="n">
        <v>9977.062</v>
      </c>
      <c r="F859" s="0" t="n">
        <v>4516.537</v>
      </c>
      <c r="G859" s="0" t="n">
        <v>4156.827</v>
      </c>
      <c r="H859" s="0" t="n">
        <v>359.71</v>
      </c>
      <c r="I859" s="0" t="n">
        <v>3100.685</v>
      </c>
      <c r="J859" s="0" t="n">
        <v>2359.84</v>
      </c>
      <c r="K859" s="0" t="n">
        <v>8154.85847222222</v>
      </c>
      <c r="L859" s="0" t="n">
        <v>7437</v>
      </c>
      <c r="M859" s="0" t="n">
        <v>7405</v>
      </c>
      <c r="N859" s="0" t="n">
        <v>9</v>
      </c>
      <c r="O859" s="54" t="n">
        <f aca="false">YEAR(B859)</f>
        <v>2021</v>
      </c>
      <c r="P859" s="54" t="n">
        <f aca="false">IF(AND(E859&gt;=14400,K859&gt;0,L859&gt;0),1,0)</f>
        <v>0</v>
      </c>
      <c r="Q859" s="53" t="n">
        <f aca="false">IF(P859=1,F859/E859*MIN(L859/K859,1)*MIN(MAX(M859/L859,0),1),0)</f>
        <v>0</v>
      </c>
      <c r="R859" s="55" t="n">
        <f aca="false">IF(F859&gt;0,N859/(F859/3600),0)</f>
        <v>7.17363767860199</v>
      </c>
    </row>
    <row r="860" customFormat="false" ht="15" hidden="false" customHeight="false" outlineLevel="0" collapsed="false">
      <c r="A860" s="0" t="s">
        <v>259</v>
      </c>
      <c r="B860" s="52" t="n">
        <v>44249</v>
      </c>
      <c r="C860" s="0" t="n">
        <v>29655.965</v>
      </c>
      <c r="D860" s="0" t="n">
        <v>9710.483</v>
      </c>
      <c r="E860" s="0" t="n">
        <v>19945.482</v>
      </c>
      <c r="F860" s="0" t="n">
        <v>5420.416</v>
      </c>
      <c r="G860" s="0" t="n">
        <v>5293.916</v>
      </c>
      <c r="H860" s="0" t="n">
        <v>126.5</v>
      </c>
      <c r="I860" s="0" t="n">
        <v>1590.899</v>
      </c>
      <c r="J860" s="0" t="n">
        <v>12934.167</v>
      </c>
      <c r="K860" s="0" t="n">
        <v>9786.86222222222</v>
      </c>
      <c r="L860" s="0" t="n">
        <v>9590</v>
      </c>
      <c r="M860" s="0" t="n">
        <v>9574</v>
      </c>
      <c r="N860" s="0" t="n">
        <v>10</v>
      </c>
      <c r="O860" s="54" t="n">
        <f aca="false">YEAR(B860)</f>
        <v>2021</v>
      </c>
      <c r="P860" s="54" t="n">
        <f aca="false">IF(AND(E860&gt;=14400,K860&gt;0,L860&gt;0),1,0)</f>
        <v>1</v>
      </c>
      <c r="Q860" s="53" t="n">
        <f aca="false">IF(P860=1,F860/E860*MIN(L860/K860,1)*MIN(MAX(M860/L860,0),1),0)</f>
        <v>0.265850836641756</v>
      </c>
      <c r="R860" s="55" t="n">
        <f aca="false">IF(F860&gt;0,N860/(F860/3600),0)</f>
        <v>6.64155666280964</v>
      </c>
    </row>
    <row r="861" customFormat="false" ht="15" hidden="false" customHeight="false" outlineLevel="0" collapsed="false">
      <c r="A861" s="0" t="s">
        <v>259</v>
      </c>
      <c r="B861" s="52" t="n">
        <v>44250</v>
      </c>
      <c r="C861" s="0" t="n">
        <v>38848.607</v>
      </c>
      <c r="D861" s="0" t="n">
        <v>10842.281</v>
      </c>
      <c r="E861" s="0" t="n">
        <v>28006.326</v>
      </c>
      <c r="F861" s="0" t="n">
        <v>8642.36</v>
      </c>
      <c r="G861" s="0" t="n">
        <v>7904.013</v>
      </c>
      <c r="H861" s="0" t="n">
        <v>738.347</v>
      </c>
      <c r="I861" s="0" t="n">
        <v>11390.422</v>
      </c>
      <c r="J861" s="0" t="n">
        <v>7973.544</v>
      </c>
      <c r="K861" s="0" t="n">
        <v>15604.2611111111</v>
      </c>
      <c r="L861" s="0" t="n">
        <v>14267</v>
      </c>
      <c r="M861" s="0" t="n">
        <v>14201</v>
      </c>
      <c r="N861" s="0" t="n">
        <v>25</v>
      </c>
      <c r="O861" s="54" t="n">
        <f aca="false">YEAR(B861)</f>
        <v>2021</v>
      </c>
      <c r="P861" s="54" t="n">
        <f aca="false">IF(AND(E861&gt;=14400,K861&gt;0,L861&gt;0),1,0)</f>
        <v>1</v>
      </c>
      <c r="Q861" s="53" t="n">
        <f aca="false">IF(P861=1,F861/E861*MIN(L861/K861,1)*MIN(MAX(M861/L861,0),1),0)</f>
        <v>0.280835452346346</v>
      </c>
      <c r="R861" s="55" t="n">
        <f aca="false">IF(F861&gt;0,N861/(F861/3600),0)</f>
        <v>10.4138221504311</v>
      </c>
    </row>
    <row r="862" customFormat="false" ht="15" hidden="false" customHeight="false" outlineLevel="0" collapsed="false">
      <c r="A862" s="0" t="s">
        <v>259</v>
      </c>
      <c r="B862" s="52" t="n">
        <v>44251</v>
      </c>
      <c r="C862" s="0" t="n">
        <v>46003.211</v>
      </c>
      <c r="D862" s="0" t="n">
        <v>14738.509</v>
      </c>
      <c r="E862" s="0" t="n">
        <v>31264.702</v>
      </c>
      <c r="F862" s="0" t="n">
        <v>15778.909</v>
      </c>
      <c r="G862" s="0" t="n">
        <v>13083.688</v>
      </c>
      <c r="H862" s="0" t="n">
        <v>2695.221</v>
      </c>
      <c r="I862" s="0" t="n">
        <v>2340.858</v>
      </c>
      <c r="J862" s="0" t="n">
        <v>13144.935</v>
      </c>
      <c r="K862" s="0" t="n">
        <v>27966.9631944444</v>
      </c>
      <c r="L862" s="0" t="n">
        <v>23381</v>
      </c>
      <c r="M862" s="0" t="n">
        <v>23283</v>
      </c>
      <c r="N862" s="0" t="n">
        <v>38</v>
      </c>
      <c r="O862" s="54" t="n">
        <f aca="false">YEAR(B862)</f>
        <v>2021</v>
      </c>
      <c r="P862" s="54" t="n">
        <f aca="false">IF(AND(E862&gt;=14400,K862&gt;0,L862&gt;0),1,0)</f>
        <v>1</v>
      </c>
      <c r="Q862" s="53" t="n">
        <f aca="false">IF(P862=1,F862/E862*MIN(L862/K862,1)*MIN(MAX(M862/L862,0),1),0)</f>
        <v>0.420161548749503</v>
      </c>
      <c r="R862" s="55" t="n">
        <f aca="false">IF(F862&gt;0,N862/(F862/3600),0)</f>
        <v>8.66980093490621</v>
      </c>
    </row>
    <row r="863" customFormat="false" ht="15" hidden="false" customHeight="false" outlineLevel="0" collapsed="false">
      <c r="A863" s="0" t="s">
        <v>259</v>
      </c>
      <c r="B863" s="52" t="n">
        <v>44252</v>
      </c>
      <c r="C863" s="0" t="n">
        <v>34382.304</v>
      </c>
      <c r="D863" s="0" t="n">
        <v>11786.828</v>
      </c>
      <c r="E863" s="0" t="n">
        <v>22595.476</v>
      </c>
      <c r="F863" s="0" t="n">
        <v>8426.868</v>
      </c>
      <c r="G863" s="0" t="n">
        <v>4855.628</v>
      </c>
      <c r="H863" s="0" t="n">
        <v>3571.24</v>
      </c>
      <c r="I863" s="0" t="n">
        <v>5623.741</v>
      </c>
      <c r="J863" s="0" t="n">
        <v>8544.867</v>
      </c>
      <c r="K863" s="0" t="n">
        <v>14992.2825</v>
      </c>
      <c r="L863" s="0" t="n">
        <v>8699</v>
      </c>
      <c r="M863" s="0" t="n">
        <v>8642</v>
      </c>
      <c r="N863" s="0" t="n">
        <v>22</v>
      </c>
      <c r="O863" s="54" t="n">
        <f aca="false">YEAR(B863)</f>
        <v>2021</v>
      </c>
      <c r="P863" s="54" t="n">
        <f aca="false">IF(AND(E863&gt;=14400,K863&gt;0,L863&gt;0),1,0)</f>
        <v>1</v>
      </c>
      <c r="Q863" s="53" t="n">
        <f aca="false">IF(P863=1,F863/E863*MIN(L863/K863,1)*MIN(MAX(M863/L863,0),1),0)</f>
        <v>0.214976605648776</v>
      </c>
      <c r="R863" s="55" t="n">
        <f aca="false">IF(F863&gt;0,N863/(F863/3600),0)</f>
        <v>9.39850962421626</v>
      </c>
    </row>
    <row r="864" customFormat="false" ht="15" hidden="false" customHeight="false" outlineLevel="0" collapsed="false">
      <c r="A864" s="0" t="s">
        <v>259</v>
      </c>
      <c r="B864" s="52" t="n">
        <v>44253</v>
      </c>
      <c r="C864" s="0" t="n">
        <v>38304.821</v>
      </c>
      <c r="D864" s="0" t="n">
        <v>9229.29</v>
      </c>
      <c r="E864" s="0" t="n">
        <v>29075.531</v>
      </c>
      <c r="F864" s="0" t="n">
        <v>11574.504</v>
      </c>
      <c r="G864" s="0" t="n">
        <v>9567.358</v>
      </c>
      <c r="H864" s="0" t="n">
        <v>2007.146</v>
      </c>
      <c r="I864" s="0" t="n">
        <v>4559.604</v>
      </c>
      <c r="J864" s="0" t="n">
        <v>12941.423</v>
      </c>
      <c r="K864" s="0" t="n">
        <v>20898.41</v>
      </c>
      <c r="L864" s="0" t="n">
        <v>17227</v>
      </c>
      <c r="M864" s="0" t="n">
        <v>17165</v>
      </c>
      <c r="N864" s="0" t="n">
        <v>34</v>
      </c>
      <c r="O864" s="54" t="n">
        <f aca="false">YEAR(B864)</f>
        <v>2021</v>
      </c>
      <c r="P864" s="54" t="n">
        <f aca="false">IF(AND(E864&gt;=14400,K864&gt;0,L864&gt;0),1,0)</f>
        <v>1</v>
      </c>
      <c r="Q864" s="53" t="n">
        <f aca="false">IF(P864=1,F864/E864*MIN(L864/K864,1)*MIN(MAX(M864/L864,0),1),0)</f>
        <v>0.326968034763294</v>
      </c>
      <c r="R864" s="55" t="n">
        <f aca="false">IF(F864&gt;0,N864/(F864/3600),0)</f>
        <v>10.5749671864989</v>
      </c>
    </row>
    <row r="865" customFormat="false" ht="15" hidden="false" customHeight="false" outlineLevel="0" collapsed="false">
      <c r="A865" s="0" t="s">
        <v>259</v>
      </c>
      <c r="B865" s="52" t="n">
        <v>44254</v>
      </c>
      <c r="C865" s="0" t="n">
        <v>24521.123</v>
      </c>
      <c r="D865" s="0" t="n">
        <v>7332.371</v>
      </c>
      <c r="E865" s="0" t="n">
        <v>17188.752</v>
      </c>
      <c r="F865" s="0" t="n">
        <v>5235.311</v>
      </c>
      <c r="G865" s="0" t="n">
        <v>4321.671</v>
      </c>
      <c r="H865" s="0" t="n">
        <v>913.64</v>
      </c>
      <c r="I865" s="0" t="n">
        <v>2474.404</v>
      </c>
      <c r="J865" s="0" t="n">
        <v>9479.037</v>
      </c>
      <c r="K865" s="0" t="n">
        <v>9452.64486111111</v>
      </c>
      <c r="L865" s="0" t="n">
        <v>7826</v>
      </c>
      <c r="M865" s="0" t="n">
        <v>7772</v>
      </c>
      <c r="N865" s="0" t="n">
        <v>12</v>
      </c>
      <c r="O865" s="54" t="n">
        <f aca="false">YEAR(B865)</f>
        <v>2021</v>
      </c>
      <c r="P865" s="54" t="n">
        <f aca="false">IF(AND(E865&gt;=14400,K865&gt;0,L865&gt;0),1,0)</f>
        <v>1</v>
      </c>
      <c r="Q865" s="53" t="n">
        <f aca="false">IF(P865=1,F865/E865*MIN(L865/K865,1)*MIN(MAX(M865/L865,0),1),0)</f>
        <v>0.250424946947417</v>
      </c>
      <c r="R865" s="55" t="n">
        <f aca="false">IF(F865&gt;0,N865/(F865/3600),0)</f>
        <v>8.25165878397673</v>
      </c>
    </row>
    <row r="866" customFormat="false" ht="15" hidden="false" customHeight="false" outlineLevel="0" collapsed="false">
      <c r="A866" s="0" t="s">
        <v>259</v>
      </c>
      <c r="B866" s="52" t="n">
        <v>44255</v>
      </c>
      <c r="C866" s="0" t="n">
        <v>12423.068</v>
      </c>
      <c r="D866" s="0" t="n">
        <v>4624.665</v>
      </c>
      <c r="E866" s="0" t="n">
        <v>7798.403</v>
      </c>
      <c r="F866" s="0" t="n">
        <v>4178.894</v>
      </c>
      <c r="G866" s="0" t="n">
        <v>3702.423</v>
      </c>
      <c r="H866" s="0" t="n">
        <v>476.471</v>
      </c>
      <c r="I866" s="0" t="n">
        <v>2811.17</v>
      </c>
      <c r="J866" s="0" t="n">
        <v>808.339</v>
      </c>
      <c r="K866" s="0" t="n">
        <v>7545.22527777778</v>
      </c>
      <c r="L866" s="0" t="n">
        <v>6696</v>
      </c>
      <c r="M866" s="0" t="n">
        <v>6650</v>
      </c>
      <c r="N866" s="0" t="n">
        <v>3</v>
      </c>
      <c r="O866" s="54" t="n">
        <f aca="false">YEAR(B866)</f>
        <v>2021</v>
      </c>
      <c r="P866" s="54" t="n">
        <f aca="false">IF(AND(E866&gt;=14400,K866&gt;0,L866&gt;0),1,0)</f>
        <v>0</v>
      </c>
      <c r="Q866" s="53" t="n">
        <f aca="false">IF(P866=1,F866/E866*MIN(L866/K866,1)*MIN(MAX(M866/L866,0),1),0)</f>
        <v>0</v>
      </c>
      <c r="R866" s="55" t="n">
        <f aca="false">IF(F866&gt;0,N866/(F866/3600),0)</f>
        <v>2.58441587654533</v>
      </c>
    </row>
    <row r="867" customFormat="false" ht="15" hidden="false" customHeight="false" outlineLevel="0" collapsed="false">
      <c r="A867" s="0" t="s">
        <v>259</v>
      </c>
      <c r="B867" s="52" t="n">
        <v>44256</v>
      </c>
      <c r="C867" s="0" t="n">
        <v>51461.071</v>
      </c>
      <c r="D867" s="0" t="n">
        <v>17249.021</v>
      </c>
      <c r="E867" s="0" t="n">
        <v>34212.05</v>
      </c>
      <c r="F867" s="0" t="n">
        <v>10070.477</v>
      </c>
      <c r="G867" s="0" t="n">
        <v>8238.395</v>
      </c>
      <c r="H867" s="0" t="n">
        <v>1832.082</v>
      </c>
      <c r="I867" s="0" t="n">
        <v>3124.299</v>
      </c>
      <c r="J867" s="0" t="n">
        <v>21017.274</v>
      </c>
      <c r="K867" s="0" t="n">
        <v>18182.8056944444</v>
      </c>
      <c r="L867" s="0" t="n">
        <v>14857</v>
      </c>
      <c r="M867" s="0" t="n">
        <v>14780</v>
      </c>
      <c r="N867" s="0" t="n">
        <v>26</v>
      </c>
      <c r="O867" s="54" t="n">
        <f aca="false">YEAR(B867)</f>
        <v>2021</v>
      </c>
      <c r="P867" s="54" t="n">
        <f aca="false">IF(AND(E867&gt;=14400,K867&gt;0,L867&gt;0),1,0)</f>
        <v>1</v>
      </c>
      <c r="Q867" s="53" t="n">
        <f aca="false">IF(P867=1,F867/E867*MIN(L867/K867,1)*MIN(MAX(M867/L867,0),1),0)</f>
        <v>0.23926792325646</v>
      </c>
      <c r="R867" s="55" t="n">
        <f aca="false">IF(F867&gt;0,N867/(F867/3600),0)</f>
        <v>9.29449518627568</v>
      </c>
    </row>
    <row r="868" customFormat="false" ht="15" hidden="false" customHeight="false" outlineLevel="0" collapsed="false">
      <c r="A868" s="0" t="s">
        <v>259</v>
      </c>
      <c r="B868" s="52" t="n">
        <v>44257</v>
      </c>
      <c r="C868" s="0" t="n">
        <v>32913.373</v>
      </c>
      <c r="D868" s="0" t="n">
        <v>11646.927</v>
      </c>
      <c r="E868" s="0" t="n">
        <v>21266.446</v>
      </c>
      <c r="F868" s="0" t="n">
        <v>8379.713</v>
      </c>
      <c r="G868" s="0" t="n">
        <v>6874.396</v>
      </c>
      <c r="H868" s="0" t="n">
        <v>1505.317</v>
      </c>
      <c r="I868" s="0" t="n">
        <v>2256.649</v>
      </c>
      <c r="J868" s="0" t="n">
        <v>10630.084</v>
      </c>
      <c r="K868" s="0" t="n">
        <v>15130.0373611111</v>
      </c>
      <c r="L868" s="0" t="n">
        <v>12391</v>
      </c>
      <c r="M868" s="0" t="n">
        <v>12311</v>
      </c>
      <c r="N868" s="0" t="n">
        <v>21</v>
      </c>
      <c r="O868" s="54" t="n">
        <f aca="false">YEAR(B868)</f>
        <v>2021</v>
      </c>
      <c r="P868" s="54" t="n">
        <f aca="false">IF(AND(E868&gt;=14400,K868&gt;0,L868&gt;0),1,0)</f>
        <v>1</v>
      </c>
      <c r="Q868" s="53" t="n">
        <f aca="false">IF(P868=1,F868/E868*MIN(L868/K868,1)*MIN(MAX(M868/L868,0),1),0)</f>
        <v>0.320617746848721</v>
      </c>
      <c r="R868" s="55" t="n">
        <f aca="false">IF(F868&gt;0,N868/(F868/3600),0)</f>
        <v>9.02178869371779</v>
      </c>
    </row>
    <row r="869" customFormat="false" ht="15" hidden="false" customHeight="false" outlineLevel="0" collapsed="false">
      <c r="A869" s="0" t="s">
        <v>259</v>
      </c>
      <c r="B869" s="52" t="n">
        <v>44258</v>
      </c>
      <c r="C869" s="0" t="n">
        <v>44810.355</v>
      </c>
      <c r="D869" s="0" t="n">
        <v>8176.981</v>
      </c>
      <c r="E869" s="0" t="n">
        <v>36633.374</v>
      </c>
      <c r="F869" s="0" t="n">
        <v>16032.403</v>
      </c>
      <c r="G869" s="0" t="n">
        <v>12816.227</v>
      </c>
      <c r="H869" s="0" t="n">
        <v>3216.176</v>
      </c>
      <c r="I869" s="0" t="n">
        <v>2577.852</v>
      </c>
      <c r="J869" s="0" t="n">
        <v>18023.119</v>
      </c>
      <c r="K869" s="0" t="n">
        <v>28947.3943055556</v>
      </c>
      <c r="L869" s="0" t="n">
        <v>23005</v>
      </c>
      <c r="M869" s="0" t="n">
        <v>22966</v>
      </c>
      <c r="N869" s="0" t="n">
        <v>42</v>
      </c>
      <c r="O869" s="54" t="n">
        <f aca="false">YEAR(B869)</f>
        <v>2021</v>
      </c>
      <c r="P869" s="54" t="n">
        <f aca="false">IF(AND(E869&gt;=14400,K869&gt;0,L869&gt;0),1,0)</f>
        <v>1</v>
      </c>
      <c r="Q869" s="53" t="n">
        <f aca="false">IF(P869=1,F869/E869*MIN(L869/K869,1)*MIN(MAX(M869/L869,0),1),0)</f>
        <v>0.347214285237029</v>
      </c>
      <c r="R869" s="55" t="n">
        <f aca="false">IF(F869&gt;0,N869/(F869/3600),0)</f>
        <v>9.43090065787393</v>
      </c>
    </row>
    <row r="870" customFormat="false" ht="15" hidden="false" customHeight="false" outlineLevel="0" collapsed="false">
      <c r="A870" s="0" t="s">
        <v>259</v>
      </c>
      <c r="B870" s="52" t="n">
        <v>44259</v>
      </c>
      <c r="C870" s="0" t="n">
        <v>41890.39</v>
      </c>
      <c r="D870" s="0" t="n">
        <v>12807.258</v>
      </c>
      <c r="E870" s="0" t="n">
        <v>29083.132</v>
      </c>
      <c r="F870" s="0" t="n">
        <v>8762.459</v>
      </c>
      <c r="G870" s="0" t="n">
        <v>7146.292</v>
      </c>
      <c r="H870" s="0" t="n">
        <v>1616.167</v>
      </c>
      <c r="I870" s="0" t="n">
        <v>3752.374</v>
      </c>
      <c r="J870" s="0" t="n">
        <v>16568.299</v>
      </c>
      <c r="K870" s="0" t="n">
        <v>15821.1065277778</v>
      </c>
      <c r="L870" s="0" t="n">
        <v>12776</v>
      </c>
      <c r="M870" s="0" t="n">
        <v>12696</v>
      </c>
      <c r="N870" s="0" t="n">
        <v>27</v>
      </c>
      <c r="O870" s="54" t="n">
        <f aca="false">YEAR(B870)</f>
        <v>2021</v>
      </c>
      <c r="P870" s="54" t="n">
        <f aca="false">IF(AND(E870&gt;=14400,K870&gt;0,L870&gt;0),1,0)</f>
        <v>1</v>
      </c>
      <c r="Q870" s="53" t="n">
        <f aca="false">IF(P870=1,F870/E870*MIN(L870/K870,1)*MIN(MAX(M870/L870,0),1),0)</f>
        <v>0.241776943736004</v>
      </c>
      <c r="R870" s="55" t="n">
        <f aca="false">IF(F870&gt;0,N870/(F870/3600),0)</f>
        <v>11.0927765824639</v>
      </c>
    </row>
    <row r="871" customFormat="false" ht="15" hidden="false" customHeight="false" outlineLevel="0" collapsed="false">
      <c r="A871" s="0" t="s">
        <v>259</v>
      </c>
      <c r="B871" s="52" t="n">
        <v>44260</v>
      </c>
      <c r="C871" s="0" t="n">
        <v>28671.609</v>
      </c>
      <c r="D871" s="0" t="n">
        <v>8330.107</v>
      </c>
      <c r="E871" s="0" t="n">
        <v>20341.502</v>
      </c>
      <c r="F871" s="0" t="n">
        <v>11929.204</v>
      </c>
      <c r="G871" s="0" t="n">
        <v>9893.299</v>
      </c>
      <c r="H871" s="0" t="n">
        <v>2035.905</v>
      </c>
      <c r="I871" s="0" t="n">
        <v>3065.128</v>
      </c>
      <c r="J871" s="0" t="n">
        <v>5347.17</v>
      </c>
      <c r="K871" s="0" t="n">
        <v>21538.8405555556</v>
      </c>
      <c r="L871" s="0" t="n">
        <v>17866</v>
      </c>
      <c r="M871" s="0" t="n">
        <v>17698</v>
      </c>
      <c r="N871" s="0" t="n">
        <v>38</v>
      </c>
      <c r="O871" s="54" t="n">
        <f aca="false">YEAR(B871)</f>
        <v>2021</v>
      </c>
      <c r="P871" s="54" t="n">
        <f aca="false">IF(AND(E871&gt;=14400,K871&gt;0,L871&gt;0),1,0)</f>
        <v>1</v>
      </c>
      <c r="Q871" s="53" t="n">
        <f aca="false">IF(P871=1,F871/E871*MIN(L871/K871,1)*MIN(MAX(M871/L871,0),1),0)</f>
        <v>0.481870474990944</v>
      </c>
      <c r="R871" s="55" t="n">
        <f aca="false">IF(F871&gt;0,N871/(F871/3600),0)</f>
        <v>11.4676553439777</v>
      </c>
    </row>
    <row r="872" customFormat="false" ht="15" hidden="false" customHeight="false" outlineLevel="0" collapsed="false">
      <c r="A872" s="0" t="s">
        <v>259</v>
      </c>
      <c r="B872" s="52" t="n">
        <v>44261</v>
      </c>
      <c r="C872" s="0" t="n">
        <v>17722.849</v>
      </c>
      <c r="D872" s="0" t="n">
        <v>7049.736</v>
      </c>
      <c r="E872" s="0" t="n">
        <v>10673.113</v>
      </c>
      <c r="F872" s="0" t="n">
        <v>5649.247</v>
      </c>
      <c r="G872" s="0" t="n">
        <v>3844.46</v>
      </c>
      <c r="H872" s="0" t="n">
        <v>1804.787</v>
      </c>
      <c r="I872" s="0" t="n">
        <v>3422.126</v>
      </c>
      <c r="J872" s="0" t="n">
        <v>1601.74</v>
      </c>
      <c r="K872" s="0" t="n">
        <v>10200.0293055556</v>
      </c>
      <c r="L872" s="0" t="n">
        <v>6942</v>
      </c>
      <c r="M872" s="0" t="n">
        <v>6918</v>
      </c>
      <c r="N872" s="0" t="n">
        <v>17</v>
      </c>
      <c r="O872" s="54" t="n">
        <f aca="false">YEAR(B872)</f>
        <v>2021</v>
      </c>
      <c r="P872" s="54" t="n">
        <f aca="false">IF(AND(E872&gt;=14400,K872&gt;0,L872&gt;0),1,0)</f>
        <v>0</v>
      </c>
      <c r="Q872" s="53" t="n">
        <f aca="false">IF(P872=1,F872/E872*MIN(L872/K872,1)*MIN(MAX(M872/L872,0),1),0)</f>
        <v>0</v>
      </c>
      <c r="R872" s="55" t="n">
        <f aca="false">IF(F872&gt;0,N872/(F872/3600),0)</f>
        <v>10.8333022082412</v>
      </c>
    </row>
    <row r="873" customFormat="false" ht="15" hidden="false" customHeight="false" outlineLevel="0" collapsed="false">
      <c r="A873" s="0" t="s">
        <v>259</v>
      </c>
      <c r="B873" s="52" t="n">
        <v>44262</v>
      </c>
      <c r="C873" s="0" t="n">
        <v>13194.247</v>
      </c>
      <c r="D873" s="0" t="n">
        <v>3997.454</v>
      </c>
      <c r="E873" s="0" t="n">
        <v>9196.793</v>
      </c>
      <c r="F873" s="0" t="n">
        <v>5597.807</v>
      </c>
      <c r="G873" s="0" t="n">
        <v>4792.447</v>
      </c>
      <c r="H873" s="0" t="n">
        <v>805.36</v>
      </c>
      <c r="I873" s="0" t="n">
        <v>1324.178</v>
      </c>
      <c r="J873" s="0" t="n">
        <v>2274.808</v>
      </c>
      <c r="K873" s="0" t="n">
        <v>10107.1515277778</v>
      </c>
      <c r="L873" s="0" t="n">
        <v>8533</v>
      </c>
      <c r="M873" s="0" t="n">
        <v>8433</v>
      </c>
      <c r="N873" s="0" t="n">
        <v>17</v>
      </c>
      <c r="O873" s="54" t="n">
        <f aca="false">YEAR(B873)</f>
        <v>2021</v>
      </c>
      <c r="P873" s="54" t="n">
        <f aca="false">IF(AND(E873&gt;=14400,K873&gt;0,L873&gt;0),1,0)</f>
        <v>0</v>
      </c>
      <c r="Q873" s="53" t="n">
        <f aca="false">IF(P873=1,F873/E873*MIN(L873/K873,1)*MIN(MAX(M873/L873,0),1),0)</f>
        <v>0</v>
      </c>
      <c r="R873" s="55" t="n">
        <f aca="false">IF(F873&gt;0,N873/(F873/3600),0)</f>
        <v>10.9328528118243</v>
      </c>
    </row>
    <row r="874" customFormat="false" ht="15" hidden="false" customHeight="false" outlineLevel="0" collapsed="false">
      <c r="A874" s="0" t="s">
        <v>259</v>
      </c>
      <c r="B874" s="52" t="n">
        <v>44263</v>
      </c>
      <c r="C874" s="0" t="n">
        <v>36452.612</v>
      </c>
      <c r="D874" s="0" t="n">
        <v>13687.234</v>
      </c>
      <c r="E874" s="0" t="n">
        <v>22765.378</v>
      </c>
      <c r="F874" s="0" t="n">
        <v>2890.81</v>
      </c>
      <c r="G874" s="0" t="n">
        <v>2813.48</v>
      </c>
      <c r="H874" s="0" t="n">
        <v>77.33</v>
      </c>
      <c r="I874" s="0" t="n">
        <v>576.283</v>
      </c>
      <c r="J874" s="0" t="n">
        <v>19298.285</v>
      </c>
      <c r="K874" s="0" t="n">
        <v>5219.51805555556</v>
      </c>
      <c r="L874" s="0" t="n">
        <v>5131</v>
      </c>
      <c r="M874" s="0" t="n">
        <v>5133</v>
      </c>
      <c r="N874" s="0" t="n">
        <v>3</v>
      </c>
      <c r="O874" s="54" t="n">
        <f aca="false">YEAR(B874)</f>
        <v>2021</v>
      </c>
      <c r="P874" s="54" t="n">
        <f aca="false">IF(AND(E874&gt;=14400,K874&gt;0,L874&gt;0),1,0)</f>
        <v>1</v>
      </c>
      <c r="Q874" s="53" t="n">
        <f aca="false">IF(P874=1,F874/E874*MIN(L874/K874,1)*MIN(MAX(M874/L874,0),1),0)</f>
        <v>0.124829230394708</v>
      </c>
      <c r="R874" s="55" t="n">
        <f aca="false">IF(F874&gt;0,N874/(F874/3600),0)</f>
        <v>3.73597711368094</v>
      </c>
    </row>
    <row r="875" customFormat="false" ht="15" hidden="false" customHeight="false" outlineLevel="0" collapsed="false">
      <c r="A875" s="0" t="s">
        <v>259</v>
      </c>
      <c r="B875" s="52" t="n">
        <v>44264</v>
      </c>
      <c r="C875" s="0" t="n">
        <v>46612.753</v>
      </c>
      <c r="D875" s="0" t="n">
        <v>14322.621</v>
      </c>
      <c r="E875" s="0" t="n">
        <v>32290.132</v>
      </c>
      <c r="F875" s="0" t="n">
        <v>14967.958</v>
      </c>
      <c r="G875" s="0" t="n">
        <v>12912.604</v>
      </c>
      <c r="H875" s="0" t="n">
        <v>2055.354</v>
      </c>
      <c r="I875" s="0" t="n">
        <v>6969.482</v>
      </c>
      <c r="J875" s="0" t="n">
        <v>10352.692</v>
      </c>
      <c r="K875" s="0" t="n">
        <v>27025.4797222222</v>
      </c>
      <c r="L875" s="0" t="n">
        <v>23184</v>
      </c>
      <c r="M875" s="0" t="n">
        <v>22979</v>
      </c>
      <c r="N875" s="0" t="n">
        <v>58</v>
      </c>
      <c r="O875" s="54" t="n">
        <f aca="false">YEAR(B875)</f>
        <v>2021</v>
      </c>
      <c r="P875" s="54" t="n">
        <f aca="false">IF(AND(E875&gt;=14400,K875&gt;0,L875&gt;0),1,0)</f>
        <v>1</v>
      </c>
      <c r="Q875" s="53" t="n">
        <f aca="false">IF(P875=1,F875/E875*MIN(L875/K875,1)*MIN(MAX(M875/L875,0),1),0)</f>
        <v>0.394139942482452</v>
      </c>
      <c r="R875" s="55" t="n">
        <f aca="false">IF(F875&gt;0,N875/(F875/3600),0)</f>
        <v>13.9497986298465</v>
      </c>
    </row>
    <row r="876" customFormat="false" ht="15" hidden="false" customHeight="false" outlineLevel="0" collapsed="false">
      <c r="A876" s="0" t="s">
        <v>259</v>
      </c>
      <c r="B876" s="52" t="n">
        <v>44265</v>
      </c>
      <c r="C876" s="0" t="n">
        <v>58844.54</v>
      </c>
      <c r="D876" s="0" t="n">
        <v>16951.326</v>
      </c>
      <c r="E876" s="0" t="n">
        <v>41893.214</v>
      </c>
      <c r="F876" s="0" t="n">
        <v>19102.88</v>
      </c>
      <c r="G876" s="0" t="n">
        <v>17763.363</v>
      </c>
      <c r="H876" s="0" t="n">
        <v>1339.517</v>
      </c>
      <c r="I876" s="0" t="n">
        <v>1853.376</v>
      </c>
      <c r="J876" s="0" t="n">
        <v>20936.958</v>
      </c>
      <c r="K876" s="0" t="n">
        <v>27426.6470833333</v>
      </c>
      <c r="L876" s="0" t="n">
        <v>25469</v>
      </c>
      <c r="M876" s="0" t="n">
        <v>25407</v>
      </c>
      <c r="N876" s="0" t="n">
        <v>21</v>
      </c>
      <c r="O876" s="54" t="n">
        <f aca="false">YEAR(B876)</f>
        <v>2021</v>
      </c>
      <c r="P876" s="54" t="n">
        <f aca="false">IF(AND(E876&gt;=14400,K876&gt;0,L876&gt;0),1,0)</f>
        <v>1</v>
      </c>
      <c r="Q876" s="53" t="n">
        <f aca="false">IF(P876=1,F876/E876*MIN(L876/K876,1)*MIN(MAX(M876/L876,0),1),0)</f>
        <v>0.422411600683158</v>
      </c>
      <c r="R876" s="55" t="n">
        <f aca="false">IF(F876&gt;0,N876/(F876/3600),0)</f>
        <v>3.95751844748017</v>
      </c>
    </row>
    <row r="877" customFormat="false" ht="15" hidden="false" customHeight="false" outlineLevel="0" collapsed="false">
      <c r="A877" s="0" t="s">
        <v>259</v>
      </c>
      <c r="B877" s="52" t="n">
        <v>44266</v>
      </c>
      <c r="C877" s="0" t="n">
        <v>32766.81</v>
      </c>
      <c r="D877" s="0" t="n">
        <v>7225.652</v>
      </c>
      <c r="E877" s="0" t="n">
        <v>25541.158</v>
      </c>
      <c r="F877" s="0" t="n">
        <v>9820.538</v>
      </c>
      <c r="G877" s="0" t="n">
        <v>7850.195</v>
      </c>
      <c r="H877" s="0" t="n">
        <v>1970.343</v>
      </c>
      <c r="I877" s="0" t="n">
        <v>3487.941</v>
      </c>
      <c r="J877" s="0" t="n">
        <v>12232.679</v>
      </c>
      <c r="K877" s="0" t="n">
        <v>14631.1930555556</v>
      </c>
      <c r="L877" s="0" t="n">
        <v>11091</v>
      </c>
      <c r="M877" s="0" t="n">
        <v>11007</v>
      </c>
      <c r="N877" s="0" t="n">
        <v>18</v>
      </c>
      <c r="O877" s="54" t="n">
        <f aca="false">YEAR(B877)</f>
        <v>2021</v>
      </c>
      <c r="P877" s="54" t="n">
        <f aca="false">IF(AND(E877&gt;=14400,K877&gt;0,L877&gt;0),1,0)</f>
        <v>1</v>
      </c>
      <c r="Q877" s="53" t="n">
        <f aca="false">IF(P877=1,F877/E877*MIN(L877/K877,1)*MIN(MAX(M877/L877,0),1),0)</f>
        <v>0.289257029864643</v>
      </c>
      <c r="R877" s="55" t="n">
        <f aca="false">IF(F877&gt;0,N877/(F877/3600),0)</f>
        <v>6.59841650223236</v>
      </c>
    </row>
    <row r="878" customFormat="false" ht="15" hidden="false" customHeight="false" outlineLevel="0" collapsed="false">
      <c r="A878" s="0" t="s">
        <v>259</v>
      </c>
      <c r="B878" s="52" t="n">
        <v>44267</v>
      </c>
      <c r="C878" s="0" t="n">
        <v>51750.554</v>
      </c>
      <c r="D878" s="0" t="n">
        <v>15302.723</v>
      </c>
      <c r="E878" s="0" t="n">
        <v>36447.831</v>
      </c>
      <c r="F878" s="0" t="n">
        <v>20970.344</v>
      </c>
      <c r="G878" s="0" t="n">
        <v>18889.135</v>
      </c>
      <c r="H878" s="0" t="n">
        <v>2081.209</v>
      </c>
      <c r="I878" s="0" t="n">
        <v>2048.283</v>
      </c>
      <c r="J878" s="0" t="n">
        <v>13429.204</v>
      </c>
      <c r="K878" s="0" t="n">
        <v>22238.5161694444</v>
      </c>
      <c r="L878" s="0" t="n">
        <v>19089</v>
      </c>
      <c r="M878" s="0" t="n">
        <v>19047</v>
      </c>
      <c r="N878" s="0" t="n">
        <v>22</v>
      </c>
      <c r="O878" s="54" t="n">
        <f aca="false">YEAR(B878)</f>
        <v>2021</v>
      </c>
      <c r="P878" s="54" t="n">
        <f aca="false">IF(AND(E878&gt;=14400,K878&gt;0,L878&gt;0),1,0)</f>
        <v>1</v>
      </c>
      <c r="Q878" s="53" t="n">
        <f aca="false">IF(P878=1,F878/E878*MIN(L878/K878,1)*MIN(MAX(M878/L878,0),1),0)</f>
        <v>0.49278177960765</v>
      </c>
      <c r="R878" s="55" t="n">
        <f aca="false">IF(F878&gt;0,N878/(F878/3600),0)</f>
        <v>3.77676207886719</v>
      </c>
    </row>
    <row r="879" customFormat="false" ht="15" hidden="false" customHeight="false" outlineLevel="0" collapsed="false">
      <c r="A879" s="0" t="s">
        <v>259</v>
      </c>
      <c r="B879" s="52" t="n">
        <v>44268</v>
      </c>
      <c r="C879" s="0" t="n">
        <v>32144.52</v>
      </c>
      <c r="D879" s="0" t="n">
        <v>13886.718</v>
      </c>
      <c r="E879" s="0" t="n">
        <v>18257.802</v>
      </c>
      <c r="F879" s="0" t="n">
        <v>10309.18</v>
      </c>
      <c r="G879" s="0" t="n">
        <v>9252.711</v>
      </c>
      <c r="H879" s="0" t="n">
        <v>1056.469</v>
      </c>
      <c r="I879" s="0" t="n">
        <v>3147.642</v>
      </c>
      <c r="J879" s="0" t="n">
        <v>4800.98</v>
      </c>
      <c r="K879" s="0" t="n">
        <v>18613.7972222222</v>
      </c>
      <c r="L879" s="0" t="n">
        <v>16629</v>
      </c>
      <c r="M879" s="0" t="n">
        <v>16561</v>
      </c>
      <c r="N879" s="0" t="n">
        <v>31</v>
      </c>
      <c r="O879" s="54" t="n">
        <f aca="false">YEAR(B879)</f>
        <v>2021</v>
      </c>
      <c r="P879" s="54" t="n">
        <f aca="false">IF(AND(E879&gt;=14400,K879&gt;0,L879&gt;0),1,0)</f>
        <v>1</v>
      </c>
      <c r="Q879" s="53" t="n">
        <f aca="false">IF(P879=1,F879/E879*MIN(L879/K879,1)*MIN(MAX(M879/L879,0),1),0)</f>
        <v>0.502374061995313</v>
      </c>
      <c r="R879" s="55" t="n">
        <f aca="false">IF(F879&gt;0,N879/(F879/3600),0)</f>
        <v>10.8253032733932</v>
      </c>
    </row>
    <row r="880" customFormat="false" ht="15" hidden="false" customHeight="false" outlineLevel="0" collapsed="false">
      <c r="A880" s="0" t="s">
        <v>259</v>
      </c>
      <c r="B880" s="52" t="n">
        <v>44269</v>
      </c>
      <c r="C880" s="0" t="n">
        <v>8083.185</v>
      </c>
      <c r="D880" s="0" t="n">
        <v>3898.265</v>
      </c>
      <c r="E880" s="0" t="n">
        <v>4184.92</v>
      </c>
      <c r="F880" s="0" t="n">
        <v>2444.279</v>
      </c>
      <c r="G880" s="0" t="n">
        <v>2229.106</v>
      </c>
      <c r="H880" s="0" t="n">
        <v>215.173</v>
      </c>
      <c r="I880" s="0" t="n">
        <v>156.23</v>
      </c>
      <c r="J880" s="0" t="n">
        <v>1584.411</v>
      </c>
      <c r="K880" s="0" t="n">
        <v>4413.28152777778</v>
      </c>
      <c r="L880" s="0" t="n">
        <v>3954</v>
      </c>
      <c r="M880" s="0" t="n">
        <v>3934</v>
      </c>
      <c r="N880" s="0" t="n">
        <v>6</v>
      </c>
      <c r="O880" s="54" t="n">
        <f aca="false">YEAR(B880)</f>
        <v>2021</v>
      </c>
      <c r="P880" s="54" t="n">
        <f aca="false">IF(AND(E880&gt;=14400,K880&gt;0,L880&gt;0),1,0)</f>
        <v>0</v>
      </c>
      <c r="Q880" s="53" t="n">
        <f aca="false">IF(P880=1,F880/E880*MIN(L880/K880,1)*MIN(MAX(M880/L880,0),1),0)</f>
        <v>0</v>
      </c>
      <c r="R880" s="55" t="n">
        <f aca="false">IF(F880&gt;0,N880/(F880/3600),0)</f>
        <v>8.83696173800127</v>
      </c>
    </row>
    <row r="881" customFormat="false" ht="15" hidden="false" customHeight="false" outlineLevel="0" collapsed="false">
      <c r="A881" s="0" t="s">
        <v>259</v>
      </c>
      <c r="B881" s="52" t="n">
        <v>44270</v>
      </c>
      <c r="C881" s="0" t="n">
        <v>48737.3</v>
      </c>
      <c r="D881" s="0" t="n">
        <v>13186.601</v>
      </c>
      <c r="E881" s="0" t="n">
        <v>35550.699</v>
      </c>
      <c r="F881" s="0" t="n">
        <v>7815.734</v>
      </c>
      <c r="G881" s="0" t="n">
        <v>6996.753</v>
      </c>
      <c r="H881" s="0" t="n">
        <v>818.981</v>
      </c>
      <c r="I881" s="0" t="n">
        <v>4699.035</v>
      </c>
      <c r="J881" s="0" t="n">
        <v>23035.93</v>
      </c>
      <c r="K881" s="0" t="n">
        <v>14111.7419444444</v>
      </c>
      <c r="L881" s="0" t="n">
        <v>12576</v>
      </c>
      <c r="M881" s="0" t="n">
        <v>12508</v>
      </c>
      <c r="N881" s="0" t="n">
        <v>27</v>
      </c>
      <c r="O881" s="54" t="n">
        <f aca="false">YEAR(B881)</f>
        <v>2021</v>
      </c>
      <c r="P881" s="54" t="n">
        <f aca="false">IF(AND(E881&gt;=14400,K881&gt;0,L881&gt;0),1,0)</f>
        <v>1</v>
      </c>
      <c r="Q881" s="53" t="n">
        <f aca="false">IF(P881=1,F881/E881*MIN(L881/K881,1)*MIN(MAX(M881/L881,0),1),0)</f>
        <v>0.194862770273735</v>
      </c>
      <c r="R881" s="55" t="n">
        <f aca="false">IF(F881&gt;0,N881/(F881/3600),0)</f>
        <v>12.4364519058607</v>
      </c>
    </row>
    <row r="882" customFormat="false" ht="15" hidden="false" customHeight="false" outlineLevel="0" collapsed="false">
      <c r="A882" s="0" t="s">
        <v>259</v>
      </c>
      <c r="B882" s="52" t="n">
        <v>44271</v>
      </c>
      <c r="C882" s="0" t="n">
        <v>39526.352</v>
      </c>
      <c r="D882" s="0" t="n">
        <v>15901.346</v>
      </c>
      <c r="E882" s="0" t="n">
        <v>23625.006</v>
      </c>
      <c r="F882" s="0" t="n">
        <v>11689.95</v>
      </c>
      <c r="G882" s="0" t="n">
        <v>8613.6</v>
      </c>
      <c r="H882" s="0" t="n">
        <v>3076.35</v>
      </c>
      <c r="I882" s="0" t="n">
        <v>3654.734</v>
      </c>
      <c r="J882" s="0" t="n">
        <v>8280.322</v>
      </c>
      <c r="K882" s="0" t="n">
        <v>21106.8541666667</v>
      </c>
      <c r="L882" s="0" t="n">
        <v>15463</v>
      </c>
      <c r="M882" s="0" t="n">
        <v>15355</v>
      </c>
      <c r="N882" s="0" t="n">
        <v>47</v>
      </c>
      <c r="O882" s="54" t="n">
        <f aca="false">YEAR(B882)</f>
        <v>2021</v>
      </c>
      <c r="P882" s="54" t="n">
        <f aca="false">IF(AND(E882&gt;=14400,K882&gt;0,L882&gt;0),1,0)</f>
        <v>1</v>
      </c>
      <c r="Q882" s="53" t="n">
        <f aca="false">IF(P882=1,F882/E882*MIN(L882/K882,1)*MIN(MAX(M882/L882,0),1),0)</f>
        <v>0.35997060454959</v>
      </c>
      <c r="R882" s="55" t="n">
        <f aca="false">IF(F882&gt;0,N882/(F882/3600),0)</f>
        <v>14.473971231699</v>
      </c>
    </row>
    <row r="883" customFormat="false" ht="15" hidden="false" customHeight="false" outlineLevel="0" collapsed="false">
      <c r="A883" s="0" t="s">
        <v>259</v>
      </c>
      <c r="B883" s="52" t="n">
        <v>44272</v>
      </c>
      <c r="C883" s="0" t="n">
        <v>46205.704</v>
      </c>
      <c r="D883" s="0" t="n">
        <v>7667.135</v>
      </c>
      <c r="E883" s="0" t="n">
        <v>38538.569</v>
      </c>
      <c r="F883" s="0" t="n">
        <v>20681.043</v>
      </c>
      <c r="G883" s="0" t="n">
        <v>16660.691</v>
      </c>
      <c r="H883" s="0" t="n">
        <v>4020.352</v>
      </c>
      <c r="I883" s="0" t="n">
        <v>5450.493</v>
      </c>
      <c r="J883" s="0" t="n">
        <v>12407.033</v>
      </c>
      <c r="K883" s="0" t="n">
        <v>35811.6911461111</v>
      </c>
      <c r="L883" s="0" t="n">
        <v>28531</v>
      </c>
      <c r="M883" s="0" t="n">
        <v>28358</v>
      </c>
      <c r="N883" s="0" t="n">
        <v>77</v>
      </c>
      <c r="O883" s="54" t="n">
        <f aca="false">YEAR(B883)</f>
        <v>2021</v>
      </c>
      <c r="P883" s="54" t="n">
        <f aca="false">IF(AND(E883&gt;=14400,K883&gt;0,L883&gt;0),1,0)</f>
        <v>1</v>
      </c>
      <c r="Q883" s="53" t="n">
        <f aca="false">IF(P883=1,F883/E883*MIN(L883/K883,1)*MIN(MAX(M883/L883,0),1),0)</f>
        <v>0.4249400071887</v>
      </c>
      <c r="R883" s="55" t="n">
        <f aca="false">IF(F883&gt;0,N883/(F883/3600),0)</f>
        <v>13.4035793069044</v>
      </c>
    </row>
    <row r="884" customFormat="false" ht="15" hidden="false" customHeight="false" outlineLevel="0" collapsed="false">
      <c r="A884" s="0" t="s">
        <v>259</v>
      </c>
      <c r="B884" s="52" t="n">
        <v>44273</v>
      </c>
      <c r="C884" s="0" t="n">
        <v>39278.109</v>
      </c>
      <c r="D884" s="0" t="n">
        <v>6591.133</v>
      </c>
      <c r="E884" s="0" t="n">
        <v>32686.976</v>
      </c>
      <c r="F884" s="0" t="n">
        <v>11784.553</v>
      </c>
      <c r="G884" s="0" t="n">
        <v>9914.874</v>
      </c>
      <c r="H884" s="0" t="n">
        <v>1869.679</v>
      </c>
      <c r="I884" s="0" t="n">
        <v>3514.761</v>
      </c>
      <c r="J884" s="0" t="n">
        <v>17387.662</v>
      </c>
      <c r="K884" s="0" t="n">
        <v>21014.4331944445</v>
      </c>
      <c r="L884" s="0" t="n">
        <v>17614</v>
      </c>
      <c r="M884" s="0" t="n">
        <v>17538</v>
      </c>
      <c r="N884" s="0" t="n">
        <v>28</v>
      </c>
      <c r="O884" s="54" t="n">
        <f aca="false">YEAR(B884)</f>
        <v>2021</v>
      </c>
      <c r="P884" s="54" t="n">
        <f aca="false">IF(AND(E884&gt;=14400,K884&gt;0,L884&gt;0),1,0)</f>
        <v>1</v>
      </c>
      <c r="Q884" s="53" t="n">
        <f aca="false">IF(P884=1,F884/E884*MIN(L884/K884,1)*MIN(MAX(M884/L884,0),1),0)</f>
        <v>0.300885150674199</v>
      </c>
      <c r="R884" s="55" t="n">
        <f aca="false">IF(F884&gt;0,N884/(F884/3600),0)</f>
        <v>8.5535700844996</v>
      </c>
    </row>
    <row r="885" customFormat="false" ht="15" hidden="false" customHeight="false" outlineLevel="0" collapsed="false">
      <c r="A885" s="0" t="s">
        <v>259</v>
      </c>
      <c r="B885" s="52" t="n">
        <v>44274</v>
      </c>
      <c r="C885" s="0" t="n">
        <v>43572.929</v>
      </c>
      <c r="D885" s="0" t="n">
        <v>9859.96</v>
      </c>
      <c r="E885" s="0" t="n">
        <v>33712.969</v>
      </c>
      <c r="F885" s="0" t="n">
        <v>16115.806</v>
      </c>
      <c r="G885" s="0" t="n">
        <v>11656.054</v>
      </c>
      <c r="H885" s="0" t="n">
        <v>4459.752</v>
      </c>
      <c r="I885" s="0" t="n">
        <v>4219.199</v>
      </c>
      <c r="J885" s="0" t="n">
        <v>13377.964</v>
      </c>
      <c r="K885" s="0" t="n">
        <v>29097.9830555556</v>
      </c>
      <c r="L885" s="0" t="n">
        <v>20914</v>
      </c>
      <c r="M885" s="0" t="n">
        <v>20684</v>
      </c>
      <c r="N885" s="0" t="n">
        <v>52</v>
      </c>
      <c r="O885" s="54" t="n">
        <f aca="false">YEAR(B885)</f>
        <v>2021</v>
      </c>
      <c r="P885" s="54" t="n">
        <f aca="false">IF(AND(E885&gt;=14400,K885&gt;0,L885&gt;0),1,0)</f>
        <v>1</v>
      </c>
      <c r="Q885" s="53" t="n">
        <f aca="false">IF(P885=1,F885/E885*MIN(L885/K885,1)*MIN(MAX(M885/L885,0),1),0)</f>
        <v>0.339802580014648</v>
      </c>
      <c r="R885" s="55" t="n">
        <f aca="false">IF(F885&gt;0,N885/(F885/3600),0)</f>
        <v>11.6159253840608</v>
      </c>
    </row>
    <row r="886" customFormat="false" ht="15" hidden="false" customHeight="false" outlineLevel="0" collapsed="false">
      <c r="A886" s="0" t="s">
        <v>259</v>
      </c>
      <c r="B886" s="52" t="n">
        <v>44275</v>
      </c>
      <c r="C886" s="0" t="n">
        <v>33548.472</v>
      </c>
      <c r="D886" s="0" t="n">
        <v>10714.817</v>
      </c>
      <c r="E886" s="0" t="n">
        <v>22833.655</v>
      </c>
      <c r="F886" s="0" t="n">
        <v>11602.762</v>
      </c>
      <c r="G886" s="0" t="n">
        <v>10170.993</v>
      </c>
      <c r="H886" s="0" t="n">
        <v>1431.769</v>
      </c>
      <c r="I886" s="0" t="n">
        <v>6348.858</v>
      </c>
      <c r="J886" s="0" t="n">
        <v>4882.035</v>
      </c>
      <c r="K886" s="0" t="n">
        <v>20949.4313888889</v>
      </c>
      <c r="L886" s="0" t="n">
        <v>18264</v>
      </c>
      <c r="M886" s="0" t="n">
        <v>18220</v>
      </c>
      <c r="N886" s="0" t="n">
        <v>34</v>
      </c>
      <c r="O886" s="54" t="n">
        <f aca="false">YEAR(B886)</f>
        <v>2021</v>
      </c>
      <c r="P886" s="54" t="n">
        <f aca="false">IF(AND(E886&gt;=14400,K886&gt;0,L886&gt;0),1,0)</f>
        <v>1</v>
      </c>
      <c r="Q886" s="53" t="n">
        <f aca="false">IF(P886=1,F886/E886*MIN(L886/K886,1)*MIN(MAX(M886/L886,0),1),0)</f>
        <v>0.441938748880848</v>
      </c>
      <c r="R886" s="55" t="n">
        <f aca="false">IF(F886&gt;0,N886/(F886/3600),0)</f>
        <v>10.5492123340977</v>
      </c>
    </row>
    <row r="887" customFormat="false" ht="15" hidden="false" customHeight="false" outlineLevel="0" collapsed="false">
      <c r="A887" s="0" t="s">
        <v>259</v>
      </c>
      <c r="B887" s="52" t="n">
        <v>44276</v>
      </c>
      <c r="C887" s="0" t="n">
        <v>14769.665</v>
      </c>
      <c r="D887" s="0" t="n">
        <v>3932.472</v>
      </c>
      <c r="E887" s="0" t="n">
        <v>10837.193</v>
      </c>
      <c r="F887" s="0" t="n">
        <v>4330.651</v>
      </c>
      <c r="G887" s="0" t="n">
        <v>3183.043</v>
      </c>
      <c r="H887" s="0" t="n">
        <v>1147.608</v>
      </c>
      <c r="I887" s="0" t="n">
        <v>2370.223</v>
      </c>
      <c r="J887" s="0" t="n">
        <v>4136.319</v>
      </c>
      <c r="K887" s="0" t="n">
        <v>6978.18539333333</v>
      </c>
      <c r="L887" s="0" t="n">
        <v>4936</v>
      </c>
      <c r="M887" s="0" t="n">
        <v>4726</v>
      </c>
      <c r="N887" s="0" t="n">
        <v>17</v>
      </c>
      <c r="O887" s="54" t="n">
        <f aca="false">YEAR(B887)</f>
        <v>2021</v>
      </c>
      <c r="P887" s="54" t="n">
        <f aca="false">IF(AND(E887&gt;=14400,K887&gt;0,L887&gt;0),1,0)</f>
        <v>0</v>
      </c>
      <c r="Q887" s="53" t="n">
        <f aca="false">IF(P887=1,F887/E887*MIN(L887/K887,1)*MIN(MAX(M887/L887,0),1),0)</f>
        <v>0</v>
      </c>
      <c r="R887" s="55" t="n">
        <f aca="false">IF(F887&gt;0,N887/(F887/3600),0)</f>
        <v>14.1318245224563</v>
      </c>
    </row>
    <row r="888" customFormat="false" ht="15" hidden="false" customHeight="false" outlineLevel="0" collapsed="false">
      <c r="A888" s="0" t="s">
        <v>259</v>
      </c>
      <c r="B888" s="52" t="n">
        <v>44277</v>
      </c>
      <c r="C888" s="0" t="n">
        <v>43193.323</v>
      </c>
      <c r="D888" s="0" t="n">
        <v>10941.77</v>
      </c>
      <c r="E888" s="0" t="n">
        <v>32251.553</v>
      </c>
      <c r="F888" s="0" t="n">
        <v>13432.94</v>
      </c>
      <c r="G888" s="0" t="n">
        <v>10457.847</v>
      </c>
      <c r="H888" s="0" t="n">
        <v>2975.093</v>
      </c>
      <c r="I888" s="0" t="n">
        <v>9057.836</v>
      </c>
      <c r="J888" s="0" t="n">
        <v>9760.777</v>
      </c>
      <c r="K888" s="0" t="n">
        <v>23648.7548544444</v>
      </c>
      <c r="L888" s="0" t="n">
        <v>18448</v>
      </c>
      <c r="M888" s="0" t="n">
        <v>18352</v>
      </c>
      <c r="N888" s="0" t="n">
        <v>22</v>
      </c>
      <c r="O888" s="54" t="n">
        <f aca="false">YEAR(B888)</f>
        <v>2021</v>
      </c>
      <c r="P888" s="54" t="n">
        <f aca="false">IF(AND(E888&gt;=14400,K888&gt;0,L888&gt;0),1,0)</f>
        <v>1</v>
      </c>
      <c r="Q888" s="53" t="n">
        <f aca="false">IF(P888=1,F888/E888*MIN(L888/K888,1)*MIN(MAX(M888/L888,0),1),0)</f>
        <v>0.323218019021434</v>
      </c>
      <c r="R888" s="55" t="n">
        <f aca="false">IF(F888&gt;0,N888/(F888/3600),0)</f>
        <v>5.89595427359908</v>
      </c>
    </row>
    <row r="889" customFormat="false" ht="15" hidden="false" customHeight="false" outlineLevel="0" collapsed="false">
      <c r="A889" s="0" t="s">
        <v>259</v>
      </c>
      <c r="B889" s="52" t="n">
        <v>44278</v>
      </c>
      <c r="C889" s="0" t="n">
        <v>69275.163</v>
      </c>
      <c r="D889" s="0" t="n">
        <v>15864.775</v>
      </c>
      <c r="E889" s="0" t="n">
        <v>53410.388</v>
      </c>
      <c r="F889" s="0" t="n">
        <v>18807.359</v>
      </c>
      <c r="G889" s="0" t="n">
        <v>15845.936</v>
      </c>
      <c r="H889" s="0" t="n">
        <v>2961.423</v>
      </c>
      <c r="I889" s="0" t="n">
        <v>4998.843</v>
      </c>
      <c r="J889" s="0" t="n">
        <v>29604.186</v>
      </c>
      <c r="K889" s="0" t="n">
        <v>31949.4858561111</v>
      </c>
      <c r="L889" s="0" t="n">
        <v>26890</v>
      </c>
      <c r="M889" s="0" t="n">
        <v>26768</v>
      </c>
      <c r="N889" s="0" t="n">
        <v>42</v>
      </c>
      <c r="O889" s="54" t="n">
        <f aca="false">YEAR(B889)</f>
        <v>2021</v>
      </c>
      <c r="P889" s="54" t="n">
        <f aca="false">IF(AND(E889&gt;=14400,K889&gt;0,L889&gt;0),1,0)</f>
        <v>1</v>
      </c>
      <c r="Q889" s="53" t="n">
        <f aca="false">IF(P889=1,F889/E889*MIN(L889/K889,1)*MIN(MAX(M889/L889,0),1),0)</f>
        <v>0.295021815721993</v>
      </c>
      <c r="R889" s="55" t="n">
        <f aca="false">IF(F889&gt;0,N889/(F889/3600),0)</f>
        <v>8.03940627708547</v>
      </c>
    </row>
    <row r="890" customFormat="false" ht="15" hidden="false" customHeight="false" outlineLevel="0" collapsed="false">
      <c r="A890" s="0" t="s">
        <v>259</v>
      </c>
      <c r="B890" s="52" t="n">
        <v>44279</v>
      </c>
      <c r="C890" s="0" t="n">
        <v>54145.184</v>
      </c>
      <c r="D890" s="0" t="n">
        <v>9344.959</v>
      </c>
      <c r="E890" s="0" t="n">
        <v>44800.225</v>
      </c>
      <c r="F890" s="0" t="n">
        <v>24619.749</v>
      </c>
      <c r="G890" s="0" t="n">
        <v>18231.252</v>
      </c>
      <c r="H890" s="0" t="n">
        <v>6388.497</v>
      </c>
      <c r="I890" s="0" t="n">
        <v>8652.172</v>
      </c>
      <c r="J890" s="0" t="n">
        <v>11528.304</v>
      </c>
      <c r="K890" s="0" t="n">
        <v>42041.1662444444</v>
      </c>
      <c r="L890" s="0" t="n">
        <v>30839</v>
      </c>
      <c r="M890" s="0" t="n">
        <v>30673</v>
      </c>
      <c r="N890" s="0" t="n">
        <v>61</v>
      </c>
      <c r="O890" s="54" t="n">
        <f aca="false">YEAR(B890)</f>
        <v>2021</v>
      </c>
      <c r="P890" s="54" t="n">
        <f aca="false">IF(AND(E890&gt;=14400,K890&gt;0,L890&gt;0),1,0)</f>
        <v>1</v>
      </c>
      <c r="Q890" s="53" t="n">
        <f aca="false">IF(P890=1,F890/E890*MIN(L890/K890,1)*MIN(MAX(M890/L890,0),1),0)</f>
        <v>0.400945113896331</v>
      </c>
      <c r="R890" s="55" t="n">
        <f aca="false">IF(F890&gt;0,N890/(F890/3600),0)</f>
        <v>8.91966851489834</v>
      </c>
    </row>
    <row r="891" customFormat="false" ht="15" hidden="false" customHeight="false" outlineLevel="0" collapsed="false">
      <c r="A891" s="0" t="s">
        <v>259</v>
      </c>
      <c r="B891" s="52" t="n">
        <v>44280</v>
      </c>
      <c r="C891" s="0" t="n">
        <v>39552.221</v>
      </c>
      <c r="D891" s="0" t="n">
        <v>8195.302</v>
      </c>
      <c r="E891" s="0" t="n">
        <v>31356.919</v>
      </c>
      <c r="F891" s="0" t="n">
        <v>6824.59</v>
      </c>
      <c r="G891" s="0" t="n">
        <v>5950.88</v>
      </c>
      <c r="H891" s="0" t="n">
        <v>873.71</v>
      </c>
      <c r="I891" s="0" t="n">
        <v>3919.328</v>
      </c>
      <c r="J891" s="0" t="n">
        <v>20613.001</v>
      </c>
      <c r="K891" s="0" t="n">
        <v>11707.9632888889</v>
      </c>
      <c r="L891" s="0" t="n">
        <v>10156</v>
      </c>
      <c r="M891" s="0" t="n">
        <v>10086</v>
      </c>
      <c r="N891" s="0" t="n">
        <v>15</v>
      </c>
      <c r="O891" s="54" t="n">
        <f aca="false">YEAR(B891)</f>
        <v>2021</v>
      </c>
      <c r="P891" s="54" t="n">
        <f aca="false">IF(AND(E891&gt;=14400,K891&gt;0,L891&gt;0),1,0)</f>
        <v>1</v>
      </c>
      <c r="Q891" s="53" t="n">
        <f aca="false">IF(P891=1,F891/E891*MIN(L891/K891,1)*MIN(MAX(M891/L891,0),1),0)</f>
        <v>0.187491158736616</v>
      </c>
      <c r="R891" s="55" t="n">
        <f aca="false">IF(F891&gt;0,N891/(F891/3600),0)</f>
        <v>7.91256324555761</v>
      </c>
    </row>
    <row r="892" customFormat="false" ht="15" hidden="false" customHeight="false" outlineLevel="0" collapsed="false">
      <c r="A892" s="0" t="s">
        <v>259</v>
      </c>
      <c r="B892" s="52" t="n">
        <v>44281</v>
      </c>
      <c r="C892" s="0" t="n">
        <v>49224.466</v>
      </c>
      <c r="D892" s="0" t="n">
        <v>10264.876</v>
      </c>
      <c r="E892" s="0" t="n">
        <v>38959.59</v>
      </c>
      <c r="F892" s="0" t="n">
        <v>11360.891</v>
      </c>
      <c r="G892" s="0" t="n">
        <v>9799.749</v>
      </c>
      <c r="H892" s="0" t="n">
        <v>1561.142</v>
      </c>
      <c r="I892" s="0" t="n">
        <v>8076.962</v>
      </c>
      <c r="J892" s="0" t="n">
        <v>19521.737</v>
      </c>
      <c r="K892" s="0" t="n">
        <v>19490.2396711111</v>
      </c>
      <c r="L892" s="0" t="n">
        <v>16902</v>
      </c>
      <c r="M892" s="0" t="n">
        <v>16860</v>
      </c>
      <c r="N892" s="0" t="n">
        <v>18</v>
      </c>
      <c r="O892" s="54" t="n">
        <f aca="false">YEAR(B892)</f>
        <v>2021</v>
      </c>
      <c r="P892" s="54" t="n">
        <f aca="false">IF(AND(E892&gt;=14400,K892&gt;0,L892&gt;0),1,0)</f>
        <v>1</v>
      </c>
      <c r="Q892" s="53" t="n">
        <f aca="false">IF(P892=1,F892/E892*MIN(L892/K892,1)*MIN(MAX(M892/L892,0),1),0)</f>
        <v>0.252254199986547</v>
      </c>
      <c r="R892" s="55" t="n">
        <f aca="false">IF(F892&gt;0,N892/(F892/3600),0)</f>
        <v>5.70377798713147</v>
      </c>
    </row>
    <row r="893" customFormat="false" ht="15" hidden="false" customHeight="false" outlineLevel="0" collapsed="false">
      <c r="A893" s="0" t="s">
        <v>259</v>
      </c>
      <c r="B893" s="52" t="n">
        <v>44282</v>
      </c>
      <c r="C893" s="0" t="n">
        <v>30488.57</v>
      </c>
      <c r="D893" s="0" t="n">
        <v>11474.617</v>
      </c>
      <c r="E893" s="0" t="n">
        <v>19013.953</v>
      </c>
      <c r="F893" s="0" t="n">
        <v>13131.504</v>
      </c>
      <c r="G893" s="0" t="n">
        <v>10707.783</v>
      </c>
      <c r="H893" s="0" t="n">
        <v>2423.721</v>
      </c>
      <c r="I893" s="0" t="n">
        <v>2468.178</v>
      </c>
      <c r="J893" s="0" t="n">
        <v>3414.271</v>
      </c>
      <c r="K893" s="0" t="n">
        <v>23293.4692666667</v>
      </c>
      <c r="L893" s="0" t="n">
        <v>19039</v>
      </c>
      <c r="M893" s="0" t="n">
        <v>18981</v>
      </c>
      <c r="N893" s="0" t="n">
        <v>26</v>
      </c>
      <c r="O893" s="54" t="n">
        <f aca="false">YEAR(B893)</f>
        <v>2021</v>
      </c>
      <c r="P893" s="54" t="n">
        <f aca="false">IF(AND(E893&gt;=14400,K893&gt;0,L893&gt;0),1,0)</f>
        <v>1</v>
      </c>
      <c r="Q893" s="53" t="n">
        <f aca="false">IF(P893=1,F893/E893*MIN(L893/K893,1)*MIN(MAX(M893/L893,0),1),0)</f>
        <v>0.562764854686939</v>
      </c>
      <c r="R893" s="55" t="n">
        <f aca="false">IF(F893&gt;0,N893/(F893/3600),0)</f>
        <v>7.12789639328442</v>
      </c>
    </row>
    <row r="894" customFormat="false" ht="15" hidden="false" customHeight="false" outlineLevel="0" collapsed="false">
      <c r="A894" s="0" t="s">
        <v>259</v>
      </c>
      <c r="B894" s="52" t="n">
        <v>44283</v>
      </c>
      <c r="C894" s="0" t="n">
        <v>11979.252</v>
      </c>
      <c r="D894" s="0" t="n">
        <v>3690.81</v>
      </c>
      <c r="E894" s="0" t="n">
        <v>8288.442</v>
      </c>
      <c r="F894" s="0" t="n">
        <v>5500.957</v>
      </c>
      <c r="G894" s="0" t="n">
        <v>4426.477</v>
      </c>
      <c r="H894" s="0" t="n">
        <v>1074.48</v>
      </c>
      <c r="I894" s="0" t="n">
        <v>1413.421</v>
      </c>
      <c r="J894" s="0" t="n">
        <v>1374.064</v>
      </c>
      <c r="K894" s="0" t="n">
        <v>9698.94470222222</v>
      </c>
      <c r="L894" s="0" t="n">
        <v>7727</v>
      </c>
      <c r="M894" s="0" t="n">
        <v>7693</v>
      </c>
      <c r="N894" s="0" t="n">
        <v>9</v>
      </c>
      <c r="O894" s="54" t="n">
        <f aca="false">YEAR(B894)</f>
        <v>2021</v>
      </c>
      <c r="P894" s="54" t="n">
        <f aca="false">IF(AND(E894&gt;=14400,K894&gt;0,L894&gt;0),1,0)</f>
        <v>0</v>
      </c>
      <c r="Q894" s="53" t="n">
        <f aca="false">IF(P894=1,F894/E894*MIN(L894/K894,1)*MIN(MAX(M894/L894,0),1),0)</f>
        <v>0</v>
      </c>
      <c r="R894" s="55" t="n">
        <f aca="false">IF(F894&gt;0,N894/(F894/3600),0)</f>
        <v>5.88988425104941</v>
      </c>
    </row>
    <row r="895" customFormat="false" ht="15" hidden="false" customHeight="false" outlineLevel="0" collapsed="false">
      <c r="A895" s="0" t="s">
        <v>259</v>
      </c>
      <c r="B895" s="52" t="n">
        <v>44284</v>
      </c>
      <c r="C895" s="0" t="n">
        <v>57037.402</v>
      </c>
      <c r="D895" s="0" t="n">
        <v>9403.74</v>
      </c>
      <c r="E895" s="0" t="n">
        <v>47633.662</v>
      </c>
      <c r="F895" s="0" t="n">
        <v>17217.046</v>
      </c>
      <c r="G895" s="0" t="n">
        <v>11914.034</v>
      </c>
      <c r="H895" s="0" t="n">
        <v>5303.012</v>
      </c>
      <c r="I895" s="0" t="n">
        <v>9488.021</v>
      </c>
      <c r="J895" s="0" t="n">
        <v>20928.595</v>
      </c>
      <c r="K895" s="0" t="n">
        <v>31030.8044583333</v>
      </c>
      <c r="L895" s="0" t="n">
        <v>21483</v>
      </c>
      <c r="M895" s="0" t="n">
        <v>21378</v>
      </c>
      <c r="N895" s="0" t="n">
        <v>43</v>
      </c>
      <c r="O895" s="54" t="n">
        <f aca="false">YEAR(B895)</f>
        <v>2021</v>
      </c>
      <c r="P895" s="54" t="n">
        <f aca="false">IF(AND(E895&gt;=14400,K895&gt;0,L895&gt;0),1,0)</f>
        <v>1</v>
      </c>
      <c r="Q895" s="53" t="n">
        <f aca="false">IF(P895=1,F895/E895*MIN(L895/K895,1)*MIN(MAX(M895/L895,0),1),0)</f>
        <v>0.249011100283891</v>
      </c>
      <c r="R895" s="55" t="n">
        <f aca="false">IF(F895&gt;0,N895/(F895/3600),0)</f>
        <v>8.9910894122023</v>
      </c>
    </row>
    <row r="896" customFormat="false" ht="15" hidden="false" customHeight="false" outlineLevel="0" collapsed="false">
      <c r="A896" s="0" t="s">
        <v>259</v>
      </c>
      <c r="B896" s="52" t="n">
        <v>44285</v>
      </c>
      <c r="C896" s="0" t="n">
        <v>59029.516</v>
      </c>
      <c r="D896" s="0" t="n">
        <v>20174.04</v>
      </c>
      <c r="E896" s="0" t="n">
        <v>38855.476</v>
      </c>
      <c r="F896" s="0" t="n">
        <v>16340.02</v>
      </c>
      <c r="G896" s="0" t="n">
        <v>14175.356</v>
      </c>
      <c r="H896" s="0" t="n">
        <v>2164.664</v>
      </c>
      <c r="I896" s="0" t="n">
        <v>4525.731</v>
      </c>
      <c r="J896" s="0" t="n">
        <v>17989.725</v>
      </c>
      <c r="K896" s="0" t="n">
        <v>29502.8138888889</v>
      </c>
      <c r="L896" s="0" t="n">
        <v>25545</v>
      </c>
      <c r="M896" s="0" t="n">
        <v>25443</v>
      </c>
      <c r="N896" s="0" t="n">
        <v>53</v>
      </c>
      <c r="O896" s="54" t="n">
        <f aca="false">YEAR(B896)</f>
        <v>2021</v>
      </c>
      <c r="P896" s="54" t="n">
        <f aca="false">IF(AND(E896&gt;=14400,K896&gt;0,L896&gt;0),1,0)</f>
        <v>1</v>
      </c>
      <c r="Q896" s="53" t="n">
        <f aca="false">IF(P896=1,F896/E896*MIN(L896/K896,1)*MIN(MAX(M896/L896,0),1),0)</f>
        <v>0.362664652269546</v>
      </c>
      <c r="R896" s="55" t="n">
        <f aca="false">IF(F896&gt;0,N896/(F896/3600),0)</f>
        <v>11.6768522927145</v>
      </c>
    </row>
    <row r="897" customFormat="false" ht="15" hidden="false" customHeight="false" outlineLevel="0" collapsed="false">
      <c r="A897" s="0" t="s">
        <v>259</v>
      </c>
      <c r="B897" s="52" t="n">
        <v>44286</v>
      </c>
      <c r="C897" s="0" t="n">
        <v>85965.426</v>
      </c>
      <c r="D897" s="0" t="n">
        <v>9881.623</v>
      </c>
      <c r="E897" s="0" t="n">
        <v>76083.803</v>
      </c>
      <c r="F897" s="0" t="n">
        <v>29740.387</v>
      </c>
      <c r="G897" s="0" t="n">
        <v>25760.103</v>
      </c>
      <c r="H897" s="0" t="n">
        <v>3980.284</v>
      </c>
      <c r="I897" s="0" t="n">
        <v>6630.698</v>
      </c>
      <c r="J897" s="0" t="n">
        <v>39712.718</v>
      </c>
      <c r="K897" s="0" t="n">
        <v>52583.3803611111</v>
      </c>
      <c r="L897" s="0" t="n">
        <v>45274</v>
      </c>
      <c r="M897" s="0" t="n">
        <v>45206</v>
      </c>
      <c r="N897" s="0" t="n">
        <v>93</v>
      </c>
      <c r="O897" s="54" t="n">
        <f aca="false">YEAR(B897)</f>
        <v>2021</v>
      </c>
      <c r="P897" s="54" t="n">
        <f aca="false">IF(AND(E897&gt;=14400,K897&gt;0,L897&gt;0),1,0)</f>
        <v>1</v>
      </c>
      <c r="Q897" s="53" t="n">
        <f aca="false">IF(P897=1,F897/E897*MIN(L897/K897,1)*MIN(MAX(M897/L897,0),1),0)</f>
        <v>0.336048516254522</v>
      </c>
      <c r="R897" s="55" t="n">
        <f aca="false">IF(F897&gt;0,N897/(F897/3600),0)</f>
        <v>11.2574190779696</v>
      </c>
    </row>
    <row r="898" customFormat="false" ht="15" hidden="false" customHeight="false" outlineLevel="0" collapsed="false">
      <c r="A898" s="0" t="s">
        <v>259</v>
      </c>
      <c r="B898" s="52" t="n">
        <v>44287</v>
      </c>
      <c r="C898" s="0" t="n">
        <v>70128.386</v>
      </c>
      <c r="D898" s="0" t="n">
        <v>10641.342</v>
      </c>
      <c r="E898" s="0" t="n">
        <v>59487.044</v>
      </c>
      <c r="F898" s="0" t="n">
        <v>16853.722</v>
      </c>
      <c r="G898" s="0" t="n">
        <v>11331.624</v>
      </c>
      <c r="H898" s="0" t="n">
        <v>5522.098</v>
      </c>
      <c r="I898" s="0" t="n">
        <v>9738.16</v>
      </c>
      <c r="J898" s="0" t="n">
        <v>32895.162</v>
      </c>
      <c r="K898" s="0" t="n">
        <v>28285.2367388889</v>
      </c>
      <c r="L898" s="0" t="n">
        <v>19199</v>
      </c>
      <c r="M898" s="0" t="n">
        <v>19037</v>
      </c>
      <c r="N898" s="0" t="n">
        <v>61</v>
      </c>
      <c r="O898" s="54" t="n">
        <f aca="false">YEAR(B898)</f>
        <v>2021</v>
      </c>
      <c r="P898" s="54" t="n">
        <f aca="false">IF(AND(E898&gt;=14400,K898&gt;0,L898&gt;0),1,0)</f>
        <v>1</v>
      </c>
      <c r="Q898" s="53" t="n">
        <f aca="false">IF(P898=1,F898/E898*MIN(L898/K898,1)*MIN(MAX(M898/L898,0),1),0)</f>
        <v>0.190683067248341</v>
      </c>
      <c r="R898" s="55" t="n">
        <f aca="false">IF(F898&gt;0,N898/(F898/3600),0)</f>
        <v>13.029762802543</v>
      </c>
    </row>
    <row r="899" customFormat="false" ht="15" hidden="false" customHeight="false" outlineLevel="0" collapsed="false">
      <c r="A899" s="0" t="s">
        <v>259</v>
      </c>
      <c r="B899" s="52" t="n">
        <v>44288</v>
      </c>
      <c r="C899" s="0" t="n">
        <v>69268.377</v>
      </c>
      <c r="D899" s="0" t="n">
        <v>8993.797</v>
      </c>
      <c r="E899" s="0" t="n">
        <v>60274.58</v>
      </c>
      <c r="F899" s="0" t="n">
        <v>20908.991</v>
      </c>
      <c r="G899" s="0" t="n">
        <v>18223.544</v>
      </c>
      <c r="H899" s="0" t="n">
        <v>2685.447</v>
      </c>
      <c r="I899" s="0" t="n">
        <v>6246.667</v>
      </c>
      <c r="J899" s="0" t="n">
        <v>33118.922</v>
      </c>
      <c r="K899" s="0" t="n">
        <v>33667.0895861111</v>
      </c>
      <c r="L899" s="0" t="n">
        <v>29028</v>
      </c>
      <c r="M899" s="0" t="n">
        <v>28915</v>
      </c>
      <c r="N899" s="0" t="n">
        <v>65</v>
      </c>
      <c r="O899" s="54" t="n">
        <f aca="false">YEAR(B899)</f>
        <v>2021</v>
      </c>
      <c r="P899" s="54" t="n">
        <f aca="false">IF(AND(E899&gt;=14400,K899&gt;0,L899&gt;0),1,0)</f>
        <v>1</v>
      </c>
      <c r="Q899" s="53" t="n">
        <f aca="false">IF(P899=1,F899/E899*MIN(L899/K899,1)*MIN(MAX(M899/L899,0),1),0)</f>
        <v>0.297931556039905</v>
      </c>
      <c r="R899" s="55" t="n">
        <f aca="false">IF(F899&gt;0,N899/(F899/3600),0)</f>
        <v>11.1913578230533</v>
      </c>
    </row>
    <row r="900" customFormat="false" ht="15" hidden="false" customHeight="false" outlineLevel="0" collapsed="false">
      <c r="A900" s="0" t="s">
        <v>259</v>
      </c>
      <c r="B900" s="52" t="n">
        <v>44289</v>
      </c>
      <c r="C900" s="0" t="n">
        <v>25987.253</v>
      </c>
      <c r="D900" s="0" t="n">
        <v>8956.979</v>
      </c>
      <c r="E900" s="0" t="n">
        <v>17030.274</v>
      </c>
      <c r="F900" s="0" t="n">
        <v>7896.224</v>
      </c>
      <c r="G900" s="0" t="n">
        <v>5551.401</v>
      </c>
      <c r="H900" s="0" t="n">
        <v>2344.823</v>
      </c>
      <c r="I900" s="0" t="n">
        <v>2333.819</v>
      </c>
      <c r="J900" s="0" t="n">
        <v>6800.231</v>
      </c>
      <c r="K900" s="0" t="n">
        <v>13798.1815311111</v>
      </c>
      <c r="L900" s="0" t="n">
        <v>9642</v>
      </c>
      <c r="M900" s="0" t="n">
        <v>9568</v>
      </c>
      <c r="N900" s="0" t="n">
        <v>15</v>
      </c>
      <c r="O900" s="54" t="n">
        <f aca="false">YEAR(B900)</f>
        <v>2021</v>
      </c>
      <c r="P900" s="54" t="n">
        <f aca="false">IF(AND(E900&gt;=14400,K900&gt;0,L900&gt;0),1,0)</f>
        <v>1</v>
      </c>
      <c r="Q900" s="53" t="n">
        <f aca="false">IF(P900=1,F900/E900*MIN(L900/K900,1)*MIN(MAX(M900/L900,0),1),0)</f>
        <v>0.321511962872339</v>
      </c>
      <c r="R900" s="55" t="n">
        <f aca="false">IF(F900&gt;0,N900/(F900/3600),0)</f>
        <v>6.83871176906836</v>
      </c>
    </row>
    <row r="901" customFormat="false" ht="15" hidden="false" customHeight="false" outlineLevel="0" collapsed="false">
      <c r="A901" s="0" t="s">
        <v>259</v>
      </c>
      <c r="B901" s="52" t="n">
        <v>44290</v>
      </c>
      <c r="C901" s="0" t="n">
        <v>16322.883</v>
      </c>
      <c r="D901" s="0" t="n">
        <v>4074.246</v>
      </c>
      <c r="E901" s="0" t="n">
        <v>12248.637</v>
      </c>
      <c r="F901" s="0" t="n">
        <v>9499.865</v>
      </c>
      <c r="G901" s="0" t="n">
        <v>6069.802</v>
      </c>
      <c r="H901" s="0" t="n">
        <v>3430.063</v>
      </c>
      <c r="I901" s="0" t="n">
        <v>1389.077</v>
      </c>
      <c r="J901" s="0" t="n">
        <v>1359.695</v>
      </c>
      <c r="K901" s="0" t="n">
        <v>14632.3723066667</v>
      </c>
      <c r="L901" s="0" t="n">
        <v>8813</v>
      </c>
      <c r="M901" s="0" t="n">
        <v>8721</v>
      </c>
      <c r="N901" s="0" t="n">
        <v>15</v>
      </c>
      <c r="O901" s="54" t="n">
        <f aca="false">YEAR(B901)</f>
        <v>2021</v>
      </c>
      <c r="P901" s="54" t="n">
        <f aca="false">IF(AND(E901&gt;=14400,K901&gt;0,L901&gt;0),1,0)</f>
        <v>0</v>
      </c>
      <c r="Q901" s="53" t="n">
        <f aca="false">IF(P901=1,F901/E901*MIN(L901/K901,1)*MIN(MAX(M901/L901,0),1),0)</f>
        <v>0</v>
      </c>
      <c r="R901" s="55" t="n">
        <f aca="false">IF(F901&gt;0,N901/(F901/3600),0)</f>
        <v>5.68429130308694</v>
      </c>
    </row>
    <row r="902" customFormat="false" ht="15" hidden="false" customHeight="false" outlineLevel="0" collapsed="false">
      <c r="A902" s="0" t="s">
        <v>259</v>
      </c>
      <c r="B902" s="52" t="n">
        <v>44291</v>
      </c>
      <c r="C902" s="0" t="n">
        <v>44665.565</v>
      </c>
      <c r="D902" s="0" t="n">
        <v>5196.501</v>
      </c>
      <c r="E902" s="0" t="n">
        <v>39469.064</v>
      </c>
      <c r="F902" s="0" t="n">
        <v>13780.753</v>
      </c>
      <c r="G902" s="0" t="n">
        <v>10413.31</v>
      </c>
      <c r="H902" s="0" t="n">
        <v>3367.443</v>
      </c>
      <c r="I902" s="0" t="n">
        <v>3214.277</v>
      </c>
      <c r="J902" s="0" t="n">
        <v>22474.034</v>
      </c>
      <c r="K902" s="0" t="n">
        <v>20601.6228911111</v>
      </c>
      <c r="L902" s="0" t="n">
        <v>15186</v>
      </c>
      <c r="M902" s="0" t="n">
        <v>14841</v>
      </c>
      <c r="N902" s="0" t="n">
        <v>114</v>
      </c>
      <c r="O902" s="54" t="n">
        <f aca="false">YEAR(B902)</f>
        <v>2021</v>
      </c>
      <c r="P902" s="54" t="n">
        <f aca="false">IF(AND(E902&gt;=14400,K902&gt;0,L902&gt;0),1,0)</f>
        <v>1</v>
      </c>
      <c r="Q902" s="53" t="n">
        <f aca="false">IF(P902=1,F902/E902*MIN(L902/K902,1)*MIN(MAX(M902/L902,0),1),0)</f>
        <v>0.251523086210866</v>
      </c>
      <c r="R902" s="55" t="n">
        <f aca="false">IF(F902&gt;0,N902/(F902/3600),0)</f>
        <v>29.7806658315406</v>
      </c>
    </row>
    <row r="903" customFormat="false" ht="15" hidden="false" customHeight="false" outlineLevel="0" collapsed="false">
      <c r="A903" s="0" t="s">
        <v>259</v>
      </c>
      <c r="B903" s="52" t="n">
        <v>44292</v>
      </c>
      <c r="C903" s="0" t="n">
        <v>55683.45</v>
      </c>
      <c r="D903" s="0" t="n">
        <v>13511.189</v>
      </c>
      <c r="E903" s="0" t="n">
        <v>42172.261</v>
      </c>
      <c r="F903" s="0" t="n">
        <v>18306.602</v>
      </c>
      <c r="G903" s="0" t="n">
        <v>14080.391</v>
      </c>
      <c r="H903" s="0" t="n">
        <v>4226.211</v>
      </c>
      <c r="I903" s="0" t="n">
        <v>4133.574</v>
      </c>
      <c r="J903" s="0" t="n">
        <v>19732.085</v>
      </c>
      <c r="K903" s="0" t="n">
        <v>31582.4740977778</v>
      </c>
      <c r="L903" s="0" t="n">
        <v>24266</v>
      </c>
      <c r="M903" s="0" t="n">
        <v>24142</v>
      </c>
      <c r="N903" s="0" t="n">
        <v>47</v>
      </c>
      <c r="O903" s="54" t="n">
        <f aca="false">YEAR(B903)</f>
        <v>2021</v>
      </c>
      <c r="P903" s="54" t="n">
        <f aca="false">IF(AND(E903&gt;=14400,K903&gt;0,L903&gt;0),1,0)</f>
        <v>1</v>
      </c>
      <c r="Q903" s="53" t="n">
        <f aca="false">IF(P903=1,F903/E903*MIN(L903/K903,1)*MIN(MAX(M903/L903,0),1),0)</f>
        <v>0.33182411978572</v>
      </c>
      <c r="R903" s="55" t="n">
        <f aca="false">IF(F903&gt;0,N903/(F903/3600),0)</f>
        <v>9.24256724431984</v>
      </c>
    </row>
    <row r="904" customFormat="false" ht="15" hidden="false" customHeight="false" outlineLevel="0" collapsed="false">
      <c r="A904" s="0" t="s">
        <v>259</v>
      </c>
      <c r="B904" s="52" t="n">
        <v>44293</v>
      </c>
      <c r="C904" s="0" t="n">
        <v>50495.74</v>
      </c>
      <c r="D904" s="0" t="n">
        <v>12153.921</v>
      </c>
      <c r="E904" s="0" t="n">
        <v>38341.819</v>
      </c>
      <c r="F904" s="0" t="n">
        <v>9750.698</v>
      </c>
      <c r="G904" s="0" t="n">
        <v>7541.469</v>
      </c>
      <c r="H904" s="0" t="n">
        <v>2209.229</v>
      </c>
      <c r="I904" s="0" t="n">
        <v>2702.445</v>
      </c>
      <c r="J904" s="0" t="n">
        <v>25888.676</v>
      </c>
      <c r="K904" s="0" t="n">
        <v>17581.1151388889</v>
      </c>
      <c r="L904" s="0" t="n">
        <v>13512</v>
      </c>
      <c r="M904" s="0" t="n">
        <v>13418</v>
      </c>
      <c r="N904" s="0" t="n">
        <v>31</v>
      </c>
      <c r="O904" s="54" t="n">
        <f aca="false">YEAR(B904)</f>
        <v>2021</v>
      </c>
      <c r="P904" s="54" t="n">
        <f aca="false">IF(AND(E904&gt;=14400,K904&gt;0,L904&gt;0),1,0)</f>
        <v>1</v>
      </c>
      <c r="Q904" s="53" t="n">
        <f aca="false">IF(P904=1,F904/E904*MIN(L904/K904,1)*MIN(MAX(M904/L904,0),1),0)</f>
        <v>0.194090537318475</v>
      </c>
      <c r="R904" s="55" t="n">
        <f aca="false">IF(F904&gt;0,N904/(F904/3600),0)</f>
        <v>11.4453344775933</v>
      </c>
    </row>
    <row r="905" customFormat="false" ht="15" hidden="false" customHeight="false" outlineLevel="0" collapsed="false">
      <c r="A905" s="0" t="s">
        <v>259</v>
      </c>
      <c r="B905" s="52" t="n">
        <v>44294</v>
      </c>
      <c r="C905" s="0" t="n">
        <v>70559.449</v>
      </c>
      <c r="D905" s="0" t="n">
        <v>9452.498</v>
      </c>
      <c r="E905" s="0" t="n">
        <v>61106.951</v>
      </c>
      <c r="F905" s="0" t="n">
        <v>28006.99</v>
      </c>
      <c r="G905" s="0" t="n">
        <v>19433.661</v>
      </c>
      <c r="H905" s="0" t="n">
        <v>8573.329</v>
      </c>
      <c r="I905" s="0" t="n">
        <v>8072.148</v>
      </c>
      <c r="J905" s="0" t="n">
        <v>25027.813</v>
      </c>
      <c r="K905" s="0" t="n">
        <v>48929.5290222222</v>
      </c>
      <c r="L905" s="0" t="n">
        <v>34055</v>
      </c>
      <c r="M905" s="0" t="n">
        <v>33688</v>
      </c>
      <c r="N905" s="0" t="n">
        <v>103</v>
      </c>
      <c r="O905" s="54" t="n">
        <f aca="false">YEAR(B905)</f>
        <v>2021</v>
      </c>
      <c r="P905" s="54" t="n">
        <f aca="false">IF(AND(E905&gt;=14400,K905&gt;0,L905&gt;0),1,0)</f>
        <v>1</v>
      </c>
      <c r="Q905" s="53" t="n">
        <f aca="false">IF(P905=1,F905/E905*MIN(L905/K905,1)*MIN(MAX(M905/L905,0),1),0)</f>
        <v>0.315558595682681</v>
      </c>
      <c r="R905" s="55" t="n">
        <f aca="false">IF(F905&gt;0,N905/(F905/3600),0)</f>
        <v>13.2395519832727</v>
      </c>
    </row>
    <row r="906" customFormat="false" ht="15" hidden="false" customHeight="false" outlineLevel="0" collapsed="false">
      <c r="A906" s="0" t="s">
        <v>259</v>
      </c>
      <c r="B906" s="52" t="n">
        <v>44295</v>
      </c>
      <c r="C906" s="0" t="n">
        <v>38966.167</v>
      </c>
      <c r="D906" s="0" t="n">
        <v>11105.566</v>
      </c>
      <c r="E906" s="0" t="n">
        <v>27860.601</v>
      </c>
      <c r="F906" s="0" t="n">
        <v>11629.992</v>
      </c>
      <c r="G906" s="0" t="n">
        <v>8595.524</v>
      </c>
      <c r="H906" s="0" t="n">
        <v>3034.468</v>
      </c>
      <c r="I906" s="0" t="n">
        <v>6133.156</v>
      </c>
      <c r="J906" s="0" t="n">
        <v>10097.453</v>
      </c>
      <c r="K906" s="0" t="n">
        <v>18219.2601677778</v>
      </c>
      <c r="L906" s="0" t="n">
        <v>13272</v>
      </c>
      <c r="M906" s="0" t="n">
        <v>13011</v>
      </c>
      <c r="N906" s="0" t="n">
        <v>89</v>
      </c>
      <c r="O906" s="54" t="n">
        <f aca="false">YEAR(B906)</f>
        <v>2021</v>
      </c>
      <c r="P906" s="54" t="n">
        <f aca="false">IF(AND(E906&gt;=14400,K906&gt;0,L906&gt;0),1,0)</f>
        <v>1</v>
      </c>
      <c r="Q906" s="53" t="n">
        <f aca="false">IF(P906=1,F906/E906*MIN(L906/K906,1)*MIN(MAX(M906/L906,0),1),0)</f>
        <v>0.298104735267114</v>
      </c>
      <c r="R906" s="55" t="n">
        <f aca="false">IF(F906&gt;0,N906/(F906/3600),0)</f>
        <v>27.5494600512193</v>
      </c>
    </row>
    <row r="907" customFormat="false" ht="15" hidden="false" customHeight="false" outlineLevel="0" collapsed="false">
      <c r="A907" s="0" t="s">
        <v>259</v>
      </c>
      <c r="B907" s="52" t="n">
        <v>44296</v>
      </c>
      <c r="C907" s="0" t="n">
        <v>31034.097</v>
      </c>
      <c r="D907" s="0" t="n">
        <v>13634.222</v>
      </c>
      <c r="E907" s="0" t="n">
        <v>17399.875</v>
      </c>
      <c r="F907" s="0" t="n">
        <v>9155.004</v>
      </c>
      <c r="G907" s="0" t="n">
        <v>8301.835</v>
      </c>
      <c r="H907" s="0" t="n">
        <v>853.169</v>
      </c>
      <c r="I907" s="0" t="n">
        <v>2916.958</v>
      </c>
      <c r="J907" s="0" t="n">
        <v>5327.913</v>
      </c>
      <c r="K907" s="0" t="n">
        <v>16015.8561455556</v>
      </c>
      <c r="L907" s="0" t="n">
        <v>14387</v>
      </c>
      <c r="M907" s="0" t="n">
        <v>14369</v>
      </c>
      <c r="N907" s="0" t="n">
        <v>20</v>
      </c>
      <c r="O907" s="54" t="n">
        <f aca="false">YEAR(B907)</f>
        <v>2021</v>
      </c>
      <c r="P907" s="54" t="n">
        <f aca="false">IF(AND(E907&gt;=14400,K907&gt;0,L907&gt;0),1,0)</f>
        <v>1</v>
      </c>
      <c r="Q907" s="53" t="n">
        <f aca="false">IF(P907=1,F907/E907*MIN(L907/K907,1)*MIN(MAX(M907/L907,0),1),0)</f>
        <v>0.472050862529827</v>
      </c>
      <c r="R907" s="55" t="n">
        <f aca="false">IF(F907&gt;0,N907/(F907/3600),0)</f>
        <v>7.86455145186174</v>
      </c>
    </row>
    <row r="908" customFormat="false" ht="15" hidden="false" customHeight="false" outlineLevel="0" collapsed="false">
      <c r="A908" s="0" t="s">
        <v>259</v>
      </c>
      <c r="B908" s="52" t="n">
        <v>44297</v>
      </c>
      <c r="C908" s="0" t="n">
        <v>15561.055</v>
      </c>
      <c r="D908" s="0" t="n">
        <v>3677.986</v>
      </c>
      <c r="E908" s="0" t="n">
        <v>11883.069</v>
      </c>
      <c r="F908" s="0" t="n">
        <v>7235.411</v>
      </c>
      <c r="G908" s="0" t="n">
        <v>5273.371</v>
      </c>
      <c r="H908" s="0" t="n">
        <v>1962.04</v>
      </c>
      <c r="I908" s="0" t="n">
        <v>1969.628</v>
      </c>
      <c r="J908" s="0" t="n">
        <v>2678.03</v>
      </c>
      <c r="K908" s="0" t="n">
        <v>13063.9365277778</v>
      </c>
      <c r="L908" s="0" t="n">
        <v>9288</v>
      </c>
      <c r="M908" s="0" t="n">
        <v>9105</v>
      </c>
      <c r="N908" s="0" t="n">
        <v>49</v>
      </c>
      <c r="O908" s="54" t="n">
        <f aca="false">YEAR(B908)</f>
        <v>2021</v>
      </c>
      <c r="P908" s="54" t="n">
        <f aca="false">IF(AND(E908&gt;=14400,K908&gt;0,L908&gt;0),1,0)</f>
        <v>0</v>
      </c>
      <c r="Q908" s="53" t="n">
        <f aca="false">IF(P908=1,F908/E908*MIN(L908/K908,1)*MIN(MAX(M908/L908,0),1),0)</f>
        <v>0</v>
      </c>
      <c r="R908" s="55" t="n">
        <f aca="false">IF(F908&gt;0,N908/(F908/3600),0)</f>
        <v>24.380093957344</v>
      </c>
    </row>
    <row r="909" customFormat="false" ht="15" hidden="false" customHeight="false" outlineLevel="0" collapsed="false">
      <c r="A909" s="0" t="s">
        <v>259</v>
      </c>
      <c r="B909" s="52" t="n">
        <v>44298</v>
      </c>
      <c r="C909" s="0" t="n">
        <v>67395.529</v>
      </c>
      <c r="D909" s="0" t="n">
        <v>18082.893</v>
      </c>
      <c r="E909" s="0" t="n">
        <v>49312.636</v>
      </c>
      <c r="F909" s="0" t="n">
        <v>20813.612</v>
      </c>
      <c r="G909" s="0" t="n">
        <v>15223.8</v>
      </c>
      <c r="H909" s="0" t="n">
        <v>5589.812</v>
      </c>
      <c r="I909" s="0" t="n">
        <v>7849.785</v>
      </c>
      <c r="J909" s="0" t="n">
        <v>20649.239</v>
      </c>
      <c r="K909" s="0" t="n">
        <v>34050.4814380556</v>
      </c>
      <c r="L909" s="0" t="n">
        <v>24896</v>
      </c>
      <c r="M909" s="0" t="n">
        <v>24821</v>
      </c>
      <c r="N909" s="0" t="n">
        <v>81</v>
      </c>
      <c r="O909" s="54" t="n">
        <f aca="false">YEAR(B909)</f>
        <v>2021</v>
      </c>
      <c r="P909" s="54" t="n">
        <f aca="false">IF(AND(E909&gt;=14400,K909&gt;0,L909&gt;0),1,0)</f>
        <v>1</v>
      </c>
      <c r="Q909" s="53" t="n">
        <f aca="false">IF(P909=1,F909/E909*MIN(L909/K909,1)*MIN(MAX(M909/L909,0),1),0)</f>
        <v>0.307670072486122</v>
      </c>
      <c r="R909" s="55" t="n">
        <f aca="false">IF(F909&gt;0,N909/(F909/3600),0)</f>
        <v>14.0100622611779</v>
      </c>
    </row>
    <row r="910" customFormat="false" ht="15" hidden="false" customHeight="false" outlineLevel="0" collapsed="false">
      <c r="A910" s="0" t="s">
        <v>259</v>
      </c>
      <c r="B910" s="52" t="n">
        <v>44299</v>
      </c>
      <c r="C910" s="0" t="n">
        <v>50956.353</v>
      </c>
      <c r="D910" s="0" t="n">
        <v>9456.268</v>
      </c>
      <c r="E910" s="0" t="n">
        <v>41500.085</v>
      </c>
      <c r="F910" s="0" t="n">
        <v>21822.134</v>
      </c>
      <c r="G910" s="0" t="n">
        <v>18212.542</v>
      </c>
      <c r="H910" s="0" t="n">
        <v>3609.592</v>
      </c>
      <c r="I910" s="0" t="n">
        <v>5471.698</v>
      </c>
      <c r="J910" s="0" t="n">
        <v>14206.253</v>
      </c>
      <c r="K910" s="0" t="n">
        <v>37392.3694816667</v>
      </c>
      <c r="L910" s="0" t="n">
        <v>30948</v>
      </c>
      <c r="M910" s="0" t="n">
        <v>30869</v>
      </c>
      <c r="N910" s="0" t="n">
        <v>64</v>
      </c>
      <c r="O910" s="54" t="n">
        <f aca="false">YEAR(B910)</f>
        <v>2021</v>
      </c>
      <c r="P910" s="54" t="n">
        <f aca="false">IF(AND(E910&gt;=14400,K910&gt;0,L910&gt;0),1,0)</f>
        <v>1</v>
      </c>
      <c r="Q910" s="53" t="n">
        <f aca="false">IF(P910=1,F910/E910*MIN(L910/K910,1)*MIN(MAX(M910/L910,0),1),0)</f>
        <v>0.434098021413404</v>
      </c>
      <c r="R910" s="55" t="n">
        <f aca="false">IF(F910&gt;0,N910/(F910/3600),0)</f>
        <v>10.5580874904352</v>
      </c>
    </row>
    <row r="911" customFormat="false" ht="15" hidden="false" customHeight="false" outlineLevel="0" collapsed="false">
      <c r="A911" s="0" t="s">
        <v>259</v>
      </c>
      <c r="B911" s="52" t="n">
        <v>44300</v>
      </c>
      <c r="C911" s="0" t="n">
        <v>52116.008</v>
      </c>
      <c r="D911" s="0" t="n">
        <v>9582.232</v>
      </c>
      <c r="E911" s="0" t="n">
        <v>42533.776</v>
      </c>
      <c r="F911" s="0" t="n">
        <v>20223.046</v>
      </c>
      <c r="G911" s="0" t="n">
        <v>16390.471</v>
      </c>
      <c r="H911" s="0" t="n">
        <v>3832.575</v>
      </c>
      <c r="I911" s="0" t="n">
        <v>5205.684</v>
      </c>
      <c r="J911" s="0" t="n">
        <v>17105.046</v>
      </c>
      <c r="K911" s="0" t="n">
        <v>36513.8330555556</v>
      </c>
      <c r="L911" s="0" t="n">
        <v>29379</v>
      </c>
      <c r="M911" s="0" t="n">
        <v>29146</v>
      </c>
      <c r="N911" s="0" t="n">
        <v>78</v>
      </c>
      <c r="O911" s="54" t="n">
        <f aca="false">YEAR(B911)</f>
        <v>2021</v>
      </c>
      <c r="P911" s="54" t="n">
        <f aca="false">IF(AND(E911&gt;=14400,K911&gt;0,L911&gt;0),1,0)</f>
        <v>1</v>
      </c>
      <c r="Q911" s="53" t="n">
        <f aca="false">IF(P911=1,F911/E911*MIN(L911/K911,1)*MIN(MAX(M911/L911,0),1),0)</f>
        <v>0.379519561113032</v>
      </c>
      <c r="R911" s="55" t="n">
        <f aca="false">IF(F911&gt;0,N911/(F911/3600),0)</f>
        <v>13.8851486566366</v>
      </c>
    </row>
    <row r="912" customFormat="false" ht="15" hidden="false" customHeight="false" outlineLevel="0" collapsed="false">
      <c r="A912" s="0" t="s">
        <v>259</v>
      </c>
      <c r="B912" s="52" t="n">
        <v>44301</v>
      </c>
      <c r="C912" s="0" t="n">
        <v>48067.822</v>
      </c>
      <c r="D912" s="0" t="n">
        <v>10796.943</v>
      </c>
      <c r="E912" s="0" t="n">
        <v>37270.879</v>
      </c>
      <c r="F912" s="0" t="n">
        <v>22079.278</v>
      </c>
      <c r="G912" s="0" t="n">
        <v>18387.097</v>
      </c>
      <c r="H912" s="0" t="n">
        <v>3692.181</v>
      </c>
      <c r="I912" s="0" t="n">
        <v>6700.83</v>
      </c>
      <c r="J912" s="0" t="n">
        <v>8490.771</v>
      </c>
      <c r="K912" s="0" t="n">
        <v>39654.6867888889</v>
      </c>
      <c r="L912" s="0" t="n">
        <v>32688</v>
      </c>
      <c r="M912" s="0" t="n">
        <v>32569</v>
      </c>
      <c r="N912" s="0" t="n">
        <v>76</v>
      </c>
      <c r="O912" s="54" t="n">
        <f aca="false">YEAR(B912)</f>
        <v>2021</v>
      </c>
      <c r="P912" s="54" t="n">
        <f aca="false">IF(AND(E912&gt;=14400,K912&gt;0,L912&gt;0),1,0)</f>
        <v>1</v>
      </c>
      <c r="Q912" s="53" t="n">
        <f aca="false">IF(P912=1,F912/E912*MIN(L912/K912,1)*MIN(MAX(M912/L912,0),1),0)</f>
        <v>0.486547373639687</v>
      </c>
      <c r="R912" s="55" t="n">
        <f aca="false">IF(F912&gt;0,N912/(F912/3600),0)</f>
        <v>12.3917095477488</v>
      </c>
    </row>
    <row r="913" customFormat="false" ht="15" hidden="false" customHeight="false" outlineLevel="0" collapsed="false">
      <c r="A913" s="0" t="s">
        <v>259</v>
      </c>
      <c r="B913" s="52" t="n">
        <v>44302</v>
      </c>
      <c r="C913" s="0" t="n">
        <v>49791.414</v>
      </c>
      <c r="D913" s="0" t="n">
        <v>10695.501</v>
      </c>
      <c r="E913" s="0" t="n">
        <v>39095.913</v>
      </c>
      <c r="F913" s="0" t="n">
        <v>17970.521</v>
      </c>
      <c r="G913" s="0" t="n">
        <v>13745.178</v>
      </c>
      <c r="H913" s="0" t="n">
        <v>4225.343</v>
      </c>
      <c r="I913" s="0" t="n">
        <v>4491.22</v>
      </c>
      <c r="J913" s="0" t="n">
        <v>16634.172</v>
      </c>
      <c r="K913" s="0" t="n">
        <v>31312.6570972222</v>
      </c>
      <c r="L913" s="0" t="n">
        <v>23808</v>
      </c>
      <c r="M913" s="0" t="n">
        <v>23707</v>
      </c>
      <c r="N913" s="0" t="n">
        <v>34</v>
      </c>
      <c r="O913" s="54" t="n">
        <f aca="false">YEAR(B913)</f>
        <v>2021</v>
      </c>
      <c r="P913" s="54" t="n">
        <f aca="false">IF(AND(E913&gt;=14400,K913&gt;0,L913&gt;0),1,0)</f>
        <v>1</v>
      </c>
      <c r="Q913" s="53" t="n">
        <f aca="false">IF(P913=1,F913/E913*MIN(L913/K913,1)*MIN(MAX(M913/L913,0),1),0)</f>
        <v>0.348005402723293</v>
      </c>
      <c r="R913" s="55" t="n">
        <f aca="false">IF(F913&gt;0,N913/(F913/3600),0)</f>
        <v>6.81115477954145</v>
      </c>
    </row>
    <row r="914" customFormat="false" ht="15" hidden="false" customHeight="false" outlineLevel="0" collapsed="false">
      <c r="A914" s="0" t="s">
        <v>259</v>
      </c>
      <c r="B914" s="52" t="n">
        <v>44303</v>
      </c>
      <c r="C914" s="0" t="n">
        <v>27661.425</v>
      </c>
      <c r="D914" s="0" t="n">
        <v>3164.523</v>
      </c>
      <c r="E914" s="0" t="n">
        <v>24496.902</v>
      </c>
      <c r="F914" s="0" t="n">
        <v>12620.699</v>
      </c>
      <c r="G914" s="0" t="n">
        <v>10274.65</v>
      </c>
      <c r="H914" s="0" t="n">
        <v>2346.049</v>
      </c>
      <c r="I914" s="0" t="n">
        <v>3293.486</v>
      </c>
      <c r="J914" s="0" t="n">
        <v>8582.717</v>
      </c>
      <c r="K914" s="0" t="n">
        <v>20291.4368197222</v>
      </c>
      <c r="L914" s="0" t="n">
        <v>16239</v>
      </c>
      <c r="M914" s="0" t="n">
        <v>16102</v>
      </c>
      <c r="N914" s="0" t="n">
        <v>65</v>
      </c>
      <c r="O914" s="54" t="n">
        <f aca="false">YEAR(B914)</f>
        <v>2021</v>
      </c>
      <c r="P914" s="54" t="n">
        <f aca="false">IF(AND(E914&gt;=14400,K914&gt;0,L914&gt;0),1,0)</f>
        <v>1</v>
      </c>
      <c r="Q914" s="53" t="n">
        <f aca="false">IF(P914=1,F914/E914*MIN(L914/K914,1)*MIN(MAX(M914/L914,0),1),0)</f>
        <v>0.408826714209474</v>
      </c>
      <c r="R914" s="55" t="n">
        <f aca="false">IF(F914&gt;0,N914/(F914/3600),0)</f>
        <v>18.5409698781343</v>
      </c>
    </row>
    <row r="915" customFormat="false" ht="15" hidden="false" customHeight="false" outlineLevel="0" collapsed="false">
      <c r="A915" s="0" t="s">
        <v>259</v>
      </c>
      <c r="B915" s="52" t="n">
        <v>44304</v>
      </c>
      <c r="C915" s="0" t="n">
        <v>17578.446</v>
      </c>
      <c r="D915" s="0" t="n">
        <v>3760.301</v>
      </c>
      <c r="E915" s="0" t="n">
        <v>13818.145</v>
      </c>
      <c r="F915" s="0" t="n">
        <v>9776.155</v>
      </c>
      <c r="G915" s="0" t="n">
        <v>7969.182</v>
      </c>
      <c r="H915" s="0" t="n">
        <v>1806.973</v>
      </c>
      <c r="I915" s="0" t="n">
        <v>1871.629</v>
      </c>
      <c r="J915" s="0" t="n">
        <v>2170.361</v>
      </c>
      <c r="K915" s="0" t="n">
        <v>16753.1149138889</v>
      </c>
      <c r="L915" s="0" t="n">
        <v>13432</v>
      </c>
      <c r="M915" s="0" t="n">
        <v>13392</v>
      </c>
      <c r="N915" s="0" t="n">
        <v>19</v>
      </c>
      <c r="O915" s="54" t="n">
        <f aca="false">YEAR(B915)</f>
        <v>2021</v>
      </c>
      <c r="P915" s="54" t="n">
        <f aca="false">IF(AND(E915&gt;=14400,K915&gt;0,L915&gt;0),1,0)</f>
        <v>0</v>
      </c>
      <c r="Q915" s="53" t="n">
        <f aca="false">IF(P915=1,F915/E915*MIN(L915/K915,1)*MIN(MAX(M915/L915,0),1),0)</f>
        <v>0</v>
      </c>
      <c r="R915" s="55" t="n">
        <f aca="false">IF(F915&gt;0,N915/(F915/3600),0)</f>
        <v>6.99661574514725</v>
      </c>
    </row>
    <row r="916" customFormat="false" ht="15" hidden="false" customHeight="false" outlineLevel="0" collapsed="false">
      <c r="A916" s="0" t="s">
        <v>259</v>
      </c>
      <c r="B916" s="52" t="n">
        <v>44305</v>
      </c>
      <c r="C916" s="0" t="n">
        <v>39025.055</v>
      </c>
      <c r="D916" s="0" t="n">
        <v>11345.381</v>
      </c>
      <c r="E916" s="0" t="n">
        <v>27679.674</v>
      </c>
      <c r="F916" s="0" t="n">
        <v>7987.344</v>
      </c>
      <c r="G916" s="0" t="n">
        <v>7169.375</v>
      </c>
      <c r="H916" s="0" t="n">
        <v>817.969</v>
      </c>
      <c r="I916" s="0" t="n">
        <v>2577.076</v>
      </c>
      <c r="J916" s="0" t="n">
        <v>17115.254</v>
      </c>
      <c r="K916" s="0" t="n">
        <v>14150.0643555556</v>
      </c>
      <c r="L916" s="0" t="n">
        <v>12725</v>
      </c>
      <c r="M916" s="0" t="n">
        <v>12723</v>
      </c>
      <c r="N916" s="0" t="n">
        <v>21</v>
      </c>
      <c r="O916" s="54" t="n">
        <f aca="false">YEAR(B916)</f>
        <v>2021</v>
      </c>
      <c r="P916" s="54" t="n">
        <f aca="false">IF(AND(E916&gt;=14400,K916&gt;0,L916&gt;0),1,0)</f>
        <v>1</v>
      </c>
      <c r="Q916" s="53" t="n">
        <f aca="false">IF(P916=1,F916/E916*MIN(L916/K916,1)*MIN(MAX(M916/L916,0),1),0)</f>
        <v>0.259461264506861</v>
      </c>
      <c r="R916" s="55" t="n">
        <f aca="false">IF(F916&gt;0,N916/(F916/3600),0)</f>
        <v>9.46497358821656</v>
      </c>
    </row>
    <row r="917" customFormat="false" ht="15" hidden="false" customHeight="false" outlineLevel="0" collapsed="false">
      <c r="A917" s="0" t="s">
        <v>259</v>
      </c>
      <c r="B917" s="52" t="n">
        <v>44306</v>
      </c>
      <c r="C917" s="0" t="n">
        <v>44204.12</v>
      </c>
      <c r="D917" s="0" t="n">
        <v>9665.723</v>
      </c>
      <c r="E917" s="0" t="n">
        <v>34538.397</v>
      </c>
      <c r="F917" s="0" t="n">
        <v>25035.825</v>
      </c>
      <c r="G917" s="0" t="n">
        <v>20808.432</v>
      </c>
      <c r="H917" s="0" t="n">
        <v>4227.393</v>
      </c>
      <c r="I917" s="0" t="n">
        <v>5022.977</v>
      </c>
      <c r="J917" s="0" t="n">
        <v>4479.595</v>
      </c>
      <c r="K917" s="0" t="n">
        <v>39078.4051577778</v>
      </c>
      <c r="L917" s="0" t="n">
        <v>32687</v>
      </c>
      <c r="M917" s="0" t="n">
        <v>32438</v>
      </c>
      <c r="N917" s="0" t="n">
        <v>87</v>
      </c>
      <c r="O917" s="54" t="n">
        <f aca="false">YEAR(B917)</f>
        <v>2021</v>
      </c>
      <c r="P917" s="54" t="n">
        <f aca="false">IF(AND(E917&gt;=14400,K917&gt;0,L917&gt;0),1,0)</f>
        <v>1</v>
      </c>
      <c r="Q917" s="53" t="n">
        <f aca="false">IF(P917=1,F917/E917*MIN(L917/K917,1)*MIN(MAX(M917/L917,0),1),0)</f>
        <v>0.601695783649605</v>
      </c>
      <c r="R917" s="55" t="n">
        <f aca="false">IF(F917&gt;0,N917/(F917/3600),0)</f>
        <v>12.5100730652974</v>
      </c>
    </row>
    <row r="918" customFormat="false" ht="15" hidden="false" customHeight="false" outlineLevel="0" collapsed="false">
      <c r="A918" s="0" t="s">
        <v>259</v>
      </c>
      <c r="B918" s="52" t="n">
        <v>44307</v>
      </c>
      <c r="C918" s="0" t="n">
        <v>48787.315</v>
      </c>
      <c r="D918" s="0" t="n">
        <v>9008.245</v>
      </c>
      <c r="E918" s="0" t="n">
        <v>39779.07</v>
      </c>
      <c r="F918" s="0" t="n">
        <v>21744.025</v>
      </c>
      <c r="G918" s="0" t="n">
        <v>17685.519</v>
      </c>
      <c r="H918" s="0" t="n">
        <v>4058.506</v>
      </c>
      <c r="I918" s="0" t="n">
        <v>3828.824</v>
      </c>
      <c r="J918" s="0" t="n">
        <v>14206.221</v>
      </c>
      <c r="K918" s="0" t="n">
        <v>39092.10961</v>
      </c>
      <c r="L918" s="0" t="n">
        <v>31775</v>
      </c>
      <c r="M918" s="0" t="n">
        <v>31724</v>
      </c>
      <c r="N918" s="0" t="n">
        <v>57</v>
      </c>
      <c r="O918" s="54" t="n">
        <f aca="false">YEAR(B918)</f>
        <v>2021</v>
      </c>
      <c r="P918" s="54" t="n">
        <f aca="false">IF(AND(E918&gt;=14400,K918&gt;0,L918&gt;0),1,0)</f>
        <v>1</v>
      </c>
      <c r="Q918" s="53" t="n">
        <f aca="false">IF(P918=1,F918/E918*MIN(L918/K918,1)*MIN(MAX(M918/L918,0),1),0)</f>
        <v>0.443592450851085</v>
      </c>
      <c r="R918" s="55" t="n">
        <f aca="false">IF(F918&gt;0,N918/(F918/3600),0)</f>
        <v>9.43707524250915</v>
      </c>
    </row>
    <row r="919" customFormat="false" ht="15" hidden="false" customHeight="false" outlineLevel="0" collapsed="false">
      <c r="A919" s="0" t="s">
        <v>259</v>
      </c>
      <c r="B919" s="52" t="n">
        <v>44308</v>
      </c>
      <c r="C919" s="0" t="n">
        <v>47948.247</v>
      </c>
      <c r="D919" s="0" t="n">
        <v>9334.954</v>
      </c>
      <c r="E919" s="0" t="n">
        <v>38613.293</v>
      </c>
      <c r="F919" s="0" t="n">
        <v>20699.466</v>
      </c>
      <c r="G919" s="0" t="n">
        <v>15183.706</v>
      </c>
      <c r="H919" s="0" t="n">
        <v>5515.76</v>
      </c>
      <c r="I919" s="0" t="n">
        <v>7519.434</v>
      </c>
      <c r="J919" s="0" t="n">
        <v>10394.393</v>
      </c>
      <c r="K919" s="0" t="n">
        <v>37372.3475233333</v>
      </c>
      <c r="L919" s="0" t="n">
        <v>27350</v>
      </c>
      <c r="M919" s="0" t="n">
        <v>27192</v>
      </c>
      <c r="N919" s="0" t="n">
        <v>82</v>
      </c>
      <c r="O919" s="54" t="n">
        <f aca="false">YEAR(B919)</f>
        <v>2021</v>
      </c>
      <c r="P919" s="54" t="n">
        <f aca="false">IF(AND(E919&gt;=14400,K919&gt;0,L919&gt;0),1,0)</f>
        <v>1</v>
      </c>
      <c r="Q919" s="53" t="n">
        <f aca="false">IF(P919=1,F919/E919*MIN(L919/K919,1)*MIN(MAX(M919/L919,0),1),0)</f>
        <v>0.390043526330353</v>
      </c>
      <c r="R919" s="55" t="n">
        <f aca="false">IF(F919&gt;0,N919/(F919/3600),0)</f>
        <v>14.261237463807</v>
      </c>
    </row>
    <row r="920" customFormat="false" ht="15" hidden="false" customHeight="false" outlineLevel="0" collapsed="false">
      <c r="A920" s="0" t="s">
        <v>259</v>
      </c>
      <c r="B920" s="52" t="n">
        <v>44309</v>
      </c>
      <c r="C920" s="0" t="n">
        <v>39041.734</v>
      </c>
      <c r="D920" s="0" t="n">
        <v>10819.725</v>
      </c>
      <c r="E920" s="0" t="n">
        <v>28222.009</v>
      </c>
      <c r="F920" s="0" t="n">
        <v>17800.869</v>
      </c>
      <c r="G920" s="0" t="n">
        <v>14370.974</v>
      </c>
      <c r="H920" s="0" t="n">
        <v>3429.895</v>
      </c>
      <c r="I920" s="0" t="n">
        <v>5875.723</v>
      </c>
      <c r="J920" s="0" t="n">
        <v>4545.417</v>
      </c>
      <c r="K920" s="0" t="n">
        <v>29066.0069416667</v>
      </c>
      <c r="L920" s="0" t="n">
        <v>23493</v>
      </c>
      <c r="M920" s="0" t="n">
        <v>23278</v>
      </c>
      <c r="N920" s="0" t="n">
        <v>89</v>
      </c>
      <c r="O920" s="54" t="n">
        <f aca="false">YEAR(B920)</f>
        <v>2021</v>
      </c>
      <c r="P920" s="54" t="n">
        <f aca="false">IF(AND(E920&gt;=14400,K920&gt;0,L920&gt;0),1,0)</f>
        <v>1</v>
      </c>
      <c r="Q920" s="53" t="n">
        <f aca="false">IF(P920=1,F920/E920*MIN(L920/K920,1)*MIN(MAX(M920/L920,0),1),0)</f>
        <v>0.505142104261778</v>
      </c>
      <c r="R920" s="55" t="n">
        <f aca="false">IF(F920&gt;0,N920/(F920/3600),0)</f>
        <v>17.9991212788544</v>
      </c>
    </row>
    <row r="921" customFormat="false" ht="15" hidden="false" customHeight="false" outlineLevel="0" collapsed="false">
      <c r="A921" s="0" t="s">
        <v>259</v>
      </c>
      <c r="B921" s="52" t="n">
        <v>44310</v>
      </c>
      <c r="C921" s="0" t="n">
        <v>29452.284</v>
      </c>
      <c r="D921" s="0" t="n">
        <v>11767.62</v>
      </c>
      <c r="E921" s="0" t="n">
        <v>17684.664</v>
      </c>
      <c r="F921" s="0" t="n">
        <v>10154.741</v>
      </c>
      <c r="G921" s="0" t="n">
        <v>8864.358</v>
      </c>
      <c r="H921" s="0" t="n">
        <v>1290.383</v>
      </c>
      <c r="I921" s="0" t="n">
        <v>2047.242</v>
      </c>
      <c r="J921" s="0" t="n">
        <v>5482.681</v>
      </c>
      <c r="K921" s="0" t="n">
        <v>17379.2924761111</v>
      </c>
      <c r="L921" s="0" t="n">
        <v>15422</v>
      </c>
      <c r="M921" s="0" t="n">
        <v>15258</v>
      </c>
      <c r="N921" s="0" t="n">
        <v>23</v>
      </c>
      <c r="O921" s="54" t="n">
        <f aca="false">YEAR(B921)</f>
        <v>2021</v>
      </c>
      <c r="P921" s="54" t="n">
        <f aca="false">IF(AND(E921&gt;=14400,K921&gt;0,L921&gt;0),1,0)</f>
        <v>1</v>
      </c>
      <c r="Q921" s="53" t="n">
        <f aca="false">IF(P921=1,F921/E921*MIN(L921/K921,1)*MIN(MAX(M921/L921,0),1),0)</f>
        <v>0.50412421267685</v>
      </c>
      <c r="R921" s="55" t="n">
        <f aca="false">IF(F921&gt;0,N921/(F921/3600),0)</f>
        <v>8.15382686766703</v>
      </c>
    </row>
    <row r="922" customFormat="false" ht="15" hidden="false" customHeight="false" outlineLevel="0" collapsed="false">
      <c r="A922" s="0" t="s">
        <v>259</v>
      </c>
      <c r="B922" s="52" t="n">
        <v>44311</v>
      </c>
      <c r="C922" s="0" t="n">
        <v>15895.636</v>
      </c>
      <c r="D922" s="0" t="n">
        <v>3338.618</v>
      </c>
      <c r="E922" s="0" t="n">
        <v>12557.018</v>
      </c>
      <c r="F922" s="0" t="n">
        <v>9519.304</v>
      </c>
      <c r="G922" s="0" t="n">
        <v>6855.768</v>
      </c>
      <c r="H922" s="0" t="n">
        <v>2663.536</v>
      </c>
      <c r="I922" s="0" t="n">
        <v>790.023</v>
      </c>
      <c r="J922" s="0" t="n">
        <v>2247.691</v>
      </c>
      <c r="K922" s="0" t="n">
        <v>17058.4841033333</v>
      </c>
      <c r="L922" s="0" t="n">
        <v>12196</v>
      </c>
      <c r="M922" s="0" t="n">
        <v>12160</v>
      </c>
      <c r="N922" s="0" t="n">
        <v>13</v>
      </c>
      <c r="O922" s="54" t="n">
        <f aca="false">YEAR(B922)</f>
        <v>2021</v>
      </c>
      <c r="P922" s="54" t="n">
        <f aca="false">IF(AND(E922&gt;=14400,K922&gt;0,L922&gt;0),1,0)</f>
        <v>0</v>
      </c>
      <c r="Q922" s="53" t="n">
        <f aca="false">IF(P922=1,F922/E922*MIN(L922/K922,1)*MIN(MAX(M922/L922,0),1),0)</f>
        <v>0</v>
      </c>
      <c r="R922" s="55" t="n">
        <f aca="false">IF(F922&gt;0,N922/(F922/3600),0)</f>
        <v>4.91632581541676</v>
      </c>
    </row>
    <row r="923" customFormat="false" ht="15" hidden="false" customHeight="false" outlineLevel="0" collapsed="false">
      <c r="A923" s="0" t="s">
        <v>259</v>
      </c>
      <c r="B923" s="52" t="n">
        <v>44312</v>
      </c>
      <c r="C923" s="0" t="n">
        <v>76601.491</v>
      </c>
      <c r="D923" s="0" t="n">
        <v>11706.367</v>
      </c>
      <c r="E923" s="0" t="n">
        <v>64895.124</v>
      </c>
      <c r="F923" s="0" t="n">
        <v>32185.097</v>
      </c>
      <c r="G923" s="0" t="n">
        <v>20892.034</v>
      </c>
      <c r="H923" s="0" t="n">
        <v>11293.063</v>
      </c>
      <c r="I923" s="0" t="n">
        <v>5979.54</v>
      </c>
      <c r="J923" s="0" t="n">
        <v>26730.487</v>
      </c>
      <c r="K923" s="0" t="n">
        <v>53795.6744288889</v>
      </c>
      <c r="L923" s="0" t="n">
        <v>34745</v>
      </c>
      <c r="M923" s="0" t="n">
        <v>34455</v>
      </c>
      <c r="N923" s="0" t="n">
        <v>79</v>
      </c>
      <c r="O923" s="54" t="n">
        <f aca="false">YEAR(B923)</f>
        <v>2021</v>
      </c>
      <c r="P923" s="54" t="n">
        <f aca="false">IF(AND(E923&gt;=14400,K923&gt;0,L923&gt;0),1,0)</f>
        <v>1</v>
      </c>
      <c r="Q923" s="53" t="n">
        <f aca="false">IF(P923=1,F923/E923*MIN(L923/K923,1)*MIN(MAX(M923/L923,0),1),0)</f>
        <v>0.317649117729267</v>
      </c>
      <c r="R923" s="55" t="n">
        <f aca="false">IF(F923&gt;0,N923/(F923/3600),0)</f>
        <v>8.83638784745623</v>
      </c>
    </row>
    <row r="924" customFormat="false" ht="15" hidden="false" customHeight="false" outlineLevel="0" collapsed="false">
      <c r="A924" s="0" t="s">
        <v>259</v>
      </c>
      <c r="B924" s="52" t="n">
        <v>44313</v>
      </c>
      <c r="C924" s="0" t="n">
        <v>41254.562</v>
      </c>
      <c r="D924" s="0" t="n">
        <v>9017.359</v>
      </c>
      <c r="E924" s="0" t="n">
        <v>32237.203</v>
      </c>
      <c r="F924" s="0" t="n">
        <v>22723.327</v>
      </c>
      <c r="G924" s="0" t="n">
        <v>14415.499</v>
      </c>
      <c r="H924" s="0" t="n">
        <v>8307.828</v>
      </c>
      <c r="I924" s="0" t="n">
        <v>3229.585</v>
      </c>
      <c r="J924" s="0" t="n">
        <v>6284.291</v>
      </c>
      <c r="K924" s="0" t="n">
        <v>39155.6551205556</v>
      </c>
      <c r="L924" s="0" t="n">
        <v>24982</v>
      </c>
      <c r="M924" s="0" t="n">
        <v>24874</v>
      </c>
      <c r="N924" s="0" t="n">
        <v>31</v>
      </c>
      <c r="O924" s="54" t="n">
        <f aca="false">YEAR(B924)</f>
        <v>2021</v>
      </c>
      <c r="P924" s="54" t="n">
        <f aca="false">IF(AND(E924&gt;=14400,K924&gt;0,L924&gt;0),1,0)</f>
        <v>1</v>
      </c>
      <c r="Q924" s="53" t="n">
        <f aca="false">IF(P924=1,F924/E924*MIN(L924/K924,1)*MIN(MAX(M924/L924,0),1),0)</f>
        <v>0.447781038856646</v>
      </c>
      <c r="R924" s="55" t="n">
        <f aca="false">IF(F924&gt;0,N924/(F924/3600),0)</f>
        <v>4.91125265239549</v>
      </c>
    </row>
    <row r="925" customFormat="false" ht="15" hidden="false" customHeight="false" outlineLevel="0" collapsed="false">
      <c r="A925" s="0" t="s">
        <v>259</v>
      </c>
      <c r="B925" s="52" t="n">
        <v>44314</v>
      </c>
      <c r="C925" s="0" t="n">
        <v>54481.713</v>
      </c>
      <c r="D925" s="0" t="n">
        <v>9343.651</v>
      </c>
      <c r="E925" s="0" t="n">
        <v>45138.062</v>
      </c>
      <c r="F925" s="0" t="n">
        <v>20240.65</v>
      </c>
      <c r="G925" s="0" t="n">
        <v>16222.042</v>
      </c>
      <c r="H925" s="0" t="n">
        <v>4018.608</v>
      </c>
      <c r="I925" s="0" t="n">
        <v>6602.778</v>
      </c>
      <c r="J925" s="0" t="n">
        <v>18294.634</v>
      </c>
      <c r="K925" s="0" t="n">
        <v>36219.4534655556</v>
      </c>
      <c r="L925" s="0" t="n">
        <v>28743</v>
      </c>
      <c r="M925" s="0" t="n">
        <v>28701</v>
      </c>
      <c r="N925" s="0" t="n">
        <v>87</v>
      </c>
      <c r="O925" s="54" t="n">
        <f aca="false">YEAR(B925)</f>
        <v>2021</v>
      </c>
      <c r="P925" s="54" t="n">
        <f aca="false">IF(AND(E925&gt;=14400,K925&gt;0,L925&gt;0),1,0)</f>
        <v>1</v>
      </c>
      <c r="Q925" s="53" t="n">
        <f aca="false">IF(P925=1,F925/E925*MIN(L925/K925,1)*MIN(MAX(M925/L925,0),1),0)</f>
        <v>0.355333932569582</v>
      </c>
      <c r="R925" s="55" t="n">
        <f aca="false">IF(F925&gt;0,N925/(F925/3600),0)</f>
        <v>15.4738113647536</v>
      </c>
    </row>
    <row r="926" customFormat="false" ht="15" hidden="false" customHeight="false" outlineLevel="0" collapsed="false">
      <c r="A926" s="0" t="s">
        <v>259</v>
      </c>
      <c r="B926" s="52" t="n">
        <v>44315</v>
      </c>
      <c r="C926" s="0" t="n">
        <v>55168.567</v>
      </c>
      <c r="D926" s="0" t="n">
        <v>9544.237</v>
      </c>
      <c r="E926" s="0" t="n">
        <v>45624.33</v>
      </c>
      <c r="F926" s="0" t="n">
        <v>23220.311</v>
      </c>
      <c r="G926" s="0" t="n">
        <v>17884.032</v>
      </c>
      <c r="H926" s="0" t="n">
        <v>5336.279</v>
      </c>
      <c r="I926" s="0" t="n">
        <v>6352.508</v>
      </c>
      <c r="J926" s="0" t="n">
        <v>16051.511</v>
      </c>
      <c r="K926" s="0" t="n">
        <v>40853.5740166667</v>
      </c>
      <c r="L926" s="0" t="n">
        <v>31334</v>
      </c>
      <c r="M926" s="0" t="n">
        <v>31258</v>
      </c>
      <c r="N926" s="0" t="n">
        <v>58</v>
      </c>
      <c r="O926" s="54" t="n">
        <f aca="false">YEAR(B926)</f>
        <v>2021</v>
      </c>
      <c r="P926" s="54" t="n">
        <f aca="false">IF(AND(E926&gt;=14400,K926&gt;0,L926&gt;0),1,0)</f>
        <v>1</v>
      </c>
      <c r="Q926" s="53" t="n">
        <f aca="false">IF(P926=1,F926/E926*MIN(L926/K926,1)*MIN(MAX(M926/L926,0),1),0)</f>
        <v>0.389406021611339</v>
      </c>
      <c r="R926" s="55" t="n">
        <f aca="false">IF(F926&gt;0,N926/(F926/3600),0)</f>
        <v>8.99212762481949</v>
      </c>
    </row>
    <row r="927" customFormat="false" ht="15" hidden="false" customHeight="false" outlineLevel="0" collapsed="false">
      <c r="A927" s="0" t="s">
        <v>259</v>
      </c>
      <c r="B927" s="52" t="n">
        <v>44316</v>
      </c>
      <c r="C927" s="0" t="n">
        <v>45597.47</v>
      </c>
      <c r="D927" s="0" t="n">
        <v>9623.159</v>
      </c>
      <c r="E927" s="0" t="n">
        <v>35974.311</v>
      </c>
      <c r="F927" s="0" t="n">
        <v>24956.167</v>
      </c>
      <c r="G927" s="0" t="n">
        <v>18652.185</v>
      </c>
      <c r="H927" s="0" t="n">
        <v>6303.982</v>
      </c>
      <c r="I927" s="0" t="n">
        <v>4758.081</v>
      </c>
      <c r="J927" s="0" t="n">
        <v>6260.063</v>
      </c>
      <c r="K927" s="0" t="n">
        <v>42610.2902211111</v>
      </c>
      <c r="L927" s="0" t="n">
        <v>31812</v>
      </c>
      <c r="M927" s="0" t="n">
        <v>31728</v>
      </c>
      <c r="N927" s="0" t="n">
        <v>45</v>
      </c>
      <c r="O927" s="54" t="n">
        <f aca="false">YEAR(B927)</f>
        <v>2021</v>
      </c>
      <c r="P927" s="54" t="n">
        <f aca="false">IF(AND(E927&gt;=14400,K927&gt;0,L927&gt;0),1,0)</f>
        <v>1</v>
      </c>
      <c r="Q927" s="53" t="n">
        <f aca="false">IF(P927=1,F927/E927*MIN(L927/K927,1)*MIN(MAX(M927/L927,0),1),0)</f>
        <v>0.516551471381796</v>
      </c>
      <c r="R927" s="55" t="n">
        <f aca="false">IF(F927&gt;0,N927/(F927/3600),0)</f>
        <v>6.49138146895715</v>
      </c>
    </row>
    <row r="928" customFormat="false" ht="15" hidden="false" customHeight="false" outlineLevel="0" collapsed="false">
      <c r="A928" s="0" t="s">
        <v>259</v>
      </c>
      <c r="B928" s="52" t="n">
        <v>44317</v>
      </c>
      <c r="C928" s="0" t="n">
        <v>33007.093</v>
      </c>
      <c r="D928" s="0" t="n">
        <v>14335.672</v>
      </c>
      <c r="E928" s="0" t="n">
        <v>18671.421</v>
      </c>
      <c r="F928" s="0" t="n">
        <v>9819.127</v>
      </c>
      <c r="G928" s="0" t="n">
        <v>8434.901</v>
      </c>
      <c r="H928" s="0" t="n">
        <v>1384.226</v>
      </c>
      <c r="I928" s="0" t="n">
        <v>905.319</v>
      </c>
      <c r="J928" s="0" t="n">
        <v>7946.975</v>
      </c>
      <c r="K928" s="0" t="n">
        <v>16757.6535672222</v>
      </c>
      <c r="L928" s="0" t="n">
        <v>14355</v>
      </c>
      <c r="M928" s="0" t="n">
        <v>14311</v>
      </c>
      <c r="N928" s="0" t="n">
        <v>9</v>
      </c>
      <c r="O928" s="54" t="n">
        <f aca="false">YEAR(B928)</f>
        <v>2021</v>
      </c>
      <c r="P928" s="54" t="n">
        <f aca="false">IF(AND(E928&gt;=14400,K928&gt;0,L928&gt;0),1,0)</f>
        <v>1</v>
      </c>
      <c r="Q928" s="53" t="n">
        <f aca="false">IF(P928=1,F928/E928*MIN(L928/K928,1)*MIN(MAX(M928/L928,0),1),0)</f>
        <v>0.449109539014504</v>
      </c>
      <c r="R928" s="55" t="n">
        <f aca="false">IF(F928&gt;0,N928/(F928/3600),0)</f>
        <v>3.29968234446912</v>
      </c>
    </row>
    <row r="929" customFormat="false" ht="15" hidden="false" customHeight="false" outlineLevel="0" collapsed="false">
      <c r="A929" s="0" t="s">
        <v>259</v>
      </c>
      <c r="B929" s="52" t="n">
        <v>44318</v>
      </c>
      <c r="C929" s="0" t="n">
        <v>16455.16</v>
      </c>
      <c r="D929" s="0" t="n">
        <v>3341.344</v>
      </c>
      <c r="E929" s="0" t="n">
        <v>13113.816</v>
      </c>
      <c r="F929" s="0" t="n">
        <v>9632.121</v>
      </c>
      <c r="G929" s="0" t="n">
        <v>8643.318</v>
      </c>
      <c r="H929" s="0" t="n">
        <v>988.803</v>
      </c>
      <c r="I929" s="0" t="n">
        <v>2064.459</v>
      </c>
      <c r="J929" s="0" t="n">
        <v>1417.236</v>
      </c>
      <c r="K929" s="0" t="n">
        <v>17391.3295833333</v>
      </c>
      <c r="L929" s="0" t="n">
        <v>15500</v>
      </c>
      <c r="M929" s="0" t="n">
        <v>15454</v>
      </c>
      <c r="N929" s="0" t="n">
        <v>25</v>
      </c>
      <c r="O929" s="54" t="n">
        <f aca="false">YEAR(B929)</f>
        <v>2021</v>
      </c>
      <c r="P929" s="54" t="n">
        <f aca="false">IF(AND(E929&gt;=14400,K929&gt;0,L929&gt;0),1,0)</f>
        <v>0</v>
      </c>
      <c r="Q929" s="53" t="n">
        <f aca="false">IF(P929=1,F929/E929*MIN(L929/K929,1)*MIN(MAX(M929/L929,0),1),0)</f>
        <v>0</v>
      </c>
      <c r="R929" s="55" t="n">
        <f aca="false">IF(F929&gt;0,N929/(F929/3600),0)</f>
        <v>9.3437364418491</v>
      </c>
    </row>
    <row r="930" customFormat="false" ht="15" hidden="false" customHeight="false" outlineLevel="0" collapsed="false">
      <c r="A930" s="0" t="s">
        <v>259</v>
      </c>
      <c r="B930" s="52" t="n">
        <v>44319</v>
      </c>
      <c r="C930" s="0" t="n">
        <v>41432.589</v>
      </c>
      <c r="D930" s="0" t="n">
        <v>9865.028</v>
      </c>
      <c r="E930" s="0" t="n">
        <v>31567.561</v>
      </c>
      <c r="F930" s="0" t="n">
        <v>11916.851</v>
      </c>
      <c r="G930" s="0" t="n">
        <v>10533.951</v>
      </c>
      <c r="H930" s="0" t="n">
        <v>1382.9</v>
      </c>
      <c r="I930" s="0" t="n">
        <v>2661.784</v>
      </c>
      <c r="J930" s="0" t="n">
        <v>16988.926</v>
      </c>
      <c r="K930" s="0" t="n">
        <v>20969.6060511111</v>
      </c>
      <c r="L930" s="0" t="n">
        <v>18486</v>
      </c>
      <c r="M930" s="0" t="n">
        <v>18453</v>
      </c>
      <c r="N930" s="0" t="n">
        <v>52</v>
      </c>
      <c r="O930" s="54" t="n">
        <f aca="false">YEAR(B930)</f>
        <v>2021</v>
      </c>
      <c r="P930" s="54" t="n">
        <f aca="false">IF(AND(E930&gt;=14400,K930&gt;0,L930&gt;0),1,0)</f>
        <v>1</v>
      </c>
      <c r="Q930" s="53" t="n">
        <f aca="false">IF(P930=1,F930/E930*MIN(L930/K930,1)*MIN(MAX(M930/L930,0),1),0)</f>
        <v>0.332198135850367</v>
      </c>
      <c r="R930" s="55" t="n">
        <f aca="false">IF(F930&gt;0,N930/(F930/3600),0)</f>
        <v>15.7088479162826</v>
      </c>
    </row>
    <row r="931" customFormat="false" ht="15" hidden="false" customHeight="false" outlineLevel="0" collapsed="false">
      <c r="A931" s="0" t="s">
        <v>259</v>
      </c>
      <c r="B931" s="52" t="n">
        <v>44320</v>
      </c>
      <c r="C931" s="0" t="n">
        <v>55165.794</v>
      </c>
      <c r="D931" s="0" t="n">
        <v>15702.279</v>
      </c>
      <c r="E931" s="0" t="n">
        <v>39463.515</v>
      </c>
      <c r="F931" s="0" t="n">
        <v>22232.589</v>
      </c>
      <c r="G931" s="0" t="n">
        <v>17281.102</v>
      </c>
      <c r="H931" s="0" t="n">
        <v>4951.487</v>
      </c>
      <c r="I931" s="0" t="n">
        <v>6588.918</v>
      </c>
      <c r="J931" s="0" t="n">
        <v>10642.008</v>
      </c>
      <c r="K931" s="0" t="n">
        <v>38607.0879277778</v>
      </c>
      <c r="L931" s="0" t="n">
        <v>30089</v>
      </c>
      <c r="M931" s="0" t="n">
        <v>30003</v>
      </c>
      <c r="N931" s="0" t="n">
        <v>38</v>
      </c>
      <c r="O931" s="54" t="n">
        <f aca="false">YEAR(B931)</f>
        <v>2021</v>
      </c>
      <c r="P931" s="54" t="n">
        <f aca="false">IF(AND(E931&gt;=14400,K931&gt;0,L931&gt;0),1,0)</f>
        <v>1</v>
      </c>
      <c r="Q931" s="53" t="n">
        <f aca="false">IF(P931=1,F931/E931*MIN(L931/K931,1)*MIN(MAX(M931/L931,0),1),0)</f>
        <v>0.43781628520558</v>
      </c>
      <c r="R931" s="55" t="n">
        <f aca="false">IF(F931&gt;0,N931/(F931/3600),0)</f>
        <v>6.1531295343066</v>
      </c>
    </row>
    <row r="932" customFormat="false" ht="15" hidden="false" customHeight="false" outlineLevel="0" collapsed="false">
      <c r="A932" s="0" t="s">
        <v>259</v>
      </c>
      <c r="B932" s="52" t="n">
        <v>44321</v>
      </c>
      <c r="C932" s="0" t="n">
        <v>59133.584</v>
      </c>
      <c r="D932" s="0" t="n">
        <v>9485.578</v>
      </c>
      <c r="E932" s="0" t="n">
        <v>49648.006</v>
      </c>
      <c r="F932" s="0" t="n">
        <v>24816.72</v>
      </c>
      <c r="G932" s="0" t="n">
        <v>18583.609</v>
      </c>
      <c r="H932" s="0" t="n">
        <v>6233.111</v>
      </c>
      <c r="I932" s="0" t="n">
        <v>6587.913</v>
      </c>
      <c r="J932" s="0" t="n">
        <v>18243.373</v>
      </c>
      <c r="K932" s="0" t="n">
        <v>42950.4808294444</v>
      </c>
      <c r="L932" s="0" t="n">
        <v>32283</v>
      </c>
      <c r="M932" s="0" t="n">
        <v>32180</v>
      </c>
      <c r="N932" s="0" t="n">
        <v>62</v>
      </c>
      <c r="O932" s="54" t="n">
        <f aca="false">YEAR(B932)</f>
        <v>2021</v>
      </c>
      <c r="P932" s="54" t="n">
        <f aca="false">IF(AND(E932&gt;=14400,K932&gt;0,L932&gt;0),1,0)</f>
        <v>1</v>
      </c>
      <c r="Q932" s="53" t="n">
        <f aca="false">IF(P932=1,F932/E932*MIN(L932/K932,1)*MIN(MAX(M932/L932,0),1),0)</f>
        <v>0.374507551913577</v>
      </c>
      <c r="R932" s="55" t="n">
        <f aca="false">IF(F932&gt;0,N932/(F932/3600),0)</f>
        <v>8.99393634614083</v>
      </c>
    </row>
    <row r="933" customFormat="false" ht="15" hidden="false" customHeight="false" outlineLevel="0" collapsed="false">
      <c r="A933" s="0" t="s">
        <v>259</v>
      </c>
      <c r="B933" s="52" t="n">
        <v>44322</v>
      </c>
      <c r="C933" s="0" t="n">
        <v>38748.591</v>
      </c>
      <c r="D933" s="0" t="n">
        <v>9318.17</v>
      </c>
      <c r="E933" s="0" t="n">
        <v>29430.421</v>
      </c>
      <c r="F933" s="0" t="n">
        <v>17496.034</v>
      </c>
      <c r="G933" s="0" t="n">
        <v>14253.446</v>
      </c>
      <c r="H933" s="0" t="n">
        <v>3242.588</v>
      </c>
      <c r="I933" s="0" t="n">
        <v>6533.794</v>
      </c>
      <c r="J933" s="0" t="n">
        <v>5400.593</v>
      </c>
      <c r="K933" s="0" t="n">
        <v>29751.1544877778</v>
      </c>
      <c r="L933" s="0" t="n">
        <v>24247</v>
      </c>
      <c r="M933" s="0" t="n">
        <v>24065</v>
      </c>
      <c r="N933" s="0" t="n">
        <v>28</v>
      </c>
      <c r="O933" s="54" t="n">
        <f aca="false">YEAR(B933)</f>
        <v>2021</v>
      </c>
      <c r="P933" s="54" t="n">
        <f aca="false">IF(AND(E933&gt;=14400,K933&gt;0,L933&gt;0),1,0)</f>
        <v>1</v>
      </c>
      <c r="Q933" s="53" t="n">
        <f aca="false">IF(P933=1,F933/E933*MIN(L933/K933,1)*MIN(MAX(M933/L933,0),1),0)</f>
        <v>0.480867230331795</v>
      </c>
      <c r="R933" s="55" t="n">
        <f aca="false">IF(F933&gt;0,N933/(F933/3600),0)</f>
        <v>5.76130567647502</v>
      </c>
    </row>
    <row r="934" customFormat="false" ht="15" hidden="false" customHeight="false" outlineLevel="0" collapsed="false">
      <c r="A934" s="0" t="s">
        <v>259</v>
      </c>
      <c r="B934" s="52" t="n">
        <v>44323</v>
      </c>
      <c r="C934" s="0" t="n">
        <v>47651.955</v>
      </c>
      <c r="D934" s="0" t="n">
        <v>12407.042</v>
      </c>
      <c r="E934" s="0" t="n">
        <v>35244.913</v>
      </c>
      <c r="F934" s="0" t="n">
        <v>20210.932</v>
      </c>
      <c r="G934" s="0" t="n">
        <v>18059.671</v>
      </c>
      <c r="H934" s="0" t="n">
        <v>2151.261</v>
      </c>
      <c r="I934" s="0" t="n">
        <v>9494.921</v>
      </c>
      <c r="J934" s="0" t="n">
        <v>5539.06</v>
      </c>
      <c r="K934" s="0" t="n">
        <v>34986.8738222222</v>
      </c>
      <c r="L934" s="0" t="n">
        <v>31191</v>
      </c>
      <c r="M934" s="0" t="n">
        <v>31146</v>
      </c>
      <c r="N934" s="0" t="n">
        <v>55</v>
      </c>
      <c r="O934" s="54" t="n">
        <f aca="false">YEAR(B934)</f>
        <v>2021</v>
      </c>
      <c r="P934" s="54" t="n">
        <f aca="false">IF(AND(E934&gt;=14400,K934&gt;0,L934&gt;0),1,0)</f>
        <v>1</v>
      </c>
      <c r="Q934" s="53" t="n">
        <f aca="false">IF(P934=1,F934/E934*MIN(L934/K934,1)*MIN(MAX(M934/L934,0),1),0)</f>
        <v>0.510489764222102</v>
      </c>
      <c r="R934" s="55" t="n">
        <f aca="false">IF(F934&gt;0,N934/(F934/3600),0)</f>
        <v>9.79667835209183</v>
      </c>
    </row>
    <row r="935" customFormat="false" ht="15" hidden="false" customHeight="false" outlineLevel="0" collapsed="false">
      <c r="A935" s="0" t="s">
        <v>259</v>
      </c>
      <c r="B935" s="52" t="n">
        <v>44324</v>
      </c>
      <c r="C935" s="0" t="n">
        <v>26330.231</v>
      </c>
      <c r="D935" s="0" t="n">
        <v>9652.82</v>
      </c>
      <c r="E935" s="0" t="n">
        <v>16677.411</v>
      </c>
      <c r="F935" s="0" t="n">
        <v>9769.841</v>
      </c>
      <c r="G935" s="0" t="n">
        <v>8922.219</v>
      </c>
      <c r="H935" s="0" t="n">
        <v>847.622</v>
      </c>
      <c r="I935" s="0" t="n">
        <v>1715.794</v>
      </c>
      <c r="J935" s="0" t="n">
        <v>5191.776</v>
      </c>
      <c r="K935" s="0" t="n">
        <v>16499.3793611111</v>
      </c>
      <c r="L935" s="0" t="n">
        <v>14840</v>
      </c>
      <c r="M935" s="0" t="n">
        <v>14808</v>
      </c>
      <c r="N935" s="0" t="n">
        <v>13</v>
      </c>
      <c r="O935" s="54" t="n">
        <f aca="false">YEAR(B935)</f>
        <v>2021</v>
      </c>
      <c r="P935" s="54" t="n">
        <f aca="false">IF(AND(E935&gt;=14400,K935&gt;0,L935&gt;0),1,0)</f>
        <v>1</v>
      </c>
      <c r="Q935" s="53" t="n">
        <f aca="false">IF(P935=1,F935/E935*MIN(L935/K935,1)*MIN(MAX(M935/L935,0),1),0)</f>
        <v>0.52576014523626</v>
      </c>
      <c r="R935" s="55" t="n">
        <f aca="false">IF(F935&gt;0,N935/(F935/3600),0)</f>
        <v>4.79025196008819</v>
      </c>
    </row>
    <row r="936" customFormat="false" ht="15" hidden="false" customHeight="false" outlineLevel="0" collapsed="false">
      <c r="A936" s="0" t="s">
        <v>259</v>
      </c>
      <c r="B936" s="52" t="n">
        <v>44325</v>
      </c>
      <c r="C936" s="0" t="n">
        <v>16871.408</v>
      </c>
      <c r="D936" s="0" t="n">
        <v>3598.628</v>
      </c>
      <c r="E936" s="0" t="n">
        <v>13272.78</v>
      </c>
      <c r="F936" s="0" t="n">
        <v>10284.318</v>
      </c>
      <c r="G936" s="0" t="n">
        <v>7843.74</v>
      </c>
      <c r="H936" s="0" t="n">
        <v>2440.578</v>
      </c>
      <c r="I936" s="0" t="n">
        <v>1292.47</v>
      </c>
      <c r="J936" s="0" t="n">
        <v>1695.992</v>
      </c>
      <c r="K936" s="0" t="n">
        <v>18127.6629444444</v>
      </c>
      <c r="L936" s="0" t="n">
        <v>13782</v>
      </c>
      <c r="M936" s="0" t="n">
        <v>13746</v>
      </c>
      <c r="N936" s="0" t="n">
        <v>10</v>
      </c>
      <c r="O936" s="54" t="n">
        <f aca="false">YEAR(B936)</f>
        <v>2021</v>
      </c>
      <c r="P936" s="54" t="n">
        <f aca="false">IF(AND(E936&gt;=14400,K936&gt;0,L936&gt;0),1,0)</f>
        <v>0</v>
      </c>
      <c r="Q936" s="53" t="n">
        <f aca="false">IF(P936=1,F936/E936*MIN(L936/K936,1)*MIN(MAX(M936/L936,0),1),0)</f>
        <v>0</v>
      </c>
      <c r="R936" s="55" t="n">
        <f aca="false">IF(F936&gt;0,N936/(F936/3600),0)</f>
        <v>3.50047518950698</v>
      </c>
    </row>
    <row r="937" customFormat="false" ht="15" hidden="false" customHeight="false" outlineLevel="0" collapsed="false">
      <c r="A937" s="0" t="s">
        <v>259</v>
      </c>
      <c r="B937" s="52" t="n">
        <v>44326</v>
      </c>
      <c r="C937" s="0" t="n">
        <v>42978.773</v>
      </c>
      <c r="D937" s="0" t="n">
        <v>6800.473</v>
      </c>
      <c r="E937" s="0" t="n">
        <v>36178.3</v>
      </c>
      <c r="F937" s="0" t="n">
        <v>17411.5</v>
      </c>
      <c r="G937" s="0" t="n">
        <v>13848.949</v>
      </c>
      <c r="H937" s="0" t="n">
        <v>3562.551</v>
      </c>
      <c r="I937" s="0" t="n">
        <v>7310.961</v>
      </c>
      <c r="J937" s="0" t="n">
        <v>11455.839</v>
      </c>
      <c r="K937" s="0" t="n">
        <v>29897.9591805556</v>
      </c>
      <c r="L937" s="0" t="n">
        <v>23669</v>
      </c>
      <c r="M937" s="0" t="n">
        <v>23600</v>
      </c>
      <c r="N937" s="0" t="n">
        <v>50</v>
      </c>
      <c r="O937" s="54" t="n">
        <f aca="false">YEAR(B937)</f>
        <v>2021</v>
      </c>
      <c r="P937" s="54" t="n">
        <f aca="false">IF(AND(E937&gt;=14400,K937&gt;0,L937&gt;0),1,0)</f>
        <v>1</v>
      </c>
      <c r="Q937" s="53" t="n">
        <f aca="false">IF(P937=1,F937/E937*MIN(L937/K937,1)*MIN(MAX(M937/L937,0),1),0)</f>
        <v>0.379890549518492</v>
      </c>
      <c r="R937" s="55" t="n">
        <f aca="false">IF(F937&gt;0,N937/(F937/3600),0)</f>
        <v>10.3379950033024</v>
      </c>
    </row>
    <row r="938" customFormat="false" ht="15" hidden="false" customHeight="false" outlineLevel="0" collapsed="false">
      <c r="A938" s="0" t="s">
        <v>259</v>
      </c>
      <c r="B938" s="52" t="n">
        <v>44327</v>
      </c>
      <c r="C938" s="0" t="n">
        <v>56872.854</v>
      </c>
      <c r="D938" s="0" t="n">
        <v>14852.725</v>
      </c>
      <c r="E938" s="0" t="n">
        <v>42020.129</v>
      </c>
      <c r="F938" s="0" t="n">
        <v>21323.39</v>
      </c>
      <c r="G938" s="0" t="n">
        <v>16139.573</v>
      </c>
      <c r="H938" s="0" t="n">
        <v>5183.817</v>
      </c>
      <c r="I938" s="0" t="n">
        <v>7350.79</v>
      </c>
      <c r="J938" s="0" t="n">
        <v>13345.949</v>
      </c>
      <c r="K938" s="0" t="n">
        <v>35331.0712591667</v>
      </c>
      <c r="L938" s="0" t="n">
        <v>26443</v>
      </c>
      <c r="M938" s="0" t="n">
        <v>26345</v>
      </c>
      <c r="N938" s="0" t="n">
        <v>73</v>
      </c>
      <c r="O938" s="54" t="n">
        <f aca="false">YEAR(B938)</f>
        <v>2021</v>
      </c>
      <c r="P938" s="54" t="n">
        <f aca="false">IF(AND(E938&gt;=14400,K938&gt;0,L938&gt;0),1,0)</f>
        <v>1</v>
      </c>
      <c r="Q938" s="53" t="n">
        <f aca="false">IF(P938=1,F938/E938*MIN(L938/K938,1)*MIN(MAX(M938/L938,0),1),0)</f>
        <v>0.378390536313683</v>
      </c>
      <c r="R938" s="55" t="n">
        <f aca="false">IF(F938&gt;0,N938/(F938/3600),0)</f>
        <v>12.3244943697977</v>
      </c>
    </row>
    <row r="939" customFormat="false" ht="15" hidden="false" customHeight="false" outlineLevel="0" collapsed="false">
      <c r="A939" s="0" t="s">
        <v>259</v>
      </c>
      <c r="B939" s="52" t="n">
        <v>44328</v>
      </c>
      <c r="C939" s="0" t="n">
        <v>55125.098</v>
      </c>
      <c r="D939" s="0" t="n">
        <v>9148.258</v>
      </c>
      <c r="E939" s="0" t="n">
        <v>45976.84</v>
      </c>
      <c r="F939" s="0" t="n">
        <v>21719.451</v>
      </c>
      <c r="G939" s="0" t="n">
        <v>15968.331</v>
      </c>
      <c r="H939" s="0" t="n">
        <v>5751.12</v>
      </c>
      <c r="I939" s="0" t="n">
        <v>5726.176</v>
      </c>
      <c r="J939" s="0" t="n">
        <v>18531.213</v>
      </c>
      <c r="K939" s="0" t="n">
        <v>38028.0804933333</v>
      </c>
      <c r="L939" s="0" t="n">
        <v>27585</v>
      </c>
      <c r="M939" s="0" t="n">
        <v>27450</v>
      </c>
      <c r="N939" s="0" t="n">
        <v>59</v>
      </c>
      <c r="O939" s="54" t="n">
        <f aca="false">YEAR(B939)</f>
        <v>2021</v>
      </c>
      <c r="P939" s="54" t="n">
        <f aca="false">IF(AND(E939&gt;=14400,K939&gt;0,L939&gt;0),1,0)</f>
        <v>1</v>
      </c>
      <c r="Q939" s="53" t="n">
        <f aca="false">IF(P939=1,F939/E939*MIN(L939/K939,1)*MIN(MAX(M939/L939,0),1),0)</f>
        <v>0.340994731432603</v>
      </c>
      <c r="R939" s="55" t="n">
        <f aca="false">IF(F939&gt;0,N939/(F939/3600),0)</f>
        <v>9.77925270763059</v>
      </c>
    </row>
    <row r="940" customFormat="false" ht="15" hidden="false" customHeight="false" outlineLevel="0" collapsed="false">
      <c r="A940" s="0" t="s">
        <v>259</v>
      </c>
      <c r="B940" s="52" t="n">
        <v>44329</v>
      </c>
      <c r="C940" s="0" t="n">
        <v>47252.281</v>
      </c>
      <c r="D940" s="0" t="n">
        <v>10680.799</v>
      </c>
      <c r="E940" s="0" t="n">
        <v>36571.482</v>
      </c>
      <c r="F940" s="0" t="n">
        <v>22589.568</v>
      </c>
      <c r="G940" s="0" t="n">
        <v>18578.923</v>
      </c>
      <c r="H940" s="0" t="n">
        <v>4010.645</v>
      </c>
      <c r="I940" s="0" t="n">
        <v>7683.962</v>
      </c>
      <c r="J940" s="0" t="n">
        <v>6297.952</v>
      </c>
      <c r="K940" s="0" t="n">
        <v>38508.4310016667</v>
      </c>
      <c r="L940" s="0" t="n">
        <v>31519</v>
      </c>
      <c r="M940" s="0" t="n">
        <v>31439</v>
      </c>
      <c r="N940" s="0" t="n">
        <v>55</v>
      </c>
      <c r="O940" s="54" t="n">
        <f aca="false">YEAR(B940)</f>
        <v>2021</v>
      </c>
      <c r="P940" s="54" t="n">
        <f aca="false">IF(AND(E940&gt;=14400,K940&gt;0,L940&gt;0),1,0)</f>
        <v>1</v>
      </c>
      <c r="Q940" s="53" t="n">
        <f aca="false">IF(P940=1,F940/E940*MIN(L940/K940,1)*MIN(MAX(M940/L940,0),1),0)</f>
        <v>0.504287572382319</v>
      </c>
      <c r="R940" s="55" t="n">
        <f aca="false">IF(F940&gt;0,N940/(F940/3600),0)</f>
        <v>8.76510785863634</v>
      </c>
    </row>
    <row r="941" customFormat="false" ht="15" hidden="false" customHeight="false" outlineLevel="0" collapsed="false">
      <c r="A941" s="0" t="s">
        <v>259</v>
      </c>
      <c r="B941" s="52" t="n">
        <v>44330</v>
      </c>
      <c r="C941" s="0" t="n">
        <v>51555.183</v>
      </c>
      <c r="D941" s="0" t="n">
        <v>14913.281</v>
      </c>
      <c r="E941" s="0" t="n">
        <v>36641.902</v>
      </c>
      <c r="F941" s="0" t="n">
        <v>24666.703</v>
      </c>
      <c r="G941" s="0" t="n">
        <v>18207.592</v>
      </c>
      <c r="H941" s="0" t="n">
        <v>6459.111</v>
      </c>
      <c r="I941" s="0" t="n">
        <v>5374.228</v>
      </c>
      <c r="J941" s="0" t="n">
        <v>6600.971</v>
      </c>
      <c r="K941" s="0" t="n">
        <v>41176.8172333333</v>
      </c>
      <c r="L941" s="0" t="n">
        <v>30173</v>
      </c>
      <c r="M941" s="0" t="n">
        <v>29984</v>
      </c>
      <c r="N941" s="0" t="n">
        <v>92</v>
      </c>
      <c r="O941" s="54" t="n">
        <f aca="false">YEAR(B941)</f>
        <v>2021</v>
      </c>
      <c r="P941" s="54" t="n">
        <f aca="false">IF(AND(E941&gt;=14400,K941&gt;0,L941&gt;0),1,0)</f>
        <v>1</v>
      </c>
      <c r="Q941" s="53" t="n">
        <f aca="false">IF(P941=1,F941/E941*MIN(L941/K941,1)*MIN(MAX(M941/L941,0),1),0)</f>
        <v>0.490196143630174</v>
      </c>
      <c r="R941" s="55" t="n">
        <f aca="false">IF(F941&gt;0,N941/(F941/3600),0)</f>
        <v>13.4270072494082</v>
      </c>
    </row>
    <row r="942" customFormat="false" ht="15" hidden="false" customHeight="false" outlineLevel="0" collapsed="false">
      <c r="A942" s="0" t="s">
        <v>259</v>
      </c>
      <c r="B942" s="52" t="n">
        <v>44331</v>
      </c>
      <c r="C942" s="0" t="n">
        <v>26137.715</v>
      </c>
      <c r="D942" s="0" t="n">
        <v>9399.799</v>
      </c>
      <c r="E942" s="0" t="n">
        <v>16737.916</v>
      </c>
      <c r="F942" s="0" t="n">
        <v>10584.464</v>
      </c>
      <c r="G942" s="0" t="n">
        <v>8888.968</v>
      </c>
      <c r="H942" s="0" t="n">
        <v>1695.496</v>
      </c>
      <c r="I942" s="0" t="n">
        <v>1041.855</v>
      </c>
      <c r="J942" s="0" t="n">
        <v>5111.597</v>
      </c>
      <c r="K942" s="0" t="n">
        <v>17326.686</v>
      </c>
      <c r="L942" s="0" t="n">
        <v>14855</v>
      </c>
      <c r="M942" s="0" t="n">
        <v>14823</v>
      </c>
      <c r="N942" s="0" t="n">
        <v>13</v>
      </c>
      <c r="O942" s="54" t="n">
        <f aca="false">YEAR(B942)</f>
        <v>2021</v>
      </c>
      <c r="P942" s="54" t="n">
        <f aca="false">IF(AND(E942&gt;=14400,K942&gt;0,L942&gt;0),1,0)</f>
        <v>1</v>
      </c>
      <c r="Q942" s="53" t="n">
        <f aca="false">IF(P942=1,F942/E942*MIN(L942/K942,1)*MIN(MAX(M942/L942,0),1),0)</f>
        <v>0.540988570327979</v>
      </c>
      <c r="R942" s="55" t="n">
        <f aca="false">IF(F942&gt;0,N942/(F942/3600),0)</f>
        <v>4.4215748667103</v>
      </c>
    </row>
    <row r="943" customFormat="false" ht="15" hidden="false" customHeight="false" outlineLevel="0" collapsed="false">
      <c r="A943" s="0" t="s">
        <v>259</v>
      </c>
      <c r="B943" s="52" t="n">
        <v>44332</v>
      </c>
      <c r="C943" s="0" t="n">
        <v>30936.004</v>
      </c>
      <c r="D943" s="0" t="n">
        <v>3428.178</v>
      </c>
      <c r="E943" s="0" t="n">
        <v>27507.826</v>
      </c>
      <c r="F943" s="0" t="n">
        <v>9413.338</v>
      </c>
      <c r="G943" s="0" t="n">
        <v>8003.882</v>
      </c>
      <c r="H943" s="0" t="n">
        <v>1409.456</v>
      </c>
      <c r="I943" s="0" t="n">
        <v>5443.639</v>
      </c>
      <c r="J943" s="0" t="n">
        <v>12650.849</v>
      </c>
      <c r="K943" s="0" t="n">
        <v>16733.0075783333</v>
      </c>
      <c r="L943" s="0" t="n">
        <v>14247</v>
      </c>
      <c r="M943" s="0" t="n">
        <v>14229</v>
      </c>
      <c r="N943" s="0" t="n">
        <v>21</v>
      </c>
      <c r="O943" s="54" t="n">
        <f aca="false">YEAR(B943)</f>
        <v>2021</v>
      </c>
      <c r="P943" s="54" t="n">
        <f aca="false">IF(AND(E943&gt;=14400,K943&gt;0,L943&gt;0),1,0)</f>
        <v>1</v>
      </c>
      <c r="Q943" s="53" t="n">
        <f aca="false">IF(P943=1,F943/E943*MIN(L943/K943,1)*MIN(MAX(M943/L943,0),1),0)</f>
        <v>0.290996493665202</v>
      </c>
      <c r="R943" s="55" t="n">
        <f aca="false">IF(F943&gt;0,N943/(F943/3600),0)</f>
        <v>8.0311574916358</v>
      </c>
    </row>
    <row r="944" customFormat="false" ht="15" hidden="false" customHeight="false" outlineLevel="0" collapsed="false">
      <c r="A944" s="0" t="s">
        <v>259</v>
      </c>
      <c r="B944" s="52" t="n">
        <v>44333</v>
      </c>
      <c r="C944" s="0" t="n">
        <v>38504.218</v>
      </c>
      <c r="D944" s="0" t="n">
        <v>12144.993</v>
      </c>
      <c r="E944" s="0" t="n">
        <v>26359.225</v>
      </c>
      <c r="F944" s="0" t="n">
        <v>16462.454</v>
      </c>
      <c r="G944" s="0" t="n">
        <v>12299.11</v>
      </c>
      <c r="H944" s="0" t="n">
        <v>4163.344</v>
      </c>
      <c r="I944" s="0" t="n">
        <v>5430.714</v>
      </c>
      <c r="J944" s="0" t="n">
        <v>4466.057</v>
      </c>
      <c r="K944" s="0" t="n">
        <v>28333.8783144444</v>
      </c>
      <c r="L944" s="0" t="n">
        <v>20988</v>
      </c>
      <c r="M944" s="0" t="n">
        <v>20901</v>
      </c>
      <c r="N944" s="0" t="n">
        <v>99</v>
      </c>
      <c r="O944" s="54" t="n">
        <f aca="false">YEAR(B944)</f>
        <v>2021</v>
      </c>
      <c r="P944" s="54" t="n">
        <f aca="false">IF(AND(E944&gt;=14400,K944&gt;0,L944&gt;0),1,0)</f>
        <v>1</v>
      </c>
      <c r="Q944" s="53" t="n">
        <f aca="false">IF(P944=1,F944/E944*MIN(L944/K944,1)*MIN(MAX(M944/L944,0),1),0)</f>
        <v>0.460705055626417</v>
      </c>
      <c r="R944" s="55" t="n">
        <f aca="false">IF(F944&gt;0,N944/(F944/3600),0)</f>
        <v>21.649263226491</v>
      </c>
    </row>
    <row r="945" customFormat="false" ht="15" hidden="false" customHeight="false" outlineLevel="0" collapsed="false">
      <c r="A945" s="0" t="s">
        <v>259</v>
      </c>
      <c r="B945" s="52" t="n">
        <v>44334</v>
      </c>
      <c r="C945" s="0" t="n">
        <v>51849.017</v>
      </c>
      <c r="D945" s="0" t="n">
        <v>16619.502</v>
      </c>
      <c r="E945" s="0" t="n">
        <v>35229.515</v>
      </c>
      <c r="F945" s="0" t="n">
        <v>20187.796</v>
      </c>
      <c r="G945" s="0" t="n">
        <v>17597.859</v>
      </c>
      <c r="H945" s="0" t="n">
        <v>2589.937</v>
      </c>
      <c r="I945" s="0" t="n">
        <v>4543.337</v>
      </c>
      <c r="J945" s="0" t="n">
        <v>10498.382</v>
      </c>
      <c r="K945" s="0" t="n">
        <v>34958.3810166667</v>
      </c>
      <c r="L945" s="0" t="n">
        <v>30642</v>
      </c>
      <c r="M945" s="0" t="n">
        <v>30501</v>
      </c>
      <c r="N945" s="0" t="n">
        <v>32</v>
      </c>
      <c r="O945" s="54" t="n">
        <f aca="false">YEAR(B945)</f>
        <v>2021</v>
      </c>
      <c r="P945" s="54" t="n">
        <f aca="false">IF(AND(E945&gt;=14400,K945&gt;0,L945&gt;0),1,0)</f>
        <v>1</v>
      </c>
      <c r="Q945" s="53" t="n">
        <f aca="false">IF(P945=1,F945/E945*MIN(L945/K945,1)*MIN(MAX(M945/L945,0),1),0)</f>
        <v>0.499971224942938</v>
      </c>
      <c r="R945" s="55" t="n">
        <f aca="false">IF(F945&gt;0,N945/(F945/3600),0)</f>
        <v>5.70641787741465</v>
      </c>
    </row>
    <row r="946" customFormat="false" ht="15" hidden="false" customHeight="false" outlineLevel="0" collapsed="false">
      <c r="A946" s="0" t="s">
        <v>259</v>
      </c>
      <c r="B946" s="52" t="n">
        <v>44335</v>
      </c>
      <c r="C946" s="0" t="n">
        <v>49675.963</v>
      </c>
      <c r="D946" s="0" t="n">
        <v>9580.085</v>
      </c>
      <c r="E946" s="0" t="n">
        <v>40095.878</v>
      </c>
      <c r="F946" s="0" t="n">
        <v>13854.285</v>
      </c>
      <c r="G946" s="0" t="n">
        <v>11195.477</v>
      </c>
      <c r="H946" s="0" t="n">
        <v>2658.808</v>
      </c>
      <c r="I946" s="0" t="n">
        <v>3025.093</v>
      </c>
      <c r="J946" s="0" t="n">
        <v>23216.5</v>
      </c>
      <c r="K946" s="0" t="n">
        <v>25014.68125</v>
      </c>
      <c r="L946" s="0" t="n">
        <v>20126</v>
      </c>
      <c r="M946" s="0" t="n">
        <v>20022</v>
      </c>
      <c r="N946" s="0" t="n">
        <v>38</v>
      </c>
      <c r="O946" s="54" t="n">
        <f aca="false">YEAR(B946)</f>
        <v>2021</v>
      </c>
      <c r="P946" s="54" t="n">
        <f aca="false">IF(AND(E946&gt;=14400,K946&gt;0,L946&gt;0),1,0)</f>
        <v>1</v>
      </c>
      <c r="Q946" s="53" t="n">
        <f aca="false">IF(P946=1,F946/E946*MIN(L946/K946,1)*MIN(MAX(M946/L946,0),1),0)</f>
        <v>0.276564780357415</v>
      </c>
      <c r="R946" s="55" t="n">
        <f aca="false">IF(F946&gt;0,N946/(F946/3600),0)</f>
        <v>9.87420137524239</v>
      </c>
    </row>
    <row r="947" customFormat="false" ht="15" hidden="false" customHeight="false" outlineLevel="0" collapsed="false">
      <c r="A947" s="0" t="s">
        <v>259</v>
      </c>
      <c r="B947" s="52" t="n">
        <v>44336</v>
      </c>
      <c r="C947" s="0" t="n">
        <v>39985.331</v>
      </c>
      <c r="D947" s="0" t="n">
        <v>10180.082</v>
      </c>
      <c r="E947" s="0" t="n">
        <v>29805.249</v>
      </c>
      <c r="F947" s="0" t="n">
        <v>20792.712</v>
      </c>
      <c r="G947" s="0" t="n">
        <v>17393.402</v>
      </c>
      <c r="H947" s="0" t="n">
        <v>3399.31</v>
      </c>
      <c r="I947" s="0" t="n">
        <v>3112.528</v>
      </c>
      <c r="J947" s="0" t="n">
        <v>5900.009</v>
      </c>
      <c r="K947" s="0" t="n">
        <v>34795.4729722222</v>
      </c>
      <c r="L947" s="0" t="n">
        <v>28856</v>
      </c>
      <c r="M947" s="0" t="n">
        <v>28656</v>
      </c>
      <c r="N947" s="0" t="n">
        <v>41</v>
      </c>
      <c r="O947" s="54" t="n">
        <f aca="false">YEAR(B947)</f>
        <v>2021</v>
      </c>
      <c r="P947" s="54" t="n">
        <f aca="false">IF(AND(E947&gt;=14400,K947&gt;0,L947&gt;0),1,0)</f>
        <v>1</v>
      </c>
      <c r="Q947" s="53" t="n">
        <f aca="false">IF(P947=1,F947/E947*MIN(L947/K947,1)*MIN(MAX(M947/L947,0),1),0)</f>
        <v>0.574528011838662</v>
      </c>
      <c r="R947" s="55" t="n">
        <f aca="false">IF(F947&gt;0,N947/(F947/3600),0)</f>
        <v>7.0986411007857</v>
      </c>
    </row>
    <row r="948" customFormat="false" ht="15" hidden="false" customHeight="false" outlineLevel="0" collapsed="false">
      <c r="A948" s="0" t="s">
        <v>259</v>
      </c>
      <c r="B948" s="52" t="n">
        <v>44337</v>
      </c>
      <c r="C948" s="0" t="n">
        <v>63989.556</v>
      </c>
      <c r="D948" s="0" t="n">
        <v>12857.887</v>
      </c>
      <c r="E948" s="0" t="n">
        <v>51131.669</v>
      </c>
      <c r="F948" s="0" t="n">
        <v>21731.85</v>
      </c>
      <c r="G948" s="0" t="n">
        <v>17858.81</v>
      </c>
      <c r="H948" s="0" t="n">
        <v>3873.04</v>
      </c>
      <c r="I948" s="0" t="n">
        <v>6654.068</v>
      </c>
      <c r="J948" s="0" t="n">
        <v>22745.751</v>
      </c>
      <c r="K948" s="0" t="n">
        <v>37141.0529166667</v>
      </c>
      <c r="L948" s="0" t="n">
        <v>30376</v>
      </c>
      <c r="M948" s="0" t="n">
        <v>30271</v>
      </c>
      <c r="N948" s="0" t="n">
        <v>78</v>
      </c>
      <c r="O948" s="54" t="n">
        <f aca="false">YEAR(B948)</f>
        <v>2021</v>
      </c>
      <c r="P948" s="54" t="n">
        <f aca="false">IF(AND(E948&gt;=14400,K948&gt;0,L948&gt;0),1,0)</f>
        <v>1</v>
      </c>
      <c r="Q948" s="53" t="n">
        <f aca="false">IF(P948=1,F948/E948*MIN(L948/K948,1)*MIN(MAX(M948/L948,0),1),0)</f>
        <v>0.346401119181811</v>
      </c>
      <c r="R948" s="55" t="n">
        <f aca="false">IF(F948&gt;0,N948/(F948/3600),0)</f>
        <v>12.9211272855279</v>
      </c>
    </row>
    <row r="949" customFormat="false" ht="15" hidden="false" customHeight="false" outlineLevel="0" collapsed="false">
      <c r="A949" s="0" t="s">
        <v>259</v>
      </c>
      <c r="B949" s="52" t="n">
        <v>44338</v>
      </c>
      <c r="C949" s="0" t="n">
        <v>28948.958</v>
      </c>
      <c r="D949" s="0" t="n">
        <v>9984.826</v>
      </c>
      <c r="E949" s="0" t="n">
        <v>18964.132</v>
      </c>
      <c r="F949" s="0" t="n">
        <v>10987.258</v>
      </c>
      <c r="G949" s="0" t="n">
        <v>9101.643</v>
      </c>
      <c r="H949" s="0" t="n">
        <v>1885.615</v>
      </c>
      <c r="I949" s="0" t="n">
        <v>2040.59</v>
      </c>
      <c r="J949" s="0" t="n">
        <v>5936.284</v>
      </c>
      <c r="K949" s="0" t="n">
        <v>18252.2809444444</v>
      </c>
      <c r="L949" s="0" t="n">
        <v>15114</v>
      </c>
      <c r="M949" s="0" t="n">
        <v>15002</v>
      </c>
      <c r="N949" s="0" t="n">
        <v>13</v>
      </c>
      <c r="O949" s="54" t="n">
        <f aca="false">YEAR(B949)</f>
        <v>2021</v>
      </c>
      <c r="P949" s="54" t="n">
        <f aca="false">IF(AND(E949&gt;=14400,K949&gt;0,L949&gt;0),1,0)</f>
        <v>1</v>
      </c>
      <c r="Q949" s="53" t="n">
        <f aca="false">IF(P949=1,F949/E949*MIN(L949/K949,1)*MIN(MAX(M949/L949,0),1),0)</f>
        <v>0.476198879583031</v>
      </c>
      <c r="R949" s="55" t="n">
        <f aca="false">IF(F949&gt;0,N949/(F949/3600),0)</f>
        <v>4.25947948068572</v>
      </c>
    </row>
    <row r="950" customFormat="false" ht="15" hidden="false" customHeight="false" outlineLevel="0" collapsed="false">
      <c r="A950" s="0" t="s">
        <v>259</v>
      </c>
      <c r="B950" s="52" t="n">
        <v>44339</v>
      </c>
      <c r="C950" s="0" t="n">
        <v>18840.214</v>
      </c>
      <c r="D950" s="0" t="n">
        <v>3427.397</v>
      </c>
      <c r="E950" s="0" t="n">
        <v>15412.817</v>
      </c>
      <c r="F950" s="0" t="n">
        <v>9234.949</v>
      </c>
      <c r="G950" s="0" t="n">
        <v>6934.316</v>
      </c>
      <c r="H950" s="0" t="n">
        <v>2300.633</v>
      </c>
      <c r="I950" s="0" t="n">
        <v>3016.166</v>
      </c>
      <c r="J950" s="0" t="n">
        <v>3161.702</v>
      </c>
      <c r="K950" s="0" t="n">
        <v>16256.6128833333</v>
      </c>
      <c r="L950" s="0" t="n">
        <v>12152</v>
      </c>
      <c r="M950" s="0" t="n">
        <v>12112</v>
      </c>
      <c r="N950" s="0" t="n">
        <v>36</v>
      </c>
      <c r="O950" s="54" t="n">
        <f aca="false">YEAR(B950)</f>
        <v>2021</v>
      </c>
      <c r="P950" s="54" t="n">
        <f aca="false">IF(AND(E950&gt;=14400,K950&gt;0,L950&gt;0),1,0)</f>
        <v>1</v>
      </c>
      <c r="Q950" s="53" t="n">
        <f aca="false">IF(P950=1,F950/E950*MIN(L950/K950,1)*MIN(MAX(M950/L950,0),1),0)</f>
        <v>0.446414484627209</v>
      </c>
      <c r="R950" s="55" t="n">
        <f aca="false">IF(F950&gt;0,N950/(F950/3600),0)</f>
        <v>14.0336454483939</v>
      </c>
    </row>
    <row r="951" customFormat="false" ht="15" hidden="false" customHeight="false" outlineLevel="0" collapsed="false">
      <c r="A951" s="0" t="s">
        <v>259</v>
      </c>
      <c r="B951" s="52" t="n">
        <v>44340</v>
      </c>
      <c r="C951" s="0" t="n">
        <v>46633.81</v>
      </c>
      <c r="D951" s="0" t="n">
        <v>10735.201</v>
      </c>
      <c r="E951" s="0" t="n">
        <v>35898.609</v>
      </c>
      <c r="F951" s="0" t="n">
        <v>19075.715</v>
      </c>
      <c r="G951" s="0" t="n">
        <v>16008.726</v>
      </c>
      <c r="H951" s="0" t="n">
        <v>3066.989</v>
      </c>
      <c r="I951" s="0" t="n">
        <v>4028.293</v>
      </c>
      <c r="J951" s="0" t="n">
        <v>12794.601</v>
      </c>
      <c r="K951" s="0" t="n">
        <v>33025.564715</v>
      </c>
      <c r="L951" s="0" t="n">
        <v>27506</v>
      </c>
      <c r="M951" s="0" t="n">
        <v>27427</v>
      </c>
      <c r="N951" s="0" t="n">
        <v>72</v>
      </c>
      <c r="O951" s="54" t="n">
        <f aca="false">YEAR(B951)</f>
        <v>2021</v>
      </c>
      <c r="P951" s="54" t="n">
        <f aca="false">IF(AND(E951&gt;=14400,K951&gt;0,L951&gt;0),1,0)</f>
        <v>1</v>
      </c>
      <c r="Q951" s="53" t="n">
        <f aca="false">IF(P951=1,F951/E951*MIN(L951/K951,1)*MIN(MAX(M951/L951,0),1),0)</f>
        <v>0.441297287931833</v>
      </c>
      <c r="R951" s="55" t="n">
        <f aca="false">IF(F951&gt;0,N951/(F951/3600),0)</f>
        <v>13.5879572535027</v>
      </c>
    </row>
    <row r="952" customFormat="false" ht="15" hidden="false" customHeight="false" outlineLevel="0" collapsed="false">
      <c r="A952" s="0" t="s">
        <v>259</v>
      </c>
      <c r="B952" s="52" t="n">
        <v>44341</v>
      </c>
      <c r="C952" s="0" t="n">
        <v>48308.761</v>
      </c>
      <c r="D952" s="0" t="n">
        <v>19176.086</v>
      </c>
      <c r="E952" s="0" t="n">
        <v>29132.675</v>
      </c>
      <c r="F952" s="0" t="n">
        <v>15535.617</v>
      </c>
      <c r="G952" s="0" t="n">
        <v>13639.892</v>
      </c>
      <c r="H952" s="0" t="n">
        <v>1895.725</v>
      </c>
      <c r="I952" s="0" t="n">
        <v>3318.822</v>
      </c>
      <c r="J952" s="0" t="n">
        <v>10278.236</v>
      </c>
      <c r="K952" s="0" t="n">
        <v>28050.4195833333</v>
      </c>
      <c r="L952" s="0" t="n">
        <v>24602</v>
      </c>
      <c r="M952" s="0" t="n">
        <v>24535</v>
      </c>
      <c r="N952" s="0" t="n">
        <v>35</v>
      </c>
      <c r="O952" s="54" t="n">
        <f aca="false">YEAR(B952)</f>
        <v>2021</v>
      </c>
      <c r="P952" s="54" t="n">
        <f aca="false">IF(AND(E952&gt;=14400,K952&gt;0,L952&gt;0),1,0)</f>
        <v>1</v>
      </c>
      <c r="Q952" s="53" t="n">
        <f aca="false">IF(P952=1,F952/E952*MIN(L952/K952,1)*MIN(MAX(M952/L952,0),1),0)</f>
        <v>0.466438985936423</v>
      </c>
      <c r="R952" s="55" t="n">
        <f aca="false">IF(F952&gt;0,N952/(F952/3600),0)</f>
        <v>8.11039561544289</v>
      </c>
    </row>
    <row r="953" customFormat="false" ht="15" hidden="false" customHeight="false" outlineLevel="0" collapsed="false">
      <c r="A953" s="0" t="s">
        <v>259</v>
      </c>
      <c r="B953" s="52" t="n">
        <v>44342</v>
      </c>
      <c r="C953" s="0" t="n">
        <v>63615.694</v>
      </c>
      <c r="D953" s="0" t="n">
        <v>12114.095</v>
      </c>
      <c r="E953" s="0" t="n">
        <v>51501.599</v>
      </c>
      <c r="F953" s="0" t="n">
        <v>21600.479</v>
      </c>
      <c r="G953" s="0" t="n">
        <v>15752.149</v>
      </c>
      <c r="H953" s="0" t="n">
        <v>5848.33</v>
      </c>
      <c r="I953" s="0" t="n">
        <v>4619.726</v>
      </c>
      <c r="J953" s="0" t="n">
        <v>25281.394</v>
      </c>
      <c r="K953" s="0" t="n">
        <v>38772.3815555556</v>
      </c>
      <c r="L953" s="0" t="n">
        <v>28029</v>
      </c>
      <c r="M953" s="0" t="n">
        <v>27934</v>
      </c>
      <c r="N953" s="0" t="n">
        <v>75</v>
      </c>
      <c r="O953" s="54" t="n">
        <f aca="false">YEAR(B953)</f>
        <v>2021</v>
      </c>
      <c r="P953" s="54" t="n">
        <f aca="false">IF(AND(E953&gt;=14400,K953&gt;0,L953&gt;0),1,0)</f>
        <v>1</v>
      </c>
      <c r="Q953" s="53" t="n">
        <f aca="false">IF(P953=1,F953/E953*MIN(L953/K953,1)*MIN(MAX(M953/L953,0),1),0)</f>
        <v>0.302171374275057</v>
      </c>
      <c r="R953" s="55" t="n">
        <f aca="false">IF(F953&gt;0,N953/(F953/3600),0)</f>
        <v>12.4997228070729</v>
      </c>
    </row>
    <row r="954" customFormat="false" ht="15" hidden="false" customHeight="false" outlineLevel="0" collapsed="false">
      <c r="A954" s="0" t="s">
        <v>259</v>
      </c>
      <c r="B954" s="52" t="n">
        <v>44343</v>
      </c>
      <c r="C954" s="0" t="n">
        <v>43451.276</v>
      </c>
      <c r="D954" s="0" t="n">
        <v>14900.154</v>
      </c>
      <c r="E954" s="0" t="n">
        <v>28551.122</v>
      </c>
      <c r="F954" s="0" t="n">
        <v>17992.664</v>
      </c>
      <c r="G954" s="0" t="n">
        <v>15156.583</v>
      </c>
      <c r="H954" s="0" t="n">
        <v>2836.081</v>
      </c>
      <c r="I954" s="0" t="n">
        <v>2636.239</v>
      </c>
      <c r="J954" s="0" t="n">
        <v>7922.219</v>
      </c>
      <c r="K954" s="0" t="n">
        <v>30883.5158666667</v>
      </c>
      <c r="L954" s="0" t="n">
        <v>25810</v>
      </c>
      <c r="M954" s="0" t="n">
        <v>25690</v>
      </c>
      <c r="N954" s="0" t="n">
        <v>39</v>
      </c>
      <c r="O954" s="54" t="n">
        <f aca="false">YEAR(B954)</f>
        <v>2021</v>
      </c>
      <c r="P954" s="54" t="n">
        <f aca="false">IF(AND(E954&gt;=14400,K954&gt;0,L954&gt;0),1,0)</f>
        <v>1</v>
      </c>
      <c r="Q954" s="53" t="n">
        <f aca="false">IF(P954=1,F954/E954*MIN(L954/K954,1)*MIN(MAX(M954/L954,0),1),0)</f>
        <v>0.524215259273192</v>
      </c>
      <c r="R954" s="55" t="n">
        <f aca="false">IF(F954&gt;0,N954/(F954/3600),0)</f>
        <v>7.80318022945352</v>
      </c>
    </row>
    <row r="955" customFormat="false" ht="15" hidden="false" customHeight="false" outlineLevel="0" collapsed="false">
      <c r="A955" s="0" t="s">
        <v>259</v>
      </c>
      <c r="B955" s="52" t="n">
        <v>44344</v>
      </c>
      <c r="C955" s="0" t="n">
        <v>45667.265</v>
      </c>
      <c r="D955" s="0" t="n">
        <v>10511.966</v>
      </c>
      <c r="E955" s="0" t="n">
        <v>35155.299</v>
      </c>
      <c r="F955" s="0" t="n">
        <v>22319.78</v>
      </c>
      <c r="G955" s="0" t="n">
        <v>18250.517</v>
      </c>
      <c r="H955" s="0" t="n">
        <v>4069.263</v>
      </c>
      <c r="I955" s="0" t="n">
        <v>6539.628</v>
      </c>
      <c r="J955" s="0" t="n">
        <v>6295.891</v>
      </c>
      <c r="K955" s="0" t="n">
        <v>38963.6938283333</v>
      </c>
      <c r="L955" s="0" t="n">
        <v>31713</v>
      </c>
      <c r="M955" s="0" t="n">
        <v>31613</v>
      </c>
      <c r="N955" s="0" t="n">
        <v>69</v>
      </c>
      <c r="O955" s="54" t="n">
        <f aca="false">YEAR(B955)</f>
        <v>2021</v>
      </c>
      <c r="P955" s="54" t="n">
        <f aca="false">IF(AND(E955&gt;=14400,K955&gt;0,L955&gt;0),1,0)</f>
        <v>1</v>
      </c>
      <c r="Q955" s="53" t="n">
        <f aca="false">IF(P955=1,F955/E955*MIN(L955/K955,1)*MIN(MAX(M955/L955,0),1),0)</f>
        <v>0.515115600435543</v>
      </c>
      <c r="R955" s="55" t="n">
        <f aca="false">IF(F955&gt;0,N955/(F955/3600),0)</f>
        <v>11.1291419539082</v>
      </c>
    </row>
    <row r="956" customFormat="false" ht="15" hidden="false" customHeight="false" outlineLevel="0" collapsed="false">
      <c r="A956" s="0" t="s">
        <v>259</v>
      </c>
      <c r="B956" s="52" t="n">
        <v>44345</v>
      </c>
      <c r="C956" s="0" t="n">
        <v>29642.414</v>
      </c>
      <c r="D956" s="0" t="n">
        <v>12317.239</v>
      </c>
      <c r="E956" s="0" t="n">
        <v>17325.175</v>
      </c>
      <c r="F956" s="0" t="n">
        <v>9591.466</v>
      </c>
      <c r="G956" s="0" t="n">
        <v>9359.211</v>
      </c>
      <c r="H956" s="0" t="n">
        <v>232.255</v>
      </c>
      <c r="I956" s="0" t="n">
        <v>2409.197</v>
      </c>
      <c r="J956" s="0" t="n">
        <v>5324.512</v>
      </c>
      <c r="K956" s="0" t="n">
        <v>16036.3096111111</v>
      </c>
      <c r="L956" s="0" t="n">
        <v>15656</v>
      </c>
      <c r="M956" s="0" t="n">
        <v>15628</v>
      </c>
      <c r="N956" s="0" t="n">
        <v>17</v>
      </c>
      <c r="O956" s="54" t="n">
        <f aca="false">YEAR(B956)</f>
        <v>2021</v>
      </c>
      <c r="P956" s="54" t="n">
        <f aca="false">IF(AND(E956&gt;=14400,K956&gt;0,L956&gt;0),1,0)</f>
        <v>1</v>
      </c>
      <c r="Q956" s="53" t="n">
        <f aca="false">IF(P956=1,F956/E956*MIN(L956/K956,1)*MIN(MAX(M956/L956,0),1),0)</f>
        <v>0.53951848810638</v>
      </c>
      <c r="R956" s="55" t="n">
        <f aca="false">IF(F956&gt;0,N956/(F956/3600),0)</f>
        <v>6.38067215168151</v>
      </c>
    </row>
    <row r="957" customFormat="false" ht="15" hidden="false" customHeight="false" outlineLevel="0" collapsed="false">
      <c r="A957" s="0" t="s">
        <v>259</v>
      </c>
      <c r="B957" s="52" t="n">
        <v>44346</v>
      </c>
      <c r="C957" s="0" t="n">
        <v>17193.853</v>
      </c>
      <c r="D957" s="0" t="n">
        <v>3411.88</v>
      </c>
      <c r="E957" s="0" t="n">
        <v>13781.973</v>
      </c>
      <c r="F957" s="0" t="n">
        <v>10276.458</v>
      </c>
      <c r="G957" s="0" t="n">
        <v>7875.13</v>
      </c>
      <c r="H957" s="0" t="n">
        <v>2401.328</v>
      </c>
      <c r="I957" s="0" t="n">
        <v>2100.619</v>
      </c>
      <c r="J957" s="0" t="n">
        <v>1404.896</v>
      </c>
      <c r="K957" s="0" t="n">
        <v>17666.0993183333</v>
      </c>
      <c r="L957" s="0" t="n">
        <v>13717</v>
      </c>
      <c r="M957" s="0" t="n">
        <v>13682</v>
      </c>
      <c r="N957" s="0" t="n">
        <v>22</v>
      </c>
      <c r="O957" s="54" t="n">
        <f aca="false">YEAR(B957)</f>
        <v>2021</v>
      </c>
      <c r="P957" s="54" t="n">
        <f aca="false">IF(AND(E957&gt;=14400,K957&gt;0,L957&gt;0),1,0)</f>
        <v>0</v>
      </c>
      <c r="Q957" s="53" t="n">
        <f aca="false">IF(P957=1,F957/E957*MIN(L957/K957,1)*MIN(MAX(M957/L957,0),1),0)</f>
        <v>0</v>
      </c>
      <c r="R957" s="55" t="n">
        <f aca="false">IF(F957&gt;0,N957/(F957/3600),0)</f>
        <v>7.70693559979518</v>
      </c>
    </row>
    <row r="958" customFormat="false" ht="15" hidden="false" customHeight="false" outlineLevel="0" collapsed="false">
      <c r="A958" s="0" t="s">
        <v>259</v>
      </c>
      <c r="B958" s="52" t="n">
        <v>44347</v>
      </c>
      <c r="C958" s="0" t="n">
        <v>48566.537</v>
      </c>
      <c r="D958" s="0" t="n">
        <v>10518.095</v>
      </c>
      <c r="E958" s="0" t="n">
        <v>38048.442</v>
      </c>
      <c r="F958" s="0" t="n">
        <v>22381.429</v>
      </c>
      <c r="G958" s="0" t="n">
        <v>17795.776</v>
      </c>
      <c r="H958" s="0" t="n">
        <v>4585.653</v>
      </c>
      <c r="I958" s="0" t="n">
        <v>7577.961</v>
      </c>
      <c r="J958" s="0" t="n">
        <v>8089.052</v>
      </c>
      <c r="K958" s="0" t="n">
        <v>33760.2060972222</v>
      </c>
      <c r="L958" s="0" t="n">
        <v>26107</v>
      </c>
      <c r="M958" s="0" t="n">
        <v>25877</v>
      </c>
      <c r="N958" s="0" t="n">
        <v>42</v>
      </c>
      <c r="O958" s="54" t="n">
        <f aca="false">YEAR(B958)</f>
        <v>2021</v>
      </c>
      <c r="P958" s="54" t="n">
        <f aca="false">IF(AND(E958&gt;=14400,K958&gt;0,L958&gt;0),1,0)</f>
        <v>1</v>
      </c>
      <c r="Q958" s="53" t="n">
        <f aca="false">IF(P958=1,F958/E958*MIN(L958/K958,1)*MIN(MAX(M958/L958,0),1),0)</f>
        <v>0.450878752968802</v>
      </c>
      <c r="R958" s="55" t="n">
        <f aca="false">IF(F958&gt;0,N958/(F958/3600),0)</f>
        <v>6.75560081530094</v>
      </c>
    </row>
    <row r="959" customFormat="false" ht="15" hidden="false" customHeight="false" outlineLevel="0" collapsed="false">
      <c r="A959" s="0" t="s">
        <v>259</v>
      </c>
      <c r="B959" s="52" t="n">
        <v>44348</v>
      </c>
      <c r="C959" s="0" t="n">
        <v>62075.238</v>
      </c>
      <c r="D959" s="0" t="n">
        <v>17853.466</v>
      </c>
      <c r="E959" s="0" t="n">
        <v>44221.772</v>
      </c>
      <c r="F959" s="0" t="n">
        <v>24907.615</v>
      </c>
      <c r="G959" s="0" t="n">
        <v>21255.578</v>
      </c>
      <c r="H959" s="0" t="n">
        <v>3652.037</v>
      </c>
      <c r="I959" s="0" t="n">
        <v>3010.971</v>
      </c>
      <c r="J959" s="0" t="n">
        <v>16303.186</v>
      </c>
      <c r="K959" s="0" t="n">
        <v>40320.7081838889</v>
      </c>
      <c r="L959" s="0" t="n">
        <v>34000</v>
      </c>
      <c r="M959" s="0" t="n">
        <v>33931</v>
      </c>
      <c r="N959" s="0" t="n">
        <v>38</v>
      </c>
      <c r="O959" s="54" t="n">
        <f aca="false">YEAR(B959)</f>
        <v>2021</v>
      </c>
      <c r="P959" s="54" t="n">
        <f aca="false">IF(AND(E959&gt;=14400,K959&gt;0,L959&gt;0),1,0)</f>
        <v>1</v>
      </c>
      <c r="Q959" s="53" t="n">
        <f aca="false">IF(P959=1,F959/E959*MIN(L959/K959,1)*MIN(MAX(M959/L959,0),1),0)</f>
        <v>0.473984904959692</v>
      </c>
      <c r="R959" s="55" t="n">
        <f aca="false">IF(F959&gt;0,N959/(F959/3600),0)</f>
        <v>5.49229623149386</v>
      </c>
    </row>
    <row r="960" customFormat="false" ht="15" hidden="false" customHeight="false" outlineLevel="0" collapsed="false">
      <c r="A960" s="0" t="s">
        <v>259</v>
      </c>
      <c r="B960" s="52" t="n">
        <v>44349</v>
      </c>
      <c r="C960" s="0" t="n">
        <v>54425.203</v>
      </c>
      <c r="D960" s="0" t="n">
        <v>10849.353</v>
      </c>
      <c r="E960" s="0" t="n">
        <v>43575.85</v>
      </c>
      <c r="F960" s="0" t="n">
        <v>25280.756</v>
      </c>
      <c r="G960" s="0" t="n">
        <v>19471.133</v>
      </c>
      <c r="H960" s="0" t="n">
        <v>5809.623</v>
      </c>
      <c r="I960" s="0" t="n">
        <v>7147.906</v>
      </c>
      <c r="J960" s="0" t="n">
        <v>11147.188</v>
      </c>
      <c r="K960" s="0" t="n">
        <v>43701.9560188889</v>
      </c>
      <c r="L960" s="0" t="n">
        <v>33462</v>
      </c>
      <c r="M960" s="0" t="n">
        <v>32936</v>
      </c>
      <c r="N960" s="0" t="n">
        <v>93</v>
      </c>
      <c r="O960" s="54" t="n">
        <f aca="false">YEAR(B960)</f>
        <v>2021</v>
      </c>
      <c r="P960" s="54" t="n">
        <f aca="false">IF(AND(E960&gt;=14400,K960&gt;0,L960&gt;0),1,0)</f>
        <v>1</v>
      </c>
      <c r="Q960" s="53" t="n">
        <f aca="false">IF(P960=1,F960/E960*MIN(L960/K960,1)*MIN(MAX(M960/L960,0),1),0)</f>
        <v>0.437234243706732</v>
      </c>
      <c r="R960" s="55" t="n">
        <f aca="false">IF(F960&gt;0,N960/(F960/3600),0)</f>
        <v>13.2432748451035</v>
      </c>
    </row>
    <row r="961" customFormat="false" ht="15" hidden="false" customHeight="false" outlineLevel="0" collapsed="false">
      <c r="A961" s="0" t="s">
        <v>259</v>
      </c>
      <c r="B961" s="52" t="n">
        <v>44350</v>
      </c>
      <c r="C961" s="0" t="n">
        <v>56019.016</v>
      </c>
      <c r="D961" s="0" t="n">
        <v>16824.219</v>
      </c>
      <c r="E961" s="0" t="n">
        <v>39194.797</v>
      </c>
      <c r="F961" s="0" t="n">
        <v>25480.733</v>
      </c>
      <c r="G961" s="0" t="n">
        <v>17422.526</v>
      </c>
      <c r="H961" s="0" t="n">
        <v>8058.207</v>
      </c>
      <c r="I961" s="0" t="n">
        <v>4806.708</v>
      </c>
      <c r="J961" s="0" t="n">
        <v>8907.356</v>
      </c>
      <c r="K961" s="0" t="n">
        <v>43212.3946222222</v>
      </c>
      <c r="L961" s="0" t="n">
        <v>29591</v>
      </c>
      <c r="M961" s="0" t="n">
        <v>29442</v>
      </c>
      <c r="N961" s="0" t="n">
        <v>30</v>
      </c>
      <c r="O961" s="54" t="n">
        <f aca="false">YEAR(B961)</f>
        <v>2021</v>
      </c>
      <c r="P961" s="54" t="n">
        <f aca="false">IF(AND(E961&gt;=14400,K961&gt;0,L961&gt;0),1,0)</f>
        <v>1</v>
      </c>
      <c r="Q961" s="53" t="n">
        <f aca="false">IF(P961=1,F961/E961*MIN(L961/K961,1)*MIN(MAX(M961/L961,0),1),0)</f>
        <v>0.442937522879218</v>
      </c>
      <c r="R961" s="55" t="n">
        <f aca="false">IF(F961&gt;0,N961/(F961/3600),0)</f>
        <v>4.23849659270006</v>
      </c>
    </row>
    <row r="962" customFormat="false" ht="15" hidden="false" customHeight="false" outlineLevel="0" collapsed="false">
      <c r="A962" s="0" t="s">
        <v>259</v>
      </c>
      <c r="B962" s="52" t="n">
        <v>44351</v>
      </c>
      <c r="C962" s="0" t="n">
        <v>48904.281</v>
      </c>
      <c r="D962" s="0" t="n">
        <v>10076.064</v>
      </c>
      <c r="E962" s="0" t="n">
        <v>38828.217</v>
      </c>
      <c r="F962" s="0" t="n">
        <v>18193.654</v>
      </c>
      <c r="G962" s="0" t="n">
        <v>12516.278</v>
      </c>
      <c r="H962" s="0" t="n">
        <v>5677.376</v>
      </c>
      <c r="I962" s="0" t="n">
        <v>6863.795</v>
      </c>
      <c r="J962" s="0" t="n">
        <v>13770.768</v>
      </c>
      <c r="K962" s="0" t="n">
        <v>31711.0659305556</v>
      </c>
      <c r="L962" s="0" t="n">
        <v>21625</v>
      </c>
      <c r="M962" s="0" t="n">
        <v>21553</v>
      </c>
      <c r="N962" s="0" t="n">
        <v>46</v>
      </c>
      <c r="O962" s="54" t="n">
        <f aca="false">YEAR(B962)</f>
        <v>2021</v>
      </c>
      <c r="P962" s="54" t="n">
        <f aca="false">IF(AND(E962&gt;=14400,K962&gt;0,L962&gt;0),1,0)</f>
        <v>1</v>
      </c>
      <c r="Q962" s="53" t="n">
        <f aca="false">IF(P962=1,F962/E962*MIN(L962/K962,1)*MIN(MAX(M962/L962,0),1),0)</f>
        <v>0.31847061858136</v>
      </c>
      <c r="R962" s="55" t="n">
        <f aca="false">IF(F962&gt;0,N962/(F962/3600),0)</f>
        <v>9.10207482235289</v>
      </c>
    </row>
    <row r="963" customFormat="false" ht="15" hidden="false" customHeight="false" outlineLevel="0" collapsed="false">
      <c r="A963" s="0" t="s">
        <v>259</v>
      </c>
      <c r="B963" s="52" t="n">
        <v>44352</v>
      </c>
      <c r="C963" s="0" t="n">
        <v>32650.169</v>
      </c>
      <c r="D963" s="0" t="n">
        <v>11385.954</v>
      </c>
      <c r="E963" s="0" t="n">
        <v>21264.215</v>
      </c>
      <c r="F963" s="0" t="n">
        <v>15289.41</v>
      </c>
      <c r="G963" s="0" t="n">
        <v>13060.937</v>
      </c>
      <c r="H963" s="0" t="n">
        <v>2228.473</v>
      </c>
      <c r="I963" s="0" t="n">
        <v>1576.934</v>
      </c>
      <c r="J963" s="0" t="n">
        <v>4397.871</v>
      </c>
      <c r="K963" s="0" t="n">
        <v>26416.3544666667</v>
      </c>
      <c r="L963" s="0" t="n">
        <v>22290</v>
      </c>
      <c r="M963" s="0" t="n">
        <v>22254</v>
      </c>
      <c r="N963" s="0" t="n">
        <v>27</v>
      </c>
      <c r="O963" s="54" t="n">
        <f aca="false">YEAR(B963)</f>
        <v>2021</v>
      </c>
      <c r="P963" s="54" t="n">
        <f aca="false">IF(AND(E963&gt;=14400,K963&gt;0,L963&gt;0),1,0)</f>
        <v>1</v>
      </c>
      <c r="Q963" s="53" t="n">
        <f aca="false">IF(P963=1,F963/E963*MIN(L963/K963,1)*MIN(MAX(M963/L963,0),1),0)</f>
        <v>0.605726497523809</v>
      </c>
      <c r="R963" s="55" t="n">
        <f aca="false">IF(F963&gt;0,N963/(F963/3600),0)</f>
        <v>6.35734145398678</v>
      </c>
    </row>
    <row r="964" customFormat="false" ht="15" hidden="false" customHeight="false" outlineLevel="0" collapsed="false">
      <c r="A964" s="0" t="s">
        <v>259</v>
      </c>
      <c r="B964" s="52" t="n">
        <v>44353</v>
      </c>
      <c r="C964" s="0" t="n">
        <v>16025.979</v>
      </c>
      <c r="D964" s="0" t="n">
        <v>3115.79</v>
      </c>
      <c r="E964" s="0" t="n">
        <v>12910.189</v>
      </c>
      <c r="F964" s="0" t="n">
        <v>9876.397</v>
      </c>
      <c r="G964" s="0" t="n">
        <v>7838.856</v>
      </c>
      <c r="H964" s="0" t="n">
        <v>2037.541</v>
      </c>
      <c r="I964" s="0" t="n">
        <v>1372.354</v>
      </c>
      <c r="J964" s="0" t="n">
        <v>1661.438</v>
      </c>
      <c r="K964" s="0" t="n">
        <v>17775.5624944444</v>
      </c>
      <c r="L964" s="0" t="n">
        <v>13991</v>
      </c>
      <c r="M964" s="0" t="n">
        <v>13961</v>
      </c>
      <c r="N964" s="0" t="n">
        <v>40</v>
      </c>
      <c r="O964" s="54" t="n">
        <f aca="false">YEAR(B964)</f>
        <v>2021</v>
      </c>
      <c r="P964" s="54" t="n">
        <f aca="false">IF(AND(E964&gt;=14400,K964&gt;0,L964&gt;0),1,0)</f>
        <v>0</v>
      </c>
      <c r="Q964" s="53" t="n">
        <f aca="false">IF(P964=1,F964/E964*MIN(L964/K964,1)*MIN(MAX(M964/L964,0),1),0)</f>
        <v>0</v>
      </c>
      <c r="R964" s="55" t="n">
        <f aca="false">IF(F964&gt;0,N964/(F964/3600),0)</f>
        <v>14.5802158418703</v>
      </c>
    </row>
    <row r="965" customFormat="false" ht="15" hidden="false" customHeight="false" outlineLevel="0" collapsed="false">
      <c r="A965" s="0" t="s">
        <v>259</v>
      </c>
      <c r="B965" s="52" t="n">
        <v>44354</v>
      </c>
      <c r="C965" s="0" t="n">
        <v>56821.619</v>
      </c>
      <c r="D965" s="0" t="n">
        <v>7416.38</v>
      </c>
      <c r="E965" s="0" t="n">
        <v>49405.239</v>
      </c>
      <c r="F965" s="0" t="n">
        <v>22028.036</v>
      </c>
      <c r="G965" s="0" t="n">
        <v>17304.254</v>
      </c>
      <c r="H965" s="0" t="n">
        <v>4723.782</v>
      </c>
      <c r="I965" s="0" t="n">
        <v>4465.941</v>
      </c>
      <c r="J965" s="0" t="n">
        <v>22911.262</v>
      </c>
      <c r="K965" s="0" t="n">
        <v>38996.328565</v>
      </c>
      <c r="L965" s="0" t="n">
        <v>30774</v>
      </c>
      <c r="M965" s="0" t="n">
        <v>30696</v>
      </c>
      <c r="N965" s="0" t="n">
        <v>47</v>
      </c>
      <c r="O965" s="54" t="n">
        <f aca="false">YEAR(B965)</f>
        <v>2021</v>
      </c>
      <c r="P965" s="54" t="n">
        <f aca="false">IF(AND(E965&gt;=14400,K965&gt;0,L965&gt;0),1,0)</f>
        <v>1</v>
      </c>
      <c r="Q965" s="53" t="n">
        <f aca="false">IF(P965=1,F965/E965*MIN(L965/K965,1)*MIN(MAX(M965/L965,0),1),0)</f>
        <v>0.350962599643983</v>
      </c>
      <c r="R965" s="55" t="n">
        <f aca="false">IF(F965&gt;0,N965/(F965/3600),0)</f>
        <v>7.6811205501934</v>
      </c>
    </row>
    <row r="966" customFormat="false" ht="15" hidden="false" customHeight="false" outlineLevel="0" collapsed="false">
      <c r="A966" s="0" t="s">
        <v>259</v>
      </c>
      <c r="B966" s="52" t="n">
        <v>44355</v>
      </c>
      <c r="C966" s="0" t="n">
        <v>51816.618</v>
      </c>
      <c r="D966" s="0" t="n">
        <v>11990.403</v>
      </c>
      <c r="E966" s="0" t="n">
        <v>39826.215</v>
      </c>
      <c r="F966" s="0" t="n">
        <v>23440.451</v>
      </c>
      <c r="G966" s="0" t="n">
        <v>18569.713</v>
      </c>
      <c r="H966" s="0" t="n">
        <v>4870.738</v>
      </c>
      <c r="I966" s="0" t="n">
        <v>4254.179</v>
      </c>
      <c r="J966" s="0" t="n">
        <v>12131.585</v>
      </c>
      <c r="K966" s="0" t="n">
        <v>41109.3720738889</v>
      </c>
      <c r="L966" s="0" t="n">
        <v>32463</v>
      </c>
      <c r="M966" s="0" t="n">
        <v>32327</v>
      </c>
      <c r="N966" s="0" t="n">
        <v>49</v>
      </c>
      <c r="O966" s="54" t="n">
        <f aca="false">YEAR(B966)</f>
        <v>2021</v>
      </c>
      <c r="P966" s="54" t="n">
        <f aca="false">IF(AND(E966&gt;=14400,K966&gt;0,L966&gt;0),1,0)</f>
        <v>1</v>
      </c>
      <c r="Q966" s="53" t="n">
        <f aca="false">IF(P966=1,F966/E966*MIN(L966/K966,1)*MIN(MAX(M966/L966,0),1),0)</f>
        <v>0.462829987104185</v>
      </c>
      <c r="R966" s="55" t="n">
        <f aca="false">IF(F966&gt;0,N966/(F966/3600),0)</f>
        <v>7.5254524752958</v>
      </c>
    </row>
    <row r="967" customFormat="false" ht="15" hidden="false" customHeight="false" outlineLevel="0" collapsed="false">
      <c r="A967" s="0" t="s">
        <v>259</v>
      </c>
      <c r="B967" s="52" t="n">
        <v>44356</v>
      </c>
      <c r="C967" s="0" t="n">
        <v>50467.754</v>
      </c>
      <c r="D967" s="0" t="n">
        <v>8930.361</v>
      </c>
      <c r="E967" s="0" t="n">
        <v>41537.393</v>
      </c>
      <c r="F967" s="0" t="n">
        <v>15271.979</v>
      </c>
      <c r="G967" s="0" t="n">
        <v>12234.93</v>
      </c>
      <c r="H967" s="0" t="n">
        <v>3037.049</v>
      </c>
      <c r="I967" s="0" t="n">
        <v>4586.992</v>
      </c>
      <c r="J967" s="0" t="n">
        <v>21678.422</v>
      </c>
      <c r="K967" s="0" t="n">
        <v>27574.4065277778</v>
      </c>
      <c r="L967" s="0" t="n">
        <v>21982</v>
      </c>
      <c r="M967" s="0" t="n">
        <v>21898</v>
      </c>
      <c r="N967" s="0" t="n">
        <v>46</v>
      </c>
      <c r="O967" s="54" t="n">
        <f aca="false">YEAR(B967)</f>
        <v>2021</v>
      </c>
      <c r="P967" s="54" t="n">
        <f aca="false">IF(AND(E967&gt;=14400,K967&gt;0,L967&gt;0),1,0)</f>
        <v>1</v>
      </c>
      <c r="Q967" s="53" t="n">
        <f aca="false">IF(P967=1,F967/E967*MIN(L967/K967,1)*MIN(MAX(M967/L967,0),1),0)</f>
        <v>0.2919808442702</v>
      </c>
      <c r="R967" s="55" t="n">
        <f aca="false">IF(F967&gt;0,N967/(F967/3600),0)</f>
        <v>10.843388404345</v>
      </c>
    </row>
    <row r="968" customFormat="false" ht="15" hidden="false" customHeight="false" outlineLevel="0" collapsed="false">
      <c r="A968" s="0" t="s">
        <v>259</v>
      </c>
      <c r="B968" s="52" t="n">
        <v>44357</v>
      </c>
      <c r="C968" s="0" t="n">
        <v>48500.791</v>
      </c>
      <c r="D968" s="0" t="n">
        <v>10809.384</v>
      </c>
      <c r="E968" s="0" t="n">
        <v>37691.407</v>
      </c>
      <c r="F968" s="0" t="n">
        <v>22985.692</v>
      </c>
      <c r="G968" s="0" t="n">
        <v>17421.15</v>
      </c>
      <c r="H968" s="0" t="n">
        <v>5564.542</v>
      </c>
      <c r="I968" s="0" t="n">
        <v>4603.951</v>
      </c>
      <c r="J968" s="0" t="n">
        <v>10101.764</v>
      </c>
      <c r="K968" s="0" t="n">
        <v>39013.9133794445</v>
      </c>
      <c r="L968" s="0" t="n">
        <v>29570</v>
      </c>
      <c r="M968" s="0" t="n">
        <v>29456</v>
      </c>
      <c r="N968" s="0" t="n">
        <v>28</v>
      </c>
      <c r="O968" s="54" t="n">
        <f aca="false">YEAR(B968)</f>
        <v>2021</v>
      </c>
      <c r="P968" s="54" t="n">
        <f aca="false">IF(AND(E968&gt;=14400,K968&gt;0,L968&gt;0),1,0)</f>
        <v>1</v>
      </c>
      <c r="Q968" s="53" t="n">
        <f aca="false">IF(P968=1,F968/E968*MIN(L968/K968,1)*MIN(MAX(M968/L968,0),1),0)</f>
        <v>0.460436229728094</v>
      </c>
      <c r="R968" s="55" t="n">
        <f aca="false">IF(F968&gt;0,N968/(F968/3600),0)</f>
        <v>4.38533675644832</v>
      </c>
    </row>
    <row r="969" customFormat="false" ht="15" hidden="false" customHeight="false" outlineLevel="0" collapsed="false">
      <c r="A969" s="0" t="s">
        <v>259</v>
      </c>
      <c r="B969" s="52" t="n">
        <v>44358</v>
      </c>
      <c r="C969" s="0" t="n">
        <v>50345.832</v>
      </c>
      <c r="D969" s="0" t="n">
        <v>14250.804</v>
      </c>
      <c r="E969" s="0" t="n">
        <v>36095.028</v>
      </c>
      <c r="F969" s="0" t="n">
        <v>21846.616</v>
      </c>
      <c r="G969" s="0" t="n">
        <v>15185.969</v>
      </c>
      <c r="H969" s="0" t="n">
        <v>6660.647</v>
      </c>
      <c r="I969" s="0" t="n">
        <v>5363.33</v>
      </c>
      <c r="J969" s="0" t="n">
        <v>8885.082</v>
      </c>
      <c r="K969" s="0" t="n">
        <v>37042.8315111111</v>
      </c>
      <c r="L969" s="0" t="n">
        <v>25950</v>
      </c>
      <c r="M969" s="0" t="n">
        <v>25887</v>
      </c>
      <c r="N969" s="0" t="n">
        <v>51</v>
      </c>
      <c r="O969" s="54" t="n">
        <f aca="false">YEAR(B969)</f>
        <v>2021</v>
      </c>
      <c r="P969" s="54" t="n">
        <f aca="false">IF(AND(E969&gt;=14400,K969&gt;0,L969&gt;0),1,0)</f>
        <v>1</v>
      </c>
      <c r="Q969" s="53" t="n">
        <f aca="false">IF(P969=1,F969/E969*MIN(L969/K969,1)*MIN(MAX(M969/L969,0),1),0)</f>
        <v>0.422974649808504</v>
      </c>
      <c r="R969" s="55" t="n">
        <f aca="false">IF(F969&gt;0,N969/(F969/3600),0)</f>
        <v>8.40404756507827</v>
      </c>
    </row>
    <row r="970" customFormat="false" ht="15" hidden="false" customHeight="false" outlineLevel="0" collapsed="false">
      <c r="A970" s="0" t="s">
        <v>259</v>
      </c>
      <c r="B970" s="52" t="n">
        <v>44359</v>
      </c>
      <c r="C970" s="0" t="n">
        <v>37805.108</v>
      </c>
      <c r="D970" s="0" t="n">
        <v>12187.927</v>
      </c>
      <c r="E970" s="0" t="n">
        <v>25617.181</v>
      </c>
      <c r="F970" s="0" t="n">
        <v>15052.962</v>
      </c>
      <c r="G970" s="0" t="n">
        <v>11299.694</v>
      </c>
      <c r="H970" s="0" t="n">
        <v>3753.268</v>
      </c>
      <c r="I970" s="0" t="n">
        <v>4099.115</v>
      </c>
      <c r="J970" s="0" t="n">
        <v>6465.104</v>
      </c>
      <c r="K970" s="0" t="n">
        <v>24738.9651166667</v>
      </c>
      <c r="L970" s="0" t="n">
        <v>18445</v>
      </c>
      <c r="M970" s="0" t="n">
        <v>18261</v>
      </c>
      <c r="N970" s="0" t="n">
        <v>22</v>
      </c>
      <c r="O970" s="54" t="n">
        <f aca="false">YEAR(B970)</f>
        <v>2021</v>
      </c>
      <c r="P970" s="54" t="n">
        <f aca="false">IF(AND(E970&gt;=14400,K970&gt;0,L970&gt;0),1,0)</f>
        <v>1</v>
      </c>
      <c r="Q970" s="53" t="n">
        <f aca="false">IF(P970=1,F970/E970*MIN(L970/K970,1)*MIN(MAX(M970/L970,0),1),0)</f>
        <v>0.433744176274356</v>
      </c>
      <c r="R970" s="55" t="n">
        <f aca="false">IF(F970&gt;0,N970/(F970/3600),0)</f>
        <v>5.26142296778534</v>
      </c>
    </row>
    <row r="971" customFormat="false" ht="15" hidden="false" customHeight="false" outlineLevel="0" collapsed="false">
      <c r="A971" s="0" t="s">
        <v>259</v>
      </c>
      <c r="B971" s="52" t="n">
        <v>44360</v>
      </c>
      <c r="C971" s="0" t="n">
        <v>31111.105</v>
      </c>
      <c r="D971" s="0" t="n">
        <v>11913.593</v>
      </c>
      <c r="E971" s="0" t="n">
        <v>19197.512</v>
      </c>
      <c r="F971" s="0" t="n">
        <v>11028.176</v>
      </c>
      <c r="G971" s="0" t="n">
        <v>8655.394</v>
      </c>
      <c r="H971" s="0" t="n">
        <v>2372.782</v>
      </c>
      <c r="I971" s="0" t="n">
        <v>2159.896</v>
      </c>
      <c r="J971" s="0" t="n">
        <v>6009.44</v>
      </c>
      <c r="K971" s="0" t="n">
        <v>18878.6807083333</v>
      </c>
      <c r="L971" s="0" t="n">
        <v>14794</v>
      </c>
      <c r="M971" s="0" t="n">
        <v>14707</v>
      </c>
      <c r="N971" s="0" t="n">
        <v>30</v>
      </c>
      <c r="O971" s="54" t="n">
        <f aca="false">YEAR(B971)</f>
        <v>2021</v>
      </c>
      <c r="P971" s="54" t="n">
        <f aca="false">IF(AND(E971&gt;=14400,K971&gt;0,L971&gt;0),1,0)</f>
        <v>1</v>
      </c>
      <c r="Q971" s="53" t="n">
        <f aca="false">IF(P971=1,F971/E971*MIN(L971/K971,1)*MIN(MAX(M971/L971,0),1),0)</f>
        <v>0.447518704437755</v>
      </c>
      <c r="R971" s="55" t="n">
        <f aca="false">IF(F971&gt;0,N971/(F971/3600),0)</f>
        <v>9.79309724473023</v>
      </c>
    </row>
    <row r="972" customFormat="false" ht="15" hidden="false" customHeight="false" outlineLevel="0" collapsed="false">
      <c r="A972" s="0" t="s">
        <v>259</v>
      </c>
      <c r="B972" s="52" t="n">
        <v>44361</v>
      </c>
      <c r="C972" s="0" t="n">
        <v>62951.067</v>
      </c>
      <c r="D972" s="0" t="n">
        <v>15711.968</v>
      </c>
      <c r="E972" s="0" t="n">
        <v>47239.099</v>
      </c>
      <c r="F972" s="0" t="n">
        <v>13549.011</v>
      </c>
      <c r="G972" s="0" t="n">
        <v>11531.576</v>
      </c>
      <c r="H972" s="0" t="n">
        <v>2017.435</v>
      </c>
      <c r="I972" s="0" t="n">
        <v>5323.779</v>
      </c>
      <c r="J972" s="0" t="n">
        <v>28366.309</v>
      </c>
      <c r="K972" s="0" t="n">
        <v>23131.1175694444</v>
      </c>
      <c r="L972" s="0" t="n">
        <v>19692</v>
      </c>
      <c r="M972" s="0" t="n">
        <v>19613</v>
      </c>
      <c r="N972" s="0" t="n">
        <v>49</v>
      </c>
      <c r="O972" s="54" t="n">
        <f aca="false">YEAR(B972)</f>
        <v>2021</v>
      </c>
      <c r="P972" s="54" t="n">
        <f aca="false">IF(AND(E972&gt;=14400,K972&gt;0,L972&gt;0),1,0)</f>
        <v>1</v>
      </c>
      <c r="Q972" s="53" t="n">
        <f aca="false">IF(P972=1,F972/E972*MIN(L972/K972,1)*MIN(MAX(M972/L972,0),1),0)</f>
        <v>0.243194305786072</v>
      </c>
      <c r="R972" s="55" t="n">
        <f aca="false">IF(F972&gt;0,N972/(F972/3600),0)</f>
        <v>13.019400456609</v>
      </c>
    </row>
    <row r="973" customFormat="false" ht="15" hidden="false" customHeight="false" outlineLevel="0" collapsed="false">
      <c r="A973" s="0" t="s">
        <v>259</v>
      </c>
      <c r="B973" s="52" t="n">
        <v>44362</v>
      </c>
      <c r="C973" s="0" t="n">
        <v>53570.735</v>
      </c>
      <c r="D973" s="0" t="n">
        <v>14996.464</v>
      </c>
      <c r="E973" s="0" t="n">
        <v>38574.271</v>
      </c>
      <c r="F973" s="0" t="n">
        <v>20938.745</v>
      </c>
      <c r="G973" s="0" t="n">
        <v>14958.521</v>
      </c>
      <c r="H973" s="0" t="n">
        <v>5980.224</v>
      </c>
      <c r="I973" s="0" t="n">
        <v>6746.353</v>
      </c>
      <c r="J973" s="0" t="n">
        <v>10889.173</v>
      </c>
      <c r="K973" s="0" t="n">
        <v>35958.7783488889</v>
      </c>
      <c r="L973" s="0" t="n">
        <v>25499</v>
      </c>
      <c r="M973" s="0" t="n">
        <v>25437</v>
      </c>
      <c r="N973" s="0" t="n">
        <v>26</v>
      </c>
      <c r="O973" s="54" t="n">
        <f aca="false">YEAR(B973)</f>
        <v>2021</v>
      </c>
      <c r="P973" s="54" t="n">
        <f aca="false">IF(AND(E973&gt;=14400,K973&gt;0,L973&gt;0),1,0)</f>
        <v>1</v>
      </c>
      <c r="Q973" s="53" t="n">
        <f aca="false">IF(P973=1,F973/E973*MIN(L973/K973,1)*MIN(MAX(M973/L973,0),1),0)</f>
        <v>0.383984666242242</v>
      </c>
      <c r="R973" s="55" t="n">
        <f aca="false">IF(F973&gt;0,N973/(F973/3600),0)</f>
        <v>4.47018195216571</v>
      </c>
    </row>
    <row r="974" customFormat="false" ht="15" hidden="false" customHeight="false" outlineLevel="0" collapsed="false">
      <c r="A974" s="0" t="s">
        <v>259</v>
      </c>
      <c r="B974" s="52" t="n">
        <v>44363</v>
      </c>
      <c r="C974" s="0" t="n">
        <v>38507.897</v>
      </c>
      <c r="D974" s="0" t="n">
        <v>10093.581</v>
      </c>
      <c r="E974" s="0" t="n">
        <v>28414.316</v>
      </c>
      <c r="F974" s="0" t="n">
        <v>10766.142</v>
      </c>
      <c r="G974" s="0" t="n">
        <v>7098.841</v>
      </c>
      <c r="H974" s="0" t="n">
        <v>3667.301</v>
      </c>
      <c r="I974" s="0" t="n">
        <v>2868.968</v>
      </c>
      <c r="J974" s="0" t="n">
        <v>14779.206</v>
      </c>
      <c r="K974" s="0" t="n">
        <v>19438.8675</v>
      </c>
      <c r="L974" s="0" t="n">
        <v>12659</v>
      </c>
      <c r="M974" s="0" t="n">
        <v>12425</v>
      </c>
      <c r="N974" s="0" t="n">
        <v>37</v>
      </c>
      <c r="O974" s="54" t="n">
        <f aca="false">YEAR(B974)</f>
        <v>2021</v>
      </c>
      <c r="P974" s="54" t="n">
        <f aca="false">IF(AND(E974&gt;=14400,K974&gt;0,L974&gt;0),1,0)</f>
        <v>1</v>
      </c>
      <c r="Q974" s="53" t="n">
        <f aca="false">IF(P974=1,F974/E974*MIN(L974/K974,1)*MIN(MAX(M974/L974,0),1),0)</f>
        <v>0.242185610293715</v>
      </c>
      <c r="R974" s="55" t="n">
        <f aca="false">IF(F974&gt;0,N974/(F974/3600),0)</f>
        <v>12.3721199293117</v>
      </c>
    </row>
    <row r="975" customFormat="false" ht="15" hidden="false" customHeight="false" outlineLevel="0" collapsed="false">
      <c r="A975" s="0" t="s">
        <v>259</v>
      </c>
      <c r="B975" s="52" t="n">
        <v>44364</v>
      </c>
      <c r="C975" s="0" t="n">
        <v>59392.343</v>
      </c>
      <c r="D975" s="0" t="n">
        <v>11012.442</v>
      </c>
      <c r="E975" s="0" t="n">
        <v>48379.901</v>
      </c>
      <c r="F975" s="0" t="n">
        <v>23576.397</v>
      </c>
      <c r="G975" s="0" t="n">
        <v>19573.977</v>
      </c>
      <c r="H975" s="0" t="n">
        <v>4002.42</v>
      </c>
      <c r="I975" s="0" t="n">
        <v>12186.101</v>
      </c>
      <c r="J975" s="0" t="n">
        <v>12617.403</v>
      </c>
      <c r="K975" s="0" t="n">
        <v>42067.0110611111</v>
      </c>
      <c r="L975" s="0" t="n">
        <v>34391</v>
      </c>
      <c r="M975" s="0" t="n">
        <v>34256</v>
      </c>
      <c r="N975" s="0" t="n">
        <v>120</v>
      </c>
      <c r="O975" s="54" t="n">
        <f aca="false">YEAR(B975)</f>
        <v>2021</v>
      </c>
      <c r="P975" s="54" t="n">
        <f aca="false">IF(AND(E975&gt;=14400,K975&gt;0,L975&gt;0),1,0)</f>
        <v>1</v>
      </c>
      <c r="Q975" s="53" t="n">
        <f aca="false">IF(P975=1,F975/E975*MIN(L975/K975,1)*MIN(MAX(M975/L975,0),1),0)</f>
        <v>0.396832702712054</v>
      </c>
      <c r="R975" s="55" t="n">
        <f aca="false">IF(F975&gt;0,N975/(F975/3600),0)</f>
        <v>18.3234104854953</v>
      </c>
    </row>
    <row r="976" customFormat="false" ht="15" hidden="false" customHeight="false" outlineLevel="0" collapsed="false">
      <c r="A976" s="0" t="s">
        <v>259</v>
      </c>
      <c r="B976" s="52" t="n">
        <v>44365</v>
      </c>
      <c r="C976" s="0" t="n">
        <v>53085.721</v>
      </c>
      <c r="D976" s="0" t="n">
        <v>9185.662</v>
      </c>
      <c r="E976" s="0" t="n">
        <v>43900.059</v>
      </c>
      <c r="F976" s="0" t="n">
        <v>26380.559</v>
      </c>
      <c r="G976" s="0" t="n">
        <v>20566.446</v>
      </c>
      <c r="H976" s="0" t="n">
        <v>5814.113</v>
      </c>
      <c r="I976" s="0" t="n">
        <v>8189.217</v>
      </c>
      <c r="J976" s="0" t="n">
        <v>9330.283</v>
      </c>
      <c r="K976" s="0" t="n">
        <v>46762.4835166667</v>
      </c>
      <c r="L976" s="0" t="n">
        <v>36261</v>
      </c>
      <c r="M976" s="0" t="n">
        <v>35963</v>
      </c>
      <c r="N976" s="0" t="n">
        <v>91</v>
      </c>
      <c r="O976" s="54" t="n">
        <f aca="false">YEAR(B976)</f>
        <v>2021</v>
      </c>
      <c r="P976" s="54" t="n">
        <f aca="false">IF(AND(E976&gt;=14400,K976&gt;0,L976&gt;0),1,0)</f>
        <v>1</v>
      </c>
      <c r="Q976" s="53" t="n">
        <f aca="false">IF(P976=1,F976/E976*MIN(L976/K976,1)*MIN(MAX(M976/L976,0),1),0)</f>
        <v>0.462143910546853</v>
      </c>
      <c r="R976" s="55" t="n">
        <f aca="false">IF(F976&gt;0,N976/(F976/3600),0)</f>
        <v>12.4182357166882</v>
      </c>
    </row>
    <row r="977" customFormat="false" ht="15" hidden="false" customHeight="false" outlineLevel="0" collapsed="false">
      <c r="A977" s="0" t="s">
        <v>259</v>
      </c>
      <c r="B977" s="52" t="n">
        <v>44366</v>
      </c>
      <c r="C977" s="0" t="n">
        <v>30222.552</v>
      </c>
      <c r="D977" s="0" t="n">
        <v>14194.191</v>
      </c>
      <c r="E977" s="0" t="n">
        <v>16028.361</v>
      </c>
      <c r="F977" s="0" t="n">
        <v>7446.186</v>
      </c>
      <c r="G977" s="0" t="n">
        <v>6791.222</v>
      </c>
      <c r="H977" s="0" t="n">
        <v>654.964</v>
      </c>
      <c r="I977" s="0" t="n">
        <v>530.696</v>
      </c>
      <c r="J977" s="0" t="n">
        <v>8051.479</v>
      </c>
      <c r="K977" s="0" t="n">
        <v>12478.1173111111</v>
      </c>
      <c r="L977" s="0" t="n">
        <v>11336</v>
      </c>
      <c r="M977" s="0" t="n">
        <v>11316</v>
      </c>
      <c r="N977" s="0" t="n">
        <v>4</v>
      </c>
      <c r="O977" s="54" t="n">
        <f aca="false">YEAR(B977)</f>
        <v>2021</v>
      </c>
      <c r="P977" s="54" t="n">
        <f aca="false">IF(AND(E977&gt;=14400,K977&gt;0,L977&gt;0),1,0)</f>
        <v>1</v>
      </c>
      <c r="Q977" s="53" t="n">
        <f aca="false">IF(P977=1,F977/E977*MIN(L977/K977,1)*MIN(MAX(M977/L977,0),1),0)</f>
        <v>0.421297264821974</v>
      </c>
      <c r="R977" s="55" t="n">
        <f aca="false">IF(F977&gt;0,N977/(F977/3600),0)</f>
        <v>1.93387594669271</v>
      </c>
    </row>
    <row r="978" customFormat="false" ht="15" hidden="false" customHeight="false" outlineLevel="0" collapsed="false">
      <c r="A978" s="0" t="s">
        <v>259</v>
      </c>
      <c r="B978" s="52" t="n">
        <v>44367</v>
      </c>
      <c r="C978" s="0" t="n">
        <v>16135.57</v>
      </c>
      <c r="D978" s="0" t="n">
        <v>3208.604</v>
      </c>
      <c r="E978" s="0" t="n">
        <v>12926.966</v>
      </c>
      <c r="F978" s="0" t="n">
        <v>8420.47</v>
      </c>
      <c r="G978" s="0" t="n">
        <v>6784.621</v>
      </c>
      <c r="H978" s="0" t="n">
        <v>1635.849</v>
      </c>
      <c r="I978" s="0" t="n">
        <v>2243.946</v>
      </c>
      <c r="J978" s="0" t="n">
        <v>2262.55</v>
      </c>
      <c r="K978" s="0" t="n">
        <v>15122.5573777778</v>
      </c>
      <c r="L978" s="0" t="n">
        <v>12081</v>
      </c>
      <c r="M978" s="0" t="n">
        <v>12005</v>
      </c>
      <c r="N978" s="0" t="n">
        <v>44</v>
      </c>
      <c r="O978" s="54" t="n">
        <f aca="false">YEAR(B978)</f>
        <v>2021</v>
      </c>
      <c r="P978" s="54" t="n">
        <f aca="false">IF(AND(E978&gt;=14400,K978&gt;0,L978&gt;0),1,0)</f>
        <v>0</v>
      </c>
      <c r="Q978" s="53" t="n">
        <f aca="false">IF(P978=1,F978/E978*MIN(L978/K978,1)*MIN(MAX(M978/L978,0),1),0)</f>
        <v>0</v>
      </c>
      <c r="R978" s="55" t="n">
        <f aca="false">IF(F978&gt;0,N978/(F978/3600),0)</f>
        <v>18.811301506923</v>
      </c>
    </row>
    <row r="979" customFormat="false" ht="15" hidden="false" customHeight="false" outlineLevel="0" collapsed="false">
      <c r="A979" s="0" t="s">
        <v>259</v>
      </c>
      <c r="B979" s="52" t="n">
        <v>44368</v>
      </c>
      <c r="C979" s="0" t="n">
        <v>52167.792</v>
      </c>
      <c r="D979" s="0" t="n">
        <v>13969.56</v>
      </c>
      <c r="E979" s="0" t="n">
        <v>38198.232</v>
      </c>
      <c r="F979" s="0" t="n">
        <v>15448.989</v>
      </c>
      <c r="G979" s="0" t="n">
        <v>13893.412</v>
      </c>
      <c r="H979" s="0" t="n">
        <v>1555.577</v>
      </c>
      <c r="I979" s="0" t="n">
        <v>1165.676</v>
      </c>
      <c r="J979" s="0" t="n">
        <v>21583.567</v>
      </c>
      <c r="K979" s="0" t="n">
        <v>16763.1614583333</v>
      </c>
      <c r="L979" s="0" t="n">
        <v>14044</v>
      </c>
      <c r="M979" s="0" t="n">
        <v>14006</v>
      </c>
      <c r="N979" s="0" t="n">
        <v>9</v>
      </c>
      <c r="O979" s="54" t="n">
        <f aca="false">YEAR(B979)</f>
        <v>2021</v>
      </c>
      <c r="P979" s="54" t="n">
        <f aca="false">IF(AND(E979&gt;=14400,K979&gt;0,L979&gt;0),1,0)</f>
        <v>1</v>
      </c>
      <c r="Q979" s="53" t="n">
        <f aca="false">IF(P979=1,F979/E979*MIN(L979/K979,1)*MIN(MAX(M979/L979,0),1),0)</f>
        <v>0.337920855343294</v>
      </c>
      <c r="R979" s="55" t="n">
        <f aca="false">IF(F979&gt;0,N979/(F979/3600),0)</f>
        <v>2.0972246145039</v>
      </c>
    </row>
    <row r="980" customFormat="false" ht="15" hidden="false" customHeight="false" outlineLevel="0" collapsed="false">
      <c r="A980" s="0" t="s">
        <v>259</v>
      </c>
      <c r="B980" s="52" t="n">
        <v>44369</v>
      </c>
      <c r="C980" s="0" t="n">
        <v>58999.787</v>
      </c>
      <c r="D980" s="0" t="n">
        <v>15296.201</v>
      </c>
      <c r="E980" s="0" t="n">
        <v>43703.586</v>
      </c>
      <c r="F980" s="0" t="n">
        <v>24572.74</v>
      </c>
      <c r="G980" s="0" t="n">
        <v>20460.516</v>
      </c>
      <c r="H980" s="0" t="n">
        <v>4112.224</v>
      </c>
      <c r="I980" s="0" t="n">
        <v>5169.839</v>
      </c>
      <c r="J980" s="0" t="n">
        <v>13961.007</v>
      </c>
      <c r="K980" s="0" t="n">
        <v>42519.6897305556</v>
      </c>
      <c r="L980" s="0" t="n">
        <v>35437</v>
      </c>
      <c r="M980" s="0" t="n">
        <v>35331</v>
      </c>
      <c r="N980" s="0" t="n">
        <v>99</v>
      </c>
      <c r="O980" s="54" t="n">
        <f aca="false">YEAR(B980)</f>
        <v>2021</v>
      </c>
      <c r="P980" s="54" t="n">
        <f aca="false">IF(AND(E980&gt;=14400,K980&gt;0,L980&gt;0),1,0)</f>
        <v>1</v>
      </c>
      <c r="Q980" s="53" t="n">
        <f aca="false">IF(P980=1,F980/E980*MIN(L980/K980,1)*MIN(MAX(M980/L980,0),1),0)</f>
        <v>0.467199484570129</v>
      </c>
      <c r="R980" s="55" t="n">
        <f aca="false">IF(F980&gt;0,N980/(F980/3600),0)</f>
        <v>14.503877060515</v>
      </c>
    </row>
    <row r="981" customFormat="false" ht="15" hidden="false" customHeight="false" outlineLevel="0" collapsed="false">
      <c r="A981" s="0" t="s">
        <v>259</v>
      </c>
      <c r="B981" s="52" t="n">
        <v>44370</v>
      </c>
      <c r="C981" s="0" t="n">
        <v>54637.718</v>
      </c>
      <c r="D981" s="0" t="n">
        <v>10120.81</v>
      </c>
      <c r="E981" s="0" t="n">
        <v>44516.908</v>
      </c>
      <c r="F981" s="0" t="n">
        <v>20092.484</v>
      </c>
      <c r="G981" s="0" t="n">
        <v>16158.659</v>
      </c>
      <c r="H981" s="0" t="n">
        <v>3933.825</v>
      </c>
      <c r="I981" s="0" t="n">
        <v>5008.394</v>
      </c>
      <c r="J981" s="0" t="n">
        <v>19416.03</v>
      </c>
      <c r="K981" s="0" t="n">
        <v>35137.2018111111</v>
      </c>
      <c r="L981" s="0" t="n">
        <v>27977</v>
      </c>
      <c r="M981" s="0" t="n">
        <v>27773</v>
      </c>
      <c r="N981" s="0" t="n">
        <v>69</v>
      </c>
      <c r="O981" s="54" t="n">
        <f aca="false">YEAR(B981)</f>
        <v>2021</v>
      </c>
      <c r="P981" s="54" t="n">
        <f aca="false">IF(AND(E981&gt;=14400,K981&gt;0,L981&gt;0),1,0)</f>
        <v>1</v>
      </c>
      <c r="Q981" s="53" t="n">
        <f aca="false">IF(P981=1,F981/E981*MIN(L981/K981,1)*MIN(MAX(M981/L981,0),1),0)</f>
        <v>0.356750228758116</v>
      </c>
      <c r="R981" s="55" t="n">
        <f aca="false">IF(F981&gt;0,N981/(F981/3600),0)</f>
        <v>12.3628317932218</v>
      </c>
    </row>
    <row r="982" customFormat="false" ht="15" hidden="false" customHeight="false" outlineLevel="0" collapsed="false">
      <c r="A982" s="0" t="s">
        <v>259</v>
      </c>
      <c r="B982" s="52" t="n">
        <v>44371</v>
      </c>
      <c r="C982" s="0" t="n">
        <v>57887.254</v>
      </c>
      <c r="D982" s="0" t="n">
        <v>8844.976</v>
      </c>
      <c r="E982" s="0" t="n">
        <v>49042.278</v>
      </c>
      <c r="F982" s="0" t="n">
        <v>28598.774</v>
      </c>
      <c r="G982" s="0" t="n">
        <v>23560.967</v>
      </c>
      <c r="H982" s="0" t="n">
        <v>5037.807</v>
      </c>
      <c r="I982" s="0" t="n">
        <v>6151.629</v>
      </c>
      <c r="J982" s="0" t="n">
        <v>14291.875</v>
      </c>
      <c r="K982" s="0" t="n">
        <v>48804.0628111111</v>
      </c>
      <c r="L982" s="0" t="n">
        <v>39894</v>
      </c>
      <c r="M982" s="0" t="n">
        <v>39795</v>
      </c>
      <c r="N982" s="0" t="n">
        <v>76</v>
      </c>
      <c r="O982" s="54" t="n">
        <f aca="false">YEAR(B982)</f>
        <v>2021</v>
      </c>
      <c r="P982" s="54" t="n">
        <f aca="false">IF(AND(E982&gt;=14400,K982&gt;0,L982&gt;0),1,0)</f>
        <v>1</v>
      </c>
      <c r="Q982" s="53" t="n">
        <f aca="false">IF(P982=1,F982/E982*MIN(L982/K982,1)*MIN(MAX(M982/L982,0),1),0)</f>
        <v>0.47549867663009</v>
      </c>
      <c r="R982" s="55" t="n">
        <f aca="false">IF(F982&gt;0,N982/(F982/3600),0)</f>
        <v>9.56684366959227</v>
      </c>
    </row>
    <row r="983" customFormat="false" ht="15" hidden="false" customHeight="false" outlineLevel="0" collapsed="false">
      <c r="A983" s="0" t="s">
        <v>259</v>
      </c>
      <c r="B983" s="52" t="n">
        <v>44372</v>
      </c>
      <c r="C983" s="0" t="n">
        <v>64755.976</v>
      </c>
      <c r="D983" s="0" t="n">
        <v>13084.566</v>
      </c>
      <c r="E983" s="0" t="n">
        <v>51671.41</v>
      </c>
      <c r="F983" s="0" t="n">
        <v>23568.601</v>
      </c>
      <c r="G983" s="0" t="n">
        <v>18162.293</v>
      </c>
      <c r="H983" s="0" t="n">
        <v>5406.308</v>
      </c>
      <c r="I983" s="0" t="n">
        <v>6664.998</v>
      </c>
      <c r="J983" s="0" t="n">
        <v>21437.811</v>
      </c>
      <c r="K983" s="0" t="n">
        <v>41205.2106555556</v>
      </c>
      <c r="L983" s="0" t="n">
        <v>31456</v>
      </c>
      <c r="M983" s="0" t="n">
        <v>31376</v>
      </c>
      <c r="N983" s="0" t="n">
        <v>65</v>
      </c>
      <c r="O983" s="54" t="n">
        <f aca="false">YEAR(B983)</f>
        <v>2021</v>
      </c>
      <c r="P983" s="54" t="n">
        <f aca="false">IF(AND(E983&gt;=14400,K983&gt;0,L983&gt;0),1,0)</f>
        <v>1</v>
      </c>
      <c r="Q983" s="53" t="n">
        <f aca="false">IF(P983=1,F983/E983*MIN(L983/K983,1)*MIN(MAX(M983/L983,0),1),0)</f>
        <v>0.347319309614712</v>
      </c>
      <c r="R983" s="55" t="n">
        <f aca="false">IF(F983&gt;0,N983/(F983/3600),0)</f>
        <v>9.92846372171178</v>
      </c>
    </row>
    <row r="984" customFormat="false" ht="15" hidden="false" customHeight="false" outlineLevel="0" collapsed="false">
      <c r="A984" s="0" t="s">
        <v>259</v>
      </c>
      <c r="B984" s="52" t="n">
        <v>44373</v>
      </c>
      <c r="C984" s="0" t="n">
        <v>29899.404</v>
      </c>
      <c r="D984" s="0" t="n">
        <v>8810.672</v>
      </c>
      <c r="E984" s="0" t="n">
        <v>21088.732</v>
      </c>
      <c r="F984" s="0" t="n">
        <v>8539.705</v>
      </c>
      <c r="G984" s="0" t="n">
        <v>7940.432</v>
      </c>
      <c r="H984" s="0" t="n">
        <v>599.273</v>
      </c>
      <c r="I984" s="0" t="n">
        <v>1952.739</v>
      </c>
      <c r="J984" s="0" t="n">
        <v>10596.288</v>
      </c>
      <c r="K984" s="0" t="n">
        <v>14248.05785</v>
      </c>
      <c r="L984" s="0" t="n">
        <v>13133</v>
      </c>
      <c r="M984" s="0" t="n">
        <v>13101</v>
      </c>
      <c r="N984" s="0" t="n">
        <v>13</v>
      </c>
      <c r="O984" s="54" t="n">
        <f aca="false">YEAR(B984)</f>
        <v>2021</v>
      </c>
      <c r="P984" s="54" t="n">
        <f aca="false">IF(AND(E984&gt;=14400,K984&gt;0,L984&gt;0),1,0)</f>
        <v>1</v>
      </c>
      <c r="Q984" s="53" t="n">
        <f aca="false">IF(P984=1,F984/E984*MIN(L984/K984,1)*MIN(MAX(M984/L984,0),1),0)</f>
        <v>0.372341271576078</v>
      </c>
      <c r="R984" s="55" t="n">
        <f aca="false">IF(F984&gt;0,N984/(F984/3600),0)</f>
        <v>5.48028298401409</v>
      </c>
    </row>
    <row r="985" customFormat="false" ht="15" hidden="false" customHeight="false" outlineLevel="0" collapsed="false">
      <c r="A985" s="0" t="s">
        <v>259</v>
      </c>
      <c r="B985" s="52" t="n">
        <v>44374</v>
      </c>
      <c r="C985" s="0" t="n">
        <v>15823.684</v>
      </c>
      <c r="D985" s="0" t="n">
        <v>3247.077</v>
      </c>
      <c r="E985" s="0" t="n">
        <v>12576.607</v>
      </c>
      <c r="F985" s="0" t="n">
        <v>8551.674</v>
      </c>
      <c r="G985" s="0" t="n">
        <v>6256.813</v>
      </c>
      <c r="H985" s="0" t="n">
        <v>2294.861</v>
      </c>
      <c r="I985" s="0" t="n">
        <v>1827.562</v>
      </c>
      <c r="J985" s="0" t="n">
        <v>2197.371</v>
      </c>
      <c r="K985" s="0" t="n">
        <v>14682.3136777778</v>
      </c>
      <c r="L985" s="0" t="n">
        <v>10650</v>
      </c>
      <c r="M985" s="0" t="n">
        <v>10603</v>
      </c>
      <c r="N985" s="0" t="n">
        <v>22</v>
      </c>
      <c r="O985" s="54" t="n">
        <f aca="false">YEAR(B985)</f>
        <v>2021</v>
      </c>
      <c r="P985" s="54" t="n">
        <f aca="false">IF(AND(E985&gt;=14400,K985&gt;0,L985&gt;0),1,0)</f>
        <v>0</v>
      </c>
      <c r="Q985" s="53" t="n">
        <f aca="false">IF(P985=1,F985/E985*MIN(L985/K985,1)*MIN(MAX(M985/L985,0),1),0)</f>
        <v>0</v>
      </c>
      <c r="R985" s="55" t="n">
        <f aca="false">IF(F985&gt;0,N985/(F985/3600),0)</f>
        <v>9.2613446209479</v>
      </c>
    </row>
    <row r="986" customFormat="false" ht="15" hidden="false" customHeight="false" outlineLevel="0" collapsed="false">
      <c r="A986" s="0" t="s">
        <v>259</v>
      </c>
      <c r="B986" s="52" t="n">
        <v>44375</v>
      </c>
      <c r="C986" s="0" t="n">
        <v>46817.308</v>
      </c>
      <c r="D986" s="0" t="n">
        <v>11764.781</v>
      </c>
      <c r="E986" s="0" t="n">
        <v>35052.527</v>
      </c>
      <c r="F986" s="0" t="n">
        <v>17584.394</v>
      </c>
      <c r="G986" s="0" t="n">
        <v>15383.992</v>
      </c>
      <c r="H986" s="0" t="n">
        <v>2200.402</v>
      </c>
      <c r="I986" s="0" t="n">
        <v>3502.048</v>
      </c>
      <c r="J986" s="0" t="n">
        <v>13966.085</v>
      </c>
      <c r="K986" s="0" t="n">
        <v>30910.8464166667</v>
      </c>
      <c r="L986" s="0" t="n">
        <v>26959</v>
      </c>
      <c r="M986" s="0" t="n">
        <v>26939</v>
      </c>
      <c r="N986" s="0" t="n">
        <v>58</v>
      </c>
      <c r="O986" s="54" t="n">
        <f aca="false">YEAR(B986)</f>
        <v>2021</v>
      </c>
      <c r="P986" s="54" t="n">
        <f aca="false">IF(AND(E986&gt;=14400,K986&gt;0,L986&gt;0),1,0)</f>
        <v>1</v>
      </c>
      <c r="Q986" s="53" t="n">
        <f aca="false">IF(P986=1,F986/E986*MIN(L986/K986,1)*MIN(MAX(M986/L986,0),1),0)</f>
        <v>0.437198483213053</v>
      </c>
      <c r="R986" s="55" t="n">
        <f aca="false">IF(F986&gt;0,N986/(F986/3600),0)</f>
        <v>11.8741652399281</v>
      </c>
    </row>
    <row r="987" customFormat="false" ht="15" hidden="false" customHeight="false" outlineLevel="0" collapsed="false">
      <c r="A987" s="0" t="s">
        <v>259</v>
      </c>
      <c r="B987" s="52" t="n">
        <v>44376</v>
      </c>
      <c r="C987" s="0" t="n">
        <v>51030.034</v>
      </c>
      <c r="D987" s="0" t="n">
        <v>18973.12</v>
      </c>
      <c r="E987" s="0" t="n">
        <v>32056.914</v>
      </c>
      <c r="F987" s="0" t="n">
        <v>12653.82</v>
      </c>
      <c r="G987" s="0" t="n">
        <v>10286.865</v>
      </c>
      <c r="H987" s="0" t="n">
        <v>2366.955</v>
      </c>
      <c r="I987" s="0" t="n">
        <v>4275.018</v>
      </c>
      <c r="J987" s="0" t="n">
        <v>15128.076</v>
      </c>
      <c r="K987" s="0" t="n">
        <v>22154.9255777778</v>
      </c>
      <c r="L987" s="0" t="n">
        <v>17960</v>
      </c>
      <c r="M987" s="0" t="n">
        <v>17818</v>
      </c>
      <c r="N987" s="0" t="n">
        <v>46</v>
      </c>
      <c r="O987" s="54" t="n">
        <f aca="false">YEAR(B987)</f>
        <v>2021</v>
      </c>
      <c r="P987" s="54" t="n">
        <f aca="false">IF(AND(E987&gt;=14400,K987&gt;0,L987&gt;0),1,0)</f>
        <v>1</v>
      </c>
      <c r="Q987" s="53" t="n">
        <f aca="false">IF(P987=1,F987/E987*MIN(L987/K987,1)*MIN(MAX(M987/L987,0),1),0)</f>
        <v>0.31745969841133</v>
      </c>
      <c r="R987" s="55" t="n">
        <f aca="false">IF(F987&gt;0,N987/(F987/3600),0)</f>
        <v>13.0869571402154</v>
      </c>
    </row>
    <row r="988" customFormat="false" ht="15" hidden="false" customHeight="false" outlineLevel="0" collapsed="false">
      <c r="A988" s="0" t="s">
        <v>259</v>
      </c>
      <c r="B988" s="52" t="n">
        <v>44377</v>
      </c>
      <c r="C988" s="0" t="n">
        <v>57563.452</v>
      </c>
      <c r="D988" s="0" t="n">
        <v>9564.573</v>
      </c>
      <c r="E988" s="0" t="n">
        <v>47998.879</v>
      </c>
      <c r="F988" s="0" t="n">
        <v>18959.346</v>
      </c>
      <c r="G988" s="0" t="n">
        <v>15738.972</v>
      </c>
      <c r="H988" s="0" t="n">
        <v>3220.374</v>
      </c>
      <c r="I988" s="0" t="n">
        <v>5368.04</v>
      </c>
      <c r="J988" s="0" t="n">
        <v>23671.493</v>
      </c>
      <c r="K988" s="0" t="n">
        <v>32232.3034177778</v>
      </c>
      <c r="L988" s="0" t="n">
        <v>26286</v>
      </c>
      <c r="M988" s="0" t="n">
        <v>26204</v>
      </c>
      <c r="N988" s="0" t="n">
        <v>78</v>
      </c>
      <c r="O988" s="54" t="n">
        <f aca="false">YEAR(B988)</f>
        <v>2021</v>
      </c>
      <c r="P988" s="54" t="n">
        <f aca="false">IF(AND(E988&gt;=14400,K988&gt;0,L988&gt;0),1,0)</f>
        <v>1</v>
      </c>
      <c r="Q988" s="53" t="n">
        <f aca="false">IF(P988=1,F988/E988*MIN(L988/K988,1)*MIN(MAX(M988/L988,0),1),0)</f>
        <v>0.321120850806734</v>
      </c>
      <c r="R988" s="55" t="n">
        <f aca="false">IF(F988&gt;0,N988/(F988/3600),0)</f>
        <v>14.8106374555325</v>
      </c>
    </row>
    <row r="989" customFormat="false" ht="15" hidden="false" customHeight="false" outlineLevel="0" collapsed="false">
      <c r="A989" s="0" t="s">
        <v>259</v>
      </c>
      <c r="B989" s="52" t="n">
        <v>44378</v>
      </c>
      <c r="C989" s="0" t="n">
        <v>51588.026</v>
      </c>
      <c r="D989" s="0" t="n">
        <v>10550.415</v>
      </c>
      <c r="E989" s="0" t="n">
        <v>41037.611</v>
      </c>
      <c r="F989" s="0" t="n">
        <v>23654.712</v>
      </c>
      <c r="G989" s="0" t="n">
        <v>19358.089</v>
      </c>
      <c r="H989" s="0" t="n">
        <v>4296.623</v>
      </c>
      <c r="I989" s="0" t="n">
        <v>12466.25</v>
      </c>
      <c r="J989" s="0" t="n">
        <v>4916.649</v>
      </c>
      <c r="K989" s="0" t="n">
        <v>41534.7548777778</v>
      </c>
      <c r="L989" s="0" t="n">
        <v>33875</v>
      </c>
      <c r="M989" s="0" t="n">
        <v>33767</v>
      </c>
      <c r="N989" s="0" t="n">
        <v>75</v>
      </c>
      <c r="O989" s="54" t="n">
        <f aca="false">YEAR(B989)</f>
        <v>2021</v>
      </c>
      <c r="P989" s="54" t="n">
        <f aca="false">IF(AND(E989&gt;=14400,K989&gt;0,L989&gt;0),1,0)</f>
        <v>1</v>
      </c>
      <c r="Q989" s="53" t="n">
        <f aca="false">IF(P989=1,F989/E989*MIN(L989/K989,1)*MIN(MAX(M989/L989,0),1),0)</f>
        <v>0.468615253060729</v>
      </c>
      <c r="R989" s="55" t="n">
        <f aca="false">IF(F989&gt;0,N989/(F989/3600),0)</f>
        <v>11.4142163303447</v>
      </c>
    </row>
    <row r="990" customFormat="false" ht="15" hidden="false" customHeight="false" outlineLevel="0" collapsed="false">
      <c r="A990" s="0" t="s">
        <v>259</v>
      </c>
      <c r="B990" s="52" t="n">
        <v>44379</v>
      </c>
      <c r="C990" s="0" t="n">
        <v>47592.227</v>
      </c>
      <c r="D990" s="0" t="n">
        <v>15880.554</v>
      </c>
      <c r="E990" s="0" t="n">
        <v>31711.673</v>
      </c>
      <c r="F990" s="0" t="n">
        <v>16748.21</v>
      </c>
      <c r="G990" s="0" t="n">
        <v>14830.189</v>
      </c>
      <c r="H990" s="0" t="n">
        <v>1918.021</v>
      </c>
      <c r="I990" s="0" t="n">
        <v>8013.572</v>
      </c>
      <c r="J990" s="0" t="n">
        <v>6949.891</v>
      </c>
      <c r="K990" s="0" t="n">
        <v>29361.3908611111</v>
      </c>
      <c r="L990" s="0" t="n">
        <v>25803</v>
      </c>
      <c r="M990" s="0" t="n">
        <v>25757</v>
      </c>
      <c r="N990" s="0" t="n">
        <v>61</v>
      </c>
      <c r="O990" s="54" t="n">
        <f aca="false">YEAR(B990)</f>
        <v>2021</v>
      </c>
      <c r="P990" s="54" t="n">
        <f aca="false">IF(AND(E990&gt;=14400,K990&gt;0,L990&gt;0),1,0)</f>
        <v>1</v>
      </c>
      <c r="Q990" s="53" t="n">
        <f aca="false">IF(P990=1,F990/E990*MIN(L990/K990,1)*MIN(MAX(M990/L990,0),1),0)</f>
        <v>0.463305970333977</v>
      </c>
      <c r="R990" s="55" t="n">
        <f aca="false">IF(F990&gt;0,N990/(F990/3600),0)</f>
        <v>13.1118489677404</v>
      </c>
    </row>
    <row r="991" customFormat="false" ht="15" hidden="false" customHeight="false" outlineLevel="0" collapsed="false">
      <c r="A991" s="0" t="s">
        <v>259</v>
      </c>
      <c r="B991" s="52" t="n">
        <v>44380</v>
      </c>
      <c r="C991" s="0" t="n">
        <v>35540.046</v>
      </c>
      <c r="D991" s="0" t="n">
        <v>6156.122</v>
      </c>
      <c r="E991" s="0" t="n">
        <v>29383.924</v>
      </c>
      <c r="F991" s="0" t="n">
        <v>10392.312</v>
      </c>
      <c r="G991" s="0" t="n">
        <v>7724.741</v>
      </c>
      <c r="H991" s="0" t="n">
        <v>2667.571</v>
      </c>
      <c r="I991" s="0" t="n">
        <v>6598.621</v>
      </c>
      <c r="J991" s="0" t="n">
        <v>12392.991</v>
      </c>
      <c r="K991" s="0" t="n">
        <v>17307.2706444444</v>
      </c>
      <c r="L991" s="0" t="n">
        <v>12817</v>
      </c>
      <c r="M991" s="0" t="n">
        <v>12772</v>
      </c>
      <c r="N991" s="0" t="n">
        <v>15</v>
      </c>
      <c r="O991" s="54" t="n">
        <f aca="false">YEAR(B991)</f>
        <v>2021</v>
      </c>
      <c r="P991" s="54" t="n">
        <f aca="false">IF(AND(E991&gt;=14400,K991&gt;0,L991&gt;0),1,0)</f>
        <v>1</v>
      </c>
      <c r="Q991" s="53" t="n">
        <f aca="false">IF(P991=1,F991/E991*MIN(L991/K991,1)*MIN(MAX(M991/L991,0),1),0)</f>
        <v>0.260995313727352</v>
      </c>
      <c r="R991" s="55" t="n">
        <f aca="false">IF(F991&gt;0,N991/(F991/3600),0)</f>
        <v>5.19614884541573</v>
      </c>
    </row>
    <row r="992" customFormat="false" ht="15" hidden="false" customHeight="false" outlineLevel="0" collapsed="false">
      <c r="A992" s="0" t="s">
        <v>259</v>
      </c>
      <c r="B992" s="52" t="n">
        <v>44381</v>
      </c>
      <c r="C992" s="0" t="n">
        <v>15980.305</v>
      </c>
      <c r="D992" s="0" t="n">
        <v>3073.947</v>
      </c>
      <c r="E992" s="0" t="n">
        <v>12906.358</v>
      </c>
      <c r="F992" s="0" t="n">
        <v>8589.942</v>
      </c>
      <c r="G992" s="0" t="n">
        <v>6442.352</v>
      </c>
      <c r="H992" s="0" t="n">
        <v>2147.59</v>
      </c>
      <c r="I992" s="0" t="n">
        <v>2178.896</v>
      </c>
      <c r="J992" s="0" t="n">
        <v>2137.52</v>
      </c>
      <c r="K992" s="0" t="n">
        <v>15236.9606111111</v>
      </c>
      <c r="L992" s="0" t="n">
        <v>11031</v>
      </c>
      <c r="M992" s="0" t="n">
        <v>10855</v>
      </c>
      <c r="N992" s="0" t="n">
        <v>44</v>
      </c>
      <c r="O992" s="54" t="n">
        <f aca="false">YEAR(B992)</f>
        <v>2021</v>
      </c>
      <c r="P992" s="54" t="n">
        <f aca="false">IF(AND(E992&gt;=14400,K992&gt;0,L992&gt;0),1,0)</f>
        <v>0</v>
      </c>
      <c r="Q992" s="53" t="n">
        <f aca="false">IF(P992=1,F992/E992*MIN(L992/K992,1)*MIN(MAX(M992/L992,0),1),0)</f>
        <v>0</v>
      </c>
      <c r="R992" s="55" t="n">
        <f aca="false">IF(F992&gt;0,N992/(F992/3600),0)</f>
        <v>18.4401710744962</v>
      </c>
    </row>
    <row r="993" customFormat="false" ht="15" hidden="false" customHeight="false" outlineLevel="0" collapsed="false">
      <c r="A993" s="0" t="s">
        <v>259</v>
      </c>
      <c r="B993" s="52" t="n">
        <v>44382</v>
      </c>
      <c r="C993" s="0" t="n">
        <v>52627.709</v>
      </c>
      <c r="D993" s="0" t="n">
        <v>9018.507</v>
      </c>
      <c r="E993" s="0" t="n">
        <v>43609.202</v>
      </c>
      <c r="F993" s="0" t="n">
        <v>27662.567</v>
      </c>
      <c r="G993" s="0" t="n">
        <v>23257.772</v>
      </c>
      <c r="H993" s="0" t="n">
        <v>4404.795</v>
      </c>
      <c r="I993" s="0" t="n">
        <v>4716.475</v>
      </c>
      <c r="J993" s="0" t="n">
        <v>11230.16</v>
      </c>
      <c r="K993" s="0" t="n">
        <v>35914.7529722222</v>
      </c>
      <c r="L993" s="0" t="n">
        <v>28995</v>
      </c>
      <c r="M993" s="0" t="n">
        <v>28836</v>
      </c>
      <c r="N993" s="0" t="n">
        <v>62</v>
      </c>
      <c r="O993" s="54" t="n">
        <f aca="false">YEAR(B993)</f>
        <v>2021</v>
      </c>
      <c r="P993" s="54" t="n">
        <f aca="false">IF(AND(E993&gt;=14400,K993&gt;0,L993&gt;0),1,0)</f>
        <v>1</v>
      </c>
      <c r="Q993" s="53" t="n">
        <f aca="false">IF(P993=1,F993/E993*MIN(L993/K993,1)*MIN(MAX(M993/L993,0),1),0)</f>
        <v>0.509303279162747</v>
      </c>
      <c r="R993" s="55" t="n">
        <f aca="false">IF(F993&gt;0,N993/(F993/3600),0)</f>
        <v>8.06866550020466</v>
      </c>
    </row>
    <row r="994" customFormat="false" ht="15" hidden="false" customHeight="false" outlineLevel="0" collapsed="false">
      <c r="A994" s="0" t="s">
        <v>259</v>
      </c>
      <c r="B994" s="52" t="n">
        <v>44383</v>
      </c>
      <c r="C994" s="0" t="n">
        <v>55113.282</v>
      </c>
      <c r="D994" s="0" t="n">
        <v>15315.817</v>
      </c>
      <c r="E994" s="0" t="n">
        <v>39797.465</v>
      </c>
      <c r="F994" s="0" t="n">
        <v>19029.247</v>
      </c>
      <c r="G994" s="0" t="n">
        <v>15941.709</v>
      </c>
      <c r="H994" s="0" t="n">
        <v>3087.538</v>
      </c>
      <c r="I994" s="0" t="n">
        <v>6910.556</v>
      </c>
      <c r="J994" s="0" t="n">
        <v>13857.662</v>
      </c>
      <c r="K994" s="0" t="n">
        <v>32871.4984455556</v>
      </c>
      <c r="L994" s="0" t="n">
        <v>27321</v>
      </c>
      <c r="M994" s="0" t="n">
        <v>27197</v>
      </c>
      <c r="N994" s="0" t="n">
        <v>74</v>
      </c>
      <c r="O994" s="54" t="n">
        <f aca="false">YEAR(B994)</f>
        <v>2021</v>
      </c>
      <c r="P994" s="54" t="n">
        <f aca="false">IF(AND(E994&gt;=14400,K994&gt;0,L994&gt;0),1,0)</f>
        <v>1</v>
      </c>
      <c r="Q994" s="53" t="n">
        <f aca="false">IF(P994=1,F994/E994*MIN(L994/K994,1)*MIN(MAX(M994/L994,0),1),0)</f>
        <v>0.39561039385436</v>
      </c>
      <c r="R994" s="55" t="n">
        <f aca="false">IF(F994&gt;0,N994/(F994/3600),0)</f>
        <v>13.9995029756038</v>
      </c>
    </row>
    <row r="995" customFormat="false" ht="15" hidden="false" customHeight="false" outlineLevel="0" collapsed="false">
      <c r="A995" s="0" t="s">
        <v>259</v>
      </c>
      <c r="B995" s="52" t="n">
        <v>44384</v>
      </c>
      <c r="C995" s="0" t="n">
        <v>52388.291</v>
      </c>
      <c r="D995" s="0" t="n">
        <v>8608.732</v>
      </c>
      <c r="E995" s="0" t="n">
        <v>43779.559</v>
      </c>
      <c r="F995" s="0" t="n">
        <v>19469.06</v>
      </c>
      <c r="G995" s="0" t="n">
        <v>14074.27</v>
      </c>
      <c r="H995" s="0" t="n">
        <v>5394.79</v>
      </c>
      <c r="I995" s="0" t="n">
        <v>7189.195</v>
      </c>
      <c r="J995" s="0" t="n">
        <v>17121.304</v>
      </c>
      <c r="K995" s="0" t="n">
        <v>33364.0318072222</v>
      </c>
      <c r="L995" s="0" t="n">
        <v>24631</v>
      </c>
      <c r="M995" s="0" t="n">
        <v>24587</v>
      </c>
      <c r="N995" s="0" t="n">
        <v>65</v>
      </c>
      <c r="O995" s="54" t="n">
        <f aca="false">YEAR(B995)</f>
        <v>2021</v>
      </c>
      <c r="P995" s="54" t="n">
        <f aca="false">IF(AND(E995&gt;=14400,K995&gt;0,L995&gt;0),1,0)</f>
        <v>1</v>
      </c>
      <c r="Q995" s="53" t="n">
        <f aca="false">IF(P995=1,F995/E995*MIN(L995/K995,1)*MIN(MAX(M995/L995,0),1),0)</f>
        <v>0.327718241401926</v>
      </c>
      <c r="R995" s="55" t="n">
        <f aca="false">IF(F995&gt;0,N995/(F995/3600),0)</f>
        <v>12.0190702581429</v>
      </c>
    </row>
    <row r="996" customFormat="false" ht="15" hidden="false" customHeight="false" outlineLevel="0" collapsed="false">
      <c r="A996" s="0" t="s">
        <v>259</v>
      </c>
      <c r="B996" s="52" t="n">
        <v>44385</v>
      </c>
      <c r="C996" s="0" t="n">
        <v>45347.228</v>
      </c>
      <c r="D996" s="0" t="n">
        <v>13108.165</v>
      </c>
      <c r="E996" s="0" t="n">
        <v>32239.063</v>
      </c>
      <c r="F996" s="0" t="n">
        <v>19088.663</v>
      </c>
      <c r="G996" s="0" t="n">
        <v>13825.329</v>
      </c>
      <c r="H996" s="0" t="n">
        <v>5263.334</v>
      </c>
      <c r="I996" s="0" t="n">
        <v>6249.922</v>
      </c>
      <c r="J996" s="0" t="n">
        <v>6900.478</v>
      </c>
      <c r="K996" s="0" t="n">
        <v>34247.5840377778</v>
      </c>
      <c r="L996" s="0" t="n">
        <v>26771</v>
      </c>
      <c r="M996" s="0" t="n">
        <v>26600</v>
      </c>
      <c r="N996" s="0" t="n">
        <v>56</v>
      </c>
      <c r="O996" s="54" t="n">
        <f aca="false">YEAR(B996)</f>
        <v>2021</v>
      </c>
      <c r="P996" s="54" t="n">
        <f aca="false">IF(AND(E996&gt;=14400,K996&gt;0,L996&gt;0),1,0)</f>
        <v>1</v>
      </c>
      <c r="Q996" s="53" t="n">
        <f aca="false">IF(P996=1,F996/E996*MIN(L996/K996,1)*MIN(MAX(M996/L996,0),1),0)</f>
        <v>0.459880289900584</v>
      </c>
      <c r="R996" s="55" t="n">
        <f aca="false">IF(F996&gt;0,N996/(F996/3600),0)</f>
        <v>10.5612425553325</v>
      </c>
    </row>
    <row r="997" customFormat="false" ht="15" hidden="false" customHeight="false" outlineLevel="0" collapsed="false">
      <c r="A997" s="0" t="s">
        <v>259</v>
      </c>
      <c r="B997" s="52" t="n">
        <v>44386</v>
      </c>
      <c r="C997" s="0" t="n">
        <v>52188.158</v>
      </c>
      <c r="D997" s="0" t="n">
        <v>10163.595</v>
      </c>
      <c r="E997" s="0" t="n">
        <v>42024.563</v>
      </c>
      <c r="F997" s="0" t="n">
        <v>27820.147</v>
      </c>
      <c r="G997" s="0" t="n">
        <v>20523.992</v>
      </c>
      <c r="H997" s="0" t="n">
        <v>7296.155</v>
      </c>
      <c r="I997" s="0" t="n">
        <v>8239.96</v>
      </c>
      <c r="J997" s="0" t="n">
        <v>5964.456</v>
      </c>
      <c r="K997" s="0" t="n">
        <v>48208.4181238889</v>
      </c>
      <c r="L997" s="0" t="n">
        <v>35188</v>
      </c>
      <c r="M997" s="0" t="n">
        <v>34910</v>
      </c>
      <c r="N997" s="0" t="n">
        <v>114</v>
      </c>
      <c r="O997" s="54" t="n">
        <f aca="false">YEAR(B997)</f>
        <v>2021</v>
      </c>
      <c r="P997" s="54" t="n">
        <f aca="false">IF(AND(E997&gt;=14400,K997&gt;0,L997&gt;0),1,0)</f>
        <v>1</v>
      </c>
      <c r="Q997" s="53" t="n">
        <f aca="false">IF(P997=1,F997/E997*MIN(L997/K997,1)*MIN(MAX(M997/L997,0),1),0)</f>
        <v>0.479383610648798</v>
      </c>
      <c r="R997" s="55" t="n">
        <f aca="false">IF(F997&gt;0,N997/(F997/3600),0)</f>
        <v>14.7518990463997</v>
      </c>
    </row>
    <row r="998" customFormat="false" ht="15" hidden="false" customHeight="false" outlineLevel="0" collapsed="false">
      <c r="A998" s="0" t="s">
        <v>259</v>
      </c>
      <c r="B998" s="52" t="n">
        <v>44387</v>
      </c>
      <c r="C998" s="0" t="n">
        <v>45803.333</v>
      </c>
      <c r="D998" s="0" t="n">
        <v>22221.734</v>
      </c>
      <c r="E998" s="0" t="n">
        <v>23581.599</v>
      </c>
      <c r="F998" s="0" t="n">
        <v>10151.48</v>
      </c>
      <c r="G998" s="0" t="n">
        <v>8738.369</v>
      </c>
      <c r="H998" s="0" t="n">
        <v>1413.111</v>
      </c>
      <c r="I998" s="0" t="n">
        <v>1503.017</v>
      </c>
      <c r="J998" s="0" t="n">
        <v>11927.102</v>
      </c>
      <c r="K998" s="0" t="n">
        <v>17201.0859866667</v>
      </c>
      <c r="L998" s="0" t="n">
        <v>14750</v>
      </c>
      <c r="M998" s="0" t="n">
        <v>14702</v>
      </c>
      <c r="N998" s="0" t="n">
        <v>12</v>
      </c>
      <c r="O998" s="54" t="n">
        <f aca="false">YEAR(B998)</f>
        <v>2021</v>
      </c>
      <c r="P998" s="54" t="n">
        <f aca="false">IF(AND(E998&gt;=14400,K998&gt;0,L998&gt;0),1,0)</f>
        <v>1</v>
      </c>
      <c r="Q998" s="53" t="n">
        <f aca="false">IF(P998=1,F998/E998*MIN(L998/K998,1)*MIN(MAX(M998/L998,0),1),0)</f>
        <v>0.367939712676333</v>
      </c>
      <c r="R998" s="55" t="n">
        <f aca="false">IF(F998&gt;0,N998/(F998/3600),0)</f>
        <v>4.25553712365094</v>
      </c>
    </row>
    <row r="999" customFormat="false" ht="15" hidden="false" customHeight="false" outlineLevel="0" collapsed="false">
      <c r="A999" s="0" t="s">
        <v>259</v>
      </c>
      <c r="B999" s="52" t="n">
        <v>44388</v>
      </c>
      <c r="C999" s="0" t="n">
        <v>21083.635</v>
      </c>
      <c r="D999" s="0" t="n">
        <v>4951.107</v>
      </c>
      <c r="E999" s="0" t="n">
        <v>16132.528</v>
      </c>
      <c r="F999" s="0" t="n">
        <v>8761.845</v>
      </c>
      <c r="G999" s="0" t="n">
        <v>6682.318</v>
      </c>
      <c r="H999" s="0" t="n">
        <v>2079.527</v>
      </c>
      <c r="I999" s="0" t="n">
        <v>2436.207</v>
      </c>
      <c r="J999" s="0" t="n">
        <v>4934.476</v>
      </c>
      <c r="K999" s="0" t="n">
        <v>15590.48335</v>
      </c>
      <c r="L999" s="0" t="n">
        <v>11727</v>
      </c>
      <c r="M999" s="0" t="n">
        <v>11632</v>
      </c>
      <c r="N999" s="0" t="n">
        <v>42</v>
      </c>
      <c r="O999" s="54" t="n">
        <f aca="false">YEAR(B999)</f>
        <v>2021</v>
      </c>
      <c r="P999" s="54" t="n">
        <f aca="false">IF(AND(E999&gt;=14400,K999&gt;0,L999&gt;0),1,0)</f>
        <v>1</v>
      </c>
      <c r="Q999" s="53" t="n">
        <f aca="false">IF(P999=1,F999/E999*MIN(L999/K999,1)*MIN(MAX(M999/L999,0),1),0)</f>
        <v>0.405217275550796</v>
      </c>
      <c r="R999" s="55" t="n">
        <f aca="false">IF(F999&gt;0,N999/(F999/3600),0)</f>
        <v>17.2566394406658</v>
      </c>
    </row>
    <row r="1000" customFormat="false" ht="15" hidden="false" customHeight="false" outlineLevel="0" collapsed="false">
      <c r="A1000" s="0" t="s">
        <v>259</v>
      </c>
      <c r="B1000" s="52" t="n">
        <v>44389</v>
      </c>
      <c r="C1000" s="0" t="n">
        <v>39374.359</v>
      </c>
      <c r="D1000" s="0" t="n">
        <v>9369.06</v>
      </c>
      <c r="E1000" s="0" t="n">
        <v>30005.299</v>
      </c>
      <c r="F1000" s="0" t="n">
        <v>18288.631</v>
      </c>
      <c r="G1000" s="0" t="n">
        <v>15197.261</v>
      </c>
      <c r="H1000" s="0" t="n">
        <v>3091.37</v>
      </c>
      <c r="I1000" s="0" t="n">
        <v>5291.927</v>
      </c>
      <c r="J1000" s="0" t="n">
        <v>6424.741</v>
      </c>
      <c r="K1000" s="0" t="n">
        <v>31668.4599666667</v>
      </c>
      <c r="L1000" s="0" t="n">
        <v>26211</v>
      </c>
      <c r="M1000" s="0" t="n">
        <v>26061</v>
      </c>
      <c r="N1000" s="0" t="n">
        <v>44</v>
      </c>
      <c r="O1000" s="54" t="n">
        <f aca="false">YEAR(B1000)</f>
        <v>2021</v>
      </c>
      <c r="P1000" s="54" t="n">
        <f aca="false">IF(AND(E1000&gt;=14400,K1000&gt;0,L1000&gt;0),1,0)</f>
        <v>1</v>
      </c>
      <c r="Q1000" s="53" t="n">
        <f aca="false">IF(P1000=1,F1000/E1000*MIN(L1000/K1000,1)*MIN(MAX(M1000/L1000,0),1),0)</f>
        <v>0.501588268873457</v>
      </c>
      <c r="R1000" s="55" t="n">
        <f aca="false">IF(F1000&gt;0,N1000/(F1000/3600),0)</f>
        <v>8.66111848393682</v>
      </c>
    </row>
    <row r="1001" customFormat="false" ht="15" hidden="false" customHeight="false" outlineLevel="0" collapsed="false">
      <c r="A1001" s="0" t="s">
        <v>259</v>
      </c>
      <c r="B1001" s="52" t="n">
        <v>44390</v>
      </c>
      <c r="C1001" s="0" t="n">
        <v>50615.414</v>
      </c>
      <c r="D1001" s="0" t="n">
        <v>17924.242</v>
      </c>
      <c r="E1001" s="0" t="n">
        <v>32691.172</v>
      </c>
      <c r="F1001" s="0" t="n">
        <v>19213.622</v>
      </c>
      <c r="G1001" s="0" t="n">
        <v>16310.516</v>
      </c>
      <c r="H1001" s="0" t="n">
        <v>2903.106</v>
      </c>
      <c r="I1001" s="0" t="n">
        <v>3330.017</v>
      </c>
      <c r="J1001" s="0" t="n">
        <v>10147.533</v>
      </c>
      <c r="K1001" s="0" t="n">
        <v>33842.0254344445</v>
      </c>
      <c r="L1001" s="0" t="n">
        <v>28526</v>
      </c>
      <c r="M1001" s="0" t="n">
        <v>28420</v>
      </c>
      <c r="N1001" s="0" t="n">
        <v>49</v>
      </c>
      <c r="O1001" s="54" t="n">
        <f aca="false">YEAR(B1001)</f>
        <v>2021</v>
      </c>
      <c r="P1001" s="54" t="n">
        <f aca="false">IF(AND(E1001&gt;=14400,K1001&gt;0,L1001&gt;0),1,0)</f>
        <v>1</v>
      </c>
      <c r="Q1001" s="53" t="n">
        <f aca="false">IF(P1001=1,F1001/E1001*MIN(L1001/K1001,1)*MIN(MAX(M1001/L1001,0),1),0)</f>
        <v>0.493567412346274</v>
      </c>
      <c r="R1001" s="55" t="n">
        <f aca="false">IF(F1001&gt;0,N1001/(F1001/3600),0)</f>
        <v>9.18098628150382</v>
      </c>
    </row>
    <row r="1002" customFormat="false" ht="15" hidden="false" customHeight="false" outlineLevel="0" collapsed="false">
      <c r="A1002" s="0" t="s">
        <v>259</v>
      </c>
      <c r="B1002" s="52" t="n">
        <v>44391</v>
      </c>
      <c r="C1002" s="0" t="n">
        <v>55596.491</v>
      </c>
      <c r="D1002" s="0" t="n">
        <v>9492.404</v>
      </c>
      <c r="E1002" s="0" t="n">
        <v>46104.087</v>
      </c>
      <c r="F1002" s="0" t="n">
        <v>25211.777</v>
      </c>
      <c r="G1002" s="0" t="n">
        <v>20884.801</v>
      </c>
      <c r="H1002" s="0" t="n">
        <v>4326.976</v>
      </c>
      <c r="I1002" s="0" t="n">
        <v>7270.094</v>
      </c>
      <c r="J1002" s="0" t="n">
        <v>13622.216</v>
      </c>
      <c r="K1002" s="0" t="n">
        <v>44491.366555</v>
      </c>
      <c r="L1002" s="0" t="n">
        <v>36870</v>
      </c>
      <c r="M1002" s="0" t="n">
        <v>36670</v>
      </c>
      <c r="N1002" s="0" t="n">
        <v>63</v>
      </c>
      <c r="O1002" s="54" t="n">
        <f aca="false">YEAR(B1002)</f>
        <v>2021</v>
      </c>
      <c r="P1002" s="54" t="n">
        <f aca="false">IF(AND(E1002&gt;=14400,K1002&gt;0,L1002&gt;0),1,0)</f>
        <v>1</v>
      </c>
      <c r="Q1002" s="53" t="n">
        <f aca="false">IF(P1002=1,F1002/E1002*MIN(L1002/K1002,1)*MIN(MAX(M1002/L1002,0),1),0)</f>
        <v>0.450712077328888</v>
      </c>
      <c r="R1002" s="55" t="n">
        <f aca="false">IF(F1002&gt;0,N1002/(F1002/3600),0)</f>
        <v>8.99579589332398</v>
      </c>
    </row>
    <row r="1003" customFormat="false" ht="15" hidden="false" customHeight="false" outlineLevel="0" collapsed="false">
      <c r="A1003" s="0" t="s">
        <v>259</v>
      </c>
      <c r="B1003" s="52" t="n">
        <v>44392</v>
      </c>
      <c r="C1003" s="0" t="n">
        <v>42560.983</v>
      </c>
      <c r="D1003" s="0" t="n">
        <v>14687.052</v>
      </c>
      <c r="E1003" s="0" t="n">
        <v>27873.931</v>
      </c>
      <c r="F1003" s="0" t="n">
        <v>16692.882</v>
      </c>
      <c r="G1003" s="0" t="n">
        <v>12035.023</v>
      </c>
      <c r="H1003" s="0" t="n">
        <v>4657.859</v>
      </c>
      <c r="I1003" s="0" t="n">
        <v>3787.64</v>
      </c>
      <c r="J1003" s="0" t="n">
        <v>7393.409</v>
      </c>
      <c r="K1003" s="0" t="n">
        <v>29493.7397233333</v>
      </c>
      <c r="L1003" s="0" t="n">
        <v>21044</v>
      </c>
      <c r="M1003" s="0" t="n">
        <v>20988</v>
      </c>
      <c r="N1003" s="0" t="n">
        <v>35</v>
      </c>
      <c r="O1003" s="54" t="n">
        <f aca="false">YEAR(B1003)</f>
        <v>2021</v>
      </c>
      <c r="P1003" s="54" t="n">
        <f aca="false">IF(AND(E1003&gt;=14400,K1003&gt;0,L1003&gt;0),1,0)</f>
        <v>1</v>
      </c>
      <c r="Q1003" s="53" t="n">
        <f aca="false">IF(P1003=1,F1003/E1003*MIN(L1003/K1003,1)*MIN(MAX(M1003/L1003,0),1),0)</f>
        <v>0.426161600612515</v>
      </c>
      <c r="R1003" s="55" t="n">
        <f aca="false">IF(F1003&gt;0,N1003/(F1003/3600),0)</f>
        <v>7.54812739945086</v>
      </c>
    </row>
    <row r="1004" customFormat="false" ht="15" hidden="false" customHeight="false" outlineLevel="0" collapsed="false">
      <c r="A1004" s="0" t="s">
        <v>259</v>
      </c>
      <c r="B1004" s="52" t="n">
        <v>44393</v>
      </c>
      <c r="C1004" s="0" t="n">
        <v>44715.034</v>
      </c>
      <c r="D1004" s="0" t="n">
        <v>12728.649</v>
      </c>
      <c r="E1004" s="0" t="n">
        <v>31986.385</v>
      </c>
      <c r="F1004" s="0" t="n">
        <v>21041.681</v>
      </c>
      <c r="G1004" s="0" t="n">
        <v>17220.955</v>
      </c>
      <c r="H1004" s="0" t="n">
        <v>3820.726</v>
      </c>
      <c r="I1004" s="0" t="n">
        <v>8176.702</v>
      </c>
      <c r="J1004" s="0" t="n">
        <v>2768.002</v>
      </c>
      <c r="K1004" s="0" t="n">
        <v>36829.7660383333</v>
      </c>
      <c r="L1004" s="0" t="n">
        <v>29966</v>
      </c>
      <c r="M1004" s="0" t="n">
        <v>29767</v>
      </c>
      <c r="N1004" s="0" t="n">
        <v>72</v>
      </c>
      <c r="O1004" s="54" t="n">
        <f aca="false">YEAR(B1004)</f>
        <v>2021</v>
      </c>
      <c r="P1004" s="54" t="n">
        <f aca="false">IF(AND(E1004&gt;=14400,K1004&gt;0,L1004&gt;0),1,0)</f>
        <v>1</v>
      </c>
      <c r="Q1004" s="53" t="n">
        <f aca="false">IF(P1004=1,F1004/E1004*MIN(L1004/K1004,1)*MIN(MAX(M1004/L1004,0),1),0)</f>
        <v>0.531681292184631</v>
      </c>
      <c r="R1004" s="55" t="n">
        <f aca="false">IF(F1004&gt;0,N1004/(F1004/3600),0)</f>
        <v>12.3184074504314</v>
      </c>
    </row>
    <row r="1005" customFormat="false" ht="15" hidden="false" customHeight="false" outlineLevel="0" collapsed="false">
      <c r="A1005" s="0" t="s">
        <v>259</v>
      </c>
      <c r="B1005" s="52" t="n">
        <v>44394</v>
      </c>
      <c r="C1005" s="0" t="n">
        <v>25867.983</v>
      </c>
      <c r="D1005" s="0" t="n">
        <v>8958.287</v>
      </c>
      <c r="E1005" s="0" t="n">
        <v>16909.696</v>
      </c>
      <c r="F1005" s="0" t="n">
        <v>7949.811</v>
      </c>
      <c r="G1005" s="0" t="n">
        <v>6570.269</v>
      </c>
      <c r="H1005" s="0" t="n">
        <v>1379.542</v>
      </c>
      <c r="I1005" s="0" t="n">
        <v>1277.935</v>
      </c>
      <c r="J1005" s="0" t="n">
        <v>7681.95</v>
      </c>
      <c r="K1005" s="0" t="n">
        <v>13736.5833944444</v>
      </c>
      <c r="L1005" s="0" t="n">
        <v>11263</v>
      </c>
      <c r="M1005" s="0" t="n">
        <v>11228</v>
      </c>
      <c r="N1005" s="0" t="n">
        <v>12</v>
      </c>
      <c r="O1005" s="54" t="n">
        <f aca="false">YEAR(B1005)</f>
        <v>2021</v>
      </c>
      <c r="P1005" s="54" t="n">
        <f aca="false">IF(AND(E1005&gt;=14400,K1005&gt;0,L1005&gt;0),1,0)</f>
        <v>1</v>
      </c>
      <c r="Q1005" s="53" t="n">
        <f aca="false">IF(P1005=1,F1005/E1005*MIN(L1005/K1005,1)*MIN(MAX(M1005/L1005,0),1),0)</f>
        <v>0.384277255825542</v>
      </c>
      <c r="R1005" s="55" t="n">
        <f aca="false">IF(F1005&gt;0,N1005/(F1005/3600),0)</f>
        <v>5.43409145198546</v>
      </c>
    </row>
    <row r="1006" customFormat="false" ht="15" hidden="false" customHeight="false" outlineLevel="0" collapsed="false">
      <c r="A1006" s="0" t="s">
        <v>259</v>
      </c>
      <c r="B1006" s="52" t="n">
        <v>44395</v>
      </c>
      <c r="C1006" s="0" t="n">
        <v>16834.238</v>
      </c>
      <c r="D1006" s="0" t="n">
        <v>3159.735</v>
      </c>
      <c r="E1006" s="0" t="n">
        <v>13674.503</v>
      </c>
      <c r="F1006" s="0" t="n">
        <v>9069.143</v>
      </c>
      <c r="G1006" s="0" t="n">
        <v>7387.133</v>
      </c>
      <c r="H1006" s="0" t="n">
        <v>1682.01</v>
      </c>
      <c r="I1006" s="0" t="n">
        <v>2586.112</v>
      </c>
      <c r="J1006" s="0" t="n">
        <v>2019.248</v>
      </c>
      <c r="K1006" s="0" t="n">
        <v>16009.9982611111</v>
      </c>
      <c r="L1006" s="0" t="n">
        <v>12930</v>
      </c>
      <c r="M1006" s="0" t="n">
        <v>12897</v>
      </c>
      <c r="N1006" s="0" t="n">
        <v>25</v>
      </c>
      <c r="O1006" s="54" t="n">
        <f aca="false">YEAR(B1006)</f>
        <v>2021</v>
      </c>
      <c r="P1006" s="54" t="n">
        <f aca="false">IF(AND(E1006&gt;=14400,K1006&gt;0,L1006&gt;0),1,0)</f>
        <v>0</v>
      </c>
      <c r="Q1006" s="53" t="n">
        <f aca="false">IF(P1006=1,F1006/E1006*MIN(L1006/K1006,1)*MIN(MAX(M1006/L1006,0),1),0)</f>
        <v>0</v>
      </c>
      <c r="R1006" s="55" t="n">
        <f aca="false">IF(F1006&gt;0,N1006/(F1006/3600),0)</f>
        <v>9.92376016124126</v>
      </c>
    </row>
    <row r="1007" customFormat="false" ht="15" hidden="false" customHeight="false" outlineLevel="0" collapsed="false">
      <c r="A1007" s="0" t="s">
        <v>259</v>
      </c>
      <c r="B1007" s="52" t="n">
        <v>44396</v>
      </c>
      <c r="C1007" s="0" t="n">
        <v>36520.246</v>
      </c>
      <c r="D1007" s="0" t="n">
        <v>9019.254</v>
      </c>
      <c r="E1007" s="0" t="n">
        <v>27500.992</v>
      </c>
      <c r="F1007" s="0" t="n">
        <v>17015.326</v>
      </c>
      <c r="G1007" s="0" t="n">
        <v>13078.954</v>
      </c>
      <c r="H1007" s="0" t="n">
        <v>3936.372</v>
      </c>
      <c r="I1007" s="0" t="n">
        <v>6360.449</v>
      </c>
      <c r="J1007" s="0" t="n">
        <v>4125.217</v>
      </c>
      <c r="K1007" s="0" t="n">
        <v>29475.3001111111</v>
      </c>
      <c r="L1007" s="0" t="n">
        <v>22606</v>
      </c>
      <c r="M1007" s="0" t="n">
        <v>22340</v>
      </c>
      <c r="N1007" s="0" t="n">
        <v>74</v>
      </c>
      <c r="O1007" s="54" t="n">
        <f aca="false">YEAR(B1007)</f>
        <v>2021</v>
      </c>
      <c r="P1007" s="54" t="n">
        <f aca="false">IF(AND(E1007&gt;=14400,K1007&gt;0,L1007&gt;0),1,0)</f>
        <v>1</v>
      </c>
      <c r="Q1007" s="53" t="n">
        <f aca="false">IF(P1007=1,F1007/E1007*MIN(L1007/K1007,1)*MIN(MAX(M1007/L1007,0),1),0)</f>
        <v>0.468939534088414</v>
      </c>
      <c r="R1007" s="55" t="n">
        <f aca="false">IF(F1007&gt;0,N1007/(F1007/3600),0)</f>
        <v>15.6564734639818</v>
      </c>
    </row>
    <row r="1008" customFormat="false" ht="15" hidden="false" customHeight="false" outlineLevel="0" collapsed="false">
      <c r="A1008" s="0" t="s">
        <v>259</v>
      </c>
      <c r="B1008" s="52" t="n">
        <v>44397</v>
      </c>
      <c r="C1008" s="0" t="n">
        <v>54582.929</v>
      </c>
      <c r="D1008" s="0" t="n">
        <v>15342.967</v>
      </c>
      <c r="E1008" s="0" t="n">
        <v>39239.962</v>
      </c>
      <c r="F1008" s="0" t="n">
        <v>20413.849</v>
      </c>
      <c r="G1008" s="0" t="n">
        <v>16783.208</v>
      </c>
      <c r="H1008" s="0" t="n">
        <v>3630.641</v>
      </c>
      <c r="I1008" s="0" t="n">
        <v>7009.921</v>
      </c>
      <c r="J1008" s="0" t="n">
        <v>11816.192</v>
      </c>
      <c r="K1008" s="0" t="n">
        <v>35422.7148166667</v>
      </c>
      <c r="L1008" s="0" t="n">
        <v>28997</v>
      </c>
      <c r="M1008" s="0" t="n">
        <v>28886</v>
      </c>
      <c r="N1008" s="0" t="n">
        <v>59</v>
      </c>
      <c r="O1008" s="54" t="n">
        <f aca="false">YEAR(B1008)</f>
        <v>2021</v>
      </c>
      <c r="P1008" s="54" t="n">
        <f aca="false">IF(AND(E1008&gt;=14400,K1008&gt;0,L1008&gt;0),1,0)</f>
        <v>1</v>
      </c>
      <c r="Q1008" s="53" t="n">
        <f aca="false">IF(P1008=1,F1008/E1008*MIN(L1008/K1008,1)*MIN(MAX(M1008/L1008,0),1),0)</f>
        <v>0.424230495329073</v>
      </c>
      <c r="R1008" s="55" t="n">
        <f aca="false">IF(F1008&gt;0,N1008/(F1008/3600),0)</f>
        <v>10.4047012398299</v>
      </c>
    </row>
    <row r="1009" customFormat="false" ht="15" hidden="false" customHeight="false" outlineLevel="0" collapsed="false">
      <c r="A1009" s="0" t="s">
        <v>259</v>
      </c>
      <c r="B1009" s="52" t="n">
        <v>44398</v>
      </c>
      <c r="C1009" s="0" t="n">
        <v>63946.574</v>
      </c>
      <c r="D1009" s="0" t="n">
        <v>8836.752</v>
      </c>
      <c r="E1009" s="0" t="n">
        <v>55109.822</v>
      </c>
      <c r="F1009" s="0" t="n">
        <v>19478.279</v>
      </c>
      <c r="G1009" s="0" t="n">
        <v>16518.258</v>
      </c>
      <c r="H1009" s="0" t="n">
        <v>2960.021</v>
      </c>
      <c r="I1009" s="0" t="n">
        <v>7383.838</v>
      </c>
      <c r="J1009" s="0" t="n">
        <v>28247.705</v>
      </c>
      <c r="K1009" s="0" t="n">
        <v>35169.1148611111</v>
      </c>
      <c r="L1009" s="0" t="n">
        <v>29537</v>
      </c>
      <c r="M1009" s="0" t="n">
        <v>29391</v>
      </c>
      <c r="N1009" s="0" t="n">
        <v>70</v>
      </c>
      <c r="O1009" s="54" t="n">
        <f aca="false">YEAR(B1009)</f>
        <v>2021</v>
      </c>
      <c r="P1009" s="54" t="n">
        <f aca="false">IF(AND(E1009&gt;=14400,K1009&gt;0,L1009&gt;0),1,0)</f>
        <v>1</v>
      </c>
      <c r="Q1009" s="53" t="n">
        <f aca="false">IF(P1009=1,F1009/E1009*MIN(L1009/K1009,1)*MIN(MAX(M1009/L1009,0),1),0)</f>
        <v>0.295375519588728</v>
      </c>
      <c r="R1009" s="55" t="n">
        <f aca="false">IF(F1009&gt;0,N1009/(F1009/3600),0)</f>
        <v>12.93748795774</v>
      </c>
    </row>
    <row r="1010" customFormat="false" ht="15" hidden="false" customHeight="false" outlineLevel="0" collapsed="false">
      <c r="A1010" s="0" t="s">
        <v>259</v>
      </c>
      <c r="B1010" s="52" t="n">
        <v>44399</v>
      </c>
      <c r="C1010" s="0" t="n">
        <v>43267.355</v>
      </c>
      <c r="D1010" s="0" t="n">
        <v>9176.537</v>
      </c>
      <c r="E1010" s="0" t="n">
        <v>34090.818</v>
      </c>
      <c r="F1010" s="0" t="n">
        <v>23008.386</v>
      </c>
      <c r="G1010" s="0" t="n">
        <v>19625.057</v>
      </c>
      <c r="H1010" s="0" t="n">
        <v>3383.329</v>
      </c>
      <c r="I1010" s="0" t="n">
        <v>5560.486</v>
      </c>
      <c r="J1010" s="0" t="n">
        <v>5521.946</v>
      </c>
      <c r="K1010" s="0" t="n">
        <v>39207.8148611111</v>
      </c>
      <c r="L1010" s="0" t="n">
        <v>32927</v>
      </c>
      <c r="M1010" s="0" t="n">
        <v>32836</v>
      </c>
      <c r="N1010" s="0" t="n">
        <v>46</v>
      </c>
      <c r="O1010" s="54" t="n">
        <f aca="false">YEAR(B1010)</f>
        <v>2021</v>
      </c>
      <c r="P1010" s="54" t="n">
        <f aca="false">IF(AND(E1010&gt;=14400,K1010&gt;0,L1010&gt;0),1,0)</f>
        <v>1</v>
      </c>
      <c r="Q1010" s="53" t="n">
        <f aca="false">IF(P1010=1,F1010/E1010*MIN(L1010/K1010,1)*MIN(MAX(M1010/L1010,0),1),0)</f>
        <v>0.565231479143248</v>
      </c>
      <c r="R1010" s="55" t="n">
        <f aca="false">IF(F1010&gt;0,N1010/(F1010/3600),0)</f>
        <v>7.19737577420685</v>
      </c>
    </row>
    <row r="1011" customFormat="false" ht="15" hidden="false" customHeight="false" outlineLevel="0" collapsed="false">
      <c r="A1011" s="0" t="s">
        <v>259</v>
      </c>
      <c r="B1011" s="52" t="n">
        <v>44400</v>
      </c>
      <c r="C1011" s="0" t="n">
        <v>54879.484</v>
      </c>
      <c r="D1011" s="0" t="n">
        <v>12579.379</v>
      </c>
      <c r="E1011" s="0" t="n">
        <v>42300.105</v>
      </c>
      <c r="F1011" s="0" t="n">
        <v>25202.997</v>
      </c>
      <c r="G1011" s="0" t="n">
        <v>19936.99</v>
      </c>
      <c r="H1011" s="0" t="n">
        <v>5266.007</v>
      </c>
      <c r="I1011" s="0" t="n">
        <v>5642.403</v>
      </c>
      <c r="J1011" s="0" t="n">
        <v>11454.705</v>
      </c>
      <c r="K1011" s="0" t="n">
        <v>44029.4066694445</v>
      </c>
      <c r="L1011" s="0" t="n">
        <v>34559</v>
      </c>
      <c r="M1011" s="0" t="n">
        <v>34441</v>
      </c>
      <c r="N1011" s="0" t="n">
        <v>50</v>
      </c>
      <c r="O1011" s="54" t="n">
        <f aca="false">YEAR(B1011)</f>
        <v>2021</v>
      </c>
      <c r="P1011" s="54" t="n">
        <f aca="false">IF(AND(E1011&gt;=14400,K1011&gt;0,L1011&gt;0),1,0)</f>
        <v>1</v>
      </c>
      <c r="Q1011" s="53" t="n">
        <f aca="false">IF(P1011=1,F1011/E1011*MIN(L1011/K1011,1)*MIN(MAX(M1011/L1011,0),1),0)</f>
        <v>0.466061965165649</v>
      </c>
      <c r="R1011" s="55" t="n">
        <f aca="false">IF(F1011&gt;0,N1011/(F1011/3600),0)</f>
        <v>7.14200775407782</v>
      </c>
    </row>
    <row r="1012" customFormat="false" ht="15" hidden="false" customHeight="false" outlineLevel="0" collapsed="false">
      <c r="A1012" s="0" t="s">
        <v>259</v>
      </c>
      <c r="B1012" s="52" t="n">
        <v>44401</v>
      </c>
      <c r="C1012" s="0" t="n">
        <v>40520.679</v>
      </c>
      <c r="D1012" s="0" t="n">
        <v>13773.025</v>
      </c>
      <c r="E1012" s="0" t="n">
        <v>26747.654</v>
      </c>
      <c r="F1012" s="0" t="n">
        <v>10226.759</v>
      </c>
      <c r="G1012" s="0" t="n">
        <v>9617.816</v>
      </c>
      <c r="H1012" s="0" t="n">
        <v>608.943</v>
      </c>
      <c r="I1012" s="0" t="n">
        <v>3025.052</v>
      </c>
      <c r="J1012" s="0" t="n">
        <v>13495.843</v>
      </c>
      <c r="K1012" s="0" t="n">
        <v>17045.2211944444</v>
      </c>
      <c r="L1012" s="0" t="n">
        <v>15932</v>
      </c>
      <c r="M1012" s="0" t="n">
        <v>15872</v>
      </c>
      <c r="N1012" s="0" t="n">
        <v>19</v>
      </c>
      <c r="O1012" s="54" t="n">
        <f aca="false">YEAR(B1012)</f>
        <v>2021</v>
      </c>
      <c r="P1012" s="54" t="n">
        <f aca="false">IF(AND(E1012&gt;=14400,K1012&gt;0,L1012&gt;0),1,0)</f>
        <v>1</v>
      </c>
      <c r="Q1012" s="53" t="n">
        <f aca="false">IF(P1012=1,F1012/E1012*MIN(L1012/K1012,1)*MIN(MAX(M1012/L1012,0),1),0)</f>
        <v>0.356025691308151</v>
      </c>
      <c r="R1012" s="55" t="n">
        <f aca="false">IF(F1012&gt;0,N1012/(F1012/3600),0)</f>
        <v>6.68833596254688</v>
      </c>
    </row>
    <row r="1013" customFormat="false" ht="15" hidden="false" customHeight="false" outlineLevel="0" collapsed="false">
      <c r="A1013" s="0" t="s">
        <v>259</v>
      </c>
      <c r="B1013" s="52" t="n">
        <v>44402</v>
      </c>
      <c r="C1013" s="0" t="n">
        <v>32849.573</v>
      </c>
      <c r="D1013" s="0" t="n">
        <v>11715.934</v>
      </c>
      <c r="E1013" s="0" t="n">
        <v>21133.639</v>
      </c>
      <c r="F1013" s="0" t="n">
        <v>8685.547</v>
      </c>
      <c r="G1013" s="0" t="n">
        <v>8005.581</v>
      </c>
      <c r="H1013" s="0" t="n">
        <v>679.966</v>
      </c>
      <c r="I1013" s="0" t="n">
        <v>1557.85</v>
      </c>
      <c r="J1013" s="0" t="n">
        <v>10890.242</v>
      </c>
      <c r="K1013" s="0" t="n">
        <v>15242.3347916667</v>
      </c>
      <c r="L1013" s="0" t="n">
        <v>13940</v>
      </c>
      <c r="M1013" s="0" t="n">
        <v>13857</v>
      </c>
      <c r="N1013" s="0" t="n">
        <v>37</v>
      </c>
      <c r="O1013" s="54" t="n">
        <f aca="false">YEAR(B1013)</f>
        <v>2021</v>
      </c>
      <c r="P1013" s="54" t="n">
        <f aca="false">IF(AND(E1013&gt;=14400,K1013&gt;0,L1013&gt;0),1,0)</f>
        <v>1</v>
      </c>
      <c r="Q1013" s="53" t="n">
        <f aca="false">IF(P1013=1,F1013/E1013*MIN(L1013/K1013,1)*MIN(MAX(M1013/L1013,0),1),0)</f>
        <v>0.373629028404391</v>
      </c>
      <c r="R1013" s="55" t="n">
        <f aca="false">IF(F1013&gt;0,N1013/(F1013/3600),0)</f>
        <v>15.3358216816972</v>
      </c>
    </row>
    <row r="1014" customFormat="false" ht="15" hidden="false" customHeight="false" outlineLevel="0" collapsed="false">
      <c r="A1014" s="0" t="s">
        <v>259</v>
      </c>
      <c r="B1014" s="52" t="n">
        <v>44403</v>
      </c>
      <c r="C1014" s="0" t="n">
        <v>48269.06</v>
      </c>
      <c r="D1014" s="0" t="n">
        <v>9121.848</v>
      </c>
      <c r="E1014" s="0" t="n">
        <v>39147.212</v>
      </c>
      <c r="F1014" s="0" t="n">
        <v>22937.531</v>
      </c>
      <c r="G1014" s="0" t="n">
        <v>17686.018</v>
      </c>
      <c r="H1014" s="0" t="n">
        <v>5251.513</v>
      </c>
      <c r="I1014" s="0" t="n">
        <v>5359.806</v>
      </c>
      <c r="J1014" s="0" t="n">
        <v>10849.875</v>
      </c>
      <c r="K1014" s="0" t="n">
        <v>39240.7613472222</v>
      </c>
      <c r="L1014" s="0" t="n">
        <v>30091</v>
      </c>
      <c r="M1014" s="0" t="n">
        <v>29982</v>
      </c>
      <c r="N1014" s="0" t="n">
        <v>102</v>
      </c>
      <c r="O1014" s="54" t="n">
        <f aca="false">YEAR(B1014)</f>
        <v>2021</v>
      </c>
      <c r="P1014" s="54" t="n">
        <f aca="false">IF(AND(E1014&gt;=14400,K1014&gt;0,L1014&gt;0),1,0)</f>
        <v>1</v>
      </c>
      <c r="Q1014" s="53" t="n">
        <f aca="false">IF(P1014=1,F1014/E1014*MIN(L1014/K1014,1)*MIN(MAX(M1014/L1014,0),1),0)</f>
        <v>0.447681353318636</v>
      </c>
      <c r="R1014" s="55" t="n">
        <f aca="false">IF(F1014&gt;0,N1014/(F1014/3600),0)</f>
        <v>16.0086977103159</v>
      </c>
    </row>
    <row r="1015" customFormat="false" ht="15" hidden="false" customHeight="false" outlineLevel="0" collapsed="false">
      <c r="A1015" s="0" t="s">
        <v>259</v>
      </c>
      <c r="B1015" s="52" t="n">
        <v>44404</v>
      </c>
      <c r="C1015" s="0" t="n">
        <v>62351.588</v>
      </c>
      <c r="D1015" s="0" t="n">
        <v>14664.365</v>
      </c>
      <c r="E1015" s="0" t="n">
        <v>47687.223</v>
      </c>
      <c r="F1015" s="0" t="n">
        <v>20976.959</v>
      </c>
      <c r="G1015" s="0" t="n">
        <v>15000.724</v>
      </c>
      <c r="H1015" s="0" t="n">
        <v>5976.235</v>
      </c>
      <c r="I1015" s="0" t="n">
        <v>5733.346</v>
      </c>
      <c r="J1015" s="0" t="n">
        <v>20976.918</v>
      </c>
      <c r="K1015" s="0" t="n">
        <v>36174.8768144445</v>
      </c>
      <c r="L1015" s="0" t="n">
        <v>25905</v>
      </c>
      <c r="M1015" s="0" t="n">
        <v>25831</v>
      </c>
      <c r="N1015" s="0" t="n">
        <v>77</v>
      </c>
      <c r="O1015" s="54" t="n">
        <f aca="false">YEAR(B1015)</f>
        <v>2021</v>
      </c>
      <c r="P1015" s="54" t="n">
        <f aca="false">IF(AND(E1015&gt;=14400,K1015&gt;0,L1015&gt;0),1,0)</f>
        <v>1</v>
      </c>
      <c r="Q1015" s="53" t="n">
        <f aca="false">IF(P1015=1,F1015/E1015*MIN(L1015/K1015,1)*MIN(MAX(M1015/L1015,0),1),0)</f>
        <v>0.31410485939702</v>
      </c>
      <c r="R1015" s="55" t="n">
        <f aca="false">IF(F1015&gt;0,N1015/(F1015/3600),0)</f>
        <v>13.2144988222554</v>
      </c>
    </row>
    <row r="1016" customFormat="false" ht="15" hidden="false" customHeight="false" outlineLevel="0" collapsed="false">
      <c r="A1016" s="0" t="s">
        <v>259</v>
      </c>
      <c r="B1016" s="52" t="n">
        <v>44405</v>
      </c>
      <c r="C1016" s="0" t="n">
        <v>38704.407</v>
      </c>
      <c r="D1016" s="0" t="n">
        <v>10182.611</v>
      </c>
      <c r="E1016" s="0" t="n">
        <v>28521.796</v>
      </c>
      <c r="F1016" s="0" t="n">
        <v>15876.883</v>
      </c>
      <c r="G1016" s="0" t="n">
        <v>12998.478</v>
      </c>
      <c r="H1016" s="0" t="n">
        <v>2878.405</v>
      </c>
      <c r="I1016" s="0" t="n">
        <v>5283.186</v>
      </c>
      <c r="J1016" s="0" t="n">
        <v>7361.727</v>
      </c>
      <c r="K1016" s="0" t="n">
        <v>27972.7417847222</v>
      </c>
      <c r="L1016" s="0" t="n">
        <v>22701</v>
      </c>
      <c r="M1016" s="0" t="n">
        <v>22601</v>
      </c>
      <c r="N1016" s="0" t="n">
        <v>62</v>
      </c>
      <c r="O1016" s="54" t="n">
        <f aca="false">YEAR(B1016)</f>
        <v>2021</v>
      </c>
      <c r="P1016" s="54" t="n">
        <f aca="false">IF(AND(E1016&gt;=14400,K1016&gt;0,L1016&gt;0),1,0)</f>
        <v>1</v>
      </c>
      <c r="Q1016" s="53" t="n">
        <f aca="false">IF(P1016=1,F1016/E1016*MIN(L1016/K1016,1)*MIN(MAX(M1016/L1016,0),1),0)</f>
        <v>0.449760171625305</v>
      </c>
      <c r="R1016" s="55" t="n">
        <f aca="false">IF(F1016&gt;0,N1016/(F1016/3600),0)</f>
        <v>14.0581750208778</v>
      </c>
    </row>
    <row r="1017" customFormat="false" ht="15" hidden="false" customHeight="false" outlineLevel="0" collapsed="false">
      <c r="A1017" s="0" t="s">
        <v>259</v>
      </c>
      <c r="B1017" s="52" t="n">
        <v>44406</v>
      </c>
      <c r="C1017" s="0" t="n">
        <v>59830.686</v>
      </c>
      <c r="D1017" s="0" t="n">
        <v>9389.145</v>
      </c>
      <c r="E1017" s="0" t="n">
        <v>50441.541</v>
      </c>
      <c r="F1017" s="0" t="n">
        <v>35606.463</v>
      </c>
      <c r="G1017" s="0" t="n">
        <v>27562.953</v>
      </c>
      <c r="H1017" s="0" t="n">
        <v>8043.51</v>
      </c>
      <c r="I1017" s="0" t="n">
        <v>10499.169</v>
      </c>
      <c r="J1017" s="0" t="n">
        <v>4335.909</v>
      </c>
      <c r="K1017" s="0" t="n">
        <v>64233.3653833333</v>
      </c>
      <c r="L1017" s="0" t="n">
        <v>49176</v>
      </c>
      <c r="M1017" s="0" t="n">
        <v>48805</v>
      </c>
      <c r="N1017" s="0" t="n">
        <v>139</v>
      </c>
      <c r="O1017" s="54" t="n">
        <f aca="false">YEAR(B1017)</f>
        <v>2021</v>
      </c>
      <c r="P1017" s="54" t="n">
        <f aca="false">IF(AND(E1017&gt;=14400,K1017&gt;0,L1017&gt;0),1,0)</f>
        <v>1</v>
      </c>
      <c r="Q1017" s="53" t="n">
        <f aca="false">IF(P1017=1,F1017/E1017*MIN(L1017/K1017,1)*MIN(MAX(M1017/L1017,0),1),0)</f>
        <v>0.536344867903807</v>
      </c>
      <c r="R1017" s="55" t="n">
        <f aca="false">IF(F1017&gt;0,N1017/(F1017/3600),0)</f>
        <v>14.0536284101007</v>
      </c>
    </row>
    <row r="1018" customFormat="false" ht="15" hidden="false" customHeight="false" outlineLevel="0" collapsed="false">
      <c r="A1018" s="0" t="s">
        <v>259</v>
      </c>
      <c r="B1018" s="52" t="n">
        <v>44407</v>
      </c>
      <c r="C1018" s="0" t="n">
        <v>40579.393</v>
      </c>
      <c r="D1018" s="0" t="n">
        <v>8847.144</v>
      </c>
      <c r="E1018" s="0" t="n">
        <v>31732.249</v>
      </c>
      <c r="F1018" s="0" t="n">
        <v>20233.338</v>
      </c>
      <c r="G1018" s="0" t="n">
        <v>17201.406</v>
      </c>
      <c r="H1018" s="0" t="n">
        <v>3031.932</v>
      </c>
      <c r="I1018" s="0" t="n">
        <v>7214.876</v>
      </c>
      <c r="J1018" s="0" t="n">
        <v>4284.035</v>
      </c>
      <c r="K1018" s="0" t="n">
        <v>34972.1923944444</v>
      </c>
      <c r="L1018" s="0" t="n">
        <v>29509</v>
      </c>
      <c r="M1018" s="0" t="n">
        <v>29355</v>
      </c>
      <c r="N1018" s="0" t="n">
        <v>91</v>
      </c>
      <c r="O1018" s="54" t="n">
        <f aca="false">YEAR(B1018)</f>
        <v>2021</v>
      </c>
      <c r="P1018" s="54" t="n">
        <f aca="false">IF(AND(E1018&gt;=14400,K1018&gt;0,L1018&gt;0),1,0)</f>
        <v>1</v>
      </c>
      <c r="Q1018" s="53" t="n">
        <f aca="false">IF(P1018=1,F1018/E1018*MIN(L1018/K1018,1)*MIN(MAX(M1018/L1018,0),1),0)</f>
        <v>0.535212082093342</v>
      </c>
      <c r="R1018" s="55" t="n">
        <f aca="false">IF(F1018&gt;0,N1018/(F1018/3600),0)</f>
        <v>16.191100054771</v>
      </c>
    </row>
    <row r="1019" customFormat="false" ht="15" hidden="false" customHeight="false" outlineLevel="0" collapsed="false">
      <c r="A1019" s="0" t="s">
        <v>259</v>
      </c>
      <c r="B1019" s="52" t="n">
        <v>44408</v>
      </c>
      <c r="C1019" s="0" t="n">
        <v>34577.86</v>
      </c>
      <c r="D1019" s="0" t="n">
        <v>11699.265</v>
      </c>
      <c r="E1019" s="0" t="n">
        <v>22878.595</v>
      </c>
      <c r="F1019" s="0" t="n">
        <v>11282.521</v>
      </c>
      <c r="G1019" s="0" t="n">
        <v>8625.817</v>
      </c>
      <c r="H1019" s="0" t="n">
        <v>2656.704</v>
      </c>
      <c r="I1019" s="0" t="n">
        <v>5303.895</v>
      </c>
      <c r="J1019" s="0" t="n">
        <v>6292.179</v>
      </c>
      <c r="K1019" s="0" t="n">
        <v>19543.3052072222</v>
      </c>
      <c r="L1019" s="0" t="n">
        <v>14823</v>
      </c>
      <c r="M1019" s="0" t="n">
        <v>14614</v>
      </c>
      <c r="N1019" s="0" t="n">
        <v>34</v>
      </c>
      <c r="O1019" s="54" t="n">
        <f aca="false">YEAR(B1019)</f>
        <v>2021</v>
      </c>
      <c r="P1019" s="54" t="n">
        <f aca="false">IF(AND(E1019&gt;=14400,K1019&gt;0,L1019&gt;0),1,0)</f>
        <v>1</v>
      </c>
      <c r="Q1019" s="53" t="n">
        <f aca="false">IF(P1019=1,F1019/E1019*MIN(L1019/K1019,1)*MIN(MAX(M1019/L1019,0),1),0)</f>
        <v>0.368763466361685</v>
      </c>
      <c r="R1019" s="55" t="n">
        <f aca="false">IF(F1019&gt;0,N1019/(F1019/3600),0)</f>
        <v>10.8486392358587</v>
      </c>
    </row>
    <row r="1020" customFormat="false" ht="15" hidden="false" customHeight="false" outlineLevel="0" collapsed="false">
      <c r="A1020" s="0" t="s">
        <v>259</v>
      </c>
      <c r="B1020" s="52" t="n">
        <v>44409</v>
      </c>
      <c r="C1020" s="0" t="n">
        <v>15010.676</v>
      </c>
      <c r="D1020" s="0" t="n">
        <v>3633.354</v>
      </c>
      <c r="E1020" s="0" t="n">
        <v>11377.322</v>
      </c>
      <c r="F1020" s="0" t="n">
        <v>8516.307</v>
      </c>
      <c r="G1020" s="0" t="n">
        <v>6945.421</v>
      </c>
      <c r="H1020" s="0" t="n">
        <v>1570.886</v>
      </c>
      <c r="I1020" s="0" t="n">
        <v>831.382</v>
      </c>
      <c r="J1020" s="0" t="n">
        <v>2029.633</v>
      </c>
      <c r="K1020" s="0" t="n">
        <v>13975.1633405556</v>
      </c>
      <c r="L1020" s="0" t="n">
        <v>11300</v>
      </c>
      <c r="M1020" s="0" t="n">
        <v>11258</v>
      </c>
      <c r="N1020" s="0" t="n">
        <v>22</v>
      </c>
      <c r="O1020" s="54" t="n">
        <f aca="false">YEAR(B1020)</f>
        <v>2021</v>
      </c>
      <c r="P1020" s="54" t="n">
        <f aca="false">IF(AND(E1020&gt;=14400,K1020&gt;0,L1020&gt;0),1,0)</f>
        <v>0</v>
      </c>
      <c r="Q1020" s="53" t="n">
        <f aca="false">IF(P1020=1,F1020/E1020*MIN(L1020/K1020,1)*MIN(MAX(M1020/L1020,0),1),0)</f>
        <v>0</v>
      </c>
      <c r="R1020" s="55" t="n">
        <f aca="false">IF(F1020&gt;0,N1020/(F1020/3600),0)</f>
        <v>9.29980565519773</v>
      </c>
    </row>
    <row r="1021" customFormat="false" ht="15" hidden="false" customHeight="false" outlineLevel="0" collapsed="false">
      <c r="A1021" s="0" t="s">
        <v>259</v>
      </c>
      <c r="B1021" s="52" t="n">
        <v>44410</v>
      </c>
      <c r="C1021" s="0" t="n">
        <v>37581.856</v>
      </c>
      <c r="D1021" s="0" t="n">
        <v>8252.528</v>
      </c>
      <c r="E1021" s="0" t="n">
        <v>29329.328</v>
      </c>
      <c r="F1021" s="0" t="n">
        <v>19272.584</v>
      </c>
      <c r="G1021" s="0" t="n">
        <v>14573.024</v>
      </c>
      <c r="H1021" s="0" t="n">
        <v>4699.56</v>
      </c>
      <c r="I1021" s="0" t="n">
        <v>6388.642</v>
      </c>
      <c r="J1021" s="0" t="n">
        <v>3668.102</v>
      </c>
      <c r="K1021" s="0" t="n">
        <v>33280.4887277778</v>
      </c>
      <c r="L1021" s="0" t="n">
        <v>24855</v>
      </c>
      <c r="M1021" s="0" t="n">
        <v>24686</v>
      </c>
      <c r="N1021" s="0" t="n">
        <v>70</v>
      </c>
      <c r="O1021" s="54" t="n">
        <f aca="false">YEAR(B1021)</f>
        <v>2021</v>
      </c>
      <c r="P1021" s="54" t="n">
        <f aca="false">IF(AND(E1021&gt;=14400,K1021&gt;0,L1021&gt;0),1,0)</f>
        <v>1</v>
      </c>
      <c r="Q1021" s="53" t="n">
        <f aca="false">IF(P1021=1,F1021/E1021*MIN(L1021/K1021,1)*MIN(MAX(M1021/L1021,0),1),0)</f>
        <v>0.487414970618117</v>
      </c>
      <c r="R1021" s="55" t="n">
        <f aca="false">IF(F1021&gt;0,N1021/(F1021/3600),0)</f>
        <v>13.075568901399</v>
      </c>
    </row>
    <row r="1022" customFormat="false" ht="15" hidden="false" customHeight="false" outlineLevel="0" collapsed="false">
      <c r="A1022" s="0" t="s">
        <v>259</v>
      </c>
      <c r="B1022" s="52" t="n">
        <v>44411</v>
      </c>
      <c r="C1022" s="0" t="n">
        <v>49591.183</v>
      </c>
      <c r="D1022" s="0" t="n">
        <v>16581.411</v>
      </c>
      <c r="E1022" s="0" t="n">
        <v>33009.772</v>
      </c>
      <c r="F1022" s="0" t="n">
        <v>18181.968</v>
      </c>
      <c r="G1022" s="0" t="n">
        <v>15309.967</v>
      </c>
      <c r="H1022" s="0" t="n">
        <v>2872.001</v>
      </c>
      <c r="I1022" s="0" t="n">
        <v>5365.662</v>
      </c>
      <c r="J1022" s="0" t="n">
        <v>9462.142</v>
      </c>
      <c r="K1022" s="0" t="n">
        <v>30615.6741394444</v>
      </c>
      <c r="L1022" s="0" t="n">
        <v>25497</v>
      </c>
      <c r="M1022" s="0" t="n">
        <v>25382</v>
      </c>
      <c r="N1022" s="0" t="n">
        <v>40</v>
      </c>
      <c r="O1022" s="54" t="n">
        <f aca="false">YEAR(B1022)</f>
        <v>2021</v>
      </c>
      <c r="P1022" s="54" t="n">
        <f aca="false">IF(AND(E1022&gt;=14400,K1022&gt;0,L1022&gt;0),1,0)</f>
        <v>1</v>
      </c>
      <c r="Q1022" s="53" t="n">
        <f aca="false">IF(P1022=1,F1022/E1022*MIN(L1022/K1022,1)*MIN(MAX(M1022/L1022,0),1),0)</f>
        <v>0.456646756659715</v>
      </c>
      <c r="R1022" s="55" t="n">
        <f aca="false">IF(F1022&gt;0,N1022/(F1022/3600),0)</f>
        <v>7.91993473973774</v>
      </c>
    </row>
    <row r="1023" customFormat="false" ht="15" hidden="false" customHeight="false" outlineLevel="0" collapsed="false">
      <c r="A1023" s="0" t="s">
        <v>259</v>
      </c>
      <c r="B1023" s="52" t="n">
        <v>44412</v>
      </c>
      <c r="C1023" s="0" t="n">
        <v>46936.765</v>
      </c>
      <c r="D1023" s="0" t="n">
        <v>9770.916</v>
      </c>
      <c r="E1023" s="0" t="n">
        <v>37165.849</v>
      </c>
      <c r="F1023" s="0" t="n">
        <v>18082.91</v>
      </c>
      <c r="G1023" s="0" t="n">
        <v>13712.369</v>
      </c>
      <c r="H1023" s="0" t="n">
        <v>4370.541</v>
      </c>
      <c r="I1023" s="0" t="n">
        <v>3662.317</v>
      </c>
      <c r="J1023" s="0" t="n">
        <v>15420.622</v>
      </c>
      <c r="K1023" s="0" t="n">
        <v>32508.8541555556</v>
      </c>
      <c r="L1023" s="0" t="n">
        <v>24672</v>
      </c>
      <c r="M1023" s="0" t="n">
        <v>24640</v>
      </c>
      <c r="N1023" s="0" t="n">
        <v>48</v>
      </c>
      <c r="O1023" s="54" t="n">
        <f aca="false">YEAR(B1023)</f>
        <v>2021</v>
      </c>
      <c r="P1023" s="54" t="n">
        <f aca="false">IF(AND(E1023&gt;=14400,K1023&gt;0,L1023&gt;0),1,0)</f>
        <v>1</v>
      </c>
      <c r="Q1023" s="53" t="n">
        <f aca="false">IF(P1023=1,F1023/E1023*MIN(L1023/K1023,1)*MIN(MAX(M1023/L1023,0),1),0)</f>
        <v>0.368776555955008</v>
      </c>
      <c r="R1023" s="55" t="n">
        <f aca="false">IF(F1023&gt;0,N1023/(F1023/3600),0)</f>
        <v>9.55598407557191</v>
      </c>
    </row>
    <row r="1024" customFormat="false" ht="15" hidden="false" customHeight="false" outlineLevel="0" collapsed="false">
      <c r="A1024" s="0" t="s">
        <v>259</v>
      </c>
      <c r="B1024" s="52" t="n">
        <v>44413</v>
      </c>
      <c r="C1024" s="0" t="n">
        <v>55092.509</v>
      </c>
      <c r="D1024" s="0" t="n">
        <v>11127.191</v>
      </c>
      <c r="E1024" s="0" t="n">
        <v>43965.318</v>
      </c>
      <c r="F1024" s="0" t="n">
        <v>25794.917</v>
      </c>
      <c r="G1024" s="0" t="n">
        <v>21065.357</v>
      </c>
      <c r="H1024" s="0" t="n">
        <v>4729.56</v>
      </c>
      <c r="I1024" s="0" t="n">
        <v>6094.672</v>
      </c>
      <c r="J1024" s="0" t="n">
        <v>12075.729</v>
      </c>
      <c r="K1024" s="0" t="n">
        <v>44458.2634933333</v>
      </c>
      <c r="L1024" s="0" t="n">
        <v>36063</v>
      </c>
      <c r="M1024" s="0" t="n">
        <v>35851</v>
      </c>
      <c r="N1024" s="0" t="n">
        <v>62</v>
      </c>
      <c r="O1024" s="54" t="n">
        <f aca="false">YEAR(B1024)</f>
        <v>2021</v>
      </c>
      <c r="P1024" s="54" t="n">
        <f aca="false">IF(AND(E1024&gt;=14400,K1024&gt;0,L1024&gt;0),1,0)</f>
        <v>1</v>
      </c>
      <c r="Q1024" s="53" t="n">
        <f aca="false">IF(P1024=1,F1024/E1024*MIN(L1024/K1024,1)*MIN(MAX(M1024/L1024,0),1),0)</f>
        <v>0.473121511467708</v>
      </c>
      <c r="R1024" s="55" t="n">
        <f aca="false">IF(F1024&gt;0,N1024/(F1024/3600),0)</f>
        <v>8.65286753975599</v>
      </c>
    </row>
    <row r="1025" customFormat="false" ht="15" hidden="false" customHeight="false" outlineLevel="0" collapsed="false">
      <c r="A1025" s="0" t="s">
        <v>259</v>
      </c>
      <c r="B1025" s="52" t="n">
        <v>44414</v>
      </c>
      <c r="C1025" s="0" t="n">
        <v>45645.888</v>
      </c>
      <c r="D1025" s="0" t="n">
        <v>8833.906</v>
      </c>
      <c r="E1025" s="0" t="n">
        <v>36811.982</v>
      </c>
      <c r="F1025" s="0" t="n">
        <v>25525.386</v>
      </c>
      <c r="G1025" s="0" t="n">
        <v>19750.498</v>
      </c>
      <c r="H1025" s="0" t="n">
        <v>5774.888</v>
      </c>
      <c r="I1025" s="0" t="n">
        <v>7468.075</v>
      </c>
      <c r="J1025" s="0" t="n">
        <v>3818.521</v>
      </c>
      <c r="K1025" s="0" t="n">
        <v>44287.18957</v>
      </c>
      <c r="L1025" s="0" t="n">
        <v>34028</v>
      </c>
      <c r="M1025" s="0" t="n">
        <v>33960</v>
      </c>
      <c r="N1025" s="0" t="n">
        <v>98</v>
      </c>
      <c r="O1025" s="54" t="n">
        <f aca="false">YEAR(B1025)</f>
        <v>2021</v>
      </c>
      <c r="P1025" s="54" t="n">
        <f aca="false">IF(AND(E1025&gt;=14400,K1025&gt;0,L1025&gt;0),1,0)</f>
        <v>1</v>
      </c>
      <c r="Q1025" s="53" t="n">
        <f aca="false">IF(P1025=1,F1025/E1025*MIN(L1025/K1025,1)*MIN(MAX(M1025/L1025,0),1),0)</f>
        <v>0.531707367038933</v>
      </c>
      <c r="R1025" s="55" t="n">
        <f aca="false">IF(F1025&gt;0,N1025/(F1025/3600),0)</f>
        <v>13.8215343736624</v>
      </c>
    </row>
    <row r="1026" customFormat="false" ht="15" hidden="false" customHeight="false" outlineLevel="0" collapsed="false">
      <c r="A1026" s="0" t="s">
        <v>259</v>
      </c>
      <c r="B1026" s="52" t="n">
        <v>44415</v>
      </c>
      <c r="C1026" s="0" t="n">
        <v>26570.671</v>
      </c>
      <c r="D1026" s="0" t="n">
        <v>11775.337</v>
      </c>
      <c r="E1026" s="0" t="n">
        <v>14795.334</v>
      </c>
      <c r="F1026" s="0" t="n">
        <v>7448.177</v>
      </c>
      <c r="G1026" s="0" t="n">
        <v>7337.874</v>
      </c>
      <c r="H1026" s="0" t="n">
        <v>110.303</v>
      </c>
      <c r="I1026" s="0" t="n">
        <v>1120.22</v>
      </c>
      <c r="J1026" s="0" t="n">
        <v>6226.937</v>
      </c>
      <c r="K1026" s="0" t="n">
        <v>12554.0464833333</v>
      </c>
      <c r="L1026" s="0" t="n">
        <v>12448</v>
      </c>
      <c r="M1026" s="0" t="n">
        <v>12390</v>
      </c>
      <c r="N1026" s="0" t="n">
        <v>6</v>
      </c>
      <c r="O1026" s="54" t="n">
        <f aca="false">YEAR(B1026)</f>
        <v>2021</v>
      </c>
      <c r="P1026" s="54" t="n">
        <f aca="false">IF(AND(E1026&gt;=14400,K1026&gt;0,L1026&gt;0),1,0)</f>
        <v>1</v>
      </c>
      <c r="Q1026" s="53" t="n">
        <f aca="false">IF(P1026=1,F1026/E1026*MIN(L1026/K1026,1)*MIN(MAX(M1026/L1026,0),1),0)</f>
        <v>0.496835693934878</v>
      </c>
      <c r="R1026" s="55" t="n">
        <f aca="false">IF(F1026&gt;0,N1026/(F1026/3600),0)</f>
        <v>2.90003849264055</v>
      </c>
    </row>
    <row r="1027" customFormat="false" ht="15" hidden="false" customHeight="false" outlineLevel="0" collapsed="false">
      <c r="A1027" s="0" t="s">
        <v>259</v>
      </c>
      <c r="B1027" s="52" t="n">
        <v>44416</v>
      </c>
      <c r="C1027" s="0" t="n">
        <v>14799.459</v>
      </c>
      <c r="D1027" s="0" t="n">
        <v>3280.039</v>
      </c>
      <c r="E1027" s="0" t="n">
        <v>11519.42</v>
      </c>
      <c r="F1027" s="0" t="n">
        <v>8315.486</v>
      </c>
      <c r="G1027" s="0" t="n">
        <v>7279.186</v>
      </c>
      <c r="H1027" s="0" t="n">
        <v>1036.3</v>
      </c>
      <c r="I1027" s="0" t="n">
        <v>2048.901</v>
      </c>
      <c r="J1027" s="0" t="n">
        <v>1155.033</v>
      </c>
      <c r="K1027" s="0" t="n">
        <v>14263.4559869444</v>
      </c>
      <c r="L1027" s="0" t="n">
        <v>12389</v>
      </c>
      <c r="M1027" s="0" t="n">
        <v>12312</v>
      </c>
      <c r="N1027" s="0" t="n">
        <v>30</v>
      </c>
      <c r="O1027" s="54" t="n">
        <f aca="false">YEAR(B1027)</f>
        <v>2021</v>
      </c>
      <c r="P1027" s="54" t="n">
        <f aca="false">IF(AND(E1027&gt;=14400,K1027&gt;0,L1027&gt;0),1,0)</f>
        <v>0</v>
      </c>
      <c r="Q1027" s="53" t="n">
        <f aca="false">IF(P1027=1,F1027/E1027*MIN(L1027/K1027,1)*MIN(MAX(M1027/L1027,0),1),0)</f>
        <v>0</v>
      </c>
      <c r="R1027" s="55" t="n">
        <f aca="false">IF(F1027&gt;0,N1027/(F1027/3600),0)</f>
        <v>12.9878157452252</v>
      </c>
    </row>
    <row r="1028" customFormat="false" ht="15" hidden="false" customHeight="false" outlineLevel="0" collapsed="false">
      <c r="A1028" s="0" t="s">
        <v>259</v>
      </c>
      <c r="B1028" s="52" t="n">
        <v>44417</v>
      </c>
      <c r="C1028" s="0" t="n">
        <v>40198.783</v>
      </c>
      <c r="D1028" s="0" t="n">
        <v>9084.635</v>
      </c>
      <c r="E1028" s="0" t="n">
        <v>31114.148</v>
      </c>
      <c r="F1028" s="0" t="n">
        <v>20489.273</v>
      </c>
      <c r="G1028" s="0" t="n">
        <v>16722.187</v>
      </c>
      <c r="H1028" s="0" t="n">
        <v>3767.086</v>
      </c>
      <c r="I1028" s="0" t="n">
        <v>6978.134</v>
      </c>
      <c r="J1028" s="0" t="n">
        <v>3646.741</v>
      </c>
      <c r="K1028" s="0" t="n">
        <v>35283.9903683333</v>
      </c>
      <c r="L1028" s="0" t="n">
        <v>28693</v>
      </c>
      <c r="M1028" s="0" t="n">
        <v>28583</v>
      </c>
      <c r="N1028" s="0" t="n">
        <v>73</v>
      </c>
      <c r="O1028" s="54" t="n">
        <f aca="false">YEAR(B1028)</f>
        <v>2021</v>
      </c>
      <c r="P1028" s="54" t="n">
        <f aca="false">IF(AND(E1028&gt;=14400,K1028&gt;0,L1028&gt;0),1,0)</f>
        <v>1</v>
      </c>
      <c r="Q1028" s="53" t="n">
        <f aca="false">IF(P1028=1,F1028/E1028*MIN(L1028/K1028,1)*MIN(MAX(M1028/L1028,0),1),0)</f>
        <v>0.533456179504742</v>
      </c>
      <c r="R1028" s="55" t="n">
        <f aca="false">IF(F1028&gt;0,N1028/(F1028/3600),0)</f>
        <v>12.8262237513259</v>
      </c>
    </row>
    <row r="1029" customFormat="false" ht="15" hidden="false" customHeight="false" outlineLevel="0" collapsed="false">
      <c r="A1029" s="0" t="s">
        <v>259</v>
      </c>
      <c r="B1029" s="52" t="n">
        <v>44418</v>
      </c>
      <c r="C1029" s="0" t="n">
        <v>46338.022</v>
      </c>
      <c r="D1029" s="0" t="n">
        <v>14971.033</v>
      </c>
      <c r="E1029" s="0" t="n">
        <v>31366.989</v>
      </c>
      <c r="F1029" s="0" t="n">
        <v>12237.147</v>
      </c>
      <c r="G1029" s="0" t="n">
        <v>9328.154</v>
      </c>
      <c r="H1029" s="0" t="n">
        <v>2908.993</v>
      </c>
      <c r="I1029" s="0" t="n">
        <v>3481.162</v>
      </c>
      <c r="J1029" s="0" t="n">
        <v>15648.68</v>
      </c>
      <c r="K1029" s="0" t="n">
        <v>21368.8826722222</v>
      </c>
      <c r="L1029" s="0" t="n">
        <v>16578</v>
      </c>
      <c r="M1029" s="0" t="n">
        <v>16526</v>
      </c>
      <c r="N1029" s="0" t="n">
        <v>29</v>
      </c>
      <c r="O1029" s="54" t="n">
        <f aca="false">YEAR(B1029)</f>
        <v>2021</v>
      </c>
      <c r="P1029" s="54" t="n">
        <f aca="false">IF(AND(E1029&gt;=14400,K1029&gt;0,L1029&gt;0),1,0)</f>
        <v>1</v>
      </c>
      <c r="Q1029" s="53" t="n">
        <f aca="false">IF(P1029=1,F1029/E1029*MIN(L1029/K1029,1)*MIN(MAX(M1029/L1029,0),1),0)</f>
        <v>0.301712483250909</v>
      </c>
      <c r="R1029" s="55" t="n">
        <f aca="false">IF(F1029&gt;0,N1029/(F1029/3600),0)</f>
        <v>8.53140033375427</v>
      </c>
    </row>
    <row r="1030" customFormat="false" ht="15" hidden="false" customHeight="false" outlineLevel="0" collapsed="false">
      <c r="A1030" s="0" t="s">
        <v>259</v>
      </c>
      <c r="B1030" s="52" t="n">
        <v>44419</v>
      </c>
      <c r="C1030" s="0" t="n">
        <v>42921.756</v>
      </c>
      <c r="D1030" s="0" t="n">
        <v>9066.773</v>
      </c>
      <c r="E1030" s="0" t="n">
        <v>33854.983</v>
      </c>
      <c r="F1030" s="0" t="n">
        <v>15695.971</v>
      </c>
      <c r="G1030" s="0" t="n">
        <v>14682.313</v>
      </c>
      <c r="H1030" s="0" t="n">
        <v>1013.658</v>
      </c>
      <c r="I1030" s="0" t="n">
        <v>4854.894</v>
      </c>
      <c r="J1030" s="0" t="n">
        <v>13304.118</v>
      </c>
      <c r="K1030" s="0" t="n">
        <v>28003.4606944444</v>
      </c>
      <c r="L1030" s="0" t="n">
        <v>25959</v>
      </c>
      <c r="M1030" s="0" t="n">
        <v>25923</v>
      </c>
      <c r="N1030" s="0" t="n">
        <v>59</v>
      </c>
      <c r="O1030" s="54" t="n">
        <f aca="false">YEAR(B1030)</f>
        <v>2021</v>
      </c>
      <c r="P1030" s="54" t="n">
        <f aca="false">IF(AND(E1030&gt;=14400,K1030&gt;0,L1030&gt;0),1,0)</f>
        <v>1</v>
      </c>
      <c r="Q1030" s="53" t="n">
        <f aca="false">IF(P1030=1,F1030/E1030*MIN(L1030/K1030,1)*MIN(MAX(M1030/L1030,0),1),0)</f>
        <v>0.42917967073924</v>
      </c>
      <c r="R1030" s="55" t="n">
        <f aca="false">IF(F1030&gt;0,N1030/(F1030/3600),0)</f>
        <v>13.5321350937766</v>
      </c>
    </row>
    <row r="1031" customFormat="false" ht="15" hidden="false" customHeight="false" outlineLevel="0" collapsed="false">
      <c r="A1031" s="0" t="s">
        <v>259</v>
      </c>
      <c r="B1031" s="52" t="n">
        <v>44420</v>
      </c>
      <c r="C1031" s="0" t="n">
        <v>48470.367</v>
      </c>
      <c r="D1031" s="0" t="n">
        <v>11646.743</v>
      </c>
      <c r="E1031" s="0" t="n">
        <v>36823.624</v>
      </c>
      <c r="F1031" s="0" t="n">
        <v>16979.788</v>
      </c>
      <c r="G1031" s="0" t="n">
        <v>14327.495</v>
      </c>
      <c r="H1031" s="0" t="n">
        <v>2652.293</v>
      </c>
      <c r="I1031" s="0" t="n">
        <v>5077.626</v>
      </c>
      <c r="J1031" s="0" t="n">
        <v>14766.21</v>
      </c>
      <c r="K1031" s="0" t="n">
        <v>29227.6356811111</v>
      </c>
      <c r="L1031" s="0" t="n">
        <v>24515</v>
      </c>
      <c r="M1031" s="0" t="n">
        <v>24411</v>
      </c>
      <c r="N1031" s="0" t="n">
        <v>65</v>
      </c>
      <c r="O1031" s="54" t="n">
        <f aca="false">YEAR(B1031)</f>
        <v>2021</v>
      </c>
      <c r="P1031" s="54" t="n">
        <f aca="false">IF(AND(E1031&gt;=14400,K1031&gt;0,L1031&gt;0),1,0)</f>
        <v>1</v>
      </c>
      <c r="Q1031" s="53" t="n">
        <f aca="false">IF(P1031=1,F1031/E1031*MIN(L1031/K1031,1)*MIN(MAX(M1031/L1031,0),1),0)</f>
        <v>0.385121373339717</v>
      </c>
      <c r="R1031" s="55" t="n">
        <f aca="false">IF(F1031&gt;0,N1031/(F1031/3600),0)</f>
        <v>13.7810907886482</v>
      </c>
    </row>
    <row r="1032" customFormat="false" ht="15" hidden="false" customHeight="false" outlineLevel="0" collapsed="false">
      <c r="A1032" s="0" t="s">
        <v>259</v>
      </c>
      <c r="B1032" s="52" t="n">
        <v>44421</v>
      </c>
      <c r="C1032" s="0" t="n">
        <v>38019.386</v>
      </c>
      <c r="D1032" s="0" t="n">
        <v>9238.875</v>
      </c>
      <c r="E1032" s="0" t="n">
        <v>28780.511</v>
      </c>
      <c r="F1032" s="0" t="n">
        <v>18852.143</v>
      </c>
      <c r="G1032" s="0" t="n">
        <v>14187.639</v>
      </c>
      <c r="H1032" s="0" t="n">
        <v>4664.504</v>
      </c>
      <c r="I1032" s="0" t="n">
        <v>6866.691</v>
      </c>
      <c r="J1032" s="0" t="n">
        <v>3061.677</v>
      </c>
      <c r="K1032" s="0" t="n">
        <v>30472.5335880556</v>
      </c>
      <c r="L1032" s="0" t="n">
        <v>22797</v>
      </c>
      <c r="M1032" s="0" t="n">
        <v>22664</v>
      </c>
      <c r="N1032" s="0" t="n">
        <v>82</v>
      </c>
      <c r="O1032" s="54" t="n">
        <f aca="false">YEAR(B1032)</f>
        <v>2021</v>
      </c>
      <c r="P1032" s="54" t="n">
        <f aca="false">IF(AND(E1032&gt;=14400,K1032&gt;0,L1032&gt;0),1,0)</f>
        <v>1</v>
      </c>
      <c r="Q1032" s="53" t="n">
        <f aca="false">IF(P1032=1,F1032/E1032*MIN(L1032/K1032,1)*MIN(MAX(M1032/L1032,0),1),0)</f>
        <v>0.487180864657144</v>
      </c>
      <c r="R1032" s="55" t="n">
        <f aca="false">IF(F1032&gt;0,N1032/(F1032/3600),0)</f>
        <v>15.6586972632236</v>
      </c>
    </row>
    <row r="1033" customFormat="false" ht="15" hidden="false" customHeight="false" outlineLevel="0" collapsed="false">
      <c r="A1033" s="0" t="s">
        <v>259</v>
      </c>
      <c r="B1033" s="52" t="n">
        <v>44422</v>
      </c>
      <c r="C1033" s="0" t="n">
        <v>28277.196</v>
      </c>
      <c r="D1033" s="0" t="n">
        <v>11861.885</v>
      </c>
      <c r="E1033" s="0" t="n">
        <v>16415.311</v>
      </c>
      <c r="F1033" s="0" t="n">
        <v>10985.624</v>
      </c>
      <c r="G1033" s="0" t="n">
        <v>8986.929</v>
      </c>
      <c r="H1033" s="0" t="n">
        <v>1998.695</v>
      </c>
      <c r="I1033" s="0" t="n">
        <v>1568.159</v>
      </c>
      <c r="J1033" s="0" t="n">
        <v>3861.528</v>
      </c>
      <c r="K1033" s="0" t="n">
        <v>18286.6064333333</v>
      </c>
      <c r="L1033" s="0" t="n">
        <v>14854</v>
      </c>
      <c r="M1033" s="0" t="n">
        <v>14803</v>
      </c>
      <c r="N1033" s="0" t="n">
        <v>23</v>
      </c>
      <c r="O1033" s="54" t="n">
        <f aca="false">YEAR(B1033)</f>
        <v>2021</v>
      </c>
      <c r="P1033" s="54" t="n">
        <f aca="false">IF(AND(E1033&gt;=14400,K1033&gt;0,L1033&gt;0),1,0)</f>
        <v>1</v>
      </c>
      <c r="Q1033" s="53" t="n">
        <f aca="false">IF(P1033=1,F1033/E1033*MIN(L1033/K1033,1)*MIN(MAX(M1033/L1033,0),1),0)</f>
        <v>0.541741662855054</v>
      </c>
      <c r="R1033" s="55" t="n">
        <f aca="false">IF(F1033&gt;0,N1033/(F1033/3600),0)</f>
        <v>7.53712306192165</v>
      </c>
    </row>
    <row r="1034" customFormat="false" ht="15" hidden="false" customHeight="false" outlineLevel="0" collapsed="false">
      <c r="A1034" s="0" t="s">
        <v>259</v>
      </c>
      <c r="B1034" s="52" t="n">
        <v>44423</v>
      </c>
      <c r="C1034" s="0" t="n">
        <v>14737.122</v>
      </c>
      <c r="D1034" s="0" t="n">
        <v>3515.513</v>
      </c>
      <c r="E1034" s="0" t="n">
        <v>11221.609</v>
      </c>
      <c r="F1034" s="0" t="n">
        <v>7964.562</v>
      </c>
      <c r="G1034" s="0" t="n">
        <v>5854.285</v>
      </c>
      <c r="H1034" s="0" t="n">
        <v>2110.277</v>
      </c>
      <c r="I1034" s="0" t="n">
        <v>1317.579</v>
      </c>
      <c r="J1034" s="0" t="n">
        <v>1939.468</v>
      </c>
      <c r="K1034" s="0" t="n">
        <v>13978.5510533333</v>
      </c>
      <c r="L1034" s="0" t="n">
        <v>10205</v>
      </c>
      <c r="M1034" s="0" t="n">
        <v>10171</v>
      </c>
      <c r="N1034" s="0" t="n">
        <v>18</v>
      </c>
      <c r="O1034" s="54" t="n">
        <f aca="false">YEAR(B1034)</f>
        <v>2021</v>
      </c>
      <c r="P1034" s="54" t="n">
        <f aca="false">IF(AND(E1034&gt;=14400,K1034&gt;0,L1034&gt;0),1,0)</f>
        <v>0</v>
      </c>
      <c r="Q1034" s="53" t="n">
        <f aca="false">IF(P1034=1,F1034/E1034*MIN(L1034/K1034,1)*MIN(MAX(M1034/L1034,0),1),0)</f>
        <v>0</v>
      </c>
      <c r="R1034" s="55" t="n">
        <f aca="false">IF(F1034&gt;0,N1034/(F1034/3600),0)</f>
        <v>8.13604062596286</v>
      </c>
    </row>
    <row r="1035" customFormat="false" ht="15" hidden="false" customHeight="false" outlineLevel="0" collapsed="false">
      <c r="A1035" s="0" t="s">
        <v>259</v>
      </c>
      <c r="B1035" s="52" t="n">
        <v>44424</v>
      </c>
      <c r="C1035" s="0" t="n">
        <v>48498.382</v>
      </c>
      <c r="D1035" s="0" t="n">
        <v>9522.954</v>
      </c>
      <c r="E1035" s="0" t="n">
        <v>38975.428</v>
      </c>
      <c r="F1035" s="0" t="n">
        <v>5279.449</v>
      </c>
      <c r="G1035" s="0" t="n">
        <v>3916.818</v>
      </c>
      <c r="H1035" s="0" t="n">
        <v>1362.631</v>
      </c>
      <c r="I1035" s="0" t="n">
        <v>4030.78</v>
      </c>
      <c r="J1035" s="0" t="n">
        <v>29665.199</v>
      </c>
      <c r="K1035" s="0" t="n">
        <v>9532.33847222222</v>
      </c>
      <c r="L1035" s="0" t="n">
        <v>7069</v>
      </c>
      <c r="M1035" s="0" t="n">
        <v>7043</v>
      </c>
      <c r="N1035" s="0" t="n">
        <v>27</v>
      </c>
      <c r="O1035" s="54" t="n">
        <f aca="false">YEAR(B1035)</f>
        <v>2021</v>
      </c>
      <c r="P1035" s="54" t="n">
        <f aca="false">IF(AND(E1035&gt;=14400,K1035&gt;0,L1035&gt;0),1,0)</f>
        <v>1</v>
      </c>
      <c r="Q1035" s="53" t="n">
        <f aca="false">IF(P1035=1,F1035/E1035*MIN(L1035/K1035,1)*MIN(MAX(M1035/L1035,0),1),0)</f>
        <v>0.100081991698422</v>
      </c>
      <c r="R1035" s="55" t="n">
        <f aca="false">IF(F1035&gt;0,N1035/(F1035/3600),0)</f>
        <v>18.4110122097969</v>
      </c>
    </row>
    <row r="1036" customFormat="false" ht="15" hidden="false" customHeight="false" outlineLevel="0" collapsed="false">
      <c r="A1036" s="0" t="s">
        <v>259</v>
      </c>
      <c r="B1036" s="52" t="n">
        <v>44425</v>
      </c>
      <c r="C1036" s="0" t="n">
        <v>33062.651</v>
      </c>
      <c r="D1036" s="0" t="n">
        <v>9629.202</v>
      </c>
      <c r="E1036" s="0" t="n">
        <v>23433.449</v>
      </c>
      <c r="F1036" s="0" t="n">
        <v>12993.123</v>
      </c>
      <c r="G1036" s="0" t="n">
        <v>10299.247</v>
      </c>
      <c r="H1036" s="0" t="n">
        <v>2693.876</v>
      </c>
      <c r="I1036" s="0" t="n">
        <v>4843.564</v>
      </c>
      <c r="J1036" s="0" t="n">
        <v>5596.762</v>
      </c>
      <c r="K1036" s="0" t="n">
        <v>22187.53786</v>
      </c>
      <c r="L1036" s="0" t="n">
        <v>17415</v>
      </c>
      <c r="M1036" s="0" t="n">
        <v>17327</v>
      </c>
      <c r="N1036" s="0" t="n">
        <v>51</v>
      </c>
      <c r="O1036" s="54" t="n">
        <f aca="false">YEAR(B1036)</f>
        <v>2021</v>
      </c>
      <c r="P1036" s="54" t="n">
        <f aca="false">IF(AND(E1036&gt;=14400,K1036&gt;0,L1036&gt;0),1,0)</f>
        <v>1</v>
      </c>
      <c r="Q1036" s="53" t="n">
        <f aca="false">IF(P1036=1,F1036/E1036*MIN(L1036/K1036,1)*MIN(MAX(M1036/L1036,0),1),0)</f>
        <v>0.43300369232569</v>
      </c>
      <c r="R1036" s="55" t="n">
        <f aca="false">IF(F1036&gt;0,N1036/(F1036/3600),0)</f>
        <v>14.130551985077</v>
      </c>
    </row>
    <row r="1037" customFormat="false" ht="15" hidden="false" customHeight="false" outlineLevel="0" collapsed="false">
      <c r="A1037" s="0" t="s">
        <v>259</v>
      </c>
      <c r="B1037" s="52" t="n">
        <v>44426</v>
      </c>
      <c r="C1037" s="0" t="n">
        <v>45999.226</v>
      </c>
      <c r="D1037" s="0" t="n">
        <v>9288.071</v>
      </c>
      <c r="E1037" s="0" t="n">
        <v>36711.155</v>
      </c>
      <c r="F1037" s="0" t="n">
        <v>21523.977</v>
      </c>
      <c r="G1037" s="0" t="n">
        <v>16668.938</v>
      </c>
      <c r="H1037" s="0" t="n">
        <v>4855.039</v>
      </c>
      <c r="I1037" s="0" t="n">
        <v>5586.298</v>
      </c>
      <c r="J1037" s="0" t="n">
        <v>9600.88</v>
      </c>
      <c r="K1037" s="0" t="n">
        <v>36596.3260722222</v>
      </c>
      <c r="L1037" s="0" t="n">
        <v>28213</v>
      </c>
      <c r="M1037" s="0" t="n">
        <v>27993</v>
      </c>
      <c r="N1037" s="0" t="n">
        <v>89</v>
      </c>
      <c r="O1037" s="54" t="n">
        <f aca="false">YEAR(B1037)</f>
        <v>2021</v>
      </c>
      <c r="P1037" s="54" t="n">
        <f aca="false">IF(AND(E1037&gt;=14400,K1037&gt;0,L1037&gt;0),1,0)</f>
        <v>1</v>
      </c>
      <c r="Q1037" s="53" t="n">
        <f aca="false">IF(P1037=1,F1037/E1037*MIN(L1037/K1037,1)*MIN(MAX(M1037/L1037,0),1),0)</f>
        <v>0.448473128836152</v>
      </c>
      <c r="R1037" s="55" t="n">
        <f aca="false">IF(F1037&gt;0,N1037/(F1037/3600),0)</f>
        <v>14.8857248825345</v>
      </c>
    </row>
    <row r="1038" customFormat="false" ht="15" hidden="false" customHeight="false" outlineLevel="0" collapsed="false">
      <c r="A1038" s="0" t="s">
        <v>259</v>
      </c>
      <c r="B1038" s="52" t="n">
        <v>44427</v>
      </c>
      <c r="C1038" s="0" t="n">
        <v>50102.507</v>
      </c>
      <c r="D1038" s="0" t="n">
        <v>9211.968</v>
      </c>
      <c r="E1038" s="0" t="n">
        <v>40890.539</v>
      </c>
      <c r="F1038" s="0" t="n">
        <v>13951.437</v>
      </c>
      <c r="G1038" s="0" t="n">
        <v>10078.588</v>
      </c>
      <c r="H1038" s="0" t="n">
        <v>3872.849</v>
      </c>
      <c r="I1038" s="0" t="n">
        <v>4536.1</v>
      </c>
      <c r="J1038" s="0" t="n">
        <v>22403.002</v>
      </c>
      <c r="K1038" s="0" t="n">
        <v>21741.0741527778</v>
      </c>
      <c r="L1038" s="0" t="n">
        <v>15108</v>
      </c>
      <c r="M1038" s="0" t="n">
        <v>15041</v>
      </c>
      <c r="N1038" s="0" t="n">
        <v>54</v>
      </c>
      <c r="O1038" s="54" t="n">
        <f aca="false">YEAR(B1038)</f>
        <v>2021</v>
      </c>
      <c r="P1038" s="54" t="n">
        <f aca="false">IF(AND(E1038&gt;=14400,K1038&gt;0,L1038&gt;0),1,0)</f>
        <v>1</v>
      </c>
      <c r="Q1038" s="53" t="n">
        <f aca="false">IF(P1038=1,F1038/E1038*MIN(L1038/K1038,1)*MIN(MAX(M1038/L1038,0),1),0)</f>
        <v>0.23604337791247</v>
      </c>
      <c r="R1038" s="55" t="n">
        <f aca="false">IF(F1038&gt;0,N1038/(F1038/3600),0)</f>
        <v>13.9340485141423</v>
      </c>
    </row>
    <row r="1039" customFormat="false" ht="15" hidden="false" customHeight="false" outlineLevel="0" collapsed="false">
      <c r="A1039" s="0" t="s">
        <v>259</v>
      </c>
      <c r="B1039" s="52" t="n">
        <v>44428</v>
      </c>
      <c r="C1039" s="0" t="n">
        <v>42692.057</v>
      </c>
      <c r="D1039" s="0" t="n">
        <v>9505.064</v>
      </c>
      <c r="E1039" s="0" t="n">
        <v>33186.993</v>
      </c>
      <c r="F1039" s="0" t="n">
        <v>19236.526</v>
      </c>
      <c r="G1039" s="0" t="n">
        <v>13006.059</v>
      </c>
      <c r="H1039" s="0" t="n">
        <v>6230.467</v>
      </c>
      <c r="I1039" s="0" t="n">
        <v>7220.388</v>
      </c>
      <c r="J1039" s="0" t="n">
        <v>6730.079</v>
      </c>
      <c r="K1039" s="0" t="n">
        <v>32100.7939777778</v>
      </c>
      <c r="L1039" s="0" t="n">
        <v>21646</v>
      </c>
      <c r="M1039" s="0" t="n">
        <v>21485</v>
      </c>
      <c r="N1039" s="0" t="n">
        <v>55</v>
      </c>
      <c r="O1039" s="54" t="n">
        <f aca="false">YEAR(B1039)</f>
        <v>2021</v>
      </c>
      <c r="P1039" s="54" t="n">
        <f aca="false">IF(AND(E1039&gt;=14400,K1039&gt;0,L1039&gt;0),1,0)</f>
        <v>1</v>
      </c>
      <c r="Q1039" s="53" t="n">
        <f aca="false">IF(P1039=1,F1039/E1039*MIN(L1039/K1039,1)*MIN(MAX(M1039/L1039,0),1),0)</f>
        <v>0.387952293599528</v>
      </c>
      <c r="R1039" s="55" t="n">
        <f aca="false">IF(F1039&gt;0,N1039/(F1039/3600),0)</f>
        <v>10.2929187941731</v>
      </c>
    </row>
    <row r="1040" customFormat="false" ht="15" hidden="false" customHeight="false" outlineLevel="0" collapsed="false">
      <c r="A1040" s="0" t="s">
        <v>259</v>
      </c>
      <c r="B1040" s="52" t="n">
        <v>44429</v>
      </c>
      <c r="C1040" s="0" t="n">
        <v>28499.4</v>
      </c>
      <c r="D1040" s="0" t="n">
        <v>11635.353</v>
      </c>
      <c r="E1040" s="0" t="n">
        <v>16864.047</v>
      </c>
      <c r="F1040" s="0" t="n">
        <v>12120.953</v>
      </c>
      <c r="G1040" s="0" t="n">
        <v>10328.517</v>
      </c>
      <c r="H1040" s="0" t="n">
        <v>1792.436</v>
      </c>
      <c r="I1040" s="0" t="n">
        <v>1152.474</v>
      </c>
      <c r="J1040" s="0" t="n">
        <v>3590.62</v>
      </c>
      <c r="K1040" s="0" t="n">
        <v>20134.2497055556</v>
      </c>
      <c r="L1040" s="0" t="n">
        <v>17154</v>
      </c>
      <c r="M1040" s="0" t="n">
        <v>17112</v>
      </c>
      <c r="N1040" s="0" t="n">
        <v>28</v>
      </c>
      <c r="O1040" s="54" t="n">
        <f aca="false">YEAR(B1040)</f>
        <v>2021</v>
      </c>
      <c r="P1040" s="54" t="n">
        <f aca="false">IF(AND(E1040&gt;=14400,K1040&gt;0,L1040&gt;0),1,0)</f>
        <v>1</v>
      </c>
      <c r="Q1040" s="53" t="n">
        <f aca="false">IF(P1040=1,F1040/E1040*MIN(L1040/K1040,1)*MIN(MAX(M1040/L1040,0),1),0)</f>
        <v>0.61085802604431</v>
      </c>
      <c r="R1040" s="55" t="n">
        <f aca="false">IF(F1040&gt;0,N1040/(F1040/3600),0)</f>
        <v>8.31617777909047</v>
      </c>
    </row>
    <row r="1041" customFormat="false" ht="15" hidden="false" customHeight="false" outlineLevel="0" collapsed="false">
      <c r="A1041" s="0" t="s">
        <v>259</v>
      </c>
      <c r="B1041" s="52" t="n">
        <v>44430</v>
      </c>
      <c r="C1041" s="0" t="n">
        <v>14310.061</v>
      </c>
      <c r="D1041" s="0" t="n">
        <v>3757.33</v>
      </c>
      <c r="E1041" s="0" t="n">
        <v>10552.731</v>
      </c>
      <c r="F1041" s="0" t="n">
        <v>7071.154</v>
      </c>
      <c r="G1041" s="0" t="n">
        <v>6527.725</v>
      </c>
      <c r="H1041" s="0" t="n">
        <v>543.429</v>
      </c>
      <c r="I1041" s="0" t="n">
        <v>1594.999</v>
      </c>
      <c r="J1041" s="0" t="n">
        <v>1886.578</v>
      </c>
      <c r="K1041" s="0" t="n">
        <v>12239.9956222222</v>
      </c>
      <c r="L1041" s="0" t="n">
        <v>11305</v>
      </c>
      <c r="M1041" s="0" t="n">
        <v>11251</v>
      </c>
      <c r="N1041" s="0" t="n">
        <v>14</v>
      </c>
      <c r="O1041" s="54" t="n">
        <f aca="false">YEAR(B1041)</f>
        <v>2021</v>
      </c>
      <c r="P1041" s="54" t="n">
        <f aca="false">IF(AND(E1041&gt;=14400,K1041&gt;0,L1041&gt;0),1,0)</f>
        <v>0</v>
      </c>
      <c r="Q1041" s="53" t="n">
        <f aca="false">IF(P1041=1,F1041/E1041*MIN(L1041/K1041,1)*MIN(MAX(M1041/L1041,0),1),0)</f>
        <v>0</v>
      </c>
      <c r="R1041" s="55" t="n">
        <f aca="false">IF(F1041&gt;0,N1041/(F1041/3600),0)</f>
        <v>7.12754947777972</v>
      </c>
    </row>
    <row r="1042" customFormat="false" ht="15" hidden="false" customHeight="false" outlineLevel="0" collapsed="false">
      <c r="A1042" s="0" t="s">
        <v>259</v>
      </c>
      <c r="B1042" s="52" t="n">
        <v>44431</v>
      </c>
      <c r="C1042" s="0" t="n">
        <v>34497.963</v>
      </c>
      <c r="D1042" s="0" t="n">
        <v>11613.097</v>
      </c>
      <c r="E1042" s="0" t="n">
        <v>22884.866</v>
      </c>
      <c r="F1042" s="0" t="n">
        <v>10576.479</v>
      </c>
      <c r="G1042" s="0" t="n">
        <v>9588.348</v>
      </c>
      <c r="H1042" s="0" t="n">
        <v>988.131</v>
      </c>
      <c r="I1042" s="0" t="n">
        <v>3602.035</v>
      </c>
      <c r="J1042" s="0" t="n">
        <v>8706.352</v>
      </c>
      <c r="K1042" s="0" t="n">
        <v>18308.9090211111</v>
      </c>
      <c r="L1042" s="0" t="n">
        <v>16524</v>
      </c>
      <c r="M1042" s="0" t="n">
        <v>16470</v>
      </c>
      <c r="N1042" s="0" t="n">
        <v>33</v>
      </c>
      <c r="O1042" s="54" t="n">
        <f aca="false">YEAR(B1042)</f>
        <v>2021</v>
      </c>
      <c r="P1042" s="54" t="n">
        <f aca="false">IF(AND(E1042&gt;=14400,K1042&gt;0,L1042&gt;0),1,0)</f>
        <v>1</v>
      </c>
      <c r="Q1042" s="53" t="n">
        <f aca="false">IF(P1042=1,F1042/E1042*MIN(L1042/K1042,1)*MIN(MAX(M1042/L1042,0),1),0)</f>
        <v>0.415741970508682</v>
      </c>
      <c r="R1042" s="55" t="n">
        <f aca="false">IF(F1042&gt;0,N1042/(F1042/3600),0)</f>
        <v>11.2324716004258</v>
      </c>
    </row>
    <row r="1043" customFormat="false" ht="15" hidden="false" customHeight="false" outlineLevel="0" collapsed="false">
      <c r="A1043" s="0" t="s">
        <v>259</v>
      </c>
      <c r="B1043" s="52" t="n">
        <v>44432</v>
      </c>
      <c r="C1043" s="0" t="n">
        <v>43523.211</v>
      </c>
      <c r="D1043" s="0" t="n">
        <v>12396.54</v>
      </c>
      <c r="E1043" s="0" t="n">
        <v>31126.671</v>
      </c>
      <c r="F1043" s="0" t="n">
        <v>14075.647</v>
      </c>
      <c r="G1043" s="0" t="n">
        <v>11621.239</v>
      </c>
      <c r="H1043" s="0" t="n">
        <v>2454.408</v>
      </c>
      <c r="I1043" s="0" t="n">
        <v>3348.862</v>
      </c>
      <c r="J1043" s="0" t="n">
        <v>13702.162</v>
      </c>
      <c r="K1043" s="0" t="n">
        <v>24691.6813588889</v>
      </c>
      <c r="L1043" s="0" t="n">
        <v>20352</v>
      </c>
      <c r="M1043" s="0" t="n">
        <v>19938</v>
      </c>
      <c r="N1043" s="0" t="n">
        <v>34</v>
      </c>
      <c r="O1043" s="54" t="n">
        <f aca="false">YEAR(B1043)</f>
        <v>2021</v>
      </c>
      <c r="P1043" s="54" t="n">
        <f aca="false">IF(AND(E1043&gt;=14400,K1043&gt;0,L1043&gt;0),1,0)</f>
        <v>1</v>
      </c>
      <c r="Q1043" s="53" t="n">
        <f aca="false">IF(P1043=1,F1043/E1043*MIN(L1043/K1043,1)*MIN(MAX(M1043/L1043,0),1),0)</f>
        <v>0.365146060273496</v>
      </c>
      <c r="R1043" s="55" t="n">
        <f aca="false">IF(F1043&gt;0,N1043/(F1043/3600),0)</f>
        <v>8.69587025022722</v>
      </c>
    </row>
    <row r="1044" customFormat="false" ht="15" hidden="false" customHeight="false" outlineLevel="0" collapsed="false">
      <c r="A1044" s="0" t="s">
        <v>259</v>
      </c>
      <c r="B1044" s="52" t="n">
        <v>44433</v>
      </c>
      <c r="C1044" s="0" t="n">
        <v>42671.49</v>
      </c>
      <c r="D1044" s="0" t="n">
        <v>10178.06</v>
      </c>
      <c r="E1044" s="0" t="n">
        <v>32493.43</v>
      </c>
      <c r="F1044" s="0" t="n">
        <v>11236.244</v>
      </c>
      <c r="G1044" s="0" t="n">
        <v>9339.983</v>
      </c>
      <c r="H1044" s="0" t="n">
        <v>1896.261</v>
      </c>
      <c r="I1044" s="0" t="n">
        <v>3116.536</v>
      </c>
      <c r="J1044" s="0" t="n">
        <v>18140.65</v>
      </c>
      <c r="K1044" s="0" t="n">
        <v>19904.4059677778</v>
      </c>
      <c r="L1044" s="0" t="n">
        <v>16546</v>
      </c>
      <c r="M1044" s="0" t="n">
        <v>16494</v>
      </c>
      <c r="N1044" s="0" t="n">
        <v>21</v>
      </c>
      <c r="O1044" s="54" t="n">
        <f aca="false">YEAR(B1044)</f>
        <v>2021</v>
      </c>
      <c r="P1044" s="54" t="n">
        <f aca="false">IF(AND(E1044&gt;=14400,K1044&gt;0,L1044&gt;0),1,0)</f>
        <v>1</v>
      </c>
      <c r="Q1044" s="53" t="n">
        <f aca="false">IF(P1044=1,F1044/E1044*MIN(L1044/K1044,1)*MIN(MAX(M1044/L1044,0),1),0)</f>
        <v>0.286551293381117</v>
      </c>
      <c r="R1044" s="55" t="n">
        <f aca="false">IF(F1044&gt;0,N1044/(F1044/3600),0)</f>
        <v>6.72822697691506</v>
      </c>
    </row>
    <row r="1045" customFormat="false" ht="15" hidden="false" customHeight="false" outlineLevel="0" collapsed="false">
      <c r="A1045" s="0" t="s">
        <v>259</v>
      </c>
      <c r="B1045" s="52" t="n">
        <v>44434</v>
      </c>
      <c r="C1045" s="0" t="n">
        <v>36618.64</v>
      </c>
      <c r="D1045" s="0" t="n">
        <v>9376.138</v>
      </c>
      <c r="E1045" s="0" t="n">
        <v>27242.502</v>
      </c>
      <c r="F1045" s="0" t="n">
        <v>18257.796</v>
      </c>
      <c r="G1045" s="0" t="n">
        <v>15940.349</v>
      </c>
      <c r="H1045" s="0" t="n">
        <v>2317.447</v>
      </c>
      <c r="I1045" s="0" t="n">
        <v>2822.789</v>
      </c>
      <c r="J1045" s="0" t="n">
        <v>6161.917</v>
      </c>
      <c r="K1045" s="0" t="n">
        <v>31840.987</v>
      </c>
      <c r="L1045" s="0" t="n">
        <v>27795</v>
      </c>
      <c r="M1045" s="0" t="n">
        <v>27649</v>
      </c>
      <c r="N1045" s="0" t="n">
        <v>42</v>
      </c>
      <c r="O1045" s="54" t="n">
        <f aca="false">YEAR(B1045)</f>
        <v>2021</v>
      </c>
      <c r="P1045" s="54" t="n">
        <f aca="false">IF(AND(E1045&gt;=14400,K1045&gt;0,L1045&gt;0),1,0)</f>
        <v>1</v>
      </c>
      <c r="Q1045" s="53" t="n">
        <f aca="false">IF(P1045=1,F1045/E1045*MIN(L1045/K1045,1)*MIN(MAX(M1045/L1045,0),1),0)</f>
        <v>0.581961515109838</v>
      </c>
      <c r="R1045" s="55" t="n">
        <f aca="false">IF(F1045&gt;0,N1045/(F1045/3600),0)</f>
        <v>8.28139387689511</v>
      </c>
    </row>
    <row r="1046" customFormat="false" ht="15" hidden="false" customHeight="false" outlineLevel="0" collapsed="false">
      <c r="A1046" s="0" t="s">
        <v>259</v>
      </c>
      <c r="B1046" s="52" t="n">
        <v>44435</v>
      </c>
      <c r="C1046" s="0" t="n">
        <v>42681.099</v>
      </c>
      <c r="D1046" s="0" t="n">
        <v>8721.545</v>
      </c>
      <c r="E1046" s="0" t="n">
        <v>33959.554</v>
      </c>
      <c r="F1046" s="0" t="n">
        <v>7445.254</v>
      </c>
      <c r="G1046" s="0" t="n">
        <v>6777.06</v>
      </c>
      <c r="H1046" s="0" t="n">
        <v>668.194</v>
      </c>
      <c r="I1046" s="0" t="n">
        <v>3767.251</v>
      </c>
      <c r="J1046" s="0" t="n">
        <v>22747.049</v>
      </c>
      <c r="K1046" s="0" t="n">
        <v>12772.7468622222</v>
      </c>
      <c r="L1046" s="0" t="n">
        <v>11529</v>
      </c>
      <c r="M1046" s="0" t="n">
        <v>11495</v>
      </c>
      <c r="N1046" s="0" t="n">
        <v>26</v>
      </c>
      <c r="O1046" s="54" t="n">
        <f aca="false">YEAR(B1046)</f>
        <v>2021</v>
      </c>
      <c r="P1046" s="54" t="n">
        <f aca="false">IF(AND(E1046&gt;=14400,K1046&gt;0,L1046&gt;0),1,0)</f>
        <v>1</v>
      </c>
      <c r="Q1046" s="53" t="n">
        <f aca="false">IF(P1046=1,F1046/E1046*MIN(L1046/K1046,1)*MIN(MAX(M1046/L1046,0),1),0)</f>
        <v>0.197306871812146</v>
      </c>
      <c r="R1046" s="55" t="n">
        <f aca="false">IF(F1046&gt;0,N1046/(F1046/3600),0)</f>
        <v>12.5717671955853</v>
      </c>
    </row>
    <row r="1047" customFormat="false" ht="15" hidden="false" customHeight="false" outlineLevel="0" collapsed="false">
      <c r="A1047" s="0" t="s">
        <v>259</v>
      </c>
      <c r="B1047" s="52" t="n">
        <v>44436</v>
      </c>
      <c r="C1047" s="0" t="n">
        <v>23784.497</v>
      </c>
      <c r="D1047" s="0" t="n">
        <v>6018.523</v>
      </c>
      <c r="E1047" s="0" t="n">
        <v>17765.974</v>
      </c>
      <c r="F1047" s="0" t="n">
        <v>11071.181</v>
      </c>
      <c r="G1047" s="0" t="n">
        <v>8710.8</v>
      </c>
      <c r="H1047" s="0" t="n">
        <v>2360.381</v>
      </c>
      <c r="I1047" s="0" t="n">
        <v>2500.97</v>
      </c>
      <c r="J1047" s="0" t="n">
        <v>4193.823</v>
      </c>
      <c r="K1047" s="0" t="n">
        <v>18391.3111055556</v>
      </c>
      <c r="L1047" s="0" t="n">
        <v>14483</v>
      </c>
      <c r="M1047" s="0" t="n">
        <v>14429</v>
      </c>
      <c r="N1047" s="0" t="n">
        <v>8</v>
      </c>
      <c r="O1047" s="54" t="n">
        <f aca="false">YEAR(B1047)</f>
        <v>2021</v>
      </c>
      <c r="P1047" s="54" t="n">
        <f aca="false">IF(AND(E1047&gt;=14400,K1047&gt;0,L1047&gt;0),1,0)</f>
        <v>1</v>
      </c>
      <c r="Q1047" s="53" t="n">
        <f aca="false">IF(P1047=1,F1047/E1047*MIN(L1047/K1047,1)*MIN(MAX(M1047/L1047,0),1),0)</f>
        <v>0.488909494550138</v>
      </c>
      <c r="R1047" s="55" t="n">
        <f aca="false">IF(F1047&gt;0,N1047/(F1047/3600),0)</f>
        <v>2.60134849208951</v>
      </c>
    </row>
    <row r="1048" customFormat="false" ht="15" hidden="false" customHeight="false" outlineLevel="0" collapsed="false">
      <c r="A1048" s="0" t="s">
        <v>259</v>
      </c>
      <c r="B1048" s="52" t="n">
        <v>44437</v>
      </c>
      <c r="C1048" s="0" t="n">
        <v>16917.394</v>
      </c>
      <c r="D1048" s="0" t="n">
        <v>3309.441</v>
      </c>
      <c r="E1048" s="0" t="n">
        <v>13607.953</v>
      </c>
      <c r="F1048" s="0" t="n">
        <v>9104.119</v>
      </c>
      <c r="G1048" s="0" t="n">
        <v>8572.083</v>
      </c>
      <c r="H1048" s="0" t="n">
        <v>532.036</v>
      </c>
      <c r="I1048" s="0" t="n">
        <v>1372.898</v>
      </c>
      <c r="J1048" s="0" t="n">
        <v>3130.936</v>
      </c>
      <c r="K1048" s="0" t="n">
        <v>15646.8447111111</v>
      </c>
      <c r="L1048" s="0" t="n">
        <v>14698</v>
      </c>
      <c r="M1048" s="0" t="n">
        <v>14581</v>
      </c>
      <c r="N1048" s="0" t="n">
        <v>20</v>
      </c>
      <c r="O1048" s="54" t="n">
        <f aca="false">YEAR(B1048)</f>
        <v>2021</v>
      </c>
      <c r="P1048" s="54" t="n">
        <f aca="false">IF(AND(E1048&gt;=14400,K1048&gt;0,L1048&gt;0),1,0)</f>
        <v>0</v>
      </c>
      <c r="Q1048" s="53" t="n">
        <f aca="false">IF(P1048=1,F1048/E1048*MIN(L1048/K1048,1)*MIN(MAX(M1048/L1048,0),1),0)</f>
        <v>0</v>
      </c>
      <c r="R1048" s="55" t="n">
        <f aca="false">IF(F1048&gt;0,N1048/(F1048/3600),0)</f>
        <v>7.9085082257822</v>
      </c>
    </row>
    <row r="1049" customFormat="false" ht="15" hidden="false" customHeight="false" outlineLevel="0" collapsed="false">
      <c r="A1049" s="0" t="s">
        <v>259</v>
      </c>
      <c r="B1049" s="52" t="n">
        <v>44438</v>
      </c>
      <c r="C1049" s="0" t="n">
        <v>39278.816</v>
      </c>
      <c r="D1049" s="0" t="n">
        <v>11883.64</v>
      </c>
      <c r="E1049" s="0" t="n">
        <v>27395.176</v>
      </c>
      <c r="F1049" s="0" t="n">
        <v>8222.092</v>
      </c>
      <c r="G1049" s="0" t="n">
        <v>6594.887</v>
      </c>
      <c r="H1049" s="0" t="n">
        <v>1627.205</v>
      </c>
      <c r="I1049" s="0" t="n">
        <v>3492.927</v>
      </c>
      <c r="J1049" s="0" t="n">
        <v>15680.157</v>
      </c>
      <c r="K1049" s="0" t="n">
        <v>13654.2394811111</v>
      </c>
      <c r="L1049" s="0" t="n">
        <v>10742</v>
      </c>
      <c r="M1049" s="0" t="n">
        <v>10647</v>
      </c>
      <c r="N1049" s="0" t="n">
        <v>30</v>
      </c>
      <c r="O1049" s="54" t="n">
        <f aca="false">YEAR(B1049)</f>
        <v>2021</v>
      </c>
      <c r="P1049" s="54" t="n">
        <f aca="false">IF(AND(E1049&gt;=14400,K1049&gt;0,L1049&gt;0),1,0)</f>
        <v>1</v>
      </c>
      <c r="Q1049" s="53" t="n">
        <f aca="false">IF(P1049=1,F1049/E1049*MIN(L1049/K1049,1)*MIN(MAX(M1049/L1049,0),1),0)</f>
        <v>0.234028083148835</v>
      </c>
      <c r="R1049" s="55" t="n">
        <f aca="false">IF(F1049&gt;0,N1049/(F1049/3600),0)</f>
        <v>13.1353431705702</v>
      </c>
    </row>
    <row r="1050" customFormat="false" ht="15" hidden="false" customHeight="false" outlineLevel="0" collapsed="false">
      <c r="A1050" s="0" t="s">
        <v>259</v>
      </c>
      <c r="B1050" s="52" t="n">
        <v>44439</v>
      </c>
      <c r="C1050" s="0" t="n">
        <v>42697.748</v>
      </c>
      <c r="D1050" s="0" t="n">
        <v>15795.548</v>
      </c>
      <c r="E1050" s="0" t="n">
        <v>26902.2</v>
      </c>
      <c r="F1050" s="0" t="n">
        <v>9940.592</v>
      </c>
      <c r="G1050" s="0" t="n">
        <v>8760.303</v>
      </c>
      <c r="H1050" s="0" t="n">
        <v>1180.289</v>
      </c>
      <c r="I1050" s="0" t="n">
        <v>5360.784</v>
      </c>
      <c r="J1050" s="0" t="n">
        <v>11600.824</v>
      </c>
      <c r="K1050" s="0" t="n">
        <v>16810.5860861111</v>
      </c>
      <c r="L1050" s="0" t="n">
        <v>14821</v>
      </c>
      <c r="M1050" s="0" t="n">
        <v>14765</v>
      </c>
      <c r="N1050" s="0" t="n">
        <v>20</v>
      </c>
      <c r="O1050" s="54" t="n">
        <f aca="false">YEAR(B1050)</f>
        <v>2021</v>
      </c>
      <c r="P1050" s="54" t="n">
        <f aca="false">IF(AND(E1050&gt;=14400,K1050&gt;0,L1050&gt;0),1,0)</f>
        <v>1</v>
      </c>
      <c r="Q1050" s="53" t="n">
        <f aca="false">IF(P1050=1,F1050/E1050*MIN(L1050/K1050,1)*MIN(MAX(M1050/L1050,0),1),0)</f>
        <v>0.324545093863337</v>
      </c>
      <c r="R1050" s="55" t="n">
        <f aca="false">IF(F1050&gt;0,N1050/(F1050/3600),0)</f>
        <v>7.24302938899414</v>
      </c>
    </row>
    <row r="1051" customFormat="false" ht="15" hidden="false" customHeight="false" outlineLevel="0" collapsed="false">
      <c r="A1051" s="0" t="s">
        <v>259</v>
      </c>
      <c r="B1051" s="52" t="n">
        <v>44440</v>
      </c>
      <c r="C1051" s="0" t="n">
        <v>53207.148</v>
      </c>
      <c r="D1051" s="0" t="n">
        <v>8697.964</v>
      </c>
      <c r="E1051" s="0" t="n">
        <v>44509.184</v>
      </c>
      <c r="F1051" s="0" t="n">
        <v>12269.86</v>
      </c>
      <c r="G1051" s="0" t="n">
        <v>9299.056</v>
      </c>
      <c r="H1051" s="0" t="n">
        <v>2970.804</v>
      </c>
      <c r="I1051" s="0" t="n">
        <v>2649.823</v>
      </c>
      <c r="J1051" s="0" t="n">
        <v>29589.501</v>
      </c>
      <c r="K1051" s="0" t="n">
        <v>20973.2006594444</v>
      </c>
      <c r="L1051" s="0" t="n">
        <v>15900</v>
      </c>
      <c r="M1051" s="0" t="n">
        <v>15878</v>
      </c>
      <c r="N1051" s="0" t="n">
        <v>31</v>
      </c>
      <c r="O1051" s="54" t="n">
        <f aca="false">YEAR(B1051)</f>
        <v>2021</v>
      </c>
      <c r="P1051" s="54" t="n">
        <f aca="false">IF(AND(E1051&gt;=14400,K1051&gt;0,L1051&gt;0),1,0)</f>
        <v>1</v>
      </c>
      <c r="Q1051" s="53" t="n">
        <f aca="false">IF(P1051=1,F1051/E1051*MIN(L1051/K1051,1)*MIN(MAX(M1051/L1051,0),1),0)</f>
        <v>0.208699332860407</v>
      </c>
      <c r="R1051" s="55" t="n">
        <f aca="false">IF(F1051&gt;0,N1051/(F1051/3600),0)</f>
        <v>9.09545830188772</v>
      </c>
    </row>
    <row r="1052" customFormat="false" ht="15" hidden="false" customHeight="false" outlineLevel="0" collapsed="false">
      <c r="A1052" s="0" t="s">
        <v>259</v>
      </c>
      <c r="B1052" s="52" t="n">
        <v>44441</v>
      </c>
      <c r="C1052" s="0" t="n">
        <v>49072.95</v>
      </c>
      <c r="D1052" s="0" t="n">
        <v>10858.788</v>
      </c>
      <c r="E1052" s="0" t="n">
        <v>38214.162</v>
      </c>
      <c r="F1052" s="0" t="n">
        <v>21565.738</v>
      </c>
      <c r="G1052" s="0" t="n">
        <v>17002.065</v>
      </c>
      <c r="H1052" s="0" t="n">
        <v>4563.673</v>
      </c>
      <c r="I1052" s="0" t="n">
        <v>5165.405</v>
      </c>
      <c r="J1052" s="0" t="n">
        <v>11483.019</v>
      </c>
      <c r="K1052" s="0" t="n">
        <v>37001.6685777778</v>
      </c>
      <c r="L1052" s="0" t="n">
        <v>29016</v>
      </c>
      <c r="M1052" s="0" t="n">
        <v>28805</v>
      </c>
      <c r="N1052" s="0" t="n">
        <v>40</v>
      </c>
      <c r="O1052" s="54" t="n">
        <f aca="false">YEAR(B1052)</f>
        <v>2021</v>
      </c>
      <c r="P1052" s="54" t="n">
        <f aca="false">IF(AND(E1052&gt;=14400,K1052&gt;0,L1052&gt;0),1,0)</f>
        <v>1</v>
      </c>
      <c r="Q1052" s="53" t="n">
        <f aca="false">IF(P1052=1,F1052/E1052*MIN(L1052/K1052,1)*MIN(MAX(M1052/L1052,0),1),0)</f>
        <v>0.439325644711038</v>
      </c>
      <c r="R1052" s="55" t="n">
        <f aca="false">IF(F1052&gt;0,N1052/(F1052/3600),0)</f>
        <v>6.67725815828793</v>
      </c>
    </row>
    <row r="1053" customFormat="false" ht="15" hidden="false" customHeight="false" outlineLevel="0" collapsed="false">
      <c r="A1053" s="0" t="s">
        <v>259</v>
      </c>
      <c r="B1053" s="52" t="n">
        <v>44442</v>
      </c>
      <c r="C1053" s="0" t="n">
        <v>62906.449</v>
      </c>
      <c r="D1053" s="0" t="n">
        <v>9002.936</v>
      </c>
      <c r="E1053" s="0" t="n">
        <v>53903.513</v>
      </c>
      <c r="F1053" s="0" t="n">
        <v>13608.742</v>
      </c>
      <c r="G1053" s="0" t="n">
        <v>11229.054</v>
      </c>
      <c r="H1053" s="0" t="n">
        <v>2379.688</v>
      </c>
      <c r="I1053" s="0" t="n">
        <v>4339.846</v>
      </c>
      <c r="J1053" s="0" t="n">
        <v>35954.925</v>
      </c>
      <c r="K1053" s="0" t="n">
        <v>23346.5529422222</v>
      </c>
      <c r="L1053" s="0" t="n">
        <v>19126</v>
      </c>
      <c r="M1053" s="0" t="n">
        <v>19099</v>
      </c>
      <c r="N1053" s="0" t="n">
        <v>32</v>
      </c>
      <c r="O1053" s="54" t="n">
        <f aca="false">YEAR(B1053)</f>
        <v>2021</v>
      </c>
      <c r="P1053" s="54" t="n">
        <f aca="false">IF(AND(E1053&gt;=14400,K1053&gt;0,L1053&gt;0),1,0)</f>
        <v>1</v>
      </c>
      <c r="Q1053" s="53" t="n">
        <f aca="false">IF(P1053=1,F1053/E1053*MIN(L1053/K1053,1)*MIN(MAX(M1053/L1053,0),1),0)</f>
        <v>0.206532676034765</v>
      </c>
      <c r="R1053" s="55" t="n">
        <f aca="false">IF(F1053&gt;0,N1053/(F1053/3600),0)</f>
        <v>8.46514688866906</v>
      </c>
    </row>
    <row r="1054" customFormat="false" ht="15" hidden="false" customHeight="false" outlineLevel="0" collapsed="false">
      <c r="A1054" s="0" t="s">
        <v>259</v>
      </c>
      <c r="B1054" s="52" t="n">
        <v>44443</v>
      </c>
      <c r="C1054" s="0" t="n">
        <v>37823.179</v>
      </c>
      <c r="D1054" s="0" t="n">
        <v>7264.828</v>
      </c>
      <c r="E1054" s="0" t="n">
        <v>30558.351</v>
      </c>
      <c r="F1054" s="0" t="n">
        <v>10973.296</v>
      </c>
      <c r="G1054" s="0" t="n">
        <v>9764.385</v>
      </c>
      <c r="H1054" s="0" t="n">
        <v>1208.911</v>
      </c>
      <c r="I1054" s="0" t="n">
        <v>2458.513</v>
      </c>
      <c r="J1054" s="0" t="n">
        <v>17126.542</v>
      </c>
      <c r="K1054" s="0" t="n">
        <v>18405.4766066667</v>
      </c>
      <c r="L1054" s="0" t="n">
        <v>16413</v>
      </c>
      <c r="M1054" s="0" t="n">
        <v>16391</v>
      </c>
      <c r="N1054" s="0" t="n">
        <v>15</v>
      </c>
      <c r="O1054" s="54" t="n">
        <f aca="false">YEAR(B1054)</f>
        <v>2021</v>
      </c>
      <c r="P1054" s="54" t="n">
        <f aca="false">IF(AND(E1054&gt;=14400,K1054&gt;0,L1054&gt;0),1,0)</f>
        <v>1</v>
      </c>
      <c r="Q1054" s="53" t="n">
        <f aca="false">IF(P1054=1,F1054/E1054*MIN(L1054/K1054,1)*MIN(MAX(M1054/L1054,0),1),0)</f>
        <v>0.319790502664302</v>
      </c>
      <c r="R1054" s="55" t="n">
        <f aca="false">IF(F1054&gt;0,N1054/(F1054/3600),0)</f>
        <v>4.92103739842614</v>
      </c>
    </row>
    <row r="1055" customFormat="false" ht="15" hidden="false" customHeight="false" outlineLevel="0" collapsed="false">
      <c r="A1055" s="0" t="s">
        <v>259</v>
      </c>
      <c r="B1055" s="52" t="n">
        <v>44444</v>
      </c>
      <c r="C1055" s="0" t="n">
        <v>16573.648</v>
      </c>
      <c r="D1055" s="0" t="n">
        <v>3502.32</v>
      </c>
      <c r="E1055" s="0" t="n">
        <v>13071.328</v>
      </c>
      <c r="F1055" s="0" t="n">
        <v>9475.471</v>
      </c>
      <c r="G1055" s="0" t="n">
        <v>8165.908</v>
      </c>
      <c r="H1055" s="0" t="n">
        <v>1309.563</v>
      </c>
      <c r="I1055" s="0" t="n">
        <v>1732.763</v>
      </c>
      <c r="J1055" s="0" t="n">
        <v>1863.094</v>
      </c>
      <c r="K1055" s="0" t="n">
        <v>16247.2478044444</v>
      </c>
      <c r="L1055" s="0" t="n">
        <v>13904</v>
      </c>
      <c r="M1055" s="0" t="n">
        <v>13820</v>
      </c>
      <c r="N1055" s="0" t="n">
        <v>20</v>
      </c>
      <c r="O1055" s="54" t="n">
        <f aca="false">YEAR(B1055)</f>
        <v>2021</v>
      </c>
      <c r="P1055" s="54" t="n">
        <f aca="false">IF(AND(E1055&gt;=14400,K1055&gt;0,L1055&gt;0),1,0)</f>
        <v>0</v>
      </c>
      <c r="Q1055" s="53" t="n">
        <f aca="false">IF(P1055=1,F1055/E1055*MIN(L1055/K1055,1)*MIN(MAX(M1055/L1055,0),1),0)</f>
        <v>0</v>
      </c>
      <c r="R1055" s="55" t="n">
        <f aca="false">IF(F1055&gt;0,N1055/(F1055/3600),0)</f>
        <v>7.59856686807442</v>
      </c>
    </row>
    <row r="1056" customFormat="false" ht="15" hidden="false" customHeight="false" outlineLevel="0" collapsed="false">
      <c r="A1056" s="0" t="s">
        <v>259</v>
      </c>
      <c r="B1056" s="52" t="n">
        <v>44445</v>
      </c>
      <c r="C1056" s="0" t="n">
        <v>33597.849</v>
      </c>
      <c r="D1056" s="0" t="n">
        <v>9218.279</v>
      </c>
      <c r="E1056" s="0" t="n">
        <v>24379.57</v>
      </c>
      <c r="F1056" s="0" t="n">
        <v>9552.705</v>
      </c>
      <c r="G1056" s="0" t="n">
        <v>6819.234</v>
      </c>
      <c r="H1056" s="0" t="n">
        <v>2733.471</v>
      </c>
      <c r="I1056" s="0" t="n">
        <v>3720.79</v>
      </c>
      <c r="J1056" s="0" t="n">
        <v>11106.075</v>
      </c>
      <c r="K1056" s="0" t="n">
        <v>16130.6959322222</v>
      </c>
      <c r="L1056" s="0" t="n">
        <v>11474</v>
      </c>
      <c r="M1056" s="0" t="n">
        <v>11366</v>
      </c>
      <c r="N1056" s="0" t="n">
        <v>38</v>
      </c>
      <c r="O1056" s="54" t="n">
        <f aca="false">YEAR(B1056)</f>
        <v>2021</v>
      </c>
      <c r="P1056" s="54" t="n">
        <f aca="false">IF(AND(E1056&gt;=14400,K1056&gt;0,L1056&gt;0),1,0)</f>
        <v>1</v>
      </c>
      <c r="Q1056" s="53" t="n">
        <f aca="false">IF(P1056=1,F1056/E1056*MIN(L1056/K1056,1)*MIN(MAX(M1056/L1056,0),1),0)</f>
        <v>0.27609266701252</v>
      </c>
      <c r="R1056" s="55" t="n">
        <f aca="false">IF(F1056&gt;0,N1056/(F1056/3600),0)</f>
        <v>14.3205510899792</v>
      </c>
    </row>
    <row r="1057" customFormat="false" ht="15" hidden="false" customHeight="false" outlineLevel="0" collapsed="false">
      <c r="A1057" s="0" t="s">
        <v>259</v>
      </c>
      <c r="B1057" s="52" t="n">
        <v>44446</v>
      </c>
      <c r="C1057" s="0" t="n">
        <v>55726.762</v>
      </c>
      <c r="D1057" s="0" t="n">
        <v>14885.493</v>
      </c>
      <c r="E1057" s="0" t="n">
        <v>40841.269</v>
      </c>
      <c r="F1057" s="0" t="n">
        <v>24480.651</v>
      </c>
      <c r="G1057" s="0" t="n">
        <v>22581.134</v>
      </c>
      <c r="H1057" s="0" t="n">
        <v>1899.517</v>
      </c>
      <c r="I1057" s="0" t="n">
        <v>6175.72</v>
      </c>
      <c r="J1057" s="0" t="n">
        <v>10184.898</v>
      </c>
      <c r="K1057" s="0" t="n">
        <v>42090.3236022222</v>
      </c>
      <c r="L1057" s="0" t="n">
        <v>38721</v>
      </c>
      <c r="M1057" s="0" t="n">
        <v>38643</v>
      </c>
      <c r="N1057" s="0" t="n">
        <v>35</v>
      </c>
      <c r="O1057" s="54" t="n">
        <f aca="false">YEAR(B1057)</f>
        <v>2021</v>
      </c>
      <c r="P1057" s="54" t="n">
        <f aca="false">IF(AND(E1057&gt;=14400,K1057&gt;0,L1057&gt;0),1,0)</f>
        <v>1</v>
      </c>
      <c r="Q1057" s="53" t="n">
        <f aca="false">IF(P1057=1,F1057/E1057*MIN(L1057/K1057,1)*MIN(MAX(M1057/L1057,0),1),0)</f>
        <v>0.550316209348258</v>
      </c>
      <c r="R1057" s="55" t="n">
        <f aca="false">IF(F1057&gt;0,N1057/(F1057/3600),0)</f>
        <v>5.14692195072754</v>
      </c>
    </row>
    <row r="1058" customFormat="false" ht="15" hidden="false" customHeight="false" outlineLevel="0" collapsed="false">
      <c r="A1058" s="0" t="s">
        <v>259</v>
      </c>
      <c r="B1058" s="52" t="n">
        <v>44447</v>
      </c>
      <c r="C1058" s="0" t="n">
        <v>43805.272</v>
      </c>
      <c r="D1058" s="0" t="n">
        <v>9177.381</v>
      </c>
      <c r="E1058" s="0" t="n">
        <v>34627.891</v>
      </c>
      <c r="F1058" s="0" t="n">
        <v>16857.713</v>
      </c>
      <c r="G1058" s="0" t="n">
        <v>14563.17</v>
      </c>
      <c r="H1058" s="0" t="n">
        <v>2294.543</v>
      </c>
      <c r="I1058" s="0" t="n">
        <v>7752.617</v>
      </c>
      <c r="J1058" s="0" t="n">
        <v>10017.561</v>
      </c>
      <c r="K1058" s="0" t="n">
        <v>29626.0344511111</v>
      </c>
      <c r="L1058" s="0" t="n">
        <v>25518</v>
      </c>
      <c r="M1058" s="0" t="n">
        <v>25452</v>
      </c>
      <c r="N1058" s="0" t="n">
        <v>48</v>
      </c>
      <c r="O1058" s="54" t="n">
        <f aca="false">YEAR(B1058)</f>
        <v>2021</v>
      </c>
      <c r="P1058" s="54" t="n">
        <f aca="false">IF(AND(E1058&gt;=14400,K1058&gt;0,L1058&gt;0),1,0)</f>
        <v>1</v>
      </c>
      <c r="Q1058" s="53" t="n">
        <f aca="false">IF(P1058=1,F1058/E1058*MIN(L1058/K1058,1)*MIN(MAX(M1058/L1058,0),1),0)</f>
        <v>0.418235607731673</v>
      </c>
      <c r="R1058" s="55" t="n">
        <f aca="false">IF(F1058&gt;0,N1058/(F1058/3600),0)</f>
        <v>10.2505007648428</v>
      </c>
    </row>
    <row r="1059" customFormat="false" ht="15" hidden="false" customHeight="false" outlineLevel="0" collapsed="false">
      <c r="A1059" s="0" t="s">
        <v>259</v>
      </c>
      <c r="B1059" s="52" t="n">
        <v>44448</v>
      </c>
      <c r="C1059" s="0" t="n">
        <v>44271.564</v>
      </c>
      <c r="D1059" s="0" t="n">
        <v>9388.156</v>
      </c>
      <c r="E1059" s="0" t="n">
        <v>34883.408</v>
      </c>
      <c r="F1059" s="0" t="n">
        <v>16416.689</v>
      </c>
      <c r="G1059" s="0" t="n">
        <v>12846.964</v>
      </c>
      <c r="H1059" s="0" t="n">
        <v>3569.725</v>
      </c>
      <c r="I1059" s="0" t="n">
        <v>3669.46</v>
      </c>
      <c r="J1059" s="0" t="n">
        <v>14797.259</v>
      </c>
      <c r="K1059" s="0" t="n">
        <v>28048.9439022222</v>
      </c>
      <c r="L1059" s="0" t="n">
        <v>21862</v>
      </c>
      <c r="M1059" s="0" t="n">
        <v>21685</v>
      </c>
      <c r="N1059" s="0" t="n">
        <v>44</v>
      </c>
      <c r="O1059" s="54" t="n">
        <f aca="false">YEAR(B1059)</f>
        <v>2021</v>
      </c>
      <c r="P1059" s="54" t="n">
        <f aca="false">IF(AND(E1059&gt;=14400,K1059&gt;0,L1059&gt;0),1,0)</f>
        <v>1</v>
      </c>
      <c r="Q1059" s="53" t="n">
        <f aca="false">IF(P1059=1,F1059/E1059*MIN(L1059/K1059,1)*MIN(MAX(M1059/L1059,0),1),0)</f>
        <v>0.363839273651423</v>
      </c>
      <c r="R1059" s="55" t="n">
        <f aca="false">IF(F1059&gt;0,N1059/(F1059/3600),0)</f>
        <v>9.64871783829248</v>
      </c>
    </row>
    <row r="1060" customFormat="false" ht="15" hidden="false" customHeight="false" outlineLevel="0" collapsed="false">
      <c r="A1060" s="0" t="s">
        <v>259</v>
      </c>
      <c r="B1060" s="52" t="n">
        <v>44449</v>
      </c>
      <c r="C1060" s="0" t="n">
        <v>41164.208</v>
      </c>
      <c r="D1060" s="0" t="n">
        <v>6539.413</v>
      </c>
      <c r="E1060" s="0" t="n">
        <v>34624.795</v>
      </c>
      <c r="F1060" s="0" t="n">
        <v>9781.331</v>
      </c>
      <c r="G1060" s="0" t="n">
        <v>8892.215</v>
      </c>
      <c r="H1060" s="0" t="n">
        <v>889.116</v>
      </c>
      <c r="I1060" s="0" t="n">
        <v>19324.926</v>
      </c>
      <c r="J1060" s="0" t="n">
        <v>5518.538</v>
      </c>
      <c r="K1060" s="0" t="n">
        <v>16064.80205</v>
      </c>
      <c r="L1060" s="0" t="n">
        <v>14472</v>
      </c>
      <c r="M1060" s="0" t="n">
        <v>14357</v>
      </c>
      <c r="N1060" s="0" t="n">
        <v>40</v>
      </c>
      <c r="O1060" s="54" t="n">
        <f aca="false">YEAR(B1060)</f>
        <v>2021</v>
      </c>
      <c r="P1060" s="54" t="n">
        <f aca="false">IF(AND(E1060&gt;=14400,K1060&gt;0,L1060&gt;0),1,0)</f>
        <v>1</v>
      </c>
      <c r="Q1060" s="53" t="n">
        <f aca="false">IF(P1060=1,F1060/E1060*MIN(L1060/K1060,1)*MIN(MAX(M1060/L1060,0),1),0)</f>
        <v>0.252463772051374</v>
      </c>
      <c r="R1060" s="55" t="n">
        <f aca="false">IF(F1060&gt;0,N1060/(F1060/3600),0)</f>
        <v>14.721922813981</v>
      </c>
    </row>
    <row r="1061" customFormat="false" ht="15" hidden="false" customHeight="false" outlineLevel="0" collapsed="false">
      <c r="A1061" s="0" t="s">
        <v>259</v>
      </c>
      <c r="B1061" s="52" t="n">
        <v>44450</v>
      </c>
      <c r="C1061" s="0" t="n">
        <v>37818.063</v>
      </c>
      <c r="D1061" s="0" t="n">
        <v>17999.238</v>
      </c>
      <c r="E1061" s="0" t="n">
        <v>19818.825</v>
      </c>
      <c r="F1061" s="0" t="n">
        <v>13279.121</v>
      </c>
      <c r="G1061" s="0" t="n">
        <v>11427.149</v>
      </c>
      <c r="H1061" s="0" t="n">
        <v>1851.972</v>
      </c>
      <c r="I1061" s="0" t="n">
        <v>1640.221</v>
      </c>
      <c r="J1061" s="0" t="n">
        <v>4899.483</v>
      </c>
      <c r="K1061" s="0" t="n">
        <v>22221.9269633333</v>
      </c>
      <c r="L1061" s="0" t="n">
        <v>19081</v>
      </c>
      <c r="M1061" s="0" t="n">
        <v>18943</v>
      </c>
      <c r="N1061" s="0" t="n">
        <v>12</v>
      </c>
      <c r="O1061" s="54" t="n">
        <f aca="false">YEAR(B1061)</f>
        <v>2021</v>
      </c>
      <c r="P1061" s="54" t="n">
        <f aca="false">IF(AND(E1061&gt;=14400,K1061&gt;0,L1061&gt;0),1,0)</f>
        <v>1</v>
      </c>
      <c r="Q1061" s="53" t="n">
        <f aca="false">IF(P1061=1,F1061/E1061*MIN(L1061/K1061,1)*MIN(MAX(M1061/L1061,0),1),0)</f>
        <v>0.571160899348509</v>
      </c>
      <c r="R1061" s="55" t="n">
        <f aca="false">IF(F1061&gt;0,N1061/(F1061/3600),0)</f>
        <v>3.25322737852905</v>
      </c>
    </row>
    <row r="1062" customFormat="false" ht="15" hidden="false" customHeight="false" outlineLevel="0" collapsed="false">
      <c r="A1062" s="0" t="s">
        <v>259</v>
      </c>
      <c r="B1062" s="52" t="n">
        <v>44451</v>
      </c>
      <c r="C1062" s="0" t="n">
        <v>41232.747</v>
      </c>
      <c r="D1062" s="0" t="n">
        <v>13741.742</v>
      </c>
      <c r="E1062" s="0" t="n">
        <v>27491.005</v>
      </c>
      <c r="F1062" s="0" t="n">
        <v>13288.894</v>
      </c>
      <c r="G1062" s="0" t="n">
        <v>11133.656</v>
      </c>
      <c r="H1062" s="0" t="n">
        <v>2155.238</v>
      </c>
      <c r="I1062" s="0" t="n">
        <v>6582.034</v>
      </c>
      <c r="J1062" s="0" t="n">
        <v>7620.077</v>
      </c>
      <c r="K1062" s="0" t="n">
        <v>22797.8359288889</v>
      </c>
      <c r="L1062" s="0" t="n">
        <v>19063</v>
      </c>
      <c r="M1062" s="0" t="n">
        <v>19017</v>
      </c>
      <c r="N1062" s="0" t="n">
        <v>33</v>
      </c>
      <c r="O1062" s="54" t="n">
        <f aca="false">YEAR(B1062)</f>
        <v>2021</v>
      </c>
      <c r="P1062" s="54" t="n">
        <f aca="false">IF(AND(E1062&gt;=14400,K1062&gt;0,L1062&gt;0),1,0)</f>
        <v>1</v>
      </c>
      <c r="Q1062" s="53" t="n">
        <f aca="false">IF(P1062=1,F1062/E1062*MIN(L1062/K1062,1)*MIN(MAX(M1062/L1062,0),1),0)</f>
        <v>0.403224213160036</v>
      </c>
      <c r="R1062" s="55" t="n">
        <f aca="false">IF(F1062&gt;0,N1062/(F1062/3600),0)</f>
        <v>8.93979589272064</v>
      </c>
    </row>
    <row r="1063" customFormat="false" ht="15" hidden="false" customHeight="false" outlineLevel="0" collapsed="false">
      <c r="A1063" s="0" t="s">
        <v>259</v>
      </c>
      <c r="B1063" s="52" t="n">
        <v>44452</v>
      </c>
      <c r="C1063" s="0" t="n">
        <v>51607.289</v>
      </c>
      <c r="D1063" s="0" t="n">
        <v>12015.147</v>
      </c>
      <c r="E1063" s="0" t="n">
        <v>39592.142</v>
      </c>
      <c r="F1063" s="0" t="n">
        <v>7672.373</v>
      </c>
      <c r="G1063" s="0" t="n">
        <v>7215.73</v>
      </c>
      <c r="H1063" s="0" t="n">
        <v>456.643</v>
      </c>
      <c r="I1063" s="0" t="n">
        <v>2843.734</v>
      </c>
      <c r="J1063" s="0" t="n">
        <v>29076.035</v>
      </c>
      <c r="K1063" s="0" t="n">
        <v>13162.3821244444</v>
      </c>
      <c r="L1063" s="0" t="n">
        <v>12338</v>
      </c>
      <c r="M1063" s="0" t="n">
        <v>12306</v>
      </c>
      <c r="N1063" s="0" t="n">
        <v>12</v>
      </c>
      <c r="O1063" s="54" t="n">
        <f aca="false">YEAR(B1063)</f>
        <v>2021</v>
      </c>
      <c r="P1063" s="54" t="n">
        <f aca="false">IF(AND(E1063&gt;=14400,K1063&gt;0,L1063&gt;0),1,0)</f>
        <v>1</v>
      </c>
      <c r="Q1063" s="53" t="n">
        <f aca="false">IF(P1063=1,F1063/E1063*MIN(L1063/K1063,1)*MIN(MAX(M1063/L1063,0),1),0)</f>
        <v>0.181177025696094</v>
      </c>
      <c r="R1063" s="55" t="n">
        <f aca="false">IF(F1063&gt;0,N1063/(F1063/3600),0)</f>
        <v>5.63059173478662</v>
      </c>
    </row>
    <row r="1064" customFormat="false" ht="15" hidden="false" customHeight="false" outlineLevel="0" collapsed="false">
      <c r="A1064" s="0" t="s">
        <v>259</v>
      </c>
      <c r="B1064" s="52" t="n">
        <v>44453</v>
      </c>
      <c r="C1064" s="0" t="n">
        <v>71715.604</v>
      </c>
      <c r="D1064" s="0" t="n">
        <v>9087.961</v>
      </c>
      <c r="E1064" s="0" t="n">
        <v>62627.643</v>
      </c>
      <c r="F1064" s="0" t="n">
        <v>14507.96</v>
      </c>
      <c r="G1064" s="0" t="n">
        <v>12721.577</v>
      </c>
      <c r="H1064" s="0" t="n">
        <v>1786.383</v>
      </c>
      <c r="I1064" s="0" t="n">
        <v>7580.413</v>
      </c>
      <c r="J1064" s="0" t="n">
        <v>40539.27</v>
      </c>
      <c r="K1064" s="0" t="n">
        <v>24105.8251777778</v>
      </c>
      <c r="L1064" s="0" t="n">
        <v>21053</v>
      </c>
      <c r="M1064" s="0" t="n">
        <v>21021</v>
      </c>
      <c r="N1064" s="0" t="n">
        <v>21</v>
      </c>
      <c r="O1064" s="54" t="n">
        <f aca="false">YEAR(B1064)</f>
        <v>2021</v>
      </c>
      <c r="P1064" s="54" t="n">
        <f aca="false">IF(AND(E1064&gt;=14400,K1064&gt;0,L1064&gt;0),1,0)</f>
        <v>1</v>
      </c>
      <c r="Q1064" s="53" t="n">
        <f aca="false">IF(P1064=1,F1064/E1064*MIN(L1064/K1064,1)*MIN(MAX(M1064/L1064,0),1),0)</f>
        <v>0.202009434011403</v>
      </c>
      <c r="R1064" s="55" t="n">
        <f aca="false">IF(F1064&gt;0,N1064/(F1064/3600),0)</f>
        <v>5.21093248120342</v>
      </c>
    </row>
    <row r="1065" customFormat="false" ht="15" hidden="false" customHeight="false" outlineLevel="0" collapsed="false">
      <c r="A1065" s="0" t="s">
        <v>259</v>
      </c>
      <c r="B1065" s="52" t="n">
        <v>44456</v>
      </c>
      <c r="C1065" s="0" t="n">
        <v>25794.671</v>
      </c>
      <c r="D1065" s="0" t="n">
        <v>8458.988</v>
      </c>
      <c r="E1065" s="0" t="n">
        <v>17335.683</v>
      </c>
      <c r="F1065" s="0" t="n">
        <v>2216.962</v>
      </c>
      <c r="G1065" s="0" t="n">
        <v>2208.802</v>
      </c>
      <c r="H1065" s="0" t="n">
        <v>8.16</v>
      </c>
      <c r="I1065" s="0" t="n">
        <v>87.117</v>
      </c>
      <c r="J1065" s="0" t="n">
        <v>15031.604</v>
      </c>
      <c r="K1065" s="0" t="n">
        <v>3775.82093333333</v>
      </c>
      <c r="L1065" s="0" t="n">
        <v>3622</v>
      </c>
      <c r="M1065" s="0" t="n">
        <v>3626</v>
      </c>
      <c r="N1065" s="0" t="n">
        <v>4</v>
      </c>
      <c r="O1065" s="54" t="n">
        <f aca="false">YEAR(B1065)</f>
        <v>2021</v>
      </c>
      <c r="P1065" s="54" t="n">
        <f aca="false">IF(AND(E1065&gt;=14400,K1065&gt;0,L1065&gt;0),1,0)</f>
        <v>1</v>
      </c>
      <c r="Q1065" s="53" t="n">
        <f aca="false">IF(P1065=1,F1065/E1065*MIN(L1065/K1065,1)*MIN(MAX(M1065/L1065,0),1),0)</f>
        <v>0.122674514626785</v>
      </c>
      <c r="R1065" s="55" t="n">
        <f aca="false">IF(F1065&gt;0,N1065/(F1065/3600),0)</f>
        <v>6.49537520264217</v>
      </c>
    </row>
    <row r="1066" customFormat="false" ht="15" hidden="false" customHeight="false" outlineLevel="0" collapsed="false">
      <c r="A1066" s="0" t="s">
        <v>259</v>
      </c>
      <c r="B1066" s="52" t="n">
        <v>44457</v>
      </c>
      <c r="C1066" s="0" t="n">
        <v>31381.55</v>
      </c>
      <c r="D1066" s="0" t="n">
        <v>9417.044</v>
      </c>
      <c r="E1066" s="0" t="n">
        <v>21964.506</v>
      </c>
      <c r="F1066" s="0" t="n">
        <v>11857.083</v>
      </c>
      <c r="G1066" s="0" t="n">
        <v>8258.045</v>
      </c>
      <c r="H1066" s="0" t="n">
        <v>3599.038</v>
      </c>
      <c r="I1066" s="0" t="n">
        <v>3439.37</v>
      </c>
      <c r="J1066" s="0" t="n">
        <v>6668.053</v>
      </c>
      <c r="K1066" s="0" t="n">
        <v>19695.9323166667</v>
      </c>
      <c r="L1066" s="0" t="n">
        <v>13705</v>
      </c>
      <c r="M1066" s="0" t="n">
        <v>13613</v>
      </c>
      <c r="N1066" s="0" t="n">
        <v>10</v>
      </c>
      <c r="O1066" s="54" t="n">
        <f aca="false">YEAR(B1066)</f>
        <v>2021</v>
      </c>
      <c r="P1066" s="54" t="n">
        <f aca="false">IF(AND(E1066&gt;=14400,K1066&gt;0,L1066&gt;0),1,0)</f>
        <v>1</v>
      </c>
      <c r="Q1066" s="53" t="n">
        <f aca="false">IF(P1066=1,F1066/E1066*MIN(L1066/K1066,1)*MIN(MAX(M1066/L1066,0),1),0)</f>
        <v>0.373107278481755</v>
      </c>
      <c r="R1066" s="55" t="n">
        <f aca="false">IF(F1066&gt;0,N1066/(F1066/3600),0)</f>
        <v>3.03615990543374</v>
      </c>
    </row>
    <row r="1067" customFormat="false" ht="15" hidden="false" customHeight="false" outlineLevel="0" collapsed="false">
      <c r="A1067" s="0" t="s">
        <v>259</v>
      </c>
      <c r="B1067" s="52" t="n">
        <v>44458</v>
      </c>
      <c r="C1067" s="0" t="n">
        <v>41541.171</v>
      </c>
      <c r="D1067" s="0" t="n">
        <v>10547.94</v>
      </c>
      <c r="E1067" s="0" t="n">
        <v>30993.231</v>
      </c>
      <c r="F1067" s="0" t="n">
        <v>11659.767</v>
      </c>
      <c r="G1067" s="0" t="n">
        <v>10497.793</v>
      </c>
      <c r="H1067" s="0" t="n">
        <v>1161.974</v>
      </c>
      <c r="I1067" s="0" t="n">
        <v>3190.029</v>
      </c>
      <c r="J1067" s="0" t="n">
        <v>16143.435</v>
      </c>
      <c r="K1067" s="0" t="n">
        <v>20174.2312055556</v>
      </c>
      <c r="L1067" s="0" t="n">
        <v>18239</v>
      </c>
      <c r="M1067" s="0" t="n">
        <v>18201</v>
      </c>
      <c r="N1067" s="0" t="n">
        <v>23</v>
      </c>
      <c r="O1067" s="54" t="n">
        <f aca="false">YEAR(B1067)</f>
        <v>2021</v>
      </c>
      <c r="P1067" s="54" t="n">
        <f aca="false">IF(AND(E1067&gt;=14400,K1067&gt;0,L1067&gt;0),1,0)</f>
        <v>1</v>
      </c>
      <c r="Q1067" s="53" t="n">
        <f aca="false">IF(P1067=1,F1067/E1067*MIN(L1067/K1067,1)*MIN(MAX(M1067/L1067,0),1),0)</f>
        <v>0.339407374815936</v>
      </c>
      <c r="R1067" s="55" t="n">
        <f aca="false">IF(F1067&gt;0,N1067/(F1067/3600),0)</f>
        <v>7.10134259115126</v>
      </c>
    </row>
    <row r="1068" customFormat="false" ht="15" hidden="false" customHeight="false" outlineLevel="0" collapsed="false">
      <c r="A1068" s="0" t="s">
        <v>259</v>
      </c>
      <c r="B1068" s="52" t="n">
        <v>44459</v>
      </c>
      <c r="C1068" s="0" t="n">
        <v>85861.121</v>
      </c>
      <c r="D1068" s="0" t="n">
        <v>9549.004</v>
      </c>
      <c r="E1068" s="0" t="n">
        <v>76312.117</v>
      </c>
      <c r="F1068" s="0" t="n">
        <v>25149.95</v>
      </c>
      <c r="G1068" s="0" t="n">
        <v>19371.408</v>
      </c>
      <c r="H1068" s="0" t="n">
        <v>5778.542</v>
      </c>
      <c r="I1068" s="0" t="n">
        <v>8897.139</v>
      </c>
      <c r="J1068" s="0" t="n">
        <v>42265.028</v>
      </c>
      <c r="K1068" s="0" t="n">
        <v>43009.9814083333</v>
      </c>
      <c r="L1068" s="0" t="n">
        <v>32766</v>
      </c>
      <c r="M1068" s="0" t="n">
        <v>32185</v>
      </c>
      <c r="N1068" s="0" t="n">
        <v>70</v>
      </c>
      <c r="O1068" s="54" t="n">
        <f aca="false">YEAR(B1068)</f>
        <v>2021</v>
      </c>
      <c r="P1068" s="54" t="n">
        <f aca="false">IF(AND(E1068&gt;=14400,K1068&gt;0,L1068&gt;0),1,0)</f>
        <v>1</v>
      </c>
      <c r="Q1068" s="53" t="n">
        <f aca="false">IF(P1068=1,F1068/E1068*MIN(L1068/K1068,1)*MIN(MAX(M1068/L1068,0),1),0)</f>
        <v>0.246619766935205</v>
      </c>
      <c r="R1068" s="55" t="n">
        <f aca="false">IF(F1068&gt;0,N1068/(F1068/3600),0)</f>
        <v>10.0199006359854</v>
      </c>
    </row>
    <row r="1069" customFormat="false" ht="15" hidden="false" customHeight="false" outlineLevel="0" collapsed="false">
      <c r="A1069" s="0" t="s">
        <v>259</v>
      </c>
      <c r="B1069" s="52" t="n">
        <v>44460</v>
      </c>
      <c r="C1069" s="0" t="n">
        <v>86613.437</v>
      </c>
      <c r="D1069" s="0" t="n">
        <v>10426.273</v>
      </c>
      <c r="E1069" s="0" t="n">
        <v>76187.164</v>
      </c>
      <c r="F1069" s="0" t="n">
        <v>27189.076</v>
      </c>
      <c r="G1069" s="0" t="n">
        <v>21049.144</v>
      </c>
      <c r="H1069" s="0" t="n">
        <v>6139.932</v>
      </c>
      <c r="I1069" s="0" t="n">
        <v>7304.961</v>
      </c>
      <c r="J1069" s="0" t="n">
        <v>41693.127</v>
      </c>
      <c r="K1069" s="0" t="n">
        <v>45616.2535988889</v>
      </c>
      <c r="L1069" s="0" t="n">
        <v>35055</v>
      </c>
      <c r="M1069" s="0" t="n">
        <v>34650</v>
      </c>
      <c r="N1069" s="0" t="n">
        <v>81</v>
      </c>
      <c r="O1069" s="54" t="n">
        <f aca="false">YEAR(B1069)</f>
        <v>2021</v>
      </c>
      <c r="P1069" s="54" t="n">
        <f aca="false">IF(AND(E1069&gt;=14400,K1069&gt;0,L1069&gt;0),1,0)</f>
        <v>1</v>
      </c>
      <c r="Q1069" s="53" t="n">
        <f aca="false">IF(P1069=1,F1069/E1069*MIN(L1069/K1069,1)*MIN(MAX(M1069/L1069,0),1),0)</f>
        <v>0.271079243875507</v>
      </c>
      <c r="R1069" s="55" t="n">
        <f aca="false">IF(F1069&gt;0,N1069/(F1069/3600),0)</f>
        <v>10.7248955426069</v>
      </c>
    </row>
    <row r="1070" customFormat="false" ht="15" hidden="false" customHeight="false" outlineLevel="0" collapsed="false">
      <c r="A1070" s="0" t="s">
        <v>259</v>
      </c>
      <c r="B1070" s="52" t="n">
        <v>44461</v>
      </c>
      <c r="C1070" s="0" t="n">
        <v>95984.227</v>
      </c>
      <c r="D1070" s="0" t="n">
        <v>9041.615</v>
      </c>
      <c r="E1070" s="0" t="n">
        <v>86942.612</v>
      </c>
      <c r="F1070" s="0" t="n">
        <v>17715.539</v>
      </c>
      <c r="G1070" s="0" t="n">
        <v>15356.362</v>
      </c>
      <c r="H1070" s="0" t="n">
        <v>2359.177</v>
      </c>
      <c r="I1070" s="0" t="n">
        <v>6587.105</v>
      </c>
      <c r="J1070" s="0" t="n">
        <v>62639.968</v>
      </c>
      <c r="K1070" s="0" t="n">
        <v>30358.5703411111</v>
      </c>
      <c r="L1070" s="0" t="n">
        <v>26564</v>
      </c>
      <c r="M1070" s="0" t="n">
        <v>26302</v>
      </c>
      <c r="N1070" s="0" t="n">
        <v>70</v>
      </c>
      <c r="O1070" s="54" t="n">
        <f aca="false">YEAR(B1070)</f>
        <v>2021</v>
      </c>
      <c r="P1070" s="54" t="n">
        <f aca="false">IF(AND(E1070&gt;=14400,K1070&gt;0,L1070&gt;0),1,0)</f>
        <v>1</v>
      </c>
      <c r="Q1070" s="53" t="n">
        <f aca="false">IF(P1070=1,F1070/E1070*MIN(L1070/K1070,1)*MIN(MAX(M1070/L1070,0),1),0)</f>
        <v>0.176534318210554</v>
      </c>
      <c r="R1070" s="55" t="n">
        <f aca="false">IF(F1070&gt;0,N1070/(F1070/3600),0)</f>
        <v>14.2248000470096</v>
      </c>
    </row>
    <row r="1071" customFormat="false" ht="15" hidden="false" customHeight="false" outlineLevel="0" collapsed="false">
      <c r="A1071" s="0" t="s">
        <v>259</v>
      </c>
      <c r="B1071" s="52" t="n">
        <v>44462</v>
      </c>
      <c r="C1071" s="0" t="n">
        <v>77402.826</v>
      </c>
      <c r="D1071" s="0" t="n">
        <v>13392.05</v>
      </c>
      <c r="E1071" s="0" t="n">
        <v>64010.776</v>
      </c>
      <c r="F1071" s="0" t="n">
        <v>18153.669</v>
      </c>
      <c r="G1071" s="0" t="n">
        <v>15515.867</v>
      </c>
      <c r="H1071" s="0" t="n">
        <v>2637.802</v>
      </c>
      <c r="I1071" s="0" t="n">
        <v>5482.209</v>
      </c>
      <c r="J1071" s="0" t="n">
        <v>40374.898</v>
      </c>
      <c r="K1071" s="0" t="n">
        <v>30653.0582944444</v>
      </c>
      <c r="L1071" s="0" t="n">
        <v>25880</v>
      </c>
      <c r="M1071" s="0" t="n">
        <v>25755</v>
      </c>
      <c r="N1071" s="0" t="n">
        <v>57</v>
      </c>
      <c r="O1071" s="54" t="n">
        <f aca="false">YEAR(B1071)</f>
        <v>2021</v>
      </c>
      <c r="P1071" s="54" t="n">
        <f aca="false">IF(AND(E1071&gt;=14400,K1071&gt;0,L1071&gt;0),1,0)</f>
        <v>1</v>
      </c>
      <c r="Q1071" s="53" t="n">
        <f aca="false">IF(P1071=1,F1071/E1071*MIN(L1071/K1071,1)*MIN(MAX(M1071/L1071,0),1),0)</f>
        <v>0.238286294361041</v>
      </c>
      <c r="R1071" s="55" t="n">
        <f aca="false">IF(F1071&gt;0,N1071/(F1071/3600),0)</f>
        <v>11.3035001354272</v>
      </c>
    </row>
    <row r="1072" customFormat="false" ht="15" hidden="false" customHeight="false" outlineLevel="0" collapsed="false">
      <c r="A1072" s="0" t="s">
        <v>259</v>
      </c>
      <c r="B1072" s="52" t="n">
        <v>44463</v>
      </c>
      <c r="C1072" s="0" t="n">
        <v>88350.319</v>
      </c>
      <c r="D1072" s="0" t="n">
        <v>4589.561</v>
      </c>
      <c r="E1072" s="0" t="n">
        <v>83760.758</v>
      </c>
      <c r="F1072" s="0" t="n">
        <v>8669.317</v>
      </c>
      <c r="G1072" s="0" t="n">
        <v>7624.599</v>
      </c>
      <c r="H1072" s="0" t="n">
        <v>1044.718</v>
      </c>
      <c r="I1072" s="0" t="n">
        <v>1508.528</v>
      </c>
      <c r="J1072" s="0" t="n">
        <v>73582.913</v>
      </c>
      <c r="K1072" s="0" t="n">
        <v>14409.2127833333</v>
      </c>
      <c r="L1072" s="0" t="n">
        <v>12660</v>
      </c>
      <c r="M1072" s="0" t="n">
        <v>12590</v>
      </c>
      <c r="N1072" s="0" t="n">
        <v>10</v>
      </c>
      <c r="O1072" s="54" t="n">
        <f aca="false">YEAR(B1072)</f>
        <v>2021</v>
      </c>
      <c r="P1072" s="54" t="n">
        <f aca="false">IF(AND(E1072&gt;=14400,K1072&gt;0,L1072&gt;0),1,0)</f>
        <v>1</v>
      </c>
      <c r="Q1072" s="53" t="n">
        <f aca="false">IF(P1072=1,F1072/E1072*MIN(L1072/K1072,1)*MIN(MAX(M1072/L1072,0),1),0)</f>
        <v>0.0904335875886441</v>
      </c>
      <c r="R1072" s="55" t="n">
        <f aca="false">IF(F1072&gt;0,N1072/(F1072/3600),0)</f>
        <v>4.1525762640817</v>
      </c>
    </row>
    <row r="1073" customFormat="false" ht="15" hidden="false" customHeight="false" outlineLevel="0" collapsed="false">
      <c r="A1073" s="0" t="s">
        <v>259</v>
      </c>
      <c r="B1073" s="52" t="n">
        <v>44464</v>
      </c>
      <c r="C1073" s="0" t="n">
        <v>26075.561</v>
      </c>
      <c r="D1073" s="0" t="n">
        <v>5841.414</v>
      </c>
      <c r="E1073" s="0" t="n">
        <v>20234.147</v>
      </c>
      <c r="F1073" s="0" t="n">
        <v>11412.275</v>
      </c>
      <c r="G1073" s="0" t="n">
        <v>8195.836</v>
      </c>
      <c r="H1073" s="0" t="n">
        <v>3216.439</v>
      </c>
      <c r="I1073" s="0" t="n">
        <v>2317.937</v>
      </c>
      <c r="J1073" s="0" t="n">
        <v>6503.935</v>
      </c>
      <c r="K1073" s="0" t="n">
        <v>20108.2981877778</v>
      </c>
      <c r="L1073" s="0" t="n">
        <v>14270</v>
      </c>
      <c r="M1073" s="0" t="n">
        <v>14153</v>
      </c>
      <c r="N1073" s="0" t="n">
        <v>49</v>
      </c>
      <c r="O1073" s="54" t="n">
        <f aca="false">YEAR(B1073)</f>
        <v>2021</v>
      </c>
      <c r="P1073" s="54" t="n">
        <f aca="false">IF(AND(E1073&gt;=14400,K1073&gt;0,L1073&gt;0),1,0)</f>
        <v>1</v>
      </c>
      <c r="Q1073" s="53" t="n">
        <f aca="false">IF(P1073=1,F1073/E1073*MIN(L1073/K1073,1)*MIN(MAX(M1073/L1073,0),1),0)</f>
        <v>0.396972586810633</v>
      </c>
      <c r="R1073" s="55" t="n">
        <f aca="false">IF(F1073&gt;0,N1073/(F1073/3600),0)</f>
        <v>15.4570407740788</v>
      </c>
    </row>
    <row r="1074" customFormat="false" ht="15" hidden="false" customHeight="false" outlineLevel="0" collapsed="false">
      <c r="A1074" s="0" t="s">
        <v>259</v>
      </c>
      <c r="B1074" s="52" t="n">
        <v>44465</v>
      </c>
      <c r="C1074" s="0" t="n">
        <v>32615.17</v>
      </c>
      <c r="D1074" s="0" t="n">
        <v>1011.45</v>
      </c>
      <c r="E1074" s="0" t="n">
        <v>31603.72</v>
      </c>
      <c r="F1074" s="0" t="n">
        <v>5860.987</v>
      </c>
      <c r="G1074" s="0" t="n">
        <v>5748.752</v>
      </c>
      <c r="H1074" s="0" t="n">
        <v>112.235</v>
      </c>
      <c r="I1074" s="0" t="n">
        <v>1499.354</v>
      </c>
      <c r="J1074" s="0" t="n">
        <v>24243.379</v>
      </c>
      <c r="K1074" s="0" t="n">
        <v>9932.26928055555</v>
      </c>
      <c r="L1074" s="0" t="n">
        <v>9798</v>
      </c>
      <c r="M1074" s="0" t="n">
        <v>9782</v>
      </c>
      <c r="N1074" s="0" t="n">
        <v>17</v>
      </c>
      <c r="O1074" s="54" t="n">
        <f aca="false">YEAR(B1074)</f>
        <v>2021</v>
      </c>
      <c r="P1074" s="54" t="n">
        <f aca="false">IF(AND(E1074&gt;=14400,K1074&gt;0,L1074&gt;0),1,0)</f>
        <v>1</v>
      </c>
      <c r="Q1074" s="53" t="n">
        <f aca="false">IF(P1074=1,F1074/E1074*MIN(L1074/K1074,1)*MIN(MAX(M1074/L1074,0),1),0)</f>
        <v>0.182646656150519</v>
      </c>
      <c r="R1074" s="55" t="n">
        <f aca="false">IF(F1074&gt;0,N1074/(F1074/3600),0)</f>
        <v>10.441927272659</v>
      </c>
    </row>
    <row r="1075" customFormat="false" ht="15" hidden="false" customHeight="false" outlineLevel="0" collapsed="false">
      <c r="A1075" s="0" t="s">
        <v>259</v>
      </c>
      <c r="B1075" s="52" t="n">
        <v>44466</v>
      </c>
      <c r="C1075" s="0" t="n">
        <v>60645.925</v>
      </c>
      <c r="D1075" s="0" t="n">
        <v>10996.371</v>
      </c>
      <c r="E1075" s="0" t="n">
        <v>49649.554</v>
      </c>
      <c r="F1075" s="0" t="n">
        <v>21140.788</v>
      </c>
      <c r="G1075" s="0" t="n">
        <v>16252.23</v>
      </c>
      <c r="H1075" s="0" t="n">
        <v>4888.558</v>
      </c>
      <c r="I1075" s="0" t="n">
        <v>3885.954</v>
      </c>
      <c r="J1075" s="0" t="n">
        <v>24622.812</v>
      </c>
      <c r="K1075" s="0" t="n">
        <v>37271.5796555556</v>
      </c>
      <c r="L1075" s="0" t="n">
        <v>28358</v>
      </c>
      <c r="M1075" s="0" t="n">
        <v>28159</v>
      </c>
      <c r="N1075" s="0" t="n">
        <v>27</v>
      </c>
      <c r="O1075" s="54" t="n">
        <f aca="false">YEAR(B1075)</f>
        <v>2021</v>
      </c>
      <c r="P1075" s="54" t="n">
        <f aca="false">IF(AND(E1075&gt;=14400,K1075&gt;0,L1075&gt;0),1,0)</f>
        <v>1</v>
      </c>
      <c r="Q1075" s="53" t="n">
        <f aca="false">IF(P1075=1,F1075/E1075*MIN(L1075/K1075,1)*MIN(MAX(M1075/L1075,0),1),0)</f>
        <v>0.321695694016422</v>
      </c>
      <c r="R1075" s="55" t="n">
        <f aca="false">IF(F1075&gt;0,N1075/(F1075/3600),0)</f>
        <v>4.59774725521111</v>
      </c>
    </row>
    <row r="1076" customFormat="false" ht="15" hidden="false" customHeight="false" outlineLevel="0" collapsed="false">
      <c r="A1076" s="0" t="s">
        <v>259</v>
      </c>
      <c r="B1076" s="52" t="n">
        <v>44467</v>
      </c>
      <c r="C1076" s="0" t="n">
        <v>49367.381</v>
      </c>
      <c r="D1076" s="0" t="n">
        <v>9051.077</v>
      </c>
      <c r="E1076" s="0" t="n">
        <v>40316.304</v>
      </c>
      <c r="F1076" s="0" t="n">
        <v>19315.299</v>
      </c>
      <c r="G1076" s="0" t="n">
        <v>15731.199</v>
      </c>
      <c r="H1076" s="0" t="n">
        <v>3584.1</v>
      </c>
      <c r="I1076" s="0" t="n">
        <v>5106.486</v>
      </c>
      <c r="J1076" s="0" t="n">
        <v>15894.519</v>
      </c>
      <c r="K1076" s="0" t="n">
        <v>33764.3806</v>
      </c>
      <c r="L1076" s="0" t="n">
        <v>27129</v>
      </c>
      <c r="M1076" s="0" t="n">
        <v>27051</v>
      </c>
      <c r="N1076" s="0" t="n">
        <v>79</v>
      </c>
      <c r="O1076" s="54" t="n">
        <f aca="false">YEAR(B1076)</f>
        <v>2021</v>
      </c>
      <c r="P1076" s="54" t="n">
        <f aca="false">IF(AND(E1076&gt;=14400,K1076&gt;0,L1076&gt;0),1,0)</f>
        <v>1</v>
      </c>
      <c r="Q1076" s="53" t="n">
        <f aca="false">IF(P1076=1,F1076/E1076*MIN(L1076/K1076,1)*MIN(MAX(M1076/L1076,0),1),0)</f>
        <v>0.38383560811171</v>
      </c>
      <c r="R1076" s="55" t="n">
        <f aca="false">IF(F1076&gt;0,N1076/(F1076/3600),0)</f>
        <v>14.7240796013564</v>
      </c>
    </row>
    <row r="1077" customFormat="false" ht="15" hidden="false" customHeight="false" outlineLevel="0" collapsed="false">
      <c r="A1077" s="0" t="s">
        <v>259</v>
      </c>
      <c r="B1077" s="52" t="n">
        <v>44468</v>
      </c>
      <c r="C1077" s="0" t="n">
        <v>61448.657</v>
      </c>
      <c r="D1077" s="0" t="n">
        <v>10629.872</v>
      </c>
      <c r="E1077" s="0" t="n">
        <v>50818.785</v>
      </c>
      <c r="F1077" s="0" t="n">
        <v>6753.992</v>
      </c>
      <c r="G1077" s="0" t="n">
        <v>5914.855</v>
      </c>
      <c r="H1077" s="0" t="n">
        <v>839.137</v>
      </c>
      <c r="I1077" s="0" t="n">
        <v>7357.823</v>
      </c>
      <c r="J1077" s="0" t="n">
        <v>36706.97</v>
      </c>
      <c r="K1077" s="0" t="n">
        <v>11578.0438222222</v>
      </c>
      <c r="L1077" s="0" t="n">
        <v>10061</v>
      </c>
      <c r="M1077" s="0" t="n">
        <v>9965</v>
      </c>
      <c r="N1077" s="0" t="n">
        <v>24</v>
      </c>
      <c r="O1077" s="54" t="n">
        <f aca="false">YEAR(B1077)</f>
        <v>2021</v>
      </c>
      <c r="P1077" s="54" t="n">
        <f aca="false">IF(AND(E1077&gt;=14400,K1077&gt;0,L1077&gt;0),1,0)</f>
        <v>1</v>
      </c>
      <c r="Q1077" s="53" t="n">
        <f aca="false">IF(P1077=1,F1077/E1077*MIN(L1077/K1077,1)*MIN(MAX(M1077/L1077,0),1),0)</f>
        <v>0.114387449964981</v>
      </c>
      <c r="R1077" s="55" t="n">
        <f aca="false">IF(F1077&gt;0,N1077/(F1077/3600),0)</f>
        <v>12.7924344595019</v>
      </c>
    </row>
    <row r="1078" customFormat="false" ht="15" hidden="false" customHeight="false" outlineLevel="0" collapsed="false">
      <c r="A1078" s="0" t="s">
        <v>259</v>
      </c>
      <c r="B1078" s="52" t="n">
        <v>44469</v>
      </c>
      <c r="C1078" s="0" t="n">
        <v>39851.228</v>
      </c>
      <c r="D1078" s="0" t="n">
        <v>8995.917</v>
      </c>
      <c r="E1078" s="0" t="n">
        <v>30855.311</v>
      </c>
      <c r="F1078" s="0" t="n">
        <v>20091.866</v>
      </c>
      <c r="G1078" s="0" t="n">
        <v>15908.296</v>
      </c>
      <c r="H1078" s="0" t="n">
        <v>4183.57</v>
      </c>
      <c r="I1078" s="0" t="n">
        <v>2725.376</v>
      </c>
      <c r="J1078" s="0" t="n">
        <v>8038.069</v>
      </c>
      <c r="K1078" s="0" t="n">
        <v>33374.8218555556</v>
      </c>
      <c r="L1078" s="0" t="n">
        <v>26248</v>
      </c>
      <c r="M1078" s="0" t="n">
        <v>26138</v>
      </c>
      <c r="N1078" s="0" t="n">
        <v>38</v>
      </c>
      <c r="O1078" s="54" t="n">
        <f aca="false">YEAR(B1078)</f>
        <v>2021</v>
      </c>
      <c r="P1078" s="54" t="n">
        <f aca="false">IF(AND(E1078&gt;=14400,K1078&gt;0,L1078&gt;0),1,0)</f>
        <v>1</v>
      </c>
      <c r="Q1078" s="53" t="n">
        <f aca="false">IF(P1078=1,F1078/E1078*MIN(L1078/K1078,1)*MIN(MAX(M1078/L1078,0),1),0)</f>
        <v>0.509968959188919</v>
      </c>
      <c r="R1078" s="55" t="n">
        <f aca="false">IF(F1078&gt;0,N1078/(F1078/3600),0)</f>
        <v>6.80872548124699</v>
      </c>
    </row>
    <row r="1079" customFormat="false" ht="15" hidden="false" customHeight="false" outlineLevel="0" collapsed="false">
      <c r="A1079" s="0" t="s">
        <v>259</v>
      </c>
      <c r="B1079" s="52" t="n">
        <v>44470</v>
      </c>
      <c r="C1079" s="0" t="n">
        <v>48764.985</v>
      </c>
      <c r="D1079" s="0" t="n">
        <v>8895.531</v>
      </c>
      <c r="E1079" s="0" t="n">
        <v>39869.454</v>
      </c>
      <c r="F1079" s="0" t="n">
        <v>4712.14</v>
      </c>
      <c r="G1079" s="0" t="n">
        <v>4624.7</v>
      </c>
      <c r="H1079" s="0" t="n">
        <v>87.44</v>
      </c>
      <c r="I1079" s="0" t="n">
        <v>483.085</v>
      </c>
      <c r="J1079" s="0" t="n">
        <v>34674.229</v>
      </c>
      <c r="K1079" s="0" t="n">
        <v>7827.38811111111</v>
      </c>
      <c r="L1079" s="0" t="n">
        <v>7570</v>
      </c>
      <c r="M1079" s="0" t="n">
        <v>7556</v>
      </c>
      <c r="N1079" s="0" t="n">
        <v>10</v>
      </c>
      <c r="O1079" s="54" t="n">
        <f aca="false">YEAR(B1079)</f>
        <v>2021</v>
      </c>
      <c r="P1079" s="54" t="n">
        <f aca="false">IF(AND(E1079&gt;=14400,K1079&gt;0,L1079&gt;0),1,0)</f>
        <v>1</v>
      </c>
      <c r="Q1079" s="53" t="n">
        <f aca="false">IF(P1079=1,F1079/E1079*MIN(L1079/K1079,1)*MIN(MAX(M1079/L1079,0),1),0)</f>
        <v>0.114091418001511</v>
      </c>
      <c r="R1079" s="55" t="n">
        <f aca="false">IF(F1079&gt;0,N1079/(F1079/3600),0)</f>
        <v>7.63984092153459</v>
      </c>
    </row>
    <row r="1080" customFormat="false" ht="15" hidden="false" customHeight="false" outlineLevel="0" collapsed="false">
      <c r="A1080" s="0" t="s">
        <v>259</v>
      </c>
      <c r="B1080" s="52" t="n">
        <v>44471</v>
      </c>
      <c r="C1080" s="0" t="n">
        <v>15531.824</v>
      </c>
      <c r="D1080" s="0" t="n">
        <v>5759.194</v>
      </c>
      <c r="E1080" s="0" t="n">
        <v>9772.63</v>
      </c>
      <c r="F1080" s="0" t="n">
        <v>6591.466</v>
      </c>
      <c r="G1080" s="0" t="n">
        <v>5855.919</v>
      </c>
      <c r="H1080" s="0" t="n">
        <v>735.547</v>
      </c>
      <c r="I1080" s="0" t="n">
        <v>1190.166</v>
      </c>
      <c r="J1080" s="0" t="n">
        <v>1990.998</v>
      </c>
      <c r="K1080" s="0" t="n">
        <v>10949.1574111111</v>
      </c>
      <c r="L1080" s="0" t="n">
        <v>9711</v>
      </c>
      <c r="M1080" s="0" t="n">
        <v>9631</v>
      </c>
      <c r="N1080" s="0" t="n">
        <v>13</v>
      </c>
      <c r="O1080" s="54" t="n">
        <f aca="false">YEAR(B1080)</f>
        <v>2021</v>
      </c>
      <c r="P1080" s="54" t="n">
        <f aca="false">IF(AND(E1080&gt;=14400,K1080&gt;0,L1080&gt;0),1,0)</f>
        <v>0</v>
      </c>
      <c r="Q1080" s="53" t="n">
        <f aca="false">IF(P1080=1,F1080/E1080*MIN(L1080/K1080,1)*MIN(MAX(M1080/L1080,0),1),0)</f>
        <v>0</v>
      </c>
      <c r="R1080" s="55" t="n">
        <f aca="false">IF(F1080&gt;0,N1080/(F1080/3600),0)</f>
        <v>7.10008972207397</v>
      </c>
    </row>
    <row r="1081" customFormat="false" ht="15" hidden="false" customHeight="false" outlineLevel="0" collapsed="false">
      <c r="A1081" s="0" t="s">
        <v>259</v>
      </c>
      <c r="B1081" s="52" t="n">
        <v>44472</v>
      </c>
      <c r="C1081" s="0" t="n">
        <v>16253.787</v>
      </c>
      <c r="D1081" s="0" t="n">
        <v>3751.315</v>
      </c>
      <c r="E1081" s="0" t="n">
        <v>12502.472</v>
      </c>
      <c r="F1081" s="0" t="n">
        <v>8725.158</v>
      </c>
      <c r="G1081" s="0" t="n">
        <v>7538.898</v>
      </c>
      <c r="H1081" s="0" t="n">
        <v>1186.26</v>
      </c>
      <c r="I1081" s="0" t="n">
        <v>2294.364</v>
      </c>
      <c r="J1081" s="0" t="n">
        <v>1482.95</v>
      </c>
      <c r="K1081" s="0" t="n">
        <v>14493.4569</v>
      </c>
      <c r="L1081" s="0" t="n">
        <v>12452</v>
      </c>
      <c r="M1081" s="0" t="n">
        <v>12418</v>
      </c>
      <c r="N1081" s="0" t="n">
        <v>20</v>
      </c>
      <c r="O1081" s="54" t="n">
        <f aca="false">YEAR(B1081)</f>
        <v>2021</v>
      </c>
      <c r="P1081" s="54" t="n">
        <f aca="false">IF(AND(E1081&gt;=14400,K1081&gt;0,L1081&gt;0),1,0)</f>
        <v>0</v>
      </c>
      <c r="Q1081" s="53" t="n">
        <f aca="false">IF(P1081=1,F1081/E1081*MIN(L1081/K1081,1)*MIN(MAX(M1081/L1081,0),1),0)</f>
        <v>0</v>
      </c>
      <c r="R1081" s="55" t="n">
        <f aca="false">IF(F1081&gt;0,N1081/(F1081/3600),0)</f>
        <v>8.25199956264402</v>
      </c>
    </row>
    <row r="1082" customFormat="false" ht="15" hidden="false" customHeight="false" outlineLevel="0" collapsed="false">
      <c r="A1082" s="0" t="s">
        <v>259</v>
      </c>
      <c r="B1082" s="52" t="n">
        <v>44473</v>
      </c>
      <c r="C1082" s="0" t="n">
        <v>29592.445</v>
      </c>
      <c r="D1082" s="0" t="n">
        <v>5956.906</v>
      </c>
      <c r="E1082" s="0" t="n">
        <v>23635.539</v>
      </c>
      <c r="F1082" s="0" t="n">
        <v>1774.806</v>
      </c>
      <c r="G1082" s="0" t="n">
        <v>1699.326</v>
      </c>
      <c r="H1082" s="0" t="n">
        <v>75.48</v>
      </c>
      <c r="I1082" s="0" t="n">
        <v>504</v>
      </c>
      <c r="J1082" s="0" t="n">
        <v>21356.733</v>
      </c>
      <c r="K1082" s="0" t="n">
        <v>2948.14996666667</v>
      </c>
      <c r="L1082" s="0" t="n">
        <v>2800</v>
      </c>
      <c r="M1082" s="0" t="n">
        <v>2800</v>
      </c>
      <c r="N1082" s="0" t="n">
        <v>3</v>
      </c>
      <c r="O1082" s="54" t="n">
        <f aca="false">YEAR(B1082)</f>
        <v>2021</v>
      </c>
      <c r="P1082" s="54" t="n">
        <f aca="false">IF(AND(E1082&gt;=14400,K1082&gt;0,L1082&gt;0),1,0)</f>
        <v>1</v>
      </c>
      <c r="Q1082" s="53" t="n">
        <f aca="false">IF(P1082=1,F1082/E1082*MIN(L1082/K1082,1)*MIN(MAX(M1082/L1082,0),1),0)</f>
        <v>0.0713171266835502</v>
      </c>
      <c r="R1082" s="55" t="n">
        <f aca="false">IF(F1082&gt;0,N1082/(F1082/3600),0)</f>
        <v>6.08517212585488</v>
      </c>
    </row>
    <row r="1083" customFormat="false" ht="15" hidden="false" customHeight="false" outlineLevel="0" collapsed="false">
      <c r="A1083" s="0" t="s">
        <v>259</v>
      </c>
      <c r="B1083" s="52" t="n">
        <v>44474</v>
      </c>
      <c r="C1083" s="0" t="n">
        <v>45936.154</v>
      </c>
      <c r="D1083" s="0" t="n">
        <v>12546.882</v>
      </c>
      <c r="E1083" s="0" t="n">
        <v>33389.272</v>
      </c>
      <c r="F1083" s="0" t="n">
        <v>17127.612</v>
      </c>
      <c r="G1083" s="0" t="n">
        <v>14776.141</v>
      </c>
      <c r="H1083" s="0" t="n">
        <v>2351.471</v>
      </c>
      <c r="I1083" s="0" t="n">
        <v>7281.121</v>
      </c>
      <c r="J1083" s="0" t="n">
        <v>8980.539</v>
      </c>
      <c r="K1083" s="0" t="n">
        <v>28450.8666</v>
      </c>
      <c r="L1083" s="0" t="n">
        <v>24487</v>
      </c>
      <c r="M1083" s="0" t="n">
        <v>24423</v>
      </c>
      <c r="N1083" s="0" t="n">
        <v>34</v>
      </c>
      <c r="O1083" s="54" t="n">
        <f aca="false">YEAR(B1083)</f>
        <v>2021</v>
      </c>
      <c r="P1083" s="54" t="n">
        <f aca="false">IF(AND(E1083&gt;=14400,K1083&gt;0,L1083&gt;0),1,0)</f>
        <v>1</v>
      </c>
      <c r="Q1083" s="53" t="n">
        <f aca="false">IF(P1083=1,F1083/E1083*MIN(L1083/K1083,1)*MIN(MAX(M1083/L1083,0),1),0)</f>
        <v>0.440345311049265</v>
      </c>
      <c r="R1083" s="55" t="n">
        <f aca="false">IF(F1083&gt;0,N1083/(F1083/3600),0)</f>
        <v>7.14635525372714</v>
      </c>
    </row>
    <row r="1084" customFormat="false" ht="15" hidden="false" customHeight="false" outlineLevel="0" collapsed="false">
      <c r="A1084" s="0" t="s">
        <v>259</v>
      </c>
      <c r="B1084" s="52" t="n">
        <v>44475</v>
      </c>
      <c r="C1084" s="0" t="n">
        <v>59808.605</v>
      </c>
      <c r="D1084" s="0" t="n">
        <v>9188.615</v>
      </c>
      <c r="E1084" s="0" t="n">
        <v>50619.99</v>
      </c>
      <c r="F1084" s="0" t="n">
        <v>22184.924</v>
      </c>
      <c r="G1084" s="0" t="n">
        <v>16541.736</v>
      </c>
      <c r="H1084" s="0" t="n">
        <v>5643.188</v>
      </c>
      <c r="I1084" s="0" t="n">
        <v>3583.371</v>
      </c>
      <c r="J1084" s="0" t="n">
        <v>24851.695</v>
      </c>
      <c r="K1084" s="0" t="n">
        <v>37427.7756033333</v>
      </c>
      <c r="L1084" s="0" t="n">
        <v>27793</v>
      </c>
      <c r="M1084" s="0" t="n">
        <v>27664</v>
      </c>
      <c r="N1084" s="0" t="n">
        <v>43</v>
      </c>
      <c r="O1084" s="54" t="n">
        <f aca="false">YEAR(B1084)</f>
        <v>2021</v>
      </c>
      <c r="P1084" s="54" t="n">
        <f aca="false">IF(AND(E1084&gt;=14400,K1084&gt;0,L1084&gt;0),1,0)</f>
        <v>1</v>
      </c>
      <c r="Q1084" s="53" t="n">
        <f aca="false">IF(P1084=1,F1084/E1084*MIN(L1084/K1084,1)*MIN(MAX(M1084/L1084,0),1),0)</f>
        <v>0.323934235218865</v>
      </c>
      <c r="R1084" s="55" t="n">
        <f aca="false">IF(F1084&gt;0,N1084/(F1084/3600),0)</f>
        <v>6.97771153058717</v>
      </c>
    </row>
    <row r="1085" customFormat="false" ht="15" hidden="false" customHeight="false" outlineLevel="0" collapsed="false">
      <c r="A1085" s="0" t="s">
        <v>259</v>
      </c>
      <c r="B1085" s="52" t="n">
        <v>44476</v>
      </c>
      <c r="C1085" s="0" t="n">
        <v>36255.73</v>
      </c>
      <c r="D1085" s="0" t="n">
        <v>9446.538</v>
      </c>
      <c r="E1085" s="0" t="n">
        <v>26809.192</v>
      </c>
      <c r="F1085" s="0" t="n">
        <v>16004.868</v>
      </c>
      <c r="G1085" s="0" t="n">
        <v>13092.348</v>
      </c>
      <c r="H1085" s="0" t="n">
        <v>2912.52</v>
      </c>
      <c r="I1085" s="0" t="n">
        <v>5314.272</v>
      </c>
      <c r="J1085" s="0" t="n">
        <v>5490.052</v>
      </c>
      <c r="K1085" s="0" t="n">
        <v>26585.8640666667</v>
      </c>
      <c r="L1085" s="0" t="n">
        <v>21679</v>
      </c>
      <c r="M1085" s="0" t="n">
        <v>21585</v>
      </c>
      <c r="N1085" s="0" t="n">
        <v>31</v>
      </c>
      <c r="O1085" s="54" t="n">
        <f aca="false">YEAR(B1085)</f>
        <v>2021</v>
      </c>
      <c r="P1085" s="54" t="n">
        <f aca="false">IF(AND(E1085&gt;=14400,K1085&gt;0,L1085&gt;0),1,0)</f>
        <v>1</v>
      </c>
      <c r="Q1085" s="53" t="n">
        <f aca="false">IF(P1085=1,F1085/E1085*MIN(L1085/K1085,1)*MIN(MAX(M1085/L1085,0),1),0)</f>
        <v>0.48469623333933</v>
      </c>
      <c r="R1085" s="55" t="n">
        <f aca="false">IF(F1085&gt;0,N1085/(F1085/3600),0)</f>
        <v>6.97287850171585</v>
      </c>
    </row>
    <row r="1086" customFormat="false" ht="15" hidden="false" customHeight="false" outlineLevel="0" collapsed="false">
      <c r="A1086" s="0" t="s">
        <v>259</v>
      </c>
      <c r="B1086" s="52" t="n">
        <v>44477</v>
      </c>
      <c r="C1086" s="0" t="n">
        <v>43501.24</v>
      </c>
      <c r="D1086" s="0" t="n">
        <v>11242.086</v>
      </c>
      <c r="E1086" s="0" t="n">
        <v>32259.154</v>
      </c>
      <c r="F1086" s="0" t="n">
        <v>6745.851</v>
      </c>
      <c r="G1086" s="0" t="n">
        <v>5607.63</v>
      </c>
      <c r="H1086" s="0" t="n">
        <v>1138.221</v>
      </c>
      <c r="I1086" s="0" t="n">
        <v>1540.702</v>
      </c>
      <c r="J1086" s="0" t="n">
        <v>23972.601</v>
      </c>
      <c r="K1086" s="0" t="n">
        <v>11205.60805</v>
      </c>
      <c r="L1086" s="0" t="n">
        <v>9306</v>
      </c>
      <c r="M1086" s="0" t="n">
        <v>9232</v>
      </c>
      <c r="N1086" s="0" t="n">
        <v>9</v>
      </c>
      <c r="O1086" s="54" t="n">
        <f aca="false">YEAR(B1086)</f>
        <v>2021</v>
      </c>
      <c r="P1086" s="54" t="n">
        <f aca="false">IF(AND(E1086&gt;=14400,K1086&gt;0,L1086&gt;0),1,0)</f>
        <v>1</v>
      </c>
      <c r="Q1086" s="53" t="n">
        <f aca="false">IF(P1086=1,F1086/E1086*MIN(L1086/K1086,1)*MIN(MAX(M1086/L1086,0),1),0)</f>
        <v>0.172283679618764</v>
      </c>
      <c r="R1086" s="55" t="n">
        <f aca="false">IF(F1086&gt;0,N1086/(F1086/3600),0)</f>
        <v>4.80295221462793</v>
      </c>
    </row>
    <row r="1087" customFormat="false" ht="15" hidden="false" customHeight="false" outlineLevel="0" collapsed="false">
      <c r="A1087" s="0" t="s">
        <v>259</v>
      </c>
      <c r="B1087" s="52" t="n">
        <v>44478</v>
      </c>
      <c r="C1087" s="0" t="n">
        <v>17980.392</v>
      </c>
      <c r="D1087" s="0" t="n">
        <v>7034.189</v>
      </c>
      <c r="E1087" s="0" t="n">
        <v>10946.203</v>
      </c>
      <c r="F1087" s="0" t="n">
        <v>5496.018</v>
      </c>
      <c r="G1087" s="0" t="n">
        <v>5253.015</v>
      </c>
      <c r="H1087" s="0" t="n">
        <v>243.003</v>
      </c>
      <c r="I1087" s="0" t="n">
        <v>2934.677</v>
      </c>
      <c r="J1087" s="0" t="n">
        <v>2515.508</v>
      </c>
      <c r="K1087" s="0" t="n">
        <v>9129.49656666667</v>
      </c>
      <c r="L1087" s="0" t="n">
        <v>8720</v>
      </c>
      <c r="M1087" s="0" t="n">
        <v>8720</v>
      </c>
      <c r="N1087" s="0" t="n">
        <v>9</v>
      </c>
      <c r="O1087" s="54" t="n">
        <f aca="false">YEAR(B1087)</f>
        <v>2021</v>
      </c>
      <c r="P1087" s="54" t="n">
        <f aca="false">IF(AND(E1087&gt;=14400,K1087&gt;0,L1087&gt;0),1,0)</f>
        <v>0</v>
      </c>
      <c r="Q1087" s="53" t="n">
        <f aca="false">IF(P1087=1,F1087/E1087*MIN(L1087/K1087,1)*MIN(MAX(M1087/L1087,0),1),0)</f>
        <v>0</v>
      </c>
      <c r="R1087" s="55" t="n">
        <f aca="false">IF(F1087&gt;0,N1087/(F1087/3600),0)</f>
        <v>5.89517719920131</v>
      </c>
    </row>
    <row r="1088" customFormat="false" ht="15" hidden="false" customHeight="false" outlineLevel="0" collapsed="false">
      <c r="A1088" s="0" t="s">
        <v>259</v>
      </c>
      <c r="B1088" s="52" t="n">
        <v>44479</v>
      </c>
      <c r="C1088" s="0" t="n">
        <v>23330.528</v>
      </c>
      <c r="D1088" s="0" t="n">
        <v>3338.245</v>
      </c>
      <c r="E1088" s="0" t="n">
        <v>19992.283</v>
      </c>
      <c r="F1088" s="0" t="n">
        <v>6964.89</v>
      </c>
      <c r="G1088" s="0" t="n">
        <v>4647.275</v>
      </c>
      <c r="H1088" s="0" t="n">
        <v>2317.615</v>
      </c>
      <c r="I1088" s="0" t="n">
        <v>1668.877</v>
      </c>
      <c r="J1088" s="0" t="n">
        <v>11358.516</v>
      </c>
      <c r="K1088" s="0" t="n">
        <v>11569.4561666667</v>
      </c>
      <c r="L1088" s="0" t="n">
        <v>7663</v>
      </c>
      <c r="M1088" s="0" t="n">
        <v>7599</v>
      </c>
      <c r="N1088" s="0" t="n">
        <v>11</v>
      </c>
      <c r="O1088" s="54" t="n">
        <f aca="false">YEAR(B1088)</f>
        <v>2021</v>
      </c>
      <c r="P1088" s="54" t="n">
        <f aca="false">IF(AND(E1088&gt;=14400,K1088&gt;0,L1088&gt;0),1,0)</f>
        <v>1</v>
      </c>
      <c r="Q1088" s="53" t="n">
        <f aca="false">IF(P1088=1,F1088/E1088*MIN(L1088/K1088,1)*MIN(MAX(M1088/L1088,0),1),0)</f>
        <v>0.228820731950995</v>
      </c>
      <c r="R1088" s="55" t="n">
        <f aca="false">IF(F1088&gt;0,N1088/(F1088/3600),0)</f>
        <v>5.68566050576535</v>
      </c>
    </row>
    <row r="1089" customFormat="false" ht="15" hidden="false" customHeight="false" outlineLevel="0" collapsed="false">
      <c r="A1089" s="0" t="s">
        <v>259</v>
      </c>
      <c r="B1089" s="52" t="n">
        <v>44480</v>
      </c>
      <c r="C1089" s="0" t="n">
        <v>41668.483</v>
      </c>
      <c r="D1089" s="0" t="n">
        <v>10789.633</v>
      </c>
      <c r="E1089" s="0" t="n">
        <v>30878.85</v>
      </c>
      <c r="F1089" s="0" t="n">
        <v>5244.841</v>
      </c>
      <c r="G1089" s="0" t="n">
        <v>4794.01</v>
      </c>
      <c r="H1089" s="0" t="n">
        <v>450.831</v>
      </c>
      <c r="I1089" s="0" t="n">
        <v>352.843</v>
      </c>
      <c r="J1089" s="0" t="n">
        <v>25281.166</v>
      </c>
      <c r="K1089" s="0" t="n">
        <v>8712.26366111111</v>
      </c>
      <c r="L1089" s="0" t="n">
        <v>7948</v>
      </c>
      <c r="M1089" s="0" t="n">
        <v>7932</v>
      </c>
      <c r="N1089" s="0" t="n">
        <v>3</v>
      </c>
      <c r="O1089" s="54" t="n">
        <f aca="false">YEAR(B1089)</f>
        <v>2021</v>
      </c>
      <c r="P1089" s="54" t="n">
        <f aca="false">IF(AND(E1089&gt;=14400,K1089&gt;0,L1089&gt;0),1,0)</f>
        <v>1</v>
      </c>
      <c r="Q1089" s="53" t="n">
        <f aca="false">IF(P1089=1,F1089/E1089*MIN(L1089/K1089,1)*MIN(MAX(M1089/L1089,0),1),0)</f>
        <v>0.154640378668771</v>
      </c>
      <c r="R1089" s="55" t="n">
        <f aca="false">IF(F1089&gt;0,N1089/(F1089/3600),0)</f>
        <v>2.05916633125771</v>
      </c>
    </row>
    <row r="1090" customFormat="false" ht="15" hidden="false" customHeight="false" outlineLevel="0" collapsed="false">
      <c r="A1090" s="0" t="s">
        <v>259</v>
      </c>
      <c r="B1090" s="52" t="n">
        <v>44481</v>
      </c>
      <c r="C1090" s="0" t="n">
        <v>84105.457</v>
      </c>
      <c r="D1090" s="0" t="n">
        <v>7477.958</v>
      </c>
      <c r="E1090" s="0" t="n">
        <v>76627.499</v>
      </c>
      <c r="F1090" s="0" t="n">
        <v>34908.829</v>
      </c>
      <c r="G1090" s="0" t="n">
        <v>27199.084</v>
      </c>
      <c r="H1090" s="0" t="n">
        <v>7709.745</v>
      </c>
      <c r="I1090" s="0" t="n">
        <v>16625.581</v>
      </c>
      <c r="J1090" s="0" t="n">
        <v>25093.089</v>
      </c>
      <c r="K1090" s="0" t="n">
        <v>60107.8342944444</v>
      </c>
      <c r="L1090" s="0" t="n">
        <v>46716</v>
      </c>
      <c r="M1090" s="0" t="n">
        <v>46492</v>
      </c>
      <c r="N1090" s="0" t="n">
        <v>71</v>
      </c>
      <c r="O1090" s="54" t="n">
        <f aca="false">YEAR(B1090)</f>
        <v>2021</v>
      </c>
      <c r="P1090" s="54" t="n">
        <f aca="false">IF(AND(E1090&gt;=14400,K1090&gt;0,L1090&gt;0),1,0)</f>
        <v>1</v>
      </c>
      <c r="Q1090" s="53" t="n">
        <f aca="false">IF(P1090=1,F1090/E1090*MIN(L1090/K1090,1)*MIN(MAX(M1090/L1090,0),1),0)</f>
        <v>0.352369068529407</v>
      </c>
      <c r="R1090" s="55" t="n">
        <f aca="false">IF(F1090&gt;0,N1090/(F1090/3600),0)</f>
        <v>7.32192993354203</v>
      </c>
    </row>
    <row r="1091" customFormat="false" ht="15" hidden="false" customHeight="false" outlineLevel="0" collapsed="false">
      <c r="A1091" s="0" t="s">
        <v>259</v>
      </c>
      <c r="B1091" s="52" t="n">
        <v>44482</v>
      </c>
      <c r="C1091" s="0" t="n">
        <v>92614.658</v>
      </c>
      <c r="D1091" s="0" t="n">
        <v>7041.862</v>
      </c>
      <c r="E1091" s="0" t="n">
        <v>85572.796</v>
      </c>
      <c r="F1091" s="0" t="n">
        <v>18427.11</v>
      </c>
      <c r="G1091" s="0" t="n">
        <v>14918.694</v>
      </c>
      <c r="H1091" s="0" t="n">
        <v>3508.416</v>
      </c>
      <c r="I1091" s="0" t="n">
        <v>4365.032</v>
      </c>
      <c r="J1091" s="0" t="n">
        <v>62780.654</v>
      </c>
      <c r="K1091" s="0" t="n">
        <v>30714.6273055556</v>
      </c>
      <c r="L1091" s="0" t="n">
        <v>24703</v>
      </c>
      <c r="M1091" s="0" t="n">
        <v>24501</v>
      </c>
      <c r="N1091" s="0" t="n">
        <v>29</v>
      </c>
      <c r="O1091" s="54" t="n">
        <f aca="false">YEAR(B1091)</f>
        <v>2021</v>
      </c>
      <c r="P1091" s="54" t="n">
        <f aca="false">IF(AND(E1091&gt;=14400,K1091&gt;0,L1091&gt;0),1,0)</f>
        <v>1</v>
      </c>
      <c r="Q1091" s="53" t="n">
        <f aca="false">IF(P1091=1,F1091/E1091*MIN(L1091/K1091,1)*MIN(MAX(M1091/L1091,0),1),0)</f>
        <v>0.171775043194483</v>
      </c>
      <c r="R1091" s="55" t="n">
        <f aca="false">IF(F1091&gt;0,N1091/(F1091/3600),0)</f>
        <v>5.66556557159533</v>
      </c>
    </row>
    <row r="1092" customFormat="false" ht="15" hidden="false" customHeight="false" outlineLevel="0" collapsed="false">
      <c r="A1092" s="0" t="s">
        <v>259</v>
      </c>
      <c r="B1092" s="52" t="n">
        <v>44483</v>
      </c>
      <c r="C1092" s="0" t="n">
        <v>40990.668</v>
      </c>
      <c r="D1092" s="0" t="n">
        <v>9367.361</v>
      </c>
      <c r="E1092" s="0" t="n">
        <v>31623.307</v>
      </c>
      <c r="F1092" s="0" t="n">
        <v>16318.12</v>
      </c>
      <c r="G1092" s="0" t="n">
        <v>12264.272</v>
      </c>
      <c r="H1092" s="0" t="n">
        <v>4053.848</v>
      </c>
      <c r="I1092" s="0" t="n">
        <v>5742.928</v>
      </c>
      <c r="J1092" s="0" t="n">
        <v>9562.259</v>
      </c>
      <c r="K1092" s="0" t="n">
        <v>27138.6551944444</v>
      </c>
      <c r="L1092" s="0" t="n">
        <v>20312</v>
      </c>
      <c r="M1092" s="0" t="n">
        <v>20234</v>
      </c>
      <c r="N1092" s="0" t="n">
        <v>30</v>
      </c>
      <c r="O1092" s="54" t="n">
        <f aca="false">YEAR(B1092)</f>
        <v>2021</v>
      </c>
      <c r="P1092" s="54" t="n">
        <f aca="false">IF(AND(E1092&gt;=14400,K1092&gt;0,L1092&gt;0),1,0)</f>
        <v>1</v>
      </c>
      <c r="Q1092" s="53" t="n">
        <f aca="false">IF(P1092=1,F1092/E1092*MIN(L1092/K1092,1)*MIN(MAX(M1092/L1092,0),1),0)</f>
        <v>0.384730184483098</v>
      </c>
      <c r="R1092" s="55" t="n">
        <f aca="false">IF(F1092&gt;0,N1092/(F1092/3600),0)</f>
        <v>6.61840947364035</v>
      </c>
    </row>
    <row r="1093" customFormat="false" ht="15" hidden="false" customHeight="false" outlineLevel="0" collapsed="false">
      <c r="A1093" s="0" t="s">
        <v>259</v>
      </c>
      <c r="B1093" s="52" t="n">
        <v>44484</v>
      </c>
      <c r="C1093" s="0" t="n">
        <v>24533.049</v>
      </c>
      <c r="D1093" s="0" t="n">
        <v>6727.971</v>
      </c>
      <c r="E1093" s="0" t="n">
        <v>17805.078</v>
      </c>
      <c r="F1093" s="0" t="n">
        <v>6538.017</v>
      </c>
      <c r="G1093" s="0" t="n">
        <v>5776.733</v>
      </c>
      <c r="H1093" s="0" t="n">
        <v>761.284</v>
      </c>
      <c r="I1093" s="0" t="n">
        <v>5228.221</v>
      </c>
      <c r="J1093" s="0" t="n">
        <v>6038.84</v>
      </c>
      <c r="K1093" s="0" t="n">
        <v>10860.3726833333</v>
      </c>
      <c r="L1093" s="0" t="n">
        <v>9610</v>
      </c>
      <c r="M1093" s="0" t="n">
        <v>9584</v>
      </c>
      <c r="N1093" s="0" t="n">
        <v>12</v>
      </c>
      <c r="O1093" s="54" t="n">
        <f aca="false">YEAR(B1093)</f>
        <v>2021</v>
      </c>
      <c r="P1093" s="54" t="n">
        <f aca="false">IF(AND(E1093&gt;=14400,K1093&gt;0,L1093&gt;0),1,0)</f>
        <v>1</v>
      </c>
      <c r="Q1093" s="53" t="n">
        <f aca="false">IF(P1093=1,F1093/E1093*MIN(L1093/K1093,1)*MIN(MAX(M1093/L1093,0),1),0)</f>
        <v>0.324044191607777</v>
      </c>
      <c r="R1093" s="55" t="n">
        <f aca="false">IF(F1093&gt;0,N1093/(F1093/3600),0)</f>
        <v>6.60750805634185</v>
      </c>
    </row>
    <row r="1094" customFormat="false" ht="15" hidden="false" customHeight="false" outlineLevel="0" collapsed="false">
      <c r="A1094" s="0" t="s">
        <v>259</v>
      </c>
      <c r="B1094" s="52" t="n">
        <v>44486</v>
      </c>
      <c r="C1094" s="0" t="n">
        <v>41381.657</v>
      </c>
      <c r="D1094" s="0" t="n">
        <v>11840.511</v>
      </c>
      <c r="E1094" s="0" t="n">
        <v>29541.146</v>
      </c>
      <c r="F1094" s="0" t="n">
        <v>14599.823</v>
      </c>
      <c r="G1094" s="0" t="n">
        <v>12073.955</v>
      </c>
      <c r="H1094" s="0" t="n">
        <v>2525.868</v>
      </c>
      <c r="I1094" s="0" t="n">
        <v>7739.739</v>
      </c>
      <c r="J1094" s="0" t="n">
        <v>7201.584</v>
      </c>
      <c r="K1094" s="0" t="n">
        <v>25152.2907638889</v>
      </c>
      <c r="L1094" s="0" t="n">
        <v>20528</v>
      </c>
      <c r="M1094" s="0" t="n">
        <v>20457</v>
      </c>
      <c r="N1094" s="0" t="n">
        <v>61</v>
      </c>
      <c r="O1094" s="54" t="n">
        <f aca="false">YEAR(B1094)</f>
        <v>2021</v>
      </c>
      <c r="P1094" s="54" t="n">
        <f aca="false">IF(AND(E1094&gt;=14400,K1094&gt;0,L1094&gt;0),1,0)</f>
        <v>1</v>
      </c>
      <c r="Q1094" s="53" t="n">
        <f aca="false">IF(P1094=1,F1094/E1094*MIN(L1094/K1094,1)*MIN(MAX(M1094/L1094,0),1),0)</f>
        <v>0.401961679274562</v>
      </c>
      <c r="R1094" s="55" t="n">
        <f aca="false">IF(F1094&gt;0,N1094/(F1094/3600),0)</f>
        <v>15.041278240154</v>
      </c>
    </row>
    <row r="1095" customFormat="false" ht="15" hidden="false" customHeight="false" outlineLevel="0" collapsed="false">
      <c r="A1095" s="0" t="s">
        <v>259</v>
      </c>
      <c r="B1095" s="52" t="n">
        <v>44487</v>
      </c>
      <c r="C1095" s="0" t="n">
        <v>48879.543</v>
      </c>
      <c r="D1095" s="0" t="n">
        <v>8778.329</v>
      </c>
      <c r="E1095" s="0" t="n">
        <v>40101.214</v>
      </c>
      <c r="F1095" s="0" t="n">
        <v>3075.186</v>
      </c>
      <c r="G1095" s="0" t="n">
        <v>2535.964</v>
      </c>
      <c r="H1095" s="0" t="n">
        <v>539.222</v>
      </c>
      <c r="I1095" s="0" t="n">
        <v>712.519</v>
      </c>
      <c r="J1095" s="0" t="n">
        <v>36313.509</v>
      </c>
      <c r="K1095" s="0" t="n">
        <v>5552.41916666667</v>
      </c>
      <c r="L1095" s="0" t="n">
        <v>4485</v>
      </c>
      <c r="M1095" s="0" t="n">
        <v>4482</v>
      </c>
      <c r="N1095" s="0" t="n">
        <v>23</v>
      </c>
      <c r="O1095" s="54" t="n">
        <f aca="false">YEAR(B1095)</f>
        <v>2021</v>
      </c>
      <c r="P1095" s="54" t="n">
        <f aca="false">IF(AND(E1095&gt;=14400,K1095&gt;0,L1095&gt;0),1,0)</f>
        <v>1</v>
      </c>
      <c r="Q1095" s="53" t="n">
        <f aca="false">IF(P1095=1,F1095/E1095*MIN(L1095/K1095,1)*MIN(MAX(M1095/L1095,0),1),0)</f>
        <v>0.0619018282473558</v>
      </c>
      <c r="R1095" s="55" t="n">
        <f aca="false">IF(F1095&gt;0,N1095/(F1095/3600),0)</f>
        <v>26.9252006220112</v>
      </c>
    </row>
    <row r="1096" customFormat="false" ht="15" hidden="false" customHeight="false" outlineLevel="0" collapsed="false">
      <c r="A1096" s="0" t="s">
        <v>259</v>
      </c>
      <c r="B1096" s="52" t="n">
        <v>44488</v>
      </c>
      <c r="C1096" s="0" t="n">
        <v>57136.574</v>
      </c>
      <c r="D1096" s="0" t="n">
        <v>9476.602</v>
      </c>
      <c r="E1096" s="0" t="n">
        <v>47659.972</v>
      </c>
      <c r="F1096" s="0" t="n">
        <v>30411.391</v>
      </c>
      <c r="G1096" s="0" t="n">
        <v>25907.752</v>
      </c>
      <c r="H1096" s="0" t="n">
        <v>4503.639</v>
      </c>
      <c r="I1096" s="0" t="n">
        <v>6014.995</v>
      </c>
      <c r="J1096" s="0" t="n">
        <v>11233.586</v>
      </c>
      <c r="K1096" s="0" t="n">
        <v>51934.9979677778</v>
      </c>
      <c r="L1096" s="0" t="n">
        <v>43844</v>
      </c>
      <c r="M1096" s="0" t="n">
        <v>43630</v>
      </c>
      <c r="N1096" s="0" t="n">
        <v>74</v>
      </c>
      <c r="O1096" s="54" t="n">
        <f aca="false">YEAR(B1096)</f>
        <v>2021</v>
      </c>
      <c r="P1096" s="54" t="n">
        <f aca="false">IF(AND(E1096&gt;=14400,K1096&gt;0,L1096&gt;0),1,0)</f>
        <v>1</v>
      </c>
      <c r="Q1096" s="53" t="n">
        <f aca="false">IF(P1096=1,F1096/E1096*MIN(L1096/K1096,1)*MIN(MAX(M1096/L1096,0),1),0)</f>
        <v>0.536052833710178</v>
      </c>
      <c r="R1096" s="55" t="n">
        <f aca="false">IF(F1096&gt;0,N1096/(F1096/3600),0)</f>
        <v>8.7598755347955</v>
      </c>
    </row>
    <row r="1097" customFormat="false" ht="15" hidden="false" customHeight="false" outlineLevel="0" collapsed="false">
      <c r="A1097" s="0" t="s">
        <v>259</v>
      </c>
      <c r="B1097" s="52" t="n">
        <v>44489</v>
      </c>
      <c r="C1097" s="0" t="n">
        <v>48118.878</v>
      </c>
      <c r="D1097" s="0" t="n">
        <v>9240.806</v>
      </c>
      <c r="E1097" s="0" t="n">
        <v>38878.072</v>
      </c>
      <c r="F1097" s="0" t="n">
        <v>13936.795</v>
      </c>
      <c r="G1097" s="0" t="n">
        <v>11307.082</v>
      </c>
      <c r="H1097" s="0" t="n">
        <v>2629.713</v>
      </c>
      <c r="I1097" s="0" t="n">
        <v>5043.778</v>
      </c>
      <c r="J1097" s="0" t="n">
        <v>19897.499</v>
      </c>
      <c r="K1097" s="0" t="n">
        <v>23909.3460888889</v>
      </c>
      <c r="L1097" s="0" t="n">
        <v>19361</v>
      </c>
      <c r="M1097" s="0" t="n">
        <v>19284</v>
      </c>
      <c r="N1097" s="0" t="n">
        <v>33</v>
      </c>
      <c r="O1097" s="54" t="n">
        <f aca="false">YEAR(B1097)</f>
        <v>2021</v>
      </c>
      <c r="P1097" s="54" t="n">
        <f aca="false">IF(AND(E1097&gt;=14400,K1097&gt;0,L1097&gt;0),1,0)</f>
        <v>1</v>
      </c>
      <c r="Q1097" s="53" t="n">
        <f aca="false">IF(P1097=1,F1097/E1097*MIN(L1097/K1097,1)*MIN(MAX(M1097/L1097,0),1),0)</f>
        <v>0.289126312002548</v>
      </c>
      <c r="R1097" s="55" t="n">
        <f aca="false">IF(F1097&gt;0,N1097/(F1097/3600),0)</f>
        <v>8.52419799530667</v>
      </c>
    </row>
    <row r="1098" customFormat="false" ht="15" hidden="false" customHeight="false" outlineLevel="0" collapsed="false">
      <c r="A1098" s="0" t="s">
        <v>259</v>
      </c>
      <c r="B1098" s="52" t="n">
        <v>44490</v>
      </c>
      <c r="C1098" s="0" t="n">
        <v>39667.307</v>
      </c>
      <c r="D1098" s="0" t="n">
        <v>6552.316</v>
      </c>
      <c r="E1098" s="0" t="n">
        <v>33114.991</v>
      </c>
      <c r="F1098" s="0" t="n">
        <v>22642.706</v>
      </c>
      <c r="G1098" s="0" t="n">
        <v>14826.085</v>
      </c>
      <c r="H1098" s="0" t="n">
        <v>7816.621</v>
      </c>
      <c r="I1098" s="0" t="n">
        <v>5065.364</v>
      </c>
      <c r="J1098" s="0" t="n">
        <v>5406.921</v>
      </c>
      <c r="K1098" s="0" t="n">
        <v>38321.8681166667</v>
      </c>
      <c r="L1098" s="0" t="n">
        <v>24638</v>
      </c>
      <c r="M1098" s="0" t="n">
        <v>24514</v>
      </c>
      <c r="N1098" s="0" t="n">
        <v>84</v>
      </c>
      <c r="O1098" s="54" t="n">
        <f aca="false">YEAR(B1098)</f>
        <v>2021</v>
      </c>
      <c r="P1098" s="54" t="n">
        <f aca="false">IF(AND(E1098&gt;=14400,K1098&gt;0,L1098&gt;0),1,0)</f>
        <v>1</v>
      </c>
      <c r="Q1098" s="53" t="n">
        <f aca="false">IF(P1098=1,F1098/E1098*MIN(L1098/K1098,1)*MIN(MAX(M1098/L1098,0),1),0)</f>
        <v>0.437392363199682</v>
      </c>
      <c r="R1098" s="55" t="n">
        <f aca="false">IF(F1098&gt;0,N1098/(F1098/3600),0)</f>
        <v>13.3552941949606</v>
      </c>
    </row>
    <row r="1099" customFormat="false" ht="15" hidden="false" customHeight="false" outlineLevel="0" collapsed="false">
      <c r="A1099" s="0" t="s">
        <v>259</v>
      </c>
      <c r="B1099" s="52" t="n">
        <v>44491</v>
      </c>
      <c r="C1099" s="0" t="n">
        <v>45722.549</v>
      </c>
      <c r="D1099" s="0" t="n">
        <v>9002.512</v>
      </c>
      <c r="E1099" s="0" t="n">
        <v>36720.037</v>
      </c>
      <c r="F1099" s="0" t="n">
        <v>8376.486</v>
      </c>
      <c r="G1099" s="0" t="n">
        <v>7014.651</v>
      </c>
      <c r="H1099" s="0" t="n">
        <v>1361.835</v>
      </c>
      <c r="I1099" s="0" t="n">
        <v>1860.28</v>
      </c>
      <c r="J1099" s="0" t="n">
        <v>26483.271</v>
      </c>
      <c r="K1099" s="0" t="n">
        <v>14318.044455</v>
      </c>
      <c r="L1099" s="0" t="n">
        <v>11971</v>
      </c>
      <c r="M1099" s="0" t="n">
        <v>11958</v>
      </c>
      <c r="N1099" s="0" t="n">
        <v>20</v>
      </c>
      <c r="O1099" s="54" t="n">
        <f aca="false">YEAR(B1099)</f>
        <v>2021</v>
      </c>
      <c r="P1099" s="54" t="n">
        <f aca="false">IF(AND(E1099&gt;=14400,K1099&gt;0,L1099&gt;0),1,0)</f>
        <v>1</v>
      </c>
      <c r="Q1099" s="53" t="n">
        <f aca="false">IF(P1099=1,F1099/E1099*MIN(L1099/K1099,1)*MIN(MAX(M1099/L1099,0),1),0)</f>
        <v>0.190516940870925</v>
      </c>
      <c r="R1099" s="55" t="n">
        <f aca="false">IF(F1099&gt;0,N1099/(F1099/3600),0)</f>
        <v>8.59548980324207</v>
      </c>
    </row>
    <row r="1100" customFormat="false" ht="15" hidden="false" customHeight="false" outlineLevel="0" collapsed="false">
      <c r="A1100" s="0" t="s">
        <v>259</v>
      </c>
      <c r="B1100" s="52" t="n">
        <v>44492</v>
      </c>
      <c r="C1100" s="0" t="n">
        <v>22494.779</v>
      </c>
      <c r="D1100" s="0" t="n">
        <v>7649.746</v>
      </c>
      <c r="E1100" s="0" t="n">
        <v>14845.033</v>
      </c>
      <c r="F1100" s="0" t="n">
        <v>10317.403</v>
      </c>
      <c r="G1100" s="0" t="n">
        <v>8801.033</v>
      </c>
      <c r="H1100" s="0" t="n">
        <v>1516.37</v>
      </c>
      <c r="I1100" s="0" t="n">
        <v>1928.084</v>
      </c>
      <c r="J1100" s="0" t="n">
        <v>2599.546</v>
      </c>
      <c r="K1100" s="0" t="n">
        <v>17700.0780355556</v>
      </c>
      <c r="L1100" s="0" t="n">
        <v>15089</v>
      </c>
      <c r="M1100" s="0" t="n">
        <v>15014</v>
      </c>
      <c r="N1100" s="0" t="n">
        <v>12</v>
      </c>
      <c r="O1100" s="54" t="n">
        <f aca="false">YEAR(B1100)</f>
        <v>2021</v>
      </c>
      <c r="P1100" s="54" t="n">
        <f aca="false">IF(AND(E1100&gt;=14400,K1100&gt;0,L1100&gt;0),1,0)</f>
        <v>1</v>
      </c>
      <c r="Q1100" s="53" t="n">
        <f aca="false">IF(P1100=1,F1100/E1100*MIN(L1100/K1100,1)*MIN(MAX(M1100/L1100,0),1),0)</f>
        <v>0.589536172659491</v>
      </c>
      <c r="R1100" s="55" t="n">
        <f aca="false">IF(F1100&gt;0,N1100/(F1100/3600),0)</f>
        <v>4.18710018402887</v>
      </c>
    </row>
    <row r="1101" customFormat="false" ht="15" hidden="false" customHeight="false" outlineLevel="0" collapsed="false">
      <c r="A1101" s="0" t="s">
        <v>259</v>
      </c>
      <c r="B1101" s="52" t="n">
        <v>44493</v>
      </c>
      <c r="C1101" s="0" t="n">
        <v>17086.564</v>
      </c>
      <c r="D1101" s="0" t="n">
        <v>3505.69</v>
      </c>
      <c r="E1101" s="0" t="n">
        <v>13580.874</v>
      </c>
      <c r="F1101" s="0" t="n">
        <v>8490.057</v>
      </c>
      <c r="G1101" s="0" t="n">
        <v>7018.3</v>
      </c>
      <c r="H1101" s="0" t="n">
        <v>1471.757</v>
      </c>
      <c r="I1101" s="0" t="n">
        <v>1765.488</v>
      </c>
      <c r="J1101" s="0" t="n">
        <v>3325.329</v>
      </c>
      <c r="K1101" s="0" t="n">
        <v>14565.1644533333</v>
      </c>
      <c r="L1101" s="0" t="n">
        <v>11934</v>
      </c>
      <c r="M1101" s="0" t="n">
        <v>11846</v>
      </c>
      <c r="N1101" s="0" t="n">
        <v>15</v>
      </c>
      <c r="O1101" s="54" t="n">
        <f aca="false">YEAR(B1101)</f>
        <v>2021</v>
      </c>
      <c r="P1101" s="54" t="n">
        <f aca="false">IF(AND(E1101&gt;=14400,K1101&gt;0,L1101&gt;0),1,0)</f>
        <v>0</v>
      </c>
      <c r="Q1101" s="53" t="n">
        <f aca="false">IF(P1101=1,F1101/E1101*MIN(L1101/K1101,1)*MIN(MAX(M1101/L1101,0),1),0)</f>
        <v>0</v>
      </c>
      <c r="R1101" s="55" t="n">
        <f aca="false">IF(F1101&gt;0,N1101/(F1101/3600),0)</f>
        <v>6.36038132606177</v>
      </c>
    </row>
    <row r="1102" customFormat="false" ht="15" hidden="false" customHeight="false" outlineLevel="0" collapsed="false">
      <c r="A1102" s="0" t="s">
        <v>259</v>
      </c>
      <c r="B1102" s="52" t="n">
        <v>44494</v>
      </c>
      <c r="C1102" s="0" t="n">
        <v>49153.731</v>
      </c>
      <c r="D1102" s="0" t="n">
        <v>9898.532</v>
      </c>
      <c r="E1102" s="0" t="n">
        <v>39255.199</v>
      </c>
      <c r="F1102" s="0" t="n">
        <v>3395.337</v>
      </c>
      <c r="G1102" s="0" t="n">
        <v>3324.986</v>
      </c>
      <c r="H1102" s="0" t="n">
        <v>70.351</v>
      </c>
      <c r="I1102" s="0" t="n">
        <v>2157.524</v>
      </c>
      <c r="J1102" s="0" t="n">
        <v>33702.338</v>
      </c>
      <c r="K1102" s="0" t="n">
        <v>5824.88925333333</v>
      </c>
      <c r="L1102" s="0" t="n">
        <v>5736</v>
      </c>
      <c r="M1102" s="0" t="n">
        <v>5740</v>
      </c>
      <c r="N1102" s="0" t="n">
        <v>11</v>
      </c>
      <c r="O1102" s="54" t="n">
        <f aca="false">YEAR(B1102)</f>
        <v>2021</v>
      </c>
      <c r="P1102" s="54" t="n">
        <f aca="false">IF(AND(E1102&gt;=14400,K1102&gt;0,L1102&gt;0),1,0)</f>
        <v>1</v>
      </c>
      <c r="Q1102" s="53" t="n">
        <f aca="false">IF(P1102=1,F1102/E1102*MIN(L1102/K1102,1)*MIN(MAX(M1102/L1102,0),1),0)</f>
        <v>0.0851740253835467</v>
      </c>
      <c r="R1102" s="55" t="n">
        <f aca="false">IF(F1102&gt;0,N1102/(F1102/3600),0)</f>
        <v>11.6630543595525</v>
      </c>
    </row>
    <row r="1103" customFormat="false" ht="15" hidden="false" customHeight="false" outlineLevel="0" collapsed="false">
      <c r="A1103" s="0" t="s">
        <v>259</v>
      </c>
      <c r="B1103" s="52" t="n">
        <v>44495</v>
      </c>
      <c r="C1103" s="0" t="n">
        <v>49586.018</v>
      </c>
      <c r="D1103" s="0" t="n">
        <v>9598.084</v>
      </c>
      <c r="E1103" s="0" t="n">
        <v>39987.934</v>
      </c>
      <c r="F1103" s="0" t="n">
        <v>20983.385</v>
      </c>
      <c r="G1103" s="0" t="n">
        <v>16758.904</v>
      </c>
      <c r="H1103" s="0" t="n">
        <v>4224.481</v>
      </c>
      <c r="I1103" s="0" t="n">
        <v>6962.137</v>
      </c>
      <c r="J1103" s="0" t="n">
        <v>12042.412</v>
      </c>
      <c r="K1103" s="0" t="n">
        <v>35741.763675</v>
      </c>
      <c r="L1103" s="0" t="n">
        <v>28427</v>
      </c>
      <c r="M1103" s="0" t="n">
        <v>27965</v>
      </c>
      <c r="N1103" s="0" t="n">
        <v>49</v>
      </c>
      <c r="O1103" s="54" t="n">
        <f aca="false">YEAR(B1103)</f>
        <v>2021</v>
      </c>
      <c r="P1103" s="54" t="n">
        <f aca="false">IF(AND(E1103&gt;=14400,K1103&gt;0,L1103&gt;0),1,0)</f>
        <v>1</v>
      </c>
      <c r="Q1103" s="53" t="n">
        <f aca="false">IF(P1103=1,F1103/E1103*MIN(L1103/K1103,1)*MIN(MAX(M1103/L1103,0),1),0)</f>
        <v>0.410568312046739</v>
      </c>
      <c r="R1103" s="55" t="n">
        <f aca="false">IF(F1103&gt;0,N1103/(F1103/3600),0)</f>
        <v>8.40665126241548</v>
      </c>
    </row>
    <row r="1104" customFormat="false" ht="15" hidden="false" customHeight="false" outlineLevel="0" collapsed="false">
      <c r="A1104" s="0" t="s">
        <v>259</v>
      </c>
      <c r="B1104" s="52" t="n">
        <v>44496</v>
      </c>
      <c r="C1104" s="0" t="n">
        <v>49001.167</v>
      </c>
      <c r="D1104" s="0" t="n">
        <v>8860.386</v>
      </c>
      <c r="E1104" s="0" t="n">
        <v>40140.781</v>
      </c>
      <c r="F1104" s="0" t="n">
        <v>8001.755</v>
      </c>
      <c r="G1104" s="0" t="n">
        <v>6939.674</v>
      </c>
      <c r="H1104" s="0" t="n">
        <v>1062.081</v>
      </c>
      <c r="I1104" s="0" t="n">
        <v>6026.026</v>
      </c>
      <c r="J1104" s="0" t="n">
        <v>26113</v>
      </c>
      <c r="K1104" s="0" t="n">
        <v>13763.2147194444</v>
      </c>
      <c r="L1104" s="0" t="n">
        <v>11859</v>
      </c>
      <c r="M1104" s="0" t="n">
        <v>11803</v>
      </c>
      <c r="N1104" s="0" t="n">
        <v>17</v>
      </c>
      <c r="O1104" s="54" t="n">
        <f aca="false">YEAR(B1104)</f>
        <v>2021</v>
      </c>
      <c r="P1104" s="54" t="n">
        <f aca="false">IF(AND(E1104&gt;=14400,K1104&gt;0,L1104&gt;0),1,0)</f>
        <v>1</v>
      </c>
      <c r="Q1104" s="53" t="n">
        <f aca="false">IF(P1104=1,F1104/E1104*MIN(L1104/K1104,1)*MIN(MAX(M1104/L1104,0),1),0)</f>
        <v>0.170951121230469</v>
      </c>
      <c r="R1104" s="55" t="n">
        <f aca="false">IF(F1104&gt;0,N1104/(F1104/3600),0)</f>
        <v>7.64832214932849</v>
      </c>
    </row>
    <row r="1105" customFormat="false" ht="15" hidden="false" customHeight="false" outlineLevel="0" collapsed="false">
      <c r="A1105" s="0" t="s">
        <v>259</v>
      </c>
      <c r="B1105" s="52" t="n">
        <v>44497</v>
      </c>
      <c r="C1105" s="0" t="n">
        <v>51855.504</v>
      </c>
      <c r="D1105" s="0" t="n">
        <v>9504.511</v>
      </c>
      <c r="E1105" s="0" t="n">
        <v>42350.993</v>
      </c>
      <c r="F1105" s="0" t="n">
        <v>20998.215</v>
      </c>
      <c r="G1105" s="0" t="n">
        <v>17337.226</v>
      </c>
      <c r="H1105" s="0" t="n">
        <v>3660.989</v>
      </c>
      <c r="I1105" s="0" t="n">
        <v>5087.004</v>
      </c>
      <c r="J1105" s="0" t="n">
        <v>16265.774</v>
      </c>
      <c r="K1105" s="0" t="n">
        <v>36865.946755</v>
      </c>
      <c r="L1105" s="0" t="n">
        <v>30253</v>
      </c>
      <c r="M1105" s="0" t="n">
        <v>30135</v>
      </c>
      <c r="N1105" s="0" t="n">
        <v>66</v>
      </c>
      <c r="O1105" s="54" t="n">
        <f aca="false">YEAR(B1105)</f>
        <v>2021</v>
      </c>
      <c r="P1105" s="54" t="n">
        <f aca="false">IF(AND(E1105&gt;=14400,K1105&gt;0,L1105&gt;0),1,0)</f>
        <v>1</v>
      </c>
      <c r="Q1105" s="53" t="n">
        <f aca="false">IF(P1105=1,F1105/E1105*MIN(L1105/K1105,1)*MIN(MAX(M1105/L1105,0),1),0)</f>
        <v>0.40528878360763</v>
      </c>
      <c r="R1105" s="55" t="n">
        <f aca="false">IF(F1105&gt;0,N1105/(F1105/3600),0)</f>
        <v>11.3152475103241</v>
      </c>
    </row>
    <row r="1106" customFormat="false" ht="15" hidden="false" customHeight="false" outlineLevel="0" collapsed="false">
      <c r="A1106" s="0" t="s">
        <v>259</v>
      </c>
      <c r="B1106" s="52" t="n">
        <v>44498</v>
      </c>
      <c r="C1106" s="0" t="n">
        <v>51137.402</v>
      </c>
      <c r="D1106" s="0" t="n">
        <v>9301.593</v>
      </c>
      <c r="E1106" s="0" t="n">
        <v>41835.809</v>
      </c>
      <c r="F1106" s="0" t="n">
        <v>9992.218</v>
      </c>
      <c r="G1106" s="0" t="n">
        <v>8470.686</v>
      </c>
      <c r="H1106" s="0" t="n">
        <v>1521.532</v>
      </c>
      <c r="I1106" s="0" t="n">
        <v>9498.525</v>
      </c>
      <c r="J1106" s="0" t="n">
        <v>22345.066</v>
      </c>
      <c r="K1106" s="0" t="n">
        <v>17142.2051022222</v>
      </c>
      <c r="L1106" s="0" t="n">
        <v>14425</v>
      </c>
      <c r="M1106" s="0" t="n">
        <v>14349</v>
      </c>
      <c r="N1106" s="0" t="n">
        <v>38</v>
      </c>
      <c r="O1106" s="54" t="n">
        <f aca="false">YEAR(B1106)</f>
        <v>2021</v>
      </c>
      <c r="P1106" s="54" t="n">
        <f aca="false">IF(AND(E1106&gt;=14400,K1106&gt;0,L1106&gt;0),1,0)</f>
        <v>1</v>
      </c>
      <c r="Q1106" s="53" t="n">
        <f aca="false">IF(P1106=1,F1106/E1106*MIN(L1106/K1106,1)*MIN(MAX(M1106/L1106,0),1),0)</f>
        <v>0.199925724016597</v>
      </c>
      <c r="R1106" s="55" t="n">
        <f aca="false">IF(F1106&gt;0,N1106/(F1106/3600),0)</f>
        <v>13.6906540669949</v>
      </c>
    </row>
    <row r="1107" customFormat="false" ht="15" hidden="false" customHeight="false" outlineLevel="0" collapsed="false">
      <c r="A1107" s="0" t="s">
        <v>259</v>
      </c>
      <c r="B1107" s="52" t="n">
        <v>44499</v>
      </c>
      <c r="C1107" s="0" t="n">
        <v>28199.285</v>
      </c>
      <c r="D1107" s="0" t="n">
        <v>7275.022</v>
      </c>
      <c r="E1107" s="0" t="n">
        <v>20924.263</v>
      </c>
      <c r="F1107" s="0" t="n">
        <v>11044.624</v>
      </c>
      <c r="G1107" s="0" t="n">
        <v>7286.498</v>
      </c>
      <c r="H1107" s="0" t="n">
        <v>3758.126</v>
      </c>
      <c r="I1107" s="0" t="n">
        <v>4719.22</v>
      </c>
      <c r="J1107" s="0" t="n">
        <v>5160.419</v>
      </c>
      <c r="K1107" s="0" t="n">
        <v>19152.80622</v>
      </c>
      <c r="L1107" s="0" t="n">
        <v>12605</v>
      </c>
      <c r="M1107" s="0" t="n">
        <v>12567</v>
      </c>
      <c r="N1107" s="0" t="n">
        <v>23</v>
      </c>
      <c r="O1107" s="54" t="n">
        <f aca="false">YEAR(B1107)</f>
        <v>2021</v>
      </c>
      <c r="P1107" s="54" t="n">
        <f aca="false">IF(AND(E1107&gt;=14400,K1107&gt;0,L1107&gt;0),1,0)</f>
        <v>1</v>
      </c>
      <c r="Q1107" s="53" t="n">
        <f aca="false">IF(P1107=1,F1107/E1107*MIN(L1107/K1107,1)*MIN(MAX(M1107/L1107,0),1),0)</f>
        <v>0.346337857307898</v>
      </c>
      <c r="R1107" s="55" t="n">
        <f aca="false">IF(F1107&gt;0,N1107/(F1107/3600),0)</f>
        <v>7.49686001080707</v>
      </c>
    </row>
    <row r="1108" customFormat="false" ht="15" hidden="false" customHeight="false" outlineLevel="0" collapsed="false">
      <c r="A1108" s="0" t="s">
        <v>259</v>
      </c>
      <c r="B1108" s="52" t="n">
        <v>44500</v>
      </c>
      <c r="C1108" s="0" t="n">
        <v>12779.968</v>
      </c>
      <c r="D1108" s="0" t="n">
        <v>3300.855</v>
      </c>
      <c r="E1108" s="0" t="n">
        <v>9479.113</v>
      </c>
      <c r="F1108" s="0" t="n">
        <v>5160.135</v>
      </c>
      <c r="G1108" s="0" t="n">
        <v>4254.005</v>
      </c>
      <c r="H1108" s="0" t="n">
        <v>906.13</v>
      </c>
      <c r="I1108" s="0" t="n">
        <v>457.493</v>
      </c>
      <c r="J1108" s="0" t="n">
        <v>3861.485</v>
      </c>
      <c r="K1108" s="0" t="n">
        <v>8964.56987888889</v>
      </c>
      <c r="L1108" s="0" t="n">
        <v>7311</v>
      </c>
      <c r="M1108" s="0" t="n">
        <v>7267</v>
      </c>
      <c r="N1108" s="0" t="n">
        <v>9</v>
      </c>
      <c r="O1108" s="54" t="n">
        <f aca="false">YEAR(B1108)</f>
        <v>2021</v>
      </c>
      <c r="P1108" s="54" t="n">
        <f aca="false">IF(AND(E1108&gt;=14400,K1108&gt;0,L1108&gt;0),1,0)</f>
        <v>0</v>
      </c>
      <c r="Q1108" s="53" t="n">
        <f aca="false">IF(P1108=1,F1108/E1108*MIN(L1108/K1108,1)*MIN(MAX(M1108/L1108,0),1),0)</f>
        <v>0</v>
      </c>
      <c r="R1108" s="55" t="n">
        <f aca="false">IF(F1108&gt;0,N1108/(F1108/3600),0)</f>
        <v>6.27890549375162</v>
      </c>
    </row>
    <row r="1109" customFormat="false" ht="15" hidden="false" customHeight="false" outlineLevel="0" collapsed="false">
      <c r="A1109" s="0" t="s">
        <v>259</v>
      </c>
      <c r="B1109" s="52" t="n">
        <v>44501</v>
      </c>
      <c r="C1109" s="0" t="n">
        <v>44398.541</v>
      </c>
      <c r="D1109" s="0" t="n">
        <v>5743.047</v>
      </c>
      <c r="E1109" s="0" t="n">
        <v>38655.494</v>
      </c>
      <c r="F1109" s="0" t="n">
        <v>7912.386</v>
      </c>
      <c r="G1109" s="0" t="n">
        <v>5467.225</v>
      </c>
      <c r="H1109" s="0" t="n">
        <v>2445.161</v>
      </c>
      <c r="I1109" s="0" t="n">
        <v>1449.298</v>
      </c>
      <c r="J1109" s="0" t="n">
        <v>29293.81</v>
      </c>
      <c r="K1109" s="0" t="n">
        <v>13574.13776</v>
      </c>
      <c r="L1109" s="0" t="n">
        <v>9420</v>
      </c>
      <c r="M1109" s="0" t="n">
        <v>9418</v>
      </c>
      <c r="N1109" s="0" t="n">
        <v>14</v>
      </c>
      <c r="O1109" s="54" t="n">
        <f aca="false">YEAR(B1109)</f>
        <v>2021</v>
      </c>
      <c r="P1109" s="54" t="n">
        <f aca="false">IF(AND(E1109&gt;=14400,K1109&gt;0,L1109&gt;0),1,0)</f>
        <v>1</v>
      </c>
      <c r="Q1109" s="53" t="n">
        <f aca="false">IF(P1109=1,F1109/E1109*MIN(L1109/K1109,1)*MIN(MAX(M1109/L1109,0),1),0)</f>
        <v>0.142017764392773</v>
      </c>
      <c r="R1109" s="55" t="n">
        <f aca="false">IF(F1109&gt;0,N1109/(F1109/3600),0)</f>
        <v>6.36976001929127</v>
      </c>
    </row>
    <row r="1110" customFormat="false" ht="15" hidden="false" customHeight="false" outlineLevel="0" collapsed="false">
      <c r="A1110" s="0" t="s">
        <v>259</v>
      </c>
      <c r="B1110" s="52" t="n">
        <v>44502</v>
      </c>
      <c r="C1110" s="0" t="n">
        <v>52995.283</v>
      </c>
      <c r="D1110" s="0" t="n">
        <v>12077.745</v>
      </c>
      <c r="E1110" s="0" t="n">
        <v>40917.538</v>
      </c>
      <c r="F1110" s="0" t="n">
        <v>16166.898</v>
      </c>
      <c r="G1110" s="0" t="n">
        <v>12851.453</v>
      </c>
      <c r="H1110" s="0" t="n">
        <v>3315.445</v>
      </c>
      <c r="I1110" s="0" t="n">
        <v>10829.981</v>
      </c>
      <c r="J1110" s="0" t="n">
        <v>13920.659</v>
      </c>
      <c r="K1110" s="0" t="n">
        <v>28081.395915</v>
      </c>
      <c r="L1110" s="0" t="n">
        <v>22158</v>
      </c>
      <c r="M1110" s="0" t="n">
        <v>21990</v>
      </c>
      <c r="N1110" s="0" t="n">
        <v>53</v>
      </c>
      <c r="O1110" s="54" t="n">
        <f aca="false">YEAR(B1110)</f>
        <v>2021</v>
      </c>
      <c r="P1110" s="54" t="n">
        <f aca="false">IF(AND(E1110&gt;=14400,K1110&gt;0,L1110&gt;0),1,0)</f>
        <v>1</v>
      </c>
      <c r="Q1110" s="53" t="n">
        <f aca="false">IF(P1110=1,F1110/E1110*MIN(L1110/K1110,1)*MIN(MAX(M1110/L1110,0),1),0)</f>
        <v>0.309402444508212</v>
      </c>
      <c r="R1110" s="55" t="n">
        <f aca="false">IF(F1110&gt;0,N1110/(F1110/3600),0)</f>
        <v>11.8018929790984</v>
      </c>
    </row>
    <row r="1111" customFormat="false" ht="15" hidden="false" customHeight="false" outlineLevel="0" collapsed="false">
      <c r="A1111" s="0" t="s">
        <v>259</v>
      </c>
      <c r="B1111" s="52" t="n">
        <v>44503</v>
      </c>
      <c r="C1111" s="0" t="n">
        <v>51474.953</v>
      </c>
      <c r="D1111" s="0" t="n">
        <v>9297.317</v>
      </c>
      <c r="E1111" s="0" t="n">
        <v>42177.636</v>
      </c>
      <c r="F1111" s="0" t="n">
        <v>5366.789</v>
      </c>
      <c r="G1111" s="0" t="n">
        <v>3651.446</v>
      </c>
      <c r="H1111" s="0" t="n">
        <v>1715.343</v>
      </c>
      <c r="I1111" s="0" t="n">
        <v>3358.593</v>
      </c>
      <c r="J1111" s="0" t="n">
        <v>33452.254</v>
      </c>
      <c r="K1111" s="0" t="n">
        <v>9315.58792888889</v>
      </c>
      <c r="L1111" s="0" t="n">
        <v>6257</v>
      </c>
      <c r="M1111" s="0" t="n">
        <v>6157</v>
      </c>
      <c r="N1111" s="0" t="n">
        <v>9</v>
      </c>
      <c r="O1111" s="54" t="n">
        <f aca="false">YEAR(B1111)</f>
        <v>2021</v>
      </c>
      <c r="P1111" s="54" t="n">
        <f aca="false">IF(AND(E1111&gt;=14400,K1111&gt;0,L1111&gt;0),1,0)</f>
        <v>1</v>
      </c>
      <c r="Q1111" s="53" t="n">
        <f aca="false">IF(P1111=1,F1111/E1111*MIN(L1111/K1111,1)*MIN(MAX(M1111/L1111,0),1),0)</f>
        <v>0.084099065624229</v>
      </c>
      <c r="R1111" s="55" t="n">
        <f aca="false">IF(F1111&gt;0,N1111/(F1111/3600),0)</f>
        <v>6.03712946419172</v>
      </c>
    </row>
    <row r="1112" customFormat="false" ht="15" hidden="false" customHeight="false" outlineLevel="0" collapsed="false">
      <c r="A1112" s="0" t="s">
        <v>259</v>
      </c>
      <c r="B1112" s="52" t="n">
        <v>44504</v>
      </c>
      <c r="C1112" s="0" t="n">
        <v>39754.573</v>
      </c>
      <c r="D1112" s="0" t="n">
        <v>10451.463</v>
      </c>
      <c r="E1112" s="0" t="n">
        <v>29303.11</v>
      </c>
      <c r="F1112" s="0" t="n">
        <v>13087.662</v>
      </c>
      <c r="G1112" s="0" t="n">
        <v>9531.04</v>
      </c>
      <c r="H1112" s="0" t="n">
        <v>3556.622</v>
      </c>
      <c r="I1112" s="0" t="n">
        <v>910.555</v>
      </c>
      <c r="J1112" s="0" t="n">
        <v>15304.893</v>
      </c>
      <c r="K1112" s="0" t="n">
        <v>21394.9880583333</v>
      </c>
      <c r="L1112" s="0" t="n">
        <v>15811</v>
      </c>
      <c r="M1112" s="0" t="n">
        <v>15635</v>
      </c>
      <c r="N1112" s="0" t="n">
        <v>14</v>
      </c>
      <c r="O1112" s="54" t="n">
        <f aca="false">YEAR(B1112)</f>
        <v>2021</v>
      </c>
      <c r="P1112" s="54" t="n">
        <f aca="false">IF(AND(E1112&gt;=14400,K1112&gt;0,L1112&gt;0),1,0)</f>
        <v>1</v>
      </c>
      <c r="Q1112" s="53" t="n">
        <f aca="false">IF(P1112=1,F1112/E1112*MIN(L1112/K1112,1)*MIN(MAX(M1112/L1112,0),1),0)</f>
        <v>0.326388006878927</v>
      </c>
      <c r="R1112" s="55" t="n">
        <f aca="false">IF(F1112&gt;0,N1112/(F1112/3600),0)</f>
        <v>3.85095519734541</v>
      </c>
    </row>
    <row r="1113" customFormat="false" ht="15" hidden="false" customHeight="false" outlineLevel="0" collapsed="false">
      <c r="A1113" s="0" t="s">
        <v>259</v>
      </c>
      <c r="B1113" s="52" t="n">
        <v>44505</v>
      </c>
      <c r="C1113" s="0" t="n">
        <v>54479.089</v>
      </c>
      <c r="D1113" s="0" t="n">
        <v>9821.88</v>
      </c>
      <c r="E1113" s="0" t="n">
        <v>44657.209</v>
      </c>
      <c r="F1113" s="0" t="n">
        <v>15217.166</v>
      </c>
      <c r="G1113" s="0" t="n">
        <v>12494.825</v>
      </c>
      <c r="H1113" s="0" t="n">
        <v>2722.341</v>
      </c>
      <c r="I1113" s="0" t="n">
        <v>5273.599</v>
      </c>
      <c r="J1113" s="0" t="n">
        <v>24166.444</v>
      </c>
      <c r="K1113" s="0" t="n">
        <v>25801.99635</v>
      </c>
      <c r="L1113" s="0" t="n">
        <v>21313</v>
      </c>
      <c r="M1113" s="0" t="n">
        <v>21279</v>
      </c>
      <c r="N1113" s="0" t="n">
        <v>27</v>
      </c>
      <c r="O1113" s="54" t="n">
        <f aca="false">YEAR(B1113)</f>
        <v>2021</v>
      </c>
      <c r="P1113" s="54" t="n">
        <f aca="false">IF(AND(E1113&gt;=14400,K1113&gt;0,L1113&gt;0),1,0)</f>
        <v>1</v>
      </c>
      <c r="Q1113" s="53" t="n">
        <f aca="false">IF(P1113=1,F1113/E1113*MIN(L1113/K1113,1)*MIN(MAX(M1113/L1113,0),1),0)</f>
        <v>0.281021861630008</v>
      </c>
      <c r="R1113" s="55" t="n">
        <f aca="false">IF(F1113&gt;0,N1113/(F1113/3600),0)</f>
        <v>6.38752314327123</v>
      </c>
    </row>
    <row r="1114" customFormat="false" ht="15" hidden="false" customHeight="false" outlineLevel="0" collapsed="false">
      <c r="A1114" s="0" t="s">
        <v>259</v>
      </c>
      <c r="B1114" s="52" t="n">
        <v>44506</v>
      </c>
      <c r="C1114" s="0" t="n">
        <v>35633.966</v>
      </c>
      <c r="D1114" s="0" t="n">
        <v>5775.231</v>
      </c>
      <c r="E1114" s="0" t="n">
        <v>29858.735</v>
      </c>
      <c r="F1114" s="0" t="n">
        <v>10669.771</v>
      </c>
      <c r="G1114" s="0" t="n">
        <v>8597.2</v>
      </c>
      <c r="H1114" s="0" t="n">
        <v>2072.571</v>
      </c>
      <c r="I1114" s="0" t="n">
        <v>2443.24</v>
      </c>
      <c r="J1114" s="0" t="n">
        <v>16745.724</v>
      </c>
      <c r="K1114" s="0" t="n">
        <v>17799.7179522222</v>
      </c>
      <c r="L1114" s="0" t="n">
        <v>14253</v>
      </c>
      <c r="M1114" s="0" t="n">
        <v>14137</v>
      </c>
      <c r="N1114" s="0" t="n">
        <v>16</v>
      </c>
      <c r="O1114" s="54" t="n">
        <f aca="false">YEAR(B1114)</f>
        <v>2021</v>
      </c>
      <c r="P1114" s="54" t="n">
        <f aca="false">IF(AND(E1114&gt;=14400,K1114&gt;0,L1114&gt;0),1,0)</f>
        <v>1</v>
      </c>
      <c r="Q1114" s="53" t="n">
        <f aca="false">IF(P1114=1,F1114/E1114*MIN(L1114/K1114,1)*MIN(MAX(M1114/L1114,0),1),0)</f>
        <v>0.283810089991064</v>
      </c>
      <c r="R1114" s="55" t="n">
        <f aca="false">IF(F1114&gt;0,N1114/(F1114/3600),0)</f>
        <v>5.39842888849255</v>
      </c>
    </row>
    <row r="1115" customFormat="false" ht="15" hidden="false" customHeight="false" outlineLevel="0" collapsed="false">
      <c r="A1115" s="0" t="s">
        <v>259</v>
      </c>
      <c r="B1115" s="52" t="n">
        <v>44507</v>
      </c>
      <c r="C1115" s="0" t="n">
        <v>16151.736</v>
      </c>
      <c r="D1115" s="0" t="n">
        <v>3319.85</v>
      </c>
      <c r="E1115" s="0" t="n">
        <v>12831.886</v>
      </c>
      <c r="F1115" s="0" t="n">
        <v>2070.954</v>
      </c>
      <c r="G1115" s="0" t="n">
        <v>1774.506</v>
      </c>
      <c r="H1115" s="0" t="n">
        <v>296.448</v>
      </c>
      <c r="I1115" s="0" t="n">
        <v>10149.652</v>
      </c>
      <c r="J1115" s="0" t="n">
        <v>611.28</v>
      </c>
      <c r="K1115" s="0" t="n">
        <v>3552.83664</v>
      </c>
      <c r="L1115" s="0" t="n">
        <v>3034</v>
      </c>
      <c r="M1115" s="0" t="n">
        <v>3012</v>
      </c>
      <c r="N1115" s="0" t="n">
        <v>5</v>
      </c>
      <c r="O1115" s="54" t="n">
        <f aca="false">YEAR(B1115)</f>
        <v>2021</v>
      </c>
      <c r="P1115" s="54" t="n">
        <f aca="false">IF(AND(E1115&gt;=14400,K1115&gt;0,L1115&gt;0),1,0)</f>
        <v>0</v>
      </c>
      <c r="Q1115" s="53" t="n">
        <f aca="false">IF(P1115=1,F1115/E1115*MIN(L1115/K1115,1)*MIN(MAX(M1115/L1115,0),1),0)</f>
        <v>0</v>
      </c>
      <c r="R1115" s="55" t="n">
        <f aca="false">IF(F1115&gt;0,N1115/(F1115/3600),0)</f>
        <v>8.69164645858865</v>
      </c>
    </row>
    <row r="1116" customFormat="false" ht="15" hidden="false" customHeight="false" outlineLevel="0" collapsed="false">
      <c r="A1116" s="0" t="s">
        <v>259</v>
      </c>
      <c r="B1116" s="52" t="n">
        <v>44508</v>
      </c>
      <c r="C1116" s="0" t="n">
        <v>45691.179</v>
      </c>
      <c r="D1116" s="0" t="n">
        <v>14409.081</v>
      </c>
      <c r="E1116" s="0" t="n">
        <v>31282.098</v>
      </c>
      <c r="F1116" s="0" t="n">
        <v>10107.739</v>
      </c>
      <c r="G1116" s="0" t="n">
        <v>6818.98</v>
      </c>
      <c r="H1116" s="0" t="n">
        <v>3288.759</v>
      </c>
      <c r="I1116" s="0" t="n">
        <v>10622.82</v>
      </c>
      <c r="J1116" s="0" t="n">
        <v>10551.539</v>
      </c>
      <c r="K1116" s="0" t="n">
        <v>17270.6354788889</v>
      </c>
      <c r="L1116" s="0" t="n">
        <v>11528</v>
      </c>
      <c r="M1116" s="0" t="n">
        <v>11496</v>
      </c>
      <c r="N1116" s="0" t="n">
        <v>28</v>
      </c>
      <c r="O1116" s="54" t="n">
        <f aca="false">YEAR(B1116)</f>
        <v>2021</v>
      </c>
      <c r="P1116" s="54" t="n">
        <f aca="false">IF(AND(E1116&gt;=14400,K1116&gt;0,L1116&gt;0),1,0)</f>
        <v>1</v>
      </c>
      <c r="Q1116" s="53" t="n">
        <f aca="false">IF(P1116=1,F1116/E1116*MIN(L1116/K1116,1)*MIN(MAX(M1116/L1116,0),1),0)</f>
        <v>0.215078294565254</v>
      </c>
      <c r="R1116" s="55" t="n">
        <f aca="false">IF(F1116&gt;0,N1116/(F1116/3600),0)</f>
        <v>9.97255667167504</v>
      </c>
    </row>
    <row r="1117" customFormat="false" ht="15" hidden="false" customHeight="false" outlineLevel="0" collapsed="false">
      <c r="A1117" s="0" t="s">
        <v>259</v>
      </c>
      <c r="B1117" s="52" t="n">
        <v>44509</v>
      </c>
      <c r="C1117" s="0" t="n">
        <v>62113.028</v>
      </c>
      <c r="D1117" s="0" t="n">
        <v>7148.015</v>
      </c>
      <c r="E1117" s="0" t="n">
        <v>54965.013</v>
      </c>
      <c r="F1117" s="0" t="n">
        <v>21718.224</v>
      </c>
      <c r="G1117" s="0" t="n">
        <v>13891.578</v>
      </c>
      <c r="H1117" s="0" t="n">
        <v>7826.646</v>
      </c>
      <c r="I1117" s="0" t="n">
        <v>10713.161</v>
      </c>
      <c r="J1117" s="0" t="n">
        <v>22533.628</v>
      </c>
      <c r="K1117" s="0" t="n">
        <v>36862.907875</v>
      </c>
      <c r="L1117" s="0" t="n">
        <v>23618</v>
      </c>
      <c r="M1117" s="0" t="n">
        <v>23475</v>
      </c>
      <c r="N1117" s="0" t="n">
        <v>36</v>
      </c>
      <c r="O1117" s="54" t="n">
        <f aca="false">YEAR(B1117)</f>
        <v>2021</v>
      </c>
      <c r="P1117" s="54" t="n">
        <f aca="false">IF(AND(E1117&gt;=14400,K1117&gt;0,L1117&gt;0),1,0)</f>
        <v>1</v>
      </c>
      <c r="Q1117" s="53" t="n">
        <f aca="false">IF(P1117=1,F1117/E1117*MIN(L1117/K1117,1)*MIN(MAX(M1117/L1117,0),1),0)</f>
        <v>0.251625113103052</v>
      </c>
      <c r="R1117" s="55" t="n">
        <f aca="false">IF(F1117&gt;0,N1117/(F1117/3600),0)</f>
        <v>5.96733876582174</v>
      </c>
    </row>
    <row r="1118" customFormat="false" ht="15" hidden="false" customHeight="false" outlineLevel="0" collapsed="false">
      <c r="A1118" s="0" t="s">
        <v>259</v>
      </c>
      <c r="B1118" s="52" t="n">
        <v>44510</v>
      </c>
      <c r="C1118" s="0" t="n">
        <v>39698.756</v>
      </c>
      <c r="D1118" s="0" t="n">
        <v>9562.578</v>
      </c>
      <c r="E1118" s="0" t="n">
        <v>30136.178</v>
      </c>
      <c r="F1118" s="0" t="n">
        <v>16250.586</v>
      </c>
      <c r="G1118" s="0" t="n">
        <v>12848.325</v>
      </c>
      <c r="H1118" s="0" t="n">
        <v>3402.261</v>
      </c>
      <c r="I1118" s="0" t="n">
        <v>2286.421</v>
      </c>
      <c r="J1118" s="0" t="n">
        <v>11599.171</v>
      </c>
      <c r="K1118" s="0" t="n">
        <v>28486.3956833333</v>
      </c>
      <c r="L1118" s="0" t="n">
        <v>22227</v>
      </c>
      <c r="M1118" s="0" t="n">
        <v>22183</v>
      </c>
      <c r="N1118" s="0" t="n">
        <v>32</v>
      </c>
      <c r="O1118" s="54" t="n">
        <f aca="false">YEAR(B1118)</f>
        <v>2021</v>
      </c>
      <c r="P1118" s="54" t="n">
        <f aca="false">IF(AND(E1118&gt;=14400,K1118&gt;0,L1118&gt;0),1,0)</f>
        <v>1</v>
      </c>
      <c r="Q1118" s="53" t="n">
        <f aca="false">IF(P1118=1,F1118/E1118*MIN(L1118/K1118,1)*MIN(MAX(M1118/L1118,0),1),0)</f>
        <v>0.419917167931305</v>
      </c>
      <c r="R1118" s="55" t="n">
        <f aca="false">IF(F1118&gt;0,N1118/(F1118/3600),0)</f>
        <v>7.08897512988147</v>
      </c>
    </row>
    <row r="1119" customFormat="false" ht="15" hidden="false" customHeight="false" outlineLevel="0" collapsed="false">
      <c r="A1119" s="0" t="s">
        <v>259</v>
      </c>
      <c r="B1119" s="52" t="n">
        <v>44511</v>
      </c>
      <c r="C1119" s="0" t="n">
        <v>45928.43</v>
      </c>
      <c r="D1119" s="0" t="n">
        <v>9043.241</v>
      </c>
      <c r="E1119" s="0" t="n">
        <v>36885.189</v>
      </c>
      <c r="F1119" s="0" t="n">
        <v>22918.05</v>
      </c>
      <c r="G1119" s="0" t="n">
        <v>19944.639</v>
      </c>
      <c r="H1119" s="0" t="n">
        <v>2973.411</v>
      </c>
      <c r="I1119" s="0" t="n">
        <v>5229.073</v>
      </c>
      <c r="J1119" s="0" t="n">
        <v>8738.066</v>
      </c>
      <c r="K1119" s="0" t="n">
        <v>39317.188</v>
      </c>
      <c r="L1119" s="0" t="n">
        <v>34124</v>
      </c>
      <c r="M1119" s="0" t="n">
        <v>33988</v>
      </c>
      <c r="N1119" s="0" t="n">
        <v>54</v>
      </c>
      <c r="O1119" s="54" t="n">
        <f aca="false">YEAR(B1119)</f>
        <v>2021</v>
      </c>
      <c r="P1119" s="54" t="n">
        <f aca="false">IF(AND(E1119&gt;=14400,K1119&gt;0,L1119&gt;0),1,0)</f>
        <v>1</v>
      </c>
      <c r="Q1119" s="53" t="n">
        <f aca="false">IF(P1119=1,F1119/E1119*MIN(L1119/K1119,1)*MIN(MAX(M1119/L1119,0),1),0)</f>
        <v>0.537116890768489</v>
      </c>
      <c r="R1119" s="55" t="n">
        <f aca="false">IF(F1119&gt;0,N1119/(F1119/3600),0)</f>
        <v>8.48239706257732</v>
      </c>
    </row>
    <row r="1120" customFormat="false" ht="15" hidden="false" customHeight="false" outlineLevel="0" collapsed="false">
      <c r="A1120" s="0" t="s">
        <v>259</v>
      </c>
      <c r="B1120" s="52" t="n">
        <v>44512</v>
      </c>
      <c r="C1120" s="0" t="n">
        <v>49807.022</v>
      </c>
      <c r="D1120" s="0" t="n">
        <v>10338.117</v>
      </c>
      <c r="E1120" s="0" t="n">
        <v>39468.905</v>
      </c>
      <c r="F1120" s="0" t="n">
        <v>11072.515</v>
      </c>
      <c r="G1120" s="0" t="n">
        <v>9046.912</v>
      </c>
      <c r="H1120" s="0" t="n">
        <v>2025.603</v>
      </c>
      <c r="I1120" s="0" t="n">
        <v>4493.773</v>
      </c>
      <c r="J1120" s="0" t="n">
        <v>23902.617</v>
      </c>
      <c r="K1120" s="0" t="n">
        <v>18995.5146222222</v>
      </c>
      <c r="L1120" s="0" t="n">
        <v>15471</v>
      </c>
      <c r="M1120" s="0" t="n">
        <v>15387</v>
      </c>
      <c r="N1120" s="0" t="n">
        <v>29</v>
      </c>
      <c r="O1120" s="54" t="n">
        <f aca="false">YEAR(B1120)</f>
        <v>2021</v>
      </c>
      <c r="P1120" s="54" t="n">
        <f aca="false">IF(AND(E1120&gt;=14400,K1120&gt;0,L1120&gt;0),1,0)</f>
        <v>1</v>
      </c>
      <c r="Q1120" s="53" t="n">
        <f aca="false">IF(P1120=1,F1120/E1120*MIN(L1120/K1120,1)*MIN(MAX(M1120/L1120,0),1),0)</f>
        <v>0.227244870806945</v>
      </c>
      <c r="R1120" s="55" t="n">
        <f aca="false">IF(F1120&gt;0,N1120/(F1120/3600),0)</f>
        <v>9.42875218502752</v>
      </c>
    </row>
    <row r="1121" customFormat="false" ht="15" hidden="false" customHeight="false" outlineLevel="0" collapsed="false">
      <c r="A1121" s="0" t="s">
        <v>259</v>
      </c>
      <c r="B1121" s="52" t="n">
        <v>44513</v>
      </c>
      <c r="C1121" s="0" t="n">
        <v>19780.756</v>
      </c>
      <c r="D1121" s="0" t="n">
        <v>6247.534</v>
      </c>
      <c r="E1121" s="0" t="n">
        <v>13533.222</v>
      </c>
      <c r="F1121" s="0" t="n">
        <v>8005.848</v>
      </c>
      <c r="G1121" s="0" t="n">
        <v>7149.482</v>
      </c>
      <c r="H1121" s="0" t="n">
        <v>856.366</v>
      </c>
      <c r="I1121" s="0" t="n">
        <v>1990.142</v>
      </c>
      <c r="J1121" s="0" t="n">
        <v>3537.232</v>
      </c>
      <c r="K1121" s="0" t="n">
        <v>13594.8913294444</v>
      </c>
      <c r="L1121" s="0" t="n">
        <v>12230</v>
      </c>
      <c r="M1121" s="0" t="n">
        <v>12168</v>
      </c>
      <c r="N1121" s="0" t="n">
        <v>18</v>
      </c>
      <c r="O1121" s="54" t="n">
        <f aca="false">YEAR(B1121)</f>
        <v>2021</v>
      </c>
      <c r="P1121" s="54" t="n">
        <f aca="false">IF(AND(E1121&gt;=14400,K1121&gt;0,L1121&gt;0),1,0)</f>
        <v>0</v>
      </c>
      <c r="Q1121" s="53" t="n">
        <f aca="false">IF(P1121=1,F1121/E1121*MIN(L1121/K1121,1)*MIN(MAX(M1121/L1121,0),1),0)</f>
        <v>0</v>
      </c>
      <c r="R1121" s="55" t="n">
        <f aca="false">IF(F1121&gt;0,N1121/(F1121/3600),0)</f>
        <v>8.09408322516241</v>
      </c>
    </row>
    <row r="1122" customFormat="false" ht="15" hidden="false" customHeight="false" outlineLevel="0" collapsed="false">
      <c r="A1122" s="0" t="s">
        <v>259</v>
      </c>
      <c r="B1122" s="52" t="n">
        <v>44514</v>
      </c>
      <c r="C1122" s="0" t="n">
        <v>12388.254</v>
      </c>
      <c r="D1122" s="0" t="n">
        <v>3348.564</v>
      </c>
      <c r="E1122" s="0" t="n">
        <v>9039.69</v>
      </c>
      <c r="F1122" s="0" t="n">
        <v>5783.777</v>
      </c>
      <c r="G1122" s="0" t="n">
        <v>5139.867</v>
      </c>
      <c r="H1122" s="0" t="n">
        <v>643.91</v>
      </c>
      <c r="I1122" s="0" t="n">
        <v>1016.932</v>
      </c>
      <c r="J1122" s="0" t="n">
        <v>2238.981</v>
      </c>
      <c r="K1122" s="0" t="n">
        <v>9922.39076444444</v>
      </c>
      <c r="L1122" s="0" t="n">
        <v>8766</v>
      </c>
      <c r="M1122" s="0" t="n">
        <v>8672</v>
      </c>
      <c r="N1122" s="0" t="n">
        <v>9</v>
      </c>
      <c r="O1122" s="54" t="n">
        <f aca="false">YEAR(B1122)</f>
        <v>2021</v>
      </c>
      <c r="P1122" s="54" t="n">
        <f aca="false">IF(AND(E1122&gt;=14400,K1122&gt;0,L1122&gt;0),1,0)</f>
        <v>0</v>
      </c>
      <c r="Q1122" s="53" t="n">
        <f aca="false">IF(P1122=1,F1122/E1122*MIN(L1122/K1122,1)*MIN(MAX(M1122/L1122,0),1),0)</f>
        <v>0</v>
      </c>
      <c r="R1122" s="55" t="n">
        <f aca="false">IF(F1122&gt;0,N1122/(F1122/3600),0)</f>
        <v>5.60187572930284</v>
      </c>
    </row>
    <row r="1123" customFormat="false" ht="15" hidden="false" customHeight="false" outlineLevel="0" collapsed="false">
      <c r="A1123" s="0" t="s">
        <v>259</v>
      </c>
      <c r="B1123" s="52" t="n">
        <v>44515</v>
      </c>
      <c r="C1123" s="0" t="n">
        <v>59150.467</v>
      </c>
      <c r="D1123" s="0" t="n">
        <v>11738.921</v>
      </c>
      <c r="E1123" s="0" t="n">
        <v>47411.546</v>
      </c>
      <c r="F1123" s="0" t="n">
        <v>9423.415</v>
      </c>
      <c r="G1123" s="0" t="n">
        <v>8518.128</v>
      </c>
      <c r="H1123" s="0" t="n">
        <v>905.287</v>
      </c>
      <c r="I1123" s="0" t="n">
        <v>4448.435</v>
      </c>
      <c r="J1123" s="0" t="n">
        <v>33539.696</v>
      </c>
      <c r="K1123" s="0" t="n">
        <v>16166.3919555556</v>
      </c>
      <c r="L1123" s="0" t="n">
        <v>14517</v>
      </c>
      <c r="M1123" s="0" t="n">
        <v>14498</v>
      </c>
      <c r="N1123" s="0" t="n">
        <v>38</v>
      </c>
      <c r="O1123" s="54" t="n">
        <f aca="false">YEAR(B1123)</f>
        <v>2021</v>
      </c>
      <c r="P1123" s="54" t="n">
        <f aca="false">IF(AND(E1123&gt;=14400,K1123&gt;0,L1123&gt;0),1,0)</f>
        <v>1</v>
      </c>
      <c r="Q1123" s="53" t="n">
        <f aca="false">IF(P1123=1,F1123/E1123*MIN(L1123/K1123,1)*MIN(MAX(M1123/L1123,0),1),0)</f>
        <v>0.178245753381493</v>
      </c>
      <c r="R1123" s="55" t="n">
        <f aca="false">IF(F1123&gt;0,N1123/(F1123/3600),0)</f>
        <v>14.517030184917</v>
      </c>
    </row>
    <row r="1124" customFormat="false" ht="15" hidden="false" customHeight="false" outlineLevel="0" collapsed="false">
      <c r="A1124" s="0" t="s">
        <v>259</v>
      </c>
      <c r="B1124" s="52" t="n">
        <v>44516</v>
      </c>
      <c r="C1124" s="0" t="n">
        <v>30880.412</v>
      </c>
      <c r="D1124" s="0" t="n">
        <v>9284.432</v>
      </c>
      <c r="E1124" s="0" t="n">
        <v>21595.98</v>
      </c>
      <c r="F1124" s="0" t="n">
        <v>12326.883</v>
      </c>
      <c r="G1124" s="0" t="n">
        <v>9626.941</v>
      </c>
      <c r="H1124" s="0" t="n">
        <v>2699.942</v>
      </c>
      <c r="I1124" s="0" t="n">
        <v>5609.087</v>
      </c>
      <c r="J1124" s="0" t="n">
        <v>3660.01</v>
      </c>
      <c r="K1124" s="0" t="n">
        <v>21520.8120333333</v>
      </c>
      <c r="L1124" s="0" t="n">
        <v>16572</v>
      </c>
      <c r="M1124" s="0" t="n">
        <v>16460</v>
      </c>
      <c r="N1124" s="0" t="n">
        <v>44</v>
      </c>
      <c r="O1124" s="54" t="n">
        <f aca="false">YEAR(B1124)</f>
        <v>2021</v>
      </c>
      <c r="P1124" s="54" t="n">
        <f aca="false">IF(AND(E1124&gt;=14400,K1124&gt;0,L1124&gt;0),1,0)</f>
        <v>1</v>
      </c>
      <c r="Q1124" s="53" t="n">
        <f aca="false">IF(P1124=1,F1124/E1124*MIN(L1124/K1124,1)*MIN(MAX(M1124/L1124,0),1),0)</f>
        <v>0.436567632788418</v>
      </c>
      <c r="R1124" s="55" t="n">
        <f aca="false">IF(F1124&gt;0,N1124/(F1124/3600),0)</f>
        <v>12.8499637742972</v>
      </c>
    </row>
    <row r="1125" customFormat="false" ht="15" hidden="false" customHeight="false" outlineLevel="0" collapsed="false">
      <c r="A1125" s="0" t="s">
        <v>259</v>
      </c>
      <c r="B1125" s="52" t="n">
        <v>44517</v>
      </c>
      <c r="C1125" s="0" t="n">
        <v>48354.415</v>
      </c>
      <c r="D1125" s="0" t="n">
        <v>9005.622</v>
      </c>
      <c r="E1125" s="0" t="n">
        <v>39348.793</v>
      </c>
      <c r="F1125" s="0" t="n">
        <v>14891.275</v>
      </c>
      <c r="G1125" s="0" t="n">
        <v>13455.905</v>
      </c>
      <c r="H1125" s="0" t="n">
        <v>1435.37</v>
      </c>
      <c r="I1125" s="0" t="n">
        <v>5460.866</v>
      </c>
      <c r="J1125" s="0" t="n">
        <v>18996.652</v>
      </c>
      <c r="K1125" s="0" t="n">
        <v>25863.3047255556</v>
      </c>
      <c r="L1125" s="0" t="n">
        <v>23238</v>
      </c>
      <c r="M1125" s="0" t="n">
        <v>23180</v>
      </c>
      <c r="N1125" s="0" t="n">
        <v>37</v>
      </c>
      <c r="O1125" s="54" t="n">
        <f aca="false">YEAR(B1125)</f>
        <v>2021</v>
      </c>
      <c r="P1125" s="54" t="n">
        <f aca="false">IF(AND(E1125&gt;=14400,K1125&gt;0,L1125&gt;0),1,0)</f>
        <v>1</v>
      </c>
      <c r="Q1125" s="53" t="n">
        <f aca="false">IF(P1125=1,F1125/E1125*MIN(L1125/K1125,1)*MIN(MAX(M1125/L1125,0),1),0)</f>
        <v>0.339179724882203</v>
      </c>
      <c r="R1125" s="55" t="n">
        <f aca="false">IF(F1125&gt;0,N1125/(F1125/3600),0)</f>
        <v>8.9448351467554</v>
      </c>
    </row>
    <row r="1126" customFormat="false" ht="15" hidden="false" customHeight="false" outlineLevel="0" collapsed="false">
      <c r="A1126" s="0" t="s">
        <v>259</v>
      </c>
      <c r="B1126" s="52" t="n">
        <v>44518</v>
      </c>
      <c r="C1126" s="0" t="n">
        <v>45535.554</v>
      </c>
      <c r="D1126" s="0" t="n">
        <v>12016.116</v>
      </c>
      <c r="E1126" s="0" t="n">
        <v>33519.438</v>
      </c>
      <c r="F1126" s="0" t="n">
        <v>20847.632</v>
      </c>
      <c r="G1126" s="0" t="n">
        <v>19579.378</v>
      </c>
      <c r="H1126" s="0" t="n">
        <v>1268.254</v>
      </c>
      <c r="I1126" s="0" t="n">
        <v>4506.682</v>
      </c>
      <c r="J1126" s="0" t="n">
        <v>8165.124</v>
      </c>
      <c r="K1126" s="0" t="n">
        <v>35765.2708977778</v>
      </c>
      <c r="L1126" s="0" t="n">
        <v>33522</v>
      </c>
      <c r="M1126" s="0" t="n">
        <v>33446</v>
      </c>
      <c r="N1126" s="0" t="n">
        <v>38</v>
      </c>
      <c r="O1126" s="54" t="n">
        <f aca="false">YEAR(B1126)</f>
        <v>2021</v>
      </c>
      <c r="P1126" s="54" t="n">
        <f aca="false">IF(AND(E1126&gt;=14400,K1126&gt;0,L1126&gt;0),1,0)</f>
        <v>1</v>
      </c>
      <c r="Q1126" s="53" t="n">
        <f aca="false">IF(P1126=1,F1126/E1126*MIN(L1126/K1126,1)*MIN(MAX(M1126/L1126,0),1),0)</f>
        <v>0.581624470810073</v>
      </c>
      <c r="R1126" s="55" t="n">
        <f aca="false">IF(F1126&gt;0,N1126/(F1126/3600),0)</f>
        <v>6.56189633431749</v>
      </c>
    </row>
    <row r="1127" customFormat="false" ht="15" hidden="false" customHeight="false" outlineLevel="0" collapsed="false">
      <c r="A1127" s="0" t="s">
        <v>259</v>
      </c>
      <c r="B1127" s="52" t="n">
        <v>44519</v>
      </c>
      <c r="C1127" s="0" t="n">
        <v>55188.014</v>
      </c>
      <c r="D1127" s="0" t="n">
        <v>9887.412</v>
      </c>
      <c r="E1127" s="0" t="n">
        <v>45300.602</v>
      </c>
      <c r="F1127" s="0" t="n">
        <v>11814.812</v>
      </c>
      <c r="G1127" s="0" t="n">
        <v>9282.159</v>
      </c>
      <c r="H1127" s="0" t="n">
        <v>2532.653</v>
      </c>
      <c r="I1127" s="0" t="n">
        <v>9877.814</v>
      </c>
      <c r="J1127" s="0" t="n">
        <v>23607.976</v>
      </c>
      <c r="K1127" s="0" t="n">
        <v>20268.9663644444</v>
      </c>
      <c r="L1127" s="0" t="n">
        <v>15958</v>
      </c>
      <c r="M1127" s="0" t="n">
        <v>15880</v>
      </c>
      <c r="N1127" s="0" t="n">
        <v>27</v>
      </c>
      <c r="O1127" s="54" t="n">
        <f aca="false">YEAR(B1127)</f>
        <v>2021</v>
      </c>
      <c r="P1127" s="54" t="n">
        <f aca="false">IF(AND(E1127&gt;=14400,K1127&gt;0,L1127&gt;0),1,0)</f>
        <v>1</v>
      </c>
      <c r="Q1127" s="53" t="n">
        <f aca="false">IF(P1127=1,F1127/E1127*MIN(L1127/K1127,1)*MIN(MAX(M1127/L1127,0),1),0)</f>
        <v>0.20433451820216</v>
      </c>
      <c r="R1127" s="55" t="n">
        <f aca="false">IF(F1127&gt;0,N1127/(F1127/3600),0)</f>
        <v>8.22696120767728</v>
      </c>
    </row>
    <row r="1128" customFormat="false" ht="15" hidden="false" customHeight="false" outlineLevel="0" collapsed="false">
      <c r="A1128" s="0" t="s">
        <v>259</v>
      </c>
      <c r="B1128" s="52" t="n">
        <v>44520</v>
      </c>
      <c r="C1128" s="0" t="n">
        <v>16437.312</v>
      </c>
      <c r="D1128" s="0" t="n">
        <v>5831.119</v>
      </c>
      <c r="E1128" s="0" t="n">
        <v>10606.193</v>
      </c>
      <c r="F1128" s="0" t="n">
        <v>7550.586</v>
      </c>
      <c r="G1128" s="0" t="n">
        <v>7167.486</v>
      </c>
      <c r="H1128" s="0" t="n">
        <v>383.1</v>
      </c>
      <c r="I1128" s="0" t="n">
        <v>326.048</v>
      </c>
      <c r="J1128" s="0" t="n">
        <v>2729.559</v>
      </c>
      <c r="K1128" s="0" t="n">
        <v>12543.31584</v>
      </c>
      <c r="L1128" s="0" t="n">
        <v>11889</v>
      </c>
      <c r="M1128" s="0" t="n">
        <v>11873</v>
      </c>
      <c r="N1128" s="0" t="n">
        <v>5</v>
      </c>
      <c r="O1128" s="54" t="n">
        <f aca="false">YEAR(B1128)</f>
        <v>2021</v>
      </c>
      <c r="P1128" s="54" t="n">
        <f aca="false">IF(AND(E1128&gt;=14400,K1128&gt;0,L1128&gt;0),1,0)</f>
        <v>0</v>
      </c>
      <c r="Q1128" s="53" t="n">
        <f aca="false">IF(P1128=1,F1128/E1128*MIN(L1128/K1128,1)*MIN(MAX(M1128/L1128,0),1),0)</f>
        <v>0</v>
      </c>
      <c r="R1128" s="55" t="n">
        <f aca="false">IF(F1128&gt;0,N1128/(F1128/3600),0)</f>
        <v>2.38392093011059</v>
      </c>
    </row>
    <row r="1129" customFormat="false" ht="15" hidden="false" customHeight="false" outlineLevel="0" collapsed="false">
      <c r="A1129" s="0" t="s">
        <v>259</v>
      </c>
      <c r="B1129" s="52" t="n">
        <v>44521</v>
      </c>
      <c r="C1129" s="0" t="n">
        <v>35045.255</v>
      </c>
      <c r="D1129" s="0" t="n">
        <v>3444.025</v>
      </c>
      <c r="E1129" s="0" t="n">
        <v>31601.23</v>
      </c>
      <c r="F1129" s="0" t="n">
        <v>10573.456</v>
      </c>
      <c r="G1129" s="0" t="n">
        <v>9705.488</v>
      </c>
      <c r="H1129" s="0" t="n">
        <v>867.968</v>
      </c>
      <c r="I1129" s="0" t="n">
        <v>3298.456</v>
      </c>
      <c r="J1129" s="0" t="n">
        <v>17729.318</v>
      </c>
      <c r="K1129" s="0" t="n">
        <v>17563.6852444444</v>
      </c>
      <c r="L1129" s="0" t="n">
        <v>16099</v>
      </c>
      <c r="M1129" s="0" t="n">
        <v>16067</v>
      </c>
      <c r="N1129" s="0" t="n">
        <v>17</v>
      </c>
      <c r="O1129" s="54" t="n">
        <f aca="false">YEAR(B1129)</f>
        <v>2021</v>
      </c>
      <c r="P1129" s="54" t="n">
        <f aca="false">IF(AND(E1129&gt;=14400,K1129&gt;0,L1129&gt;0),1,0)</f>
        <v>1</v>
      </c>
      <c r="Q1129" s="53" t="n">
        <f aca="false">IF(P1129=1,F1129/E1129*MIN(L1129/K1129,1)*MIN(MAX(M1129/L1129,0),1),0)</f>
        <v>0.306078006190642</v>
      </c>
      <c r="R1129" s="55" t="n">
        <f aca="false">IF(F1129&gt;0,N1129/(F1129/3600),0)</f>
        <v>5.7880791294729</v>
      </c>
    </row>
    <row r="1130" customFormat="false" ht="15" hidden="false" customHeight="false" outlineLevel="0" collapsed="false">
      <c r="A1130" s="0" t="s">
        <v>259</v>
      </c>
      <c r="B1130" s="52" t="n">
        <v>44522</v>
      </c>
      <c r="C1130" s="0" t="n">
        <v>22030.644</v>
      </c>
      <c r="D1130" s="0" t="n">
        <v>12118.47</v>
      </c>
      <c r="E1130" s="0" t="n">
        <v>9912.174</v>
      </c>
      <c r="F1130" s="0" t="n">
        <v>3596.275</v>
      </c>
      <c r="G1130" s="0" t="n">
        <v>3489.934</v>
      </c>
      <c r="H1130" s="0" t="n">
        <v>106.341</v>
      </c>
      <c r="I1130" s="0" t="n">
        <v>2010.482</v>
      </c>
      <c r="J1130" s="0" t="n">
        <v>4305.417</v>
      </c>
      <c r="K1130" s="0" t="n">
        <v>5973.81236111111</v>
      </c>
      <c r="L1130" s="0" t="n">
        <v>5800</v>
      </c>
      <c r="M1130" s="0" t="n">
        <v>5780</v>
      </c>
      <c r="N1130" s="0" t="n">
        <v>3</v>
      </c>
      <c r="O1130" s="54" t="n">
        <f aca="false">YEAR(B1130)</f>
        <v>2021</v>
      </c>
      <c r="P1130" s="54" t="n">
        <f aca="false">IF(AND(E1130&gt;=14400,K1130&gt;0,L1130&gt;0),1,0)</f>
        <v>0</v>
      </c>
      <c r="Q1130" s="53" t="n">
        <f aca="false">IF(P1130=1,F1130/E1130*MIN(L1130/K1130,1)*MIN(MAX(M1130/L1130,0),1),0)</f>
        <v>0</v>
      </c>
      <c r="R1130" s="55" t="n">
        <f aca="false">IF(F1130&gt;0,N1130/(F1130/3600),0)</f>
        <v>3.00310738194382</v>
      </c>
    </row>
    <row r="1131" customFormat="false" ht="15" hidden="false" customHeight="false" outlineLevel="0" collapsed="false">
      <c r="A1131" s="0" t="s">
        <v>259</v>
      </c>
      <c r="B1131" s="52" t="n">
        <v>44523</v>
      </c>
      <c r="C1131" s="0" t="n">
        <v>59174.93</v>
      </c>
      <c r="D1131" s="0" t="n">
        <v>9227.998</v>
      </c>
      <c r="E1131" s="0" t="n">
        <v>49946.932</v>
      </c>
      <c r="F1131" s="0" t="n">
        <v>16682.347</v>
      </c>
      <c r="G1131" s="0" t="n">
        <v>11295.727</v>
      </c>
      <c r="H1131" s="0" t="n">
        <v>5386.62</v>
      </c>
      <c r="I1131" s="0" t="n">
        <v>4338.764</v>
      </c>
      <c r="J1131" s="0" t="n">
        <v>28925.821</v>
      </c>
      <c r="K1131" s="0" t="n">
        <v>29184.1572333333</v>
      </c>
      <c r="L1131" s="0" t="n">
        <v>19662</v>
      </c>
      <c r="M1131" s="0" t="n">
        <v>19426</v>
      </c>
      <c r="N1131" s="0" t="n">
        <v>29</v>
      </c>
      <c r="O1131" s="54" t="n">
        <f aca="false">YEAR(B1131)</f>
        <v>2021</v>
      </c>
      <c r="P1131" s="54" t="n">
        <f aca="false">IF(AND(E1131&gt;=14400,K1131&gt;0,L1131&gt;0),1,0)</f>
        <v>1</v>
      </c>
      <c r="Q1131" s="53" t="n">
        <f aca="false">IF(P1131=1,F1131/E1131*MIN(L1131/K1131,1)*MIN(MAX(M1131/L1131,0),1),0)</f>
        <v>0.222323085750718</v>
      </c>
      <c r="R1131" s="55" t="n">
        <f aca="false">IF(F1131&gt;0,N1131/(F1131/3600),0)</f>
        <v>6.25811224283969</v>
      </c>
    </row>
    <row r="1132" customFormat="false" ht="15" hidden="false" customHeight="false" outlineLevel="0" collapsed="false">
      <c r="A1132" s="0" t="s">
        <v>259</v>
      </c>
      <c r="B1132" s="52" t="n">
        <v>44524</v>
      </c>
      <c r="C1132" s="0" t="n">
        <v>45748.063</v>
      </c>
      <c r="D1132" s="0" t="n">
        <v>8799.003</v>
      </c>
      <c r="E1132" s="0" t="n">
        <v>36949.06</v>
      </c>
      <c r="F1132" s="0" t="n">
        <v>13639.285</v>
      </c>
      <c r="G1132" s="0" t="n">
        <v>9467.446</v>
      </c>
      <c r="H1132" s="0" t="n">
        <v>4171.839</v>
      </c>
      <c r="I1132" s="0" t="n">
        <v>4735.503</v>
      </c>
      <c r="J1132" s="0" t="n">
        <v>18574.272</v>
      </c>
      <c r="K1132" s="0" t="n">
        <v>23568.6078155556</v>
      </c>
      <c r="L1132" s="0" t="n">
        <v>16260</v>
      </c>
      <c r="M1132" s="0" t="n">
        <v>16204</v>
      </c>
      <c r="N1132" s="0" t="n">
        <v>33</v>
      </c>
      <c r="O1132" s="54" t="n">
        <f aca="false">YEAR(B1132)</f>
        <v>2021</v>
      </c>
      <c r="P1132" s="54" t="n">
        <f aca="false">IF(AND(E1132&gt;=14400,K1132&gt;0,L1132&gt;0),1,0)</f>
        <v>1</v>
      </c>
      <c r="Q1132" s="53" t="n">
        <f aca="false">IF(P1132=1,F1132/E1132*MIN(L1132/K1132,1)*MIN(MAX(M1132/L1132,0),1),0)</f>
        <v>0.253791174052444</v>
      </c>
      <c r="R1132" s="55" t="n">
        <f aca="false">IF(F1132&gt;0,N1132/(F1132/3600),0)</f>
        <v>8.71013399895962</v>
      </c>
    </row>
    <row r="1133" customFormat="false" ht="15" hidden="false" customHeight="false" outlineLevel="0" collapsed="false">
      <c r="A1133" s="0" t="s">
        <v>259</v>
      </c>
      <c r="B1133" s="52" t="n">
        <v>44525</v>
      </c>
      <c r="C1133" s="0" t="n">
        <v>51041.809</v>
      </c>
      <c r="D1133" s="0" t="n">
        <v>10829.857</v>
      </c>
      <c r="E1133" s="0" t="n">
        <v>40211.952</v>
      </c>
      <c r="F1133" s="0" t="n">
        <v>24513.708</v>
      </c>
      <c r="G1133" s="0" t="n">
        <v>19334.773</v>
      </c>
      <c r="H1133" s="0" t="n">
        <v>5178.935</v>
      </c>
      <c r="I1133" s="0" t="n">
        <v>8689.359</v>
      </c>
      <c r="J1133" s="0" t="n">
        <v>7008.885</v>
      </c>
      <c r="K1133" s="0" t="n">
        <v>42054.6279466667</v>
      </c>
      <c r="L1133" s="0" t="n">
        <v>32984</v>
      </c>
      <c r="M1133" s="0" t="n">
        <v>32850</v>
      </c>
      <c r="N1133" s="0" t="n">
        <v>63</v>
      </c>
      <c r="O1133" s="54" t="n">
        <f aca="false">YEAR(B1133)</f>
        <v>2021</v>
      </c>
      <c r="P1133" s="54" t="n">
        <f aca="false">IF(AND(E1133&gt;=14400,K1133&gt;0,L1133&gt;0),1,0)</f>
        <v>1</v>
      </c>
      <c r="Q1133" s="53" t="n">
        <f aca="false">IF(P1133=1,F1133/E1133*MIN(L1133/K1133,1)*MIN(MAX(M1133/L1133,0),1),0)</f>
        <v>0.476184694097321</v>
      </c>
      <c r="R1133" s="55" t="n">
        <f aca="false">IF(F1133&gt;0,N1133/(F1133/3600),0)</f>
        <v>9.25196628759713</v>
      </c>
    </row>
    <row r="1134" customFormat="false" ht="15" hidden="false" customHeight="false" outlineLevel="0" collapsed="false">
      <c r="A1134" s="0" t="s">
        <v>259</v>
      </c>
      <c r="B1134" s="52" t="n">
        <v>44526</v>
      </c>
      <c r="C1134" s="0" t="n">
        <v>44041.604</v>
      </c>
      <c r="D1134" s="0" t="n">
        <v>11227.726</v>
      </c>
      <c r="E1134" s="0" t="n">
        <v>32813.878</v>
      </c>
      <c r="F1134" s="0" t="n">
        <v>9475.247</v>
      </c>
      <c r="G1134" s="0" t="n">
        <v>5303.105</v>
      </c>
      <c r="H1134" s="0" t="n">
        <v>4172.142</v>
      </c>
      <c r="I1134" s="0" t="n">
        <v>4657.665</v>
      </c>
      <c r="J1134" s="0" t="n">
        <v>18680.966</v>
      </c>
      <c r="K1134" s="0" t="n">
        <v>16255.3126311111</v>
      </c>
      <c r="L1134" s="0" t="n">
        <v>9096</v>
      </c>
      <c r="M1134" s="0" t="n">
        <v>9064</v>
      </c>
      <c r="N1134" s="0" t="n">
        <v>14</v>
      </c>
      <c r="O1134" s="54" t="n">
        <f aca="false">YEAR(B1134)</f>
        <v>2021</v>
      </c>
      <c r="P1134" s="54" t="n">
        <f aca="false">IF(AND(E1134&gt;=14400,K1134&gt;0,L1134&gt;0),1,0)</f>
        <v>1</v>
      </c>
      <c r="Q1134" s="53" t="n">
        <f aca="false">IF(P1134=1,F1134/E1134*MIN(L1134/K1134,1)*MIN(MAX(M1134/L1134,0),1),0)</f>
        <v>0.161011742931426</v>
      </c>
      <c r="R1134" s="55" t="n">
        <f aca="false">IF(F1134&gt;0,N1134/(F1134/3600),0)</f>
        <v>5.31912255163375</v>
      </c>
    </row>
    <row r="1135" customFormat="false" ht="15" hidden="false" customHeight="false" outlineLevel="0" collapsed="false">
      <c r="A1135" s="0" t="s">
        <v>259</v>
      </c>
      <c r="B1135" s="52" t="n">
        <v>44527</v>
      </c>
      <c r="C1135" s="0" t="n">
        <v>35498.631</v>
      </c>
      <c r="D1135" s="0" t="n">
        <v>6914.614</v>
      </c>
      <c r="E1135" s="0" t="n">
        <v>28584.017</v>
      </c>
      <c r="F1135" s="0" t="n">
        <v>18398.081</v>
      </c>
      <c r="G1135" s="0" t="n">
        <v>12611.753</v>
      </c>
      <c r="H1135" s="0" t="n">
        <v>5786.328</v>
      </c>
      <c r="I1135" s="0" t="n">
        <v>5069.528</v>
      </c>
      <c r="J1135" s="0" t="n">
        <v>5116.408</v>
      </c>
      <c r="K1135" s="0" t="n">
        <v>30456.0622094444</v>
      </c>
      <c r="L1135" s="0" t="n">
        <v>20790</v>
      </c>
      <c r="M1135" s="0" t="n">
        <v>20634</v>
      </c>
      <c r="N1135" s="0" t="n">
        <v>31</v>
      </c>
      <c r="O1135" s="54" t="n">
        <f aca="false">YEAR(B1135)</f>
        <v>2021</v>
      </c>
      <c r="P1135" s="54" t="n">
        <f aca="false">IF(AND(E1135&gt;=14400,K1135&gt;0,L1135&gt;0),1,0)</f>
        <v>1</v>
      </c>
      <c r="Q1135" s="53" t="n">
        <f aca="false">IF(P1135=1,F1135/E1135*MIN(L1135/K1135,1)*MIN(MAX(M1135/L1135,0),1),0)</f>
        <v>0.436072741711171</v>
      </c>
      <c r="R1135" s="55" t="n">
        <f aca="false">IF(F1135&gt;0,N1135/(F1135/3600),0)</f>
        <v>6.06585001990153</v>
      </c>
    </row>
    <row r="1136" customFormat="false" ht="15" hidden="false" customHeight="false" outlineLevel="0" collapsed="false">
      <c r="A1136" s="0" t="s">
        <v>259</v>
      </c>
      <c r="B1136" s="52" t="n">
        <v>44528</v>
      </c>
      <c r="C1136" s="0" t="n">
        <v>12641.182</v>
      </c>
      <c r="D1136" s="0" t="n">
        <v>3287.77</v>
      </c>
      <c r="E1136" s="0" t="n">
        <v>9353.412</v>
      </c>
      <c r="F1136" s="0" t="n">
        <v>4681.984</v>
      </c>
      <c r="G1136" s="0" t="n">
        <v>2770.163</v>
      </c>
      <c r="H1136" s="0" t="n">
        <v>1911.821</v>
      </c>
      <c r="I1136" s="0" t="n">
        <v>674.411</v>
      </c>
      <c r="J1136" s="0" t="n">
        <v>3997.017</v>
      </c>
      <c r="K1136" s="0" t="n">
        <v>7991.39297777778</v>
      </c>
      <c r="L1136" s="0" t="n">
        <v>4699</v>
      </c>
      <c r="M1136" s="0" t="n">
        <v>4639</v>
      </c>
      <c r="N1136" s="0" t="n">
        <v>9</v>
      </c>
      <c r="O1136" s="54" t="n">
        <f aca="false">YEAR(B1136)</f>
        <v>2021</v>
      </c>
      <c r="P1136" s="54" t="n">
        <f aca="false">IF(AND(E1136&gt;=14400,K1136&gt;0,L1136&gt;0),1,0)</f>
        <v>0</v>
      </c>
      <c r="Q1136" s="53" t="n">
        <f aca="false">IF(P1136=1,F1136/E1136*MIN(L1136/K1136,1)*MIN(MAX(M1136/L1136,0),1),0)</f>
        <v>0</v>
      </c>
      <c r="R1136" s="55" t="n">
        <f aca="false">IF(F1136&gt;0,N1136/(F1136/3600),0)</f>
        <v>6.92014325550878</v>
      </c>
    </row>
    <row r="1137" customFormat="false" ht="15" hidden="false" customHeight="false" outlineLevel="0" collapsed="false">
      <c r="A1137" s="0" t="s">
        <v>259</v>
      </c>
      <c r="B1137" s="52" t="n">
        <v>44529</v>
      </c>
      <c r="C1137" s="0" t="n">
        <v>50835.893</v>
      </c>
      <c r="D1137" s="0" t="n">
        <v>9867.194</v>
      </c>
      <c r="E1137" s="0" t="n">
        <v>40968.699</v>
      </c>
      <c r="F1137" s="0" t="n">
        <v>10455.022</v>
      </c>
      <c r="G1137" s="0" t="n">
        <v>7073.227</v>
      </c>
      <c r="H1137" s="0" t="n">
        <v>3381.795</v>
      </c>
      <c r="I1137" s="0" t="n">
        <v>5592.888</v>
      </c>
      <c r="J1137" s="0" t="n">
        <v>24920.789</v>
      </c>
      <c r="K1137" s="0" t="n">
        <v>17936.1710755556</v>
      </c>
      <c r="L1137" s="0" t="n">
        <v>12192</v>
      </c>
      <c r="M1137" s="0" t="n">
        <v>12090</v>
      </c>
      <c r="N1137" s="0" t="n">
        <v>33</v>
      </c>
      <c r="O1137" s="54" t="n">
        <f aca="false">YEAR(B1137)</f>
        <v>2021</v>
      </c>
      <c r="P1137" s="54" t="n">
        <f aca="false">IF(AND(E1137&gt;=14400,K1137&gt;0,L1137&gt;0),1,0)</f>
        <v>1</v>
      </c>
      <c r="Q1137" s="53" t="n">
        <f aca="false">IF(P1137=1,F1137/E1137*MIN(L1137/K1137,1)*MIN(MAX(M1137/L1137,0),1),0)</f>
        <v>0.172016196871326</v>
      </c>
      <c r="R1137" s="55" t="n">
        <f aca="false">IF(F1137&gt;0,N1137/(F1137/3600),0)</f>
        <v>11.3629603074962</v>
      </c>
    </row>
    <row r="1138" customFormat="false" ht="15" hidden="false" customHeight="false" outlineLevel="0" collapsed="false">
      <c r="A1138" s="0" t="s">
        <v>259</v>
      </c>
      <c r="B1138" s="52" t="n">
        <v>44530</v>
      </c>
      <c r="C1138" s="0" t="n">
        <v>52781.1</v>
      </c>
      <c r="D1138" s="0" t="n">
        <v>12703.125</v>
      </c>
      <c r="E1138" s="0" t="n">
        <v>40077.975</v>
      </c>
      <c r="F1138" s="0" t="n">
        <v>17524.913</v>
      </c>
      <c r="G1138" s="0" t="n">
        <v>11787.618</v>
      </c>
      <c r="H1138" s="0" t="n">
        <v>5737.295</v>
      </c>
      <c r="I1138" s="0" t="n">
        <v>10961.266</v>
      </c>
      <c r="J1138" s="0" t="n">
        <v>11591.796</v>
      </c>
      <c r="K1138" s="0" t="n">
        <v>30639.5340105556</v>
      </c>
      <c r="L1138" s="0" t="n">
        <v>20462</v>
      </c>
      <c r="M1138" s="0" t="n">
        <v>20224</v>
      </c>
      <c r="N1138" s="0" t="n">
        <v>34</v>
      </c>
      <c r="O1138" s="54" t="n">
        <f aca="false">YEAR(B1138)</f>
        <v>2021</v>
      </c>
      <c r="P1138" s="54" t="n">
        <f aca="false">IF(AND(E1138&gt;=14400,K1138&gt;0,L1138&gt;0),1,0)</f>
        <v>1</v>
      </c>
      <c r="Q1138" s="53" t="n">
        <f aca="false">IF(P1138=1,F1138/E1138*MIN(L1138/K1138,1)*MIN(MAX(M1138/L1138,0),1),0)</f>
        <v>0.288625701380239</v>
      </c>
      <c r="R1138" s="55" t="n">
        <f aca="false">IF(F1138&gt;0,N1138/(F1138/3600),0)</f>
        <v>6.98434280387012</v>
      </c>
    </row>
    <row r="1139" customFormat="false" ht="15" hidden="false" customHeight="false" outlineLevel="0" collapsed="false">
      <c r="A1139" s="0" t="s">
        <v>259</v>
      </c>
      <c r="B1139" s="52" t="n">
        <v>44531</v>
      </c>
      <c r="C1139" s="0" t="n">
        <v>49952.99</v>
      </c>
      <c r="D1139" s="0" t="n">
        <v>9307.141</v>
      </c>
      <c r="E1139" s="0" t="n">
        <v>40645.849</v>
      </c>
      <c r="F1139" s="0" t="n">
        <v>21300.559</v>
      </c>
      <c r="G1139" s="0" t="n">
        <v>16498.248</v>
      </c>
      <c r="H1139" s="0" t="n">
        <v>4802.311</v>
      </c>
      <c r="I1139" s="0" t="n">
        <v>6166.537</v>
      </c>
      <c r="J1139" s="0" t="n">
        <v>13178.753</v>
      </c>
      <c r="K1139" s="0" t="n">
        <v>36745.5344238889</v>
      </c>
      <c r="L1139" s="0" t="n">
        <v>28211</v>
      </c>
      <c r="M1139" s="0" t="n">
        <v>28131</v>
      </c>
      <c r="N1139" s="0" t="n">
        <v>71</v>
      </c>
      <c r="O1139" s="54" t="n">
        <f aca="false">YEAR(B1139)</f>
        <v>2021</v>
      </c>
      <c r="P1139" s="54" t="n">
        <f aca="false">IF(AND(E1139&gt;=14400,K1139&gt;0,L1139&gt;0),1,0)</f>
        <v>1</v>
      </c>
      <c r="Q1139" s="53" t="n">
        <f aca="false">IF(P1139=1,F1139/E1139*MIN(L1139/K1139,1)*MIN(MAX(M1139/L1139,0),1),0)</f>
        <v>0.401194900516985</v>
      </c>
      <c r="R1139" s="55" t="n">
        <f aca="false">IF(F1139&gt;0,N1139/(F1139/3600),0)</f>
        <v>11.9996850786874</v>
      </c>
    </row>
    <row r="1140" customFormat="false" ht="15" hidden="false" customHeight="false" outlineLevel="0" collapsed="false">
      <c r="A1140" s="0" t="s">
        <v>259</v>
      </c>
      <c r="B1140" s="52" t="n">
        <v>44532</v>
      </c>
      <c r="C1140" s="0" t="n">
        <v>54535.355</v>
      </c>
      <c r="D1140" s="0" t="n">
        <v>7319.822</v>
      </c>
      <c r="E1140" s="0" t="n">
        <v>47215.533</v>
      </c>
      <c r="F1140" s="0" t="n">
        <v>19542.058</v>
      </c>
      <c r="G1140" s="0" t="n">
        <v>16241.143</v>
      </c>
      <c r="H1140" s="0" t="n">
        <v>3300.915</v>
      </c>
      <c r="I1140" s="0" t="n">
        <v>3641.983</v>
      </c>
      <c r="J1140" s="0" t="n">
        <v>24031.492</v>
      </c>
      <c r="K1140" s="0" t="n">
        <v>33525.4861688889</v>
      </c>
      <c r="L1140" s="0" t="n">
        <v>27896</v>
      </c>
      <c r="M1140" s="0" t="n">
        <v>27732</v>
      </c>
      <c r="N1140" s="0" t="n">
        <v>47</v>
      </c>
      <c r="O1140" s="54" t="n">
        <f aca="false">YEAR(B1140)</f>
        <v>2021</v>
      </c>
      <c r="P1140" s="54" t="n">
        <f aca="false">IF(AND(E1140&gt;=14400,K1140&gt;0,L1140&gt;0),1,0)</f>
        <v>1</v>
      </c>
      <c r="Q1140" s="53" t="n">
        <f aca="false">IF(P1140=1,F1140/E1140*MIN(L1140/K1140,1)*MIN(MAX(M1140/L1140,0),1),0)</f>
        <v>0.342366693323906</v>
      </c>
      <c r="R1140" s="55" t="n">
        <f aca="false">IF(F1140&gt;0,N1140/(F1140/3600),0)</f>
        <v>8.6582487883313</v>
      </c>
    </row>
    <row r="1141" customFormat="false" ht="15" hidden="false" customHeight="false" outlineLevel="0" collapsed="false">
      <c r="A1141" s="0" t="s">
        <v>259</v>
      </c>
      <c r="B1141" s="52" t="n">
        <v>44533</v>
      </c>
      <c r="C1141" s="0" t="n">
        <v>52131.15</v>
      </c>
      <c r="D1141" s="0" t="n">
        <v>9896.637</v>
      </c>
      <c r="E1141" s="0" t="n">
        <v>42234.513</v>
      </c>
      <c r="F1141" s="0" t="n">
        <v>8413.91</v>
      </c>
      <c r="G1141" s="0" t="n">
        <v>6865.501</v>
      </c>
      <c r="H1141" s="0" t="n">
        <v>1548.409</v>
      </c>
      <c r="I1141" s="0" t="n">
        <v>4931.506</v>
      </c>
      <c r="J1141" s="0" t="n">
        <v>28889.097</v>
      </c>
      <c r="K1141" s="0" t="n">
        <v>14704.0697161111</v>
      </c>
      <c r="L1141" s="0" t="n">
        <v>12137</v>
      </c>
      <c r="M1141" s="0" t="n">
        <v>12087</v>
      </c>
      <c r="N1141" s="0" t="n">
        <v>26</v>
      </c>
      <c r="O1141" s="54" t="n">
        <f aca="false">YEAR(B1141)</f>
        <v>2021</v>
      </c>
      <c r="P1141" s="54" t="n">
        <f aca="false">IF(AND(E1141&gt;=14400,K1141&gt;0,L1141&gt;0),1,0)</f>
        <v>1</v>
      </c>
      <c r="Q1141" s="53" t="n">
        <f aca="false">IF(P1141=1,F1141/E1141*MIN(L1141/K1141,1)*MIN(MAX(M1141/L1141,0),1),0)</f>
        <v>0.163761323818709</v>
      </c>
      <c r="R1141" s="55" t="n">
        <f aca="false">IF(F1141&gt;0,N1141/(F1141/3600),0)</f>
        <v>11.1244356072266</v>
      </c>
    </row>
    <row r="1142" customFormat="false" ht="15" hidden="false" customHeight="false" outlineLevel="0" collapsed="false">
      <c r="A1142" s="0" t="s">
        <v>259</v>
      </c>
      <c r="B1142" s="52" t="n">
        <v>44534</v>
      </c>
      <c r="C1142" s="0" t="n">
        <v>23453.134</v>
      </c>
      <c r="D1142" s="0" t="n">
        <v>7309.958</v>
      </c>
      <c r="E1142" s="0" t="n">
        <v>16143.176</v>
      </c>
      <c r="F1142" s="0" t="n">
        <v>10795.739</v>
      </c>
      <c r="G1142" s="0" t="n">
        <v>7761.449</v>
      </c>
      <c r="H1142" s="0" t="n">
        <v>3034.29</v>
      </c>
      <c r="I1142" s="0" t="n">
        <v>2119.049</v>
      </c>
      <c r="J1142" s="0" t="n">
        <v>3228.388</v>
      </c>
      <c r="K1142" s="0" t="n">
        <v>17937.7892055556</v>
      </c>
      <c r="L1142" s="0" t="n">
        <v>12835</v>
      </c>
      <c r="M1142" s="0" t="n">
        <v>12801</v>
      </c>
      <c r="N1142" s="0" t="n">
        <v>17</v>
      </c>
      <c r="O1142" s="54" t="n">
        <f aca="false">YEAR(B1142)</f>
        <v>2021</v>
      </c>
      <c r="P1142" s="54" t="n">
        <f aca="false">IF(AND(E1142&gt;=14400,K1142&gt;0,L1142&gt;0),1,0)</f>
        <v>1</v>
      </c>
      <c r="Q1142" s="53" t="n">
        <f aca="false">IF(P1142=1,F1142/E1142*MIN(L1142/K1142,1)*MIN(MAX(M1142/L1142,0),1),0)</f>
        <v>0.477241691374688</v>
      </c>
      <c r="R1142" s="55" t="n">
        <f aca="false">IF(F1142&gt;0,N1142/(F1142/3600),0)</f>
        <v>5.66890325896171</v>
      </c>
    </row>
    <row r="1143" customFormat="false" ht="15" hidden="false" customHeight="false" outlineLevel="0" collapsed="false">
      <c r="A1143" s="0" t="s">
        <v>259</v>
      </c>
      <c r="B1143" s="52" t="n">
        <v>44535</v>
      </c>
      <c r="C1143" s="0" t="n">
        <v>12650.465</v>
      </c>
      <c r="D1143" s="0" t="n">
        <v>3376.327</v>
      </c>
      <c r="E1143" s="0" t="n">
        <v>9274.138</v>
      </c>
      <c r="F1143" s="0" t="n">
        <v>5745.609</v>
      </c>
      <c r="G1143" s="0" t="n">
        <v>4515.747</v>
      </c>
      <c r="H1143" s="0" t="n">
        <v>1229.862</v>
      </c>
      <c r="I1143" s="0" t="n">
        <v>1666.773</v>
      </c>
      <c r="J1143" s="0" t="n">
        <v>1861.756</v>
      </c>
      <c r="K1143" s="0" t="n">
        <v>9856.07462888889</v>
      </c>
      <c r="L1143" s="0" t="n">
        <v>7701</v>
      </c>
      <c r="M1143" s="0" t="n">
        <v>7659</v>
      </c>
      <c r="N1143" s="0" t="n">
        <v>13</v>
      </c>
      <c r="O1143" s="54" t="n">
        <f aca="false">YEAR(B1143)</f>
        <v>2021</v>
      </c>
      <c r="P1143" s="54" t="n">
        <f aca="false">IF(AND(E1143&gt;=14400,K1143&gt;0,L1143&gt;0),1,0)</f>
        <v>0</v>
      </c>
      <c r="Q1143" s="53" t="n">
        <f aca="false">IF(P1143=1,F1143/E1143*MIN(L1143/K1143,1)*MIN(MAX(M1143/L1143,0),1),0)</f>
        <v>0</v>
      </c>
      <c r="R1143" s="55" t="n">
        <f aca="false">IF(F1143&gt;0,N1143/(F1143/3600),0)</f>
        <v>8.14535064951339</v>
      </c>
    </row>
    <row r="1144" customFormat="false" ht="15" hidden="false" customHeight="false" outlineLevel="0" collapsed="false">
      <c r="A1144" s="0" t="s">
        <v>259</v>
      </c>
      <c r="B1144" s="52" t="n">
        <v>44536</v>
      </c>
      <c r="C1144" s="0" t="n">
        <v>45243.336</v>
      </c>
      <c r="D1144" s="0" t="n">
        <v>13287.318</v>
      </c>
      <c r="E1144" s="0" t="n">
        <v>31956.018</v>
      </c>
      <c r="F1144" s="0" t="n">
        <v>13007.737</v>
      </c>
      <c r="G1144" s="0" t="n">
        <v>11356.139</v>
      </c>
      <c r="H1144" s="0" t="n">
        <v>1651.598</v>
      </c>
      <c r="I1144" s="0" t="n">
        <v>4343.22</v>
      </c>
      <c r="J1144" s="0" t="n">
        <v>14605.061</v>
      </c>
      <c r="K1144" s="0" t="n">
        <v>21618.0772383333</v>
      </c>
      <c r="L1144" s="0" t="n">
        <v>18995</v>
      </c>
      <c r="M1144" s="0" t="n">
        <v>18873</v>
      </c>
      <c r="N1144" s="0" t="n">
        <v>46</v>
      </c>
      <c r="O1144" s="54" t="n">
        <f aca="false">YEAR(B1144)</f>
        <v>2021</v>
      </c>
      <c r="P1144" s="54" t="n">
        <f aca="false">IF(AND(E1144&gt;=14400,K1144&gt;0,L1144&gt;0),1,0)</f>
        <v>1</v>
      </c>
      <c r="Q1144" s="53" t="n">
        <f aca="false">IF(P1144=1,F1144/E1144*MIN(L1144/K1144,1)*MIN(MAX(M1144/L1144,0),1),0)</f>
        <v>0.355363620643875</v>
      </c>
      <c r="R1144" s="55" t="n">
        <f aca="false">IF(F1144&gt;0,N1144/(F1144/3600),0)</f>
        <v>12.7308847034653</v>
      </c>
    </row>
    <row r="1145" customFormat="false" ht="15" hidden="false" customHeight="false" outlineLevel="0" collapsed="false">
      <c r="A1145" s="0" t="s">
        <v>259</v>
      </c>
      <c r="B1145" s="52" t="n">
        <v>44537</v>
      </c>
      <c r="C1145" s="0" t="n">
        <v>60255.728</v>
      </c>
      <c r="D1145" s="0" t="n">
        <v>18903.455</v>
      </c>
      <c r="E1145" s="0" t="n">
        <v>41352.273</v>
      </c>
      <c r="F1145" s="0" t="n">
        <v>17594.696</v>
      </c>
      <c r="G1145" s="0" t="n">
        <v>13656.757</v>
      </c>
      <c r="H1145" s="0" t="n">
        <v>3937.939</v>
      </c>
      <c r="I1145" s="0" t="n">
        <v>7627.806</v>
      </c>
      <c r="J1145" s="0" t="n">
        <v>16129.771</v>
      </c>
      <c r="K1145" s="0" t="n">
        <v>29838.3359266667</v>
      </c>
      <c r="L1145" s="0" t="n">
        <v>21911</v>
      </c>
      <c r="M1145" s="0" t="n">
        <v>21639</v>
      </c>
      <c r="N1145" s="0" t="n">
        <v>85</v>
      </c>
      <c r="O1145" s="54" t="n">
        <f aca="false">YEAR(B1145)</f>
        <v>2021</v>
      </c>
      <c r="P1145" s="54" t="n">
        <f aca="false">IF(AND(E1145&gt;=14400,K1145&gt;0,L1145&gt;0),1,0)</f>
        <v>1</v>
      </c>
      <c r="Q1145" s="53" t="n">
        <f aca="false">IF(P1145=1,F1145/E1145*MIN(L1145/K1145,1)*MIN(MAX(M1145/L1145,0),1),0)</f>
        <v>0.30856379632445</v>
      </c>
      <c r="R1145" s="55" t="n">
        <f aca="false">IF(F1145&gt;0,N1145/(F1145/3600),0)</f>
        <v>17.3916048336385</v>
      </c>
    </row>
    <row r="1146" customFormat="false" ht="15" hidden="false" customHeight="false" outlineLevel="0" collapsed="false">
      <c r="A1146" s="0" t="s">
        <v>259</v>
      </c>
      <c r="B1146" s="52" t="n">
        <v>44538</v>
      </c>
      <c r="C1146" s="0" t="n">
        <v>60668.82</v>
      </c>
      <c r="D1146" s="0" t="n">
        <v>18254.067</v>
      </c>
      <c r="E1146" s="0" t="n">
        <v>42414.753</v>
      </c>
      <c r="F1146" s="0" t="n">
        <v>22064.475</v>
      </c>
      <c r="G1146" s="0" t="n">
        <v>16796.687</v>
      </c>
      <c r="H1146" s="0" t="n">
        <v>5267.788</v>
      </c>
      <c r="I1146" s="0" t="n">
        <v>9836.602</v>
      </c>
      <c r="J1146" s="0" t="n">
        <v>10513.676</v>
      </c>
      <c r="K1146" s="0" t="n">
        <v>39085.9655066667</v>
      </c>
      <c r="L1146" s="0" t="n">
        <v>29654</v>
      </c>
      <c r="M1146" s="0" t="n">
        <v>29526</v>
      </c>
      <c r="N1146" s="0" t="n">
        <v>68</v>
      </c>
      <c r="O1146" s="54" t="n">
        <f aca="false">YEAR(B1146)</f>
        <v>2021</v>
      </c>
      <c r="P1146" s="54" t="n">
        <f aca="false">IF(AND(E1146&gt;=14400,K1146&gt;0,L1146&gt;0),1,0)</f>
        <v>1</v>
      </c>
      <c r="Q1146" s="53" t="n">
        <f aca="false">IF(P1146=1,F1146/E1146*MIN(L1146/K1146,1)*MIN(MAX(M1146/L1146,0),1),0)</f>
        <v>0.392970932195367</v>
      </c>
      <c r="R1146" s="55" t="n">
        <f aca="false">IF(F1146&gt;0,N1146/(F1146/3600),0)</f>
        <v>11.0947575231226</v>
      </c>
    </row>
    <row r="1147" customFormat="false" ht="15" hidden="false" customHeight="false" outlineLevel="0" collapsed="false">
      <c r="A1147" s="0" t="s">
        <v>259</v>
      </c>
      <c r="B1147" s="52" t="n">
        <v>44539</v>
      </c>
      <c r="C1147" s="0" t="n">
        <v>60762.52</v>
      </c>
      <c r="D1147" s="0" t="n">
        <v>11842.767</v>
      </c>
      <c r="E1147" s="0" t="n">
        <v>48919.753</v>
      </c>
      <c r="F1147" s="0" t="n">
        <v>15302.831</v>
      </c>
      <c r="G1147" s="0" t="n">
        <v>13490.44</v>
      </c>
      <c r="H1147" s="0" t="n">
        <v>1812.391</v>
      </c>
      <c r="I1147" s="0" t="n">
        <v>7211.239</v>
      </c>
      <c r="J1147" s="0" t="n">
        <v>26405.683</v>
      </c>
      <c r="K1147" s="0" t="n">
        <v>26252.8567377778</v>
      </c>
      <c r="L1147" s="0" t="n">
        <v>23101</v>
      </c>
      <c r="M1147" s="0" t="n">
        <v>22967</v>
      </c>
      <c r="N1147" s="0" t="n">
        <v>40</v>
      </c>
      <c r="O1147" s="54" t="n">
        <f aca="false">YEAR(B1147)</f>
        <v>2021</v>
      </c>
      <c r="P1147" s="54" t="n">
        <f aca="false">IF(AND(E1147&gt;=14400,K1147&gt;0,L1147&gt;0),1,0)</f>
        <v>1</v>
      </c>
      <c r="Q1147" s="53" t="n">
        <f aca="false">IF(P1147=1,F1147/E1147*MIN(L1147/K1147,1)*MIN(MAX(M1147/L1147,0),1),0)</f>
        <v>0.273662461051265</v>
      </c>
      <c r="R1147" s="55" t="n">
        <f aca="false">IF(F1147&gt;0,N1147/(F1147/3600),0)</f>
        <v>9.4100235440096</v>
      </c>
    </row>
    <row r="1148" customFormat="false" ht="15" hidden="false" customHeight="false" outlineLevel="0" collapsed="false">
      <c r="A1148" s="0" t="s">
        <v>259</v>
      </c>
      <c r="B1148" s="52" t="n">
        <v>44540</v>
      </c>
      <c r="C1148" s="0" t="n">
        <v>50084.531</v>
      </c>
      <c r="D1148" s="0" t="n">
        <v>10316.772</v>
      </c>
      <c r="E1148" s="0" t="n">
        <v>39767.759</v>
      </c>
      <c r="F1148" s="0" t="n">
        <v>8693.559</v>
      </c>
      <c r="G1148" s="0" t="n">
        <v>7160.713</v>
      </c>
      <c r="H1148" s="0" t="n">
        <v>1532.846</v>
      </c>
      <c r="I1148" s="0" t="n">
        <v>1942.918</v>
      </c>
      <c r="J1148" s="0" t="n">
        <v>29131.282</v>
      </c>
      <c r="K1148" s="0" t="n">
        <v>14914.28344</v>
      </c>
      <c r="L1148" s="0" t="n">
        <v>12236</v>
      </c>
      <c r="M1148" s="0" t="n">
        <v>12222</v>
      </c>
      <c r="N1148" s="0" t="n">
        <v>23</v>
      </c>
      <c r="O1148" s="54" t="n">
        <f aca="false">YEAR(B1148)</f>
        <v>2021</v>
      </c>
      <c r="P1148" s="54" t="n">
        <f aca="false">IF(AND(E1148&gt;=14400,K1148&gt;0,L1148&gt;0),1,0)</f>
        <v>1</v>
      </c>
      <c r="Q1148" s="53" t="n">
        <f aca="false">IF(P1148=1,F1148/E1148*MIN(L1148/K1148,1)*MIN(MAX(M1148/L1148,0),1),0)</f>
        <v>0.179145694328098</v>
      </c>
      <c r="R1148" s="55" t="n">
        <f aca="false">IF(F1148&gt;0,N1148/(F1148/3600),0)</f>
        <v>9.52429264010286</v>
      </c>
    </row>
    <row r="1149" customFormat="false" ht="15" hidden="false" customHeight="false" outlineLevel="0" collapsed="false">
      <c r="A1149" s="0" t="s">
        <v>259</v>
      </c>
      <c r="B1149" s="52" t="n">
        <v>44541</v>
      </c>
      <c r="C1149" s="0" t="n">
        <v>27593.598</v>
      </c>
      <c r="D1149" s="0" t="n">
        <v>6443.287</v>
      </c>
      <c r="E1149" s="0" t="n">
        <v>21150.311</v>
      </c>
      <c r="F1149" s="0" t="n">
        <v>11105.905</v>
      </c>
      <c r="G1149" s="0" t="n">
        <v>9472.063</v>
      </c>
      <c r="H1149" s="0" t="n">
        <v>1633.842</v>
      </c>
      <c r="I1149" s="0" t="n">
        <v>8547.542</v>
      </c>
      <c r="J1149" s="0" t="n">
        <v>1496.864</v>
      </c>
      <c r="K1149" s="0" t="n">
        <v>18450.02276</v>
      </c>
      <c r="L1149" s="0" t="n">
        <v>15646</v>
      </c>
      <c r="M1149" s="0" t="n">
        <v>15590</v>
      </c>
      <c r="N1149" s="0" t="n">
        <v>29</v>
      </c>
      <c r="O1149" s="54" t="n">
        <f aca="false">YEAR(B1149)</f>
        <v>2021</v>
      </c>
      <c r="P1149" s="54" t="n">
        <f aca="false">IF(AND(E1149&gt;=14400,K1149&gt;0,L1149&gt;0),1,0)</f>
        <v>1</v>
      </c>
      <c r="Q1149" s="53" t="n">
        <f aca="false">IF(P1149=1,F1149/E1149*MIN(L1149/K1149,1)*MIN(MAX(M1149/L1149,0),1),0)</f>
        <v>0.443696911214927</v>
      </c>
      <c r="R1149" s="55" t="n">
        <f aca="false">IF(F1149&gt;0,N1149/(F1149/3600),0)</f>
        <v>9.40040455955638</v>
      </c>
    </row>
    <row r="1150" customFormat="false" ht="15" hidden="false" customHeight="false" outlineLevel="0" collapsed="false">
      <c r="A1150" s="0" t="s">
        <v>259</v>
      </c>
      <c r="B1150" s="52" t="n">
        <v>44542</v>
      </c>
      <c r="C1150" s="0" t="n">
        <v>13272.455</v>
      </c>
      <c r="D1150" s="0" t="n">
        <v>3411.16</v>
      </c>
      <c r="E1150" s="0" t="n">
        <v>9861.295</v>
      </c>
      <c r="F1150" s="0" t="n">
        <v>6490.408</v>
      </c>
      <c r="G1150" s="0" t="n">
        <v>4931.728</v>
      </c>
      <c r="H1150" s="0" t="n">
        <v>1558.68</v>
      </c>
      <c r="I1150" s="0" t="n">
        <v>1244.315</v>
      </c>
      <c r="J1150" s="0" t="n">
        <v>2126.572</v>
      </c>
      <c r="K1150" s="0" t="n">
        <v>10939.8973255556</v>
      </c>
      <c r="L1150" s="0" t="n">
        <v>8229</v>
      </c>
      <c r="M1150" s="0" t="n">
        <v>8179</v>
      </c>
      <c r="N1150" s="0" t="n">
        <v>13</v>
      </c>
      <c r="O1150" s="54" t="n">
        <f aca="false">YEAR(B1150)</f>
        <v>2021</v>
      </c>
      <c r="P1150" s="54" t="n">
        <f aca="false">IF(AND(E1150&gt;=14400,K1150&gt;0,L1150&gt;0),1,0)</f>
        <v>0</v>
      </c>
      <c r="Q1150" s="53" t="n">
        <f aca="false">IF(P1150=1,F1150/E1150*MIN(L1150/K1150,1)*MIN(MAX(M1150/L1150,0),1),0)</f>
        <v>0</v>
      </c>
      <c r="R1150" s="55" t="n">
        <f aca="false">IF(F1150&gt;0,N1150/(F1150/3600),0)</f>
        <v>7.21064068699533</v>
      </c>
    </row>
    <row r="1151" customFormat="false" ht="15" hidden="false" customHeight="false" outlineLevel="0" collapsed="false">
      <c r="A1151" s="0" t="s">
        <v>259</v>
      </c>
      <c r="B1151" s="52" t="n">
        <v>44543</v>
      </c>
      <c r="C1151" s="0" t="n">
        <v>50651.538</v>
      </c>
      <c r="D1151" s="0" t="n">
        <v>11494.292</v>
      </c>
      <c r="E1151" s="0" t="n">
        <v>39157.246</v>
      </c>
      <c r="F1151" s="0" t="n">
        <v>5049.291</v>
      </c>
      <c r="G1151" s="0" t="n">
        <v>4978.24</v>
      </c>
      <c r="H1151" s="0" t="n">
        <v>71.051</v>
      </c>
      <c r="I1151" s="0" t="n">
        <v>2784.531</v>
      </c>
      <c r="J1151" s="0" t="n">
        <v>31323.424</v>
      </c>
      <c r="K1151" s="0" t="n">
        <v>8662.33922666667</v>
      </c>
      <c r="L1151" s="0" t="n">
        <v>8553</v>
      </c>
      <c r="M1151" s="0" t="n">
        <v>8555</v>
      </c>
      <c r="N1151" s="0" t="n">
        <v>13</v>
      </c>
      <c r="O1151" s="54" t="n">
        <f aca="false">YEAR(B1151)</f>
        <v>2021</v>
      </c>
      <c r="P1151" s="54" t="n">
        <f aca="false">IF(AND(E1151&gt;=14400,K1151&gt;0,L1151&gt;0),1,0)</f>
        <v>1</v>
      </c>
      <c r="Q1151" s="53" t="n">
        <f aca="false">IF(P1151=1,F1151/E1151*MIN(L1151/K1151,1)*MIN(MAX(M1151/L1151,0),1),0)</f>
        <v>0.127321441217257</v>
      </c>
      <c r="R1151" s="55" t="n">
        <f aca="false">IF(F1151&gt;0,N1151/(F1151/3600),0)</f>
        <v>9.26862801133862</v>
      </c>
    </row>
    <row r="1152" customFormat="false" ht="15" hidden="false" customHeight="false" outlineLevel="0" collapsed="false">
      <c r="A1152" s="0" t="s">
        <v>259</v>
      </c>
      <c r="B1152" s="52" t="n">
        <v>44544</v>
      </c>
      <c r="C1152" s="0" t="n">
        <v>44906.894</v>
      </c>
      <c r="D1152" s="0" t="n">
        <v>9835.883</v>
      </c>
      <c r="E1152" s="0" t="n">
        <v>35071.011</v>
      </c>
      <c r="F1152" s="0" t="n">
        <v>21182.337</v>
      </c>
      <c r="G1152" s="0" t="n">
        <v>16322.388</v>
      </c>
      <c r="H1152" s="0" t="n">
        <v>4859.949</v>
      </c>
      <c r="I1152" s="0" t="n">
        <v>9562.603</v>
      </c>
      <c r="J1152" s="0" t="n">
        <v>4326.071</v>
      </c>
      <c r="K1152" s="0" t="n">
        <v>35064.30566</v>
      </c>
      <c r="L1152" s="0" t="n">
        <v>27276</v>
      </c>
      <c r="M1152" s="0" t="n">
        <v>27196</v>
      </c>
      <c r="N1152" s="0" t="n">
        <v>47</v>
      </c>
      <c r="O1152" s="54" t="n">
        <f aca="false">YEAR(B1152)</f>
        <v>2021</v>
      </c>
      <c r="P1152" s="54" t="n">
        <f aca="false">IF(AND(E1152&gt;=14400,K1152&gt;0,L1152&gt;0),1,0)</f>
        <v>1</v>
      </c>
      <c r="Q1152" s="53" t="n">
        <f aca="false">IF(P1152=1,F1152/E1152*MIN(L1152/K1152,1)*MIN(MAX(M1152/L1152,0),1),0)</f>
        <v>0.468452301126995</v>
      </c>
      <c r="R1152" s="55" t="n">
        <f aca="false">IF(F1152&gt;0,N1152/(F1152/3600),0)</f>
        <v>7.98778718325556</v>
      </c>
    </row>
    <row r="1153" customFormat="false" ht="15" hidden="false" customHeight="false" outlineLevel="0" collapsed="false">
      <c r="A1153" s="0" t="s">
        <v>259</v>
      </c>
      <c r="B1153" s="52" t="n">
        <v>44545</v>
      </c>
      <c r="C1153" s="0" t="n">
        <v>51229.85</v>
      </c>
      <c r="D1153" s="0" t="n">
        <v>8748.845</v>
      </c>
      <c r="E1153" s="0" t="n">
        <v>42481.005</v>
      </c>
      <c r="F1153" s="0" t="n">
        <v>19621.085</v>
      </c>
      <c r="G1153" s="0" t="n">
        <v>13637.072</v>
      </c>
      <c r="H1153" s="0" t="n">
        <v>5984.013</v>
      </c>
      <c r="I1153" s="0" t="n">
        <v>5581.253</v>
      </c>
      <c r="J1153" s="0" t="n">
        <v>17278.667</v>
      </c>
      <c r="K1153" s="0" t="n">
        <v>33756.7206677778</v>
      </c>
      <c r="L1153" s="0" t="n">
        <v>23450</v>
      </c>
      <c r="M1153" s="0" t="n">
        <v>23409</v>
      </c>
      <c r="N1153" s="0" t="n">
        <v>32</v>
      </c>
      <c r="O1153" s="54" t="n">
        <f aca="false">YEAR(B1153)</f>
        <v>2021</v>
      </c>
      <c r="P1153" s="54" t="n">
        <f aca="false">IF(AND(E1153&gt;=14400,K1153&gt;0,L1153&gt;0),1,0)</f>
        <v>1</v>
      </c>
      <c r="Q1153" s="53" t="n">
        <f aca="false">IF(P1153=1,F1153/E1153*MIN(L1153/K1153,1)*MIN(MAX(M1153/L1153,0),1),0)</f>
        <v>0.320295508225604</v>
      </c>
      <c r="R1153" s="55" t="n">
        <f aca="false">IF(F1153&gt;0,N1153/(F1153/3600),0)</f>
        <v>5.87123494954535</v>
      </c>
    </row>
    <row r="1154" customFormat="false" ht="15" hidden="false" customHeight="false" outlineLevel="0" collapsed="false">
      <c r="A1154" s="0" t="s">
        <v>259</v>
      </c>
      <c r="B1154" s="52" t="n">
        <v>44546</v>
      </c>
      <c r="C1154" s="0" t="n">
        <v>56260.882</v>
      </c>
      <c r="D1154" s="0" t="n">
        <v>9335.947</v>
      </c>
      <c r="E1154" s="0" t="n">
        <v>46924.935</v>
      </c>
      <c r="F1154" s="0" t="n">
        <v>21077.786</v>
      </c>
      <c r="G1154" s="0" t="n">
        <v>17525.753</v>
      </c>
      <c r="H1154" s="0" t="n">
        <v>3552.033</v>
      </c>
      <c r="I1154" s="0" t="n">
        <v>7019.939</v>
      </c>
      <c r="J1154" s="0" t="n">
        <v>18827.21</v>
      </c>
      <c r="K1154" s="0" t="n">
        <v>35772.5060011111</v>
      </c>
      <c r="L1154" s="0" t="n">
        <v>29808</v>
      </c>
      <c r="M1154" s="0" t="n">
        <v>29658</v>
      </c>
      <c r="N1154" s="0" t="n">
        <v>42</v>
      </c>
      <c r="O1154" s="54" t="n">
        <f aca="false">YEAR(B1154)</f>
        <v>2021</v>
      </c>
      <c r="P1154" s="54" t="n">
        <f aca="false">IF(AND(E1154&gt;=14400,K1154&gt;0,L1154&gt;0),1,0)</f>
        <v>1</v>
      </c>
      <c r="Q1154" s="53" t="n">
        <f aca="false">IF(P1154=1,F1154/E1154*MIN(L1154/K1154,1)*MIN(MAX(M1154/L1154,0),1),0)</f>
        <v>0.372403545260222</v>
      </c>
      <c r="R1154" s="55" t="n">
        <f aca="false">IF(F1154&gt;0,N1154/(F1154/3600),0)</f>
        <v>7.17342893603721</v>
      </c>
    </row>
    <row r="1155" customFormat="false" ht="15" hidden="false" customHeight="false" outlineLevel="0" collapsed="false">
      <c r="A1155" s="0" t="s">
        <v>259</v>
      </c>
      <c r="B1155" s="52" t="n">
        <v>44547</v>
      </c>
      <c r="C1155" s="0" t="n">
        <v>46288.988</v>
      </c>
      <c r="D1155" s="0" t="n">
        <v>8912.185</v>
      </c>
      <c r="E1155" s="0" t="n">
        <v>37376.803</v>
      </c>
      <c r="F1155" s="0" t="n">
        <v>6429.691</v>
      </c>
      <c r="G1155" s="0" t="n">
        <v>5438.181</v>
      </c>
      <c r="H1155" s="0" t="n">
        <v>991.51</v>
      </c>
      <c r="I1155" s="0" t="n">
        <v>1791.985</v>
      </c>
      <c r="J1155" s="0" t="n">
        <v>29155.127</v>
      </c>
      <c r="K1155" s="0" t="n">
        <v>10680.4311611111</v>
      </c>
      <c r="L1155" s="0" t="n">
        <v>8955</v>
      </c>
      <c r="M1155" s="0" t="n">
        <v>8923</v>
      </c>
      <c r="N1155" s="0" t="n">
        <v>29</v>
      </c>
      <c r="O1155" s="54" t="n">
        <f aca="false">YEAR(B1155)</f>
        <v>2021</v>
      </c>
      <c r="P1155" s="54" t="n">
        <f aca="false">IF(AND(E1155&gt;=14400,K1155&gt;0,L1155&gt;0),1,0)</f>
        <v>1</v>
      </c>
      <c r="Q1155" s="53" t="n">
        <f aca="false">IF(P1155=1,F1155/E1155*MIN(L1155/K1155,1)*MIN(MAX(M1155/L1155,0),1),0)</f>
        <v>0.143717633785285</v>
      </c>
      <c r="R1155" s="55" t="n">
        <f aca="false">IF(F1155&gt;0,N1155/(F1155/3600),0)</f>
        <v>16.2371722062538</v>
      </c>
    </row>
    <row r="1156" customFormat="false" ht="15" hidden="false" customHeight="false" outlineLevel="0" collapsed="false">
      <c r="A1156" s="0" t="s">
        <v>259</v>
      </c>
      <c r="B1156" s="52" t="n">
        <v>44548</v>
      </c>
      <c r="C1156" s="0" t="n">
        <v>25681.432</v>
      </c>
      <c r="D1156" s="0" t="n">
        <v>5994.009</v>
      </c>
      <c r="E1156" s="0" t="n">
        <v>19687.423</v>
      </c>
      <c r="F1156" s="0" t="n">
        <v>12496.634</v>
      </c>
      <c r="G1156" s="0" t="n">
        <v>10462.58</v>
      </c>
      <c r="H1156" s="0" t="n">
        <v>2034.054</v>
      </c>
      <c r="I1156" s="0" t="n">
        <v>5594.02</v>
      </c>
      <c r="J1156" s="0" t="n">
        <v>1596.769</v>
      </c>
      <c r="K1156" s="0" t="n">
        <v>20758.2975888889</v>
      </c>
      <c r="L1156" s="0" t="n">
        <v>17323</v>
      </c>
      <c r="M1156" s="0" t="n">
        <v>17288</v>
      </c>
      <c r="N1156" s="0" t="n">
        <v>30</v>
      </c>
      <c r="O1156" s="54" t="n">
        <f aca="false">YEAR(B1156)</f>
        <v>2021</v>
      </c>
      <c r="P1156" s="54" t="n">
        <f aca="false">IF(AND(E1156&gt;=14400,K1156&gt;0,L1156&gt;0),1,0)</f>
        <v>1</v>
      </c>
      <c r="Q1156" s="53" t="n">
        <f aca="false">IF(P1156=1,F1156/E1156*MIN(L1156/K1156,1)*MIN(MAX(M1156/L1156,0),1),0)</f>
        <v>0.528636563495181</v>
      </c>
      <c r="R1156" s="55" t="n">
        <f aca="false">IF(F1156&gt;0,N1156/(F1156/3600),0)</f>
        <v>8.64232720587</v>
      </c>
    </row>
    <row r="1157" customFormat="false" ht="15" hidden="false" customHeight="false" outlineLevel="0" collapsed="false">
      <c r="A1157" s="0" t="s">
        <v>259</v>
      </c>
      <c r="B1157" s="52" t="n">
        <v>44549</v>
      </c>
      <c r="C1157" s="0" t="n">
        <v>32370.586</v>
      </c>
      <c r="D1157" s="0" t="n">
        <v>3442.542</v>
      </c>
      <c r="E1157" s="0" t="n">
        <v>28928.044</v>
      </c>
      <c r="F1157" s="0" t="n">
        <v>12778.79</v>
      </c>
      <c r="G1157" s="0" t="n">
        <v>10508.914</v>
      </c>
      <c r="H1157" s="0" t="n">
        <v>2269.876</v>
      </c>
      <c r="I1157" s="0" t="n">
        <v>14888.982</v>
      </c>
      <c r="J1157" s="0" t="n">
        <v>1260.272</v>
      </c>
      <c r="K1157" s="0" t="n">
        <v>21961.6370638889</v>
      </c>
      <c r="L1157" s="0" t="n">
        <v>18086</v>
      </c>
      <c r="M1157" s="0" t="n">
        <v>17910</v>
      </c>
      <c r="N1157" s="0" t="n">
        <v>44</v>
      </c>
      <c r="O1157" s="54" t="n">
        <f aca="false">YEAR(B1157)</f>
        <v>2021</v>
      </c>
      <c r="P1157" s="54" t="n">
        <f aca="false">IF(AND(E1157&gt;=14400,K1157&gt;0,L1157&gt;0),1,0)</f>
        <v>1</v>
      </c>
      <c r="Q1157" s="53" t="n">
        <f aca="false">IF(P1157=1,F1157/E1157*MIN(L1157/K1157,1)*MIN(MAX(M1157/L1157,0),1),0)</f>
        <v>0.360247967774562</v>
      </c>
      <c r="R1157" s="55" t="n">
        <f aca="false">IF(F1157&gt;0,N1157/(F1157/3600),0)</f>
        <v>12.3955397968039</v>
      </c>
    </row>
    <row r="1158" customFormat="false" ht="15" hidden="false" customHeight="false" outlineLevel="0" collapsed="false">
      <c r="A1158" s="0" t="s">
        <v>259</v>
      </c>
      <c r="B1158" s="52" t="n">
        <v>44550</v>
      </c>
      <c r="C1158" s="0" t="n">
        <v>45127.823</v>
      </c>
      <c r="D1158" s="0" t="n">
        <v>10945.595</v>
      </c>
      <c r="E1158" s="0" t="n">
        <v>34182.228</v>
      </c>
      <c r="F1158" s="0" t="n">
        <v>8351.59</v>
      </c>
      <c r="G1158" s="0" t="n">
        <v>4535.156</v>
      </c>
      <c r="H1158" s="0" t="n">
        <v>3816.434</v>
      </c>
      <c r="I1158" s="0" t="n">
        <v>10593.88</v>
      </c>
      <c r="J1158" s="0" t="n">
        <v>15236.758</v>
      </c>
      <c r="K1158" s="0" t="n">
        <v>14385.93698</v>
      </c>
      <c r="L1158" s="0" t="n">
        <v>7714</v>
      </c>
      <c r="M1158" s="0" t="n">
        <v>7664</v>
      </c>
      <c r="N1158" s="0" t="n">
        <v>13</v>
      </c>
      <c r="O1158" s="54" t="n">
        <f aca="false">YEAR(B1158)</f>
        <v>2021</v>
      </c>
      <c r="P1158" s="54" t="n">
        <f aca="false">IF(AND(E1158&gt;=14400,K1158&gt;0,L1158&gt;0),1,0)</f>
        <v>1</v>
      </c>
      <c r="Q1158" s="53" t="n">
        <f aca="false">IF(P1158=1,F1158/E1158*MIN(L1158/K1158,1)*MIN(MAX(M1158/L1158,0),1),0)</f>
        <v>0.130162577970306</v>
      </c>
      <c r="R1158" s="55" t="n">
        <f aca="false">IF(F1158&gt;0,N1158/(F1158/3600),0)</f>
        <v>5.60372336285665</v>
      </c>
    </row>
    <row r="1159" customFormat="false" ht="15" hidden="false" customHeight="false" outlineLevel="0" collapsed="false">
      <c r="A1159" s="0" t="s">
        <v>259</v>
      </c>
      <c r="B1159" s="52" t="n">
        <v>44551</v>
      </c>
      <c r="C1159" s="0" t="n">
        <v>33490.035</v>
      </c>
      <c r="D1159" s="0" t="n">
        <v>11915.884</v>
      </c>
      <c r="E1159" s="0" t="n">
        <v>21574.151</v>
      </c>
      <c r="F1159" s="0" t="n">
        <v>8448.192</v>
      </c>
      <c r="G1159" s="0" t="n">
        <v>4971.936</v>
      </c>
      <c r="H1159" s="0" t="n">
        <v>3476.256</v>
      </c>
      <c r="I1159" s="0" t="n">
        <v>3102.038</v>
      </c>
      <c r="J1159" s="0" t="n">
        <v>10023.921</v>
      </c>
      <c r="K1159" s="0" t="n">
        <v>14071.5916611111</v>
      </c>
      <c r="L1159" s="0" t="n">
        <v>8259</v>
      </c>
      <c r="M1159" s="0" t="n">
        <v>8227</v>
      </c>
      <c r="N1159" s="0" t="n">
        <v>12</v>
      </c>
      <c r="O1159" s="54" t="n">
        <f aca="false">YEAR(B1159)</f>
        <v>2021</v>
      </c>
      <c r="P1159" s="54" t="n">
        <f aca="false">IF(AND(E1159&gt;=14400,K1159&gt;0,L1159&gt;0),1,0)</f>
        <v>1</v>
      </c>
      <c r="Q1159" s="53" t="n">
        <f aca="false">IF(P1159=1,F1159/E1159*MIN(L1159/K1159,1)*MIN(MAX(M1159/L1159,0),1),0)</f>
        <v>0.228943508847703</v>
      </c>
      <c r="R1159" s="55" t="n">
        <f aca="false">IF(F1159&gt;0,N1159/(F1159/3600),0)</f>
        <v>5.11352014726938</v>
      </c>
    </row>
    <row r="1160" customFormat="false" ht="15" hidden="false" customHeight="false" outlineLevel="0" collapsed="false">
      <c r="A1160" s="0" t="s">
        <v>259</v>
      </c>
      <c r="B1160" s="52" t="n">
        <v>44552</v>
      </c>
      <c r="C1160" s="0" t="n">
        <v>53823.302</v>
      </c>
      <c r="D1160" s="0" t="n">
        <v>9174.592</v>
      </c>
      <c r="E1160" s="0" t="n">
        <v>44648.71</v>
      </c>
      <c r="F1160" s="0" t="n">
        <v>25271.353</v>
      </c>
      <c r="G1160" s="0" t="n">
        <v>18847.159</v>
      </c>
      <c r="H1160" s="0" t="n">
        <v>6424.194</v>
      </c>
      <c r="I1160" s="0" t="n">
        <v>8693.798</v>
      </c>
      <c r="J1160" s="0" t="n">
        <v>10683.559</v>
      </c>
      <c r="K1160" s="0" t="n">
        <v>43338.5503522222</v>
      </c>
      <c r="L1160" s="0" t="n">
        <v>31851</v>
      </c>
      <c r="M1160" s="0" t="n">
        <v>31707</v>
      </c>
      <c r="N1160" s="0" t="n">
        <v>93</v>
      </c>
      <c r="O1160" s="54" t="n">
        <f aca="false">YEAR(B1160)</f>
        <v>2021</v>
      </c>
      <c r="P1160" s="54" t="n">
        <f aca="false">IF(AND(E1160&gt;=14400,K1160&gt;0,L1160&gt;0),1,0)</f>
        <v>1</v>
      </c>
      <c r="Q1160" s="53" t="n">
        <f aca="false">IF(P1160=1,F1160/E1160*MIN(L1160/K1160,1)*MIN(MAX(M1160/L1160,0),1),0)</f>
        <v>0.414095347210812</v>
      </c>
      <c r="R1160" s="55" t="n">
        <f aca="false">IF(F1160&gt;0,N1160/(F1160/3600),0)</f>
        <v>13.2482024211367</v>
      </c>
    </row>
    <row r="1161" customFormat="false" ht="15" hidden="false" customHeight="false" outlineLevel="0" collapsed="false">
      <c r="A1161" s="0" t="s">
        <v>259</v>
      </c>
      <c r="B1161" s="52" t="n">
        <v>44553</v>
      </c>
      <c r="C1161" s="0" t="n">
        <v>86756.541</v>
      </c>
      <c r="D1161" s="0" t="n">
        <v>9234.276</v>
      </c>
      <c r="E1161" s="0" t="n">
        <v>77522.265</v>
      </c>
      <c r="F1161" s="0" t="n">
        <v>22311.286</v>
      </c>
      <c r="G1161" s="0" t="n">
        <v>17654.175</v>
      </c>
      <c r="H1161" s="0" t="n">
        <v>4657.111</v>
      </c>
      <c r="I1161" s="0" t="n">
        <v>22897.553</v>
      </c>
      <c r="J1161" s="0" t="n">
        <v>32313.426</v>
      </c>
      <c r="K1161" s="0" t="n">
        <v>38276.2506488889</v>
      </c>
      <c r="L1161" s="0" t="n">
        <v>30167</v>
      </c>
      <c r="M1161" s="0" t="n">
        <v>30064</v>
      </c>
      <c r="N1161" s="0" t="n">
        <v>48</v>
      </c>
      <c r="O1161" s="54" t="n">
        <f aca="false">YEAR(B1161)</f>
        <v>2021</v>
      </c>
      <c r="P1161" s="54" t="n">
        <f aca="false">IF(AND(E1161&gt;=14400,K1161&gt;0,L1161&gt;0),1,0)</f>
        <v>1</v>
      </c>
      <c r="Q1161" s="53" t="n">
        <f aca="false">IF(P1161=1,F1161/E1161*MIN(L1161/K1161,1)*MIN(MAX(M1161/L1161,0),1),0)</f>
        <v>0.226055731622473</v>
      </c>
      <c r="R1161" s="55" t="n">
        <f aca="false">IF(F1161&gt;0,N1161/(F1161/3600),0)</f>
        <v>7.7449592103297</v>
      </c>
    </row>
    <row r="1162" customFormat="false" ht="15" hidden="false" customHeight="false" outlineLevel="0" collapsed="false">
      <c r="A1162" s="0" t="s">
        <v>259</v>
      </c>
      <c r="B1162" s="52" t="n">
        <v>44554</v>
      </c>
      <c r="C1162" s="0" t="n">
        <v>14033.065</v>
      </c>
      <c r="D1162" s="0" t="n">
        <v>7099.874</v>
      </c>
      <c r="E1162" s="0" t="n">
        <v>6933.191</v>
      </c>
      <c r="F1162" s="0" t="n">
        <v>2419.992</v>
      </c>
      <c r="G1162" s="0" t="n">
        <v>2265.293</v>
      </c>
      <c r="H1162" s="0" t="n">
        <v>154.699</v>
      </c>
      <c r="I1162" s="0" t="n">
        <v>2531.258</v>
      </c>
      <c r="J1162" s="0" t="n">
        <v>1981.941</v>
      </c>
      <c r="K1162" s="0" t="n">
        <v>4139.27014222222</v>
      </c>
      <c r="L1162" s="0" t="n">
        <v>3885</v>
      </c>
      <c r="M1162" s="0" t="n">
        <v>3882</v>
      </c>
      <c r="N1162" s="0" t="n">
        <v>12</v>
      </c>
      <c r="O1162" s="54" t="n">
        <f aca="false">YEAR(B1162)</f>
        <v>2021</v>
      </c>
      <c r="P1162" s="54" t="n">
        <f aca="false">IF(AND(E1162&gt;=14400,K1162&gt;0,L1162&gt;0),1,0)</f>
        <v>0</v>
      </c>
      <c r="Q1162" s="53" t="n">
        <f aca="false">IF(P1162=1,F1162/E1162*MIN(L1162/K1162,1)*MIN(MAX(M1162/L1162,0),1),0)</f>
        <v>0</v>
      </c>
      <c r="R1162" s="55" t="n">
        <f aca="false">IF(F1162&gt;0,N1162/(F1162/3600),0)</f>
        <v>17.8512986819791</v>
      </c>
    </row>
    <row r="1163" customFormat="false" ht="15" hidden="false" customHeight="false" outlineLevel="0" collapsed="false">
      <c r="A1163" s="0" t="s">
        <v>259</v>
      </c>
      <c r="B1163" s="52" t="n">
        <v>44555</v>
      </c>
      <c r="C1163" s="0" t="n">
        <v>15989.15</v>
      </c>
      <c r="D1163" s="0" t="n">
        <v>3535.52</v>
      </c>
      <c r="E1163" s="0" t="n">
        <v>12453.63</v>
      </c>
      <c r="F1163" s="0" t="n">
        <v>5492.459</v>
      </c>
      <c r="G1163" s="0" t="n">
        <v>5010.687</v>
      </c>
      <c r="H1163" s="0" t="n">
        <v>481.772</v>
      </c>
      <c r="I1163" s="0" t="n">
        <v>526.309</v>
      </c>
      <c r="J1163" s="0" t="n">
        <v>6434.862</v>
      </c>
      <c r="K1163" s="0" t="n">
        <v>9137.55087</v>
      </c>
      <c r="L1163" s="0" t="n">
        <v>8277</v>
      </c>
      <c r="M1163" s="0" t="n">
        <v>8261</v>
      </c>
      <c r="N1163" s="0" t="n">
        <v>9</v>
      </c>
      <c r="O1163" s="54" t="n">
        <f aca="false">YEAR(B1163)</f>
        <v>2021</v>
      </c>
      <c r="P1163" s="54" t="n">
        <f aca="false">IF(AND(E1163&gt;=14400,K1163&gt;0,L1163&gt;0),1,0)</f>
        <v>0</v>
      </c>
      <c r="Q1163" s="53" t="n">
        <f aca="false">IF(P1163=1,F1163/E1163*MIN(L1163/K1163,1)*MIN(MAX(M1163/L1163,0),1),0)</f>
        <v>0</v>
      </c>
      <c r="R1163" s="55" t="n">
        <f aca="false">IF(F1163&gt;0,N1163/(F1163/3600),0)</f>
        <v>5.89899715227733</v>
      </c>
    </row>
    <row r="1164" customFormat="false" ht="15" hidden="false" customHeight="false" outlineLevel="0" collapsed="false">
      <c r="A1164" s="0" t="s">
        <v>259</v>
      </c>
      <c r="B1164" s="52" t="n">
        <v>44556</v>
      </c>
      <c r="C1164" s="0" t="n">
        <v>30675.74</v>
      </c>
      <c r="D1164" s="0" t="n">
        <v>9214.758</v>
      </c>
      <c r="E1164" s="0" t="n">
        <v>21460.982</v>
      </c>
      <c r="F1164" s="0" t="n">
        <v>12962.282</v>
      </c>
      <c r="G1164" s="0" t="n">
        <v>10847.755</v>
      </c>
      <c r="H1164" s="0" t="n">
        <v>2114.527</v>
      </c>
      <c r="I1164" s="0" t="n">
        <v>6583.977</v>
      </c>
      <c r="J1164" s="0" t="n">
        <v>1914.723</v>
      </c>
      <c r="K1164" s="0" t="n">
        <v>22211.8619444444</v>
      </c>
      <c r="L1164" s="0" t="n">
        <v>18512</v>
      </c>
      <c r="M1164" s="0" t="n">
        <v>18444</v>
      </c>
      <c r="N1164" s="0" t="n">
        <v>37</v>
      </c>
      <c r="O1164" s="54" t="n">
        <f aca="false">YEAR(B1164)</f>
        <v>2021</v>
      </c>
      <c r="P1164" s="54" t="n">
        <f aca="false">IF(AND(E1164&gt;=14400,K1164&gt;0,L1164&gt;0),1,0)</f>
        <v>1</v>
      </c>
      <c r="Q1164" s="53" t="n">
        <f aca="false">IF(P1164=1,F1164/E1164*MIN(L1164/K1164,1)*MIN(MAX(M1164/L1164,0),1),0)</f>
        <v>0.501535897594595</v>
      </c>
      <c r="R1164" s="55" t="n">
        <f aca="false">IF(F1164&gt;0,N1164/(F1164/3600),0)</f>
        <v>10.2759683827277</v>
      </c>
    </row>
    <row r="1165" customFormat="false" ht="15" hidden="false" customHeight="false" outlineLevel="0" collapsed="false">
      <c r="A1165" s="0" t="s">
        <v>259</v>
      </c>
      <c r="B1165" s="52" t="n">
        <v>44557</v>
      </c>
      <c r="C1165" s="0" t="n">
        <v>42988.737</v>
      </c>
      <c r="D1165" s="0" t="n">
        <v>12160.739</v>
      </c>
      <c r="E1165" s="0" t="n">
        <v>30827.998</v>
      </c>
      <c r="F1165" s="0" t="n">
        <v>13532.888</v>
      </c>
      <c r="G1165" s="0" t="n">
        <v>11436.847</v>
      </c>
      <c r="H1165" s="0" t="n">
        <v>2096.041</v>
      </c>
      <c r="I1165" s="0" t="n">
        <v>5993.903</v>
      </c>
      <c r="J1165" s="0" t="n">
        <v>11301.207</v>
      </c>
      <c r="K1165" s="0" t="n">
        <v>23369.66566</v>
      </c>
      <c r="L1165" s="0" t="n">
        <v>19672</v>
      </c>
      <c r="M1165" s="0" t="n">
        <v>19574</v>
      </c>
      <c r="N1165" s="0" t="n">
        <v>31</v>
      </c>
      <c r="O1165" s="54" t="n">
        <f aca="false">YEAR(B1165)</f>
        <v>2021</v>
      </c>
      <c r="P1165" s="54" t="n">
        <f aca="false">IF(AND(E1165&gt;=14400,K1165&gt;0,L1165&gt;0),1,0)</f>
        <v>1</v>
      </c>
      <c r="Q1165" s="53" t="n">
        <f aca="false">IF(P1165=1,F1165/E1165*MIN(L1165/K1165,1)*MIN(MAX(M1165/L1165,0),1),0)</f>
        <v>0.367681899148285</v>
      </c>
      <c r="R1165" s="55" t="n">
        <f aca="false">IF(F1165&gt;0,N1165/(F1165/3600),0)</f>
        <v>8.24657678390599</v>
      </c>
    </row>
    <row r="1166" customFormat="false" ht="15" hidden="false" customHeight="false" outlineLevel="0" collapsed="false">
      <c r="A1166" s="0" t="s">
        <v>259</v>
      </c>
      <c r="B1166" s="52" t="n">
        <v>44558</v>
      </c>
      <c r="C1166" s="0" t="n">
        <v>37415.381</v>
      </c>
      <c r="D1166" s="0" t="n">
        <v>9100.038</v>
      </c>
      <c r="E1166" s="0" t="n">
        <v>28315.343</v>
      </c>
      <c r="F1166" s="0" t="n">
        <v>16089.662</v>
      </c>
      <c r="G1166" s="0" t="n">
        <v>13630.643</v>
      </c>
      <c r="H1166" s="0" t="n">
        <v>2459.019</v>
      </c>
      <c r="I1166" s="0" t="n">
        <v>6203.432</v>
      </c>
      <c r="J1166" s="0" t="n">
        <v>6022.249</v>
      </c>
      <c r="K1166" s="0" t="n">
        <v>26606.2821922222</v>
      </c>
      <c r="L1166" s="0" t="n">
        <v>22347</v>
      </c>
      <c r="M1166" s="0" t="n">
        <v>22253</v>
      </c>
      <c r="N1166" s="0" t="n">
        <v>44</v>
      </c>
      <c r="O1166" s="54" t="n">
        <f aca="false">YEAR(B1166)</f>
        <v>2021</v>
      </c>
      <c r="P1166" s="54" t="n">
        <f aca="false">IF(AND(E1166&gt;=14400,K1166&gt;0,L1166&gt;0),1,0)</f>
        <v>1</v>
      </c>
      <c r="Q1166" s="53" t="n">
        <f aca="false">IF(P1166=1,F1166/E1166*MIN(L1166/K1166,1)*MIN(MAX(M1166/L1166,0),1),0)</f>
        <v>0.475258035969635</v>
      </c>
      <c r="R1166" s="55" t="n">
        <f aca="false">IF(F1166&gt;0,N1166/(F1166/3600),0)</f>
        <v>9.84483079880733</v>
      </c>
    </row>
    <row r="1167" customFormat="false" ht="15" hidden="false" customHeight="false" outlineLevel="0" collapsed="false">
      <c r="A1167" s="0" t="s">
        <v>259</v>
      </c>
      <c r="B1167" s="52" t="n">
        <v>44559</v>
      </c>
      <c r="C1167" s="0" t="n">
        <v>46750.906</v>
      </c>
      <c r="D1167" s="0" t="n">
        <v>10241.692</v>
      </c>
      <c r="E1167" s="0" t="n">
        <v>36509.214</v>
      </c>
      <c r="F1167" s="0" t="n">
        <v>17411.202</v>
      </c>
      <c r="G1167" s="0" t="n">
        <v>12708.014</v>
      </c>
      <c r="H1167" s="0" t="n">
        <v>4703.188</v>
      </c>
      <c r="I1167" s="0" t="n">
        <v>3780.727</v>
      </c>
      <c r="J1167" s="0" t="n">
        <v>15317.285</v>
      </c>
      <c r="K1167" s="0" t="n">
        <v>28836.5925655556</v>
      </c>
      <c r="L1167" s="0" t="n">
        <v>20827</v>
      </c>
      <c r="M1167" s="0" t="n">
        <v>20727</v>
      </c>
      <c r="N1167" s="0" t="n">
        <v>66</v>
      </c>
      <c r="O1167" s="54" t="n">
        <f aca="false">YEAR(B1167)</f>
        <v>2021</v>
      </c>
      <c r="P1167" s="54" t="n">
        <f aca="false">IF(AND(E1167&gt;=14400,K1167&gt;0,L1167&gt;0),1,0)</f>
        <v>1</v>
      </c>
      <c r="Q1167" s="53" t="n">
        <f aca="false">IF(P1167=1,F1167/E1167*MIN(L1167/K1167,1)*MIN(MAX(M1167/L1167,0),1),0)</f>
        <v>0.34278260666188</v>
      </c>
      <c r="R1167" s="55" t="n">
        <f aca="false">IF(F1167&gt;0,N1167/(F1167/3600),0)</f>
        <v>13.6463869639787</v>
      </c>
    </row>
    <row r="1168" customFormat="false" ht="15" hidden="false" customHeight="false" outlineLevel="0" collapsed="false">
      <c r="A1168" s="0" t="s">
        <v>259</v>
      </c>
      <c r="B1168" s="52" t="n">
        <v>44560</v>
      </c>
      <c r="C1168" s="0" t="n">
        <v>55881.514</v>
      </c>
      <c r="D1168" s="0" t="n">
        <v>10538.759</v>
      </c>
      <c r="E1168" s="0" t="n">
        <v>45342.755</v>
      </c>
      <c r="F1168" s="0" t="n">
        <v>27828.522</v>
      </c>
      <c r="G1168" s="0" t="n">
        <v>18186.119</v>
      </c>
      <c r="H1168" s="0" t="n">
        <v>9642.403</v>
      </c>
      <c r="I1168" s="0" t="n">
        <v>8253.966</v>
      </c>
      <c r="J1168" s="0" t="n">
        <v>9260.267</v>
      </c>
      <c r="K1168" s="0" t="n">
        <v>47741.37552</v>
      </c>
      <c r="L1168" s="0" t="n">
        <v>31009</v>
      </c>
      <c r="M1168" s="0" t="n">
        <v>30925</v>
      </c>
      <c r="N1168" s="0" t="n">
        <v>54</v>
      </c>
      <c r="O1168" s="54" t="n">
        <f aca="false">YEAR(B1168)</f>
        <v>2021</v>
      </c>
      <c r="P1168" s="54" t="n">
        <f aca="false">IF(AND(E1168&gt;=14400,K1168&gt;0,L1168&gt;0),1,0)</f>
        <v>1</v>
      </c>
      <c r="Q1168" s="53" t="n">
        <f aca="false">IF(P1168=1,F1168/E1168*MIN(L1168/K1168,1)*MIN(MAX(M1168/L1168,0),1),0)</f>
        <v>0.397554814875016</v>
      </c>
      <c r="R1168" s="55" t="n">
        <f aca="false">IF(F1168&gt;0,N1168/(F1168/3600),0)</f>
        <v>6.98563869112416</v>
      </c>
    </row>
    <row r="1169" customFormat="false" ht="15" hidden="false" customHeight="false" outlineLevel="0" collapsed="false">
      <c r="A1169" s="0" t="s">
        <v>259</v>
      </c>
      <c r="B1169" s="52" t="n">
        <v>44561</v>
      </c>
      <c r="C1169" s="0" t="n">
        <v>14503.986</v>
      </c>
      <c r="D1169" s="0" t="n">
        <v>5800.674</v>
      </c>
      <c r="E1169" s="0" t="n">
        <v>8703.312</v>
      </c>
      <c r="F1169" s="0" t="n">
        <v>1672.184</v>
      </c>
      <c r="G1169" s="0" t="n">
        <v>1034.67</v>
      </c>
      <c r="H1169" s="0" t="n">
        <v>637.514</v>
      </c>
      <c r="I1169" s="0" t="n">
        <v>799.246</v>
      </c>
      <c r="J1169" s="0" t="n">
        <v>6231.882</v>
      </c>
      <c r="K1169" s="0" t="n">
        <v>2868.72455111111</v>
      </c>
      <c r="L1169" s="0" t="n">
        <v>1786</v>
      </c>
      <c r="M1169" s="0" t="n">
        <v>1770</v>
      </c>
      <c r="N1169" s="0" t="n">
        <v>5</v>
      </c>
      <c r="O1169" s="54" t="n">
        <f aca="false">YEAR(B1169)</f>
        <v>2021</v>
      </c>
      <c r="P1169" s="54" t="n">
        <f aca="false">IF(AND(E1169&gt;=14400,K1169&gt;0,L1169&gt;0),1,0)</f>
        <v>0</v>
      </c>
      <c r="Q1169" s="53" t="n">
        <f aca="false">IF(P1169=1,F1169/E1169*MIN(L1169/K1169,1)*MIN(MAX(M1169/L1169,0),1),0)</f>
        <v>0</v>
      </c>
      <c r="R1169" s="55" t="n">
        <f aca="false">IF(F1169&gt;0,N1169/(F1169/3600),0)</f>
        <v>10.7643656439722</v>
      </c>
    </row>
    <row r="1170" customFormat="false" ht="15" hidden="false" customHeight="false" outlineLevel="0" collapsed="false">
      <c r="A1170" s="0" t="s">
        <v>260</v>
      </c>
      <c r="B1170" s="52" t="n">
        <v>44111</v>
      </c>
      <c r="C1170" s="0" t="n">
        <v>67828.519</v>
      </c>
      <c r="D1170" s="0" t="n">
        <v>25871.153</v>
      </c>
      <c r="E1170" s="0" t="n">
        <v>41957.366</v>
      </c>
      <c r="F1170" s="0" t="n">
        <v>22788.03</v>
      </c>
      <c r="G1170" s="0" t="n">
        <v>21471.612</v>
      </c>
      <c r="H1170" s="0" t="n">
        <v>1316.418</v>
      </c>
      <c r="I1170" s="0" t="n">
        <v>3462.536</v>
      </c>
      <c r="J1170" s="0" t="n">
        <v>15706.8</v>
      </c>
      <c r="K1170" s="0" t="n">
        <v>30384.04</v>
      </c>
      <c r="L1170" s="0" t="n">
        <v>28677</v>
      </c>
      <c r="M1170" s="0" t="n">
        <v>28649</v>
      </c>
      <c r="N1170" s="0" t="n">
        <v>19</v>
      </c>
      <c r="O1170" s="54" t="n">
        <f aca="false">YEAR(B1170)</f>
        <v>2020</v>
      </c>
      <c r="P1170" s="54" t="n">
        <f aca="false">IF(AND(E1170&gt;=14400,K1170&gt;0,L1170&gt;0),1,0)</f>
        <v>1</v>
      </c>
      <c r="Q1170" s="53" t="n">
        <f aca="false">IF(P1170=1,F1170/E1170*MIN(L1170/K1170,1)*MIN(MAX(M1170/L1170,0),1),0)</f>
        <v>0.512109125248711</v>
      </c>
      <c r="R1170" s="55" t="n">
        <f aca="false">IF(F1170&gt;0,N1170/(F1170/3600),0)</f>
        <v>3.00157582730934</v>
      </c>
    </row>
    <row r="1171" customFormat="false" ht="15" hidden="false" customHeight="false" outlineLevel="0" collapsed="false">
      <c r="A1171" s="0" t="s">
        <v>260</v>
      </c>
      <c r="B1171" s="52" t="n">
        <v>44112</v>
      </c>
      <c r="C1171" s="0" t="n">
        <v>93788.353</v>
      </c>
      <c r="D1171" s="0" t="n">
        <v>11765.22</v>
      </c>
      <c r="E1171" s="0" t="n">
        <v>82023.133</v>
      </c>
      <c r="F1171" s="0" t="n">
        <v>29042.925</v>
      </c>
      <c r="G1171" s="0" t="n">
        <v>23283.01</v>
      </c>
      <c r="H1171" s="0" t="n">
        <v>5759.915</v>
      </c>
      <c r="I1171" s="0" t="n">
        <v>3521.962</v>
      </c>
      <c r="J1171" s="0" t="n">
        <v>49458.246</v>
      </c>
      <c r="K1171" s="0" t="n">
        <v>38723.9</v>
      </c>
      <c r="L1171" s="0" t="n">
        <v>30993</v>
      </c>
      <c r="M1171" s="0" t="n">
        <v>30909</v>
      </c>
      <c r="N1171" s="0" t="n">
        <v>22</v>
      </c>
      <c r="O1171" s="54" t="n">
        <f aca="false">YEAR(B1171)</f>
        <v>2020</v>
      </c>
      <c r="P1171" s="54" t="n">
        <f aca="false">IF(AND(E1171&gt;=14400,K1171&gt;0,L1171&gt;0),1,0)</f>
        <v>1</v>
      </c>
      <c r="Q1171" s="53" t="n">
        <f aca="false">IF(P1171=1,F1171/E1171*MIN(L1171/K1171,1)*MIN(MAX(M1171/L1171,0),1),0)</f>
        <v>0.282624537153439</v>
      </c>
      <c r="R1171" s="55" t="n">
        <f aca="false">IF(F1171&gt;0,N1171/(F1171/3600),0)</f>
        <v>2.72699805546446</v>
      </c>
    </row>
    <row r="1172" customFormat="false" ht="15" hidden="false" customHeight="false" outlineLevel="0" collapsed="false">
      <c r="A1172" s="0" t="s">
        <v>260</v>
      </c>
      <c r="B1172" s="52" t="n">
        <v>44113</v>
      </c>
      <c r="C1172" s="0" t="n">
        <v>85803.567</v>
      </c>
      <c r="D1172" s="0" t="n">
        <v>7330.02</v>
      </c>
      <c r="E1172" s="0" t="n">
        <v>78473.547</v>
      </c>
      <c r="F1172" s="0" t="n">
        <v>25645.405</v>
      </c>
      <c r="G1172" s="0" t="n">
        <v>18631.217</v>
      </c>
      <c r="H1172" s="0" t="n">
        <v>7014.188</v>
      </c>
      <c r="I1172" s="0" t="n">
        <v>10432.363</v>
      </c>
      <c r="J1172" s="0" t="n">
        <v>42395.779</v>
      </c>
      <c r="K1172" s="0" t="n">
        <v>34193.8733333333</v>
      </c>
      <c r="L1172" s="0" t="n">
        <v>24682</v>
      </c>
      <c r="M1172" s="0" t="n">
        <v>24576</v>
      </c>
      <c r="N1172" s="0" t="n">
        <v>42</v>
      </c>
      <c r="O1172" s="54" t="n">
        <f aca="false">YEAR(B1172)</f>
        <v>2020</v>
      </c>
      <c r="P1172" s="54" t="n">
        <f aca="false">IF(AND(E1172&gt;=14400,K1172&gt;0,L1172&gt;0),1,0)</f>
        <v>1</v>
      </c>
      <c r="Q1172" s="53" t="n">
        <f aca="false">IF(P1172=1,F1172/E1172*MIN(L1172/K1172,1)*MIN(MAX(M1172/L1172,0),1),0)</f>
        <v>0.234881698414881</v>
      </c>
      <c r="R1172" s="55" t="n">
        <f aca="false">IF(F1172&gt;0,N1172/(F1172/3600),0)</f>
        <v>5.89579302802978</v>
      </c>
    </row>
    <row r="1173" customFormat="false" ht="15" hidden="false" customHeight="false" outlineLevel="0" collapsed="false">
      <c r="A1173" s="0" t="s">
        <v>260</v>
      </c>
      <c r="B1173" s="52" t="n">
        <v>44114</v>
      </c>
      <c r="C1173" s="0" t="n">
        <v>80203.468</v>
      </c>
      <c r="D1173" s="0" t="n">
        <v>2967.747</v>
      </c>
      <c r="E1173" s="0" t="n">
        <v>77235.721</v>
      </c>
      <c r="F1173" s="0" t="n">
        <v>24876.634</v>
      </c>
      <c r="G1173" s="0" t="n">
        <v>22209.022</v>
      </c>
      <c r="H1173" s="0" t="n">
        <v>2667.612</v>
      </c>
      <c r="I1173" s="0" t="n">
        <v>2572.836</v>
      </c>
      <c r="J1173" s="0" t="n">
        <v>49786.251</v>
      </c>
      <c r="K1173" s="0" t="n">
        <v>33168.8453333333</v>
      </c>
      <c r="L1173" s="0" t="n">
        <v>29538</v>
      </c>
      <c r="M1173" s="0" t="n">
        <v>29470</v>
      </c>
      <c r="N1173" s="0" t="n">
        <v>19</v>
      </c>
      <c r="O1173" s="54" t="n">
        <f aca="false">YEAR(B1173)</f>
        <v>2020</v>
      </c>
      <c r="P1173" s="54" t="n">
        <f aca="false">IF(AND(E1173&gt;=14400,K1173&gt;0,L1173&gt;0),1,0)</f>
        <v>1</v>
      </c>
      <c r="Q1173" s="53" t="n">
        <f aca="false">IF(P1173=1,F1173/E1173*MIN(L1173/K1173,1)*MIN(MAX(M1173/L1173,0),1),0)</f>
        <v>0.286169400813906</v>
      </c>
      <c r="R1173" s="55" t="n">
        <f aca="false">IF(F1173&gt;0,N1173/(F1173/3600),0)</f>
        <v>2.74956812887145</v>
      </c>
    </row>
    <row r="1174" customFormat="false" ht="15" hidden="false" customHeight="false" outlineLevel="0" collapsed="false">
      <c r="A1174" s="0" t="s">
        <v>260</v>
      </c>
      <c r="B1174" s="52" t="n">
        <v>44115</v>
      </c>
      <c r="C1174" s="0" t="n">
        <v>81407.729</v>
      </c>
      <c r="D1174" s="0" t="n">
        <v>7378.453</v>
      </c>
      <c r="E1174" s="0" t="n">
        <v>74029.276</v>
      </c>
      <c r="F1174" s="0" t="n">
        <v>32033.878</v>
      </c>
      <c r="G1174" s="0" t="n">
        <v>26840.172</v>
      </c>
      <c r="H1174" s="0" t="n">
        <v>5193.706</v>
      </c>
      <c r="I1174" s="0" t="n">
        <v>7051.437</v>
      </c>
      <c r="J1174" s="0" t="n">
        <v>34943.961</v>
      </c>
      <c r="K1174" s="0" t="n">
        <v>42711.8373333333</v>
      </c>
      <c r="L1174" s="0" t="n">
        <v>35706</v>
      </c>
      <c r="M1174" s="0" t="n">
        <v>35600</v>
      </c>
      <c r="N1174" s="0" t="n">
        <v>57</v>
      </c>
      <c r="O1174" s="54" t="n">
        <f aca="false">YEAR(B1174)</f>
        <v>2020</v>
      </c>
      <c r="P1174" s="54" t="n">
        <f aca="false">IF(AND(E1174&gt;=14400,K1174&gt;0,L1174&gt;0),1,0)</f>
        <v>1</v>
      </c>
      <c r="Q1174" s="53" t="n">
        <f aca="false">IF(P1174=1,F1174/E1174*MIN(L1174/K1174,1)*MIN(MAX(M1174/L1174,0),1),0)</f>
        <v>0.36066812270324</v>
      </c>
      <c r="R1174" s="55" t="n">
        <f aca="false">IF(F1174&gt;0,N1174/(F1174/3600),0)</f>
        <v>6.40571834605851</v>
      </c>
    </row>
    <row r="1175" customFormat="false" ht="15" hidden="false" customHeight="false" outlineLevel="0" collapsed="false">
      <c r="A1175" s="0" t="s">
        <v>260</v>
      </c>
      <c r="B1175" s="52" t="n">
        <v>44116</v>
      </c>
      <c r="C1175" s="0" t="n">
        <v>53039.719</v>
      </c>
      <c r="D1175" s="0" t="n">
        <v>7530.981</v>
      </c>
      <c r="E1175" s="0" t="n">
        <v>45508.738</v>
      </c>
      <c r="F1175" s="0" t="n">
        <v>24651.707</v>
      </c>
      <c r="G1175" s="0" t="n">
        <v>21287.138</v>
      </c>
      <c r="H1175" s="0" t="n">
        <v>3364.569</v>
      </c>
      <c r="I1175" s="0" t="n">
        <v>3843.733</v>
      </c>
      <c r="J1175" s="0" t="n">
        <v>17013.298</v>
      </c>
      <c r="K1175" s="0" t="n">
        <v>32868.9426666667</v>
      </c>
      <c r="L1175" s="0" t="n">
        <v>28323</v>
      </c>
      <c r="M1175" s="0" t="n">
        <v>28281</v>
      </c>
      <c r="N1175" s="0" t="n">
        <v>25</v>
      </c>
      <c r="O1175" s="54" t="n">
        <f aca="false">YEAR(B1175)</f>
        <v>2020</v>
      </c>
      <c r="P1175" s="54" t="n">
        <f aca="false">IF(AND(E1175&gt;=14400,K1175&gt;0,L1175&gt;0),1,0)</f>
        <v>1</v>
      </c>
      <c r="Q1175" s="53" t="n">
        <f aca="false">IF(P1175=1,F1175/E1175*MIN(L1175/K1175,1)*MIN(MAX(M1175/L1175,0),1),0)</f>
        <v>0.466080821665501</v>
      </c>
      <c r="R1175" s="55" t="n">
        <f aca="false">IF(F1175&gt;0,N1175/(F1175/3600),0)</f>
        <v>3.65086279826383</v>
      </c>
    </row>
    <row r="1176" customFormat="false" ht="15" hidden="false" customHeight="false" outlineLevel="0" collapsed="false">
      <c r="A1176" s="0" t="s">
        <v>260</v>
      </c>
      <c r="B1176" s="52" t="n">
        <v>44117</v>
      </c>
      <c r="C1176" s="0" t="n">
        <v>88707.408</v>
      </c>
      <c r="D1176" s="0" t="n">
        <v>13229.408</v>
      </c>
      <c r="E1176" s="0" t="n">
        <v>75478</v>
      </c>
      <c r="F1176" s="0" t="n">
        <v>36971.948</v>
      </c>
      <c r="G1176" s="0" t="n">
        <v>28598.963</v>
      </c>
      <c r="H1176" s="0" t="n">
        <v>8372.985</v>
      </c>
      <c r="I1176" s="0" t="n">
        <v>8708.884</v>
      </c>
      <c r="J1176" s="0" t="n">
        <v>29797.168</v>
      </c>
      <c r="K1176" s="0" t="n">
        <v>49144.2612638889</v>
      </c>
      <c r="L1176" s="0" t="n">
        <v>38062</v>
      </c>
      <c r="M1176" s="0" t="n">
        <v>37819</v>
      </c>
      <c r="N1176" s="0" t="n">
        <v>49</v>
      </c>
      <c r="O1176" s="54" t="n">
        <f aca="false">YEAR(B1176)</f>
        <v>2020</v>
      </c>
      <c r="P1176" s="54" t="n">
        <f aca="false">IF(AND(E1176&gt;=14400,K1176&gt;0,L1176&gt;0),1,0)</f>
        <v>1</v>
      </c>
      <c r="Q1176" s="53" t="n">
        <f aca="false">IF(P1176=1,F1176/E1176*MIN(L1176/K1176,1)*MIN(MAX(M1176/L1176,0),1),0)</f>
        <v>0.37695471488099</v>
      </c>
      <c r="R1176" s="55" t="n">
        <f aca="false">IF(F1176&gt;0,N1176/(F1176/3600),0)</f>
        <v>4.77118489942699</v>
      </c>
    </row>
    <row r="1177" customFormat="false" ht="15" hidden="false" customHeight="false" outlineLevel="0" collapsed="false">
      <c r="A1177" s="0" t="s">
        <v>260</v>
      </c>
      <c r="B1177" s="52" t="n">
        <v>44118</v>
      </c>
      <c r="C1177" s="0" t="n">
        <v>83042.052</v>
      </c>
      <c r="D1177" s="0" t="n">
        <v>13582.552</v>
      </c>
      <c r="E1177" s="0" t="n">
        <v>69459.5</v>
      </c>
      <c r="F1177" s="0" t="n">
        <v>33968.422</v>
      </c>
      <c r="G1177" s="0" t="n">
        <v>27607.865</v>
      </c>
      <c r="H1177" s="0" t="n">
        <v>6360.557</v>
      </c>
      <c r="I1177" s="0" t="n">
        <v>10211.617</v>
      </c>
      <c r="J1177" s="0" t="n">
        <v>25279.461</v>
      </c>
      <c r="K1177" s="0" t="n">
        <v>38894.1304444445</v>
      </c>
      <c r="L1177" s="0" t="n">
        <v>30004</v>
      </c>
      <c r="M1177" s="0" t="n">
        <v>29516</v>
      </c>
      <c r="N1177" s="0" t="n">
        <v>68</v>
      </c>
      <c r="O1177" s="54" t="n">
        <f aca="false">YEAR(B1177)</f>
        <v>2020</v>
      </c>
      <c r="P1177" s="54" t="n">
        <f aca="false">IF(AND(E1177&gt;=14400,K1177&gt;0,L1177&gt;0),1,0)</f>
        <v>1</v>
      </c>
      <c r="Q1177" s="53" t="n">
        <f aca="false">IF(P1177=1,F1177/E1177*MIN(L1177/K1177,1)*MIN(MAX(M1177/L1177,0),1),0)</f>
        <v>0.371122388629315</v>
      </c>
      <c r="R1177" s="55" t="n">
        <f aca="false">IF(F1177&gt;0,N1177/(F1177/3600),0)</f>
        <v>7.20669332240397</v>
      </c>
    </row>
    <row r="1178" customFormat="false" ht="15" hidden="false" customHeight="false" outlineLevel="0" collapsed="false">
      <c r="A1178" s="0" t="s">
        <v>260</v>
      </c>
      <c r="B1178" s="52" t="n">
        <v>44119</v>
      </c>
      <c r="C1178" s="0" t="n">
        <v>80882.72</v>
      </c>
      <c r="D1178" s="0" t="n">
        <v>7536.09</v>
      </c>
      <c r="E1178" s="0" t="n">
        <v>73346.63</v>
      </c>
      <c r="F1178" s="0" t="n">
        <v>36852.675</v>
      </c>
      <c r="G1178" s="0" t="n">
        <v>31301.955</v>
      </c>
      <c r="H1178" s="0" t="n">
        <v>5550.72</v>
      </c>
      <c r="I1178" s="0" t="n">
        <v>3491.276</v>
      </c>
      <c r="J1178" s="0" t="n">
        <v>33002.679</v>
      </c>
      <c r="K1178" s="0" t="n">
        <v>43272.4180833333</v>
      </c>
      <c r="L1178" s="0" t="n">
        <v>36910</v>
      </c>
      <c r="M1178" s="0" t="n">
        <v>36718</v>
      </c>
      <c r="N1178" s="0" t="n">
        <v>19</v>
      </c>
      <c r="O1178" s="54" t="n">
        <f aca="false">YEAR(B1178)</f>
        <v>2020</v>
      </c>
      <c r="P1178" s="54" t="n">
        <f aca="false">IF(AND(E1178&gt;=14400,K1178&gt;0,L1178&gt;0),1,0)</f>
        <v>1</v>
      </c>
      <c r="Q1178" s="53" t="n">
        <f aca="false">IF(P1178=1,F1178/E1178*MIN(L1178/K1178,1)*MIN(MAX(M1178/L1178,0),1),0)</f>
        <v>0.426340613460615</v>
      </c>
      <c r="R1178" s="55" t="n">
        <f aca="false">IF(F1178&gt;0,N1178/(F1178/3600),0)</f>
        <v>1.85603894425574</v>
      </c>
    </row>
    <row r="1179" customFormat="false" ht="15" hidden="false" customHeight="false" outlineLevel="0" collapsed="false">
      <c r="A1179" s="0" t="s">
        <v>260</v>
      </c>
      <c r="B1179" s="52" t="n">
        <v>44120</v>
      </c>
      <c r="C1179" s="0" t="n">
        <v>91791.558</v>
      </c>
      <c r="D1179" s="0" t="n">
        <v>7873.177</v>
      </c>
      <c r="E1179" s="0" t="n">
        <v>83918.381</v>
      </c>
      <c r="F1179" s="0" t="n">
        <v>33192.239</v>
      </c>
      <c r="G1179" s="0" t="n">
        <v>27507.969</v>
      </c>
      <c r="H1179" s="0" t="n">
        <v>5684.27</v>
      </c>
      <c r="I1179" s="0" t="n">
        <v>3411.054</v>
      </c>
      <c r="J1179" s="0" t="n">
        <v>47315.088</v>
      </c>
      <c r="K1179" s="0" t="n">
        <v>41490.29875</v>
      </c>
      <c r="L1179" s="0" t="n">
        <v>34288</v>
      </c>
      <c r="M1179" s="0" t="n">
        <v>34242</v>
      </c>
      <c r="N1179" s="0" t="n">
        <v>27</v>
      </c>
      <c r="O1179" s="54" t="n">
        <f aca="false">YEAR(B1179)</f>
        <v>2020</v>
      </c>
      <c r="P1179" s="54" t="n">
        <f aca="false">IF(AND(E1179&gt;=14400,K1179&gt;0,L1179&gt;0),1,0)</f>
        <v>1</v>
      </c>
      <c r="Q1179" s="53" t="n">
        <f aca="false">IF(P1179=1,F1179/E1179*MIN(L1179/K1179,1)*MIN(MAX(M1179/L1179,0),1),0)</f>
        <v>0.326431464401107</v>
      </c>
      <c r="R1179" s="55" t="n">
        <f aca="false">IF(F1179&gt;0,N1179/(F1179/3600),0)</f>
        <v>2.92839539990056</v>
      </c>
    </row>
    <row r="1180" customFormat="false" ht="15" hidden="false" customHeight="false" outlineLevel="0" collapsed="false">
      <c r="A1180" s="0" t="s">
        <v>260</v>
      </c>
      <c r="B1180" s="52" t="n">
        <v>44121</v>
      </c>
      <c r="C1180" s="0" t="n">
        <v>53756.53</v>
      </c>
      <c r="D1180" s="0" t="n">
        <v>12077.442</v>
      </c>
      <c r="E1180" s="0" t="n">
        <v>41679.088</v>
      </c>
      <c r="F1180" s="0" t="n">
        <v>15658.795</v>
      </c>
      <c r="G1180" s="0" t="n">
        <v>14492.084</v>
      </c>
      <c r="H1180" s="0" t="n">
        <v>1166.711</v>
      </c>
      <c r="I1180" s="0" t="n">
        <v>4595.317</v>
      </c>
      <c r="J1180" s="0" t="n">
        <v>21424.976</v>
      </c>
      <c r="K1180" s="0" t="n">
        <v>19783.4956666667</v>
      </c>
      <c r="L1180" s="0" t="n">
        <v>18242</v>
      </c>
      <c r="M1180" s="0" t="n">
        <v>18191</v>
      </c>
      <c r="N1180" s="0" t="n">
        <v>24</v>
      </c>
      <c r="O1180" s="54" t="n">
        <f aca="false">YEAR(B1180)</f>
        <v>2020</v>
      </c>
      <c r="P1180" s="54" t="n">
        <f aca="false">IF(AND(E1180&gt;=14400,K1180&gt;0,L1180&gt;0),1,0)</f>
        <v>1</v>
      </c>
      <c r="Q1180" s="53" t="n">
        <f aca="false">IF(P1180=1,F1180/E1180*MIN(L1180/K1180,1)*MIN(MAX(M1180/L1180,0),1),0)</f>
        <v>0.345456741926846</v>
      </c>
      <c r="R1180" s="55" t="n">
        <f aca="false">IF(F1180&gt;0,N1180/(F1180/3600),0)</f>
        <v>5.51766595066862</v>
      </c>
    </row>
    <row r="1181" customFormat="false" ht="15" hidden="false" customHeight="false" outlineLevel="0" collapsed="false">
      <c r="A1181" s="0" t="s">
        <v>260</v>
      </c>
      <c r="B1181" s="52" t="n">
        <v>44122</v>
      </c>
      <c r="C1181" s="0" t="n">
        <v>49151.12</v>
      </c>
      <c r="D1181" s="0" t="n">
        <v>7980.869</v>
      </c>
      <c r="E1181" s="0" t="n">
        <v>41170.251</v>
      </c>
      <c r="F1181" s="0" t="n">
        <v>23424.21</v>
      </c>
      <c r="G1181" s="0" t="n">
        <v>20694.486</v>
      </c>
      <c r="H1181" s="0" t="n">
        <v>2729.724</v>
      </c>
      <c r="I1181" s="0" t="n">
        <v>3533.05</v>
      </c>
      <c r="J1181" s="0" t="n">
        <v>14212.991</v>
      </c>
      <c r="K1181" s="0" t="n">
        <v>29280.2625</v>
      </c>
      <c r="L1181" s="0" t="n">
        <v>25788</v>
      </c>
      <c r="M1181" s="0" t="n">
        <v>25693</v>
      </c>
      <c r="N1181" s="0" t="n">
        <v>29</v>
      </c>
      <c r="O1181" s="54" t="n">
        <f aca="false">YEAR(B1181)</f>
        <v>2020</v>
      </c>
      <c r="P1181" s="54" t="n">
        <f aca="false">IF(AND(E1181&gt;=14400,K1181&gt;0,L1181&gt;0),1,0)</f>
        <v>1</v>
      </c>
      <c r="Q1181" s="53" t="n">
        <f aca="false">IF(P1181=1,F1181/E1181*MIN(L1181/K1181,1)*MIN(MAX(M1181/L1181,0),1),0)</f>
        <v>0.499253696558712</v>
      </c>
      <c r="R1181" s="55" t="n">
        <f aca="false">IF(F1181&gt;0,N1181/(F1181/3600),0)</f>
        <v>4.45692725603126</v>
      </c>
    </row>
    <row r="1182" customFormat="false" ht="15" hidden="false" customHeight="false" outlineLevel="0" collapsed="false">
      <c r="A1182" s="0" t="s">
        <v>260</v>
      </c>
      <c r="B1182" s="52" t="n">
        <v>44123</v>
      </c>
      <c r="C1182" s="0" t="n">
        <v>97639.467</v>
      </c>
      <c r="D1182" s="0" t="n">
        <v>9025.348</v>
      </c>
      <c r="E1182" s="0" t="n">
        <v>88614.119</v>
      </c>
      <c r="F1182" s="0" t="n">
        <v>32802.496</v>
      </c>
      <c r="G1182" s="0" t="n">
        <v>26029.015</v>
      </c>
      <c r="H1182" s="0" t="n">
        <v>6773.481</v>
      </c>
      <c r="I1182" s="0" t="n">
        <v>3730.776</v>
      </c>
      <c r="J1182" s="0" t="n">
        <v>52080.847</v>
      </c>
      <c r="K1182" s="0" t="n">
        <v>41003.12</v>
      </c>
      <c r="L1182" s="0" t="n">
        <v>32417</v>
      </c>
      <c r="M1182" s="0" t="n">
        <v>32324</v>
      </c>
      <c r="N1182" s="0" t="n">
        <v>29</v>
      </c>
      <c r="O1182" s="54" t="n">
        <f aca="false">YEAR(B1182)</f>
        <v>2020</v>
      </c>
      <c r="P1182" s="54" t="n">
        <f aca="false">IF(AND(E1182&gt;=14400,K1182&gt;0,L1182&gt;0),1,0)</f>
        <v>1</v>
      </c>
      <c r="Q1182" s="53" t="n">
        <f aca="false">IF(P1182=1,F1182/E1182*MIN(L1182/K1182,1)*MIN(MAX(M1182/L1182,0),1),0)</f>
        <v>0.291818056668825</v>
      </c>
      <c r="R1182" s="55" t="n">
        <f aca="false">IF(F1182&gt;0,N1182/(F1182/3600),0)</f>
        <v>3.18268463473024</v>
      </c>
    </row>
    <row r="1183" customFormat="false" ht="15" hidden="false" customHeight="false" outlineLevel="0" collapsed="false">
      <c r="A1183" s="0" t="s">
        <v>260</v>
      </c>
      <c r="B1183" s="52" t="n">
        <v>44124</v>
      </c>
      <c r="C1183" s="0" t="n">
        <v>82457.073</v>
      </c>
      <c r="D1183" s="0" t="n">
        <v>7195.745</v>
      </c>
      <c r="E1183" s="0" t="n">
        <v>75261.328</v>
      </c>
      <c r="F1183" s="0" t="n">
        <v>25814.035</v>
      </c>
      <c r="G1183" s="0" t="n">
        <v>21769.147</v>
      </c>
      <c r="H1183" s="0" t="n">
        <v>4044.888</v>
      </c>
      <c r="I1183" s="0" t="n">
        <v>5638.994</v>
      </c>
      <c r="J1183" s="0" t="n">
        <v>43808.299</v>
      </c>
      <c r="K1183" s="0" t="n">
        <v>32267.54375</v>
      </c>
      <c r="L1183" s="0" t="n">
        <v>27130</v>
      </c>
      <c r="M1183" s="0" t="n">
        <v>27114</v>
      </c>
      <c r="N1183" s="0" t="n">
        <v>30</v>
      </c>
      <c r="O1183" s="54" t="n">
        <f aca="false">YEAR(B1183)</f>
        <v>2020</v>
      </c>
      <c r="P1183" s="54" t="n">
        <f aca="false">IF(AND(E1183&gt;=14400,K1183&gt;0,L1183&gt;0),1,0)</f>
        <v>1</v>
      </c>
      <c r="Q1183" s="53" t="n">
        <f aca="false">IF(P1183=1,F1183/E1183*MIN(L1183/K1183,1)*MIN(MAX(M1183/L1183,0),1),0)</f>
        <v>0.288211762619974</v>
      </c>
      <c r="R1183" s="55" t="n">
        <f aca="false">IF(F1183&gt;0,N1183/(F1183/3600),0)</f>
        <v>4.1837705728686</v>
      </c>
    </row>
    <row r="1184" customFormat="false" ht="15" hidden="false" customHeight="false" outlineLevel="0" collapsed="false">
      <c r="A1184" s="0" t="s">
        <v>260</v>
      </c>
      <c r="B1184" s="52" t="n">
        <v>44125</v>
      </c>
      <c r="C1184" s="0" t="n">
        <v>58168.196</v>
      </c>
      <c r="D1184" s="0" t="n">
        <v>10432.433</v>
      </c>
      <c r="E1184" s="0" t="n">
        <v>47735.763</v>
      </c>
      <c r="F1184" s="0" t="n">
        <v>34185.262</v>
      </c>
      <c r="G1184" s="0" t="n">
        <v>29721.287</v>
      </c>
      <c r="H1184" s="0" t="n">
        <v>4463.975</v>
      </c>
      <c r="I1184" s="0" t="n">
        <v>4728.88</v>
      </c>
      <c r="J1184" s="0" t="n">
        <v>8821.621</v>
      </c>
      <c r="K1184" s="0" t="n">
        <v>42849.0430833333</v>
      </c>
      <c r="L1184" s="0" t="n">
        <v>37180</v>
      </c>
      <c r="M1184" s="0" t="n">
        <v>37071</v>
      </c>
      <c r="N1184" s="0" t="n">
        <v>36</v>
      </c>
      <c r="O1184" s="54" t="n">
        <f aca="false">YEAR(B1184)</f>
        <v>2020</v>
      </c>
      <c r="P1184" s="54" t="n">
        <f aca="false">IF(AND(E1184&gt;=14400,K1184&gt;0,L1184&gt;0),1,0)</f>
        <v>1</v>
      </c>
      <c r="Q1184" s="53" t="n">
        <f aca="false">IF(P1184=1,F1184/E1184*MIN(L1184/K1184,1)*MIN(MAX(M1184/L1184,0),1),0)</f>
        <v>0.619566914446763</v>
      </c>
      <c r="R1184" s="55" t="n">
        <f aca="false">IF(F1184&gt;0,N1184/(F1184/3600),0)</f>
        <v>3.79110740763081</v>
      </c>
    </row>
    <row r="1185" customFormat="false" ht="15" hidden="false" customHeight="false" outlineLevel="0" collapsed="false">
      <c r="A1185" s="0" t="s">
        <v>260</v>
      </c>
      <c r="B1185" s="52" t="n">
        <v>44135</v>
      </c>
      <c r="C1185" s="0" t="n">
        <v>47607.752</v>
      </c>
      <c r="D1185" s="0" t="n">
        <v>4671.331</v>
      </c>
      <c r="E1185" s="0" t="n">
        <v>42936.421</v>
      </c>
      <c r="F1185" s="0" t="n">
        <v>0</v>
      </c>
      <c r="G1185" s="0" t="n">
        <v>0</v>
      </c>
      <c r="H1185" s="0" t="n">
        <v>0</v>
      </c>
      <c r="I1185" s="0" t="n">
        <v>0</v>
      </c>
      <c r="J1185" s="0" t="n">
        <v>42936.421</v>
      </c>
      <c r="K1185" s="0" t="n">
        <v>0</v>
      </c>
      <c r="L1185" s="0" t="n">
        <v>0</v>
      </c>
      <c r="M1185" s="0" t="n">
        <v>0</v>
      </c>
      <c r="N1185" s="0" t="n">
        <v>0</v>
      </c>
      <c r="O1185" s="54" t="n">
        <f aca="false">YEAR(B1185)</f>
        <v>2020</v>
      </c>
      <c r="P1185" s="54" t="n">
        <f aca="false">IF(AND(E1185&gt;=14400,K1185&gt;0,L1185&gt;0),1,0)</f>
        <v>0</v>
      </c>
      <c r="Q1185" s="53" t="n">
        <f aca="false">IF(P1185=1,F1185/E1185*MIN(L1185/K1185,1)*MIN(MAX(M1185/L1185,0),1),0)</f>
        <v>0</v>
      </c>
      <c r="R1185" s="55" t="n">
        <f aca="false">IF(F1185&gt;0,N1185/(F1185/3600),0)</f>
        <v>0</v>
      </c>
    </row>
    <row r="1186" customFormat="false" ht="15" hidden="false" customHeight="false" outlineLevel="0" collapsed="false">
      <c r="A1186" s="0" t="s">
        <v>260</v>
      </c>
      <c r="B1186" s="52" t="n">
        <v>44136</v>
      </c>
      <c r="C1186" s="0" t="n">
        <v>51722.029</v>
      </c>
      <c r="D1186" s="0" t="n">
        <v>8237.378</v>
      </c>
      <c r="E1186" s="0" t="n">
        <v>43484.651</v>
      </c>
      <c r="F1186" s="0" t="n">
        <v>26282.907</v>
      </c>
      <c r="G1186" s="0" t="n">
        <v>22658.496</v>
      </c>
      <c r="H1186" s="0" t="n">
        <v>3624.411</v>
      </c>
      <c r="I1186" s="0" t="n">
        <v>2996.018</v>
      </c>
      <c r="J1186" s="0" t="n">
        <v>14205.726</v>
      </c>
      <c r="K1186" s="0" t="n">
        <v>32853.63375</v>
      </c>
      <c r="L1186" s="0" t="n">
        <v>28254</v>
      </c>
      <c r="M1186" s="0" t="n">
        <v>28218</v>
      </c>
      <c r="N1186" s="0" t="n">
        <v>29</v>
      </c>
      <c r="O1186" s="54" t="n">
        <f aca="false">YEAR(B1186)</f>
        <v>2020</v>
      </c>
      <c r="P1186" s="54" t="n">
        <f aca="false">IF(AND(E1186&gt;=14400,K1186&gt;0,L1186&gt;0),1,0)</f>
        <v>1</v>
      </c>
      <c r="Q1186" s="53" t="n">
        <f aca="false">IF(P1186=1,F1186/E1186*MIN(L1186/K1186,1)*MIN(MAX(M1186/L1186,0),1),0)</f>
        <v>0.519134901186168</v>
      </c>
      <c r="R1186" s="55" t="n">
        <f aca="false">IF(F1186&gt;0,N1186/(F1186/3600),0)</f>
        <v>3.97216335316333</v>
      </c>
    </row>
    <row r="1187" customFormat="false" ht="15" hidden="false" customHeight="false" outlineLevel="0" collapsed="false">
      <c r="A1187" s="0" t="s">
        <v>260</v>
      </c>
      <c r="B1187" s="52" t="n">
        <v>44137</v>
      </c>
      <c r="C1187" s="0" t="n">
        <v>53431.003</v>
      </c>
      <c r="D1187" s="0" t="n">
        <v>0</v>
      </c>
      <c r="E1187" s="0" t="n">
        <v>53431.003</v>
      </c>
      <c r="F1187" s="0" t="n">
        <v>29080.615</v>
      </c>
      <c r="G1187" s="0" t="n">
        <v>26786.009</v>
      </c>
      <c r="H1187" s="0" t="n">
        <v>2294.606</v>
      </c>
      <c r="I1187" s="0" t="n">
        <v>3403.538</v>
      </c>
      <c r="J1187" s="0" t="n">
        <v>20946.85</v>
      </c>
      <c r="K1187" s="0" t="n">
        <v>36719.4588333333</v>
      </c>
      <c r="L1187" s="0" t="n">
        <v>33758</v>
      </c>
      <c r="M1187" s="0" t="n">
        <v>33694</v>
      </c>
      <c r="N1187" s="0" t="n">
        <v>31</v>
      </c>
      <c r="O1187" s="54" t="n">
        <f aca="false">YEAR(B1187)</f>
        <v>2020</v>
      </c>
      <c r="P1187" s="54" t="n">
        <f aca="false">IF(AND(E1187&gt;=14400,K1187&gt;0,L1187&gt;0),1,0)</f>
        <v>1</v>
      </c>
      <c r="Q1187" s="53" t="n">
        <f aca="false">IF(P1187=1,F1187/E1187*MIN(L1187/K1187,1)*MIN(MAX(M1187/L1187,0),1),0)</f>
        <v>0.499420723577158</v>
      </c>
      <c r="R1187" s="55" t="n">
        <f aca="false">IF(F1187&gt;0,N1187/(F1187/3600),0)</f>
        <v>3.83760797355902</v>
      </c>
    </row>
    <row r="1188" customFormat="false" ht="15" hidden="false" customHeight="false" outlineLevel="0" collapsed="false">
      <c r="A1188" s="0" t="s">
        <v>260</v>
      </c>
      <c r="B1188" s="52" t="n">
        <v>44138</v>
      </c>
      <c r="C1188" s="0" t="n">
        <v>73132.581</v>
      </c>
      <c r="D1188" s="0" t="n">
        <v>11695.672</v>
      </c>
      <c r="E1188" s="0" t="n">
        <v>61436.909</v>
      </c>
      <c r="F1188" s="0" t="n">
        <v>21958.076</v>
      </c>
      <c r="G1188" s="0" t="n">
        <v>19764.291</v>
      </c>
      <c r="H1188" s="0" t="n">
        <v>2193.785</v>
      </c>
      <c r="I1188" s="0" t="n">
        <v>2832.136</v>
      </c>
      <c r="J1188" s="0" t="n">
        <v>36646.697</v>
      </c>
      <c r="K1188" s="0" t="n">
        <v>27447.595</v>
      </c>
      <c r="L1188" s="0" t="n">
        <v>24674</v>
      </c>
      <c r="M1188" s="0" t="n">
        <v>24657</v>
      </c>
      <c r="N1188" s="0" t="n">
        <v>13</v>
      </c>
      <c r="O1188" s="54" t="n">
        <f aca="false">YEAR(B1188)</f>
        <v>2020</v>
      </c>
      <c r="P1188" s="54" t="n">
        <f aca="false">IF(AND(E1188&gt;=14400,K1188&gt;0,L1188&gt;0),1,0)</f>
        <v>1</v>
      </c>
      <c r="Q1188" s="53" t="n">
        <f aca="false">IF(P1188=1,F1188/E1188*MIN(L1188/K1188,1)*MIN(MAX(M1188/L1188,0),1),0)</f>
        <v>0.321070840331502</v>
      </c>
      <c r="R1188" s="55" t="n">
        <f aca="false">IF(F1188&gt;0,N1188/(F1188/3600),0)</f>
        <v>2.13133427537094</v>
      </c>
    </row>
    <row r="1189" customFormat="false" ht="15" hidden="false" customHeight="false" outlineLevel="0" collapsed="false">
      <c r="A1189" s="0" t="s">
        <v>260</v>
      </c>
      <c r="B1189" s="52" t="n">
        <v>44139</v>
      </c>
      <c r="C1189" s="0" t="n">
        <v>85666.865</v>
      </c>
      <c r="D1189" s="0" t="n">
        <v>8848.148</v>
      </c>
      <c r="E1189" s="0" t="n">
        <v>76818.717</v>
      </c>
      <c r="F1189" s="0" t="n">
        <v>23940.515</v>
      </c>
      <c r="G1189" s="0" t="n">
        <v>21917.595</v>
      </c>
      <c r="H1189" s="0" t="n">
        <v>2022.92</v>
      </c>
      <c r="I1189" s="0" t="n">
        <v>3417.263</v>
      </c>
      <c r="J1189" s="0" t="n">
        <v>49460.939</v>
      </c>
      <c r="K1189" s="0" t="n">
        <v>29925.64375</v>
      </c>
      <c r="L1189" s="0" t="n">
        <v>27325</v>
      </c>
      <c r="M1189" s="0" t="n">
        <v>27293</v>
      </c>
      <c r="N1189" s="0" t="n">
        <v>25</v>
      </c>
      <c r="O1189" s="54" t="n">
        <f aca="false">YEAR(B1189)</f>
        <v>2020</v>
      </c>
      <c r="P1189" s="54" t="n">
        <f aca="false">IF(AND(E1189&gt;=14400,K1189&gt;0,L1189&gt;0),1,0)</f>
        <v>1</v>
      </c>
      <c r="Q1189" s="53" t="n">
        <f aca="false">IF(P1189=1,F1189/E1189*MIN(L1189/K1189,1)*MIN(MAX(M1189/L1189,0),1),0)</f>
        <v>0.284232812688085</v>
      </c>
      <c r="R1189" s="55" t="n">
        <f aca="false">IF(F1189&gt;0,N1189/(F1189/3600),0)</f>
        <v>3.75931762537272</v>
      </c>
    </row>
    <row r="1190" customFormat="false" ht="15" hidden="false" customHeight="false" outlineLevel="0" collapsed="false">
      <c r="A1190" s="0" t="s">
        <v>260</v>
      </c>
      <c r="B1190" s="52" t="n">
        <v>44140</v>
      </c>
      <c r="C1190" s="0" t="n">
        <v>71409.932</v>
      </c>
      <c r="D1190" s="0" t="n">
        <v>2344.93</v>
      </c>
      <c r="E1190" s="0" t="n">
        <v>69065.002</v>
      </c>
      <c r="F1190" s="0" t="n">
        <v>29473.206</v>
      </c>
      <c r="G1190" s="0" t="n">
        <v>23923.847</v>
      </c>
      <c r="H1190" s="0" t="n">
        <v>5549.359</v>
      </c>
      <c r="I1190" s="0" t="n">
        <v>2131.557</v>
      </c>
      <c r="J1190" s="0" t="n">
        <v>37460.239</v>
      </c>
      <c r="K1190" s="0" t="n">
        <v>36841.5075</v>
      </c>
      <c r="L1190" s="0" t="n">
        <v>29866</v>
      </c>
      <c r="M1190" s="0" t="n">
        <v>29794</v>
      </c>
      <c r="N1190" s="0" t="n">
        <v>18</v>
      </c>
      <c r="O1190" s="54" t="n">
        <f aca="false">YEAR(B1190)</f>
        <v>2020</v>
      </c>
      <c r="P1190" s="54" t="n">
        <f aca="false">IF(AND(E1190&gt;=14400,K1190&gt;0,L1190&gt;0),1,0)</f>
        <v>1</v>
      </c>
      <c r="Q1190" s="53" t="n">
        <f aca="false">IF(P1190=1,F1190/E1190*MIN(L1190/K1190,1)*MIN(MAX(M1190/L1190,0),1),0)</f>
        <v>0.345112565116555</v>
      </c>
      <c r="R1190" s="55" t="n">
        <f aca="false">IF(F1190&gt;0,N1190/(F1190/3600),0)</f>
        <v>2.19860710097164</v>
      </c>
    </row>
    <row r="1191" customFormat="false" ht="15" hidden="false" customHeight="false" outlineLevel="0" collapsed="false">
      <c r="A1191" s="0" t="s">
        <v>260</v>
      </c>
      <c r="B1191" s="52" t="n">
        <v>44141</v>
      </c>
      <c r="C1191" s="0" t="n">
        <v>49644.064</v>
      </c>
      <c r="D1191" s="0" t="n">
        <v>5852.897</v>
      </c>
      <c r="E1191" s="0" t="n">
        <v>43791.167</v>
      </c>
      <c r="F1191" s="0" t="n">
        <v>28433.853</v>
      </c>
      <c r="G1191" s="0" t="n">
        <v>23642.989</v>
      </c>
      <c r="H1191" s="0" t="n">
        <v>4790.864</v>
      </c>
      <c r="I1191" s="0" t="n">
        <v>4151.607</v>
      </c>
      <c r="J1191" s="0" t="n">
        <v>11205.707</v>
      </c>
      <c r="K1191" s="0" t="n">
        <v>35793.9895833333</v>
      </c>
      <c r="L1191" s="0" t="n">
        <v>29690</v>
      </c>
      <c r="M1191" s="0" t="n">
        <v>29648</v>
      </c>
      <c r="N1191" s="0" t="n">
        <v>27</v>
      </c>
      <c r="O1191" s="54" t="n">
        <f aca="false">YEAR(B1191)</f>
        <v>2020</v>
      </c>
      <c r="P1191" s="54" t="n">
        <f aca="false">IF(AND(E1191&gt;=14400,K1191&gt;0,L1191&gt;0),1,0)</f>
        <v>1</v>
      </c>
      <c r="Q1191" s="53" t="n">
        <f aca="false">IF(P1191=1,F1191/E1191*MIN(L1191/K1191,1)*MIN(MAX(M1191/L1191,0),1),0)</f>
        <v>0.53781695498616</v>
      </c>
      <c r="R1191" s="55" t="n">
        <f aca="false">IF(F1191&gt;0,N1191/(F1191/3600),0)</f>
        <v>3.4184603824181</v>
      </c>
    </row>
    <row r="1192" customFormat="false" ht="15" hidden="false" customHeight="false" outlineLevel="0" collapsed="false">
      <c r="A1192" s="0" t="s">
        <v>260</v>
      </c>
      <c r="B1192" s="52" t="n">
        <v>44142</v>
      </c>
      <c r="C1192" s="0" t="n">
        <v>73114.978</v>
      </c>
      <c r="D1192" s="0" t="n">
        <v>11703.536</v>
      </c>
      <c r="E1192" s="0" t="n">
        <v>61411.442</v>
      </c>
      <c r="F1192" s="0" t="n">
        <v>23977.014</v>
      </c>
      <c r="G1192" s="0" t="n">
        <v>20681.763</v>
      </c>
      <c r="H1192" s="0" t="n">
        <v>3295.251</v>
      </c>
      <c r="I1192" s="0" t="n">
        <v>2689.878</v>
      </c>
      <c r="J1192" s="0" t="n">
        <v>34744.55</v>
      </c>
      <c r="K1192" s="0" t="n">
        <v>29971.2675</v>
      </c>
      <c r="L1192" s="0" t="n">
        <v>25824</v>
      </c>
      <c r="M1192" s="0" t="n">
        <v>25790</v>
      </c>
      <c r="N1192" s="0" t="n">
        <v>20</v>
      </c>
      <c r="O1192" s="54" t="n">
        <f aca="false">YEAR(B1192)</f>
        <v>2020</v>
      </c>
      <c r="P1192" s="54" t="n">
        <f aca="false">IF(AND(E1192&gt;=14400,K1192&gt;0,L1192&gt;0),1,0)</f>
        <v>1</v>
      </c>
      <c r="Q1192" s="53" t="n">
        <f aca="false">IF(P1192=1,F1192/E1192*MIN(L1192/K1192,1)*MIN(MAX(M1192/L1192,0),1),0)</f>
        <v>0.335963451240894</v>
      </c>
      <c r="R1192" s="55" t="n">
        <f aca="false">IF(F1192&gt;0,N1192/(F1192/3600),0)</f>
        <v>3.0028760044933</v>
      </c>
    </row>
    <row r="1193" customFormat="false" ht="15" hidden="false" customHeight="false" outlineLevel="0" collapsed="false">
      <c r="A1193" s="0" t="s">
        <v>260</v>
      </c>
      <c r="B1193" s="52" t="n">
        <v>44143</v>
      </c>
      <c r="C1193" s="0" t="n">
        <v>76944.892</v>
      </c>
      <c r="D1193" s="0" t="n">
        <v>9773.663</v>
      </c>
      <c r="E1193" s="0" t="n">
        <v>67171.229</v>
      </c>
      <c r="F1193" s="0" t="n">
        <v>35258.081</v>
      </c>
      <c r="G1193" s="0" t="n">
        <v>32575.507</v>
      </c>
      <c r="H1193" s="0" t="n">
        <v>2682.574</v>
      </c>
      <c r="I1193" s="0" t="n">
        <v>3585.522</v>
      </c>
      <c r="J1193" s="0" t="n">
        <v>28327.626</v>
      </c>
      <c r="K1193" s="0" t="n">
        <v>44072.60125</v>
      </c>
      <c r="L1193" s="0" t="n">
        <v>39491</v>
      </c>
      <c r="M1193" s="0" t="n">
        <v>39396</v>
      </c>
      <c r="N1193" s="0" t="n">
        <v>38</v>
      </c>
      <c r="O1193" s="54" t="n">
        <f aca="false">YEAR(B1193)</f>
        <v>2020</v>
      </c>
      <c r="P1193" s="54" t="n">
        <f aca="false">IF(AND(E1193&gt;=14400,K1193&gt;0,L1193&gt;0),1,0)</f>
        <v>1</v>
      </c>
      <c r="Q1193" s="53" t="n">
        <f aca="false">IF(P1193=1,F1193/E1193*MIN(L1193/K1193,1)*MIN(MAX(M1193/L1193,0),1),0)</f>
        <v>0.469200883610452</v>
      </c>
      <c r="R1193" s="55" t="n">
        <f aca="false">IF(F1193&gt;0,N1193/(F1193/3600),0)</f>
        <v>3.87996158951476</v>
      </c>
    </row>
    <row r="1194" customFormat="false" ht="15" hidden="false" customHeight="false" outlineLevel="0" collapsed="false">
      <c r="A1194" s="0" t="s">
        <v>260</v>
      </c>
      <c r="B1194" s="52" t="n">
        <v>44144</v>
      </c>
      <c r="C1194" s="0" t="n">
        <v>75532.094</v>
      </c>
      <c r="D1194" s="0" t="n">
        <v>1932.83</v>
      </c>
      <c r="E1194" s="0" t="n">
        <v>73599.264</v>
      </c>
      <c r="F1194" s="0" t="n">
        <v>38289.844</v>
      </c>
      <c r="G1194" s="0" t="n">
        <v>33849.155</v>
      </c>
      <c r="H1194" s="0" t="n">
        <v>4440.689</v>
      </c>
      <c r="I1194" s="0" t="n">
        <v>2999.216</v>
      </c>
      <c r="J1194" s="0" t="n">
        <v>32310.204</v>
      </c>
      <c r="K1194" s="0" t="n">
        <v>47862.305</v>
      </c>
      <c r="L1194" s="0" t="n">
        <v>42207</v>
      </c>
      <c r="M1194" s="0" t="n">
        <v>42076</v>
      </c>
      <c r="N1194" s="0" t="n">
        <v>32</v>
      </c>
      <c r="O1194" s="54" t="n">
        <f aca="false">YEAR(B1194)</f>
        <v>2020</v>
      </c>
      <c r="P1194" s="54" t="n">
        <f aca="false">IF(AND(E1194&gt;=14400,K1194&gt;0,L1194&gt;0),1,0)</f>
        <v>1</v>
      </c>
      <c r="Q1194" s="53" t="n">
        <f aca="false">IF(P1194=1,F1194/E1194*MIN(L1194/K1194,1)*MIN(MAX(M1194/L1194,0),1),0)</f>
        <v>0.457352399610953</v>
      </c>
      <c r="R1194" s="55" t="n">
        <f aca="false">IF(F1194&gt;0,N1194/(F1194/3600),0)</f>
        <v>3.00863069590986</v>
      </c>
    </row>
    <row r="1195" customFormat="false" ht="15" hidden="false" customHeight="false" outlineLevel="0" collapsed="false">
      <c r="A1195" s="0" t="s">
        <v>260</v>
      </c>
      <c r="B1195" s="52" t="n">
        <v>44145</v>
      </c>
      <c r="C1195" s="0" t="n">
        <v>62256.895</v>
      </c>
      <c r="D1195" s="0" t="n">
        <v>7954.932</v>
      </c>
      <c r="E1195" s="0" t="n">
        <v>54301.963</v>
      </c>
      <c r="F1195" s="0" t="n">
        <v>21438.028</v>
      </c>
      <c r="G1195" s="0" t="n">
        <v>19259.886</v>
      </c>
      <c r="H1195" s="0" t="n">
        <v>2178.142</v>
      </c>
      <c r="I1195" s="0" t="n">
        <v>5531.184</v>
      </c>
      <c r="J1195" s="0" t="n">
        <v>27332.751</v>
      </c>
      <c r="K1195" s="0" t="n">
        <v>26989.13775</v>
      </c>
      <c r="L1195" s="0" t="n">
        <v>24145</v>
      </c>
      <c r="M1195" s="0" t="n">
        <v>24092</v>
      </c>
      <c r="N1195" s="0" t="n">
        <v>39</v>
      </c>
      <c r="O1195" s="54" t="n">
        <f aca="false">YEAR(B1195)</f>
        <v>2020</v>
      </c>
      <c r="P1195" s="54" t="n">
        <f aca="false">IF(AND(E1195&gt;=14400,K1195&gt;0,L1195&gt;0),1,0)</f>
        <v>1</v>
      </c>
      <c r="Q1195" s="53" t="n">
        <f aca="false">IF(P1195=1,F1195/E1195*MIN(L1195/K1195,1)*MIN(MAX(M1195/L1195,0),1),0)</f>
        <v>0.352413996781524</v>
      </c>
      <c r="R1195" s="55" t="n">
        <f aca="false">IF(F1195&gt;0,N1195/(F1195/3600),0)</f>
        <v>6.54910983416945</v>
      </c>
    </row>
    <row r="1196" customFormat="false" ht="15" hidden="false" customHeight="false" outlineLevel="0" collapsed="false">
      <c r="A1196" s="0" t="s">
        <v>260</v>
      </c>
      <c r="B1196" s="52" t="n">
        <v>44146</v>
      </c>
      <c r="C1196" s="0" t="n">
        <v>91186.069</v>
      </c>
      <c r="D1196" s="0" t="n">
        <v>7649.927</v>
      </c>
      <c r="E1196" s="0" t="n">
        <v>83536.142</v>
      </c>
      <c r="F1196" s="0" t="n">
        <v>41733.778</v>
      </c>
      <c r="G1196" s="0" t="n">
        <v>35618.214</v>
      </c>
      <c r="H1196" s="0" t="n">
        <v>6115.564</v>
      </c>
      <c r="I1196" s="0" t="n">
        <v>8342.152</v>
      </c>
      <c r="J1196" s="0" t="n">
        <v>33460.212</v>
      </c>
      <c r="K1196" s="0" t="n">
        <v>52167.2225</v>
      </c>
      <c r="L1196" s="0" t="n">
        <v>44324</v>
      </c>
      <c r="M1196" s="0" t="n">
        <v>44111</v>
      </c>
      <c r="N1196" s="0" t="n">
        <v>61</v>
      </c>
      <c r="O1196" s="54" t="n">
        <f aca="false">YEAR(B1196)</f>
        <v>2020</v>
      </c>
      <c r="P1196" s="54" t="n">
        <f aca="false">IF(AND(E1196&gt;=14400,K1196&gt;0,L1196&gt;0),1,0)</f>
        <v>1</v>
      </c>
      <c r="Q1196" s="53" t="n">
        <f aca="false">IF(P1196=1,F1196/E1196*MIN(L1196/K1196,1)*MIN(MAX(M1196/L1196,0),1),0)</f>
        <v>0.422437512136962</v>
      </c>
      <c r="R1196" s="55" t="n">
        <f aca="false">IF(F1196&gt;0,N1196/(F1196/3600),0)</f>
        <v>5.26192476511472</v>
      </c>
    </row>
    <row r="1197" customFormat="false" ht="15" hidden="false" customHeight="false" outlineLevel="0" collapsed="false">
      <c r="A1197" s="0" t="s">
        <v>260</v>
      </c>
      <c r="B1197" s="52" t="n">
        <v>44147</v>
      </c>
      <c r="C1197" s="0" t="n">
        <v>83704.017</v>
      </c>
      <c r="D1197" s="0" t="n">
        <v>390.76</v>
      </c>
      <c r="E1197" s="0" t="n">
        <v>83313.257</v>
      </c>
      <c r="F1197" s="0" t="n">
        <v>34281.325</v>
      </c>
      <c r="G1197" s="0" t="n">
        <v>30569.362</v>
      </c>
      <c r="H1197" s="0" t="n">
        <v>3711.963</v>
      </c>
      <c r="I1197" s="0" t="n">
        <v>33701.604</v>
      </c>
      <c r="J1197" s="0" t="n">
        <v>15330.328</v>
      </c>
      <c r="K1197" s="0" t="n">
        <v>42851.65625</v>
      </c>
      <c r="L1197" s="0" t="n">
        <v>38056</v>
      </c>
      <c r="M1197" s="0" t="n">
        <v>38021</v>
      </c>
      <c r="N1197" s="0" t="n">
        <v>44</v>
      </c>
      <c r="O1197" s="54" t="n">
        <f aca="false">YEAR(B1197)</f>
        <v>2020</v>
      </c>
      <c r="P1197" s="54" t="n">
        <f aca="false">IF(AND(E1197&gt;=14400,K1197&gt;0,L1197&gt;0),1,0)</f>
        <v>1</v>
      </c>
      <c r="Q1197" s="53" t="n">
        <f aca="false">IF(P1197=1,F1197/E1197*MIN(L1197/K1197,1)*MIN(MAX(M1197/L1197,0),1),0)</f>
        <v>0.365089555915453</v>
      </c>
      <c r="R1197" s="55" t="n">
        <f aca="false">IF(F1197&gt;0,N1197/(F1197/3600),0)</f>
        <v>4.62059153197842</v>
      </c>
    </row>
    <row r="1198" customFormat="false" ht="15" hidden="false" customHeight="false" outlineLevel="0" collapsed="false">
      <c r="A1198" s="0" t="s">
        <v>260</v>
      </c>
      <c r="B1198" s="52" t="n">
        <v>44148</v>
      </c>
      <c r="C1198" s="0" t="n">
        <v>84511.259</v>
      </c>
      <c r="D1198" s="0" t="n">
        <v>2304.119</v>
      </c>
      <c r="E1198" s="0" t="n">
        <v>82207.14</v>
      </c>
      <c r="F1198" s="0" t="n">
        <v>24728.894</v>
      </c>
      <c r="G1198" s="0" t="n">
        <v>21469.98</v>
      </c>
      <c r="H1198" s="0" t="n">
        <v>3258.914</v>
      </c>
      <c r="I1198" s="0" t="n">
        <v>6283.79</v>
      </c>
      <c r="J1198" s="0" t="n">
        <v>51194.456</v>
      </c>
      <c r="K1198" s="0" t="n">
        <v>30911.1175</v>
      </c>
      <c r="L1198" s="0" t="n">
        <v>26771</v>
      </c>
      <c r="M1198" s="0" t="n">
        <v>26722</v>
      </c>
      <c r="N1198" s="0" t="n">
        <v>45</v>
      </c>
      <c r="O1198" s="54" t="n">
        <f aca="false">YEAR(B1198)</f>
        <v>2020</v>
      </c>
      <c r="P1198" s="54" t="n">
        <f aca="false">IF(AND(E1198&gt;=14400,K1198&gt;0,L1198&gt;0),1,0)</f>
        <v>1</v>
      </c>
      <c r="Q1198" s="53" t="n">
        <f aca="false">IF(P1198=1,F1198/E1198*MIN(L1198/K1198,1)*MIN(MAX(M1198/L1198,0),1),0)</f>
        <v>0.260045538623531</v>
      </c>
      <c r="R1198" s="55" t="n">
        <f aca="false">IF(F1198&gt;0,N1198/(F1198/3600),0)</f>
        <v>6.55104106152099</v>
      </c>
    </row>
    <row r="1199" customFormat="false" ht="15" hidden="false" customHeight="false" outlineLevel="0" collapsed="false">
      <c r="A1199" s="0" t="s">
        <v>260</v>
      </c>
      <c r="B1199" s="52" t="n">
        <v>44149</v>
      </c>
      <c r="C1199" s="0" t="n">
        <v>82459.64</v>
      </c>
      <c r="D1199" s="0" t="n">
        <v>9982.998</v>
      </c>
      <c r="E1199" s="0" t="n">
        <v>72476.642</v>
      </c>
      <c r="F1199" s="0" t="n">
        <v>23488.876</v>
      </c>
      <c r="G1199" s="0" t="n">
        <v>19038.401</v>
      </c>
      <c r="H1199" s="0" t="n">
        <v>4450.475</v>
      </c>
      <c r="I1199" s="0" t="n">
        <v>4285.166</v>
      </c>
      <c r="J1199" s="0" t="n">
        <v>44702.6</v>
      </c>
      <c r="K1199" s="0" t="n">
        <v>29558.86075</v>
      </c>
      <c r="L1199" s="0" t="n">
        <v>23849</v>
      </c>
      <c r="M1199" s="0" t="n">
        <v>23666</v>
      </c>
      <c r="N1199" s="0" t="n">
        <v>34</v>
      </c>
      <c r="O1199" s="54" t="n">
        <f aca="false">YEAR(B1199)</f>
        <v>2020</v>
      </c>
      <c r="P1199" s="54" t="n">
        <f aca="false">IF(AND(E1199&gt;=14400,K1199&gt;0,L1199&gt;0),1,0)</f>
        <v>1</v>
      </c>
      <c r="Q1199" s="53" t="n">
        <f aca="false">IF(P1199=1,F1199/E1199*MIN(L1199/K1199,1)*MIN(MAX(M1199/L1199,0),1),0)</f>
        <v>0.259478477183044</v>
      </c>
      <c r="R1199" s="55" t="n">
        <f aca="false">IF(F1199&gt;0,N1199/(F1199/3600),0)</f>
        <v>5.21097731538963</v>
      </c>
    </row>
    <row r="1200" customFormat="false" ht="15" hidden="false" customHeight="false" outlineLevel="0" collapsed="false">
      <c r="A1200" s="0" t="s">
        <v>260</v>
      </c>
      <c r="B1200" s="52" t="n">
        <v>44150</v>
      </c>
      <c r="C1200" s="0" t="n">
        <v>93215.437</v>
      </c>
      <c r="D1200" s="0" t="n">
        <v>5413.736</v>
      </c>
      <c r="E1200" s="0" t="n">
        <v>87801.701</v>
      </c>
      <c r="F1200" s="0" t="n">
        <v>36170.689</v>
      </c>
      <c r="G1200" s="0" t="n">
        <v>29364.463</v>
      </c>
      <c r="H1200" s="0" t="n">
        <v>6806.226</v>
      </c>
      <c r="I1200" s="0" t="n">
        <v>10394.928</v>
      </c>
      <c r="J1200" s="0" t="n">
        <v>41236.084</v>
      </c>
      <c r="K1200" s="0" t="n">
        <v>45213.36125</v>
      </c>
      <c r="L1200" s="0" t="n">
        <v>36406</v>
      </c>
      <c r="M1200" s="0" t="n">
        <v>36298</v>
      </c>
      <c r="N1200" s="0" t="n">
        <v>93</v>
      </c>
      <c r="O1200" s="54" t="n">
        <f aca="false">YEAR(B1200)</f>
        <v>2020</v>
      </c>
      <c r="P1200" s="54" t="n">
        <f aca="false">IF(AND(E1200&gt;=14400,K1200&gt;0,L1200&gt;0),1,0)</f>
        <v>1</v>
      </c>
      <c r="Q1200" s="53" t="n">
        <f aca="false">IF(P1200=1,F1200/E1200*MIN(L1200/K1200,1)*MIN(MAX(M1200/L1200,0),1),0)</f>
        <v>0.330727077827342</v>
      </c>
      <c r="R1200" s="55" t="n">
        <f aca="false">IF(F1200&gt;0,N1200/(F1200/3600),0)</f>
        <v>9.25611342377249</v>
      </c>
    </row>
    <row r="1201" customFormat="false" ht="15" hidden="false" customHeight="false" outlineLevel="0" collapsed="false">
      <c r="A1201" s="0" t="s">
        <v>260</v>
      </c>
      <c r="B1201" s="52" t="n">
        <v>44151</v>
      </c>
      <c r="C1201" s="0" t="n">
        <v>54555.627</v>
      </c>
      <c r="D1201" s="0" t="n">
        <v>5957.129</v>
      </c>
      <c r="E1201" s="0" t="n">
        <v>48598.498</v>
      </c>
      <c r="F1201" s="0" t="n">
        <v>25738.937</v>
      </c>
      <c r="G1201" s="0" t="n">
        <v>23884.248</v>
      </c>
      <c r="H1201" s="0" t="n">
        <v>1854.689</v>
      </c>
      <c r="I1201" s="0" t="n">
        <v>4213.723</v>
      </c>
      <c r="J1201" s="0" t="n">
        <v>18645.838</v>
      </c>
      <c r="K1201" s="0" t="n">
        <v>32173.67125</v>
      </c>
      <c r="L1201" s="0" t="n">
        <v>29781</v>
      </c>
      <c r="M1201" s="0" t="n">
        <v>29724</v>
      </c>
      <c r="N1201" s="0" t="n">
        <v>29</v>
      </c>
      <c r="O1201" s="54" t="n">
        <f aca="false">YEAR(B1201)</f>
        <v>2020</v>
      </c>
      <c r="P1201" s="54" t="n">
        <f aca="false">IF(AND(E1201&gt;=14400,K1201&gt;0,L1201&gt;0),1,0)</f>
        <v>1</v>
      </c>
      <c r="Q1201" s="53" t="n">
        <f aca="false">IF(P1201=1,F1201/E1201*MIN(L1201/K1201,1)*MIN(MAX(M1201/L1201,0),1),0)</f>
        <v>0.489299072576276</v>
      </c>
      <c r="R1201" s="55" t="n">
        <f aca="false">IF(F1201&gt;0,N1201/(F1201/3600),0)</f>
        <v>4.05611156358167</v>
      </c>
    </row>
    <row r="1202" customFormat="false" ht="15" hidden="false" customHeight="false" outlineLevel="0" collapsed="false">
      <c r="A1202" s="0" t="s">
        <v>260</v>
      </c>
      <c r="B1202" s="52" t="n">
        <v>44152</v>
      </c>
      <c r="C1202" s="0" t="n">
        <v>100711.598</v>
      </c>
      <c r="D1202" s="0" t="n">
        <v>8315.208</v>
      </c>
      <c r="E1202" s="0" t="n">
        <v>92396.39</v>
      </c>
      <c r="F1202" s="0" t="n">
        <v>35465.084</v>
      </c>
      <c r="G1202" s="0" t="n">
        <v>30142.405</v>
      </c>
      <c r="H1202" s="0" t="n">
        <v>5322.679</v>
      </c>
      <c r="I1202" s="0" t="n">
        <v>5613.183</v>
      </c>
      <c r="J1202" s="0" t="n">
        <v>51318.123</v>
      </c>
      <c r="K1202" s="0" t="n">
        <v>44331.355</v>
      </c>
      <c r="L1202" s="0" t="n">
        <v>37584</v>
      </c>
      <c r="M1202" s="0" t="n">
        <v>37438</v>
      </c>
      <c r="N1202" s="0" t="n">
        <v>50</v>
      </c>
      <c r="O1202" s="54" t="n">
        <f aca="false">YEAR(B1202)</f>
        <v>2020</v>
      </c>
      <c r="P1202" s="54" t="n">
        <f aca="false">IF(AND(E1202&gt;=14400,K1202&gt;0,L1202&gt;0),1,0)</f>
        <v>1</v>
      </c>
      <c r="Q1202" s="53" t="n">
        <f aca="false">IF(P1202=1,F1202/E1202*MIN(L1202/K1202,1)*MIN(MAX(M1202/L1202,0),1),0)</f>
        <v>0.324151192487066</v>
      </c>
      <c r="R1202" s="55" t="n">
        <f aca="false">IF(F1202&gt;0,N1202/(F1202/3600),0)</f>
        <v>5.07541445552476</v>
      </c>
    </row>
    <row r="1203" customFormat="false" ht="15" hidden="false" customHeight="false" outlineLevel="0" collapsed="false">
      <c r="A1203" s="0" t="s">
        <v>260</v>
      </c>
      <c r="B1203" s="52" t="n">
        <v>44153</v>
      </c>
      <c r="C1203" s="0" t="n">
        <v>74489.248</v>
      </c>
      <c r="D1203" s="0" t="n">
        <v>8449.558</v>
      </c>
      <c r="E1203" s="0" t="n">
        <v>66039.69</v>
      </c>
      <c r="F1203" s="0" t="n">
        <v>37372.41</v>
      </c>
      <c r="G1203" s="0" t="n">
        <v>31317.751</v>
      </c>
      <c r="H1203" s="0" t="n">
        <v>6054.659</v>
      </c>
      <c r="I1203" s="0" t="n">
        <v>3671.936</v>
      </c>
      <c r="J1203" s="0" t="n">
        <v>24995.344</v>
      </c>
      <c r="K1203" s="0" t="n">
        <v>46825.7506666667</v>
      </c>
      <c r="L1203" s="0" t="n">
        <v>39092</v>
      </c>
      <c r="M1203" s="0" t="n">
        <v>38811</v>
      </c>
      <c r="N1203" s="0" t="n">
        <v>44</v>
      </c>
      <c r="O1203" s="54" t="n">
        <f aca="false">YEAR(B1203)</f>
        <v>2020</v>
      </c>
      <c r="P1203" s="54" t="n">
        <f aca="false">IF(AND(E1203&gt;=14400,K1203&gt;0,L1203&gt;0),1,0)</f>
        <v>1</v>
      </c>
      <c r="Q1203" s="53" t="n">
        <f aca="false">IF(P1203=1,F1203/E1203*MIN(L1203/K1203,1)*MIN(MAX(M1203/L1203,0),1),0)</f>
        <v>0.469046784778692</v>
      </c>
      <c r="R1203" s="55" t="n">
        <f aca="false">IF(F1203&gt;0,N1203/(F1203/3600),0)</f>
        <v>4.23842080293992</v>
      </c>
    </row>
    <row r="1204" customFormat="false" ht="15" hidden="false" customHeight="false" outlineLevel="0" collapsed="false">
      <c r="A1204" s="0" t="s">
        <v>260</v>
      </c>
      <c r="B1204" s="52" t="n">
        <v>44154</v>
      </c>
      <c r="C1204" s="0" t="n">
        <v>47183.603</v>
      </c>
      <c r="D1204" s="0" t="n">
        <v>5096.245</v>
      </c>
      <c r="E1204" s="0" t="n">
        <v>42087.358</v>
      </c>
      <c r="F1204" s="0" t="n">
        <v>22228.044</v>
      </c>
      <c r="G1204" s="0" t="n">
        <v>15530.548</v>
      </c>
      <c r="H1204" s="0" t="n">
        <v>6697.496</v>
      </c>
      <c r="I1204" s="0" t="n">
        <v>7628.497</v>
      </c>
      <c r="J1204" s="0" t="n">
        <v>12230.817</v>
      </c>
      <c r="K1204" s="0" t="n">
        <v>27785.055</v>
      </c>
      <c r="L1204" s="0" t="n">
        <v>19244</v>
      </c>
      <c r="M1204" s="0" t="n">
        <v>19157</v>
      </c>
      <c r="N1204" s="0" t="n">
        <v>59</v>
      </c>
      <c r="O1204" s="54" t="n">
        <f aca="false">YEAR(B1204)</f>
        <v>2020</v>
      </c>
      <c r="P1204" s="54" t="n">
        <f aca="false">IF(AND(E1204&gt;=14400,K1204&gt;0,L1204&gt;0),1,0)</f>
        <v>1</v>
      </c>
      <c r="Q1204" s="53" t="n">
        <f aca="false">IF(P1204=1,F1204/E1204*MIN(L1204/K1204,1)*MIN(MAX(M1204/L1204,0),1),0)</f>
        <v>0.364137848709819</v>
      </c>
      <c r="R1204" s="55" t="n">
        <f aca="false">IF(F1204&gt;0,N1204/(F1204/3600),0)</f>
        <v>9.55549665098737</v>
      </c>
    </row>
    <row r="1205" customFormat="false" ht="15" hidden="false" customHeight="false" outlineLevel="0" collapsed="false">
      <c r="A1205" s="0" t="s">
        <v>260</v>
      </c>
      <c r="B1205" s="52" t="n">
        <v>44155</v>
      </c>
      <c r="C1205" s="0" t="n">
        <v>78274.042</v>
      </c>
      <c r="D1205" s="0" t="n">
        <v>1948.32</v>
      </c>
      <c r="E1205" s="0" t="n">
        <v>76325.722</v>
      </c>
      <c r="F1205" s="0" t="n">
        <v>22232.534</v>
      </c>
      <c r="G1205" s="0" t="n">
        <v>19681.347</v>
      </c>
      <c r="H1205" s="0" t="n">
        <v>2551.187</v>
      </c>
      <c r="I1205" s="0" t="n">
        <v>5448.942</v>
      </c>
      <c r="J1205" s="0" t="n">
        <v>48644.246</v>
      </c>
      <c r="K1205" s="0" t="n">
        <v>27790.6675</v>
      </c>
      <c r="L1205" s="0" t="n">
        <v>24510</v>
      </c>
      <c r="M1205" s="0" t="n">
        <v>24481</v>
      </c>
      <c r="N1205" s="0" t="n">
        <v>32</v>
      </c>
      <c r="O1205" s="54" t="n">
        <f aca="false">YEAR(B1205)</f>
        <v>2020</v>
      </c>
      <c r="P1205" s="54" t="n">
        <f aca="false">IF(AND(E1205&gt;=14400,K1205&gt;0,L1205&gt;0),1,0)</f>
        <v>1</v>
      </c>
      <c r="Q1205" s="53" t="n">
        <f aca="false">IF(P1205=1,F1205/E1205*MIN(L1205/K1205,1)*MIN(MAX(M1205/L1205,0),1),0)</f>
        <v>0.256595017863048</v>
      </c>
      <c r="R1205" s="55" t="n">
        <f aca="false">IF(F1205&gt;0,N1205/(F1205/3600),0)</f>
        <v>5.18159558420106</v>
      </c>
    </row>
    <row r="1206" customFormat="false" ht="15" hidden="false" customHeight="false" outlineLevel="0" collapsed="false">
      <c r="A1206" s="0" t="s">
        <v>260</v>
      </c>
      <c r="B1206" s="52" t="n">
        <v>44156</v>
      </c>
      <c r="C1206" s="0" t="n">
        <v>54917.331</v>
      </c>
      <c r="D1206" s="0" t="n">
        <v>17628.243</v>
      </c>
      <c r="E1206" s="0" t="n">
        <v>37289.088</v>
      </c>
      <c r="F1206" s="0" t="n">
        <v>20089.734</v>
      </c>
      <c r="G1206" s="0" t="n">
        <v>17515.108</v>
      </c>
      <c r="H1206" s="0" t="n">
        <v>2574.626</v>
      </c>
      <c r="I1206" s="0" t="n">
        <v>2633.944</v>
      </c>
      <c r="J1206" s="0" t="n">
        <v>14565.41</v>
      </c>
      <c r="K1206" s="0" t="n">
        <v>25112.1675</v>
      </c>
      <c r="L1206" s="0" t="n">
        <v>21857</v>
      </c>
      <c r="M1206" s="0" t="n">
        <v>21828</v>
      </c>
      <c r="N1206" s="0" t="n">
        <v>28</v>
      </c>
      <c r="O1206" s="54" t="n">
        <f aca="false">YEAR(B1206)</f>
        <v>2020</v>
      </c>
      <c r="P1206" s="54" t="n">
        <f aca="false">IF(AND(E1206&gt;=14400,K1206&gt;0,L1206&gt;0),1,0)</f>
        <v>1</v>
      </c>
      <c r="Q1206" s="53" t="n">
        <f aca="false">IF(P1206=1,F1206/E1206*MIN(L1206/K1206,1)*MIN(MAX(M1206/L1206,0),1),0)</f>
        <v>0.4682978570031</v>
      </c>
      <c r="R1206" s="55" t="n">
        <f aca="false">IF(F1206&gt;0,N1206/(F1206/3600),0)</f>
        <v>5.01748803642696</v>
      </c>
    </row>
    <row r="1207" customFormat="false" ht="15" hidden="false" customHeight="false" outlineLevel="0" collapsed="false">
      <c r="A1207" s="0" t="s">
        <v>260</v>
      </c>
      <c r="B1207" s="52" t="n">
        <v>44157</v>
      </c>
      <c r="C1207" s="0" t="n">
        <v>99511.633</v>
      </c>
      <c r="D1207" s="0" t="n">
        <v>0</v>
      </c>
      <c r="E1207" s="0" t="n">
        <v>99511.633</v>
      </c>
      <c r="F1207" s="0" t="n">
        <v>30807.486</v>
      </c>
      <c r="G1207" s="0" t="n">
        <v>26577.785</v>
      </c>
      <c r="H1207" s="0" t="n">
        <v>4229.701</v>
      </c>
      <c r="I1207" s="0" t="n">
        <v>32084.764</v>
      </c>
      <c r="J1207" s="0" t="n">
        <v>36619.383</v>
      </c>
      <c r="K1207" s="0" t="n">
        <v>38650.0440833333</v>
      </c>
      <c r="L1207" s="0" t="n">
        <v>33216</v>
      </c>
      <c r="M1207" s="0" t="n">
        <v>33080</v>
      </c>
      <c r="N1207" s="0" t="n">
        <v>43</v>
      </c>
      <c r="O1207" s="54" t="n">
        <f aca="false">YEAR(B1207)</f>
        <v>2020</v>
      </c>
      <c r="P1207" s="54" t="n">
        <f aca="false">IF(AND(E1207&gt;=14400,K1207&gt;0,L1207&gt;0),1,0)</f>
        <v>1</v>
      </c>
      <c r="Q1207" s="53" t="n">
        <f aca="false">IF(P1207=1,F1207/E1207*MIN(L1207/K1207,1)*MIN(MAX(M1207/L1207,0),1),0)</f>
        <v>0.264970737144445</v>
      </c>
      <c r="R1207" s="55" t="n">
        <f aca="false">IF(F1207&gt;0,N1207/(F1207/3600),0)</f>
        <v>5.02475275002965</v>
      </c>
    </row>
    <row r="1208" customFormat="false" ht="15" hidden="false" customHeight="false" outlineLevel="0" collapsed="false">
      <c r="A1208" s="0" t="s">
        <v>260</v>
      </c>
      <c r="B1208" s="52" t="n">
        <v>44158</v>
      </c>
      <c r="C1208" s="0" t="n">
        <v>60148.724</v>
      </c>
      <c r="D1208" s="0" t="n">
        <v>3994.359</v>
      </c>
      <c r="E1208" s="0" t="n">
        <v>56154.365</v>
      </c>
      <c r="F1208" s="0" t="n">
        <v>24595.137</v>
      </c>
      <c r="G1208" s="0" t="n">
        <v>21656.256</v>
      </c>
      <c r="H1208" s="0" t="n">
        <v>2938.881</v>
      </c>
      <c r="I1208" s="0" t="n">
        <v>7953.489</v>
      </c>
      <c r="J1208" s="0" t="n">
        <v>23605.739</v>
      </c>
      <c r="K1208" s="0" t="n">
        <v>30743.92125</v>
      </c>
      <c r="L1208" s="0" t="n">
        <v>26978</v>
      </c>
      <c r="M1208" s="0" t="n">
        <v>26936</v>
      </c>
      <c r="N1208" s="0" t="n">
        <v>24</v>
      </c>
      <c r="O1208" s="54" t="n">
        <f aca="false">YEAR(B1208)</f>
        <v>2020</v>
      </c>
      <c r="P1208" s="54" t="n">
        <f aca="false">IF(AND(E1208&gt;=14400,K1208&gt;0,L1208&gt;0),1,0)</f>
        <v>1</v>
      </c>
      <c r="Q1208" s="53" t="n">
        <f aca="false">IF(P1208=1,F1208/E1208*MIN(L1208/K1208,1)*MIN(MAX(M1208/L1208,0),1),0)</f>
        <v>0.383742207751793</v>
      </c>
      <c r="R1208" s="55" t="n">
        <f aca="false">IF(F1208&gt;0,N1208/(F1208/3600),0)</f>
        <v>3.51288956024112</v>
      </c>
    </row>
    <row r="1209" customFormat="false" ht="15" hidden="false" customHeight="false" outlineLevel="0" collapsed="false">
      <c r="A1209" s="0" t="s">
        <v>260</v>
      </c>
      <c r="B1209" s="52" t="n">
        <v>44159</v>
      </c>
      <c r="C1209" s="0" t="n">
        <v>65971.12</v>
      </c>
      <c r="D1209" s="0" t="n">
        <v>1946.83</v>
      </c>
      <c r="E1209" s="0" t="n">
        <v>64024.29</v>
      </c>
      <c r="F1209" s="0" t="n">
        <v>26757.783</v>
      </c>
      <c r="G1209" s="0" t="n">
        <v>22942.351</v>
      </c>
      <c r="H1209" s="0" t="n">
        <v>3815.432</v>
      </c>
      <c r="I1209" s="0" t="n">
        <v>5265.927</v>
      </c>
      <c r="J1209" s="0" t="n">
        <v>32000.58</v>
      </c>
      <c r="K1209" s="0" t="n">
        <v>33643.43225</v>
      </c>
      <c r="L1209" s="0" t="n">
        <v>28762</v>
      </c>
      <c r="M1209" s="0" t="n">
        <v>28697</v>
      </c>
      <c r="N1209" s="0" t="n">
        <v>31</v>
      </c>
      <c r="O1209" s="54" t="n">
        <f aca="false">YEAR(B1209)</f>
        <v>2020</v>
      </c>
      <c r="P1209" s="54" t="n">
        <f aca="false">IF(AND(E1209&gt;=14400,K1209&gt;0,L1209&gt;0),1,0)</f>
        <v>1</v>
      </c>
      <c r="Q1209" s="53" t="n">
        <f aca="false">IF(P1209=1,F1209/E1209*MIN(L1209/K1209,1)*MIN(MAX(M1209/L1209,0),1),0)</f>
        <v>0.356485244687158</v>
      </c>
      <c r="R1209" s="55" t="n">
        <f aca="false">IF(F1209&gt;0,N1209/(F1209/3600),0)</f>
        <v>4.17074912372225</v>
      </c>
    </row>
    <row r="1210" customFormat="false" ht="15" hidden="false" customHeight="false" outlineLevel="0" collapsed="false">
      <c r="A1210" s="0" t="s">
        <v>260</v>
      </c>
      <c r="B1210" s="52" t="n">
        <v>44160</v>
      </c>
      <c r="C1210" s="0" t="n">
        <v>86241.547</v>
      </c>
      <c r="D1210" s="0" t="n">
        <v>12348.903</v>
      </c>
      <c r="E1210" s="0" t="n">
        <v>73892.644</v>
      </c>
      <c r="F1210" s="0" t="n">
        <v>30614.683</v>
      </c>
      <c r="G1210" s="0" t="n">
        <v>28046.653</v>
      </c>
      <c r="H1210" s="0" t="n">
        <v>2568.03</v>
      </c>
      <c r="I1210" s="0" t="n">
        <v>9787.437</v>
      </c>
      <c r="J1210" s="0" t="n">
        <v>33490.524</v>
      </c>
      <c r="K1210" s="0" t="n">
        <v>38268.35375</v>
      </c>
      <c r="L1210" s="0" t="n">
        <v>34472</v>
      </c>
      <c r="M1210" s="0" t="n">
        <v>34430</v>
      </c>
      <c r="N1210" s="0" t="n">
        <v>23</v>
      </c>
      <c r="O1210" s="54" t="n">
        <f aca="false">YEAR(B1210)</f>
        <v>2020</v>
      </c>
      <c r="P1210" s="54" t="n">
        <f aca="false">IF(AND(E1210&gt;=14400,K1210&gt;0,L1210&gt;0),1,0)</f>
        <v>1</v>
      </c>
      <c r="Q1210" s="53" t="n">
        <f aca="false">IF(P1210=1,F1210/E1210*MIN(L1210/K1210,1)*MIN(MAX(M1210/L1210,0),1),0)</f>
        <v>0.372756995946714</v>
      </c>
      <c r="R1210" s="55" t="n">
        <f aca="false">IF(F1210&gt;0,N1210/(F1210/3600),0)</f>
        <v>2.70458459426152</v>
      </c>
    </row>
    <row r="1211" customFormat="false" ht="15" hidden="false" customHeight="false" outlineLevel="0" collapsed="false">
      <c r="A1211" s="0" t="s">
        <v>260</v>
      </c>
      <c r="B1211" s="52" t="n">
        <v>44161</v>
      </c>
      <c r="C1211" s="0" t="n">
        <v>86043.105</v>
      </c>
      <c r="D1211" s="0" t="n">
        <v>7321.26</v>
      </c>
      <c r="E1211" s="0" t="n">
        <v>78721.845</v>
      </c>
      <c r="F1211" s="0" t="n">
        <v>27027.828</v>
      </c>
      <c r="G1211" s="0" t="n">
        <v>22923.681</v>
      </c>
      <c r="H1211" s="0" t="n">
        <v>4104.147</v>
      </c>
      <c r="I1211" s="0" t="n">
        <v>5551.958</v>
      </c>
      <c r="J1211" s="0" t="n">
        <v>46142.059</v>
      </c>
      <c r="K1211" s="0" t="n">
        <v>33784.785</v>
      </c>
      <c r="L1211" s="0" t="n">
        <v>28507</v>
      </c>
      <c r="M1211" s="0" t="n">
        <v>28415</v>
      </c>
      <c r="N1211" s="0" t="n">
        <v>36</v>
      </c>
      <c r="O1211" s="54" t="n">
        <f aca="false">YEAR(B1211)</f>
        <v>2020</v>
      </c>
      <c r="P1211" s="54" t="n">
        <f aca="false">IF(AND(E1211&gt;=14400,K1211&gt;0,L1211&gt;0),1,0)</f>
        <v>1</v>
      </c>
      <c r="Q1211" s="53" t="n">
        <f aca="false">IF(P1211=1,F1211/E1211*MIN(L1211/K1211,1)*MIN(MAX(M1211/L1211,0),1),0)</f>
        <v>0.288763557307378</v>
      </c>
      <c r="R1211" s="55" t="n">
        <f aca="false">IF(F1211&gt;0,N1211/(F1211/3600),0)</f>
        <v>4.79505789366426</v>
      </c>
    </row>
    <row r="1212" customFormat="false" ht="15" hidden="false" customHeight="false" outlineLevel="0" collapsed="false">
      <c r="A1212" s="0" t="s">
        <v>260</v>
      </c>
      <c r="B1212" s="52" t="n">
        <v>44162</v>
      </c>
      <c r="C1212" s="0" t="n">
        <v>79588.223</v>
      </c>
      <c r="D1212" s="0" t="n">
        <v>3246.928</v>
      </c>
      <c r="E1212" s="0" t="n">
        <v>76341.295</v>
      </c>
      <c r="F1212" s="0" t="n">
        <v>18837.663</v>
      </c>
      <c r="G1212" s="0" t="n">
        <v>16776.958</v>
      </c>
      <c r="H1212" s="0" t="n">
        <v>2060.705</v>
      </c>
      <c r="I1212" s="0" t="n">
        <v>2762.481</v>
      </c>
      <c r="J1212" s="0" t="n">
        <v>54741.151</v>
      </c>
      <c r="K1212" s="0" t="n">
        <v>23547.07875</v>
      </c>
      <c r="L1212" s="0" t="n">
        <v>20894</v>
      </c>
      <c r="M1212" s="0" t="n">
        <v>20850</v>
      </c>
      <c r="N1212" s="0" t="n">
        <v>30</v>
      </c>
      <c r="O1212" s="54" t="n">
        <f aca="false">YEAR(B1212)</f>
        <v>2020</v>
      </c>
      <c r="P1212" s="54" t="n">
        <f aca="false">IF(AND(E1212&gt;=14400,K1212&gt;0,L1212&gt;0),1,0)</f>
        <v>1</v>
      </c>
      <c r="Q1212" s="53" t="n">
        <f aca="false">IF(P1212=1,F1212/E1212*MIN(L1212/K1212,1)*MIN(MAX(M1212/L1212,0),1),0)</f>
        <v>0.218492494789354</v>
      </c>
      <c r="R1212" s="55" t="n">
        <f aca="false">IF(F1212&gt;0,N1212/(F1212/3600),0)</f>
        <v>5.73319524826408</v>
      </c>
    </row>
    <row r="1213" customFormat="false" ht="15" hidden="false" customHeight="false" outlineLevel="0" collapsed="false">
      <c r="A1213" s="0" t="s">
        <v>260</v>
      </c>
      <c r="B1213" s="52" t="n">
        <v>44163</v>
      </c>
      <c r="C1213" s="0" t="n">
        <v>96665.675</v>
      </c>
      <c r="D1213" s="0" t="n">
        <v>12391.278</v>
      </c>
      <c r="E1213" s="0" t="n">
        <v>84274.397</v>
      </c>
      <c r="F1213" s="0" t="n">
        <v>31003.506</v>
      </c>
      <c r="G1213" s="0" t="n">
        <v>27905.453</v>
      </c>
      <c r="H1213" s="0" t="n">
        <v>3098.053</v>
      </c>
      <c r="I1213" s="0" t="n">
        <v>4495.342</v>
      </c>
      <c r="J1213" s="0" t="n">
        <v>48775.549</v>
      </c>
      <c r="K1213" s="0" t="n">
        <v>38850.11225</v>
      </c>
      <c r="L1213" s="0" t="n">
        <v>34855</v>
      </c>
      <c r="M1213" s="0" t="n">
        <v>34797</v>
      </c>
      <c r="N1213" s="0" t="n">
        <v>31</v>
      </c>
      <c r="O1213" s="54" t="n">
        <f aca="false">YEAR(B1213)</f>
        <v>2020</v>
      </c>
      <c r="P1213" s="54" t="n">
        <f aca="false">IF(AND(E1213&gt;=14400,K1213&gt;0,L1213&gt;0),1,0)</f>
        <v>1</v>
      </c>
      <c r="Q1213" s="53" t="n">
        <f aca="false">IF(P1213=1,F1213/E1213*MIN(L1213/K1213,1)*MIN(MAX(M1213/L1213,0),1),0)</f>
        <v>0.329507026331843</v>
      </c>
      <c r="R1213" s="55" t="n">
        <f aca="false">IF(F1213&gt;0,N1213/(F1213/3600),0)</f>
        <v>3.59959289765487</v>
      </c>
    </row>
    <row r="1214" customFormat="false" ht="15" hidden="false" customHeight="false" outlineLevel="0" collapsed="false">
      <c r="A1214" s="0" t="s">
        <v>260</v>
      </c>
      <c r="B1214" s="52" t="n">
        <v>44164</v>
      </c>
      <c r="C1214" s="0" t="n">
        <v>70982.412</v>
      </c>
      <c r="D1214" s="0" t="n">
        <v>8192.197</v>
      </c>
      <c r="E1214" s="0" t="n">
        <v>62790.215</v>
      </c>
      <c r="F1214" s="0" t="n">
        <v>31688.639</v>
      </c>
      <c r="G1214" s="0" t="n">
        <v>29137.629</v>
      </c>
      <c r="H1214" s="0" t="n">
        <v>2551.01</v>
      </c>
      <c r="I1214" s="0" t="n">
        <v>4463.918</v>
      </c>
      <c r="J1214" s="0" t="n">
        <v>26637.658</v>
      </c>
      <c r="K1214" s="0" t="n">
        <v>39610.79875</v>
      </c>
      <c r="L1214" s="0" t="n">
        <v>35156</v>
      </c>
      <c r="M1214" s="0" t="n">
        <v>35122</v>
      </c>
      <c r="N1214" s="0" t="n">
        <v>33</v>
      </c>
      <c r="O1214" s="54" t="n">
        <f aca="false">YEAR(B1214)</f>
        <v>2020</v>
      </c>
      <c r="P1214" s="54" t="n">
        <f aca="false">IF(AND(E1214&gt;=14400,K1214&gt;0,L1214&gt;0),1,0)</f>
        <v>1</v>
      </c>
      <c r="Q1214" s="53" t="n">
        <f aca="false">IF(P1214=1,F1214/E1214*MIN(L1214/K1214,1)*MIN(MAX(M1214/L1214,0),1),0)</f>
        <v>0.447483736120349</v>
      </c>
      <c r="R1214" s="55" t="n">
        <f aca="false">IF(F1214&gt;0,N1214/(F1214/3600),0)</f>
        <v>3.74897766988352</v>
      </c>
    </row>
    <row r="1215" customFormat="false" ht="15" hidden="false" customHeight="false" outlineLevel="0" collapsed="false">
      <c r="A1215" s="0" t="s">
        <v>260</v>
      </c>
      <c r="B1215" s="52" t="n">
        <v>44165</v>
      </c>
      <c r="C1215" s="0" t="n">
        <v>36686.533</v>
      </c>
      <c r="D1215" s="0" t="n">
        <v>4846.857</v>
      </c>
      <c r="E1215" s="0" t="n">
        <v>31839.676</v>
      </c>
      <c r="F1215" s="0" t="n">
        <v>18545.913</v>
      </c>
      <c r="G1215" s="0" t="n">
        <v>13418.714</v>
      </c>
      <c r="H1215" s="0" t="n">
        <v>5127.199</v>
      </c>
      <c r="I1215" s="0" t="n">
        <v>3337.684</v>
      </c>
      <c r="J1215" s="0" t="n">
        <v>9956.079</v>
      </c>
      <c r="K1215" s="0" t="n">
        <v>23182.39125</v>
      </c>
      <c r="L1215" s="0" t="n">
        <v>16698</v>
      </c>
      <c r="M1215" s="0" t="n">
        <v>16678</v>
      </c>
      <c r="N1215" s="0" t="n">
        <v>14</v>
      </c>
      <c r="O1215" s="54" t="n">
        <f aca="false">YEAR(B1215)</f>
        <v>2020</v>
      </c>
      <c r="P1215" s="54" t="n">
        <f aca="false">IF(AND(E1215&gt;=14400,K1215&gt;0,L1215&gt;0),1,0)</f>
        <v>1</v>
      </c>
      <c r="Q1215" s="53" t="n">
        <f aca="false">IF(P1215=1,F1215/E1215*MIN(L1215/K1215,1)*MIN(MAX(M1215/L1215,0),1),0)</f>
        <v>0.419049490327728</v>
      </c>
      <c r="R1215" s="55" t="n">
        <f aca="false">IF(F1215&gt;0,N1215/(F1215/3600),0)</f>
        <v>2.71757987865035</v>
      </c>
    </row>
    <row r="1216" customFormat="false" ht="15" hidden="false" customHeight="false" outlineLevel="0" collapsed="false">
      <c r="A1216" s="0" t="s">
        <v>260</v>
      </c>
      <c r="B1216" s="52" t="n">
        <v>44166</v>
      </c>
      <c r="C1216" s="0" t="n">
        <v>80697.465</v>
      </c>
      <c r="D1216" s="0" t="n">
        <v>2325.286</v>
      </c>
      <c r="E1216" s="0" t="n">
        <v>78372.179</v>
      </c>
      <c r="F1216" s="0" t="n">
        <v>31840.693</v>
      </c>
      <c r="G1216" s="0" t="n">
        <v>26261.897</v>
      </c>
      <c r="H1216" s="0" t="n">
        <v>5578.796</v>
      </c>
      <c r="I1216" s="0" t="n">
        <v>3407.31</v>
      </c>
      <c r="J1216" s="0" t="n">
        <v>43124.176</v>
      </c>
      <c r="K1216" s="0" t="n">
        <v>39800.86625</v>
      </c>
      <c r="L1216" s="0" t="n">
        <v>32723</v>
      </c>
      <c r="M1216" s="0" t="n">
        <v>32702</v>
      </c>
      <c r="N1216" s="0" t="n">
        <v>29</v>
      </c>
      <c r="O1216" s="54" t="n">
        <f aca="false">YEAR(B1216)</f>
        <v>2020</v>
      </c>
      <c r="P1216" s="54" t="n">
        <f aca="false">IF(AND(E1216&gt;=14400,K1216&gt;0,L1216&gt;0),1,0)</f>
        <v>1</v>
      </c>
      <c r="Q1216" s="53" t="n">
        <f aca="false">IF(P1216=1,F1216/E1216*MIN(L1216/K1216,1)*MIN(MAX(M1216/L1216,0),1),0)</f>
        <v>0.333812334093709</v>
      </c>
      <c r="R1216" s="55" t="n">
        <f aca="false">IF(F1216&gt;0,N1216/(F1216/3600),0)</f>
        <v>3.27882310852971</v>
      </c>
    </row>
    <row r="1217" customFormat="false" ht="15" hidden="false" customHeight="false" outlineLevel="0" collapsed="false">
      <c r="A1217" s="0" t="s">
        <v>260</v>
      </c>
      <c r="B1217" s="52" t="n">
        <v>44167</v>
      </c>
      <c r="C1217" s="0" t="n">
        <v>90956.013</v>
      </c>
      <c r="D1217" s="0" t="n">
        <v>7967.715</v>
      </c>
      <c r="E1217" s="0" t="n">
        <v>82988.298</v>
      </c>
      <c r="F1217" s="0" t="n">
        <v>37173.327</v>
      </c>
      <c r="G1217" s="0" t="n">
        <v>30766.218</v>
      </c>
      <c r="H1217" s="0" t="n">
        <v>6407.109</v>
      </c>
      <c r="I1217" s="0" t="n">
        <v>4353.344</v>
      </c>
      <c r="J1217" s="0" t="n">
        <v>41461.627</v>
      </c>
      <c r="K1217" s="0" t="n">
        <v>46669.2819166667</v>
      </c>
      <c r="L1217" s="0" t="n">
        <v>38476</v>
      </c>
      <c r="M1217" s="0" t="n">
        <v>38337</v>
      </c>
      <c r="N1217" s="0" t="n">
        <v>23</v>
      </c>
      <c r="O1217" s="54" t="n">
        <f aca="false">YEAR(B1217)</f>
        <v>2020</v>
      </c>
      <c r="P1217" s="54" t="n">
        <f aca="false">IF(AND(E1217&gt;=14400,K1217&gt;0,L1217&gt;0),1,0)</f>
        <v>1</v>
      </c>
      <c r="Q1217" s="53" t="n">
        <f aca="false">IF(P1217=1,F1217/E1217*MIN(L1217/K1217,1)*MIN(MAX(M1217/L1217,0),1),0)</f>
        <v>0.367960822130812</v>
      </c>
      <c r="R1217" s="55" t="n">
        <f aca="false">IF(F1217&gt;0,N1217/(F1217/3600),0)</f>
        <v>2.22740353587399</v>
      </c>
    </row>
    <row r="1218" customFormat="false" ht="15" hidden="false" customHeight="false" outlineLevel="0" collapsed="false">
      <c r="A1218" s="0" t="s">
        <v>260</v>
      </c>
      <c r="B1218" s="52" t="n">
        <v>44168</v>
      </c>
      <c r="C1218" s="0" t="n">
        <v>52513.622</v>
      </c>
      <c r="D1218" s="0" t="n">
        <v>5839.981</v>
      </c>
      <c r="E1218" s="0" t="n">
        <v>46673.641</v>
      </c>
      <c r="F1218" s="0" t="n">
        <v>30231.075</v>
      </c>
      <c r="G1218" s="0" t="n">
        <v>27205.368</v>
      </c>
      <c r="H1218" s="0" t="n">
        <v>3025.707</v>
      </c>
      <c r="I1218" s="0" t="n">
        <v>3074.72</v>
      </c>
      <c r="J1218" s="0" t="n">
        <v>13367.846</v>
      </c>
      <c r="K1218" s="0" t="n">
        <v>37788.84375</v>
      </c>
      <c r="L1218" s="0" t="n">
        <v>33963</v>
      </c>
      <c r="M1218" s="0" t="n">
        <v>33893</v>
      </c>
      <c r="N1218" s="0" t="n">
        <v>22</v>
      </c>
      <c r="O1218" s="54" t="n">
        <f aca="false">YEAR(B1218)</f>
        <v>2020</v>
      </c>
      <c r="P1218" s="54" t="n">
        <f aca="false">IF(AND(E1218&gt;=14400,K1218&gt;0,L1218&gt;0),1,0)</f>
        <v>1</v>
      </c>
      <c r="Q1218" s="53" t="n">
        <f aca="false">IF(P1218=1,F1218/E1218*MIN(L1218/K1218,1)*MIN(MAX(M1218/L1218,0),1),0)</f>
        <v>0.580936036252239</v>
      </c>
      <c r="R1218" s="55" t="n">
        <f aca="false">IF(F1218&gt;0,N1218/(F1218/3600),0)</f>
        <v>2.61982083005649</v>
      </c>
    </row>
    <row r="1219" customFormat="false" ht="15" hidden="false" customHeight="false" outlineLevel="0" collapsed="false">
      <c r="A1219" s="0" t="s">
        <v>260</v>
      </c>
      <c r="B1219" s="52" t="n">
        <v>44169</v>
      </c>
      <c r="C1219" s="0" t="n">
        <v>70206.236</v>
      </c>
      <c r="D1219" s="0" t="n">
        <v>9379.519</v>
      </c>
      <c r="E1219" s="0" t="n">
        <v>60826.717</v>
      </c>
      <c r="F1219" s="0" t="n">
        <v>27288.259</v>
      </c>
      <c r="G1219" s="0" t="n">
        <v>24948.698</v>
      </c>
      <c r="H1219" s="0" t="n">
        <v>2339.561</v>
      </c>
      <c r="I1219" s="0" t="n">
        <v>4316.874</v>
      </c>
      <c r="J1219" s="0" t="n">
        <v>29221.584</v>
      </c>
      <c r="K1219" s="0" t="n">
        <v>34110.32375</v>
      </c>
      <c r="L1219" s="0" t="n">
        <v>31058</v>
      </c>
      <c r="M1219" s="0" t="n">
        <v>30939</v>
      </c>
      <c r="N1219" s="0" t="n">
        <v>45</v>
      </c>
      <c r="O1219" s="54" t="n">
        <f aca="false">YEAR(B1219)</f>
        <v>2020</v>
      </c>
      <c r="P1219" s="54" t="n">
        <f aca="false">IF(AND(E1219&gt;=14400,K1219&gt;0,L1219&gt;0),1,0)</f>
        <v>1</v>
      </c>
      <c r="Q1219" s="53" t="n">
        <f aca="false">IF(P1219=1,F1219/E1219*MIN(L1219/K1219,1)*MIN(MAX(M1219/L1219,0),1),0)</f>
        <v>0.406913297655042</v>
      </c>
      <c r="R1219" s="55" t="n">
        <f aca="false">IF(F1219&gt;0,N1219/(F1219/3600),0)</f>
        <v>5.93661911520262</v>
      </c>
    </row>
    <row r="1220" customFormat="false" ht="15" hidden="false" customHeight="false" outlineLevel="0" collapsed="false">
      <c r="A1220" s="0" t="s">
        <v>260</v>
      </c>
      <c r="B1220" s="52" t="n">
        <v>44170</v>
      </c>
      <c r="C1220" s="0" t="n">
        <v>93211.033</v>
      </c>
      <c r="D1220" s="0" t="n">
        <v>16312.999</v>
      </c>
      <c r="E1220" s="0" t="n">
        <v>76898.034</v>
      </c>
      <c r="F1220" s="0" t="n">
        <v>21162.233</v>
      </c>
      <c r="G1220" s="0" t="n">
        <v>18783.722</v>
      </c>
      <c r="H1220" s="0" t="n">
        <v>2378.511</v>
      </c>
      <c r="I1220" s="0" t="n">
        <v>6732.023</v>
      </c>
      <c r="J1220" s="0" t="n">
        <v>49003.778</v>
      </c>
      <c r="K1220" s="0" t="n">
        <v>26452.79125</v>
      </c>
      <c r="L1220" s="0" t="n">
        <v>23368</v>
      </c>
      <c r="M1220" s="0" t="n">
        <v>23320</v>
      </c>
      <c r="N1220" s="0" t="n">
        <v>30</v>
      </c>
      <c r="O1220" s="54" t="n">
        <f aca="false">YEAR(B1220)</f>
        <v>2020</v>
      </c>
      <c r="P1220" s="54" t="n">
        <f aca="false">IF(AND(E1220&gt;=14400,K1220&gt;0,L1220&gt;0),1,0)</f>
        <v>1</v>
      </c>
      <c r="Q1220" s="53" t="n">
        <f aca="false">IF(P1220=1,F1220/E1220*MIN(L1220/K1220,1)*MIN(MAX(M1220/L1220,0),1),0)</f>
        <v>0.242606982644056</v>
      </c>
      <c r="R1220" s="55" t="n">
        <f aca="false">IF(F1220&gt;0,N1220/(F1220/3600),0)</f>
        <v>5.10343119272905</v>
      </c>
    </row>
    <row r="1221" customFormat="false" ht="15" hidden="false" customHeight="false" outlineLevel="0" collapsed="false">
      <c r="A1221" s="0" t="s">
        <v>260</v>
      </c>
      <c r="B1221" s="52" t="n">
        <v>44171</v>
      </c>
      <c r="C1221" s="0" t="n">
        <v>86443.877</v>
      </c>
      <c r="D1221" s="0" t="n">
        <v>11031.39</v>
      </c>
      <c r="E1221" s="0" t="n">
        <v>75412.487</v>
      </c>
      <c r="F1221" s="0" t="n">
        <v>34097.052</v>
      </c>
      <c r="G1221" s="0" t="n">
        <v>29214.866</v>
      </c>
      <c r="H1221" s="0" t="n">
        <v>4882.186</v>
      </c>
      <c r="I1221" s="0" t="n">
        <v>4944.325</v>
      </c>
      <c r="J1221" s="0" t="n">
        <v>36371.11</v>
      </c>
      <c r="K1221" s="0" t="n">
        <v>42846.2201666667</v>
      </c>
      <c r="L1221" s="0" t="n">
        <v>36476</v>
      </c>
      <c r="M1221" s="0" t="n">
        <v>36390</v>
      </c>
      <c r="N1221" s="0" t="n">
        <v>51</v>
      </c>
      <c r="O1221" s="54" t="n">
        <f aca="false">YEAR(B1221)</f>
        <v>2020</v>
      </c>
      <c r="P1221" s="54" t="n">
        <f aca="false">IF(AND(E1221&gt;=14400,K1221&gt;0,L1221&gt;0),1,0)</f>
        <v>1</v>
      </c>
      <c r="Q1221" s="53" t="n">
        <f aca="false">IF(P1221=1,F1221/E1221*MIN(L1221/K1221,1)*MIN(MAX(M1221/L1221,0),1),0)</f>
        <v>0.38401050839447</v>
      </c>
      <c r="R1221" s="55" t="n">
        <f aca="false">IF(F1221&gt;0,N1221/(F1221/3600),0)</f>
        <v>5.38462973279919</v>
      </c>
    </row>
    <row r="1222" customFormat="false" ht="15" hidden="false" customHeight="false" outlineLevel="0" collapsed="false">
      <c r="A1222" s="0" t="s">
        <v>260</v>
      </c>
      <c r="B1222" s="52" t="n">
        <v>44172</v>
      </c>
      <c r="C1222" s="0" t="n">
        <v>63946.385</v>
      </c>
      <c r="D1222" s="0" t="n">
        <v>3487.159</v>
      </c>
      <c r="E1222" s="0" t="n">
        <v>60459.226</v>
      </c>
      <c r="F1222" s="0" t="n">
        <v>26623.356</v>
      </c>
      <c r="G1222" s="0" t="n">
        <v>24179.835</v>
      </c>
      <c r="H1222" s="0" t="n">
        <v>2443.521</v>
      </c>
      <c r="I1222" s="0" t="n">
        <v>3424.45</v>
      </c>
      <c r="J1222" s="0" t="n">
        <v>30411.42</v>
      </c>
      <c r="K1222" s="0" t="n">
        <v>33279.195</v>
      </c>
      <c r="L1222" s="0" t="n">
        <v>30141</v>
      </c>
      <c r="M1222" s="0" t="n">
        <v>30061</v>
      </c>
      <c r="N1222" s="0" t="n">
        <v>29</v>
      </c>
      <c r="O1222" s="54" t="n">
        <f aca="false">YEAR(B1222)</f>
        <v>2020</v>
      </c>
      <c r="P1222" s="54" t="n">
        <f aca="false">IF(AND(E1222&gt;=14400,K1222&gt;0,L1222&gt;0),1,0)</f>
        <v>1</v>
      </c>
      <c r="Q1222" s="53" t="n">
        <f aca="false">IF(P1222=1,F1222/E1222*MIN(L1222/K1222,1)*MIN(MAX(M1222/L1222,0),1),0)</f>
        <v>0.3977689029628</v>
      </c>
      <c r="R1222" s="55" t="n">
        <f aca="false">IF(F1222&gt;0,N1222/(F1222/3600),0)</f>
        <v>3.92136889128478</v>
      </c>
    </row>
    <row r="1223" customFormat="false" ht="15" hidden="false" customHeight="false" outlineLevel="0" collapsed="false">
      <c r="A1223" s="0" t="s">
        <v>260</v>
      </c>
      <c r="B1223" s="52" t="n">
        <v>44173</v>
      </c>
      <c r="C1223" s="0" t="n">
        <v>48374.008</v>
      </c>
      <c r="D1223" s="0" t="n">
        <v>5513.686</v>
      </c>
      <c r="E1223" s="0" t="n">
        <v>42860.322</v>
      </c>
      <c r="F1223" s="0" t="n">
        <v>30289.278</v>
      </c>
      <c r="G1223" s="0" t="n">
        <v>26155.352</v>
      </c>
      <c r="H1223" s="0" t="n">
        <v>4133.926</v>
      </c>
      <c r="I1223" s="0" t="n">
        <v>6004.551</v>
      </c>
      <c r="J1223" s="0" t="n">
        <v>6566.493</v>
      </c>
      <c r="K1223" s="0" t="n">
        <v>37861.5975</v>
      </c>
      <c r="L1223" s="0" t="n">
        <v>32614</v>
      </c>
      <c r="M1223" s="0" t="n">
        <v>32501</v>
      </c>
      <c r="N1223" s="0" t="n">
        <v>34</v>
      </c>
      <c r="O1223" s="54" t="n">
        <f aca="false">YEAR(B1223)</f>
        <v>2020</v>
      </c>
      <c r="P1223" s="54" t="n">
        <f aca="false">IF(AND(E1223&gt;=14400,K1223&gt;0,L1223&gt;0),1,0)</f>
        <v>1</v>
      </c>
      <c r="Q1223" s="53" t="n">
        <f aca="false">IF(P1223=1,F1223/E1223*MIN(L1223/K1223,1)*MIN(MAX(M1223/L1223,0),1),0)</f>
        <v>0.60664033275345</v>
      </c>
      <c r="R1223" s="55" t="n">
        <f aca="false">IF(F1223&gt;0,N1223/(F1223/3600),0)</f>
        <v>4.04103392626262</v>
      </c>
    </row>
    <row r="1224" customFormat="false" ht="15" hidden="false" customHeight="false" outlineLevel="0" collapsed="false">
      <c r="A1224" s="0" t="s">
        <v>260</v>
      </c>
      <c r="B1224" s="52" t="n">
        <v>44174</v>
      </c>
      <c r="C1224" s="0" t="n">
        <v>102613.902</v>
      </c>
      <c r="D1224" s="0" t="n">
        <v>17338</v>
      </c>
      <c r="E1224" s="0" t="n">
        <v>85275.902</v>
      </c>
      <c r="F1224" s="0" t="n">
        <v>35024.808</v>
      </c>
      <c r="G1224" s="0" t="n">
        <v>30178.873</v>
      </c>
      <c r="H1224" s="0" t="n">
        <v>4845.935</v>
      </c>
      <c r="I1224" s="0" t="n">
        <v>3764.998</v>
      </c>
      <c r="J1224" s="0" t="n">
        <v>46486.096</v>
      </c>
      <c r="K1224" s="0" t="n">
        <v>43781.01</v>
      </c>
      <c r="L1224" s="0" t="n">
        <v>37616</v>
      </c>
      <c r="M1224" s="0" t="n">
        <v>37544</v>
      </c>
      <c r="N1224" s="0" t="n">
        <v>42</v>
      </c>
      <c r="O1224" s="54" t="n">
        <f aca="false">YEAR(B1224)</f>
        <v>2020</v>
      </c>
      <c r="P1224" s="54" t="n">
        <f aca="false">IF(AND(E1224&gt;=14400,K1224&gt;0,L1224&gt;0),1,0)</f>
        <v>1</v>
      </c>
      <c r="Q1224" s="53" t="n">
        <f aca="false">IF(P1224=1,F1224/E1224*MIN(L1224/K1224,1)*MIN(MAX(M1224/L1224,0),1),0)</f>
        <v>0.352212046962576</v>
      </c>
      <c r="R1224" s="55" t="n">
        <f aca="false">IF(F1224&gt;0,N1224/(F1224/3600),0)</f>
        <v>4.31694015281968</v>
      </c>
    </row>
    <row r="1225" customFormat="false" ht="15" hidden="false" customHeight="false" outlineLevel="0" collapsed="false">
      <c r="A1225" s="0" t="s">
        <v>260</v>
      </c>
      <c r="B1225" s="52" t="n">
        <v>44175</v>
      </c>
      <c r="C1225" s="0" t="n">
        <v>79292.189</v>
      </c>
      <c r="D1225" s="0" t="n">
        <v>5996.546</v>
      </c>
      <c r="E1225" s="0" t="n">
        <v>73295.643</v>
      </c>
      <c r="F1225" s="0" t="n">
        <v>30463.002</v>
      </c>
      <c r="G1225" s="0" t="n">
        <v>27967.974</v>
      </c>
      <c r="H1225" s="0" t="n">
        <v>2495.028</v>
      </c>
      <c r="I1225" s="0" t="n">
        <v>4779.896</v>
      </c>
      <c r="J1225" s="0" t="n">
        <v>38052.745</v>
      </c>
      <c r="K1225" s="0" t="n">
        <v>38078.7525</v>
      </c>
      <c r="L1225" s="0" t="n">
        <v>34914</v>
      </c>
      <c r="M1225" s="0" t="n">
        <v>34860</v>
      </c>
      <c r="N1225" s="0" t="n">
        <v>28</v>
      </c>
      <c r="O1225" s="54" t="n">
        <f aca="false">YEAR(B1225)</f>
        <v>2020</v>
      </c>
      <c r="P1225" s="54" t="n">
        <f aca="false">IF(AND(E1225&gt;=14400,K1225&gt;0,L1225&gt;0),1,0)</f>
        <v>1</v>
      </c>
      <c r="Q1225" s="53" t="n">
        <f aca="false">IF(P1225=1,F1225/E1225*MIN(L1225/K1225,1)*MIN(MAX(M1225/L1225,0),1),0)</f>
        <v>0.380486463567828</v>
      </c>
      <c r="R1225" s="55" t="n">
        <f aca="false">IF(F1225&gt;0,N1225/(F1225/3600),0)</f>
        <v>3.30893192995227</v>
      </c>
    </row>
    <row r="1226" customFormat="false" ht="15" hidden="false" customHeight="false" outlineLevel="0" collapsed="false">
      <c r="A1226" s="0" t="s">
        <v>260</v>
      </c>
      <c r="B1226" s="52" t="n">
        <v>44176</v>
      </c>
      <c r="C1226" s="0" t="n">
        <v>48000.111</v>
      </c>
      <c r="D1226" s="0" t="n">
        <v>15241.181</v>
      </c>
      <c r="E1226" s="0" t="n">
        <v>32758.93</v>
      </c>
      <c r="F1226" s="0" t="n">
        <v>20333.753</v>
      </c>
      <c r="G1226" s="0" t="n">
        <v>18646.097</v>
      </c>
      <c r="H1226" s="0" t="n">
        <v>1687.656</v>
      </c>
      <c r="I1226" s="0" t="n">
        <v>2451.918</v>
      </c>
      <c r="J1226" s="0" t="n">
        <v>9973.259</v>
      </c>
      <c r="K1226" s="0" t="n">
        <v>25417.19125</v>
      </c>
      <c r="L1226" s="0" t="n">
        <v>23268</v>
      </c>
      <c r="M1226" s="0" t="n">
        <v>23232</v>
      </c>
      <c r="N1226" s="0" t="n">
        <v>16</v>
      </c>
      <c r="O1226" s="54" t="n">
        <f aca="false">YEAR(B1226)</f>
        <v>2020</v>
      </c>
      <c r="P1226" s="54" t="n">
        <f aca="false">IF(AND(E1226&gt;=14400,K1226&gt;0,L1226&gt;0),1,0)</f>
        <v>1</v>
      </c>
      <c r="Q1226" s="53" t="n">
        <f aca="false">IF(P1226=1,F1226/E1226*MIN(L1226/K1226,1)*MIN(MAX(M1226/L1226,0),1),0)</f>
        <v>0.567344537809996</v>
      </c>
      <c r="R1226" s="55" t="n">
        <f aca="false">IF(F1226&gt;0,N1226/(F1226/3600),0)</f>
        <v>2.83272841958885</v>
      </c>
    </row>
    <row r="1227" customFormat="false" ht="15" hidden="false" customHeight="false" outlineLevel="0" collapsed="false">
      <c r="A1227" s="0" t="s">
        <v>260</v>
      </c>
      <c r="B1227" s="52" t="n">
        <v>44177</v>
      </c>
      <c r="C1227" s="0" t="n">
        <v>98538.976</v>
      </c>
      <c r="D1227" s="0" t="n">
        <v>8049.756</v>
      </c>
      <c r="E1227" s="0" t="n">
        <v>90489.22</v>
      </c>
      <c r="F1227" s="0" t="n">
        <v>23242.699</v>
      </c>
      <c r="G1227" s="0" t="n">
        <v>19353.931</v>
      </c>
      <c r="H1227" s="0" t="n">
        <v>3888.768</v>
      </c>
      <c r="I1227" s="0" t="n">
        <v>3748.754</v>
      </c>
      <c r="J1227" s="0" t="n">
        <v>63497.767</v>
      </c>
      <c r="K1227" s="0" t="n">
        <v>29053.37375</v>
      </c>
      <c r="L1227" s="0" t="n">
        <v>24164</v>
      </c>
      <c r="M1227" s="0" t="n">
        <v>24101</v>
      </c>
      <c r="N1227" s="0" t="n">
        <v>18</v>
      </c>
      <c r="O1227" s="54" t="n">
        <f aca="false">YEAR(B1227)</f>
        <v>2020</v>
      </c>
      <c r="P1227" s="54" t="n">
        <f aca="false">IF(AND(E1227&gt;=14400,K1227&gt;0,L1227&gt;0),1,0)</f>
        <v>1</v>
      </c>
      <c r="Q1227" s="53" t="n">
        <f aca="false">IF(P1227=1,F1227/E1227*MIN(L1227/K1227,1)*MIN(MAX(M1227/L1227,0),1),0)</f>
        <v>0.21307289420773</v>
      </c>
      <c r="R1227" s="55" t="n">
        <f aca="false">IF(F1227&gt;0,N1227/(F1227/3600),0)</f>
        <v>2.78797225743878</v>
      </c>
    </row>
    <row r="1228" customFormat="false" ht="15" hidden="false" customHeight="false" outlineLevel="0" collapsed="false">
      <c r="A1228" s="0" t="s">
        <v>260</v>
      </c>
      <c r="B1228" s="52" t="n">
        <v>44178</v>
      </c>
      <c r="C1228" s="0" t="n">
        <v>74557.862</v>
      </c>
      <c r="D1228" s="0" t="n">
        <v>1855.865</v>
      </c>
      <c r="E1228" s="0" t="n">
        <v>72701.997</v>
      </c>
      <c r="F1228" s="0" t="n">
        <v>28149.951</v>
      </c>
      <c r="G1228" s="0" t="n">
        <v>27125.122</v>
      </c>
      <c r="H1228" s="0" t="n">
        <v>1024.829</v>
      </c>
      <c r="I1228" s="0" t="n">
        <v>2086.219</v>
      </c>
      <c r="J1228" s="0" t="n">
        <v>42465.827</v>
      </c>
      <c r="K1228" s="0" t="n">
        <v>35187.43875</v>
      </c>
      <c r="L1228" s="0" t="n">
        <v>33851</v>
      </c>
      <c r="M1228" s="0" t="n">
        <v>33812</v>
      </c>
      <c r="N1228" s="0" t="n">
        <v>17</v>
      </c>
      <c r="O1228" s="54" t="n">
        <f aca="false">YEAR(B1228)</f>
        <v>2020</v>
      </c>
      <c r="P1228" s="54" t="n">
        <f aca="false">IF(AND(E1228&gt;=14400,K1228&gt;0,L1228&gt;0),1,0)</f>
        <v>1</v>
      </c>
      <c r="Q1228" s="53" t="n">
        <f aca="false">IF(P1228=1,F1228/E1228*MIN(L1228/K1228,1)*MIN(MAX(M1228/L1228,0),1),0)</f>
        <v>0.37206130665159</v>
      </c>
      <c r="R1228" s="55" t="n">
        <f aca="false">IF(F1228&gt;0,N1228/(F1228/3600),0)</f>
        <v>2.17407127991093</v>
      </c>
    </row>
    <row r="1229" customFormat="false" ht="15" hidden="false" customHeight="false" outlineLevel="0" collapsed="false">
      <c r="A1229" s="0" t="s">
        <v>260</v>
      </c>
      <c r="B1229" s="52" t="n">
        <v>44179</v>
      </c>
      <c r="C1229" s="0" t="n">
        <v>75240.826</v>
      </c>
      <c r="D1229" s="0" t="n">
        <v>9839.667</v>
      </c>
      <c r="E1229" s="0" t="n">
        <v>65401.159</v>
      </c>
      <c r="F1229" s="0" t="n">
        <v>27629.583</v>
      </c>
      <c r="G1229" s="0" t="n">
        <v>25549.861</v>
      </c>
      <c r="H1229" s="0" t="n">
        <v>2079.722</v>
      </c>
      <c r="I1229" s="0" t="n">
        <v>3971.361</v>
      </c>
      <c r="J1229" s="0" t="n">
        <v>33800.215</v>
      </c>
      <c r="K1229" s="0" t="n">
        <v>34536.97875</v>
      </c>
      <c r="L1229" s="0" t="n">
        <v>31885</v>
      </c>
      <c r="M1229" s="0" t="n">
        <v>31824</v>
      </c>
      <c r="N1229" s="0" t="n">
        <v>16</v>
      </c>
      <c r="O1229" s="54" t="n">
        <f aca="false">YEAR(B1229)</f>
        <v>2020</v>
      </c>
      <c r="P1229" s="54" t="n">
        <f aca="false">IF(AND(E1229&gt;=14400,K1229&gt;0,L1229&gt;0),1,0)</f>
        <v>1</v>
      </c>
      <c r="Q1229" s="53" t="n">
        <f aca="false">IF(P1229=1,F1229/E1229*MIN(L1229/K1229,1)*MIN(MAX(M1229/L1229,0),1),0)</f>
        <v>0.389277505005683</v>
      </c>
      <c r="R1229" s="55" t="n">
        <f aca="false">IF(F1229&gt;0,N1229/(F1229/3600),0)</f>
        <v>2.08472201697724</v>
      </c>
    </row>
    <row r="1230" customFormat="false" ht="15" hidden="false" customHeight="false" outlineLevel="0" collapsed="false">
      <c r="A1230" s="0" t="s">
        <v>260</v>
      </c>
      <c r="B1230" s="52" t="n">
        <v>44180</v>
      </c>
      <c r="C1230" s="0" t="n">
        <v>89971.099</v>
      </c>
      <c r="D1230" s="0" t="n">
        <v>8129.463</v>
      </c>
      <c r="E1230" s="0" t="n">
        <v>81841.636</v>
      </c>
      <c r="F1230" s="0" t="n">
        <v>19221.633</v>
      </c>
      <c r="G1230" s="0" t="n">
        <v>17469.654</v>
      </c>
      <c r="H1230" s="0" t="n">
        <v>1751.979</v>
      </c>
      <c r="I1230" s="0" t="n">
        <v>3055.412</v>
      </c>
      <c r="J1230" s="0" t="n">
        <v>59564.591</v>
      </c>
      <c r="K1230" s="0" t="n">
        <v>24027.04125</v>
      </c>
      <c r="L1230" s="0" t="n">
        <v>21778</v>
      </c>
      <c r="M1230" s="0" t="n">
        <v>21757</v>
      </c>
      <c r="N1230" s="0" t="n">
        <v>15</v>
      </c>
      <c r="O1230" s="54" t="n">
        <f aca="false">YEAR(B1230)</f>
        <v>2020</v>
      </c>
      <c r="P1230" s="54" t="n">
        <f aca="false">IF(AND(E1230&gt;=14400,K1230&gt;0,L1230&gt;0),1,0)</f>
        <v>1</v>
      </c>
      <c r="Q1230" s="53" t="n">
        <f aca="false">IF(P1230=1,F1230/E1230*MIN(L1230/K1230,1)*MIN(MAX(M1230/L1230,0),1),0)</f>
        <v>0.212674145467962</v>
      </c>
      <c r="R1230" s="55" t="n">
        <f aca="false">IF(F1230&gt;0,N1230/(F1230/3600),0)</f>
        <v>2.80933466995234</v>
      </c>
    </row>
    <row r="1231" customFormat="false" ht="15" hidden="false" customHeight="false" outlineLevel="0" collapsed="false">
      <c r="A1231" s="0" t="s">
        <v>260</v>
      </c>
      <c r="B1231" s="52" t="n">
        <v>44181</v>
      </c>
      <c r="C1231" s="0" t="n">
        <v>45902.827</v>
      </c>
      <c r="D1231" s="0" t="n">
        <v>7142.654</v>
      </c>
      <c r="E1231" s="0" t="n">
        <v>38760.173</v>
      </c>
      <c r="F1231" s="0" t="n">
        <v>29201.379</v>
      </c>
      <c r="G1231" s="0" t="n">
        <v>27271.698</v>
      </c>
      <c r="H1231" s="0" t="n">
        <v>1929.681</v>
      </c>
      <c r="I1231" s="0" t="n">
        <v>4683.008</v>
      </c>
      <c r="J1231" s="0" t="n">
        <v>4875.786</v>
      </c>
      <c r="K1231" s="0" t="n">
        <v>36501.72375</v>
      </c>
      <c r="L1231" s="0" t="n">
        <v>34054</v>
      </c>
      <c r="M1231" s="0" t="n">
        <v>33996</v>
      </c>
      <c r="N1231" s="0" t="n">
        <v>15</v>
      </c>
      <c r="O1231" s="54" t="n">
        <f aca="false">YEAR(B1231)</f>
        <v>2020</v>
      </c>
      <c r="P1231" s="54" t="n">
        <f aca="false">IF(AND(E1231&gt;=14400,K1231&gt;0,L1231&gt;0),1,0)</f>
        <v>1</v>
      </c>
      <c r="Q1231" s="53" t="n">
        <f aca="false">IF(P1231=1,F1231/E1231*MIN(L1231/K1231,1)*MIN(MAX(M1231/L1231,0),1),0)</f>
        <v>0.701668694822389</v>
      </c>
      <c r="R1231" s="55" t="n">
        <f aca="false">IF(F1231&gt;0,N1231/(F1231/3600),0)</f>
        <v>1.84922773681339</v>
      </c>
    </row>
    <row r="1232" customFormat="false" ht="15" hidden="false" customHeight="false" outlineLevel="0" collapsed="false">
      <c r="A1232" s="0" t="s">
        <v>260</v>
      </c>
      <c r="B1232" s="52" t="n">
        <v>44182</v>
      </c>
      <c r="C1232" s="0" t="n">
        <v>86854.278</v>
      </c>
      <c r="D1232" s="0" t="n">
        <v>2476.96</v>
      </c>
      <c r="E1232" s="0" t="n">
        <v>84377.318</v>
      </c>
      <c r="F1232" s="0" t="n">
        <v>26779.472</v>
      </c>
      <c r="G1232" s="0" t="n">
        <v>25020.693</v>
      </c>
      <c r="H1232" s="0" t="n">
        <v>1758.779</v>
      </c>
      <c r="I1232" s="0" t="n">
        <v>2940.078</v>
      </c>
      <c r="J1232" s="0" t="n">
        <v>54657.768</v>
      </c>
      <c r="K1232" s="0" t="n">
        <v>33474.34</v>
      </c>
      <c r="L1232" s="0" t="n">
        <v>31213</v>
      </c>
      <c r="M1232" s="0" t="n">
        <v>31178</v>
      </c>
      <c r="N1232" s="0" t="n">
        <v>19</v>
      </c>
      <c r="O1232" s="54" t="n">
        <f aca="false">YEAR(B1232)</f>
        <v>2020</v>
      </c>
      <c r="P1232" s="54" t="n">
        <f aca="false">IF(AND(E1232&gt;=14400,K1232&gt;0,L1232&gt;0),1,0)</f>
        <v>1</v>
      </c>
      <c r="Q1232" s="53" t="n">
        <f aca="false">IF(P1232=1,F1232/E1232*MIN(L1232/K1232,1)*MIN(MAX(M1232/L1232,0),1),0)</f>
        <v>0.295605508579924</v>
      </c>
      <c r="R1232" s="55" t="n">
        <f aca="false">IF(F1232&gt;0,N1232/(F1232/3600),0)</f>
        <v>2.55419524328187</v>
      </c>
    </row>
    <row r="1233" customFormat="false" ht="15" hidden="false" customHeight="false" outlineLevel="0" collapsed="false">
      <c r="A1233" s="0" t="s">
        <v>260</v>
      </c>
      <c r="B1233" s="52" t="n">
        <v>44183</v>
      </c>
      <c r="C1233" s="0" t="n">
        <v>61956.948</v>
      </c>
      <c r="D1233" s="0" t="n">
        <v>1088.92</v>
      </c>
      <c r="E1233" s="0" t="n">
        <v>60868.028</v>
      </c>
      <c r="F1233" s="0" t="n">
        <v>21091.549</v>
      </c>
      <c r="G1233" s="0" t="n">
        <v>18786.495</v>
      </c>
      <c r="H1233" s="0" t="n">
        <v>2305.054</v>
      </c>
      <c r="I1233" s="0" t="n">
        <v>2369.382</v>
      </c>
      <c r="J1233" s="0" t="n">
        <v>37407.097</v>
      </c>
      <c r="K1233" s="0" t="n">
        <v>26364.43625</v>
      </c>
      <c r="L1233" s="0" t="n">
        <v>23462</v>
      </c>
      <c r="M1233" s="0" t="n">
        <v>23413</v>
      </c>
      <c r="N1233" s="0" t="n">
        <v>13</v>
      </c>
      <c r="O1233" s="54" t="n">
        <f aca="false">YEAR(B1233)</f>
        <v>2020</v>
      </c>
      <c r="P1233" s="54" t="n">
        <f aca="false">IF(AND(E1233&gt;=14400,K1233&gt;0,L1233&gt;0),1,0)</f>
        <v>1</v>
      </c>
      <c r="Q1233" s="53" t="n">
        <f aca="false">IF(P1233=1,F1233/E1233*MIN(L1233/K1233,1)*MIN(MAX(M1233/L1233,0),1),0)</f>
        <v>0.307721485572031</v>
      </c>
      <c r="R1233" s="55" t="n">
        <f aca="false">IF(F1233&gt;0,N1233/(F1233/3600),0)</f>
        <v>2.21889819472245</v>
      </c>
    </row>
    <row r="1234" customFormat="false" ht="15" hidden="false" customHeight="false" outlineLevel="0" collapsed="false">
      <c r="A1234" s="0" t="s">
        <v>260</v>
      </c>
      <c r="B1234" s="52" t="n">
        <v>44184</v>
      </c>
      <c r="C1234" s="0" t="n">
        <v>58634.968</v>
      </c>
      <c r="D1234" s="0" t="n">
        <v>9773.455</v>
      </c>
      <c r="E1234" s="0" t="n">
        <v>48861.513</v>
      </c>
      <c r="F1234" s="0" t="n">
        <v>21983.716</v>
      </c>
      <c r="G1234" s="0" t="n">
        <v>20386.56</v>
      </c>
      <c r="H1234" s="0" t="n">
        <v>1597.156</v>
      </c>
      <c r="I1234" s="0" t="n">
        <v>2988.751</v>
      </c>
      <c r="J1234" s="0" t="n">
        <v>23889.046</v>
      </c>
      <c r="K1234" s="0" t="n">
        <v>27479.645</v>
      </c>
      <c r="L1234" s="0" t="n">
        <v>25446</v>
      </c>
      <c r="M1234" s="0" t="n">
        <v>25384</v>
      </c>
      <c r="N1234" s="0" t="n">
        <v>21</v>
      </c>
      <c r="O1234" s="54" t="n">
        <f aca="false">YEAR(B1234)</f>
        <v>2020</v>
      </c>
      <c r="P1234" s="54" t="n">
        <f aca="false">IF(AND(E1234&gt;=14400,K1234&gt;0,L1234&gt;0),1,0)</f>
        <v>1</v>
      </c>
      <c r="Q1234" s="53" t="n">
        <f aca="false">IF(P1234=1,F1234/E1234*MIN(L1234/K1234,1)*MIN(MAX(M1234/L1234,0),1),0)</f>
        <v>0.415607269467894</v>
      </c>
      <c r="R1234" s="55" t="n">
        <f aca="false">IF(F1234&gt;0,N1234/(F1234/3600),0)</f>
        <v>3.43890905432003</v>
      </c>
    </row>
    <row r="1235" customFormat="false" ht="15" hidden="false" customHeight="false" outlineLevel="0" collapsed="false">
      <c r="A1235" s="0" t="s">
        <v>260</v>
      </c>
      <c r="B1235" s="52" t="n">
        <v>44185</v>
      </c>
      <c r="C1235" s="0" t="n">
        <v>83929.241</v>
      </c>
      <c r="D1235" s="0" t="n">
        <v>2328.958</v>
      </c>
      <c r="E1235" s="0" t="n">
        <v>81600.283</v>
      </c>
      <c r="F1235" s="0" t="n">
        <v>29038.724</v>
      </c>
      <c r="G1235" s="0" t="n">
        <v>27010.58</v>
      </c>
      <c r="H1235" s="0" t="n">
        <v>2028.144</v>
      </c>
      <c r="I1235" s="0" t="n">
        <v>4319.65</v>
      </c>
      <c r="J1235" s="0" t="n">
        <v>48241.909</v>
      </c>
      <c r="K1235" s="0" t="n">
        <v>36298.405</v>
      </c>
      <c r="L1235" s="0" t="n">
        <v>33734</v>
      </c>
      <c r="M1235" s="0" t="n">
        <v>33668</v>
      </c>
      <c r="N1235" s="0" t="n">
        <v>33</v>
      </c>
      <c r="O1235" s="54" t="n">
        <f aca="false">YEAR(B1235)</f>
        <v>2020</v>
      </c>
      <c r="P1235" s="54" t="n">
        <f aca="false">IF(AND(E1235&gt;=14400,K1235&gt;0,L1235&gt;0),1,0)</f>
        <v>1</v>
      </c>
      <c r="Q1235" s="53" t="n">
        <f aca="false">IF(P1235=1,F1235/E1235*MIN(L1235/K1235,1)*MIN(MAX(M1235/L1235,0),1),0)</f>
        <v>0.330077286619214</v>
      </c>
      <c r="R1235" s="55" t="n">
        <f aca="false">IF(F1235&gt;0,N1235/(F1235/3600),0)</f>
        <v>4.09108885087375</v>
      </c>
    </row>
    <row r="1236" customFormat="false" ht="15" hidden="false" customHeight="false" outlineLevel="0" collapsed="false">
      <c r="A1236" s="0" t="s">
        <v>260</v>
      </c>
      <c r="B1236" s="52" t="n">
        <v>44186</v>
      </c>
      <c r="C1236" s="0" t="n">
        <v>72941.03</v>
      </c>
      <c r="D1236" s="0" t="n">
        <v>7120.947</v>
      </c>
      <c r="E1236" s="0" t="n">
        <v>65820.083</v>
      </c>
      <c r="F1236" s="0" t="n">
        <v>27987.552</v>
      </c>
      <c r="G1236" s="0" t="n">
        <v>25425.588</v>
      </c>
      <c r="H1236" s="0" t="n">
        <v>2561.964</v>
      </c>
      <c r="I1236" s="0" t="n">
        <v>5119.483</v>
      </c>
      <c r="J1236" s="0" t="n">
        <v>32713.048</v>
      </c>
      <c r="K1236" s="0" t="n">
        <v>34984.44</v>
      </c>
      <c r="L1236" s="0" t="n">
        <v>31694</v>
      </c>
      <c r="M1236" s="0" t="n">
        <v>31669</v>
      </c>
      <c r="N1236" s="0" t="n">
        <v>30</v>
      </c>
      <c r="O1236" s="54" t="n">
        <f aca="false">YEAR(B1236)</f>
        <v>2020</v>
      </c>
      <c r="P1236" s="54" t="n">
        <f aca="false">IF(AND(E1236&gt;=14400,K1236&gt;0,L1236&gt;0),1,0)</f>
        <v>1</v>
      </c>
      <c r="Q1236" s="53" t="n">
        <f aca="false">IF(P1236=1,F1236/E1236*MIN(L1236/K1236,1)*MIN(MAX(M1236/L1236,0),1),0)</f>
        <v>0.384915953387661</v>
      </c>
      <c r="R1236" s="55" t="n">
        <f aca="false">IF(F1236&gt;0,N1236/(F1236/3600),0)</f>
        <v>3.85885839533232</v>
      </c>
    </row>
    <row r="1237" customFormat="false" ht="15" hidden="false" customHeight="false" outlineLevel="0" collapsed="false">
      <c r="A1237" s="0" t="s">
        <v>260</v>
      </c>
      <c r="B1237" s="52" t="n">
        <v>44187</v>
      </c>
      <c r="C1237" s="0" t="n">
        <v>88380.912</v>
      </c>
      <c r="D1237" s="0" t="n">
        <v>4094.099</v>
      </c>
      <c r="E1237" s="0" t="n">
        <v>84286.813</v>
      </c>
      <c r="F1237" s="0" t="n">
        <v>28616.573</v>
      </c>
      <c r="G1237" s="0" t="n">
        <v>24691.859</v>
      </c>
      <c r="H1237" s="0" t="n">
        <v>3924.714</v>
      </c>
      <c r="I1237" s="0" t="n">
        <v>20063.66</v>
      </c>
      <c r="J1237" s="0" t="n">
        <v>35606.58</v>
      </c>
      <c r="K1237" s="0" t="n">
        <v>35770.71625</v>
      </c>
      <c r="L1237" s="0" t="n">
        <v>30778</v>
      </c>
      <c r="M1237" s="0" t="n">
        <v>30685</v>
      </c>
      <c r="N1237" s="0" t="n">
        <v>33</v>
      </c>
      <c r="O1237" s="54" t="n">
        <f aca="false">YEAR(B1237)</f>
        <v>2020</v>
      </c>
      <c r="P1237" s="54" t="n">
        <f aca="false">IF(AND(E1237&gt;=14400,K1237&gt;0,L1237&gt;0),1,0)</f>
        <v>1</v>
      </c>
      <c r="Q1237" s="53" t="n">
        <f aca="false">IF(P1237=1,F1237/E1237*MIN(L1237/K1237,1)*MIN(MAX(M1237/L1237,0),1),0)</f>
        <v>0.291243661093225</v>
      </c>
      <c r="R1237" s="55" t="n">
        <f aca="false">IF(F1237&gt;0,N1237/(F1237/3600),0)</f>
        <v>4.15144049568759</v>
      </c>
    </row>
    <row r="1238" customFormat="false" ht="15" hidden="false" customHeight="false" outlineLevel="0" collapsed="false">
      <c r="A1238" s="0" t="s">
        <v>260</v>
      </c>
      <c r="B1238" s="52" t="n">
        <v>44188</v>
      </c>
      <c r="C1238" s="0" t="n">
        <v>34305.15</v>
      </c>
      <c r="D1238" s="0" t="n">
        <v>2990.234</v>
      </c>
      <c r="E1238" s="0" t="n">
        <v>31314.916</v>
      </c>
      <c r="F1238" s="0" t="n">
        <v>25352.638</v>
      </c>
      <c r="G1238" s="0" t="n">
        <v>24058.428</v>
      </c>
      <c r="H1238" s="0" t="n">
        <v>1294.21</v>
      </c>
      <c r="I1238" s="0" t="n">
        <v>1437.709</v>
      </c>
      <c r="J1238" s="0" t="n">
        <v>4524.569</v>
      </c>
      <c r="K1238" s="0" t="n">
        <v>31690.7975</v>
      </c>
      <c r="L1238" s="0" t="n">
        <v>28899</v>
      </c>
      <c r="M1238" s="0" t="n">
        <v>28851</v>
      </c>
      <c r="N1238" s="0" t="n">
        <v>14</v>
      </c>
      <c r="O1238" s="54" t="n">
        <f aca="false">YEAR(B1238)</f>
        <v>2020</v>
      </c>
      <c r="P1238" s="54" t="n">
        <f aca="false">IF(AND(E1238&gt;=14400,K1238&gt;0,L1238&gt;0),1,0)</f>
        <v>1</v>
      </c>
      <c r="Q1238" s="53" t="n">
        <f aca="false">IF(P1238=1,F1238/E1238*MIN(L1238/K1238,1)*MIN(MAX(M1238/L1238,0),1),0)</f>
        <v>0.737054507826238</v>
      </c>
      <c r="R1238" s="55" t="n">
        <f aca="false">IF(F1238&gt;0,N1238/(F1238/3600),0)</f>
        <v>1.98795880728467</v>
      </c>
    </row>
    <row r="1239" customFormat="false" ht="15" hidden="false" customHeight="false" outlineLevel="0" collapsed="false">
      <c r="A1239" s="0" t="s">
        <v>260</v>
      </c>
      <c r="B1239" s="52" t="n">
        <v>44266</v>
      </c>
      <c r="C1239" s="0" t="n">
        <v>27514.499</v>
      </c>
      <c r="D1239" s="0" t="n">
        <v>1009.13</v>
      </c>
      <c r="E1239" s="0" t="n">
        <v>26505.369</v>
      </c>
      <c r="F1239" s="0" t="n">
        <v>17154.999</v>
      </c>
      <c r="G1239" s="0" t="n">
        <v>16716.028</v>
      </c>
      <c r="H1239" s="0" t="n">
        <v>438.971</v>
      </c>
      <c r="I1239" s="0" t="n">
        <v>1215.099</v>
      </c>
      <c r="J1239" s="0" t="n">
        <v>8135.271</v>
      </c>
      <c r="K1239" s="0" t="n">
        <v>21443.74875</v>
      </c>
      <c r="L1239" s="0" t="n">
        <v>20874</v>
      </c>
      <c r="M1239" s="0" t="n">
        <v>20823</v>
      </c>
      <c r="N1239" s="0" t="n">
        <v>5</v>
      </c>
      <c r="O1239" s="54" t="n">
        <f aca="false">YEAR(B1239)</f>
        <v>2021</v>
      </c>
      <c r="P1239" s="54" t="n">
        <f aca="false">IF(AND(E1239&gt;=14400,K1239&gt;0,L1239&gt;0),1,0)</f>
        <v>1</v>
      </c>
      <c r="Q1239" s="53" t="n">
        <f aca="false">IF(P1239=1,F1239/E1239*MIN(L1239/K1239,1)*MIN(MAX(M1239/L1239,0),1),0)</f>
        <v>0.628491533168242</v>
      </c>
      <c r="R1239" s="55" t="n">
        <f aca="false">IF(F1239&gt;0,N1239/(F1239/3600),0)</f>
        <v>1.04925683761334</v>
      </c>
    </row>
    <row r="1240" customFormat="false" ht="15" hidden="false" customHeight="false" outlineLevel="0" collapsed="false">
      <c r="A1240" s="0" t="s">
        <v>260</v>
      </c>
      <c r="B1240" s="52" t="n">
        <v>44267</v>
      </c>
      <c r="C1240" s="0" t="n">
        <v>53403.769</v>
      </c>
      <c r="D1240" s="0" t="n">
        <v>24909.513</v>
      </c>
      <c r="E1240" s="0" t="n">
        <v>28494.256</v>
      </c>
      <c r="F1240" s="0" t="n">
        <v>21021.342</v>
      </c>
      <c r="G1240" s="0" t="n">
        <v>18928.283</v>
      </c>
      <c r="H1240" s="0" t="n">
        <v>2093.059</v>
      </c>
      <c r="I1240" s="0" t="n">
        <v>2304.797</v>
      </c>
      <c r="J1240" s="0" t="n">
        <v>5168.117</v>
      </c>
      <c r="K1240" s="0" t="n">
        <v>26276.6775</v>
      </c>
      <c r="L1240" s="0" t="n">
        <v>23652</v>
      </c>
      <c r="M1240" s="0" t="n">
        <v>23618</v>
      </c>
      <c r="N1240" s="0" t="n">
        <v>12</v>
      </c>
      <c r="O1240" s="54" t="n">
        <f aca="false">YEAR(B1240)</f>
        <v>2021</v>
      </c>
      <c r="P1240" s="54" t="n">
        <f aca="false">IF(AND(E1240&gt;=14400,K1240&gt;0,L1240&gt;0),1,0)</f>
        <v>1</v>
      </c>
      <c r="Q1240" s="53" t="n">
        <f aca="false">IF(P1240=1,F1240/E1240*MIN(L1240/K1240,1)*MIN(MAX(M1240/L1240,0),1),0)</f>
        <v>0.663095046243706</v>
      </c>
      <c r="R1240" s="55" t="n">
        <f aca="false">IF(F1240&gt;0,N1240/(F1240/3600),0)</f>
        <v>2.05505433478034</v>
      </c>
    </row>
    <row r="1241" customFormat="false" ht="15" hidden="false" customHeight="false" outlineLevel="0" collapsed="false">
      <c r="A1241" s="0" t="s">
        <v>260</v>
      </c>
      <c r="B1241" s="52" t="n">
        <v>44268</v>
      </c>
      <c r="C1241" s="0" t="n">
        <v>84415.498</v>
      </c>
      <c r="D1241" s="0" t="n">
        <v>13960.29</v>
      </c>
      <c r="E1241" s="0" t="n">
        <v>70455.208</v>
      </c>
      <c r="F1241" s="0" t="n">
        <v>20014.847</v>
      </c>
      <c r="G1241" s="0" t="n">
        <v>17015.066</v>
      </c>
      <c r="H1241" s="0" t="n">
        <v>2999.781</v>
      </c>
      <c r="I1241" s="0" t="n">
        <v>1216.611</v>
      </c>
      <c r="J1241" s="0" t="n">
        <v>49223.75</v>
      </c>
      <c r="K1241" s="0" t="n">
        <v>25018.55875</v>
      </c>
      <c r="L1241" s="0" t="n">
        <v>21244</v>
      </c>
      <c r="M1241" s="0" t="n">
        <v>21177</v>
      </c>
      <c r="N1241" s="0" t="n">
        <v>12</v>
      </c>
      <c r="O1241" s="54" t="n">
        <f aca="false">YEAR(B1241)</f>
        <v>2021</v>
      </c>
      <c r="P1241" s="54" t="n">
        <f aca="false">IF(AND(E1241&gt;=14400,K1241&gt;0,L1241&gt;0),1,0)</f>
        <v>1</v>
      </c>
      <c r="Q1241" s="53" t="n">
        <f aca="false">IF(P1241=1,F1241/E1241*MIN(L1241/K1241,1)*MIN(MAX(M1241/L1241,0),1),0)</f>
        <v>0.240459158107943</v>
      </c>
      <c r="R1241" s="55" t="n">
        <f aca="false">IF(F1241&gt;0,N1241/(F1241/3600),0)</f>
        <v>2.15839771345742</v>
      </c>
    </row>
    <row r="1242" customFormat="false" ht="15" hidden="false" customHeight="false" outlineLevel="0" collapsed="false">
      <c r="A1242" s="0" t="s">
        <v>260</v>
      </c>
      <c r="B1242" s="52" t="n">
        <v>44269</v>
      </c>
      <c r="C1242" s="0" t="n">
        <v>75732.831</v>
      </c>
      <c r="D1242" s="0" t="n">
        <v>7432.301</v>
      </c>
      <c r="E1242" s="0" t="n">
        <v>68300.53</v>
      </c>
      <c r="F1242" s="0" t="n">
        <v>40511.535</v>
      </c>
      <c r="G1242" s="0" t="n">
        <v>30906.343</v>
      </c>
      <c r="H1242" s="0" t="n">
        <v>9605.192</v>
      </c>
      <c r="I1242" s="0" t="n">
        <v>4378.593</v>
      </c>
      <c r="J1242" s="0" t="n">
        <v>23410.402</v>
      </c>
      <c r="K1242" s="0" t="n">
        <v>50164.40875</v>
      </c>
      <c r="L1242" s="0" t="n">
        <v>38209</v>
      </c>
      <c r="M1242" s="0" t="n">
        <v>38058</v>
      </c>
      <c r="N1242" s="0" t="n">
        <v>28</v>
      </c>
      <c r="O1242" s="54" t="n">
        <f aca="false">YEAR(B1242)</f>
        <v>2021</v>
      </c>
      <c r="P1242" s="54" t="n">
        <f aca="false">IF(AND(E1242&gt;=14400,K1242&gt;0,L1242&gt;0),1,0)</f>
        <v>1</v>
      </c>
      <c r="Q1242" s="53" t="n">
        <f aca="false">IF(P1242=1,F1242/E1242*MIN(L1242/K1242,1)*MIN(MAX(M1242/L1242,0),1),0)</f>
        <v>0.449992099797835</v>
      </c>
      <c r="R1242" s="55" t="n">
        <f aca="false">IF(F1242&gt;0,N1242/(F1242/3600),0)</f>
        <v>2.48818021830079</v>
      </c>
    </row>
    <row r="1243" customFormat="false" ht="15" hidden="false" customHeight="false" outlineLevel="0" collapsed="false">
      <c r="A1243" s="0" t="s">
        <v>260</v>
      </c>
      <c r="B1243" s="52" t="n">
        <v>44270</v>
      </c>
      <c r="C1243" s="0" t="n">
        <v>75961.173</v>
      </c>
      <c r="D1243" s="0" t="n">
        <v>7996.92</v>
      </c>
      <c r="E1243" s="0" t="n">
        <v>67964.253</v>
      </c>
      <c r="F1243" s="0" t="n">
        <v>28754.51</v>
      </c>
      <c r="G1243" s="0" t="n">
        <v>19008.034</v>
      </c>
      <c r="H1243" s="0" t="n">
        <v>9746.476</v>
      </c>
      <c r="I1243" s="0" t="n">
        <v>4663.46</v>
      </c>
      <c r="J1243" s="0" t="n">
        <v>34546.283</v>
      </c>
      <c r="K1243" s="0" t="n">
        <v>32644.0269444445</v>
      </c>
      <c r="L1243" s="0" t="n">
        <v>20005</v>
      </c>
      <c r="M1243" s="0" t="n">
        <v>19890</v>
      </c>
      <c r="N1243" s="0" t="n">
        <v>39</v>
      </c>
      <c r="O1243" s="54" t="n">
        <f aca="false">YEAR(B1243)</f>
        <v>2021</v>
      </c>
      <c r="P1243" s="54" t="n">
        <f aca="false">IF(AND(E1243&gt;=14400,K1243&gt;0,L1243&gt;0),1,0)</f>
        <v>1</v>
      </c>
      <c r="Q1243" s="53" t="n">
        <f aca="false">IF(P1243=1,F1243/E1243*MIN(L1243/K1243,1)*MIN(MAX(M1243/L1243,0),1),0)</f>
        <v>0.257784308981401</v>
      </c>
      <c r="R1243" s="55" t="n">
        <f aca="false">IF(F1243&gt;0,N1243/(F1243/3600),0)</f>
        <v>4.88271231191211</v>
      </c>
    </row>
    <row r="1244" customFormat="false" ht="15" hidden="false" customHeight="false" outlineLevel="0" collapsed="false">
      <c r="A1244" s="0" t="s">
        <v>260</v>
      </c>
      <c r="B1244" s="52" t="n">
        <v>44271</v>
      </c>
      <c r="C1244" s="0" t="n">
        <v>91630.729</v>
      </c>
      <c r="D1244" s="0" t="n">
        <v>7433.82</v>
      </c>
      <c r="E1244" s="0" t="n">
        <v>84196.909</v>
      </c>
      <c r="F1244" s="0" t="n">
        <v>46948.24</v>
      </c>
      <c r="G1244" s="0" t="n">
        <v>42374.281</v>
      </c>
      <c r="H1244" s="0" t="n">
        <v>4573.959</v>
      </c>
      <c r="I1244" s="0" t="n">
        <v>4075.14</v>
      </c>
      <c r="J1244" s="0" t="n">
        <v>33173.529</v>
      </c>
      <c r="K1244" s="0" t="n">
        <v>52808.7276388889</v>
      </c>
      <c r="L1244" s="0" t="n">
        <v>47341</v>
      </c>
      <c r="M1244" s="0" t="n">
        <v>47191</v>
      </c>
      <c r="N1244" s="0" t="n">
        <v>24</v>
      </c>
      <c r="O1244" s="54" t="n">
        <f aca="false">YEAR(B1244)</f>
        <v>2021</v>
      </c>
      <c r="P1244" s="54" t="n">
        <f aca="false">IF(AND(E1244&gt;=14400,K1244&gt;0,L1244&gt;0),1,0)</f>
        <v>1</v>
      </c>
      <c r="Q1244" s="53" t="n">
        <f aca="false">IF(P1244=1,F1244/E1244*MIN(L1244/K1244,1)*MIN(MAX(M1244/L1244,0),1),0)</f>
        <v>0.498283658419028</v>
      </c>
      <c r="R1244" s="55" t="n">
        <f aca="false">IF(F1244&gt;0,N1244/(F1244/3600),0)</f>
        <v>1.84032457872755</v>
      </c>
    </row>
    <row r="1245" customFormat="false" ht="15" hidden="false" customHeight="false" outlineLevel="0" collapsed="false">
      <c r="A1245" s="0" t="s">
        <v>260</v>
      </c>
      <c r="B1245" s="52" t="n">
        <v>44272</v>
      </c>
      <c r="C1245" s="0" t="n">
        <v>72747.727</v>
      </c>
      <c r="D1245" s="0" t="n">
        <v>9708.83</v>
      </c>
      <c r="E1245" s="0" t="n">
        <v>63038.897</v>
      </c>
      <c r="F1245" s="0" t="n">
        <v>50578.041</v>
      </c>
      <c r="G1245" s="0" t="n">
        <v>45377.29</v>
      </c>
      <c r="H1245" s="0" t="n">
        <v>5200.751</v>
      </c>
      <c r="I1245" s="0" t="n">
        <v>3447.088</v>
      </c>
      <c r="J1245" s="0" t="n">
        <v>9013.768</v>
      </c>
      <c r="K1245" s="0" t="n">
        <v>56197.8233333333</v>
      </c>
      <c r="L1245" s="0" t="n">
        <v>50324</v>
      </c>
      <c r="M1245" s="0" t="n">
        <v>50250</v>
      </c>
      <c r="N1245" s="0" t="n">
        <v>17</v>
      </c>
      <c r="O1245" s="54" t="n">
        <f aca="false">YEAR(B1245)</f>
        <v>2021</v>
      </c>
      <c r="P1245" s="54" t="n">
        <f aca="false">IF(AND(E1245&gt;=14400,K1245&gt;0,L1245&gt;0),1,0)</f>
        <v>1</v>
      </c>
      <c r="Q1245" s="53" t="n">
        <f aca="false">IF(P1245=1,F1245/E1245*MIN(L1245/K1245,1)*MIN(MAX(M1245/L1245,0),1),0)</f>
        <v>0.717414202218672</v>
      </c>
      <c r="R1245" s="55" t="n">
        <f aca="false">IF(F1245&gt;0,N1245/(F1245/3600),0)</f>
        <v>1.21001127742373</v>
      </c>
    </row>
    <row r="1246" customFormat="false" ht="15" hidden="false" customHeight="false" outlineLevel="0" collapsed="false">
      <c r="A1246" s="0" t="s">
        <v>260</v>
      </c>
      <c r="B1246" s="52" t="n">
        <v>44273</v>
      </c>
      <c r="C1246" s="0" t="n">
        <v>18157.952</v>
      </c>
      <c r="D1246" s="0" t="n">
        <v>1673.28</v>
      </c>
      <c r="E1246" s="0" t="n">
        <v>16484.672</v>
      </c>
      <c r="F1246" s="0" t="n">
        <v>5669.441</v>
      </c>
      <c r="G1246" s="0" t="n">
        <v>3956.93</v>
      </c>
      <c r="H1246" s="0" t="n">
        <v>1712.511</v>
      </c>
      <c r="I1246" s="0" t="n">
        <v>1567.139</v>
      </c>
      <c r="J1246" s="0" t="n">
        <v>9248.092</v>
      </c>
      <c r="K1246" s="0" t="n">
        <v>6299.37888888889</v>
      </c>
      <c r="L1246" s="0" t="n">
        <v>4419</v>
      </c>
      <c r="M1246" s="0" t="n">
        <v>4393</v>
      </c>
      <c r="N1246" s="0" t="n">
        <v>6</v>
      </c>
      <c r="O1246" s="54" t="n">
        <f aca="false">YEAR(B1246)</f>
        <v>2021</v>
      </c>
      <c r="P1246" s="54" t="n">
        <f aca="false">IF(AND(E1246&gt;=14400,K1246&gt;0,L1246&gt;0),1,0)</f>
        <v>1</v>
      </c>
      <c r="Q1246" s="53" t="n">
        <f aca="false">IF(P1246=1,F1246/E1246*MIN(L1246/K1246,1)*MIN(MAX(M1246/L1246,0),1),0)</f>
        <v>0.239840986827036</v>
      </c>
      <c r="R1246" s="55" t="n">
        <f aca="false">IF(F1246&gt;0,N1246/(F1246/3600),0)</f>
        <v>3.80989942394673</v>
      </c>
    </row>
    <row r="1247" customFormat="false" ht="15" hidden="false" customHeight="false" outlineLevel="0" collapsed="false">
      <c r="A1247" s="0" t="s">
        <v>260</v>
      </c>
      <c r="B1247" s="52" t="n">
        <v>44274</v>
      </c>
      <c r="C1247" s="0" t="n">
        <v>57000.13</v>
      </c>
      <c r="D1247" s="0" t="n">
        <v>2138.27</v>
      </c>
      <c r="E1247" s="0" t="n">
        <v>54861.86</v>
      </c>
      <c r="F1247" s="0" t="n">
        <v>26158.91</v>
      </c>
      <c r="G1247" s="0" t="n">
        <v>24464.31</v>
      </c>
      <c r="H1247" s="0" t="n">
        <v>1694.6</v>
      </c>
      <c r="I1247" s="0" t="n">
        <v>2257.709</v>
      </c>
      <c r="J1247" s="0" t="n">
        <v>26445.241</v>
      </c>
      <c r="K1247" s="0" t="n">
        <v>29065.4555555556</v>
      </c>
      <c r="L1247" s="0" t="n">
        <v>27122</v>
      </c>
      <c r="M1247" s="0" t="n">
        <v>27106</v>
      </c>
      <c r="N1247" s="0" t="n">
        <v>12</v>
      </c>
      <c r="O1247" s="54" t="n">
        <f aca="false">YEAR(B1247)</f>
        <v>2021</v>
      </c>
      <c r="P1247" s="54" t="n">
        <f aca="false">IF(AND(E1247&gt;=14400,K1247&gt;0,L1247&gt;0),1,0)</f>
        <v>1</v>
      </c>
      <c r="Q1247" s="53" t="n">
        <f aca="false">IF(P1247=1,F1247/E1247*MIN(L1247/K1247,1)*MIN(MAX(M1247/L1247,0),1),0)</f>
        <v>0.444669575548478</v>
      </c>
      <c r="R1247" s="55" t="n">
        <f aca="false">IF(F1247&gt;0,N1247/(F1247/3600),0)</f>
        <v>1.65144495699553</v>
      </c>
    </row>
    <row r="1248" customFormat="false" ht="15" hidden="false" customHeight="false" outlineLevel="0" collapsed="false">
      <c r="A1248" s="0" t="s">
        <v>260</v>
      </c>
      <c r="B1248" s="52" t="n">
        <v>44275</v>
      </c>
      <c r="C1248" s="0" t="n">
        <v>81705.589</v>
      </c>
      <c r="D1248" s="0" t="n">
        <v>10411.319</v>
      </c>
      <c r="E1248" s="0" t="n">
        <v>71294.27</v>
      </c>
      <c r="F1248" s="0" t="n">
        <v>38821.526</v>
      </c>
      <c r="G1248" s="0" t="n">
        <v>33793.875</v>
      </c>
      <c r="H1248" s="0" t="n">
        <v>5027.651</v>
      </c>
      <c r="I1248" s="0" t="n">
        <v>3183.92</v>
      </c>
      <c r="J1248" s="0" t="n">
        <v>29288.824</v>
      </c>
      <c r="K1248" s="0" t="n">
        <v>43135.0288888889</v>
      </c>
      <c r="L1248" s="0" t="n">
        <v>37516</v>
      </c>
      <c r="M1248" s="0" t="n">
        <v>37423</v>
      </c>
      <c r="N1248" s="0" t="n">
        <v>14</v>
      </c>
      <c r="O1248" s="54" t="n">
        <f aca="false">YEAR(B1248)</f>
        <v>2021</v>
      </c>
      <c r="P1248" s="54" t="n">
        <f aca="false">IF(AND(E1248&gt;=14400,K1248&gt;0,L1248&gt;0),1,0)</f>
        <v>1</v>
      </c>
      <c r="Q1248" s="53" t="n">
        <f aca="false">IF(P1248=1,F1248/E1248*MIN(L1248/K1248,1)*MIN(MAX(M1248/L1248,0),1),0)</f>
        <v>0.472418049865718</v>
      </c>
      <c r="R1248" s="55" t="n">
        <f aca="false">IF(F1248&gt;0,N1248/(F1248/3600),0)</f>
        <v>1.29824881175459</v>
      </c>
    </row>
    <row r="1249" customFormat="false" ht="15" hidden="false" customHeight="false" outlineLevel="0" collapsed="false">
      <c r="A1249" s="0" t="s">
        <v>260</v>
      </c>
      <c r="B1249" s="52" t="n">
        <v>44276</v>
      </c>
      <c r="C1249" s="0" t="n">
        <v>78643.4</v>
      </c>
      <c r="D1249" s="0" t="n">
        <v>1920.81</v>
      </c>
      <c r="E1249" s="0" t="n">
        <v>76722.59</v>
      </c>
      <c r="F1249" s="0" t="n">
        <v>38622.462</v>
      </c>
      <c r="G1249" s="0" t="n">
        <v>36374.736</v>
      </c>
      <c r="H1249" s="0" t="n">
        <v>2247.726</v>
      </c>
      <c r="I1249" s="0" t="n">
        <v>3007.009</v>
      </c>
      <c r="J1249" s="0" t="n">
        <v>35093.119</v>
      </c>
      <c r="K1249" s="0" t="n">
        <v>42913.8466666667</v>
      </c>
      <c r="L1249" s="0" t="n">
        <v>40353</v>
      </c>
      <c r="M1249" s="0" t="n">
        <v>40290</v>
      </c>
      <c r="N1249" s="0" t="n">
        <v>22</v>
      </c>
      <c r="O1249" s="54" t="n">
        <f aca="false">YEAR(B1249)</f>
        <v>2021</v>
      </c>
      <c r="P1249" s="54" t="n">
        <f aca="false">IF(AND(E1249&gt;=14400,K1249&gt;0,L1249&gt;0),1,0)</f>
        <v>1</v>
      </c>
      <c r="Q1249" s="53" t="n">
        <f aca="false">IF(P1249=1,F1249/E1249*MIN(L1249/K1249,1)*MIN(MAX(M1249/L1249,0),1),0)</f>
        <v>0.472624816237304</v>
      </c>
      <c r="R1249" s="55" t="n">
        <f aca="false">IF(F1249&gt;0,N1249/(F1249/3600),0)</f>
        <v>2.05062018055711</v>
      </c>
    </row>
    <row r="1250" customFormat="false" ht="15" hidden="false" customHeight="false" outlineLevel="0" collapsed="false">
      <c r="A1250" s="0" t="s">
        <v>260</v>
      </c>
      <c r="B1250" s="52" t="n">
        <v>44277</v>
      </c>
      <c r="C1250" s="0" t="n">
        <v>86753.029</v>
      </c>
      <c r="D1250" s="0" t="n">
        <v>6028.431</v>
      </c>
      <c r="E1250" s="0" t="n">
        <v>80724.598</v>
      </c>
      <c r="F1250" s="0" t="n">
        <v>45703.837</v>
      </c>
      <c r="G1250" s="0" t="n">
        <v>43512.184</v>
      </c>
      <c r="H1250" s="0" t="n">
        <v>2191.653</v>
      </c>
      <c r="I1250" s="0" t="n">
        <v>6202.421</v>
      </c>
      <c r="J1250" s="0" t="n">
        <v>28818.34</v>
      </c>
      <c r="K1250" s="0" t="n">
        <v>50782.0411111111</v>
      </c>
      <c r="L1250" s="0" t="n">
        <v>48243</v>
      </c>
      <c r="M1250" s="0" t="n">
        <v>48208</v>
      </c>
      <c r="N1250" s="0" t="n">
        <v>24</v>
      </c>
      <c r="O1250" s="54" t="n">
        <f aca="false">YEAR(B1250)</f>
        <v>2021</v>
      </c>
      <c r="P1250" s="54" t="n">
        <f aca="false">IF(AND(E1250&gt;=14400,K1250&gt;0,L1250&gt;0),1,0)</f>
        <v>1</v>
      </c>
      <c r="Q1250" s="53" t="n">
        <f aca="false">IF(P1250=1,F1250/E1250*MIN(L1250/K1250,1)*MIN(MAX(M1250/L1250,0),1),0)</f>
        <v>0.537471862046312</v>
      </c>
      <c r="R1250" s="55" t="n">
        <f aca="false">IF(F1250&gt;0,N1250/(F1250/3600),0)</f>
        <v>1.89043208779167</v>
      </c>
    </row>
    <row r="1251" customFormat="false" ht="15" hidden="false" customHeight="false" outlineLevel="0" collapsed="false">
      <c r="A1251" s="0" t="s">
        <v>260</v>
      </c>
      <c r="B1251" s="52" t="n">
        <v>44278</v>
      </c>
      <c r="C1251" s="0" t="n">
        <v>60513.86</v>
      </c>
      <c r="D1251" s="0" t="n">
        <v>16576.888</v>
      </c>
      <c r="E1251" s="0" t="n">
        <v>43936.972</v>
      </c>
      <c r="F1251" s="0" t="n">
        <v>26077.161</v>
      </c>
      <c r="G1251" s="0" t="n">
        <v>24113.211</v>
      </c>
      <c r="H1251" s="0" t="n">
        <v>1963.95</v>
      </c>
      <c r="I1251" s="0" t="n">
        <v>2396.07</v>
      </c>
      <c r="J1251" s="0" t="n">
        <v>15463.741</v>
      </c>
      <c r="K1251" s="0" t="n">
        <v>28974.6233333333</v>
      </c>
      <c r="L1251" s="0" t="n">
        <v>26764</v>
      </c>
      <c r="M1251" s="0" t="n">
        <v>26673</v>
      </c>
      <c r="N1251" s="0" t="n">
        <v>10</v>
      </c>
      <c r="O1251" s="54" t="n">
        <f aca="false">YEAR(B1251)</f>
        <v>2021</v>
      </c>
      <c r="P1251" s="54" t="n">
        <f aca="false">IF(AND(E1251&gt;=14400,K1251&gt;0,L1251&gt;0),1,0)</f>
        <v>1</v>
      </c>
      <c r="Q1251" s="53" t="n">
        <f aca="false">IF(P1251=1,F1251/E1251*MIN(L1251/K1251,1)*MIN(MAX(M1251/L1251,0),1),0)</f>
        <v>0.546366736424167</v>
      </c>
      <c r="R1251" s="55" t="n">
        <f aca="false">IF(F1251&gt;0,N1251/(F1251/3600),0)</f>
        <v>1.38051837774825</v>
      </c>
    </row>
    <row r="1252" customFormat="false" ht="15" hidden="false" customHeight="false" outlineLevel="0" collapsed="false">
      <c r="A1252" s="0" t="s">
        <v>260</v>
      </c>
      <c r="B1252" s="52" t="n">
        <v>44279</v>
      </c>
      <c r="C1252" s="0" t="n">
        <v>83096.779</v>
      </c>
      <c r="D1252" s="0" t="n">
        <v>6460.75</v>
      </c>
      <c r="E1252" s="0" t="n">
        <v>76636.029</v>
      </c>
      <c r="F1252" s="0" t="n">
        <v>40605.06</v>
      </c>
      <c r="G1252" s="0" t="n">
        <v>38745.34</v>
      </c>
      <c r="H1252" s="0" t="n">
        <v>1859.72</v>
      </c>
      <c r="I1252" s="0" t="n">
        <v>3440.639</v>
      </c>
      <c r="J1252" s="0" t="n">
        <v>32590.33</v>
      </c>
      <c r="K1252" s="0" t="n">
        <v>45116.7333333333</v>
      </c>
      <c r="L1252" s="0" t="n">
        <v>44836</v>
      </c>
      <c r="M1252" s="0" t="n">
        <v>44796</v>
      </c>
      <c r="N1252" s="0" t="n">
        <v>17</v>
      </c>
      <c r="O1252" s="54" t="n">
        <f aca="false">YEAR(B1252)</f>
        <v>2021</v>
      </c>
      <c r="P1252" s="54" t="n">
        <f aca="false">IF(AND(E1252&gt;=14400,K1252&gt;0,L1252&gt;0),1,0)</f>
        <v>1</v>
      </c>
      <c r="Q1252" s="53" t="n">
        <f aca="false">IF(P1252=1,F1252/E1252*MIN(L1252/K1252,1)*MIN(MAX(M1252/L1252,0),1),0)</f>
        <v>0.526076318489832</v>
      </c>
      <c r="R1252" s="55" t="n">
        <f aca="false">IF(F1252&gt;0,N1252/(F1252/3600),0)</f>
        <v>1.50720131924445</v>
      </c>
    </row>
    <row r="1253" customFormat="false" ht="15" hidden="false" customHeight="false" outlineLevel="0" collapsed="false">
      <c r="A1253" s="0" t="s">
        <v>260</v>
      </c>
      <c r="B1253" s="52" t="n">
        <v>44280</v>
      </c>
      <c r="C1253" s="0" t="n">
        <v>79351.858</v>
      </c>
      <c r="D1253" s="0" t="n">
        <v>2128.842</v>
      </c>
      <c r="E1253" s="0" t="n">
        <v>77223.016</v>
      </c>
      <c r="F1253" s="0" t="n">
        <v>36312.746</v>
      </c>
      <c r="G1253" s="0" t="n">
        <v>34342.222</v>
      </c>
      <c r="H1253" s="0" t="n">
        <v>1970.524</v>
      </c>
      <c r="I1253" s="0" t="n">
        <v>3925.033</v>
      </c>
      <c r="J1253" s="0" t="n">
        <v>36985.237</v>
      </c>
      <c r="K1253" s="0" t="n">
        <v>40347.4955555556</v>
      </c>
      <c r="L1253" s="0" t="n">
        <v>38134</v>
      </c>
      <c r="M1253" s="0" t="n">
        <v>38117</v>
      </c>
      <c r="N1253" s="0" t="n">
        <v>16</v>
      </c>
      <c r="O1253" s="54" t="n">
        <f aca="false">YEAR(B1253)</f>
        <v>2021</v>
      </c>
      <c r="P1253" s="54" t="n">
        <f aca="false">IF(AND(E1253&gt;=14400,K1253&gt;0,L1253&gt;0),1,0)</f>
        <v>1</v>
      </c>
      <c r="Q1253" s="53" t="n">
        <f aca="false">IF(P1253=1,F1253/E1253*MIN(L1253/K1253,1)*MIN(MAX(M1253/L1253,0),1),0)</f>
        <v>0.444236728593973</v>
      </c>
      <c r="R1253" s="55" t="n">
        <f aca="false">IF(F1253&gt;0,N1253/(F1253/3600),0)</f>
        <v>1.58621989094408</v>
      </c>
    </row>
    <row r="1254" customFormat="false" ht="15" hidden="false" customHeight="false" outlineLevel="0" collapsed="false">
      <c r="A1254" s="0" t="s">
        <v>260</v>
      </c>
      <c r="B1254" s="52" t="n">
        <v>44281</v>
      </c>
      <c r="C1254" s="0" t="n">
        <v>60499.778</v>
      </c>
      <c r="D1254" s="0" t="n">
        <v>9814.595</v>
      </c>
      <c r="E1254" s="0" t="n">
        <v>50685.183</v>
      </c>
      <c r="F1254" s="0" t="n">
        <v>30840.28</v>
      </c>
      <c r="G1254" s="0" t="n">
        <v>27789.579</v>
      </c>
      <c r="H1254" s="0" t="n">
        <v>3050.701</v>
      </c>
      <c r="I1254" s="0" t="n">
        <v>2067.86</v>
      </c>
      <c r="J1254" s="0" t="n">
        <v>17777.043</v>
      </c>
      <c r="K1254" s="0" t="n">
        <v>34266.9777777778</v>
      </c>
      <c r="L1254" s="0" t="n">
        <v>30844</v>
      </c>
      <c r="M1254" s="0" t="n">
        <v>30806</v>
      </c>
      <c r="N1254" s="0" t="n">
        <v>7</v>
      </c>
      <c r="O1254" s="54" t="n">
        <f aca="false">YEAR(B1254)</f>
        <v>2021</v>
      </c>
      <c r="P1254" s="54" t="n">
        <f aca="false">IF(AND(E1254&gt;=14400,K1254&gt;0,L1254&gt;0),1,0)</f>
        <v>1</v>
      </c>
      <c r="Q1254" s="53" t="n">
        <f aca="false">IF(P1254=1,F1254/E1254*MIN(L1254/K1254,1)*MIN(MAX(M1254/L1254,0),1),0)</f>
        <v>0.547011934434566</v>
      </c>
      <c r="R1254" s="55" t="n">
        <f aca="false">IF(F1254&gt;0,N1254/(F1254/3600),0)</f>
        <v>0.817113203900873</v>
      </c>
    </row>
    <row r="1255" customFormat="false" ht="15" hidden="false" customHeight="false" outlineLevel="0" collapsed="false">
      <c r="A1255" s="0" t="s">
        <v>260</v>
      </c>
      <c r="B1255" s="52" t="n">
        <v>44282</v>
      </c>
      <c r="C1255" s="0" t="n">
        <v>52722.846</v>
      </c>
      <c r="D1255" s="0" t="n">
        <v>4824.06</v>
      </c>
      <c r="E1255" s="0" t="n">
        <v>47898.786</v>
      </c>
      <c r="F1255" s="0" t="n">
        <v>27879.931</v>
      </c>
      <c r="G1255" s="0" t="n">
        <v>23325.801</v>
      </c>
      <c r="H1255" s="0" t="n">
        <v>4554.13</v>
      </c>
      <c r="I1255" s="0" t="n">
        <v>12098.959</v>
      </c>
      <c r="J1255" s="0" t="n">
        <v>7919.896</v>
      </c>
      <c r="K1255" s="0" t="n">
        <v>30977.7011111111</v>
      </c>
      <c r="L1255" s="0" t="n">
        <v>25894</v>
      </c>
      <c r="M1255" s="0" t="n">
        <v>25794</v>
      </c>
      <c r="N1255" s="0" t="n">
        <v>13</v>
      </c>
      <c r="O1255" s="54" t="n">
        <f aca="false">YEAR(B1255)</f>
        <v>2021</v>
      </c>
      <c r="P1255" s="54" t="n">
        <f aca="false">IF(AND(E1255&gt;=14400,K1255&gt;0,L1255&gt;0),1,0)</f>
        <v>1</v>
      </c>
      <c r="Q1255" s="53" t="n">
        <f aca="false">IF(P1255=1,F1255/E1255*MIN(L1255/K1255,1)*MIN(MAX(M1255/L1255,0),1),0)</f>
        <v>0.484659465064522</v>
      </c>
      <c r="R1255" s="55" t="n">
        <f aca="false">IF(F1255&gt;0,N1255/(F1255/3600),0)</f>
        <v>1.67862682300039</v>
      </c>
    </row>
    <row r="1256" customFormat="false" ht="15" hidden="false" customHeight="false" outlineLevel="0" collapsed="false">
      <c r="A1256" s="0" t="s">
        <v>260</v>
      </c>
      <c r="B1256" s="52" t="n">
        <v>44288</v>
      </c>
      <c r="C1256" s="0" t="n">
        <v>33758.569</v>
      </c>
      <c r="D1256" s="0" t="n">
        <v>331</v>
      </c>
      <c r="E1256" s="0" t="n">
        <v>33427.569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n">
        <v>33427.569</v>
      </c>
      <c r="K1256" s="0" t="n">
        <v>0</v>
      </c>
      <c r="L1256" s="0" t="n">
        <v>0</v>
      </c>
      <c r="M1256" s="0" t="n">
        <v>0</v>
      </c>
      <c r="N1256" s="0" t="n">
        <v>0</v>
      </c>
      <c r="O1256" s="54" t="n">
        <f aca="false">YEAR(B1256)</f>
        <v>2021</v>
      </c>
      <c r="P1256" s="54" t="n">
        <f aca="false">IF(AND(E1256&gt;=14400,K1256&gt;0,L1256&gt;0),1,0)</f>
        <v>0</v>
      </c>
      <c r="Q1256" s="53" t="n">
        <f aca="false">IF(P1256=1,F1256/E1256*MIN(L1256/K1256,1)*MIN(MAX(M1256/L1256,0),1),0)</f>
        <v>0</v>
      </c>
      <c r="R1256" s="55" t="n">
        <f aca="false">IF(F1256&gt;0,N1256/(F1256/3600),0)</f>
        <v>0</v>
      </c>
    </row>
    <row r="1257" customFormat="false" ht="15" hidden="false" customHeight="false" outlineLevel="0" collapsed="false">
      <c r="A1257" s="0" t="s">
        <v>260</v>
      </c>
      <c r="B1257" s="52" t="n">
        <v>44289</v>
      </c>
      <c r="C1257" s="0" t="n">
        <v>74790.338</v>
      </c>
      <c r="D1257" s="0" t="n">
        <v>1922.56</v>
      </c>
      <c r="E1257" s="0" t="n">
        <v>72867.778</v>
      </c>
      <c r="F1257" s="0" t="n">
        <v>36905.151</v>
      </c>
      <c r="G1257" s="0" t="n">
        <v>34959.282</v>
      </c>
      <c r="H1257" s="0" t="n">
        <v>1945.869</v>
      </c>
      <c r="I1257" s="0" t="n">
        <v>1905.171</v>
      </c>
      <c r="J1257" s="0" t="n">
        <v>34057.456</v>
      </c>
      <c r="K1257" s="0" t="n">
        <v>41005.7233333333</v>
      </c>
      <c r="L1257" s="0" t="n">
        <v>38809</v>
      </c>
      <c r="M1257" s="0" t="n">
        <v>38764</v>
      </c>
      <c r="N1257" s="0" t="n">
        <v>11</v>
      </c>
      <c r="O1257" s="54" t="n">
        <f aca="false">YEAR(B1257)</f>
        <v>2021</v>
      </c>
      <c r="P1257" s="54" t="n">
        <f aca="false">IF(AND(E1257&gt;=14400,K1257&gt;0,L1257&gt;0),1,0)</f>
        <v>1</v>
      </c>
      <c r="Q1257" s="53" t="n">
        <f aca="false">IF(P1257=1,F1257/E1257*MIN(L1257/K1257,1)*MIN(MAX(M1257/L1257,0),1),0)</f>
        <v>0.478779523097301</v>
      </c>
      <c r="R1257" s="55" t="n">
        <f aca="false">IF(F1257&gt;0,N1257/(F1257/3600),0)</f>
        <v>1.0730209449624</v>
      </c>
    </row>
    <row r="1258" customFormat="false" ht="15" hidden="false" customHeight="false" outlineLevel="0" collapsed="false">
      <c r="A1258" s="0" t="s">
        <v>260</v>
      </c>
      <c r="B1258" s="52" t="n">
        <v>44290</v>
      </c>
      <c r="C1258" s="0" t="n">
        <v>77203.609</v>
      </c>
      <c r="D1258" s="0" t="n">
        <v>8495.599</v>
      </c>
      <c r="E1258" s="0" t="n">
        <v>68708.01</v>
      </c>
      <c r="F1258" s="0" t="n">
        <v>30845.101</v>
      </c>
      <c r="G1258" s="0" t="n">
        <v>28854.832</v>
      </c>
      <c r="H1258" s="0" t="n">
        <v>1990.269</v>
      </c>
      <c r="I1258" s="0" t="n">
        <v>2465.799</v>
      </c>
      <c r="J1258" s="0" t="n">
        <v>35397.11</v>
      </c>
      <c r="K1258" s="0" t="n">
        <v>34272.3344444444</v>
      </c>
      <c r="L1258" s="0" t="n">
        <v>32022</v>
      </c>
      <c r="M1258" s="0" t="n">
        <v>32005</v>
      </c>
      <c r="N1258" s="0" t="n">
        <v>11</v>
      </c>
      <c r="O1258" s="54" t="n">
        <f aca="false">YEAR(B1258)</f>
        <v>2021</v>
      </c>
      <c r="P1258" s="54" t="n">
        <f aca="false">IF(AND(E1258&gt;=14400,K1258&gt;0,L1258&gt;0),1,0)</f>
        <v>1</v>
      </c>
      <c r="Q1258" s="53" t="n">
        <f aca="false">IF(P1258=1,F1258/E1258*MIN(L1258/K1258,1)*MIN(MAX(M1258/L1258,0),1),0)</f>
        <v>0.419230596257991</v>
      </c>
      <c r="R1258" s="55" t="n">
        <f aca="false">IF(F1258&gt;0,N1258/(F1258/3600),0)</f>
        <v>1.2838343437423</v>
      </c>
    </row>
    <row r="1259" customFormat="false" ht="15" hidden="false" customHeight="false" outlineLevel="0" collapsed="false">
      <c r="A1259" s="0" t="s">
        <v>260</v>
      </c>
      <c r="B1259" s="52" t="n">
        <v>44291</v>
      </c>
      <c r="C1259" s="0" t="n">
        <v>79606.684</v>
      </c>
      <c r="D1259" s="0" t="n">
        <v>2038.735</v>
      </c>
      <c r="E1259" s="0" t="n">
        <v>77567.949</v>
      </c>
      <c r="F1259" s="0" t="n">
        <v>36584.971</v>
      </c>
      <c r="G1259" s="0" t="n">
        <v>35060.2</v>
      </c>
      <c r="H1259" s="0" t="n">
        <v>1524.771</v>
      </c>
      <c r="I1259" s="0" t="n">
        <v>4528.02</v>
      </c>
      <c r="J1259" s="0" t="n">
        <v>36454.958</v>
      </c>
      <c r="K1259" s="0" t="n">
        <v>40649.9677777778</v>
      </c>
      <c r="L1259" s="0" t="n">
        <v>38900</v>
      </c>
      <c r="M1259" s="0" t="n">
        <v>38784</v>
      </c>
      <c r="N1259" s="0" t="n">
        <v>28</v>
      </c>
      <c r="O1259" s="54" t="n">
        <f aca="false">YEAR(B1259)</f>
        <v>2021</v>
      </c>
      <c r="P1259" s="54" t="n">
        <f aca="false">IF(AND(E1259&gt;=14400,K1259&gt;0,L1259&gt;0),1,0)</f>
        <v>1</v>
      </c>
      <c r="Q1259" s="53" t="n">
        <f aca="false">IF(P1259=1,F1259/E1259*MIN(L1259/K1259,1)*MIN(MAX(M1259/L1259,0),1),0)</f>
        <v>0.450000295869625</v>
      </c>
      <c r="R1259" s="55" t="n">
        <f aca="false">IF(F1259&gt;0,N1259/(F1259/3600),0)</f>
        <v>2.75522973627613</v>
      </c>
    </row>
    <row r="1260" customFormat="false" ht="15" hidden="false" customHeight="false" outlineLevel="0" collapsed="false">
      <c r="A1260" s="0" t="s">
        <v>260</v>
      </c>
      <c r="B1260" s="52" t="n">
        <v>44292</v>
      </c>
      <c r="C1260" s="0" t="n">
        <v>51663.085</v>
      </c>
      <c r="D1260" s="0" t="n">
        <v>13088.7</v>
      </c>
      <c r="E1260" s="0" t="n">
        <v>38574.385</v>
      </c>
      <c r="F1260" s="0" t="n">
        <v>27135.205</v>
      </c>
      <c r="G1260" s="0" t="n">
        <v>24122.092</v>
      </c>
      <c r="H1260" s="0" t="n">
        <v>3013.113</v>
      </c>
      <c r="I1260" s="0" t="n">
        <v>1196.63</v>
      </c>
      <c r="J1260" s="0" t="n">
        <v>10242.55</v>
      </c>
      <c r="K1260" s="0" t="n">
        <v>30150.2277777778</v>
      </c>
      <c r="L1260" s="0" t="n">
        <v>26750</v>
      </c>
      <c r="M1260" s="0" t="n">
        <v>26150</v>
      </c>
      <c r="N1260" s="0" t="n">
        <v>12</v>
      </c>
      <c r="O1260" s="54" t="n">
        <f aca="false">YEAR(B1260)</f>
        <v>2021</v>
      </c>
      <c r="P1260" s="54" t="n">
        <f aca="false">IF(AND(E1260&gt;=14400,K1260&gt;0,L1260&gt;0),1,0)</f>
        <v>1</v>
      </c>
      <c r="Q1260" s="53" t="n">
        <f aca="false">IF(P1260=1,F1260/E1260*MIN(L1260/K1260,1)*MIN(MAX(M1260/L1260,0),1),0)</f>
        <v>0.610119902106022</v>
      </c>
      <c r="R1260" s="55" t="n">
        <f aca="false">IF(F1260&gt;0,N1260/(F1260/3600),0)</f>
        <v>1.59202777351415</v>
      </c>
    </row>
    <row r="1261" customFormat="false" ht="15" hidden="false" customHeight="false" outlineLevel="0" collapsed="false">
      <c r="A1261" s="0" t="s">
        <v>260</v>
      </c>
      <c r="B1261" s="52" t="n">
        <v>44293</v>
      </c>
      <c r="C1261" s="0" t="n">
        <v>94483.637</v>
      </c>
      <c r="D1261" s="0" t="n">
        <v>10898.849</v>
      </c>
      <c r="E1261" s="0" t="n">
        <v>83584.788</v>
      </c>
      <c r="F1261" s="0" t="n">
        <v>37826.737</v>
      </c>
      <c r="G1261" s="0" t="n">
        <v>34257.407</v>
      </c>
      <c r="H1261" s="0" t="n">
        <v>3569.33</v>
      </c>
      <c r="I1261" s="0" t="n">
        <v>6356.673</v>
      </c>
      <c r="J1261" s="0" t="n">
        <v>39401.378</v>
      </c>
      <c r="K1261" s="0" t="n">
        <v>42029.7077777778</v>
      </c>
      <c r="L1261" s="0" t="n">
        <v>37918</v>
      </c>
      <c r="M1261" s="0" t="n">
        <v>37564</v>
      </c>
      <c r="N1261" s="0" t="n">
        <v>39</v>
      </c>
      <c r="O1261" s="54" t="n">
        <f aca="false">YEAR(B1261)</f>
        <v>2021</v>
      </c>
      <c r="P1261" s="54" t="n">
        <f aca="false">IF(AND(E1261&gt;=14400,K1261&gt;0,L1261&gt;0),1,0)</f>
        <v>1</v>
      </c>
      <c r="Q1261" s="53" t="n">
        <f aca="false">IF(P1261=1,F1261/E1261*MIN(L1261/K1261,1)*MIN(MAX(M1261/L1261,0),1),0)</f>
        <v>0.404470727376853</v>
      </c>
      <c r="R1261" s="55" t="n">
        <f aca="false">IF(F1261&gt;0,N1261/(F1261/3600),0)</f>
        <v>3.71166035283456</v>
      </c>
    </row>
    <row r="1262" customFormat="false" ht="15" hidden="false" customHeight="false" outlineLevel="0" collapsed="false">
      <c r="A1262" s="0" t="s">
        <v>260</v>
      </c>
      <c r="B1262" s="52" t="n">
        <v>44294</v>
      </c>
      <c r="C1262" s="0" t="n">
        <v>74195.989</v>
      </c>
      <c r="D1262" s="0" t="n">
        <v>1818.101</v>
      </c>
      <c r="E1262" s="0" t="n">
        <v>72377.888</v>
      </c>
      <c r="F1262" s="0" t="n">
        <v>35644.586</v>
      </c>
      <c r="G1262" s="0" t="n">
        <v>31581.353</v>
      </c>
      <c r="H1262" s="0" t="n">
        <v>4063.233</v>
      </c>
      <c r="I1262" s="0" t="n">
        <v>3067.587</v>
      </c>
      <c r="J1262" s="0" t="n">
        <v>33665.715</v>
      </c>
      <c r="K1262" s="0" t="n">
        <v>39605.0955555556</v>
      </c>
      <c r="L1262" s="0" t="n">
        <v>35072</v>
      </c>
      <c r="M1262" s="0" t="n">
        <v>35034</v>
      </c>
      <c r="N1262" s="0" t="n">
        <v>13</v>
      </c>
      <c r="O1262" s="54" t="n">
        <f aca="false">YEAR(B1262)</f>
        <v>2021</v>
      </c>
      <c r="P1262" s="54" t="n">
        <f aca="false">IF(AND(E1262&gt;=14400,K1262&gt;0,L1262&gt;0),1,0)</f>
        <v>1</v>
      </c>
      <c r="Q1262" s="53" t="n">
        <f aca="false">IF(P1262=1,F1262/E1262*MIN(L1262/K1262,1)*MIN(MAX(M1262/L1262,0),1),0)</f>
        <v>0.435638575140518</v>
      </c>
      <c r="R1262" s="55" t="n">
        <f aca="false">IF(F1262&gt;0,N1262/(F1262/3600),0)</f>
        <v>1.31296236685145</v>
      </c>
    </row>
    <row r="1263" customFormat="false" ht="15" hidden="false" customHeight="false" outlineLevel="0" collapsed="false">
      <c r="A1263" s="0" t="s">
        <v>260</v>
      </c>
      <c r="B1263" s="52" t="n">
        <v>44295</v>
      </c>
      <c r="C1263" s="0" t="n">
        <v>86560.536</v>
      </c>
      <c r="D1263" s="0" t="n">
        <v>10404.78</v>
      </c>
      <c r="E1263" s="0" t="n">
        <v>76155.756</v>
      </c>
      <c r="F1263" s="0" t="n">
        <v>27701.518</v>
      </c>
      <c r="G1263" s="0" t="n">
        <v>24633.505</v>
      </c>
      <c r="H1263" s="0" t="n">
        <v>3068.013</v>
      </c>
      <c r="I1263" s="0" t="n">
        <v>3136.07</v>
      </c>
      <c r="J1263" s="0" t="n">
        <v>45318.168</v>
      </c>
      <c r="K1263" s="0" t="n">
        <v>30779.4644444445</v>
      </c>
      <c r="L1263" s="0" t="n">
        <v>27304</v>
      </c>
      <c r="M1263" s="0" t="n">
        <v>27265</v>
      </c>
      <c r="N1263" s="0" t="n">
        <v>20</v>
      </c>
      <c r="O1263" s="54" t="n">
        <f aca="false">YEAR(B1263)</f>
        <v>2021</v>
      </c>
      <c r="P1263" s="54" t="n">
        <f aca="false">IF(AND(E1263&gt;=14400,K1263&gt;0,L1263&gt;0),1,0)</f>
        <v>1</v>
      </c>
      <c r="Q1263" s="53" t="n">
        <f aca="false">IF(P1263=1,F1263/E1263*MIN(L1263/K1263,1)*MIN(MAX(M1263/L1263,0),1),0)</f>
        <v>0.322214646519956</v>
      </c>
      <c r="R1263" s="55" t="n">
        <f aca="false">IF(F1263&gt;0,N1263/(F1263/3600),0)</f>
        <v>2.59913554195839</v>
      </c>
    </row>
    <row r="1264" customFormat="false" ht="15" hidden="false" customHeight="false" outlineLevel="0" collapsed="false">
      <c r="A1264" s="0" t="s">
        <v>260</v>
      </c>
      <c r="B1264" s="52" t="n">
        <v>44296</v>
      </c>
      <c r="C1264" s="0" t="n">
        <v>49080.547</v>
      </c>
      <c r="D1264" s="0" t="n">
        <v>9211.16</v>
      </c>
      <c r="E1264" s="0" t="n">
        <v>39869.387</v>
      </c>
      <c r="F1264" s="0" t="n">
        <v>20659.004</v>
      </c>
      <c r="G1264" s="0" t="n">
        <v>19262.759</v>
      </c>
      <c r="H1264" s="0" t="n">
        <v>1396.245</v>
      </c>
      <c r="I1264" s="0" t="n">
        <v>3048.081</v>
      </c>
      <c r="J1264" s="0" t="n">
        <v>16162.302</v>
      </c>
      <c r="K1264" s="0" t="n">
        <v>22954.4488888889</v>
      </c>
      <c r="L1264" s="0" t="n">
        <v>21359</v>
      </c>
      <c r="M1264" s="0" t="n">
        <v>21317</v>
      </c>
      <c r="N1264" s="0" t="n">
        <v>16</v>
      </c>
      <c r="O1264" s="54" t="n">
        <f aca="false">YEAR(B1264)</f>
        <v>2021</v>
      </c>
      <c r="P1264" s="54" t="n">
        <f aca="false">IF(AND(E1264&gt;=14400,K1264&gt;0,L1264&gt;0),1,0)</f>
        <v>1</v>
      </c>
      <c r="Q1264" s="53" t="n">
        <f aca="false">IF(P1264=1,F1264/E1264*MIN(L1264/K1264,1)*MIN(MAX(M1264/L1264,0),1),0)</f>
        <v>0.481203786754986</v>
      </c>
      <c r="R1264" s="55" t="n">
        <f aca="false">IF(F1264&gt;0,N1264/(F1264/3600),0)</f>
        <v>2.78813054104641</v>
      </c>
    </row>
    <row r="1265" customFormat="false" ht="15" hidden="false" customHeight="false" outlineLevel="0" collapsed="false">
      <c r="A1265" s="0" t="s">
        <v>260</v>
      </c>
      <c r="B1265" s="52" t="n">
        <v>44297</v>
      </c>
      <c r="C1265" s="0" t="n">
        <v>90152.785</v>
      </c>
      <c r="D1265" s="0" t="n">
        <v>7378.091</v>
      </c>
      <c r="E1265" s="0" t="n">
        <v>82774.694</v>
      </c>
      <c r="F1265" s="0" t="n">
        <v>41567.424</v>
      </c>
      <c r="G1265" s="0" t="n">
        <v>39217.598</v>
      </c>
      <c r="H1265" s="0" t="n">
        <v>2349.826</v>
      </c>
      <c r="I1265" s="0" t="n">
        <v>4341.967</v>
      </c>
      <c r="J1265" s="0" t="n">
        <v>36865.303</v>
      </c>
      <c r="K1265" s="0" t="n">
        <v>46186.0266666667</v>
      </c>
      <c r="L1265" s="0" t="n">
        <v>43483</v>
      </c>
      <c r="M1265" s="0" t="n">
        <v>43411</v>
      </c>
      <c r="N1265" s="0" t="n">
        <v>28</v>
      </c>
      <c r="O1265" s="54" t="n">
        <f aca="false">YEAR(B1265)</f>
        <v>2021</v>
      </c>
      <c r="P1265" s="54" t="n">
        <f aca="false">IF(AND(E1265&gt;=14400,K1265&gt;0,L1265&gt;0),1,0)</f>
        <v>1</v>
      </c>
      <c r="Q1265" s="53" t="n">
        <f aca="false">IF(P1265=1,F1265/E1265*MIN(L1265/K1265,1)*MIN(MAX(M1265/L1265,0),1),0)</f>
        <v>0.472002952979808</v>
      </c>
      <c r="R1265" s="55" t="n">
        <f aca="false">IF(F1265&gt;0,N1265/(F1265/3600),0)</f>
        <v>2.42497586571638</v>
      </c>
    </row>
    <row r="1266" customFormat="false" ht="15" hidden="false" customHeight="false" outlineLevel="0" collapsed="false">
      <c r="A1266" s="0" t="s">
        <v>260</v>
      </c>
      <c r="B1266" s="52" t="n">
        <v>44298</v>
      </c>
      <c r="C1266" s="0" t="n">
        <v>83674.892</v>
      </c>
      <c r="D1266" s="0" t="n">
        <v>10990.5</v>
      </c>
      <c r="E1266" s="0" t="n">
        <v>72684.392</v>
      </c>
      <c r="F1266" s="0" t="n">
        <v>27663.158</v>
      </c>
      <c r="G1266" s="0" t="n">
        <v>25682.518</v>
      </c>
      <c r="H1266" s="0" t="n">
        <v>1980.64</v>
      </c>
      <c r="I1266" s="0" t="n">
        <v>3213.351</v>
      </c>
      <c r="J1266" s="0" t="n">
        <v>41807.883</v>
      </c>
      <c r="K1266" s="0" t="n">
        <v>30736.8422222222</v>
      </c>
      <c r="L1266" s="0" t="n">
        <v>28494</v>
      </c>
      <c r="M1266" s="0" t="n">
        <v>28444</v>
      </c>
      <c r="N1266" s="0" t="n">
        <v>13</v>
      </c>
      <c r="O1266" s="54" t="n">
        <f aca="false">YEAR(B1266)</f>
        <v>2021</v>
      </c>
      <c r="P1266" s="54" t="n">
        <f aca="false">IF(AND(E1266&gt;=14400,K1266&gt;0,L1266&gt;0),1,0)</f>
        <v>1</v>
      </c>
      <c r="Q1266" s="53" t="n">
        <f aca="false">IF(P1266=1,F1266/E1266*MIN(L1266/K1266,1)*MIN(MAX(M1266/L1266,0),1),0)</f>
        <v>0.352202161916688</v>
      </c>
      <c r="R1266" s="55" t="n">
        <f aca="false">IF(F1266&gt;0,N1266/(F1266/3600),0)</f>
        <v>1.69178081548029</v>
      </c>
    </row>
    <row r="1267" customFormat="false" ht="15" hidden="false" customHeight="false" outlineLevel="0" collapsed="false">
      <c r="A1267" s="0" t="s">
        <v>260</v>
      </c>
      <c r="B1267" s="52" t="n">
        <v>44299</v>
      </c>
      <c r="C1267" s="0" t="n">
        <v>76746.589</v>
      </c>
      <c r="D1267" s="0" t="n">
        <v>9629.619</v>
      </c>
      <c r="E1267" s="0" t="n">
        <v>67116.97</v>
      </c>
      <c r="F1267" s="0" t="n">
        <v>37392.18</v>
      </c>
      <c r="G1267" s="0" t="n">
        <v>35457.208</v>
      </c>
      <c r="H1267" s="0" t="n">
        <v>1934.972</v>
      </c>
      <c r="I1267" s="0" t="n">
        <v>3833.904</v>
      </c>
      <c r="J1267" s="0" t="n">
        <v>25890.886</v>
      </c>
      <c r="K1267" s="0" t="n">
        <v>41546.8666666667</v>
      </c>
      <c r="L1267" s="0" t="n">
        <v>39324</v>
      </c>
      <c r="M1267" s="0" t="n">
        <v>39306</v>
      </c>
      <c r="N1267" s="0" t="n">
        <v>17</v>
      </c>
      <c r="O1267" s="54" t="n">
        <f aca="false">YEAR(B1267)</f>
        <v>2021</v>
      </c>
      <c r="P1267" s="54" t="n">
        <f aca="false">IF(AND(E1267&gt;=14400,K1267&gt;0,L1267&gt;0),1,0)</f>
        <v>1</v>
      </c>
      <c r="Q1267" s="53" t="n">
        <f aca="false">IF(P1267=1,F1267/E1267*MIN(L1267/K1267,1)*MIN(MAX(M1267/L1267,0),1),0)</f>
        <v>0.527070873431861</v>
      </c>
      <c r="R1267" s="55" t="n">
        <f aca="false">IF(F1267&gt;0,N1267/(F1267/3600),0)</f>
        <v>1.63670585667912</v>
      </c>
    </row>
    <row r="1268" customFormat="false" ht="15" hidden="false" customHeight="false" outlineLevel="0" collapsed="false">
      <c r="A1268" s="0" t="s">
        <v>260</v>
      </c>
      <c r="B1268" s="52" t="n">
        <v>44300</v>
      </c>
      <c r="C1268" s="0" t="n">
        <v>68011.517</v>
      </c>
      <c r="D1268" s="0" t="n">
        <v>1946.029</v>
      </c>
      <c r="E1268" s="0" t="n">
        <v>66065.488</v>
      </c>
      <c r="F1268" s="0" t="n">
        <v>33305.925</v>
      </c>
      <c r="G1268" s="0" t="n">
        <v>31787.711</v>
      </c>
      <c r="H1268" s="0" t="n">
        <v>1518.214</v>
      </c>
      <c r="I1268" s="0" t="n">
        <v>3050.668</v>
      </c>
      <c r="J1268" s="0" t="n">
        <v>29708.895</v>
      </c>
      <c r="K1268" s="0" t="n">
        <v>37006.5833333333</v>
      </c>
      <c r="L1268" s="0" t="n">
        <v>35294</v>
      </c>
      <c r="M1268" s="0" t="n">
        <v>35277</v>
      </c>
      <c r="N1268" s="0" t="n">
        <v>17</v>
      </c>
      <c r="O1268" s="54" t="n">
        <f aca="false">YEAR(B1268)</f>
        <v>2021</v>
      </c>
      <c r="P1268" s="54" t="n">
        <f aca="false">IF(AND(E1268&gt;=14400,K1268&gt;0,L1268&gt;0),1,0)</f>
        <v>1</v>
      </c>
      <c r="Q1268" s="53" t="n">
        <f aca="false">IF(P1268=1,F1268/E1268*MIN(L1268/K1268,1)*MIN(MAX(M1268/L1268,0),1),0)</f>
        <v>0.480573154927729</v>
      </c>
      <c r="R1268" s="55" t="n">
        <f aca="false">IF(F1268&gt;0,N1268/(F1268/3600),0)</f>
        <v>1.83751089333204</v>
      </c>
    </row>
    <row r="1269" customFormat="false" ht="15" hidden="false" customHeight="false" outlineLevel="0" collapsed="false">
      <c r="A1269" s="0" t="s">
        <v>260</v>
      </c>
      <c r="B1269" s="52" t="n">
        <v>44301</v>
      </c>
      <c r="C1269" s="0" t="n">
        <v>76341.018</v>
      </c>
      <c r="D1269" s="0" t="n">
        <v>1958.346</v>
      </c>
      <c r="E1269" s="0" t="n">
        <v>74382.672</v>
      </c>
      <c r="F1269" s="0" t="n">
        <v>34144.654</v>
      </c>
      <c r="G1269" s="0" t="n">
        <v>30293.028</v>
      </c>
      <c r="H1269" s="0" t="n">
        <v>3851.626</v>
      </c>
      <c r="I1269" s="0" t="n">
        <v>2945.391</v>
      </c>
      <c r="J1269" s="0" t="n">
        <v>37292.627</v>
      </c>
      <c r="K1269" s="0" t="n">
        <v>37938.5044444445</v>
      </c>
      <c r="L1269" s="0" t="n">
        <v>33624</v>
      </c>
      <c r="M1269" s="0" t="n">
        <v>33578</v>
      </c>
      <c r="N1269" s="0" t="n">
        <v>14</v>
      </c>
      <c r="O1269" s="54" t="n">
        <f aca="false">YEAR(B1269)</f>
        <v>2021</v>
      </c>
      <c r="P1269" s="54" t="n">
        <f aca="false">IF(AND(E1269&gt;=14400,K1269&gt;0,L1269&gt;0),1,0)</f>
        <v>1</v>
      </c>
      <c r="Q1269" s="53" t="n">
        <f aca="false">IF(P1269=1,F1269/E1269*MIN(L1269/K1269,1)*MIN(MAX(M1269/L1269,0),1),0)</f>
        <v>0.40628010781866</v>
      </c>
      <c r="R1269" s="55" t="n">
        <f aca="false">IF(F1269&gt;0,N1269/(F1269/3600),0)</f>
        <v>1.47607294541629</v>
      </c>
    </row>
    <row r="1270" customFormat="false" ht="15" hidden="false" customHeight="false" outlineLevel="0" collapsed="false">
      <c r="A1270" s="0" t="s">
        <v>260</v>
      </c>
      <c r="B1270" s="52" t="n">
        <v>44302</v>
      </c>
      <c r="C1270" s="0" t="n">
        <v>63284.463</v>
      </c>
      <c r="D1270" s="0" t="n">
        <v>13294.791</v>
      </c>
      <c r="E1270" s="0" t="n">
        <v>49989.672</v>
      </c>
      <c r="F1270" s="0" t="n">
        <v>30239.166</v>
      </c>
      <c r="G1270" s="0" t="n">
        <v>26474.373</v>
      </c>
      <c r="H1270" s="0" t="n">
        <v>3764.793</v>
      </c>
      <c r="I1270" s="0" t="n">
        <v>1997.042</v>
      </c>
      <c r="J1270" s="0" t="n">
        <v>17753.464</v>
      </c>
      <c r="K1270" s="0" t="n">
        <v>33599.0733333333</v>
      </c>
      <c r="L1270" s="0" t="n">
        <v>29356</v>
      </c>
      <c r="M1270" s="0" t="n">
        <v>29331</v>
      </c>
      <c r="N1270" s="0" t="n">
        <v>16</v>
      </c>
      <c r="O1270" s="54" t="n">
        <f aca="false">YEAR(B1270)</f>
        <v>2021</v>
      </c>
      <c r="P1270" s="54" t="n">
        <f aca="false">IF(AND(E1270&gt;=14400,K1270&gt;0,L1270&gt;0),1,0)</f>
        <v>1</v>
      </c>
      <c r="Q1270" s="53" t="n">
        <f aca="false">IF(P1270=1,F1270/E1270*MIN(L1270/K1270,1)*MIN(MAX(M1270/L1270,0),1),0)</f>
        <v>0.528067077535536</v>
      </c>
      <c r="R1270" s="55" t="n">
        <f aca="false">IF(F1270&gt;0,N1270/(F1270/3600),0)</f>
        <v>1.90481443833471</v>
      </c>
    </row>
    <row r="1271" customFormat="false" ht="15" hidden="false" customHeight="false" outlineLevel="0" collapsed="false">
      <c r="A1271" s="0" t="s">
        <v>260</v>
      </c>
      <c r="B1271" s="52" t="n">
        <v>44303</v>
      </c>
      <c r="C1271" s="0" t="n">
        <v>78550.735</v>
      </c>
      <c r="D1271" s="0" t="n">
        <v>9841.961</v>
      </c>
      <c r="E1271" s="0" t="n">
        <v>68708.774</v>
      </c>
      <c r="F1271" s="0" t="n">
        <v>30416.02</v>
      </c>
      <c r="G1271" s="0" t="n">
        <v>28487.923</v>
      </c>
      <c r="H1271" s="0" t="n">
        <v>1928.097</v>
      </c>
      <c r="I1271" s="0" t="n">
        <v>3885.021</v>
      </c>
      <c r="J1271" s="0" t="n">
        <v>34407.733</v>
      </c>
      <c r="K1271" s="0" t="n">
        <v>33795.5777777778</v>
      </c>
      <c r="L1271" s="0" t="n">
        <v>31604</v>
      </c>
      <c r="M1271" s="0" t="n">
        <v>31555</v>
      </c>
      <c r="N1271" s="0" t="n">
        <v>21</v>
      </c>
      <c r="O1271" s="54" t="n">
        <f aca="false">YEAR(B1271)</f>
        <v>2021</v>
      </c>
      <c r="P1271" s="54" t="n">
        <f aca="false">IF(AND(E1271&gt;=14400,K1271&gt;0,L1271&gt;0),1,0)</f>
        <v>1</v>
      </c>
      <c r="Q1271" s="53" t="n">
        <f aca="false">IF(P1271=1,F1271/E1271*MIN(L1271/K1271,1)*MIN(MAX(M1271/L1271,0),1),0)</f>
        <v>0.413331490967951</v>
      </c>
      <c r="R1271" s="55" t="n">
        <f aca="false">IF(F1271&gt;0,N1271/(F1271/3600),0)</f>
        <v>2.48553229515236</v>
      </c>
    </row>
    <row r="1272" customFormat="false" ht="15" hidden="false" customHeight="false" outlineLevel="0" collapsed="false">
      <c r="A1272" s="0" t="s">
        <v>260</v>
      </c>
      <c r="B1272" s="52" t="n">
        <v>44304</v>
      </c>
      <c r="C1272" s="0" t="n">
        <v>80874.404</v>
      </c>
      <c r="D1272" s="0" t="n">
        <v>1682.311</v>
      </c>
      <c r="E1272" s="0" t="n">
        <v>79192.093</v>
      </c>
      <c r="F1272" s="0" t="n">
        <v>38715.756</v>
      </c>
      <c r="G1272" s="0" t="n">
        <v>36056.444</v>
      </c>
      <c r="H1272" s="0" t="n">
        <v>2659.312</v>
      </c>
      <c r="I1272" s="0" t="n">
        <v>1967.012</v>
      </c>
      <c r="J1272" s="0" t="n">
        <v>38509.325</v>
      </c>
      <c r="K1272" s="0" t="n">
        <v>43017.5066666667</v>
      </c>
      <c r="L1272" s="0" t="n">
        <v>40031</v>
      </c>
      <c r="M1272" s="0" t="n">
        <v>39959</v>
      </c>
      <c r="N1272" s="0" t="n">
        <v>16</v>
      </c>
      <c r="O1272" s="54" t="n">
        <f aca="false">YEAR(B1272)</f>
        <v>2021</v>
      </c>
      <c r="P1272" s="54" t="n">
        <f aca="false">IF(AND(E1272&gt;=14400,K1272&gt;0,L1272&gt;0),1,0)</f>
        <v>1</v>
      </c>
      <c r="Q1272" s="53" t="n">
        <f aca="false">IF(P1272=1,F1272/E1272*MIN(L1272/K1272,1)*MIN(MAX(M1272/L1272,0),1),0)</f>
        <v>0.454124883402185</v>
      </c>
      <c r="R1272" s="55" t="n">
        <f aca="false">IF(F1272&gt;0,N1272/(F1272/3600),0)</f>
        <v>1.48776637604597</v>
      </c>
    </row>
    <row r="1273" customFormat="false" ht="15" hidden="false" customHeight="false" outlineLevel="0" collapsed="false">
      <c r="A1273" s="0" t="s">
        <v>260</v>
      </c>
      <c r="B1273" s="52" t="n">
        <v>44305</v>
      </c>
      <c r="C1273" s="0" t="n">
        <v>58860.013</v>
      </c>
      <c r="D1273" s="0" t="n">
        <v>7390.018</v>
      </c>
      <c r="E1273" s="0" t="n">
        <v>51469.995</v>
      </c>
      <c r="F1273" s="0" t="n">
        <v>31286.2</v>
      </c>
      <c r="G1273" s="0" t="n">
        <v>28694.428</v>
      </c>
      <c r="H1273" s="0" t="n">
        <v>2591.772</v>
      </c>
      <c r="I1273" s="0" t="n">
        <v>2676.241</v>
      </c>
      <c r="J1273" s="0" t="n">
        <v>17507.554</v>
      </c>
      <c r="K1273" s="0" t="n">
        <v>34762.4444444445</v>
      </c>
      <c r="L1273" s="0" t="n">
        <v>31867</v>
      </c>
      <c r="M1273" s="0" t="n">
        <v>31821</v>
      </c>
      <c r="N1273" s="0" t="n">
        <v>14</v>
      </c>
      <c r="O1273" s="54" t="n">
        <f aca="false">YEAR(B1273)</f>
        <v>2021</v>
      </c>
      <c r="P1273" s="54" t="n">
        <f aca="false">IF(AND(E1273&gt;=14400,K1273&gt;0,L1273&gt;0),1,0)</f>
        <v>1</v>
      </c>
      <c r="Q1273" s="53" t="n">
        <f aca="false">IF(P1273=1,F1273/E1273*MIN(L1273/K1273,1)*MIN(MAX(M1273/L1273,0),1),0)</f>
        <v>0.556419327415905</v>
      </c>
      <c r="R1273" s="55" t="n">
        <f aca="false">IF(F1273&gt;0,N1273/(F1273/3600),0)</f>
        <v>1.61093389417699</v>
      </c>
    </row>
    <row r="1274" customFormat="false" ht="15" hidden="false" customHeight="false" outlineLevel="0" collapsed="false">
      <c r="A1274" s="0" t="s">
        <v>260</v>
      </c>
      <c r="B1274" s="52" t="n">
        <v>44306</v>
      </c>
      <c r="C1274" s="0" t="n">
        <v>47213.529</v>
      </c>
      <c r="D1274" s="0" t="n">
        <v>317.521</v>
      </c>
      <c r="E1274" s="0" t="n">
        <v>46896.008</v>
      </c>
      <c r="F1274" s="0" t="n">
        <v>31976.834</v>
      </c>
      <c r="G1274" s="0" t="n">
        <v>30720.175</v>
      </c>
      <c r="H1274" s="0" t="n">
        <v>1256.659</v>
      </c>
      <c r="I1274" s="0" t="n">
        <v>3441.726</v>
      </c>
      <c r="J1274" s="0" t="n">
        <v>11477.448</v>
      </c>
      <c r="K1274" s="0" t="n">
        <v>35529.8155555556</v>
      </c>
      <c r="L1274" s="0" t="n">
        <v>34110</v>
      </c>
      <c r="M1274" s="0" t="n">
        <v>34089</v>
      </c>
      <c r="N1274" s="0" t="n">
        <v>12</v>
      </c>
      <c r="O1274" s="54" t="n">
        <f aca="false">YEAR(B1274)</f>
        <v>2021</v>
      </c>
      <c r="P1274" s="54" t="n">
        <f aca="false">IF(AND(E1274&gt;=14400,K1274&gt;0,L1274&gt;0),1,0)</f>
        <v>1</v>
      </c>
      <c r="Q1274" s="53" t="n">
        <f aca="false">IF(P1274=1,F1274/E1274*MIN(L1274/K1274,1)*MIN(MAX(M1274/L1274,0),1),0)</f>
        <v>0.654215599758512</v>
      </c>
      <c r="R1274" s="55" t="n">
        <f aca="false">IF(F1274&gt;0,N1274/(F1274/3600),0)</f>
        <v>1.350978023653</v>
      </c>
    </row>
    <row r="1275" customFormat="false" ht="15" hidden="false" customHeight="false" outlineLevel="0" collapsed="false">
      <c r="A1275" s="0" t="s">
        <v>260</v>
      </c>
      <c r="B1275" s="52" t="n">
        <v>44307</v>
      </c>
      <c r="C1275" s="0" t="n">
        <v>79720.21</v>
      </c>
      <c r="D1275" s="0" t="n">
        <v>2328.313</v>
      </c>
      <c r="E1275" s="0" t="n">
        <v>77391.897</v>
      </c>
      <c r="F1275" s="0" t="n">
        <v>41090.58</v>
      </c>
      <c r="G1275" s="0" t="n">
        <v>39032.12</v>
      </c>
      <c r="H1275" s="0" t="n">
        <v>2058.46</v>
      </c>
      <c r="I1275" s="0" t="n">
        <v>3264.609</v>
      </c>
      <c r="J1275" s="0" t="n">
        <v>33036.708</v>
      </c>
      <c r="K1275" s="0" t="n">
        <v>45656.2</v>
      </c>
      <c r="L1275" s="0" t="n">
        <v>43322</v>
      </c>
      <c r="M1275" s="0" t="n">
        <v>43260</v>
      </c>
      <c r="N1275" s="0" t="n">
        <v>21</v>
      </c>
      <c r="O1275" s="54" t="n">
        <f aca="false">YEAR(B1275)</f>
        <v>2021</v>
      </c>
      <c r="P1275" s="54" t="n">
        <f aca="false">IF(AND(E1275&gt;=14400,K1275&gt;0,L1275&gt;0),1,0)</f>
        <v>1</v>
      </c>
      <c r="Q1275" s="53" t="n">
        <f aca="false">IF(P1275=1,F1275/E1275*MIN(L1275/K1275,1)*MIN(MAX(M1275/L1275,0),1),0)</f>
        <v>0.503075922793313</v>
      </c>
      <c r="R1275" s="55" t="n">
        <f aca="false">IF(F1275&gt;0,N1275/(F1275/3600),0)</f>
        <v>1.83983774383326</v>
      </c>
    </row>
    <row r="1276" customFormat="false" ht="15" hidden="false" customHeight="false" outlineLevel="0" collapsed="false">
      <c r="A1276" s="0" t="s">
        <v>260</v>
      </c>
      <c r="B1276" s="52" t="n">
        <v>44308</v>
      </c>
      <c r="C1276" s="0" t="n">
        <v>51276.053</v>
      </c>
      <c r="D1276" s="0" t="n">
        <v>9643.522</v>
      </c>
      <c r="E1276" s="0" t="n">
        <v>41632.531</v>
      </c>
      <c r="F1276" s="0" t="n">
        <v>25441.164</v>
      </c>
      <c r="G1276" s="0" t="n">
        <v>23650.166</v>
      </c>
      <c r="H1276" s="0" t="n">
        <v>1790.998</v>
      </c>
      <c r="I1276" s="0" t="n">
        <v>2014.149</v>
      </c>
      <c r="J1276" s="0" t="n">
        <v>14177.218</v>
      </c>
      <c r="K1276" s="0" t="n">
        <v>28267.96</v>
      </c>
      <c r="L1276" s="0" t="n">
        <v>26242</v>
      </c>
      <c r="M1276" s="0" t="n">
        <v>26222</v>
      </c>
      <c r="N1276" s="0" t="n">
        <v>14</v>
      </c>
      <c r="O1276" s="54" t="n">
        <f aca="false">YEAR(B1276)</f>
        <v>2021</v>
      </c>
      <c r="P1276" s="54" t="n">
        <f aca="false">IF(AND(E1276&gt;=14400,K1276&gt;0,L1276&gt;0),1,0)</f>
        <v>1</v>
      </c>
      <c r="Q1276" s="53" t="n">
        <f aca="false">IF(P1276=1,F1276/E1276*MIN(L1276/K1276,1)*MIN(MAX(M1276/L1276,0),1),0)</f>
        <v>0.566859603131023</v>
      </c>
      <c r="R1276" s="55" t="n">
        <f aca="false">IF(F1276&gt;0,N1276/(F1276/3600),0)</f>
        <v>1.98104143348158</v>
      </c>
    </row>
    <row r="1277" customFormat="false" ht="15" hidden="false" customHeight="false" outlineLevel="0" collapsed="false">
      <c r="A1277" s="0" t="s">
        <v>260</v>
      </c>
      <c r="B1277" s="52" t="n">
        <v>44309</v>
      </c>
      <c r="C1277" s="0" t="n">
        <v>81638.731</v>
      </c>
      <c r="D1277" s="0" t="n">
        <v>2005.938</v>
      </c>
      <c r="E1277" s="0" t="n">
        <v>79632.793</v>
      </c>
      <c r="F1277" s="0" t="n">
        <v>34630.281</v>
      </c>
      <c r="G1277" s="0" t="n">
        <v>32086.718</v>
      </c>
      <c r="H1277" s="0" t="n">
        <v>2543.563</v>
      </c>
      <c r="I1277" s="0" t="n">
        <v>2544.364</v>
      </c>
      <c r="J1277" s="0" t="n">
        <v>42458.148</v>
      </c>
      <c r="K1277" s="0" t="n">
        <v>38478.09</v>
      </c>
      <c r="L1277" s="0" t="n">
        <v>35631</v>
      </c>
      <c r="M1277" s="0" t="n">
        <v>35591</v>
      </c>
      <c r="N1277" s="0" t="n">
        <v>14</v>
      </c>
      <c r="O1277" s="54" t="n">
        <f aca="false">YEAR(B1277)</f>
        <v>2021</v>
      </c>
      <c r="P1277" s="54" t="n">
        <f aca="false">IF(AND(E1277&gt;=14400,K1277&gt;0,L1277&gt;0),1,0)</f>
        <v>1</v>
      </c>
      <c r="Q1277" s="53" t="n">
        <f aca="false">IF(P1277=1,F1277/E1277*MIN(L1277/K1277,1)*MIN(MAX(M1277/L1277,0),1),0)</f>
        <v>0.402245090160281</v>
      </c>
      <c r="R1277" s="55" t="n">
        <f aca="false">IF(F1277&gt;0,N1277/(F1277/3600),0)</f>
        <v>1.45537369448432</v>
      </c>
    </row>
    <row r="1278" customFormat="false" ht="15" hidden="false" customHeight="false" outlineLevel="0" collapsed="false">
      <c r="A1278" s="0" t="s">
        <v>260</v>
      </c>
      <c r="B1278" s="52" t="n">
        <v>44310</v>
      </c>
      <c r="C1278" s="0" t="n">
        <v>75242.174</v>
      </c>
      <c r="D1278" s="0" t="n">
        <v>752.537</v>
      </c>
      <c r="E1278" s="0" t="n">
        <v>74489.637</v>
      </c>
      <c r="F1278" s="0" t="n">
        <v>34118.148</v>
      </c>
      <c r="G1278" s="0" t="n">
        <v>31842.63</v>
      </c>
      <c r="H1278" s="0" t="n">
        <v>2275.518</v>
      </c>
      <c r="I1278" s="0" t="n">
        <v>26692.77</v>
      </c>
      <c r="J1278" s="0" t="n">
        <v>13678.719</v>
      </c>
      <c r="K1278" s="0" t="n">
        <v>37909.0533333333</v>
      </c>
      <c r="L1278" s="0" t="n">
        <v>35339</v>
      </c>
      <c r="M1278" s="0" t="n">
        <v>35267</v>
      </c>
      <c r="N1278" s="0" t="n">
        <v>12</v>
      </c>
      <c r="O1278" s="54" t="n">
        <f aca="false">YEAR(B1278)</f>
        <v>2021</v>
      </c>
      <c r="P1278" s="54" t="n">
        <f aca="false">IF(AND(E1278&gt;=14400,K1278&gt;0,L1278&gt;0),1,0)</f>
        <v>1</v>
      </c>
      <c r="Q1278" s="53" t="n">
        <f aca="false">IF(P1278=1,F1278/E1278*MIN(L1278/K1278,1)*MIN(MAX(M1278/L1278,0),1),0)</f>
        <v>0.426103566594102</v>
      </c>
      <c r="R1278" s="55" t="n">
        <f aca="false">IF(F1278&gt;0,N1278/(F1278/3600),0)</f>
        <v>1.26618830541447</v>
      </c>
    </row>
    <row r="1279" customFormat="false" ht="15" hidden="false" customHeight="false" outlineLevel="0" collapsed="false">
      <c r="A1279" s="0" t="s">
        <v>260</v>
      </c>
      <c r="B1279" s="52" t="n">
        <v>44311</v>
      </c>
      <c r="C1279" s="0" t="n">
        <v>87078.266</v>
      </c>
      <c r="D1279" s="0" t="n">
        <v>7244.5</v>
      </c>
      <c r="E1279" s="0" t="n">
        <v>79833.766</v>
      </c>
      <c r="F1279" s="0" t="n">
        <v>43080.745</v>
      </c>
      <c r="G1279" s="0" t="n">
        <v>40405.975</v>
      </c>
      <c r="H1279" s="0" t="n">
        <v>2674.77</v>
      </c>
      <c r="I1279" s="0" t="n">
        <v>4182.277</v>
      </c>
      <c r="J1279" s="0" t="n">
        <v>32570.744</v>
      </c>
      <c r="K1279" s="0" t="n">
        <v>47867.4944444445</v>
      </c>
      <c r="L1279" s="0" t="n">
        <v>44866</v>
      </c>
      <c r="M1279" s="0" t="n">
        <v>44825</v>
      </c>
      <c r="N1279" s="0" t="n">
        <v>23</v>
      </c>
      <c r="O1279" s="54" t="n">
        <f aca="false">YEAR(B1279)</f>
        <v>2021</v>
      </c>
      <c r="P1279" s="54" t="n">
        <f aca="false">IF(AND(E1279&gt;=14400,K1279&gt;0,L1279&gt;0),1,0)</f>
        <v>1</v>
      </c>
      <c r="Q1279" s="53" t="n">
        <f aca="false">IF(P1279=1,F1279/E1279*MIN(L1279/K1279,1)*MIN(MAX(M1279/L1279,0),1),0)</f>
        <v>0.505331290521858</v>
      </c>
      <c r="R1279" s="55" t="n">
        <f aca="false">IF(F1279&gt;0,N1279/(F1279/3600),0)</f>
        <v>1.92197233357965</v>
      </c>
    </row>
    <row r="1280" customFormat="false" ht="15" hidden="false" customHeight="false" outlineLevel="0" collapsed="false">
      <c r="A1280" s="0" t="s">
        <v>260</v>
      </c>
      <c r="B1280" s="52" t="n">
        <v>44312</v>
      </c>
      <c r="C1280" s="0" t="n">
        <v>68677.889</v>
      </c>
      <c r="D1280" s="0" t="n">
        <v>10162.536</v>
      </c>
      <c r="E1280" s="0" t="n">
        <v>58515.353</v>
      </c>
      <c r="F1280" s="0" t="n">
        <v>30429.189</v>
      </c>
      <c r="G1280" s="0" t="n">
        <v>26832.911</v>
      </c>
      <c r="H1280" s="0" t="n">
        <v>3596.278</v>
      </c>
      <c r="I1280" s="0" t="n">
        <v>2589.978</v>
      </c>
      <c r="J1280" s="0" t="n">
        <v>25496.186</v>
      </c>
      <c r="K1280" s="0" t="n">
        <v>33810.21</v>
      </c>
      <c r="L1280" s="0" t="n">
        <v>29801</v>
      </c>
      <c r="M1280" s="0" t="n">
        <v>29776</v>
      </c>
      <c r="N1280" s="0" t="n">
        <v>12</v>
      </c>
      <c r="O1280" s="54" t="n">
        <f aca="false">YEAR(B1280)</f>
        <v>2021</v>
      </c>
      <c r="P1280" s="54" t="n">
        <f aca="false">IF(AND(E1280&gt;=14400,K1280&gt;0,L1280&gt;0),1,0)</f>
        <v>1</v>
      </c>
      <c r="Q1280" s="53" t="n">
        <f aca="false">IF(P1280=1,F1280/E1280*MIN(L1280/K1280,1)*MIN(MAX(M1280/L1280,0),1),0)</f>
        <v>0.457972115454896</v>
      </c>
      <c r="R1280" s="55" t="n">
        <f aca="false">IF(F1280&gt;0,N1280/(F1280/3600),0)</f>
        <v>1.41968949616107</v>
      </c>
    </row>
    <row r="1281" customFormat="false" ht="15" hidden="false" customHeight="false" outlineLevel="0" collapsed="false">
      <c r="A1281" s="0" t="s">
        <v>260</v>
      </c>
      <c r="B1281" s="52" t="n">
        <v>44313</v>
      </c>
      <c r="C1281" s="0" t="n">
        <v>78682.39</v>
      </c>
      <c r="D1281" s="0" t="n">
        <v>11717.792</v>
      </c>
      <c r="E1281" s="0" t="n">
        <v>66964.598</v>
      </c>
      <c r="F1281" s="0" t="n">
        <v>40693.332</v>
      </c>
      <c r="G1281" s="0" t="n">
        <v>37588.045</v>
      </c>
      <c r="H1281" s="0" t="n">
        <v>3105.287</v>
      </c>
      <c r="I1281" s="0" t="n">
        <v>3080.289</v>
      </c>
      <c r="J1281" s="0" t="n">
        <v>23190.977</v>
      </c>
      <c r="K1281" s="0" t="n">
        <v>45214.8133333333</v>
      </c>
      <c r="L1281" s="0" t="n">
        <v>40721</v>
      </c>
      <c r="M1281" s="0" t="n">
        <v>40661</v>
      </c>
      <c r="N1281" s="0" t="n">
        <v>25</v>
      </c>
      <c r="O1281" s="54" t="n">
        <f aca="false">YEAR(B1281)</f>
        <v>2021</v>
      </c>
      <c r="P1281" s="54" t="n">
        <f aca="false">IF(AND(E1281&gt;=14400,K1281&gt;0,L1281&gt;0),1,0)</f>
        <v>1</v>
      </c>
      <c r="Q1281" s="53" t="n">
        <f aca="false">IF(P1281=1,F1281/E1281*MIN(L1281/K1281,1)*MIN(MAX(M1281/L1281,0),1),0)</f>
        <v>0.546481291502713</v>
      </c>
      <c r="R1281" s="55" t="n">
        <f aca="false">IF(F1281&gt;0,N1281/(F1281/3600),0)</f>
        <v>2.21166455477276</v>
      </c>
    </row>
    <row r="1282" customFormat="false" ht="15" hidden="false" customHeight="false" outlineLevel="0" collapsed="false">
      <c r="A1282" s="0" t="s">
        <v>260</v>
      </c>
      <c r="B1282" s="52" t="n">
        <v>44314</v>
      </c>
      <c r="C1282" s="0" t="n">
        <v>71058.028</v>
      </c>
      <c r="D1282" s="0" t="n">
        <v>7060.5</v>
      </c>
      <c r="E1282" s="0" t="n">
        <v>63997.528</v>
      </c>
      <c r="F1282" s="0" t="n">
        <v>36265.668</v>
      </c>
      <c r="G1282" s="0" t="n">
        <v>33559.533</v>
      </c>
      <c r="H1282" s="0" t="n">
        <v>2706.135</v>
      </c>
      <c r="I1282" s="0" t="n">
        <v>2620.404</v>
      </c>
      <c r="J1282" s="0" t="n">
        <v>25111.456</v>
      </c>
      <c r="K1282" s="0" t="n">
        <v>40295.1866666667</v>
      </c>
      <c r="L1282" s="0" t="n">
        <v>36242</v>
      </c>
      <c r="M1282" s="0" t="n">
        <v>36217</v>
      </c>
      <c r="N1282" s="0" t="n">
        <v>25</v>
      </c>
      <c r="O1282" s="54" t="n">
        <f aca="false">YEAR(B1282)</f>
        <v>2021</v>
      </c>
      <c r="P1282" s="54" t="n">
        <f aca="false">IF(AND(E1282&gt;=14400,K1282&gt;0,L1282&gt;0),1,0)</f>
        <v>1</v>
      </c>
      <c r="Q1282" s="53" t="n">
        <f aca="false">IF(P1282=1,F1282/E1282*MIN(L1282/K1282,1)*MIN(MAX(M1282/L1282,0),1),0)</f>
        <v>0.509321235032703</v>
      </c>
      <c r="R1282" s="55" t="n">
        <f aca="false">IF(F1282&gt;0,N1282/(F1282/3600),0)</f>
        <v>2.48168598466186</v>
      </c>
    </row>
    <row r="1283" customFormat="false" ht="15" hidden="false" customHeight="false" outlineLevel="0" collapsed="false">
      <c r="A1283" s="0" t="s">
        <v>260</v>
      </c>
      <c r="B1283" s="52" t="n">
        <v>44315</v>
      </c>
      <c r="C1283" s="0" t="n">
        <v>56397.151</v>
      </c>
      <c r="D1283" s="0" t="n">
        <v>7457.795</v>
      </c>
      <c r="E1283" s="0" t="n">
        <v>48939.356</v>
      </c>
      <c r="F1283" s="0" t="n">
        <v>30556.212</v>
      </c>
      <c r="G1283" s="0" t="n">
        <v>27351.157</v>
      </c>
      <c r="H1283" s="0" t="n">
        <v>3205.055</v>
      </c>
      <c r="I1283" s="0" t="n">
        <v>2960.724</v>
      </c>
      <c r="J1283" s="0" t="n">
        <v>15422.42</v>
      </c>
      <c r="K1283" s="0" t="n">
        <v>33951.3466666667</v>
      </c>
      <c r="L1283" s="0" t="n">
        <v>30347</v>
      </c>
      <c r="M1283" s="0" t="n">
        <v>30292</v>
      </c>
      <c r="N1283" s="0" t="n">
        <v>18</v>
      </c>
      <c r="O1283" s="54" t="n">
        <f aca="false">YEAR(B1283)</f>
        <v>2021</v>
      </c>
      <c r="P1283" s="54" t="n">
        <f aca="false">IF(AND(E1283&gt;=14400,K1283&gt;0,L1283&gt;0),1,0)</f>
        <v>1</v>
      </c>
      <c r="Q1283" s="53" t="n">
        <f aca="false">IF(P1283=1,F1283/E1283*MIN(L1283/K1283,1)*MIN(MAX(M1283/L1283,0),1),0)</f>
        <v>0.557073125359476</v>
      </c>
      <c r="R1283" s="55" t="n">
        <f aca="false">IF(F1283&gt;0,N1283/(F1283/3600),0)</f>
        <v>2.12068171277251</v>
      </c>
    </row>
    <row r="1284" customFormat="false" ht="15" hidden="false" customHeight="false" outlineLevel="0" collapsed="false">
      <c r="A1284" s="0" t="s">
        <v>260</v>
      </c>
      <c r="B1284" s="52" t="n">
        <v>44316</v>
      </c>
      <c r="C1284" s="0" t="n">
        <v>64587.939</v>
      </c>
      <c r="D1284" s="0" t="n">
        <v>8808.546</v>
      </c>
      <c r="E1284" s="0" t="n">
        <v>55779.393</v>
      </c>
      <c r="F1284" s="0" t="n">
        <v>32733.463</v>
      </c>
      <c r="G1284" s="0" t="n">
        <v>30982.254</v>
      </c>
      <c r="H1284" s="0" t="n">
        <v>1751.209</v>
      </c>
      <c r="I1284" s="0" t="n">
        <v>2152.305</v>
      </c>
      <c r="J1284" s="0" t="n">
        <v>20893.625</v>
      </c>
      <c r="K1284" s="0" t="n">
        <v>36370.5144444444</v>
      </c>
      <c r="L1284" s="0" t="n">
        <v>34401</v>
      </c>
      <c r="M1284" s="0" t="n">
        <v>34384</v>
      </c>
      <c r="N1284" s="0" t="n">
        <v>14</v>
      </c>
      <c r="O1284" s="54" t="n">
        <f aca="false">YEAR(B1284)</f>
        <v>2021</v>
      </c>
      <c r="P1284" s="54" t="n">
        <f aca="false">IF(AND(E1284&gt;=14400,K1284&gt;0,L1284&gt;0),1,0)</f>
        <v>1</v>
      </c>
      <c r="Q1284" s="53" t="n">
        <f aca="false">IF(P1284=1,F1284/E1284*MIN(L1284/K1284,1)*MIN(MAX(M1284/L1284,0),1),0)</f>
        <v>0.554785528053344</v>
      </c>
      <c r="R1284" s="55" t="n">
        <f aca="false">IF(F1284&gt;0,N1284/(F1284/3600),0)</f>
        <v>1.53970876836343</v>
      </c>
    </row>
    <row r="1285" customFormat="false" ht="15" hidden="false" customHeight="false" outlineLevel="0" collapsed="false">
      <c r="A1285" s="0" t="s">
        <v>260</v>
      </c>
      <c r="B1285" s="52" t="n">
        <v>44317</v>
      </c>
      <c r="C1285" s="0" t="n">
        <v>82921.226</v>
      </c>
      <c r="D1285" s="0" t="n">
        <v>9947.023</v>
      </c>
      <c r="E1285" s="0" t="n">
        <v>72974.203</v>
      </c>
      <c r="F1285" s="0" t="n">
        <v>38900.278</v>
      </c>
      <c r="G1285" s="0" t="n">
        <v>35376.89</v>
      </c>
      <c r="H1285" s="0" t="n">
        <v>3523.388</v>
      </c>
      <c r="I1285" s="0" t="n">
        <v>2705.906</v>
      </c>
      <c r="J1285" s="0" t="n">
        <v>31368.019</v>
      </c>
      <c r="K1285" s="0" t="n">
        <v>43222.5311111111</v>
      </c>
      <c r="L1285" s="0" t="n">
        <v>39290</v>
      </c>
      <c r="M1285" s="0" t="n">
        <v>39257</v>
      </c>
      <c r="N1285" s="0" t="n">
        <v>14</v>
      </c>
      <c r="O1285" s="54" t="n">
        <f aca="false">YEAR(B1285)</f>
        <v>2021</v>
      </c>
      <c r="P1285" s="54" t="n">
        <f aca="false">IF(AND(E1285&gt;=14400,K1285&gt;0,L1285&gt;0),1,0)</f>
        <v>1</v>
      </c>
      <c r="Q1285" s="53" t="n">
        <f aca="false">IF(P1285=1,F1285/E1285*MIN(L1285/K1285,1)*MIN(MAX(M1285/L1285,0),1),0)</f>
        <v>0.484161505676191</v>
      </c>
      <c r="R1285" s="55" t="n">
        <f aca="false">IF(F1285&gt;0,N1285/(F1285/3600),0)</f>
        <v>1.29562056086077</v>
      </c>
    </row>
    <row r="1286" customFormat="false" ht="15" hidden="false" customHeight="false" outlineLevel="0" collapsed="false">
      <c r="A1286" s="0" t="s">
        <v>260</v>
      </c>
      <c r="B1286" s="52" t="n">
        <v>44318</v>
      </c>
      <c r="C1286" s="0" t="n">
        <v>89627.351</v>
      </c>
      <c r="D1286" s="0" t="n">
        <v>8273.154</v>
      </c>
      <c r="E1286" s="0" t="n">
        <v>81354.197</v>
      </c>
      <c r="F1286" s="0" t="n">
        <v>39797.887</v>
      </c>
      <c r="G1286" s="0" t="n">
        <v>36124.427</v>
      </c>
      <c r="H1286" s="0" t="n">
        <v>3673.46</v>
      </c>
      <c r="I1286" s="0" t="n">
        <v>4158.139</v>
      </c>
      <c r="J1286" s="0" t="n">
        <v>37398.171</v>
      </c>
      <c r="K1286" s="0" t="n">
        <v>44219.8744444445</v>
      </c>
      <c r="L1286" s="0" t="n">
        <v>40033</v>
      </c>
      <c r="M1286" s="0" t="n">
        <v>39935</v>
      </c>
      <c r="N1286" s="0" t="n">
        <v>38</v>
      </c>
      <c r="O1286" s="54" t="n">
        <f aca="false">YEAR(B1286)</f>
        <v>2021</v>
      </c>
      <c r="P1286" s="54" t="n">
        <f aca="false">IF(AND(E1286&gt;=14400,K1286&gt;0,L1286&gt;0),1,0)</f>
        <v>1</v>
      </c>
      <c r="Q1286" s="53" t="n">
        <f aca="false">IF(P1286=1,F1286/E1286*MIN(L1286/K1286,1)*MIN(MAX(M1286/L1286,0),1),0)</f>
        <v>0.441790360244106</v>
      </c>
      <c r="R1286" s="55" t="n">
        <f aca="false">IF(F1286&gt;0,N1286/(F1286/3600),0)</f>
        <v>3.43736842109231</v>
      </c>
    </row>
    <row r="1287" customFormat="false" ht="15" hidden="false" customHeight="false" outlineLevel="0" collapsed="false">
      <c r="A1287" s="0" t="s">
        <v>260</v>
      </c>
      <c r="B1287" s="52" t="n">
        <v>44319</v>
      </c>
      <c r="C1287" s="0" t="n">
        <v>80226.338</v>
      </c>
      <c r="D1287" s="0" t="n">
        <v>8006.217</v>
      </c>
      <c r="E1287" s="0" t="n">
        <v>72220.121</v>
      </c>
      <c r="F1287" s="0" t="n">
        <v>37059.991</v>
      </c>
      <c r="G1287" s="0" t="n">
        <v>32430.164</v>
      </c>
      <c r="H1287" s="0" t="n">
        <v>4629.827</v>
      </c>
      <c r="I1287" s="0" t="n">
        <v>3410.036</v>
      </c>
      <c r="J1287" s="0" t="n">
        <v>31750.094</v>
      </c>
      <c r="K1287" s="0" t="n">
        <v>41177.7677777778</v>
      </c>
      <c r="L1287" s="0" t="n">
        <v>34958</v>
      </c>
      <c r="M1287" s="0" t="n">
        <v>34869</v>
      </c>
      <c r="N1287" s="0" t="n">
        <v>21</v>
      </c>
      <c r="O1287" s="54" t="n">
        <f aca="false">YEAR(B1287)</f>
        <v>2021</v>
      </c>
      <c r="P1287" s="54" t="n">
        <f aca="false">IF(AND(E1287&gt;=14400,K1287&gt;0,L1287&gt;0),1,0)</f>
        <v>1</v>
      </c>
      <c r="Q1287" s="53" t="n">
        <f aca="false">IF(P1287=1,F1287/E1287*MIN(L1287/K1287,1)*MIN(MAX(M1287/L1287,0),1),0)</f>
        <v>0.434534026881511</v>
      </c>
      <c r="R1287" s="55" t="n">
        <f aca="false">IF(F1287&gt;0,N1287/(F1287/3600),0)</f>
        <v>2.03993573554834</v>
      </c>
    </row>
    <row r="1288" customFormat="false" ht="15" hidden="false" customHeight="false" outlineLevel="0" collapsed="false">
      <c r="A1288" s="0" t="s">
        <v>260</v>
      </c>
      <c r="B1288" s="52" t="n">
        <v>44320</v>
      </c>
      <c r="C1288" s="0" t="n">
        <v>90485.673</v>
      </c>
      <c r="D1288" s="0" t="n">
        <v>3534.668</v>
      </c>
      <c r="E1288" s="0" t="n">
        <v>86951.005</v>
      </c>
      <c r="F1288" s="0" t="n">
        <v>37531.414</v>
      </c>
      <c r="G1288" s="0" t="n">
        <v>33750.2</v>
      </c>
      <c r="H1288" s="0" t="n">
        <v>3781.214</v>
      </c>
      <c r="I1288" s="0" t="n">
        <v>3664.817</v>
      </c>
      <c r="J1288" s="0" t="n">
        <v>45754.774</v>
      </c>
      <c r="K1288" s="0" t="n">
        <v>41701.5711111111</v>
      </c>
      <c r="L1288" s="0" t="n">
        <v>37441</v>
      </c>
      <c r="M1288" s="0" t="n">
        <v>37408</v>
      </c>
      <c r="N1288" s="0" t="n">
        <v>30</v>
      </c>
      <c r="O1288" s="54" t="n">
        <f aca="false">YEAR(B1288)</f>
        <v>2021</v>
      </c>
      <c r="P1288" s="54" t="n">
        <f aca="false">IF(AND(E1288&gt;=14400,K1288&gt;0,L1288&gt;0),1,0)</f>
        <v>1</v>
      </c>
      <c r="Q1288" s="53" t="n">
        <f aca="false">IF(P1288=1,F1288/E1288*MIN(L1288/K1288,1)*MIN(MAX(M1288/L1288,0),1),0)</f>
        <v>0.387197364768814</v>
      </c>
      <c r="R1288" s="55" t="n">
        <f aca="false">IF(F1288&gt;0,N1288/(F1288/3600),0)</f>
        <v>2.87758942415546</v>
      </c>
    </row>
    <row r="1289" customFormat="false" ht="15" hidden="false" customHeight="false" outlineLevel="0" collapsed="false">
      <c r="A1289" s="0" t="s">
        <v>260</v>
      </c>
      <c r="B1289" s="52" t="n">
        <v>44321</v>
      </c>
      <c r="C1289" s="0" t="n">
        <v>76788.181</v>
      </c>
      <c r="D1289" s="0" t="n">
        <v>12535.839</v>
      </c>
      <c r="E1289" s="0" t="n">
        <v>64252.342</v>
      </c>
      <c r="F1289" s="0" t="n">
        <v>35907.922</v>
      </c>
      <c r="G1289" s="0" t="n">
        <v>33406.138</v>
      </c>
      <c r="H1289" s="0" t="n">
        <v>2501.784</v>
      </c>
      <c r="I1289" s="0" t="n">
        <v>1419.967</v>
      </c>
      <c r="J1289" s="0" t="n">
        <v>26924.453</v>
      </c>
      <c r="K1289" s="0" t="n">
        <v>39897.6911111111</v>
      </c>
      <c r="L1289" s="0" t="n">
        <v>36090</v>
      </c>
      <c r="M1289" s="0" t="n">
        <v>36057</v>
      </c>
      <c r="N1289" s="0" t="n">
        <v>11</v>
      </c>
      <c r="O1289" s="54" t="n">
        <f aca="false">YEAR(B1289)</f>
        <v>2021</v>
      </c>
      <c r="P1289" s="54" t="n">
        <f aca="false">IF(AND(E1289&gt;=14400,K1289&gt;0,L1289&gt;0),1,0)</f>
        <v>1</v>
      </c>
      <c r="Q1289" s="53" t="n">
        <f aca="false">IF(P1289=1,F1289/E1289*MIN(L1289/K1289,1)*MIN(MAX(M1289/L1289,0),1),0)</f>
        <v>0.505060189090072</v>
      </c>
      <c r="R1289" s="55" t="n">
        <f aca="false">IF(F1289&gt;0,N1289/(F1289/3600),0)</f>
        <v>1.10282070903463</v>
      </c>
    </row>
    <row r="1290" customFormat="false" ht="15" hidden="false" customHeight="false" outlineLevel="0" collapsed="false">
      <c r="A1290" s="0" t="s">
        <v>260</v>
      </c>
      <c r="B1290" s="52" t="n">
        <v>44322</v>
      </c>
      <c r="C1290" s="0" t="n">
        <v>77049.156</v>
      </c>
      <c r="D1290" s="0" t="n">
        <v>2826.048</v>
      </c>
      <c r="E1290" s="0" t="n">
        <v>74223.108</v>
      </c>
      <c r="F1290" s="0" t="n">
        <v>36240.973</v>
      </c>
      <c r="G1290" s="0" t="n">
        <v>34857.812</v>
      </c>
      <c r="H1290" s="0" t="n">
        <v>1383.161</v>
      </c>
      <c r="I1290" s="0" t="n">
        <v>3712.963</v>
      </c>
      <c r="J1290" s="0" t="n">
        <v>34269.172</v>
      </c>
      <c r="K1290" s="0" t="n">
        <v>40267.7477777778</v>
      </c>
      <c r="L1290" s="0" t="n">
        <v>38675</v>
      </c>
      <c r="M1290" s="0" t="n">
        <v>38641</v>
      </c>
      <c r="N1290" s="0" t="n">
        <v>14</v>
      </c>
      <c r="O1290" s="54" t="n">
        <f aca="false">YEAR(B1290)</f>
        <v>2021</v>
      </c>
      <c r="P1290" s="54" t="n">
        <f aca="false">IF(AND(E1290&gt;=14400,K1290&gt;0,L1290&gt;0),1,0)</f>
        <v>1</v>
      </c>
      <c r="Q1290" s="53" t="n">
        <f aca="false">IF(P1290=1,F1290/E1290*MIN(L1290/K1290,1)*MIN(MAX(M1290/L1290,0),1),0)</f>
        <v>0.468545456220993</v>
      </c>
      <c r="R1290" s="55" t="n">
        <f aca="false">IF(F1290&gt;0,N1290/(F1290/3600),0)</f>
        <v>1.3906911384526</v>
      </c>
    </row>
    <row r="1291" customFormat="false" ht="15" hidden="false" customHeight="false" outlineLevel="0" collapsed="false">
      <c r="A1291" s="0" t="s">
        <v>260</v>
      </c>
      <c r="B1291" s="52" t="n">
        <v>44323</v>
      </c>
      <c r="C1291" s="0" t="n">
        <v>77604.326</v>
      </c>
      <c r="D1291" s="0" t="n">
        <v>2053.197</v>
      </c>
      <c r="E1291" s="0" t="n">
        <v>75551.129</v>
      </c>
      <c r="F1291" s="0" t="n">
        <v>30072.404</v>
      </c>
      <c r="G1291" s="0" t="n">
        <v>28130.848</v>
      </c>
      <c r="H1291" s="0" t="n">
        <v>1941.556</v>
      </c>
      <c r="I1291" s="0" t="n">
        <v>3494.676</v>
      </c>
      <c r="J1291" s="0" t="n">
        <v>41984.049</v>
      </c>
      <c r="K1291" s="0" t="n">
        <v>33413.7822222222</v>
      </c>
      <c r="L1291" s="0" t="n">
        <v>31211</v>
      </c>
      <c r="M1291" s="0" t="n">
        <v>31161</v>
      </c>
      <c r="N1291" s="0" t="n">
        <v>14</v>
      </c>
      <c r="O1291" s="54" t="n">
        <f aca="false">YEAR(B1291)</f>
        <v>2021</v>
      </c>
      <c r="P1291" s="54" t="n">
        <f aca="false">IF(AND(E1291&gt;=14400,K1291&gt;0,L1291&gt;0),1,0)</f>
        <v>1</v>
      </c>
      <c r="Q1291" s="53" t="n">
        <f aca="false">IF(P1291=1,F1291/E1291*MIN(L1291/K1291,1)*MIN(MAX(M1291/L1291,0),1),0)</f>
        <v>0.371204247655915</v>
      </c>
      <c r="R1291" s="55" t="n">
        <f aca="false">IF(F1291&gt;0,N1291/(F1291/3600),0)</f>
        <v>1.67595513813927</v>
      </c>
    </row>
    <row r="1292" customFormat="false" ht="15" hidden="false" customHeight="false" outlineLevel="0" collapsed="false">
      <c r="A1292" s="0" t="s">
        <v>260</v>
      </c>
      <c r="B1292" s="52" t="n">
        <v>44324</v>
      </c>
      <c r="C1292" s="0" t="n">
        <v>63197.52</v>
      </c>
      <c r="D1292" s="0" t="n">
        <v>503.448</v>
      </c>
      <c r="E1292" s="0" t="n">
        <v>62694.072</v>
      </c>
      <c r="F1292" s="0" t="n">
        <v>29760.565</v>
      </c>
      <c r="G1292" s="0" t="n">
        <v>26546.838</v>
      </c>
      <c r="H1292" s="0" t="n">
        <v>3213.727</v>
      </c>
      <c r="I1292" s="0" t="n">
        <v>24191.568</v>
      </c>
      <c r="J1292" s="0" t="n">
        <v>8741.939</v>
      </c>
      <c r="K1292" s="0" t="n">
        <v>33067.2944444444</v>
      </c>
      <c r="L1292" s="0" t="n">
        <v>29482</v>
      </c>
      <c r="M1292" s="0" t="n">
        <v>29461</v>
      </c>
      <c r="N1292" s="0" t="n">
        <v>16</v>
      </c>
      <c r="O1292" s="54" t="n">
        <f aca="false">YEAR(B1292)</f>
        <v>2021</v>
      </c>
      <c r="P1292" s="54" t="n">
        <f aca="false">IF(AND(E1292&gt;=14400,K1292&gt;0,L1292&gt;0),1,0)</f>
        <v>1</v>
      </c>
      <c r="Q1292" s="53" t="n">
        <f aca="false">IF(P1292=1,F1292/E1292*MIN(L1292/K1292,1)*MIN(MAX(M1292/L1292,0),1),0)</f>
        <v>0.422925153114955</v>
      </c>
      <c r="R1292" s="55" t="n">
        <f aca="false">IF(F1292&gt;0,N1292/(F1292/3600),0)</f>
        <v>1.93544712608783</v>
      </c>
    </row>
    <row r="1293" customFormat="false" ht="15" hidden="false" customHeight="false" outlineLevel="0" collapsed="false">
      <c r="A1293" s="0" t="s">
        <v>260</v>
      </c>
      <c r="B1293" s="52" t="n">
        <v>44325</v>
      </c>
      <c r="C1293" s="0" t="n">
        <v>80233.79</v>
      </c>
      <c r="D1293" s="0" t="n">
        <v>1935.39</v>
      </c>
      <c r="E1293" s="0" t="n">
        <v>78298.4</v>
      </c>
      <c r="F1293" s="0" t="n">
        <v>39358.537</v>
      </c>
      <c r="G1293" s="0" t="n">
        <v>34662.058</v>
      </c>
      <c r="H1293" s="0" t="n">
        <v>4696.479</v>
      </c>
      <c r="I1293" s="0" t="n">
        <v>3653.404</v>
      </c>
      <c r="J1293" s="0" t="n">
        <v>35286.459</v>
      </c>
      <c r="K1293" s="0" t="n">
        <v>43731.7077777778</v>
      </c>
      <c r="L1293" s="0" t="n">
        <v>38403</v>
      </c>
      <c r="M1293" s="0" t="n">
        <v>38318</v>
      </c>
      <c r="N1293" s="0" t="n">
        <v>27</v>
      </c>
      <c r="O1293" s="54" t="n">
        <f aca="false">YEAR(B1293)</f>
        <v>2021</v>
      </c>
      <c r="P1293" s="54" t="n">
        <f aca="false">IF(AND(E1293&gt;=14400,K1293&gt;0,L1293&gt;0),1,0)</f>
        <v>1</v>
      </c>
      <c r="Q1293" s="53" t="n">
        <f aca="false">IF(P1293=1,F1293/E1293*MIN(L1293/K1293,1)*MIN(MAX(M1293/L1293,0),1),0)</f>
        <v>0.440445781778427</v>
      </c>
      <c r="R1293" s="55" t="n">
        <f aca="false">IF(F1293&gt;0,N1293/(F1293/3600),0)</f>
        <v>2.46960398959951</v>
      </c>
    </row>
    <row r="1294" customFormat="false" ht="15" hidden="false" customHeight="false" outlineLevel="0" collapsed="false">
      <c r="A1294" s="0" t="s">
        <v>260</v>
      </c>
      <c r="B1294" s="52" t="n">
        <v>44326</v>
      </c>
      <c r="C1294" s="0" t="n">
        <v>57879.017</v>
      </c>
      <c r="D1294" s="0" t="n">
        <v>12734.004</v>
      </c>
      <c r="E1294" s="0" t="n">
        <v>45145.013</v>
      </c>
      <c r="F1294" s="0" t="n">
        <v>26291.612</v>
      </c>
      <c r="G1294" s="0" t="n">
        <v>24630.96</v>
      </c>
      <c r="H1294" s="0" t="n">
        <v>1660.652</v>
      </c>
      <c r="I1294" s="0" t="n">
        <v>3027.437</v>
      </c>
      <c r="J1294" s="0" t="n">
        <v>15825.964</v>
      </c>
      <c r="K1294" s="0" t="n">
        <v>29212.9022222222</v>
      </c>
      <c r="L1294" s="0" t="n">
        <v>27309</v>
      </c>
      <c r="M1294" s="0" t="n">
        <v>27293</v>
      </c>
      <c r="N1294" s="0" t="n">
        <v>25</v>
      </c>
      <c r="O1294" s="54" t="n">
        <f aca="false">YEAR(B1294)</f>
        <v>2021</v>
      </c>
      <c r="P1294" s="54" t="n">
        <f aca="false">IF(AND(E1294&gt;=14400,K1294&gt;0,L1294&gt;0),1,0)</f>
        <v>1</v>
      </c>
      <c r="Q1294" s="53" t="n">
        <f aca="false">IF(P1294=1,F1294/E1294*MIN(L1294/K1294,1)*MIN(MAX(M1294/L1294,0),1),0)</f>
        <v>0.54410661040235</v>
      </c>
      <c r="R1294" s="55" t="n">
        <f aca="false">IF(F1294&gt;0,N1294/(F1294/3600),0)</f>
        <v>3.4231449939243</v>
      </c>
    </row>
    <row r="1295" customFormat="false" ht="15" hidden="false" customHeight="false" outlineLevel="0" collapsed="false">
      <c r="A1295" s="0" t="s">
        <v>260</v>
      </c>
      <c r="B1295" s="52" t="n">
        <v>44327</v>
      </c>
      <c r="C1295" s="0" t="n">
        <v>82981.004</v>
      </c>
      <c r="D1295" s="0" t="n">
        <v>12623.931</v>
      </c>
      <c r="E1295" s="0" t="n">
        <v>70357.073</v>
      </c>
      <c r="F1295" s="0" t="n">
        <v>38211.03</v>
      </c>
      <c r="G1295" s="0" t="n">
        <v>36395.511</v>
      </c>
      <c r="H1295" s="0" t="n">
        <v>1815.519</v>
      </c>
      <c r="I1295" s="0" t="n">
        <v>3352.947</v>
      </c>
      <c r="J1295" s="0" t="n">
        <v>28793.096</v>
      </c>
      <c r="K1295" s="0" t="n">
        <v>42456.7</v>
      </c>
      <c r="L1295" s="0" t="n">
        <v>40410</v>
      </c>
      <c r="M1295" s="0" t="n">
        <v>40370</v>
      </c>
      <c r="N1295" s="0" t="n">
        <v>15</v>
      </c>
      <c r="O1295" s="54" t="n">
        <f aca="false">YEAR(B1295)</f>
        <v>2021</v>
      </c>
      <c r="P1295" s="54" t="n">
        <f aca="false">IF(AND(E1295&gt;=14400,K1295&gt;0,L1295&gt;0),1,0)</f>
        <v>1</v>
      </c>
      <c r="Q1295" s="53" t="n">
        <f aca="false">IF(P1295=1,F1295/E1295*MIN(L1295/K1295,1)*MIN(MAX(M1295/L1295,0),1),0)</f>
        <v>0.516408634566137</v>
      </c>
      <c r="R1295" s="55" t="n">
        <f aca="false">IF(F1295&gt;0,N1295/(F1295/3600),0)</f>
        <v>1.41320451189094</v>
      </c>
    </row>
    <row r="1296" customFormat="false" ht="15" hidden="false" customHeight="false" outlineLevel="0" collapsed="false">
      <c r="A1296" s="0" t="s">
        <v>260</v>
      </c>
      <c r="B1296" s="52" t="n">
        <v>44328</v>
      </c>
      <c r="C1296" s="0" t="n">
        <v>62360.243</v>
      </c>
      <c r="D1296" s="0" t="n">
        <v>2348.807</v>
      </c>
      <c r="E1296" s="0" t="n">
        <v>60011.436</v>
      </c>
      <c r="F1296" s="0" t="n">
        <v>30642.579</v>
      </c>
      <c r="G1296" s="0" t="n">
        <v>28743.062</v>
      </c>
      <c r="H1296" s="0" t="n">
        <v>1899.517</v>
      </c>
      <c r="I1296" s="0" t="n">
        <v>2614.79</v>
      </c>
      <c r="J1296" s="0" t="n">
        <v>26754.067</v>
      </c>
      <c r="K1296" s="0" t="n">
        <v>34047.31</v>
      </c>
      <c r="L1296" s="0" t="n">
        <v>31905</v>
      </c>
      <c r="M1296" s="0" t="n">
        <v>31888</v>
      </c>
      <c r="N1296" s="0" t="n">
        <v>16</v>
      </c>
      <c r="O1296" s="54" t="n">
        <f aca="false">YEAR(B1296)</f>
        <v>2021</v>
      </c>
      <c r="P1296" s="54" t="n">
        <f aca="false">IF(AND(E1296&gt;=14400,K1296&gt;0,L1296&gt;0),1,0)</f>
        <v>1</v>
      </c>
      <c r="Q1296" s="53" t="n">
        <f aca="false">IF(P1296=1,F1296/E1296*MIN(L1296/K1296,1)*MIN(MAX(M1296/L1296,0),1),0)</f>
        <v>0.47822884958127</v>
      </c>
      <c r="R1296" s="55" t="n">
        <f aca="false">IF(F1296&gt;0,N1296/(F1296/3600),0)</f>
        <v>1.87973734195154</v>
      </c>
    </row>
    <row r="1297" customFormat="false" ht="15" hidden="false" customHeight="false" outlineLevel="0" collapsed="false">
      <c r="A1297" s="0" t="s">
        <v>260</v>
      </c>
      <c r="B1297" s="52" t="n">
        <v>44329</v>
      </c>
      <c r="C1297" s="0" t="n">
        <v>83135.517</v>
      </c>
      <c r="D1297" s="0" t="n">
        <v>8408.894</v>
      </c>
      <c r="E1297" s="0" t="n">
        <v>74726.623</v>
      </c>
      <c r="F1297" s="0" t="n">
        <v>41226.941</v>
      </c>
      <c r="G1297" s="0" t="n">
        <v>30827.965</v>
      </c>
      <c r="H1297" s="0" t="n">
        <v>10398.976</v>
      </c>
      <c r="I1297" s="0" t="n">
        <v>3358.652</v>
      </c>
      <c r="J1297" s="0" t="n">
        <v>30141.03</v>
      </c>
      <c r="K1297" s="0" t="n">
        <v>45163.1202777778</v>
      </c>
      <c r="L1297" s="0" t="n">
        <v>33487</v>
      </c>
      <c r="M1297" s="0" t="n">
        <v>33406</v>
      </c>
      <c r="N1297" s="0" t="n">
        <v>16</v>
      </c>
      <c r="O1297" s="54" t="n">
        <f aca="false">YEAR(B1297)</f>
        <v>2021</v>
      </c>
      <c r="P1297" s="54" t="n">
        <f aca="false">IF(AND(E1297&gt;=14400,K1297&gt;0,L1297&gt;0),1,0)</f>
        <v>1</v>
      </c>
      <c r="Q1297" s="53" t="n">
        <f aca="false">IF(P1297=1,F1297/E1297*MIN(L1297/K1297,1)*MIN(MAX(M1297/L1297,0),1),0)</f>
        <v>0.408080923097011</v>
      </c>
      <c r="R1297" s="55" t="n">
        <f aca="false">IF(F1297&gt;0,N1297/(F1297/3600),0)</f>
        <v>1.3971446486898</v>
      </c>
    </row>
    <row r="1298" customFormat="false" ht="15" hidden="false" customHeight="false" outlineLevel="0" collapsed="false">
      <c r="A1298" s="0" t="s">
        <v>260</v>
      </c>
      <c r="B1298" s="52" t="n">
        <v>44330</v>
      </c>
      <c r="C1298" s="0" t="n">
        <v>62223.025</v>
      </c>
      <c r="D1298" s="0" t="n">
        <v>0</v>
      </c>
      <c r="E1298" s="0" t="n">
        <v>62223.025</v>
      </c>
      <c r="F1298" s="0" t="n">
        <v>26367.209</v>
      </c>
      <c r="G1298" s="0" t="n">
        <v>23491.395</v>
      </c>
      <c r="H1298" s="0" t="n">
        <v>2875.814</v>
      </c>
      <c r="I1298" s="0" t="n">
        <v>35124.502</v>
      </c>
      <c r="J1298" s="0" t="n">
        <v>731.314</v>
      </c>
      <c r="K1298" s="0" t="n">
        <v>27535.8343055556</v>
      </c>
      <c r="L1298" s="0" t="n">
        <v>24408</v>
      </c>
      <c r="M1298" s="0" t="n">
        <v>24308</v>
      </c>
      <c r="N1298" s="0" t="n">
        <v>19</v>
      </c>
      <c r="O1298" s="54" t="n">
        <f aca="false">YEAR(B1298)</f>
        <v>2021</v>
      </c>
      <c r="P1298" s="54" t="n">
        <f aca="false">IF(AND(E1298&gt;=14400,K1298&gt;0,L1298&gt;0),1,0)</f>
        <v>1</v>
      </c>
      <c r="Q1298" s="53" t="n">
        <f aca="false">IF(P1298=1,F1298/E1298*MIN(L1298/K1298,1)*MIN(MAX(M1298/L1298,0),1),0)</f>
        <v>0.374079603323654</v>
      </c>
      <c r="R1298" s="55" t="n">
        <f aca="false">IF(F1298&gt;0,N1298/(F1298/3600),0)</f>
        <v>2.59413121805952</v>
      </c>
    </row>
    <row r="1299" customFormat="false" ht="15" hidden="false" customHeight="false" outlineLevel="0" collapsed="false">
      <c r="A1299" s="0" t="s">
        <v>260</v>
      </c>
      <c r="B1299" s="52" t="n">
        <v>44331</v>
      </c>
      <c r="C1299" s="0" t="n">
        <v>50046.58</v>
      </c>
      <c r="D1299" s="0" t="n">
        <v>8892.489</v>
      </c>
      <c r="E1299" s="0" t="n">
        <v>41154.091</v>
      </c>
      <c r="F1299" s="0" t="n">
        <v>23659.164</v>
      </c>
      <c r="G1299" s="0" t="n">
        <v>21813.973</v>
      </c>
      <c r="H1299" s="0" t="n">
        <v>1845.191</v>
      </c>
      <c r="I1299" s="0" t="n">
        <v>2803.204</v>
      </c>
      <c r="J1299" s="0" t="n">
        <v>14691.723</v>
      </c>
      <c r="K1299" s="0" t="n">
        <v>25019.9139583333</v>
      </c>
      <c r="L1299" s="0" t="n">
        <v>22990</v>
      </c>
      <c r="M1299" s="0" t="n">
        <v>22940</v>
      </c>
      <c r="N1299" s="0" t="n">
        <v>19</v>
      </c>
      <c r="O1299" s="54" t="n">
        <f aca="false">YEAR(B1299)</f>
        <v>2021</v>
      </c>
      <c r="P1299" s="54" t="n">
        <f aca="false">IF(AND(E1299&gt;=14400,K1299&gt;0,L1299&gt;0),1,0)</f>
        <v>1</v>
      </c>
      <c r="Q1299" s="53" t="n">
        <f aca="false">IF(P1299=1,F1299/E1299*MIN(L1299/K1299,1)*MIN(MAX(M1299/L1299,0),1),0)</f>
        <v>0.527101173212322</v>
      </c>
      <c r="R1299" s="55" t="n">
        <f aca="false">IF(F1299&gt;0,N1299/(F1299/3600),0)</f>
        <v>2.8910573509698</v>
      </c>
    </row>
    <row r="1300" customFormat="false" ht="15" hidden="false" customHeight="false" outlineLevel="0" collapsed="false">
      <c r="A1300" s="0" t="s">
        <v>260</v>
      </c>
      <c r="B1300" s="52" t="n">
        <v>44332</v>
      </c>
      <c r="C1300" s="0" t="n">
        <v>83406.649</v>
      </c>
      <c r="D1300" s="0" t="n">
        <v>2228.698</v>
      </c>
      <c r="E1300" s="0" t="n">
        <v>81177.951</v>
      </c>
      <c r="F1300" s="0" t="n">
        <v>43423.256</v>
      </c>
      <c r="G1300" s="0" t="n">
        <v>37001.672</v>
      </c>
      <c r="H1300" s="0" t="n">
        <v>6421.584</v>
      </c>
      <c r="I1300" s="0" t="n">
        <v>3869.956</v>
      </c>
      <c r="J1300" s="0" t="n">
        <v>33884.739</v>
      </c>
      <c r="K1300" s="0" t="n">
        <v>45311.9879166667</v>
      </c>
      <c r="L1300" s="0" t="n">
        <v>38424</v>
      </c>
      <c r="M1300" s="0" t="n">
        <v>38313</v>
      </c>
      <c r="N1300" s="0" t="n">
        <v>34</v>
      </c>
      <c r="O1300" s="54" t="n">
        <f aca="false">YEAR(B1300)</f>
        <v>2021</v>
      </c>
      <c r="P1300" s="54" t="n">
        <f aca="false">IF(AND(E1300&gt;=14400,K1300&gt;0,L1300&gt;0),1,0)</f>
        <v>1</v>
      </c>
      <c r="Q1300" s="53" t="n">
        <f aca="false">IF(P1300=1,F1300/E1300*MIN(L1300/K1300,1)*MIN(MAX(M1300/L1300,0),1),0)</f>
        <v>0.452290372678464</v>
      </c>
      <c r="R1300" s="55" t="n">
        <f aca="false">IF(F1300&gt;0,N1300/(F1300/3600),0)</f>
        <v>2.81876605476107</v>
      </c>
    </row>
    <row r="1301" customFormat="false" ht="15" hidden="false" customHeight="false" outlineLevel="0" collapsed="false">
      <c r="A1301" s="0" t="s">
        <v>260</v>
      </c>
      <c r="B1301" s="52" t="n">
        <v>44333</v>
      </c>
      <c r="C1301" s="0" t="n">
        <v>89904.101</v>
      </c>
      <c r="D1301" s="0" t="n">
        <v>7760.206</v>
      </c>
      <c r="E1301" s="0" t="n">
        <v>82143.895</v>
      </c>
      <c r="F1301" s="0" t="n">
        <v>51643.061</v>
      </c>
      <c r="G1301" s="0" t="n">
        <v>42892.074</v>
      </c>
      <c r="H1301" s="0" t="n">
        <v>8750.987</v>
      </c>
      <c r="I1301" s="0" t="n">
        <v>2894.42</v>
      </c>
      <c r="J1301" s="0" t="n">
        <v>27606.414</v>
      </c>
      <c r="K1301" s="0" t="n">
        <v>54192.1820833333</v>
      </c>
      <c r="L1301" s="0" t="n">
        <v>44978</v>
      </c>
      <c r="M1301" s="0" t="n">
        <v>44910</v>
      </c>
      <c r="N1301" s="0" t="n">
        <v>21</v>
      </c>
      <c r="O1301" s="54" t="n">
        <f aca="false">YEAR(B1301)</f>
        <v>2021</v>
      </c>
      <c r="P1301" s="54" t="n">
        <f aca="false">IF(AND(E1301&gt;=14400,K1301&gt;0,L1301&gt;0),1,0)</f>
        <v>1</v>
      </c>
      <c r="Q1301" s="53" t="n">
        <f aca="false">IF(P1301=1,F1301/E1301*MIN(L1301/K1301,1)*MIN(MAX(M1301/L1301,0),1),0)</f>
        <v>0.521006450970095</v>
      </c>
      <c r="R1301" s="55" t="n">
        <f aca="false">IF(F1301&gt;0,N1301/(F1301/3600),0)</f>
        <v>1.46389463629973</v>
      </c>
    </row>
    <row r="1302" customFormat="false" ht="15" hidden="false" customHeight="false" outlineLevel="0" collapsed="false">
      <c r="A1302" s="0" t="s">
        <v>260</v>
      </c>
      <c r="B1302" s="52" t="n">
        <v>44334</v>
      </c>
      <c r="C1302" s="0" t="n">
        <v>83198.782</v>
      </c>
      <c r="D1302" s="0" t="n">
        <v>8367.034</v>
      </c>
      <c r="E1302" s="0" t="n">
        <v>74831.748</v>
      </c>
      <c r="F1302" s="0" t="n">
        <v>31515.062</v>
      </c>
      <c r="G1302" s="0" t="n">
        <v>29228.924</v>
      </c>
      <c r="H1302" s="0" t="n">
        <v>2286.138</v>
      </c>
      <c r="I1302" s="0" t="n">
        <v>1799.752</v>
      </c>
      <c r="J1302" s="0" t="n">
        <v>41516.934</v>
      </c>
      <c r="K1302" s="0" t="n">
        <v>32828.1895833333</v>
      </c>
      <c r="L1302" s="0" t="n">
        <v>30394</v>
      </c>
      <c r="M1302" s="0" t="n">
        <v>30369</v>
      </c>
      <c r="N1302" s="0" t="n">
        <v>14</v>
      </c>
      <c r="O1302" s="54" t="n">
        <f aca="false">YEAR(B1302)</f>
        <v>2021</v>
      </c>
      <c r="P1302" s="54" t="n">
        <f aca="false">IF(AND(E1302&gt;=14400,K1302&gt;0,L1302&gt;0),1,0)</f>
        <v>1</v>
      </c>
      <c r="Q1302" s="53" t="n">
        <f aca="false">IF(P1302=1,F1302/E1302*MIN(L1302/K1302,1)*MIN(MAX(M1302/L1302,0),1),0)</f>
        <v>0.389597206789824</v>
      </c>
      <c r="R1302" s="55" t="n">
        <f aca="false">IF(F1302&gt;0,N1302/(F1302/3600),0)</f>
        <v>1.59923531167415</v>
      </c>
    </row>
    <row r="1303" customFormat="false" ht="15" hidden="false" customHeight="false" outlineLevel="0" collapsed="false">
      <c r="A1303" s="0" t="s">
        <v>260</v>
      </c>
      <c r="B1303" s="52" t="n">
        <v>44335</v>
      </c>
      <c r="C1303" s="0" t="n">
        <v>78770.531</v>
      </c>
      <c r="D1303" s="0" t="n">
        <v>2597.57</v>
      </c>
      <c r="E1303" s="0" t="n">
        <v>76172.961</v>
      </c>
      <c r="F1303" s="0" t="n">
        <v>37245.743</v>
      </c>
      <c r="G1303" s="0" t="n">
        <v>34332.743</v>
      </c>
      <c r="H1303" s="0" t="n">
        <v>2913</v>
      </c>
      <c r="I1303" s="0" t="n">
        <v>1986.088</v>
      </c>
      <c r="J1303" s="0" t="n">
        <v>36941.13</v>
      </c>
      <c r="K1303" s="0" t="n">
        <v>39077.2989583333</v>
      </c>
      <c r="L1303" s="0" t="n">
        <v>35958</v>
      </c>
      <c r="M1303" s="0" t="n">
        <v>35917</v>
      </c>
      <c r="N1303" s="0" t="n">
        <v>14</v>
      </c>
      <c r="O1303" s="54" t="n">
        <f aca="false">YEAR(B1303)</f>
        <v>2021</v>
      </c>
      <c r="P1303" s="54" t="n">
        <f aca="false">IF(AND(E1303&gt;=14400,K1303&gt;0,L1303&gt;0),1,0)</f>
        <v>1</v>
      </c>
      <c r="Q1303" s="53" t="n">
        <f aca="false">IF(P1303=1,F1303/E1303*MIN(L1303/K1303,1)*MIN(MAX(M1303/L1303,0),1),0)</f>
        <v>0.449418888848459</v>
      </c>
      <c r="R1303" s="55" t="n">
        <f aca="false">IF(F1303&gt;0,N1303/(F1303/3600),0)</f>
        <v>1.35317477758465</v>
      </c>
    </row>
    <row r="1304" customFormat="false" ht="15" hidden="false" customHeight="false" outlineLevel="0" collapsed="false">
      <c r="A1304" s="0" t="s">
        <v>260</v>
      </c>
      <c r="B1304" s="52" t="n">
        <v>44336</v>
      </c>
      <c r="C1304" s="0" t="n">
        <v>61852.771</v>
      </c>
      <c r="D1304" s="0" t="n">
        <v>2239.863</v>
      </c>
      <c r="E1304" s="0" t="n">
        <v>59612.908</v>
      </c>
      <c r="F1304" s="0" t="n">
        <v>29054.691</v>
      </c>
      <c r="G1304" s="0" t="n">
        <v>25992.72</v>
      </c>
      <c r="H1304" s="0" t="n">
        <v>3061.971</v>
      </c>
      <c r="I1304" s="0" t="n">
        <v>3188.774</v>
      </c>
      <c r="J1304" s="0" t="n">
        <v>27369.443</v>
      </c>
      <c r="K1304" s="0" t="n">
        <v>30265.303125</v>
      </c>
      <c r="L1304" s="0" t="n">
        <v>27088</v>
      </c>
      <c r="M1304" s="0" t="n">
        <v>27055</v>
      </c>
      <c r="N1304" s="0" t="n">
        <v>17</v>
      </c>
      <c r="O1304" s="54" t="n">
        <f aca="false">YEAR(B1304)</f>
        <v>2021</v>
      </c>
      <c r="P1304" s="54" t="n">
        <f aca="false">IF(AND(E1304&gt;=14400,K1304&gt;0,L1304&gt;0),1,0)</f>
        <v>1</v>
      </c>
      <c r="Q1304" s="53" t="n">
        <f aca="false">IF(P1304=1,F1304/E1304*MIN(L1304/K1304,1)*MIN(MAX(M1304/L1304,0),1),0)</f>
        <v>0.435690874197917</v>
      </c>
      <c r="R1304" s="55" t="n">
        <f aca="false">IF(F1304&gt;0,N1304/(F1304/3600),0)</f>
        <v>2.10637242708931</v>
      </c>
    </row>
    <row r="1305" customFormat="false" ht="15" hidden="false" customHeight="false" outlineLevel="0" collapsed="false">
      <c r="A1305" s="0" t="s">
        <v>260</v>
      </c>
      <c r="B1305" s="52" t="n">
        <v>44337</v>
      </c>
      <c r="C1305" s="0" t="n">
        <v>68244.546</v>
      </c>
      <c r="D1305" s="0" t="n">
        <v>8435.111</v>
      </c>
      <c r="E1305" s="0" t="n">
        <v>59809.435</v>
      </c>
      <c r="F1305" s="0" t="n">
        <v>28961.18</v>
      </c>
      <c r="G1305" s="0" t="n">
        <v>24932.07</v>
      </c>
      <c r="H1305" s="0" t="n">
        <v>4029.11</v>
      </c>
      <c r="I1305" s="0" t="n">
        <v>2343.171</v>
      </c>
      <c r="J1305" s="0" t="n">
        <v>28505.084</v>
      </c>
      <c r="K1305" s="0" t="n">
        <v>30533.9736111111</v>
      </c>
      <c r="L1305" s="0" t="n">
        <v>26112</v>
      </c>
      <c r="M1305" s="0" t="n">
        <v>26062</v>
      </c>
      <c r="N1305" s="0" t="n">
        <v>13</v>
      </c>
      <c r="O1305" s="54" t="n">
        <f aca="false">YEAR(B1305)</f>
        <v>2021</v>
      </c>
      <c r="P1305" s="54" t="n">
        <f aca="false">IF(AND(E1305&gt;=14400,K1305&gt;0,L1305&gt;0),1,0)</f>
        <v>1</v>
      </c>
      <c r="Q1305" s="53" t="n">
        <f aca="false">IF(P1305=1,F1305/E1305*MIN(L1305/K1305,1)*MIN(MAX(M1305/L1305,0),1),0)</f>
        <v>0.413305293461107</v>
      </c>
      <c r="R1305" s="55" t="n">
        <f aca="false">IF(F1305&gt;0,N1305/(F1305/3600),0)</f>
        <v>1.61595625592604</v>
      </c>
    </row>
    <row r="1306" customFormat="false" ht="15" hidden="false" customHeight="false" outlineLevel="0" collapsed="false">
      <c r="A1306" s="0" t="s">
        <v>260</v>
      </c>
      <c r="B1306" s="52" t="n">
        <v>44338</v>
      </c>
      <c r="C1306" s="0" t="n">
        <v>85901.538</v>
      </c>
      <c r="D1306" s="0" t="n">
        <v>12914.941</v>
      </c>
      <c r="E1306" s="0" t="n">
        <v>72986.597</v>
      </c>
      <c r="F1306" s="0" t="n">
        <v>30920.83</v>
      </c>
      <c r="G1306" s="0" t="n">
        <v>29197.65</v>
      </c>
      <c r="H1306" s="0" t="n">
        <v>1723.18</v>
      </c>
      <c r="I1306" s="0" t="n">
        <v>2274.063</v>
      </c>
      <c r="J1306" s="0" t="n">
        <v>39791.704</v>
      </c>
      <c r="K1306" s="0" t="n">
        <v>32209.1979166667</v>
      </c>
      <c r="L1306" s="0" t="n">
        <v>30370</v>
      </c>
      <c r="M1306" s="0" t="n">
        <v>30312</v>
      </c>
      <c r="N1306" s="0" t="n">
        <v>14</v>
      </c>
      <c r="O1306" s="54" t="n">
        <f aca="false">YEAR(B1306)</f>
        <v>2021</v>
      </c>
      <c r="P1306" s="54" t="n">
        <f aca="false">IF(AND(E1306&gt;=14400,K1306&gt;0,L1306&gt;0),1,0)</f>
        <v>1</v>
      </c>
      <c r="Q1306" s="53" t="n">
        <f aca="false">IF(P1306=1,F1306/E1306*MIN(L1306/K1306,1)*MIN(MAX(M1306/L1306,0),1),0)</f>
        <v>0.398696763461927</v>
      </c>
      <c r="R1306" s="55" t="n">
        <f aca="false">IF(F1306&gt;0,N1306/(F1306/3600),0)</f>
        <v>1.62996918258663</v>
      </c>
    </row>
    <row r="1307" customFormat="false" ht="15" hidden="false" customHeight="false" outlineLevel="0" collapsed="false">
      <c r="A1307" s="0" t="s">
        <v>260</v>
      </c>
      <c r="B1307" s="52" t="n">
        <v>44339</v>
      </c>
      <c r="C1307" s="0" t="n">
        <v>83168.566</v>
      </c>
      <c r="D1307" s="0" t="n">
        <v>2210.941</v>
      </c>
      <c r="E1307" s="0" t="n">
        <v>80957.625</v>
      </c>
      <c r="F1307" s="0" t="n">
        <v>38508.237</v>
      </c>
      <c r="G1307" s="0" t="n">
        <v>34766.202</v>
      </c>
      <c r="H1307" s="0" t="n">
        <v>3742.035</v>
      </c>
      <c r="I1307" s="0" t="n">
        <v>3690.941</v>
      </c>
      <c r="J1307" s="0" t="n">
        <v>38758.447</v>
      </c>
      <c r="K1307" s="0" t="n">
        <v>40351.6871527778</v>
      </c>
      <c r="L1307" s="0" t="n">
        <v>36264</v>
      </c>
      <c r="M1307" s="0" t="n">
        <v>36164</v>
      </c>
      <c r="N1307" s="0" t="n">
        <v>28</v>
      </c>
      <c r="O1307" s="54" t="n">
        <f aca="false">YEAR(B1307)</f>
        <v>2021</v>
      </c>
      <c r="P1307" s="54" t="n">
        <f aca="false">IF(AND(E1307&gt;=14400,K1307&gt;0,L1307&gt;0),1,0)</f>
        <v>1</v>
      </c>
      <c r="Q1307" s="53" t="n">
        <f aca="false">IF(P1307=1,F1307/E1307*MIN(L1307/K1307,1)*MIN(MAX(M1307/L1307,0),1),0)</f>
        <v>0.426295393476414</v>
      </c>
      <c r="R1307" s="55" t="n">
        <f aca="false">IF(F1307&gt;0,N1307/(F1307/3600),0)</f>
        <v>2.61762178310059</v>
      </c>
    </row>
    <row r="1308" customFormat="false" ht="15" hidden="false" customHeight="false" outlineLevel="0" collapsed="false">
      <c r="A1308" s="0" t="s">
        <v>260</v>
      </c>
      <c r="B1308" s="52" t="n">
        <v>44340</v>
      </c>
      <c r="C1308" s="0" t="n">
        <v>75260.58</v>
      </c>
      <c r="D1308" s="0" t="n">
        <v>8144.089</v>
      </c>
      <c r="E1308" s="0" t="n">
        <v>67116.491</v>
      </c>
      <c r="F1308" s="0" t="n">
        <v>38150.539</v>
      </c>
      <c r="G1308" s="0" t="n">
        <v>28492.589</v>
      </c>
      <c r="H1308" s="0" t="n">
        <v>9657.95</v>
      </c>
      <c r="I1308" s="0" t="n">
        <v>1535.123</v>
      </c>
      <c r="J1308" s="0" t="n">
        <v>27430.829</v>
      </c>
      <c r="K1308" s="0" t="n">
        <v>39740.1447916667</v>
      </c>
      <c r="L1308" s="0" t="n">
        <v>28647</v>
      </c>
      <c r="M1308" s="0" t="n">
        <v>28204</v>
      </c>
      <c r="N1308" s="0" t="n">
        <v>16</v>
      </c>
      <c r="O1308" s="54" t="n">
        <f aca="false">YEAR(B1308)</f>
        <v>2021</v>
      </c>
      <c r="P1308" s="54" t="n">
        <f aca="false">IF(AND(E1308&gt;=14400,K1308&gt;0,L1308&gt;0),1,0)</f>
        <v>1</v>
      </c>
      <c r="Q1308" s="53" t="n">
        <f aca="false">IF(P1308=1,F1308/E1308*MIN(L1308/K1308,1)*MIN(MAX(M1308/L1308,0),1),0)</f>
        <v>0.403415607648499</v>
      </c>
      <c r="R1308" s="55" t="n">
        <f aca="false">IF(F1308&gt;0,N1308/(F1308/3600),0)</f>
        <v>1.50980828868499</v>
      </c>
    </row>
    <row r="1309" customFormat="false" ht="15" hidden="false" customHeight="false" outlineLevel="0" collapsed="false">
      <c r="A1309" s="0" t="s">
        <v>260</v>
      </c>
      <c r="B1309" s="52" t="n">
        <v>44341</v>
      </c>
      <c r="C1309" s="0" t="n">
        <v>94066.916</v>
      </c>
      <c r="D1309" s="0" t="n">
        <v>13051.2</v>
      </c>
      <c r="E1309" s="0" t="n">
        <v>81015.716</v>
      </c>
      <c r="F1309" s="0" t="n">
        <v>37830.434</v>
      </c>
      <c r="G1309" s="0" t="n">
        <v>34887.937</v>
      </c>
      <c r="H1309" s="0" t="n">
        <v>2942.497</v>
      </c>
      <c r="I1309" s="0" t="n">
        <v>869.809</v>
      </c>
      <c r="J1309" s="0" t="n">
        <v>42315.473</v>
      </c>
      <c r="K1309" s="0" t="n">
        <v>39740.4832638889</v>
      </c>
      <c r="L1309" s="0" t="n">
        <v>36637</v>
      </c>
      <c r="M1309" s="0" t="n">
        <v>36496</v>
      </c>
      <c r="N1309" s="0" t="n">
        <v>6</v>
      </c>
      <c r="O1309" s="54" t="n">
        <f aca="false">YEAR(B1309)</f>
        <v>2021</v>
      </c>
      <c r="P1309" s="54" t="n">
        <f aca="false">IF(AND(E1309&gt;=14400,K1309&gt;0,L1309&gt;0),1,0)</f>
        <v>1</v>
      </c>
      <c r="Q1309" s="53" t="n">
        <f aca="false">IF(P1309=1,F1309/E1309*MIN(L1309/K1309,1)*MIN(MAX(M1309/L1309,0),1),0)</f>
        <v>0.428829025377413</v>
      </c>
      <c r="R1309" s="55" t="n">
        <f aca="false">IF(F1309&gt;0,N1309/(F1309/3600),0)</f>
        <v>0.570968865966486</v>
      </c>
    </row>
    <row r="1310" customFormat="false" ht="15" hidden="false" customHeight="false" outlineLevel="0" collapsed="false">
      <c r="A1310" s="0" t="s">
        <v>260</v>
      </c>
      <c r="B1310" s="52" t="n">
        <v>44342</v>
      </c>
      <c r="C1310" s="0" t="n">
        <v>49647.687</v>
      </c>
      <c r="D1310" s="0" t="n">
        <v>6840.119</v>
      </c>
      <c r="E1310" s="0" t="n">
        <v>42807.568</v>
      </c>
      <c r="F1310" s="0" t="n">
        <v>26420.79</v>
      </c>
      <c r="G1310" s="0" t="n">
        <v>25308.32</v>
      </c>
      <c r="H1310" s="0" t="n">
        <v>1112.47</v>
      </c>
      <c r="I1310" s="0" t="n">
        <v>1920.276</v>
      </c>
      <c r="J1310" s="0" t="n">
        <v>14466.502</v>
      </c>
      <c r="K1310" s="0" t="n">
        <v>27533.6721527778</v>
      </c>
      <c r="L1310" s="0" t="n">
        <v>26352</v>
      </c>
      <c r="M1310" s="0" t="n">
        <v>26331</v>
      </c>
      <c r="N1310" s="0" t="n">
        <v>12</v>
      </c>
      <c r="O1310" s="54" t="n">
        <f aca="false">YEAR(B1310)</f>
        <v>2021</v>
      </c>
      <c r="P1310" s="54" t="n">
        <f aca="false">IF(AND(E1310&gt;=14400,K1310&gt;0,L1310&gt;0),1,0)</f>
        <v>1</v>
      </c>
      <c r="Q1310" s="53" t="n">
        <f aca="false">IF(P1310=1,F1310/E1310*MIN(L1310/K1310,1)*MIN(MAX(M1310/L1310,0),1),0)</f>
        <v>0.590239758407865</v>
      </c>
      <c r="R1310" s="55" t="n">
        <f aca="false">IF(F1310&gt;0,N1310/(F1310/3600),0)</f>
        <v>1.63507601400261</v>
      </c>
    </row>
    <row r="1311" customFormat="false" ht="15" hidden="false" customHeight="false" outlineLevel="0" collapsed="false">
      <c r="A1311" s="0" t="s">
        <v>260</v>
      </c>
      <c r="B1311" s="52" t="n">
        <v>44343</v>
      </c>
      <c r="C1311" s="0" t="n">
        <v>79141.318</v>
      </c>
      <c r="D1311" s="0" t="n">
        <v>1947.858</v>
      </c>
      <c r="E1311" s="0" t="n">
        <v>77193.46</v>
      </c>
      <c r="F1311" s="0" t="n">
        <v>36714.038</v>
      </c>
      <c r="G1311" s="0" t="n">
        <v>34046.847</v>
      </c>
      <c r="H1311" s="0" t="n">
        <v>2667.191</v>
      </c>
      <c r="I1311" s="0" t="n">
        <v>6486.946</v>
      </c>
      <c r="J1311" s="0" t="n">
        <v>33992.476</v>
      </c>
      <c r="K1311" s="0" t="n">
        <v>38465.4736805556</v>
      </c>
      <c r="L1311" s="0" t="n">
        <v>35575</v>
      </c>
      <c r="M1311" s="0" t="n">
        <v>35473</v>
      </c>
      <c r="N1311" s="0" t="n">
        <v>16</v>
      </c>
      <c r="O1311" s="54" t="n">
        <f aca="false">YEAR(B1311)</f>
        <v>2021</v>
      </c>
      <c r="P1311" s="54" t="n">
        <f aca="false">IF(AND(E1311&gt;=14400,K1311&gt;0,L1311&gt;0),1,0)</f>
        <v>1</v>
      </c>
      <c r="Q1311" s="53" t="n">
        <f aca="false">IF(P1311=1,F1311/E1311*MIN(L1311/K1311,1)*MIN(MAX(M1311/L1311,0),1),0)</f>
        <v>0.438609950026801</v>
      </c>
      <c r="R1311" s="55" t="n">
        <f aca="false">IF(F1311&gt;0,N1311/(F1311/3600),0)</f>
        <v>1.56888218070701</v>
      </c>
    </row>
    <row r="1312" customFormat="false" ht="15" hidden="false" customHeight="false" outlineLevel="0" collapsed="false">
      <c r="A1312" s="0" t="s">
        <v>260</v>
      </c>
      <c r="B1312" s="52" t="n">
        <v>44344</v>
      </c>
      <c r="C1312" s="0" t="n">
        <v>58446.151</v>
      </c>
      <c r="D1312" s="0" t="n">
        <v>5136.353</v>
      </c>
      <c r="E1312" s="0" t="n">
        <v>53309.798</v>
      </c>
      <c r="F1312" s="0" t="n">
        <v>28350.502</v>
      </c>
      <c r="G1312" s="0" t="n">
        <v>26643.294</v>
      </c>
      <c r="H1312" s="0" t="n">
        <v>1707.208</v>
      </c>
      <c r="I1312" s="0" t="n">
        <v>2404.254</v>
      </c>
      <c r="J1312" s="0" t="n">
        <v>22555.042</v>
      </c>
      <c r="K1312" s="0" t="n">
        <v>29531.7729166667</v>
      </c>
      <c r="L1312" s="0" t="n">
        <v>27688</v>
      </c>
      <c r="M1312" s="0" t="n">
        <v>27651</v>
      </c>
      <c r="N1312" s="0" t="n">
        <v>31</v>
      </c>
      <c r="O1312" s="54" t="n">
        <f aca="false">YEAR(B1312)</f>
        <v>2021</v>
      </c>
      <c r="P1312" s="54" t="n">
        <f aca="false">IF(AND(E1312&gt;=14400,K1312&gt;0,L1312&gt;0),1,0)</f>
        <v>1</v>
      </c>
      <c r="Q1312" s="53" t="n">
        <f aca="false">IF(P1312=1,F1312/E1312*MIN(L1312/K1312,1)*MIN(MAX(M1312/L1312,0),1),0)</f>
        <v>0.497937733697659</v>
      </c>
      <c r="R1312" s="55" t="n">
        <f aca="false">IF(F1312&gt;0,N1312/(F1312/3600),0)</f>
        <v>3.93643823308667</v>
      </c>
    </row>
    <row r="1313" customFormat="false" ht="15" hidden="false" customHeight="false" outlineLevel="0" collapsed="false">
      <c r="A1313" s="0" t="s">
        <v>260</v>
      </c>
      <c r="B1313" s="52" t="n">
        <v>44345</v>
      </c>
      <c r="C1313" s="0" t="n">
        <v>85528.669</v>
      </c>
      <c r="D1313" s="0" t="n">
        <v>6529.549</v>
      </c>
      <c r="E1313" s="0" t="n">
        <v>78999.12</v>
      </c>
      <c r="F1313" s="0" t="n">
        <v>41002.615</v>
      </c>
      <c r="G1313" s="0" t="n">
        <v>36121.381</v>
      </c>
      <c r="H1313" s="0" t="n">
        <v>4881.234</v>
      </c>
      <c r="I1313" s="0" t="n">
        <v>3786.507</v>
      </c>
      <c r="J1313" s="0" t="n">
        <v>34209.998</v>
      </c>
      <c r="K1313" s="0" t="n">
        <v>42975.6127777778</v>
      </c>
      <c r="L1313" s="0" t="n">
        <v>37798</v>
      </c>
      <c r="M1313" s="0" t="n">
        <v>37743</v>
      </c>
      <c r="N1313" s="0" t="n">
        <v>22</v>
      </c>
      <c r="O1313" s="54" t="n">
        <f aca="false">YEAR(B1313)</f>
        <v>2021</v>
      </c>
      <c r="P1313" s="54" t="n">
        <f aca="false">IF(AND(E1313&gt;=14400,K1313&gt;0,L1313&gt;0),1,0)</f>
        <v>1</v>
      </c>
      <c r="Q1313" s="53" t="n">
        <f aca="false">IF(P1313=1,F1313/E1313*MIN(L1313/K1313,1)*MIN(MAX(M1313/L1313,0),1),0)</f>
        <v>0.455830773053069</v>
      </c>
      <c r="R1313" s="55" t="n">
        <f aca="false">IF(F1313&gt;0,N1313/(F1313/3600),0)</f>
        <v>1.93158411969578</v>
      </c>
    </row>
    <row r="1314" customFormat="false" ht="15" hidden="false" customHeight="false" outlineLevel="0" collapsed="false">
      <c r="A1314" s="0" t="s">
        <v>260</v>
      </c>
      <c r="B1314" s="52" t="n">
        <v>44346</v>
      </c>
      <c r="C1314" s="0" t="n">
        <v>82782.039</v>
      </c>
      <c r="D1314" s="0" t="n">
        <v>7960.059</v>
      </c>
      <c r="E1314" s="0" t="n">
        <v>74821.98</v>
      </c>
      <c r="F1314" s="0" t="n">
        <v>39869.397</v>
      </c>
      <c r="G1314" s="0" t="n">
        <v>38227.126</v>
      </c>
      <c r="H1314" s="0" t="n">
        <v>1642.271</v>
      </c>
      <c r="I1314" s="0" t="n">
        <v>2064.86</v>
      </c>
      <c r="J1314" s="0" t="n">
        <v>32887.723</v>
      </c>
      <c r="K1314" s="0" t="n">
        <v>41530.621875</v>
      </c>
      <c r="L1314" s="0" t="n">
        <v>39761</v>
      </c>
      <c r="M1314" s="0" t="n">
        <v>39628</v>
      </c>
      <c r="N1314" s="0" t="n">
        <v>16</v>
      </c>
      <c r="O1314" s="54" t="n">
        <f aca="false">YEAR(B1314)</f>
        <v>2021</v>
      </c>
      <c r="P1314" s="54" t="n">
        <f aca="false">IF(AND(E1314&gt;=14400,K1314&gt;0,L1314&gt;0),1,0)</f>
        <v>1</v>
      </c>
      <c r="Q1314" s="53" t="n">
        <f aca="false">IF(P1314=1,F1314/E1314*MIN(L1314/K1314,1)*MIN(MAX(M1314/L1314,0),1),0)</f>
        <v>0.508445245635039</v>
      </c>
      <c r="R1314" s="55" t="n">
        <f aca="false">IF(F1314&gt;0,N1314/(F1314/3600),0)</f>
        <v>1.44471710971701</v>
      </c>
    </row>
    <row r="1315" customFormat="false" ht="15" hidden="false" customHeight="false" outlineLevel="0" collapsed="false">
      <c r="A1315" s="0" t="s">
        <v>260</v>
      </c>
      <c r="B1315" s="52" t="n">
        <v>44347</v>
      </c>
      <c r="C1315" s="0" t="n">
        <v>83957.515</v>
      </c>
      <c r="D1315" s="0" t="n">
        <v>8303.25</v>
      </c>
      <c r="E1315" s="0" t="n">
        <v>75654.265</v>
      </c>
      <c r="F1315" s="0" t="n">
        <v>42476.095</v>
      </c>
      <c r="G1315" s="0" t="n">
        <v>39630.654</v>
      </c>
      <c r="H1315" s="0" t="n">
        <v>2845.441</v>
      </c>
      <c r="I1315" s="0" t="n">
        <v>2131.414</v>
      </c>
      <c r="J1315" s="0" t="n">
        <v>31046.756</v>
      </c>
      <c r="K1315" s="0" t="n">
        <v>44587.3743055556</v>
      </c>
      <c r="L1315" s="0" t="n">
        <v>41557</v>
      </c>
      <c r="M1315" s="0" t="n">
        <v>41502</v>
      </c>
      <c r="N1315" s="0" t="n">
        <v>15</v>
      </c>
      <c r="O1315" s="54" t="n">
        <f aca="false">YEAR(B1315)</f>
        <v>2021</v>
      </c>
      <c r="P1315" s="54" t="n">
        <f aca="false">IF(AND(E1315&gt;=14400,K1315&gt;0,L1315&gt;0),1,0)</f>
        <v>1</v>
      </c>
      <c r="Q1315" s="53" t="n">
        <f aca="false">IF(P1315=1,F1315/E1315*MIN(L1315/K1315,1)*MIN(MAX(M1315/L1315,0),1),0)</f>
        <v>0.522598663978184</v>
      </c>
      <c r="R1315" s="55" t="n">
        <f aca="false">IF(F1315&gt;0,N1315/(F1315/3600),0)</f>
        <v>1.27130330601248</v>
      </c>
    </row>
    <row r="1316" customFormat="false" ht="15" hidden="false" customHeight="false" outlineLevel="0" collapsed="false">
      <c r="A1316" s="0" t="s">
        <v>260</v>
      </c>
      <c r="B1316" s="52" t="n">
        <v>44348</v>
      </c>
      <c r="C1316" s="0" t="n">
        <v>66772.467</v>
      </c>
      <c r="D1316" s="0" t="n">
        <v>5654.749</v>
      </c>
      <c r="E1316" s="0" t="n">
        <v>61117.718</v>
      </c>
      <c r="F1316" s="0" t="n">
        <v>21288.339</v>
      </c>
      <c r="G1316" s="0" t="n">
        <v>19550.69</v>
      </c>
      <c r="H1316" s="0" t="n">
        <v>1737.649</v>
      </c>
      <c r="I1316" s="0" t="n">
        <v>2151.832</v>
      </c>
      <c r="J1316" s="0" t="n">
        <v>37677.547</v>
      </c>
      <c r="K1316" s="0" t="n">
        <v>22163.22244</v>
      </c>
      <c r="L1316" s="0" t="n">
        <v>20302</v>
      </c>
      <c r="M1316" s="0" t="n">
        <v>20247</v>
      </c>
      <c r="N1316" s="0" t="n">
        <v>17</v>
      </c>
      <c r="O1316" s="54" t="n">
        <f aca="false">YEAR(B1316)</f>
        <v>2021</v>
      </c>
      <c r="P1316" s="54" t="n">
        <f aca="false">IF(AND(E1316&gt;=14400,K1316&gt;0,L1316&gt;0),1,0)</f>
        <v>1</v>
      </c>
      <c r="Q1316" s="53" t="n">
        <f aca="false">IF(P1316=1,F1316/E1316*MIN(L1316/K1316,1)*MIN(MAX(M1316/L1316,0),1),0)</f>
        <v>0.318201648112428</v>
      </c>
      <c r="R1316" s="55" t="n">
        <f aca="false">IF(F1316&gt;0,N1316/(F1316/3600),0)</f>
        <v>2.87481329567328</v>
      </c>
    </row>
    <row r="1317" customFormat="false" ht="15" hidden="false" customHeight="false" outlineLevel="0" collapsed="false">
      <c r="A1317" s="0" t="s">
        <v>260</v>
      </c>
      <c r="B1317" s="52" t="n">
        <v>44349</v>
      </c>
      <c r="C1317" s="0" t="n">
        <v>64221.392</v>
      </c>
      <c r="D1317" s="0" t="n">
        <v>7386.15</v>
      </c>
      <c r="E1317" s="0" t="n">
        <v>56835.242</v>
      </c>
      <c r="F1317" s="0" t="n">
        <v>32715.066</v>
      </c>
      <c r="G1317" s="0" t="n">
        <v>30644.466</v>
      </c>
      <c r="H1317" s="0" t="n">
        <v>2070.6</v>
      </c>
      <c r="I1317" s="0" t="n">
        <v>2257.899</v>
      </c>
      <c r="J1317" s="0" t="n">
        <v>21862.277</v>
      </c>
      <c r="K1317" s="0" t="n">
        <v>34395.5545833333</v>
      </c>
      <c r="L1317" s="0" t="n">
        <v>31194</v>
      </c>
      <c r="M1317" s="0" t="n">
        <v>31144</v>
      </c>
      <c r="N1317" s="0" t="n">
        <v>15</v>
      </c>
      <c r="O1317" s="54" t="n">
        <f aca="false">YEAR(B1317)</f>
        <v>2021</v>
      </c>
      <c r="P1317" s="54" t="n">
        <f aca="false">IF(AND(E1317&gt;=14400,K1317&gt;0,L1317&gt;0),1,0)</f>
        <v>1</v>
      </c>
      <c r="Q1317" s="53" t="n">
        <f aca="false">IF(P1317=1,F1317/E1317*MIN(L1317/K1317,1)*MIN(MAX(M1317/L1317,0),1),0)</f>
        <v>0.521197305357672</v>
      </c>
      <c r="R1317" s="55" t="n">
        <f aca="false">IF(F1317&gt;0,N1317/(F1317/3600),0)</f>
        <v>1.65061565212798</v>
      </c>
    </row>
    <row r="1318" customFormat="false" ht="15" hidden="false" customHeight="false" outlineLevel="0" collapsed="false">
      <c r="A1318" s="0" t="s">
        <v>260</v>
      </c>
      <c r="B1318" s="52" t="n">
        <v>44350</v>
      </c>
      <c r="C1318" s="0" t="n">
        <v>78953.651</v>
      </c>
      <c r="D1318" s="0" t="n">
        <v>9927.591</v>
      </c>
      <c r="E1318" s="0" t="n">
        <v>69026.06</v>
      </c>
      <c r="F1318" s="0" t="n">
        <v>38564.094</v>
      </c>
      <c r="G1318" s="0" t="n">
        <v>31971.608</v>
      </c>
      <c r="H1318" s="0" t="n">
        <v>6592.486</v>
      </c>
      <c r="I1318" s="0" t="n">
        <v>6369.144</v>
      </c>
      <c r="J1318" s="0" t="n">
        <v>24092.822</v>
      </c>
      <c r="K1318" s="0" t="n">
        <v>40170.93125</v>
      </c>
      <c r="L1318" s="0" t="n">
        <v>32256</v>
      </c>
      <c r="M1318" s="0" t="n">
        <v>32120</v>
      </c>
      <c r="N1318" s="0" t="n">
        <v>29</v>
      </c>
      <c r="O1318" s="54" t="n">
        <f aca="false">YEAR(B1318)</f>
        <v>2021</v>
      </c>
      <c r="P1318" s="54" t="n">
        <f aca="false">IF(AND(E1318&gt;=14400,K1318&gt;0,L1318&gt;0),1,0)</f>
        <v>1</v>
      </c>
      <c r="Q1318" s="53" t="n">
        <f aca="false">IF(P1318=1,F1318/E1318*MIN(L1318/K1318,1)*MIN(MAX(M1318/L1318,0),1),0)</f>
        <v>0.446718239459126</v>
      </c>
      <c r="R1318" s="55" t="n">
        <f aca="false">IF(F1318&gt;0,N1318/(F1318/3600),0)</f>
        <v>2.70718145225971</v>
      </c>
    </row>
    <row r="1319" customFormat="false" ht="15" hidden="false" customHeight="false" outlineLevel="0" collapsed="false">
      <c r="A1319" s="0" t="s">
        <v>260</v>
      </c>
      <c r="B1319" s="52" t="n">
        <v>44351</v>
      </c>
      <c r="C1319" s="0" t="n">
        <v>93776.662</v>
      </c>
      <c r="D1319" s="0" t="n">
        <v>12683.323</v>
      </c>
      <c r="E1319" s="0" t="n">
        <v>81093.339</v>
      </c>
      <c r="F1319" s="0" t="n">
        <v>31567.009</v>
      </c>
      <c r="G1319" s="0" t="n">
        <v>26764.16</v>
      </c>
      <c r="H1319" s="0" t="n">
        <v>4802.849</v>
      </c>
      <c r="I1319" s="0" t="n">
        <v>2047.321</v>
      </c>
      <c r="J1319" s="0" t="n">
        <v>47479.009</v>
      </c>
      <c r="K1319" s="0" t="n">
        <v>33221.7447916667</v>
      </c>
      <c r="L1319" s="0" t="n">
        <v>28124</v>
      </c>
      <c r="M1319" s="0" t="n">
        <v>28090</v>
      </c>
      <c r="N1319" s="0" t="n">
        <v>12</v>
      </c>
      <c r="O1319" s="54" t="n">
        <f aca="false">YEAR(B1319)</f>
        <v>2021</v>
      </c>
      <c r="P1319" s="54" t="n">
        <f aca="false">IF(AND(E1319&gt;=14400,K1319&gt;0,L1319&gt;0),1,0)</f>
        <v>1</v>
      </c>
      <c r="Q1319" s="53" t="n">
        <f aca="false">IF(P1319=1,F1319/E1319*MIN(L1319/K1319,1)*MIN(MAX(M1319/L1319,0),1),0)</f>
        <v>0.329137641541957</v>
      </c>
      <c r="R1319" s="55" t="n">
        <f aca="false">IF(F1319&gt;0,N1319/(F1319/3600),0)</f>
        <v>1.36851736570924</v>
      </c>
    </row>
    <row r="1320" customFormat="false" ht="15" hidden="false" customHeight="false" outlineLevel="0" collapsed="false">
      <c r="A1320" s="0" t="s">
        <v>260</v>
      </c>
      <c r="B1320" s="52" t="n">
        <v>44352</v>
      </c>
      <c r="C1320" s="0" t="n">
        <v>51664.789</v>
      </c>
      <c r="D1320" s="0" t="n">
        <v>9670.481</v>
      </c>
      <c r="E1320" s="0" t="n">
        <v>41994.308</v>
      </c>
      <c r="F1320" s="0" t="n">
        <v>26766.048</v>
      </c>
      <c r="G1320" s="0" t="n">
        <v>25177.299</v>
      </c>
      <c r="H1320" s="0" t="n">
        <v>1588.749</v>
      </c>
      <c r="I1320" s="0" t="n">
        <v>1166.689</v>
      </c>
      <c r="J1320" s="0" t="n">
        <v>14061.571</v>
      </c>
      <c r="K1320" s="0" t="n">
        <v>27881.3</v>
      </c>
      <c r="L1320" s="0" t="n">
        <v>26197</v>
      </c>
      <c r="M1320" s="0" t="n">
        <v>26108</v>
      </c>
      <c r="N1320" s="0" t="n">
        <v>11</v>
      </c>
      <c r="O1320" s="54" t="n">
        <f aca="false">YEAR(B1320)</f>
        <v>2021</v>
      </c>
      <c r="P1320" s="54" t="n">
        <f aca="false">IF(AND(E1320&gt;=14400,K1320&gt;0,L1320&gt;0),1,0)</f>
        <v>1</v>
      </c>
      <c r="Q1320" s="53" t="n">
        <f aca="false">IF(P1320=1,F1320/E1320*MIN(L1320/K1320,1)*MIN(MAX(M1320/L1320,0),1),0)</f>
        <v>0.59683517109033</v>
      </c>
      <c r="R1320" s="55" t="n">
        <f aca="false">IF(F1320&gt;0,N1320/(F1320/3600),0)</f>
        <v>1.47948625064111</v>
      </c>
    </row>
    <row r="1321" customFormat="false" ht="15" hidden="false" customHeight="false" outlineLevel="0" collapsed="false">
      <c r="A1321" s="0" t="s">
        <v>260</v>
      </c>
      <c r="B1321" s="52" t="n">
        <v>44353</v>
      </c>
      <c r="C1321" s="0" t="n">
        <v>85778.319</v>
      </c>
      <c r="D1321" s="0" t="n">
        <v>9272.941</v>
      </c>
      <c r="E1321" s="0" t="n">
        <v>76505.378</v>
      </c>
      <c r="F1321" s="0" t="n">
        <v>42673.032</v>
      </c>
      <c r="G1321" s="0" t="n">
        <v>40836.92</v>
      </c>
      <c r="H1321" s="0" t="n">
        <v>1836.112</v>
      </c>
      <c r="I1321" s="0" t="n">
        <v>1450.435</v>
      </c>
      <c r="J1321" s="0" t="n">
        <v>32381.911</v>
      </c>
      <c r="K1321" s="0" t="n">
        <v>44804.3595138889</v>
      </c>
      <c r="L1321" s="0" t="n">
        <v>42857</v>
      </c>
      <c r="M1321" s="0" t="n">
        <v>42782</v>
      </c>
      <c r="N1321" s="0" t="n">
        <v>14</v>
      </c>
      <c r="O1321" s="54" t="n">
        <f aca="false">YEAR(B1321)</f>
        <v>2021</v>
      </c>
      <c r="P1321" s="54" t="n">
        <f aca="false">IF(AND(E1321&gt;=14400,K1321&gt;0,L1321&gt;0),1,0)</f>
        <v>1</v>
      </c>
      <c r="Q1321" s="53" t="n">
        <f aca="false">IF(P1321=1,F1321/E1321*MIN(L1321/K1321,1)*MIN(MAX(M1321/L1321,0),1),0)</f>
        <v>0.532601452043483</v>
      </c>
      <c r="R1321" s="55" t="n">
        <f aca="false">IF(F1321&gt;0,N1321/(F1321/3600),0)</f>
        <v>1.18107379855268</v>
      </c>
    </row>
    <row r="1322" customFormat="false" ht="15" hidden="false" customHeight="false" outlineLevel="0" collapsed="false">
      <c r="A1322" s="0" t="s">
        <v>260</v>
      </c>
      <c r="B1322" s="52" t="n">
        <v>44354</v>
      </c>
      <c r="C1322" s="0" t="n">
        <v>64909.837</v>
      </c>
      <c r="D1322" s="0" t="n">
        <v>7495.74</v>
      </c>
      <c r="E1322" s="0" t="n">
        <v>57414.097</v>
      </c>
      <c r="F1322" s="0" t="n">
        <v>28886.139</v>
      </c>
      <c r="G1322" s="0" t="n">
        <v>27348.04</v>
      </c>
      <c r="H1322" s="0" t="n">
        <v>1538.099</v>
      </c>
      <c r="I1322" s="0" t="n">
        <v>4226.834</v>
      </c>
      <c r="J1322" s="0" t="n">
        <v>24301.124</v>
      </c>
      <c r="K1322" s="0" t="n">
        <v>30089.728125</v>
      </c>
      <c r="L1322" s="0" t="n">
        <v>28415</v>
      </c>
      <c r="M1322" s="0" t="n">
        <v>28258</v>
      </c>
      <c r="N1322" s="0" t="n">
        <v>15</v>
      </c>
      <c r="O1322" s="54" t="n">
        <f aca="false">YEAR(B1322)</f>
        <v>2021</v>
      </c>
      <c r="P1322" s="54" t="n">
        <f aca="false">IF(AND(E1322&gt;=14400,K1322&gt;0,L1322&gt;0),1,0)</f>
        <v>1</v>
      </c>
      <c r="Q1322" s="53" t="n">
        <f aca="false">IF(P1322=1,F1322/E1322*MIN(L1322/K1322,1)*MIN(MAX(M1322/L1322,0),1),0)</f>
        <v>0.472491625183968</v>
      </c>
      <c r="R1322" s="55" t="n">
        <f aca="false">IF(F1322&gt;0,N1322/(F1322/3600),0)</f>
        <v>1.86940871537037</v>
      </c>
    </row>
    <row r="1323" customFormat="false" ht="15" hidden="false" customHeight="false" outlineLevel="0" collapsed="false">
      <c r="A1323" s="0" t="s">
        <v>260</v>
      </c>
      <c r="B1323" s="52" t="n">
        <v>44355</v>
      </c>
      <c r="C1323" s="0" t="n">
        <v>87665.031</v>
      </c>
      <c r="D1323" s="0" t="n">
        <v>8162.048</v>
      </c>
      <c r="E1323" s="0" t="n">
        <v>79502.983</v>
      </c>
      <c r="F1323" s="0" t="n">
        <v>41358.43</v>
      </c>
      <c r="G1323" s="0" t="n">
        <v>37488.755</v>
      </c>
      <c r="H1323" s="0" t="n">
        <v>3869.675</v>
      </c>
      <c r="I1323" s="0" t="n">
        <v>1822.928</v>
      </c>
      <c r="J1323" s="0" t="n">
        <v>36321.625</v>
      </c>
      <c r="K1323" s="0" t="n">
        <v>43561.8999305556</v>
      </c>
      <c r="L1323" s="0" t="n">
        <v>38558</v>
      </c>
      <c r="M1323" s="0" t="n">
        <v>38464</v>
      </c>
      <c r="N1323" s="0" t="n">
        <v>14</v>
      </c>
      <c r="O1323" s="54" t="n">
        <f aca="false">YEAR(B1323)</f>
        <v>2021</v>
      </c>
      <c r="P1323" s="54" t="n">
        <f aca="false">IF(AND(E1323&gt;=14400,K1323&gt;0,L1323&gt;0),1,0)</f>
        <v>1</v>
      </c>
      <c r="Q1323" s="53" t="n">
        <f aca="false">IF(P1323=1,F1323/E1323*MIN(L1323/K1323,1)*MIN(MAX(M1323/L1323,0),1),0)</f>
        <v>0.459333640444427</v>
      </c>
      <c r="R1323" s="55" t="n">
        <f aca="false">IF(F1323&gt;0,N1323/(F1323/3600),0)</f>
        <v>1.21861492324539</v>
      </c>
    </row>
    <row r="1324" customFormat="false" ht="15" hidden="false" customHeight="false" outlineLevel="0" collapsed="false">
      <c r="A1324" s="0" t="s">
        <v>260</v>
      </c>
      <c r="B1324" s="52" t="n">
        <v>44356</v>
      </c>
      <c r="C1324" s="0" t="n">
        <v>82435.076</v>
      </c>
      <c r="D1324" s="0" t="n">
        <v>10580.308</v>
      </c>
      <c r="E1324" s="0" t="n">
        <v>71854.768</v>
      </c>
      <c r="F1324" s="0" t="n">
        <v>37309.095</v>
      </c>
      <c r="G1324" s="0" t="n">
        <v>34147.036</v>
      </c>
      <c r="H1324" s="0" t="n">
        <v>3162.059</v>
      </c>
      <c r="I1324" s="0" t="n">
        <v>1619.187</v>
      </c>
      <c r="J1324" s="0" t="n">
        <v>32926.486</v>
      </c>
      <c r="K1324" s="0" t="n">
        <v>39002.3885416667</v>
      </c>
      <c r="L1324" s="0" t="n">
        <v>35642</v>
      </c>
      <c r="M1324" s="0" t="n">
        <v>35606</v>
      </c>
      <c r="N1324" s="0" t="n">
        <v>11</v>
      </c>
      <c r="O1324" s="54" t="n">
        <f aca="false">YEAR(B1324)</f>
        <v>2021</v>
      </c>
      <c r="P1324" s="54" t="n">
        <f aca="false">IF(AND(E1324&gt;=14400,K1324&gt;0,L1324&gt;0),1,0)</f>
        <v>1</v>
      </c>
      <c r="Q1324" s="53" t="n">
        <f aca="false">IF(P1324=1,F1324/E1324*MIN(L1324/K1324,1)*MIN(MAX(M1324/L1324,0),1),0)</f>
        <v>0.474013931665844</v>
      </c>
      <c r="R1324" s="55" t="n">
        <f aca="false">IF(F1324&gt;0,N1324/(F1324/3600),0)</f>
        <v>1.06140339238998</v>
      </c>
    </row>
    <row r="1325" customFormat="false" ht="15" hidden="false" customHeight="false" outlineLevel="0" collapsed="false">
      <c r="A1325" s="0" t="s">
        <v>260</v>
      </c>
      <c r="B1325" s="52" t="n">
        <v>44357</v>
      </c>
      <c r="C1325" s="0" t="n">
        <v>73229.182</v>
      </c>
      <c r="D1325" s="0" t="n">
        <v>2312.52</v>
      </c>
      <c r="E1325" s="0" t="n">
        <v>70916.662</v>
      </c>
      <c r="F1325" s="0" t="n">
        <v>33784.883</v>
      </c>
      <c r="G1325" s="0" t="n">
        <v>31591.596</v>
      </c>
      <c r="H1325" s="0" t="n">
        <v>2193.287</v>
      </c>
      <c r="I1325" s="0" t="n">
        <v>2331.655</v>
      </c>
      <c r="J1325" s="0" t="n">
        <v>34800.124</v>
      </c>
      <c r="K1325" s="0" t="n">
        <v>35721.9134722222</v>
      </c>
      <c r="L1325" s="0" t="n">
        <v>33362</v>
      </c>
      <c r="M1325" s="0" t="n">
        <v>33312</v>
      </c>
      <c r="N1325" s="0" t="n">
        <v>13</v>
      </c>
      <c r="O1325" s="54" t="n">
        <f aca="false">YEAR(B1325)</f>
        <v>2021</v>
      </c>
      <c r="P1325" s="54" t="n">
        <f aca="false">IF(AND(E1325&gt;=14400,K1325&gt;0,L1325&gt;0),1,0)</f>
        <v>1</v>
      </c>
      <c r="Q1325" s="53" t="n">
        <f aca="false">IF(P1325=1,F1325/E1325*MIN(L1325/K1325,1)*MIN(MAX(M1325/L1325,0),1),0)</f>
        <v>0.444262982106506</v>
      </c>
      <c r="R1325" s="55" t="n">
        <f aca="false">IF(F1325&gt;0,N1325/(F1325/3600),0)</f>
        <v>1.38523492888817</v>
      </c>
    </row>
    <row r="1326" customFormat="false" ht="15" hidden="false" customHeight="false" outlineLevel="0" collapsed="false">
      <c r="A1326" s="0" t="s">
        <v>260</v>
      </c>
      <c r="B1326" s="52" t="n">
        <v>44358</v>
      </c>
      <c r="C1326" s="0" t="n">
        <v>56780.016</v>
      </c>
      <c r="D1326" s="0" t="n">
        <v>6401.424</v>
      </c>
      <c r="E1326" s="0" t="n">
        <v>50378.592</v>
      </c>
      <c r="F1326" s="0" t="n">
        <v>24600.053</v>
      </c>
      <c r="G1326" s="0" t="n">
        <v>22918.63</v>
      </c>
      <c r="H1326" s="0" t="n">
        <v>1681.423</v>
      </c>
      <c r="I1326" s="0" t="n">
        <v>3419.341</v>
      </c>
      <c r="J1326" s="0" t="n">
        <v>22359.198</v>
      </c>
      <c r="K1326" s="0" t="n">
        <v>25625.0552083333</v>
      </c>
      <c r="L1326" s="0" t="n">
        <v>23842</v>
      </c>
      <c r="M1326" s="0" t="n">
        <v>23800</v>
      </c>
      <c r="N1326" s="0" t="n">
        <v>9</v>
      </c>
      <c r="O1326" s="54" t="n">
        <f aca="false">YEAR(B1326)</f>
        <v>2021</v>
      </c>
      <c r="P1326" s="54" t="n">
        <f aca="false">IF(AND(E1326&gt;=14400,K1326&gt;0,L1326&gt;0),1,0)</f>
        <v>1</v>
      </c>
      <c r="Q1326" s="53" t="n">
        <f aca="false">IF(P1326=1,F1326/E1326*MIN(L1326/K1326,1)*MIN(MAX(M1326/L1326,0),1),0)</f>
        <v>0.453525973889862</v>
      </c>
      <c r="R1326" s="55" t="n">
        <f aca="false">IF(F1326&gt;0,N1326/(F1326/3600),0)</f>
        <v>1.31707033314115</v>
      </c>
    </row>
    <row r="1327" customFormat="false" ht="15" hidden="false" customHeight="false" outlineLevel="0" collapsed="false">
      <c r="A1327" s="0" t="s">
        <v>260</v>
      </c>
      <c r="B1327" s="52" t="n">
        <v>44359</v>
      </c>
      <c r="C1327" s="0" t="n">
        <v>74943.886</v>
      </c>
      <c r="D1327" s="0" t="n">
        <v>3567.621</v>
      </c>
      <c r="E1327" s="0" t="n">
        <v>71376.265</v>
      </c>
      <c r="F1327" s="0" t="n">
        <v>39378.12</v>
      </c>
      <c r="G1327" s="0" t="n">
        <v>38034.064</v>
      </c>
      <c r="H1327" s="0" t="n">
        <v>1344.056</v>
      </c>
      <c r="I1327" s="0" t="n">
        <v>1810.693</v>
      </c>
      <c r="J1327" s="0" t="n">
        <v>30187.452</v>
      </c>
      <c r="K1327" s="0" t="n">
        <v>41465.5840277778</v>
      </c>
      <c r="L1327" s="0" t="n">
        <v>39968</v>
      </c>
      <c r="M1327" s="0" t="n">
        <v>39932</v>
      </c>
      <c r="N1327" s="0" t="n">
        <v>13</v>
      </c>
      <c r="O1327" s="54" t="n">
        <f aca="false">YEAR(B1327)</f>
        <v>2021</v>
      </c>
      <c r="P1327" s="54" t="n">
        <f aca="false">IF(AND(E1327&gt;=14400,K1327&gt;0,L1327&gt;0),1,0)</f>
        <v>1</v>
      </c>
      <c r="Q1327" s="53" t="n">
        <f aca="false">IF(P1327=1,F1327/E1327*MIN(L1327/K1327,1)*MIN(MAX(M1327/L1327,0),1),0)</f>
        <v>0.531293417950196</v>
      </c>
      <c r="R1327" s="55" t="n">
        <f aca="false">IF(F1327&gt;0,N1327/(F1327/3600),0)</f>
        <v>1.18847725589744</v>
      </c>
    </row>
    <row r="1328" customFormat="false" ht="15" hidden="false" customHeight="false" outlineLevel="0" collapsed="false">
      <c r="A1328" s="0" t="s">
        <v>260</v>
      </c>
      <c r="B1328" s="52" t="n">
        <v>44360</v>
      </c>
      <c r="C1328" s="0" t="n">
        <v>85645.049</v>
      </c>
      <c r="D1328" s="0" t="n">
        <v>14287.277</v>
      </c>
      <c r="E1328" s="0" t="n">
        <v>71357.772</v>
      </c>
      <c r="F1328" s="0" t="n">
        <v>39153.519</v>
      </c>
      <c r="G1328" s="0" t="n">
        <v>37647.482</v>
      </c>
      <c r="H1328" s="0" t="n">
        <v>1506.037</v>
      </c>
      <c r="I1328" s="0" t="n">
        <v>2119.267</v>
      </c>
      <c r="J1328" s="0" t="n">
        <v>30084.986</v>
      </c>
      <c r="K1328" s="0" t="n">
        <v>40784.915625</v>
      </c>
      <c r="L1328" s="0" t="n">
        <v>39186</v>
      </c>
      <c r="M1328" s="0" t="n">
        <v>39157</v>
      </c>
      <c r="N1328" s="0" t="n">
        <v>12</v>
      </c>
      <c r="O1328" s="54" t="n">
        <f aca="false">YEAR(B1328)</f>
        <v>2021</v>
      </c>
      <c r="P1328" s="54" t="n">
        <f aca="false">IF(AND(E1328&gt;=14400,K1328&gt;0,L1328&gt;0),1,0)</f>
        <v>1</v>
      </c>
      <c r="Q1328" s="53" t="n">
        <f aca="false">IF(P1328=1,F1328/E1328*MIN(L1328/K1328,1)*MIN(MAX(M1328/L1328,0),1),0)</f>
        <v>0.526792232246265</v>
      </c>
      <c r="R1328" s="55" t="n">
        <f aca="false">IF(F1328&gt;0,N1328/(F1328/3600),0)</f>
        <v>1.10334910126469</v>
      </c>
    </row>
    <row r="1329" customFormat="false" ht="15" hidden="false" customHeight="false" outlineLevel="0" collapsed="false">
      <c r="A1329" s="0" t="s">
        <v>260</v>
      </c>
      <c r="B1329" s="52" t="n">
        <v>44361</v>
      </c>
      <c r="C1329" s="0" t="n">
        <v>58506.097</v>
      </c>
      <c r="D1329" s="0" t="n">
        <v>6926.775</v>
      </c>
      <c r="E1329" s="0" t="n">
        <v>51579.322</v>
      </c>
      <c r="F1329" s="0" t="n">
        <v>33831.137</v>
      </c>
      <c r="G1329" s="0" t="n">
        <v>31101.63</v>
      </c>
      <c r="H1329" s="0" t="n">
        <v>2729.507</v>
      </c>
      <c r="I1329" s="0" t="n">
        <v>3171.785</v>
      </c>
      <c r="J1329" s="0" t="n">
        <v>14576.4</v>
      </c>
      <c r="K1329" s="0" t="n">
        <v>35732.3397916667</v>
      </c>
      <c r="L1329" s="0" t="n">
        <v>32793</v>
      </c>
      <c r="M1329" s="0" t="n">
        <v>32739</v>
      </c>
      <c r="N1329" s="0" t="n">
        <v>16</v>
      </c>
      <c r="O1329" s="54" t="n">
        <f aca="false">YEAR(B1329)</f>
        <v>2021</v>
      </c>
      <c r="P1329" s="54" t="n">
        <f aca="false">IF(AND(E1329&gt;=14400,K1329&gt;0,L1329&gt;0),1,0)</f>
        <v>1</v>
      </c>
      <c r="Q1329" s="53" t="n">
        <f aca="false">IF(P1329=1,F1329/E1329*MIN(L1329/K1329,1)*MIN(MAX(M1329/L1329,0),1),0)</f>
        <v>0.6009591049731</v>
      </c>
      <c r="R1329" s="55" t="n">
        <f aca="false">IF(F1329&gt;0,N1329/(F1329/3600),0)</f>
        <v>1.70257357888977</v>
      </c>
    </row>
    <row r="1330" customFormat="false" ht="15" hidden="false" customHeight="false" outlineLevel="0" collapsed="false">
      <c r="A1330" s="0" t="s">
        <v>260</v>
      </c>
      <c r="B1330" s="52" t="n">
        <v>44362</v>
      </c>
      <c r="C1330" s="0" t="n">
        <v>86149.119</v>
      </c>
      <c r="D1330" s="0" t="n">
        <v>8694.269</v>
      </c>
      <c r="E1330" s="0" t="n">
        <v>77454.85</v>
      </c>
      <c r="F1330" s="0" t="n">
        <v>35455.27</v>
      </c>
      <c r="G1330" s="0" t="n">
        <v>31701.26</v>
      </c>
      <c r="H1330" s="0" t="n">
        <v>3754.01</v>
      </c>
      <c r="I1330" s="0" t="n">
        <v>3401.236</v>
      </c>
      <c r="J1330" s="0" t="n">
        <v>38598.344</v>
      </c>
      <c r="K1330" s="0" t="n">
        <v>36932.5729166667</v>
      </c>
      <c r="L1330" s="0" t="n">
        <v>32896</v>
      </c>
      <c r="M1330" s="0" t="n">
        <v>32824</v>
      </c>
      <c r="N1330" s="0" t="n">
        <v>24</v>
      </c>
      <c r="O1330" s="54" t="n">
        <f aca="false">YEAR(B1330)</f>
        <v>2021</v>
      </c>
      <c r="P1330" s="54" t="n">
        <f aca="false">IF(AND(E1330&gt;=14400,K1330&gt;0,L1330&gt;0),1,0)</f>
        <v>1</v>
      </c>
      <c r="Q1330" s="53" t="n">
        <f aca="false">IF(P1330=1,F1330/E1330*MIN(L1330/K1330,1)*MIN(MAX(M1330/L1330,0),1),0)</f>
        <v>0.406831076427106</v>
      </c>
      <c r="R1330" s="55" t="n">
        <f aca="false">IF(F1330&gt;0,N1330/(F1330/3600),0)</f>
        <v>2.43687327723072</v>
      </c>
    </row>
    <row r="1331" customFormat="false" ht="15" hidden="false" customHeight="false" outlineLevel="0" collapsed="false">
      <c r="A1331" s="0" t="s">
        <v>260</v>
      </c>
      <c r="B1331" s="52" t="n">
        <v>44363</v>
      </c>
      <c r="C1331" s="0" t="n">
        <v>67421.927</v>
      </c>
      <c r="D1331" s="0" t="n">
        <v>10518.997</v>
      </c>
      <c r="E1331" s="0" t="n">
        <v>56902.93</v>
      </c>
      <c r="F1331" s="0" t="n">
        <v>37619.914</v>
      </c>
      <c r="G1331" s="0" t="n">
        <v>35772.333</v>
      </c>
      <c r="H1331" s="0" t="n">
        <v>1847.581</v>
      </c>
      <c r="I1331" s="0" t="n">
        <v>3967.159</v>
      </c>
      <c r="J1331" s="0" t="n">
        <v>15315.857</v>
      </c>
      <c r="K1331" s="0" t="n">
        <v>39671.6479166667</v>
      </c>
      <c r="L1331" s="0" t="n">
        <v>36682</v>
      </c>
      <c r="M1331" s="0" t="n">
        <v>36647</v>
      </c>
      <c r="N1331" s="0" t="n">
        <v>20</v>
      </c>
      <c r="O1331" s="54" t="n">
        <f aca="false">YEAR(B1331)</f>
        <v>2021</v>
      </c>
      <c r="P1331" s="54" t="n">
        <f aca="false">IF(AND(E1331&gt;=14400,K1331&gt;0,L1331&gt;0),1,0)</f>
        <v>1</v>
      </c>
      <c r="Q1331" s="53" t="n">
        <f aca="false">IF(P1331=1,F1331/E1331*MIN(L1331/K1331,1)*MIN(MAX(M1331/L1331,0),1),0)</f>
        <v>0.610718894283437</v>
      </c>
      <c r="R1331" s="55" t="n">
        <f aca="false">IF(F1331&gt;0,N1331/(F1331/3600),0)</f>
        <v>1.91387997325034</v>
      </c>
    </row>
    <row r="1332" customFormat="false" ht="15" hidden="false" customHeight="false" outlineLevel="0" collapsed="false">
      <c r="A1332" s="0" t="s">
        <v>260</v>
      </c>
      <c r="B1332" s="52" t="n">
        <v>44364</v>
      </c>
      <c r="C1332" s="0" t="n">
        <v>45303.743</v>
      </c>
      <c r="D1332" s="0" t="n">
        <v>7552.092</v>
      </c>
      <c r="E1332" s="0" t="n">
        <v>37751.651</v>
      </c>
      <c r="F1332" s="0" t="n">
        <v>16505.148</v>
      </c>
      <c r="G1332" s="0" t="n">
        <v>13567.183</v>
      </c>
      <c r="H1332" s="0" t="n">
        <v>2937.965</v>
      </c>
      <c r="I1332" s="0" t="n">
        <v>1508.686</v>
      </c>
      <c r="J1332" s="0" t="n">
        <v>19737.817</v>
      </c>
      <c r="K1332" s="0" t="n">
        <v>17192.8625</v>
      </c>
      <c r="L1332" s="0" t="n">
        <v>14097</v>
      </c>
      <c r="M1332" s="0" t="n">
        <v>14062</v>
      </c>
      <c r="N1332" s="0" t="n">
        <v>8</v>
      </c>
      <c r="O1332" s="54" t="n">
        <f aca="false">YEAR(B1332)</f>
        <v>2021</v>
      </c>
      <c r="P1332" s="54" t="n">
        <f aca="false">IF(AND(E1332&gt;=14400,K1332&gt;0,L1332&gt;0),1,0)</f>
        <v>1</v>
      </c>
      <c r="Q1332" s="53" t="n">
        <f aca="false">IF(P1332=1,F1332/E1332*MIN(L1332/K1332,1)*MIN(MAX(M1332/L1332,0),1),0)</f>
        <v>0.357587539681377</v>
      </c>
      <c r="R1332" s="55" t="n">
        <f aca="false">IF(F1332&gt;0,N1332/(F1332/3600),0)</f>
        <v>1.7449101334929</v>
      </c>
    </row>
    <row r="1333" customFormat="false" ht="15" hidden="false" customHeight="false" outlineLevel="0" collapsed="false">
      <c r="A1333" s="0" t="s">
        <v>260</v>
      </c>
      <c r="B1333" s="52" t="n">
        <v>44365</v>
      </c>
      <c r="C1333" s="0" t="n">
        <v>52779.178</v>
      </c>
      <c r="D1333" s="0" t="n">
        <v>8062.45</v>
      </c>
      <c r="E1333" s="0" t="n">
        <v>44716.728</v>
      </c>
      <c r="F1333" s="0" t="n">
        <v>27530.346</v>
      </c>
      <c r="G1333" s="0" t="n">
        <v>25243.223</v>
      </c>
      <c r="H1333" s="0" t="n">
        <v>2287.123</v>
      </c>
      <c r="I1333" s="0" t="n">
        <v>1329.243</v>
      </c>
      <c r="J1333" s="0" t="n">
        <v>15857.139</v>
      </c>
      <c r="K1333" s="0" t="n">
        <v>29019.7375</v>
      </c>
      <c r="L1333" s="0" t="n">
        <v>26578</v>
      </c>
      <c r="M1333" s="0" t="n">
        <v>26544</v>
      </c>
      <c r="N1333" s="0" t="n">
        <v>10</v>
      </c>
      <c r="O1333" s="54" t="n">
        <f aca="false">YEAR(B1333)</f>
        <v>2021</v>
      </c>
      <c r="P1333" s="54" t="n">
        <f aca="false">IF(AND(E1333&gt;=14400,K1333&gt;0,L1333&gt;0),1,0)</f>
        <v>1</v>
      </c>
      <c r="Q1333" s="53" t="n">
        <f aca="false">IF(P1333=1,F1333/E1333*MIN(L1333/K1333,1)*MIN(MAX(M1333/L1333,0),1),0)</f>
        <v>0.563137619502281</v>
      </c>
      <c r="R1333" s="55" t="n">
        <f aca="false">IF(F1333&gt;0,N1333/(F1333/3600),0)</f>
        <v>1.30764793148622</v>
      </c>
    </row>
    <row r="1334" customFormat="false" ht="15" hidden="false" customHeight="false" outlineLevel="0" collapsed="false">
      <c r="A1334" s="0" t="s">
        <v>260</v>
      </c>
      <c r="B1334" s="52" t="n">
        <v>44366</v>
      </c>
      <c r="C1334" s="0" t="n">
        <v>75248.241</v>
      </c>
      <c r="D1334" s="0" t="n">
        <v>9490.656</v>
      </c>
      <c r="E1334" s="0" t="n">
        <v>65757.585</v>
      </c>
      <c r="F1334" s="0" t="n">
        <v>34871.116</v>
      </c>
      <c r="G1334" s="0" t="n">
        <v>33907.868</v>
      </c>
      <c r="H1334" s="0" t="n">
        <v>963.248</v>
      </c>
      <c r="I1334" s="0" t="n">
        <v>1559.677</v>
      </c>
      <c r="J1334" s="0" t="n">
        <v>29326.792</v>
      </c>
      <c r="K1334" s="0" t="n">
        <v>36324.0791666667</v>
      </c>
      <c r="L1334" s="0" t="n">
        <v>35304</v>
      </c>
      <c r="M1334" s="0" t="n">
        <v>35275</v>
      </c>
      <c r="N1334" s="0" t="n">
        <v>11</v>
      </c>
      <c r="O1334" s="54" t="n">
        <f aca="false">YEAR(B1334)</f>
        <v>2021</v>
      </c>
      <c r="P1334" s="54" t="n">
        <f aca="false">IF(AND(E1334&gt;=14400,K1334&gt;0,L1334&gt;0),1,0)</f>
        <v>1</v>
      </c>
      <c r="Q1334" s="53" t="n">
        <f aca="false">IF(P1334=1,F1334/E1334*MIN(L1334/K1334,1)*MIN(MAX(M1334/L1334,0),1),0)</f>
        <v>0.514982416096942</v>
      </c>
      <c r="R1334" s="55" t="n">
        <f aca="false">IF(F1334&gt;0,N1334/(F1334/3600),0)</f>
        <v>1.13561034295547</v>
      </c>
    </row>
    <row r="1335" customFormat="false" ht="15" hidden="false" customHeight="false" outlineLevel="0" collapsed="false">
      <c r="A1335" s="0" t="s">
        <v>260</v>
      </c>
      <c r="B1335" s="52" t="n">
        <v>44367</v>
      </c>
      <c r="C1335" s="0" t="n">
        <v>84134.191</v>
      </c>
      <c r="D1335" s="0" t="n">
        <v>7820.667</v>
      </c>
      <c r="E1335" s="0" t="n">
        <v>76313.524</v>
      </c>
      <c r="F1335" s="0" t="n">
        <v>45645.601</v>
      </c>
      <c r="G1335" s="0" t="n">
        <v>42162.242</v>
      </c>
      <c r="H1335" s="0" t="n">
        <v>3483.359</v>
      </c>
      <c r="I1335" s="0" t="n">
        <v>7893.181</v>
      </c>
      <c r="J1335" s="0" t="n">
        <v>22774.742</v>
      </c>
      <c r="K1335" s="0" t="n">
        <v>47972.5313888889</v>
      </c>
      <c r="L1335" s="0" t="n">
        <v>44041</v>
      </c>
      <c r="M1335" s="0" t="n">
        <v>43821</v>
      </c>
      <c r="N1335" s="0" t="n">
        <v>61</v>
      </c>
      <c r="O1335" s="54" t="n">
        <f aca="false">YEAR(B1335)</f>
        <v>2021</v>
      </c>
      <c r="P1335" s="54" t="n">
        <f aca="false">IF(AND(E1335&gt;=14400,K1335&gt;0,L1335&gt;0),1,0)</f>
        <v>1</v>
      </c>
      <c r="Q1335" s="53" t="n">
        <f aca="false">IF(P1335=1,F1335/E1335*MIN(L1335/K1335,1)*MIN(MAX(M1335/L1335,0),1),0)</f>
        <v>0.546370281763475</v>
      </c>
      <c r="R1335" s="55" t="n">
        <f aca="false">IF(F1335&gt;0,N1335/(F1335/3600),0)</f>
        <v>4.81097838979051</v>
      </c>
    </row>
    <row r="1336" customFormat="false" ht="15" hidden="false" customHeight="false" outlineLevel="0" collapsed="false">
      <c r="A1336" s="0" t="s">
        <v>260</v>
      </c>
      <c r="B1336" s="52" t="n">
        <v>44368</v>
      </c>
      <c r="C1336" s="0" t="n">
        <v>51855.057</v>
      </c>
      <c r="D1336" s="0" t="n">
        <v>9099.552</v>
      </c>
      <c r="E1336" s="0" t="n">
        <v>42755.505</v>
      </c>
      <c r="F1336" s="0" t="n">
        <v>28542.585</v>
      </c>
      <c r="G1336" s="0" t="n">
        <v>26100.275</v>
      </c>
      <c r="H1336" s="0" t="n">
        <v>2442.31</v>
      </c>
      <c r="I1336" s="0" t="n">
        <v>3816.39</v>
      </c>
      <c r="J1336" s="0" t="n">
        <v>10396.53</v>
      </c>
      <c r="K1336" s="0" t="n">
        <v>29731.859375</v>
      </c>
      <c r="L1336" s="0" t="n">
        <v>27103</v>
      </c>
      <c r="M1336" s="0" t="n">
        <v>26987</v>
      </c>
      <c r="N1336" s="0" t="n">
        <v>21</v>
      </c>
      <c r="O1336" s="54" t="n">
        <f aca="false">YEAR(B1336)</f>
        <v>2021</v>
      </c>
      <c r="P1336" s="54" t="n">
        <f aca="false">IF(AND(E1336&gt;=14400,K1336&gt;0,L1336&gt;0),1,0)</f>
        <v>1</v>
      </c>
      <c r="Q1336" s="53" t="n">
        <f aca="false">IF(P1336=1,F1336/E1336*MIN(L1336/K1336,1)*MIN(MAX(M1336/L1336,0),1),0)</f>
        <v>0.605945830835117</v>
      </c>
      <c r="R1336" s="55" t="n">
        <f aca="false">IF(F1336&gt;0,N1336/(F1336/3600),0)</f>
        <v>2.64867390252144</v>
      </c>
    </row>
    <row r="1337" customFormat="false" ht="15" hidden="false" customHeight="false" outlineLevel="0" collapsed="false">
      <c r="A1337" s="0" t="s">
        <v>260</v>
      </c>
      <c r="B1337" s="52" t="n">
        <v>44369</v>
      </c>
      <c r="C1337" s="0" t="n">
        <v>81255.665</v>
      </c>
      <c r="D1337" s="0" t="n">
        <v>3504.039</v>
      </c>
      <c r="E1337" s="0" t="n">
        <v>77751.626</v>
      </c>
      <c r="F1337" s="0" t="n">
        <v>39114.399</v>
      </c>
      <c r="G1337" s="0" t="n">
        <v>35643.415</v>
      </c>
      <c r="H1337" s="0" t="n">
        <v>3470.984</v>
      </c>
      <c r="I1337" s="0" t="n">
        <v>5050.196</v>
      </c>
      <c r="J1337" s="0" t="n">
        <v>33587.031</v>
      </c>
      <c r="K1337" s="0" t="n">
        <v>41372.0632916667</v>
      </c>
      <c r="L1337" s="0" t="n">
        <v>37524</v>
      </c>
      <c r="M1337" s="0" t="n">
        <v>37275</v>
      </c>
      <c r="N1337" s="0" t="n">
        <v>51</v>
      </c>
      <c r="O1337" s="54" t="n">
        <f aca="false">YEAR(B1337)</f>
        <v>2021</v>
      </c>
      <c r="P1337" s="54" t="n">
        <f aca="false">IF(AND(E1337&gt;=14400,K1337&gt;0,L1337&gt;0),1,0)</f>
        <v>1</v>
      </c>
      <c r="Q1337" s="53" t="n">
        <f aca="false">IF(P1337=1,F1337/E1337*MIN(L1337/K1337,1)*MIN(MAX(M1337/L1337,0),1),0)</f>
        <v>0.453249833525956</v>
      </c>
      <c r="R1337" s="55" t="n">
        <f aca="false">IF(F1337&gt;0,N1337/(F1337/3600),0)</f>
        <v>4.69392358553176</v>
      </c>
    </row>
    <row r="1338" customFormat="false" ht="15" hidden="false" customHeight="false" outlineLevel="0" collapsed="false">
      <c r="A1338" s="0" t="s">
        <v>260</v>
      </c>
      <c r="B1338" s="52" t="n">
        <v>44370</v>
      </c>
      <c r="C1338" s="0" t="n">
        <v>59696.839</v>
      </c>
      <c r="D1338" s="0" t="n">
        <v>16895.255</v>
      </c>
      <c r="E1338" s="0" t="n">
        <v>42801.584</v>
      </c>
      <c r="F1338" s="0" t="n">
        <v>26662.857</v>
      </c>
      <c r="G1338" s="0" t="n">
        <v>22829.839</v>
      </c>
      <c r="H1338" s="0" t="n">
        <v>3833.018</v>
      </c>
      <c r="I1338" s="0" t="n">
        <v>4547.424</v>
      </c>
      <c r="J1338" s="0" t="n">
        <v>11591.303</v>
      </c>
      <c r="K1338" s="0" t="n">
        <v>27773.809375</v>
      </c>
      <c r="L1338" s="0" t="n">
        <v>23650</v>
      </c>
      <c r="M1338" s="0" t="n">
        <v>23437</v>
      </c>
      <c r="N1338" s="0" t="n">
        <v>32</v>
      </c>
      <c r="O1338" s="54" t="n">
        <f aca="false">YEAR(B1338)</f>
        <v>2021</v>
      </c>
      <c r="P1338" s="54" t="n">
        <f aca="false">IF(AND(E1338&gt;=14400,K1338&gt;0,L1338&gt;0),1,0)</f>
        <v>1</v>
      </c>
      <c r="Q1338" s="53" t="n">
        <f aca="false">IF(P1338=1,F1338/E1338*MIN(L1338/K1338,1)*MIN(MAX(M1338/L1338,0),1),0)</f>
        <v>0.52567026491356</v>
      </c>
      <c r="R1338" s="55" t="n">
        <f aca="false">IF(F1338&gt;0,N1338/(F1338/3600),0)</f>
        <v>4.32061725418248</v>
      </c>
    </row>
    <row r="1339" customFormat="false" ht="15" hidden="false" customHeight="false" outlineLevel="0" collapsed="false">
      <c r="A1339" s="0" t="s">
        <v>260</v>
      </c>
      <c r="B1339" s="52" t="n">
        <v>44371</v>
      </c>
      <c r="C1339" s="0" t="n">
        <v>87365.206</v>
      </c>
      <c r="D1339" s="0" t="n">
        <v>7629.022</v>
      </c>
      <c r="E1339" s="0" t="n">
        <v>79736.184</v>
      </c>
      <c r="F1339" s="0" t="n">
        <v>47607.762</v>
      </c>
      <c r="G1339" s="0" t="n">
        <v>44666.73</v>
      </c>
      <c r="H1339" s="0" t="n">
        <v>2941.032</v>
      </c>
      <c r="I1339" s="0" t="n">
        <v>7519.553</v>
      </c>
      <c r="J1339" s="0" t="n">
        <v>24608.869</v>
      </c>
      <c r="K1339" s="0" t="n">
        <v>50024.1020138889</v>
      </c>
      <c r="L1339" s="0" t="n">
        <v>46641</v>
      </c>
      <c r="M1339" s="0" t="n">
        <v>46328</v>
      </c>
      <c r="N1339" s="0" t="n">
        <v>67</v>
      </c>
      <c r="O1339" s="54" t="n">
        <f aca="false">YEAR(B1339)</f>
        <v>2021</v>
      </c>
      <c r="P1339" s="54" t="n">
        <f aca="false">IF(AND(E1339&gt;=14400,K1339&gt;0,L1339&gt;0),1,0)</f>
        <v>1</v>
      </c>
      <c r="Q1339" s="53" t="n">
        <f aca="false">IF(P1339=1,F1339/E1339*MIN(L1339/K1339,1)*MIN(MAX(M1339/L1339,0),1),0)</f>
        <v>0.552950900045771</v>
      </c>
      <c r="R1339" s="55" t="n">
        <f aca="false">IF(F1339&gt;0,N1339/(F1339/3600),0)</f>
        <v>5.06640072683946</v>
      </c>
    </row>
    <row r="1340" customFormat="false" ht="15" hidden="false" customHeight="false" outlineLevel="0" collapsed="false">
      <c r="A1340" s="0" t="s">
        <v>260</v>
      </c>
      <c r="B1340" s="52" t="n">
        <v>44372</v>
      </c>
      <c r="C1340" s="0" t="n">
        <v>61305.881</v>
      </c>
      <c r="D1340" s="0" t="n">
        <v>7977.446</v>
      </c>
      <c r="E1340" s="0" t="n">
        <v>53328.435</v>
      </c>
      <c r="F1340" s="0" t="n">
        <v>29187.749</v>
      </c>
      <c r="G1340" s="0" t="n">
        <v>26384.404</v>
      </c>
      <c r="H1340" s="0" t="n">
        <v>2803.345</v>
      </c>
      <c r="I1340" s="0" t="n">
        <v>4255.068</v>
      </c>
      <c r="J1340" s="0" t="n">
        <v>19885.618</v>
      </c>
      <c r="K1340" s="0" t="n">
        <v>30403.9052083333</v>
      </c>
      <c r="L1340" s="0" t="n">
        <v>27458</v>
      </c>
      <c r="M1340" s="0" t="n">
        <v>27376</v>
      </c>
      <c r="N1340" s="0" t="n">
        <v>31</v>
      </c>
      <c r="O1340" s="54" t="n">
        <f aca="false">YEAR(B1340)</f>
        <v>2021</v>
      </c>
      <c r="P1340" s="54" t="n">
        <f aca="false">IF(AND(E1340&gt;=14400,K1340&gt;0,L1340&gt;0),1,0)</f>
        <v>1</v>
      </c>
      <c r="Q1340" s="53" t="n">
        <f aca="false">IF(P1340=1,F1340/E1340*MIN(L1340/K1340,1)*MIN(MAX(M1340/L1340,0),1),0)</f>
        <v>0.492813261818015</v>
      </c>
      <c r="R1340" s="55" t="n">
        <f aca="false">IF(F1340&gt;0,N1340/(F1340/3600),0)</f>
        <v>3.82352198520002</v>
      </c>
    </row>
    <row r="1341" customFormat="false" ht="15" hidden="false" customHeight="false" outlineLevel="0" collapsed="false">
      <c r="A1341" s="0" t="s">
        <v>260</v>
      </c>
      <c r="B1341" s="52" t="n">
        <v>44373</v>
      </c>
      <c r="C1341" s="0" t="n">
        <v>81948.955</v>
      </c>
      <c r="D1341" s="0" t="n">
        <v>9623.691</v>
      </c>
      <c r="E1341" s="0" t="n">
        <v>72325.264</v>
      </c>
      <c r="F1341" s="0" t="n">
        <v>32497.669</v>
      </c>
      <c r="G1341" s="0" t="n">
        <v>29398.138</v>
      </c>
      <c r="H1341" s="0" t="n">
        <v>3099.531</v>
      </c>
      <c r="I1341" s="0" t="n">
        <v>2371.067</v>
      </c>
      <c r="J1341" s="0" t="n">
        <v>37456.528</v>
      </c>
      <c r="K1341" s="0" t="n">
        <v>34324.7327777778</v>
      </c>
      <c r="L1341" s="0" t="n">
        <v>30941</v>
      </c>
      <c r="M1341" s="0" t="n">
        <v>30750</v>
      </c>
      <c r="N1341" s="0" t="n">
        <v>23</v>
      </c>
      <c r="O1341" s="54" t="n">
        <f aca="false">YEAR(B1341)</f>
        <v>2021</v>
      </c>
      <c r="P1341" s="54" t="n">
        <f aca="false">IF(AND(E1341&gt;=14400,K1341&gt;0,L1341&gt;0),1,0)</f>
        <v>1</v>
      </c>
      <c r="Q1341" s="53" t="n">
        <f aca="false">IF(P1341=1,F1341/E1341*MIN(L1341/K1341,1)*MIN(MAX(M1341/L1341,0),1),0)</f>
        <v>0.402531747414841</v>
      </c>
      <c r="R1341" s="55" t="n">
        <f aca="false">IF(F1341&gt;0,N1341/(F1341/3600),0)</f>
        <v>2.54787504913045</v>
      </c>
    </row>
    <row r="1342" customFormat="false" ht="15" hidden="false" customHeight="false" outlineLevel="0" collapsed="false">
      <c r="A1342" s="0" t="s">
        <v>260</v>
      </c>
      <c r="B1342" s="52" t="n">
        <v>44374</v>
      </c>
      <c r="C1342" s="0" t="n">
        <v>73128.13</v>
      </c>
      <c r="D1342" s="0" t="n">
        <v>2012.512</v>
      </c>
      <c r="E1342" s="0" t="n">
        <v>71115.618</v>
      </c>
      <c r="F1342" s="0" t="n">
        <v>31527.085</v>
      </c>
      <c r="G1342" s="0" t="n">
        <v>30477.236</v>
      </c>
      <c r="H1342" s="0" t="n">
        <v>1049.849</v>
      </c>
      <c r="I1342" s="0" t="n">
        <v>2250.057</v>
      </c>
      <c r="J1342" s="0" t="n">
        <v>37338.476</v>
      </c>
      <c r="K1342" s="0" t="n">
        <v>32840.7135416667</v>
      </c>
      <c r="L1342" s="0" t="n">
        <v>31686</v>
      </c>
      <c r="M1342" s="0" t="n">
        <v>31669</v>
      </c>
      <c r="N1342" s="0" t="n">
        <v>16</v>
      </c>
      <c r="O1342" s="54" t="n">
        <f aca="false">YEAR(B1342)</f>
        <v>2021</v>
      </c>
      <c r="P1342" s="54" t="n">
        <f aca="false">IF(AND(E1342&gt;=14400,K1342&gt;0,L1342&gt;0),1,0)</f>
        <v>1</v>
      </c>
      <c r="Q1342" s="53" t="n">
        <f aca="false">IF(P1342=1,F1342/E1342*MIN(L1342/K1342,1)*MIN(MAX(M1342/L1342,0),1),0)</f>
        <v>0.427504405572346</v>
      </c>
      <c r="R1342" s="55" t="n">
        <f aca="false">IF(F1342&gt;0,N1342/(F1342/3600),0)</f>
        <v>1.8270004981431</v>
      </c>
    </row>
    <row r="1343" customFormat="false" ht="15" hidden="false" customHeight="false" outlineLevel="0" collapsed="false">
      <c r="A1343" s="0" t="s">
        <v>260</v>
      </c>
      <c r="B1343" s="52" t="n">
        <v>44375</v>
      </c>
      <c r="C1343" s="0" t="n">
        <v>86463.609</v>
      </c>
      <c r="D1343" s="0" t="n">
        <v>8776.36</v>
      </c>
      <c r="E1343" s="0" t="n">
        <v>77687.249</v>
      </c>
      <c r="F1343" s="0" t="n">
        <v>38729.526</v>
      </c>
      <c r="G1343" s="0" t="n">
        <v>32463.955</v>
      </c>
      <c r="H1343" s="0" t="n">
        <v>6265.571</v>
      </c>
      <c r="I1343" s="0" t="n">
        <v>4261.194</v>
      </c>
      <c r="J1343" s="0" t="n">
        <v>34696.529</v>
      </c>
      <c r="K1343" s="0" t="n">
        <v>40822.2519444445</v>
      </c>
      <c r="L1343" s="0" t="n">
        <v>34200</v>
      </c>
      <c r="M1343" s="0" t="n">
        <v>34103</v>
      </c>
      <c r="N1343" s="0" t="n">
        <v>23</v>
      </c>
      <c r="O1343" s="54" t="n">
        <f aca="false">YEAR(B1343)</f>
        <v>2021</v>
      </c>
      <c r="P1343" s="54" t="n">
        <f aca="false">IF(AND(E1343&gt;=14400,K1343&gt;0,L1343&gt;0),1,0)</f>
        <v>1</v>
      </c>
      <c r="Q1343" s="53" t="n">
        <f aca="false">IF(P1343=1,F1343/E1343*MIN(L1343/K1343,1)*MIN(MAX(M1343/L1343,0),1),0)</f>
        <v>0.416474164183909</v>
      </c>
      <c r="R1343" s="55" t="n">
        <f aca="false">IF(F1343&gt;0,N1343/(F1343/3600),0)</f>
        <v>2.13790377914772</v>
      </c>
    </row>
    <row r="1344" customFormat="false" ht="15" hidden="false" customHeight="false" outlineLevel="0" collapsed="false">
      <c r="A1344" s="0" t="s">
        <v>260</v>
      </c>
      <c r="B1344" s="52" t="n">
        <v>44376</v>
      </c>
      <c r="C1344" s="0" t="n">
        <v>76512.12</v>
      </c>
      <c r="D1344" s="0" t="n">
        <v>1957.182</v>
      </c>
      <c r="E1344" s="0" t="n">
        <v>74554.938</v>
      </c>
      <c r="F1344" s="0" t="n">
        <v>34011.909</v>
      </c>
      <c r="G1344" s="0" t="n">
        <v>31432.45</v>
      </c>
      <c r="H1344" s="0" t="n">
        <v>2579.459</v>
      </c>
      <c r="I1344" s="0" t="n">
        <v>2202.206</v>
      </c>
      <c r="J1344" s="0" t="n">
        <v>38340.823</v>
      </c>
      <c r="K1344" s="0" t="n">
        <v>35429.071875</v>
      </c>
      <c r="L1344" s="0" t="n">
        <v>32683</v>
      </c>
      <c r="M1344" s="0" t="n">
        <v>32666</v>
      </c>
      <c r="N1344" s="0" t="n">
        <v>14</v>
      </c>
      <c r="O1344" s="54" t="n">
        <f aca="false">YEAR(B1344)</f>
        <v>2021</v>
      </c>
      <c r="P1344" s="54" t="n">
        <f aca="false">IF(AND(E1344&gt;=14400,K1344&gt;0,L1344&gt;0),1,0)</f>
        <v>1</v>
      </c>
      <c r="Q1344" s="53" t="n">
        <f aca="false">IF(P1344=1,F1344/E1344*MIN(L1344/K1344,1)*MIN(MAX(M1344/L1344,0),1),0)</f>
        <v>0.42062083131234</v>
      </c>
      <c r="R1344" s="55" t="n">
        <f aca="false">IF(F1344&gt;0,N1344/(F1344/3600),0)</f>
        <v>1.48183390705885</v>
      </c>
    </row>
    <row r="1345" customFormat="false" ht="15" hidden="false" customHeight="false" outlineLevel="0" collapsed="false">
      <c r="A1345" s="0" t="s">
        <v>260</v>
      </c>
      <c r="B1345" s="52" t="n">
        <v>44377</v>
      </c>
      <c r="C1345" s="0" t="n">
        <v>99591.139</v>
      </c>
      <c r="D1345" s="0" t="n">
        <v>7193.314</v>
      </c>
      <c r="E1345" s="0" t="n">
        <v>92397.825</v>
      </c>
      <c r="F1345" s="0" t="n">
        <v>41250.645</v>
      </c>
      <c r="G1345" s="0" t="n">
        <v>38400.064</v>
      </c>
      <c r="H1345" s="0" t="n">
        <v>2850.581</v>
      </c>
      <c r="I1345" s="0" t="n">
        <v>4411.256</v>
      </c>
      <c r="J1345" s="0" t="n">
        <v>46735.924</v>
      </c>
      <c r="K1345" s="0" t="n">
        <v>43173.8752777778</v>
      </c>
      <c r="L1345" s="0" t="n">
        <v>40146</v>
      </c>
      <c r="M1345" s="0" t="n">
        <v>40108</v>
      </c>
      <c r="N1345" s="0" t="n">
        <v>21</v>
      </c>
      <c r="O1345" s="54" t="n">
        <f aca="false">YEAR(B1345)</f>
        <v>2021</v>
      </c>
      <c r="P1345" s="54" t="n">
        <f aca="false">IF(AND(E1345&gt;=14400,K1345&gt;0,L1345&gt;0),1,0)</f>
        <v>1</v>
      </c>
      <c r="Q1345" s="53" t="n">
        <f aca="false">IF(P1345=1,F1345/E1345*MIN(L1345/K1345,1)*MIN(MAX(M1345/L1345,0),1),0)</f>
        <v>0.414742908584</v>
      </c>
      <c r="R1345" s="55" t="n">
        <f aca="false">IF(F1345&gt;0,N1345/(F1345/3600),0)</f>
        <v>1.83269861598528</v>
      </c>
    </row>
    <row r="1346" customFormat="false" ht="15" hidden="false" customHeight="false" outlineLevel="0" collapsed="false">
      <c r="A1346" s="0" t="s">
        <v>260</v>
      </c>
      <c r="B1346" s="52" t="n">
        <v>44378</v>
      </c>
      <c r="C1346" s="0" t="n">
        <v>67553.581</v>
      </c>
      <c r="D1346" s="0" t="n">
        <v>10810.815</v>
      </c>
      <c r="E1346" s="0" t="n">
        <v>56742.766</v>
      </c>
      <c r="F1346" s="0" t="n">
        <v>34448.827</v>
      </c>
      <c r="G1346" s="0" t="n">
        <v>30969.072</v>
      </c>
      <c r="H1346" s="0" t="n">
        <v>3479.755</v>
      </c>
      <c r="I1346" s="0" t="n">
        <v>2328.137</v>
      </c>
      <c r="J1346" s="0" t="n">
        <v>19965.802</v>
      </c>
      <c r="K1346" s="0" t="n">
        <v>35884.1947916667</v>
      </c>
      <c r="L1346" s="0" t="n">
        <v>31273</v>
      </c>
      <c r="M1346" s="0" t="n">
        <v>31245</v>
      </c>
      <c r="N1346" s="0" t="n">
        <v>12</v>
      </c>
      <c r="O1346" s="54" t="n">
        <f aca="false">YEAR(B1346)</f>
        <v>2021</v>
      </c>
      <c r="P1346" s="54" t="n">
        <f aca="false">IF(AND(E1346&gt;=14400,K1346&gt;0,L1346&gt;0),1,0)</f>
        <v>1</v>
      </c>
      <c r="Q1346" s="53" t="n">
        <f aca="false">IF(P1346=1,F1346/E1346*MIN(L1346/K1346,1)*MIN(MAX(M1346/L1346,0),1),0)</f>
        <v>0.528617163287387</v>
      </c>
      <c r="R1346" s="55" t="n">
        <f aca="false">IF(F1346&gt;0,N1346/(F1346/3600),0)</f>
        <v>1.25403399076549</v>
      </c>
    </row>
    <row r="1347" customFormat="false" ht="15" hidden="false" customHeight="false" outlineLevel="0" collapsed="false">
      <c r="A1347" s="0" t="s">
        <v>260</v>
      </c>
      <c r="B1347" s="52" t="n">
        <v>44379</v>
      </c>
      <c r="C1347" s="0" t="n">
        <v>73814.8</v>
      </c>
      <c r="D1347" s="0" t="n">
        <v>6174.783</v>
      </c>
      <c r="E1347" s="0" t="n">
        <v>67640.017</v>
      </c>
      <c r="F1347" s="0" t="n">
        <v>24574.098</v>
      </c>
      <c r="G1347" s="0" t="n">
        <v>22746.239</v>
      </c>
      <c r="H1347" s="0" t="n">
        <v>1827.859</v>
      </c>
      <c r="I1347" s="0" t="n">
        <v>4669.494</v>
      </c>
      <c r="J1347" s="0" t="n">
        <v>38396.425</v>
      </c>
      <c r="K1347" s="0" t="n">
        <v>25839.4634027778</v>
      </c>
      <c r="L1347" s="0" t="n">
        <v>23867</v>
      </c>
      <c r="M1347" s="0" t="n">
        <v>23827</v>
      </c>
      <c r="N1347" s="0" t="n">
        <v>21</v>
      </c>
      <c r="O1347" s="54" t="n">
        <f aca="false">YEAR(B1347)</f>
        <v>2021</v>
      </c>
      <c r="P1347" s="54" t="n">
        <f aca="false">IF(AND(E1347&gt;=14400,K1347&gt;0,L1347&gt;0),1,0)</f>
        <v>1</v>
      </c>
      <c r="Q1347" s="53" t="n">
        <f aca="false">IF(P1347=1,F1347/E1347*MIN(L1347/K1347,1)*MIN(MAX(M1347/L1347,0),1),0)</f>
        <v>0.335011528247977</v>
      </c>
      <c r="R1347" s="55" t="n">
        <f aca="false">IF(F1347&gt;0,N1347/(F1347/3600),0)</f>
        <v>3.07640996629866</v>
      </c>
    </row>
    <row r="1348" customFormat="false" ht="15" hidden="false" customHeight="false" outlineLevel="0" collapsed="false">
      <c r="A1348" s="0" t="s">
        <v>260</v>
      </c>
      <c r="B1348" s="52" t="n">
        <v>44380</v>
      </c>
      <c r="C1348" s="0" t="n">
        <v>84189.66</v>
      </c>
      <c r="D1348" s="0" t="n">
        <v>10027.161</v>
      </c>
      <c r="E1348" s="0" t="n">
        <v>74162.499</v>
      </c>
      <c r="F1348" s="0" t="n">
        <v>36536.38</v>
      </c>
      <c r="G1348" s="0" t="n">
        <v>33302.118</v>
      </c>
      <c r="H1348" s="0" t="n">
        <v>3234.262</v>
      </c>
      <c r="I1348" s="0" t="n">
        <v>7416.806</v>
      </c>
      <c r="J1348" s="0" t="n">
        <v>30209.313</v>
      </c>
      <c r="K1348" s="0" t="n">
        <v>38058.7291666667</v>
      </c>
      <c r="L1348" s="0" t="n">
        <v>34568</v>
      </c>
      <c r="M1348" s="0" t="n">
        <v>34462</v>
      </c>
      <c r="N1348" s="0" t="n">
        <v>40</v>
      </c>
      <c r="O1348" s="54" t="n">
        <f aca="false">YEAR(B1348)</f>
        <v>2021</v>
      </c>
      <c r="P1348" s="54" t="n">
        <f aca="false">IF(AND(E1348&gt;=14400,K1348&gt;0,L1348&gt;0),1,0)</f>
        <v>1</v>
      </c>
      <c r="Q1348" s="53" t="n">
        <f aca="false">IF(P1348=1,F1348/E1348*MIN(L1348/K1348,1)*MIN(MAX(M1348/L1348,0),1),0)</f>
        <v>0.446095000115894</v>
      </c>
      <c r="R1348" s="55" t="n">
        <f aca="false">IF(F1348&gt;0,N1348/(F1348/3600),0)</f>
        <v>3.94127715991568</v>
      </c>
    </row>
    <row r="1349" customFormat="false" ht="15" hidden="false" customHeight="false" outlineLevel="0" collapsed="false">
      <c r="A1349" s="0" t="s">
        <v>260</v>
      </c>
      <c r="B1349" s="52" t="n">
        <v>44381</v>
      </c>
      <c r="C1349" s="0" t="n">
        <v>84783.155</v>
      </c>
      <c r="D1349" s="0" t="n">
        <v>5794.732</v>
      </c>
      <c r="E1349" s="0" t="n">
        <v>78988.423</v>
      </c>
      <c r="F1349" s="0" t="n">
        <v>37279.856</v>
      </c>
      <c r="G1349" s="0" t="n">
        <v>34925.319</v>
      </c>
      <c r="H1349" s="0" t="n">
        <v>2354.537</v>
      </c>
      <c r="I1349" s="0" t="n">
        <v>3096.371</v>
      </c>
      <c r="J1349" s="0" t="n">
        <v>38612.196</v>
      </c>
      <c r="K1349" s="0" t="n">
        <v>38992.5157638889</v>
      </c>
      <c r="L1349" s="0" t="n">
        <v>35447</v>
      </c>
      <c r="M1349" s="0" t="n">
        <v>35407</v>
      </c>
      <c r="N1349" s="0" t="n">
        <v>20</v>
      </c>
      <c r="O1349" s="54" t="n">
        <f aca="false">YEAR(B1349)</f>
        <v>2021</v>
      </c>
      <c r="P1349" s="54" t="n">
        <f aca="false">IF(AND(E1349&gt;=14400,K1349&gt;0,L1349&gt;0),1,0)</f>
        <v>1</v>
      </c>
      <c r="Q1349" s="53" t="n">
        <f aca="false">IF(P1349=1,F1349/E1349*MIN(L1349/K1349,1)*MIN(MAX(M1349/L1349,0),1),0)</f>
        <v>0.42856693142041</v>
      </c>
      <c r="R1349" s="55" t="n">
        <f aca="false">IF(F1349&gt;0,N1349/(F1349/3600),0)</f>
        <v>1.93133793220661</v>
      </c>
    </row>
    <row r="1350" customFormat="false" ht="15" hidden="false" customHeight="false" outlineLevel="0" collapsed="false">
      <c r="A1350" s="0" t="s">
        <v>260</v>
      </c>
      <c r="B1350" s="52" t="n">
        <v>44382</v>
      </c>
      <c r="C1350" s="0" t="n">
        <v>81920.727</v>
      </c>
      <c r="D1350" s="0" t="n">
        <v>6757.362</v>
      </c>
      <c r="E1350" s="0" t="n">
        <v>75163.365</v>
      </c>
      <c r="F1350" s="0" t="n">
        <v>26216.281</v>
      </c>
      <c r="G1350" s="0" t="n">
        <v>24047.2</v>
      </c>
      <c r="H1350" s="0" t="n">
        <v>2169.081</v>
      </c>
      <c r="I1350" s="0" t="n">
        <v>5664.659</v>
      </c>
      <c r="J1350" s="0" t="n">
        <v>43282.425</v>
      </c>
      <c r="K1350" s="0" t="n">
        <v>27308.6260416667</v>
      </c>
      <c r="L1350" s="0" t="n">
        <v>24676</v>
      </c>
      <c r="M1350" s="0" t="n">
        <v>24647</v>
      </c>
      <c r="N1350" s="0" t="n">
        <v>64</v>
      </c>
      <c r="O1350" s="54" t="n">
        <f aca="false">YEAR(B1350)</f>
        <v>2021</v>
      </c>
      <c r="P1350" s="54" t="n">
        <f aca="false">IF(AND(E1350&gt;=14400,K1350&gt;0,L1350&gt;0),1,0)</f>
        <v>1</v>
      </c>
      <c r="Q1350" s="53" t="n">
        <f aca="false">IF(P1350=1,F1350/E1350*MIN(L1350/K1350,1)*MIN(MAX(M1350/L1350,0),1),0)</f>
        <v>0.314795911545472</v>
      </c>
      <c r="R1350" s="55" t="n">
        <f aca="false">IF(F1350&gt;0,N1350/(F1350/3600),0)</f>
        <v>8.78843189085439</v>
      </c>
    </row>
    <row r="1351" customFormat="false" ht="15" hidden="false" customHeight="false" outlineLevel="0" collapsed="false">
      <c r="A1351" s="0" t="s">
        <v>260</v>
      </c>
      <c r="B1351" s="52" t="n">
        <v>44383</v>
      </c>
      <c r="C1351" s="0" t="n">
        <v>87650.897</v>
      </c>
      <c r="D1351" s="0" t="n">
        <v>9314.109</v>
      </c>
      <c r="E1351" s="0" t="n">
        <v>78336.788</v>
      </c>
      <c r="F1351" s="0" t="n">
        <v>42630.111</v>
      </c>
      <c r="G1351" s="0" t="n">
        <v>37423.192</v>
      </c>
      <c r="H1351" s="0" t="n">
        <v>5206.919</v>
      </c>
      <c r="I1351" s="0" t="n">
        <v>3054.974</v>
      </c>
      <c r="J1351" s="0" t="n">
        <v>32651.703</v>
      </c>
      <c r="K1351" s="0" t="n">
        <v>44860.2320833333</v>
      </c>
      <c r="L1351" s="0" t="n">
        <v>38426</v>
      </c>
      <c r="M1351" s="0" t="n">
        <v>38326</v>
      </c>
      <c r="N1351" s="0" t="n">
        <v>25</v>
      </c>
      <c r="O1351" s="54" t="n">
        <f aca="false">YEAR(B1351)</f>
        <v>2021</v>
      </c>
      <c r="P1351" s="54" t="n">
        <f aca="false">IF(AND(E1351&gt;=14400,K1351&gt;0,L1351&gt;0),1,0)</f>
        <v>1</v>
      </c>
      <c r="Q1351" s="53" t="n">
        <f aca="false">IF(P1351=1,F1351/E1351*MIN(L1351/K1351,1)*MIN(MAX(M1351/L1351,0),1),0)</f>
        <v>0.464924767134724</v>
      </c>
      <c r="R1351" s="55" t="n">
        <f aca="false">IF(F1351&gt;0,N1351/(F1351/3600),0)</f>
        <v>2.11118380620684</v>
      </c>
    </row>
    <row r="1352" customFormat="false" ht="15" hidden="false" customHeight="false" outlineLevel="0" collapsed="false">
      <c r="A1352" s="0" t="s">
        <v>260</v>
      </c>
      <c r="B1352" s="52" t="n">
        <v>44384</v>
      </c>
      <c r="C1352" s="0" t="n">
        <v>83883.956</v>
      </c>
      <c r="D1352" s="0" t="n">
        <v>7322.055</v>
      </c>
      <c r="E1352" s="0" t="n">
        <v>76561.901</v>
      </c>
      <c r="F1352" s="0" t="n">
        <v>40218.436</v>
      </c>
      <c r="G1352" s="0" t="n">
        <v>37821.75</v>
      </c>
      <c r="H1352" s="0" t="n">
        <v>2396.686</v>
      </c>
      <c r="I1352" s="0" t="n">
        <v>4928.27</v>
      </c>
      <c r="J1352" s="0" t="n">
        <v>31415.195</v>
      </c>
      <c r="K1352" s="0" t="n">
        <v>41894.2041666667</v>
      </c>
      <c r="L1352" s="0" t="n">
        <v>39243</v>
      </c>
      <c r="M1352" s="0" t="n">
        <v>39182</v>
      </c>
      <c r="N1352" s="0" t="n">
        <v>37</v>
      </c>
      <c r="O1352" s="54" t="n">
        <f aca="false">YEAR(B1352)</f>
        <v>2021</v>
      </c>
      <c r="P1352" s="54" t="n">
        <f aca="false">IF(AND(E1352&gt;=14400,K1352&gt;0,L1352&gt;0),1,0)</f>
        <v>1</v>
      </c>
      <c r="Q1352" s="53" t="n">
        <f aca="false">IF(P1352=1,F1352/E1352*MIN(L1352/K1352,1)*MIN(MAX(M1352/L1352,0),1),0)</f>
        <v>0.491298145797085</v>
      </c>
      <c r="R1352" s="55" t="n">
        <f aca="false">IF(F1352&gt;0,N1352/(F1352/3600),0)</f>
        <v>3.31191396900665</v>
      </c>
    </row>
    <row r="1353" customFormat="false" ht="15" hidden="false" customHeight="false" outlineLevel="0" collapsed="false">
      <c r="A1353" s="0" t="s">
        <v>260</v>
      </c>
      <c r="B1353" s="52" t="n">
        <v>44385</v>
      </c>
      <c r="C1353" s="0" t="n">
        <v>71627.803</v>
      </c>
      <c r="D1353" s="0" t="n">
        <v>9511.425</v>
      </c>
      <c r="E1353" s="0" t="n">
        <v>62116.378</v>
      </c>
      <c r="F1353" s="0" t="n">
        <v>44673.281</v>
      </c>
      <c r="G1353" s="0" t="n">
        <v>41674.54</v>
      </c>
      <c r="H1353" s="0" t="n">
        <v>2998.741</v>
      </c>
      <c r="I1353" s="0" t="n">
        <v>8668.665</v>
      </c>
      <c r="J1353" s="0" t="n">
        <v>8774.432</v>
      </c>
      <c r="K1353" s="0" t="n">
        <v>47355.0913888889</v>
      </c>
      <c r="L1353" s="0" t="n">
        <v>43952</v>
      </c>
      <c r="M1353" s="0" t="n">
        <v>43614</v>
      </c>
      <c r="N1353" s="0" t="n">
        <v>87</v>
      </c>
      <c r="O1353" s="54" t="n">
        <f aca="false">YEAR(B1353)</f>
        <v>2021</v>
      </c>
      <c r="P1353" s="54" t="n">
        <f aca="false">IF(AND(E1353&gt;=14400,K1353&gt;0,L1353&gt;0),1,0)</f>
        <v>1</v>
      </c>
      <c r="Q1353" s="53" t="n">
        <f aca="false">IF(P1353=1,F1353/E1353*MIN(L1353/K1353,1)*MIN(MAX(M1353/L1353,0),1),0)</f>
        <v>0.662370475787545</v>
      </c>
      <c r="R1353" s="55" t="n">
        <f aca="false">IF(F1353&gt;0,N1353/(F1353/3600),0)</f>
        <v>7.01090210947345</v>
      </c>
    </row>
    <row r="1354" customFormat="false" ht="15" hidden="false" customHeight="false" outlineLevel="0" collapsed="false">
      <c r="A1354" s="0" t="s">
        <v>260</v>
      </c>
      <c r="B1354" s="52" t="n">
        <v>44386</v>
      </c>
      <c r="C1354" s="0" t="n">
        <v>63888.099</v>
      </c>
      <c r="D1354" s="0" t="n">
        <v>11171.517</v>
      </c>
      <c r="E1354" s="0" t="n">
        <v>52716.582</v>
      </c>
      <c r="F1354" s="0" t="n">
        <v>18411.367</v>
      </c>
      <c r="G1354" s="0" t="n">
        <v>15220.308</v>
      </c>
      <c r="H1354" s="0" t="n">
        <v>3191.059</v>
      </c>
      <c r="I1354" s="0" t="n">
        <v>3923.496</v>
      </c>
      <c r="J1354" s="0" t="n">
        <v>30381.719</v>
      </c>
      <c r="K1354" s="0" t="n">
        <v>19178.5072916667</v>
      </c>
      <c r="L1354" s="0" t="n">
        <v>15758</v>
      </c>
      <c r="M1354" s="0" t="n">
        <v>15695</v>
      </c>
      <c r="N1354" s="0" t="n">
        <v>25</v>
      </c>
      <c r="O1354" s="54" t="n">
        <f aca="false">YEAR(B1354)</f>
        <v>2021</v>
      </c>
      <c r="P1354" s="54" t="n">
        <f aca="false">IF(AND(E1354&gt;=14400,K1354&gt;0,L1354&gt;0),1,0)</f>
        <v>1</v>
      </c>
      <c r="Q1354" s="53" t="n">
        <f aca="false">IF(P1354=1,F1354/E1354*MIN(L1354/K1354,1)*MIN(MAX(M1354/L1354,0),1),0)</f>
        <v>0.28581519188782</v>
      </c>
      <c r="R1354" s="55" t="n">
        <f aca="false">IF(F1354&gt;0,N1354/(F1354/3600),0)</f>
        <v>4.88828450380681</v>
      </c>
    </row>
    <row r="1355" customFormat="false" ht="15" hidden="false" customHeight="false" outlineLevel="0" collapsed="false">
      <c r="A1355" s="0" t="s">
        <v>260</v>
      </c>
      <c r="B1355" s="52" t="n">
        <v>44387</v>
      </c>
      <c r="C1355" s="0" t="n">
        <v>97934.057</v>
      </c>
      <c r="D1355" s="0" t="n">
        <v>9981.451</v>
      </c>
      <c r="E1355" s="0" t="n">
        <v>87952.606</v>
      </c>
      <c r="F1355" s="0" t="n">
        <v>44560.143</v>
      </c>
      <c r="G1355" s="0" t="n">
        <v>40663.38</v>
      </c>
      <c r="H1355" s="0" t="n">
        <v>3896.763</v>
      </c>
      <c r="I1355" s="0" t="n">
        <v>6158.773</v>
      </c>
      <c r="J1355" s="0" t="n">
        <v>37233.69</v>
      </c>
      <c r="K1355" s="0" t="n">
        <v>47062.5297916667</v>
      </c>
      <c r="L1355" s="0" t="n">
        <v>42744</v>
      </c>
      <c r="M1355" s="0" t="n">
        <v>42631</v>
      </c>
      <c r="N1355" s="0" t="n">
        <v>63</v>
      </c>
      <c r="O1355" s="54" t="n">
        <f aca="false">YEAR(B1355)</f>
        <v>2021</v>
      </c>
      <c r="P1355" s="54" t="n">
        <f aca="false">IF(AND(E1355&gt;=14400,K1355&gt;0,L1355&gt;0),1,0)</f>
        <v>1</v>
      </c>
      <c r="Q1355" s="53" t="n">
        <f aca="false">IF(P1355=1,F1355/E1355*MIN(L1355/K1355,1)*MIN(MAX(M1355/L1355,0),1),0)</f>
        <v>0.458931761895092</v>
      </c>
      <c r="R1355" s="55" t="n">
        <f aca="false">IF(F1355&gt;0,N1355/(F1355/3600),0)</f>
        <v>5.08975027301865</v>
      </c>
    </row>
    <row r="1356" customFormat="false" ht="15" hidden="false" customHeight="false" outlineLevel="0" collapsed="false">
      <c r="A1356" s="0" t="s">
        <v>260</v>
      </c>
      <c r="B1356" s="52" t="n">
        <v>44388</v>
      </c>
      <c r="C1356" s="0" t="n">
        <v>87680.774</v>
      </c>
      <c r="D1356" s="0" t="n">
        <v>8741.034</v>
      </c>
      <c r="E1356" s="0" t="n">
        <v>78939.74</v>
      </c>
      <c r="F1356" s="0" t="n">
        <v>37076.025</v>
      </c>
      <c r="G1356" s="0" t="n">
        <v>33734.037</v>
      </c>
      <c r="H1356" s="0" t="n">
        <v>3341.988</v>
      </c>
      <c r="I1356" s="0" t="n">
        <v>6602.178</v>
      </c>
      <c r="J1356" s="0" t="n">
        <v>35261.537</v>
      </c>
      <c r="K1356" s="0" t="n">
        <v>38620.859375</v>
      </c>
      <c r="L1356" s="0" t="n">
        <v>34991</v>
      </c>
      <c r="M1356" s="0" t="n">
        <v>34860</v>
      </c>
      <c r="N1356" s="0" t="n">
        <v>45</v>
      </c>
      <c r="O1356" s="54" t="n">
        <f aca="false">YEAR(B1356)</f>
        <v>2021</v>
      </c>
      <c r="P1356" s="54" t="n">
        <f aca="false">IF(AND(E1356&gt;=14400,K1356&gt;0,L1356&gt;0),1,0)</f>
        <v>1</v>
      </c>
      <c r="Q1356" s="53" t="n">
        <f aca="false">IF(P1356=1,F1356/E1356*MIN(L1356/K1356,1)*MIN(MAX(M1356/L1356,0),1),0)</f>
        <v>0.423938563770289</v>
      </c>
      <c r="R1356" s="55" t="n">
        <f aca="false">IF(F1356&gt;0,N1356/(F1356/3600),0)</f>
        <v>4.36940044139036</v>
      </c>
    </row>
    <row r="1357" customFormat="false" ht="15" hidden="false" customHeight="false" outlineLevel="0" collapsed="false">
      <c r="A1357" s="0" t="s">
        <v>260</v>
      </c>
      <c r="B1357" s="52" t="n">
        <v>44389</v>
      </c>
      <c r="C1357" s="0" t="n">
        <v>48683.11</v>
      </c>
      <c r="D1357" s="0" t="n">
        <v>0</v>
      </c>
      <c r="E1357" s="0" t="n">
        <v>48683.11</v>
      </c>
      <c r="F1357" s="0" t="n">
        <v>41185.108</v>
      </c>
      <c r="G1357" s="0" t="n">
        <v>36645.762</v>
      </c>
      <c r="H1357" s="0" t="n">
        <v>4539.346</v>
      </c>
      <c r="I1357" s="0" t="n">
        <v>5902.38</v>
      </c>
      <c r="J1357" s="0" t="n">
        <v>1595.622</v>
      </c>
      <c r="K1357" s="0" t="n">
        <v>43173.6679166667</v>
      </c>
      <c r="L1357" s="0" t="n">
        <v>37245</v>
      </c>
      <c r="M1357" s="0" t="n">
        <v>36943</v>
      </c>
      <c r="N1357" s="0" t="n">
        <v>57</v>
      </c>
      <c r="O1357" s="54" t="n">
        <f aca="false">YEAR(B1357)</f>
        <v>2021</v>
      </c>
      <c r="P1357" s="54" t="n">
        <f aca="false">IF(AND(E1357&gt;=14400,K1357&gt;0,L1357&gt;0),1,0)</f>
        <v>1</v>
      </c>
      <c r="Q1357" s="53" t="n">
        <f aca="false">IF(P1357=1,F1357/E1357*MIN(L1357/K1357,1)*MIN(MAX(M1357/L1357,0),1),0)</f>
        <v>0.723894218605195</v>
      </c>
      <c r="R1357" s="55" t="n">
        <f aca="false">IF(F1357&gt;0,N1357/(F1357/3600),0)</f>
        <v>4.98238343820781</v>
      </c>
    </row>
    <row r="1358" customFormat="false" ht="15" hidden="false" customHeight="false" outlineLevel="0" collapsed="false">
      <c r="A1358" s="0" t="s">
        <v>260</v>
      </c>
      <c r="B1358" s="52" t="n">
        <v>44393</v>
      </c>
      <c r="C1358" s="0" t="n">
        <v>25197.34</v>
      </c>
      <c r="D1358" s="0" t="n">
        <v>2637.225</v>
      </c>
      <c r="E1358" s="0" t="n">
        <v>22560.115</v>
      </c>
      <c r="F1358" s="0" t="n">
        <v>6602.161</v>
      </c>
      <c r="G1358" s="0" t="n">
        <v>1808.534</v>
      </c>
      <c r="H1358" s="0" t="n">
        <v>4793.627</v>
      </c>
      <c r="I1358" s="0" t="n">
        <v>1247.618</v>
      </c>
      <c r="J1358" s="0" t="n">
        <v>14710.336</v>
      </c>
      <c r="K1358" s="0" t="n">
        <v>7335.73444444445</v>
      </c>
      <c r="L1358" s="0" t="n">
        <v>1964</v>
      </c>
      <c r="M1358" s="0" t="n">
        <v>1936</v>
      </c>
      <c r="N1358" s="0" t="n">
        <v>14</v>
      </c>
      <c r="O1358" s="54" t="n">
        <f aca="false">YEAR(B1358)</f>
        <v>2021</v>
      </c>
      <c r="P1358" s="54" t="n">
        <f aca="false">IF(AND(E1358&gt;=14400,K1358&gt;0,L1358&gt;0),1,0)</f>
        <v>1</v>
      </c>
      <c r="Q1358" s="53" t="n">
        <f aca="false">IF(P1358=1,F1358/E1358*MIN(L1358/K1358,1)*MIN(MAX(M1358/L1358,0),1),0)</f>
        <v>0.0772336488532971</v>
      </c>
      <c r="R1358" s="55" t="n">
        <f aca="false">IF(F1358&gt;0,N1358/(F1358/3600),0)</f>
        <v>7.63386412418601</v>
      </c>
    </row>
    <row r="1359" customFormat="false" ht="15" hidden="false" customHeight="false" outlineLevel="0" collapsed="false">
      <c r="A1359" s="0" t="s">
        <v>260</v>
      </c>
      <c r="B1359" s="52" t="n">
        <v>44394</v>
      </c>
      <c r="C1359" s="0" t="n">
        <v>84003.697</v>
      </c>
      <c r="D1359" s="0" t="n">
        <v>16995.105</v>
      </c>
      <c r="E1359" s="0" t="n">
        <v>67008.592</v>
      </c>
      <c r="F1359" s="0" t="n">
        <v>28870.856</v>
      </c>
      <c r="G1359" s="0" t="n">
        <v>26672.576</v>
      </c>
      <c r="H1359" s="0" t="n">
        <v>2198.28</v>
      </c>
      <c r="I1359" s="0" t="n">
        <v>2132.374</v>
      </c>
      <c r="J1359" s="0" t="n">
        <v>36005.362</v>
      </c>
      <c r="K1359" s="0" t="n">
        <v>30073.8083333333</v>
      </c>
      <c r="L1359" s="0" t="n">
        <v>26781</v>
      </c>
      <c r="M1359" s="0" t="n">
        <v>26747</v>
      </c>
      <c r="N1359" s="0" t="n">
        <v>18</v>
      </c>
      <c r="O1359" s="54" t="n">
        <f aca="false">YEAR(B1359)</f>
        <v>2021</v>
      </c>
      <c r="P1359" s="54" t="n">
        <f aca="false">IF(AND(E1359&gt;=14400,K1359&gt;0,L1359&gt;0),1,0)</f>
        <v>1</v>
      </c>
      <c r="Q1359" s="53" t="n">
        <f aca="false">IF(P1359=1,F1359/E1359*MIN(L1359/K1359,1)*MIN(MAX(M1359/L1359,0),1),0)</f>
        <v>0.383191457000022</v>
      </c>
      <c r="R1359" s="55" t="n">
        <f aca="false">IF(F1359&gt;0,N1359/(F1359/3600),0)</f>
        <v>2.24447796075045</v>
      </c>
    </row>
    <row r="1360" customFormat="false" ht="15" hidden="false" customHeight="false" outlineLevel="0" collapsed="false">
      <c r="A1360" s="0" t="s">
        <v>260</v>
      </c>
      <c r="B1360" s="52" t="n">
        <v>44395</v>
      </c>
      <c r="C1360" s="0" t="n">
        <v>86583.233</v>
      </c>
      <c r="D1360" s="0" t="n">
        <v>18544.219</v>
      </c>
      <c r="E1360" s="0" t="n">
        <v>68039.014</v>
      </c>
      <c r="F1360" s="0" t="n">
        <v>38839.274</v>
      </c>
      <c r="G1360" s="0" t="n">
        <v>35598.535</v>
      </c>
      <c r="H1360" s="0" t="n">
        <v>3240.739</v>
      </c>
      <c r="I1360" s="0" t="n">
        <v>4163.528</v>
      </c>
      <c r="J1360" s="0" t="n">
        <v>25036.212</v>
      </c>
      <c r="K1360" s="0" t="n">
        <v>40550.0161805556</v>
      </c>
      <c r="L1360" s="0" t="n">
        <v>36014</v>
      </c>
      <c r="M1360" s="0" t="n">
        <v>35883</v>
      </c>
      <c r="N1360" s="0" t="n">
        <v>29</v>
      </c>
      <c r="O1360" s="54" t="n">
        <f aca="false">YEAR(B1360)</f>
        <v>2021</v>
      </c>
      <c r="P1360" s="54" t="n">
        <f aca="false">IF(AND(E1360&gt;=14400,K1360&gt;0,L1360&gt;0),1,0)</f>
        <v>1</v>
      </c>
      <c r="Q1360" s="53" t="n">
        <f aca="false">IF(P1360=1,F1360/E1360*MIN(L1360/K1360,1)*MIN(MAX(M1360/L1360,0),1),0)</f>
        <v>0.505138889593723</v>
      </c>
      <c r="R1360" s="55" t="n">
        <f aca="false">IF(F1360&gt;0,N1360/(F1360/3600),0)</f>
        <v>2.68800081072576</v>
      </c>
    </row>
    <row r="1361" customFormat="false" ht="15" hidden="false" customHeight="false" outlineLevel="0" collapsed="false">
      <c r="A1361" s="0" t="s">
        <v>260</v>
      </c>
      <c r="B1361" s="52" t="n">
        <v>44396</v>
      </c>
      <c r="C1361" s="0" t="n">
        <v>77683.467</v>
      </c>
      <c r="D1361" s="0" t="n">
        <v>8451.87</v>
      </c>
      <c r="E1361" s="0" t="n">
        <v>69231.597</v>
      </c>
      <c r="F1361" s="0" t="n">
        <v>36377.974</v>
      </c>
      <c r="G1361" s="0" t="n">
        <v>34024.478</v>
      </c>
      <c r="H1361" s="0" t="n">
        <v>2353.496</v>
      </c>
      <c r="I1361" s="0" t="n">
        <v>1709.366</v>
      </c>
      <c r="J1361" s="0" t="n">
        <v>31144.257</v>
      </c>
      <c r="K1361" s="0" t="n">
        <v>37893.7229166667</v>
      </c>
      <c r="L1361" s="0" t="n">
        <v>34458</v>
      </c>
      <c r="M1361" s="0" t="n">
        <v>34441</v>
      </c>
      <c r="N1361" s="0" t="n">
        <v>14</v>
      </c>
      <c r="O1361" s="54" t="n">
        <f aca="false">YEAR(B1361)</f>
        <v>2021</v>
      </c>
      <c r="P1361" s="54" t="n">
        <f aca="false">IF(AND(E1361&gt;=14400,K1361&gt;0,L1361&gt;0),1,0)</f>
        <v>1</v>
      </c>
      <c r="Q1361" s="53" t="n">
        <f aca="false">IF(P1361=1,F1361/E1361*MIN(L1361/K1361,1)*MIN(MAX(M1361/L1361,0),1),0)</f>
        <v>0.477576156447756</v>
      </c>
      <c r="R1361" s="55" t="n">
        <f aca="false">IF(F1361&gt;0,N1361/(F1361/3600),0)</f>
        <v>1.38545373637355</v>
      </c>
    </row>
    <row r="1362" customFormat="false" ht="15" hidden="false" customHeight="false" outlineLevel="0" collapsed="false">
      <c r="A1362" s="0" t="s">
        <v>260</v>
      </c>
      <c r="B1362" s="52" t="n">
        <v>44397</v>
      </c>
      <c r="C1362" s="0" t="n">
        <v>85093.7</v>
      </c>
      <c r="D1362" s="0" t="n">
        <v>7706.868</v>
      </c>
      <c r="E1362" s="0" t="n">
        <v>77386.832</v>
      </c>
      <c r="F1362" s="0" t="n">
        <v>46122.602</v>
      </c>
      <c r="G1362" s="0" t="n">
        <v>36932.978</v>
      </c>
      <c r="H1362" s="0" t="n">
        <v>9189.624</v>
      </c>
      <c r="I1362" s="0" t="n">
        <v>3076.78</v>
      </c>
      <c r="J1362" s="0" t="n">
        <v>28187.45</v>
      </c>
      <c r="K1362" s="0" t="n">
        <v>48404.5540972222</v>
      </c>
      <c r="L1362" s="0" t="n">
        <v>38656</v>
      </c>
      <c r="M1362" s="0" t="n">
        <v>38532</v>
      </c>
      <c r="N1362" s="0" t="n">
        <v>35</v>
      </c>
      <c r="O1362" s="54" t="n">
        <f aca="false">YEAR(B1362)</f>
        <v>2021</v>
      </c>
      <c r="P1362" s="54" t="n">
        <f aca="false">IF(AND(E1362&gt;=14400,K1362&gt;0,L1362&gt;0),1,0)</f>
        <v>1</v>
      </c>
      <c r="Q1362" s="53" t="n">
        <f aca="false">IF(P1362=1,F1362/E1362*MIN(L1362/K1362,1)*MIN(MAX(M1362/L1362,0),1),0)</f>
        <v>0.474440832846331</v>
      </c>
      <c r="R1362" s="55" t="n">
        <f aca="false">IF(F1362&gt;0,N1362/(F1362/3600),0)</f>
        <v>2.7318493436255</v>
      </c>
    </row>
    <row r="1363" customFormat="false" ht="15" hidden="false" customHeight="false" outlineLevel="0" collapsed="false">
      <c r="A1363" s="0" t="s">
        <v>260</v>
      </c>
      <c r="B1363" s="52" t="n">
        <v>44398</v>
      </c>
      <c r="C1363" s="0" t="n">
        <v>94898.119</v>
      </c>
      <c r="D1363" s="0" t="n">
        <v>5585.955</v>
      </c>
      <c r="E1363" s="0" t="n">
        <v>89312.164</v>
      </c>
      <c r="F1363" s="0" t="n">
        <v>38332.364</v>
      </c>
      <c r="G1363" s="0" t="n">
        <v>33862.226</v>
      </c>
      <c r="H1363" s="0" t="n">
        <v>4470.138</v>
      </c>
      <c r="I1363" s="0" t="n">
        <v>3868.165</v>
      </c>
      <c r="J1363" s="0" t="n">
        <v>47111.635</v>
      </c>
      <c r="K1363" s="0" t="n">
        <v>39929.5458333333</v>
      </c>
      <c r="L1363" s="0" t="n">
        <v>35166</v>
      </c>
      <c r="M1363" s="0" t="n">
        <v>35132</v>
      </c>
      <c r="N1363" s="0" t="n">
        <v>30</v>
      </c>
      <c r="O1363" s="54" t="n">
        <f aca="false">YEAR(B1363)</f>
        <v>2021</v>
      </c>
      <c r="P1363" s="54" t="n">
        <f aca="false">IF(AND(E1363&gt;=14400,K1363&gt;0,L1363&gt;0),1,0)</f>
        <v>1</v>
      </c>
      <c r="Q1363" s="53" t="n">
        <f aca="false">IF(P1363=1,F1363/E1363*MIN(L1363/K1363,1)*MIN(MAX(M1363/L1363,0),1),0)</f>
        <v>0.377627396868359</v>
      </c>
      <c r="R1363" s="55" t="n">
        <f aca="false">IF(F1363&gt;0,N1363/(F1363/3600),0)</f>
        <v>2.81746254940081</v>
      </c>
    </row>
    <row r="1364" customFormat="false" ht="15" hidden="false" customHeight="false" outlineLevel="0" collapsed="false">
      <c r="A1364" s="0" t="s">
        <v>260</v>
      </c>
      <c r="B1364" s="52" t="n">
        <v>44399</v>
      </c>
      <c r="C1364" s="0" t="n">
        <v>78926.638</v>
      </c>
      <c r="D1364" s="0" t="n">
        <v>8291.129</v>
      </c>
      <c r="E1364" s="0" t="n">
        <v>70635.509</v>
      </c>
      <c r="F1364" s="0" t="n">
        <v>33686.891</v>
      </c>
      <c r="G1364" s="0" t="n">
        <v>32301.32</v>
      </c>
      <c r="H1364" s="0" t="n">
        <v>1385.571</v>
      </c>
      <c r="I1364" s="0" t="n">
        <v>5551.16</v>
      </c>
      <c r="J1364" s="0" t="n">
        <v>31397.458</v>
      </c>
      <c r="K1364" s="0" t="n">
        <v>35248.0475694445</v>
      </c>
      <c r="L1364" s="0" t="n">
        <v>33694</v>
      </c>
      <c r="M1364" s="0" t="n">
        <v>33643</v>
      </c>
      <c r="N1364" s="0" t="n">
        <v>30</v>
      </c>
      <c r="O1364" s="54" t="n">
        <f aca="false">YEAR(B1364)</f>
        <v>2021</v>
      </c>
      <c r="P1364" s="54" t="n">
        <f aca="false">IF(AND(E1364&gt;=14400,K1364&gt;0,L1364&gt;0),1,0)</f>
        <v>1</v>
      </c>
      <c r="Q1364" s="53" t="n">
        <f aca="false">IF(P1364=1,F1364/E1364*MIN(L1364/K1364,1)*MIN(MAX(M1364/L1364,0),1),0)</f>
        <v>0.455195019870663</v>
      </c>
      <c r="R1364" s="55" t="n">
        <f aca="false">IF(F1364&gt;0,N1364/(F1364/3600),0)</f>
        <v>3.20599487794822</v>
      </c>
    </row>
    <row r="1365" customFormat="false" ht="15" hidden="false" customHeight="false" outlineLevel="0" collapsed="false">
      <c r="A1365" s="0" t="s">
        <v>260</v>
      </c>
      <c r="B1365" s="52" t="n">
        <v>44400</v>
      </c>
      <c r="C1365" s="0" t="n">
        <v>67595.318</v>
      </c>
      <c r="D1365" s="0" t="n">
        <v>55.52</v>
      </c>
      <c r="E1365" s="0" t="n">
        <v>67539.798</v>
      </c>
      <c r="F1365" s="0" t="n">
        <v>24777.084</v>
      </c>
      <c r="G1365" s="0" t="n">
        <v>23815.907</v>
      </c>
      <c r="H1365" s="0" t="n">
        <v>961.177</v>
      </c>
      <c r="I1365" s="0" t="n">
        <v>42247.655</v>
      </c>
      <c r="J1365" s="0" t="n">
        <v>515.059</v>
      </c>
      <c r="K1365" s="0" t="n">
        <v>25809.4625</v>
      </c>
      <c r="L1365" s="0" t="n">
        <v>24770</v>
      </c>
      <c r="M1365" s="0" t="n">
        <v>24749</v>
      </c>
      <c r="N1365" s="0" t="n">
        <v>14</v>
      </c>
      <c r="O1365" s="54" t="n">
        <f aca="false">YEAR(B1365)</f>
        <v>2021</v>
      </c>
      <c r="P1365" s="54" t="n">
        <f aca="false">IF(AND(E1365&gt;=14400,K1365&gt;0,L1365&gt;0),1,0)</f>
        <v>1</v>
      </c>
      <c r="Q1365" s="53" t="n">
        <f aca="false">IF(P1365=1,F1365/E1365*MIN(L1365/K1365,1)*MIN(MAX(M1365/L1365,0),1),0)</f>
        <v>0.351778369251267</v>
      </c>
      <c r="R1365" s="55" t="n">
        <f aca="false">IF(F1365&gt;0,N1365/(F1365/3600),0)</f>
        <v>2.03413767334364</v>
      </c>
    </row>
    <row r="1366" customFormat="false" ht="15" hidden="false" customHeight="false" outlineLevel="0" collapsed="false">
      <c r="A1366" s="0" t="s">
        <v>260</v>
      </c>
      <c r="B1366" s="52" t="n">
        <v>44401</v>
      </c>
      <c r="C1366" s="0" t="n">
        <v>84150.875</v>
      </c>
      <c r="D1366" s="0" t="n">
        <v>15421.668</v>
      </c>
      <c r="E1366" s="0" t="n">
        <v>68729.207</v>
      </c>
      <c r="F1366" s="0" t="n">
        <v>57023.049</v>
      </c>
      <c r="G1366" s="0" t="n">
        <v>53375.787</v>
      </c>
      <c r="H1366" s="0" t="n">
        <v>3647.262</v>
      </c>
      <c r="I1366" s="0" t="n">
        <v>3323.953</v>
      </c>
      <c r="J1366" s="0" t="n">
        <v>8382.205</v>
      </c>
      <c r="K1366" s="0" t="n">
        <v>59518.2085416667</v>
      </c>
      <c r="L1366" s="0" t="n">
        <v>55594</v>
      </c>
      <c r="M1366" s="0" t="n">
        <v>55540</v>
      </c>
      <c r="N1366" s="0" t="n">
        <v>23</v>
      </c>
      <c r="O1366" s="54" t="n">
        <f aca="false">YEAR(B1366)</f>
        <v>2021</v>
      </c>
      <c r="P1366" s="54" t="n">
        <f aca="false">IF(AND(E1366&gt;=14400,K1366&gt;0,L1366&gt;0),1,0)</f>
        <v>1</v>
      </c>
      <c r="Q1366" s="53" t="n">
        <f aca="false">IF(P1366=1,F1366/E1366*MIN(L1366/K1366,1)*MIN(MAX(M1366/L1366,0),1),0)</f>
        <v>0.774221320544045</v>
      </c>
      <c r="R1366" s="55" t="n">
        <f aca="false">IF(F1366&gt;0,N1366/(F1366/3600),0)</f>
        <v>1.45204441803875</v>
      </c>
    </row>
    <row r="1367" customFormat="false" ht="15" hidden="false" customHeight="false" outlineLevel="0" collapsed="false">
      <c r="A1367" s="0" t="s">
        <v>260</v>
      </c>
      <c r="B1367" s="52" t="n">
        <v>44402</v>
      </c>
      <c r="C1367" s="0" t="n">
        <v>90125.662</v>
      </c>
      <c r="D1367" s="0" t="n">
        <v>8674.467</v>
      </c>
      <c r="E1367" s="0" t="n">
        <v>81451.195</v>
      </c>
      <c r="F1367" s="0" t="n">
        <v>45484.302</v>
      </c>
      <c r="G1367" s="0" t="n">
        <v>44037.794</v>
      </c>
      <c r="H1367" s="0" t="n">
        <v>1446.508</v>
      </c>
      <c r="I1367" s="0" t="n">
        <v>2791.641</v>
      </c>
      <c r="J1367" s="0" t="n">
        <v>33175.252</v>
      </c>
      <c r="K1367" s="0" t="n">
        <v>47379.48125</v>
      </c>
      <c r="L1367" s="0" t="n">
        <v>45821</v>
      </c>
      <c r="M1367" s="0" t="n">
        <v>45804</v>
      </c>
      <c r="N1367" s="0" t="n">
        <v>17</v>
      </c>
      <c r="O1367" s="54" t="n">
        <f aca="false">YEAR(B1367)</f>
        <v>2021</v>
      </c>
      <c r="P1367" s="54" t="n">
        <f aca="false">IF(AND(E1367&gt;=14400,K1367&gt;0,L1367&gt;0),1,0)</f>
        <v>1</v>
      </c>
      <c r="Q1367" s="53" t="n">
        <f aca="false">IF(P1367=1,F1367/E1367*MIN(L1367/K1367,1)*MIN(MAX(M1367/L1367,0),1),0)</f>
        <v>0.539855062899937</v>
      </c>
      <c r="R1367" s="55" t="n">
        <f aca="false">IF(F1367&gt;0,N1367/(F1367/3600),0)</f>
        <v>1.34551916395243</v>
      </c>
    </row>
    <row r="1368" customFormat="false" ht="15" hidden="false" customHeight="false" outlineLevel="0" collapsed="false">
      <c r="A1368" s="0" t="s">
        <v>260</v>
      </c>
      <c r="B1368" s="52" t="n">
        <v>44403</v>
      </c>
      <c r="C1368" s="0" t="n">
        <v>87488.138</v>
      </c>
      <c r="D1368" s="0" t="n">
        <v>5267.126</v>
      </c>
      <c r="E1368" s="0" t="n">
        <v>82221.012</v>
      </c>
      <c r="F1368" s="0" t="n">
        <v>48263.856</v>
      </c>
      <c r="G1368" s="0" t="n">
        <v>45776.064</v>
      </c>
      <c r="H1368" s="0" t="n">
        <v>2487.792</v>
      </c>
      <c r="I1368" s="0" t="n">
        <v>5691.999</v>
      </c>
      <c r="J1368" s="0" t="n">
        <v>28265.157</v>
      </c>
      <c r="K1368" s="0" t="n">
        <v>50569.3520833333</v>
      </c>
      <c r="L1368" s="0" t="n">
        <v>47823</v>
      </c>
      <c r="M1368" s="0" t="n">
        <v>47789</v>
      </c>
      <c r="N1368" s="0" t="n">
        <v>32</v>
      </c>
      <c r="O1368" s="54" t="n">
        <f aca="false">YEAR(B1368)</f>
        <v>2021</v>
      </c>
      <c r="P1368" s="54" t="n">
        <f aca="false">IF(AND(E1368&gt;=14400,K1368&gt;0,L1368&gt;0),1,0)</f>
        <v>1</v>
      </c>
      <c r="Q1368" s="53" t="n">
        <f aca="false">IF(P1368=1,F1368/E1368*MIN(L1368/K1368,1)*MIN(MAX(M1368/L1368,0),1),0)</f>
        <v>0.554727571707577</v>
      </c>
      <c r="R1368" s="55" t="n">
        <f aca="false">IF(F1368&gt;0,N1368/(F1368/3600),0)</f>
        <v>2.38687932435403</v>
      </c>
    </row>
    <row r="1369" customFormat="false" ht="15" hidden="false" customHeight="false" outlineLevel="0" collapsed="false">
      <c r="A1369" s="0" t="s">
        <v>260</v>
      </c>
      <c r="B1369" s="52" t="n">
        <v>44404</v>
      </c>
      <c r="C1369" s="0" t="n">
        <v>66126.136</v>
      </c>
      <c r="D1369" s="0" t="n">
        <v>10413.359</v>
      </c>
      <c r="E1369" s="0" t="n">
        <v>55712.777</v>
      </c>
      <c r="F1369" s="0" t="n">
        <v>35099.723</v>
      </c>
      <c r="G1369" s="0" t="n">
        <v>30433.391</v>
      </c>
      <c r="H1369" s="0" t="n">
        <v>4666.332</v>
      </c>
      <c r="I1369" s="0" t="n">
        <v>1436.557</v>
      </c>
      <c r="J1369" s="0" t="n">
        <v>19176.497</v>
      </c>
      <c r="K1369" s="0" t="n">
        <v>37672.1102777778</v>
      </c>
      <c r="L1369" s="0" t="n">
        <v>31532</v>
      </c>
      <c r="M1369" s="0" t="n">
        <v>31453</v>
      </c>
      <c r="N1369" s="0" t="n">
        <v>14</v>
      </c>
      <c r="O1369" s="54" t="n">
        <f aca="false">YEAR(B1369)</f>
        <v>2021</v>
      </c>
      <c r="P1369" s="54" t="n">
        <f aca="false">IF(AND(E1369&gt;=14400,K1369&gt;0,L1369&gt;0),1,0)</f>
        <v>1</v>
      </c>
      <c r="Q1369" s="53" t="n">
        <f aca="false">IF(P1369=1,F1369/E1369*MIN(L1369/K1369,1)*MIN(MAX(M1369/L1369,0),1),0)</f>
        <v>0.526006376518828</v>
      </c>
      <c r="R1369" s="55" t="n">
        <f aca="false">IF(F1369&gt;0,N1369/(F1369/3600),0)</f>
        <v>1.43590876771307</v>
      </c>
    </row>
    <row r="1370" customFormat="false" ht="15" hidden="false" customHeight="false" outlineLevel="0" collapsed="false">
      <c r="A1370" s="0" t="s">
        <v>260</v>
      </c>
      <c r="B1370" s="52" t="n">
        <v>44405</v>
      </c>
      <c r="C1370" s="0" t="n">
        <v>89088.318</v>
      </c>
      <c r="D1370" s="0" t="n">
        <v>8455.683</v>
      </c>
      <c r="E1370" s="0" t="n">
        <v>80632.635</v>
      </c>
      <c r="F1370" s="0" t="n">
        <v>46613.392</v>
      </c>
      <c r="G1370" s="0" t="n">
        <v>39311.658</v>
      </c>
      <c r="H1370" s="0" t="n">
        <v>7301.734</v>
      </c>
      <c r="I1370" s="0" t="n">
        <v>1634.614</v>
      </c>
      <c r="J1370" s="0" t="n">
        <v>32384.629</v>
      </c>
      <c r="K1370" s="0" t="n">
        <v>51891.5888888889</v>
      </c>
      <c r="L1370" s="0" t="n">
        <v>43720</v>
      </c>
      <c r="M1370" s="0" t="n">
        <v>43532</v>
      </c>
      <c r="N1370" s="0" t="n">
        <v>14</v>
      </c>
      <c r="O1370" s="54" t="n">
        <f aca="false">YEAR(B1370)</f>
        <v>2021</v>
      </c>
      <c r="P1370" s="54" t="n">
        <f aca="false">IF(AND(E1370&gt;=14400,K1370&gt;0,L1370&gt;0),1,0)</f>
        <v>1</v>
      </c>
      <c r="Q1370" s="53" t="n">
        <f aca="false">IF(P1370=1,F1370/E1370*MIN(L1370/K1370,1)*MIN(MAX(M1370/L1370,0),1),0)</f>
        <v>0.484966239428331</v>
      </c>
      <c r="R1370" s="55" t="n">
        <f aca="false">IF(F1370&gt;0,N1370/(F1370/3600),0)</f>
        <v>1.08123433711926</v>
      </c>
    </row>
    <row r="1371" customFormat="false" ht="15" hidden="false" customHeight="false" outlineLevel="0" collapsed="false">
      <c r="A1371" s="0" t="s">
        <v>260</v>
      </c>
      <c r="B1371" s="52" t="n">
        <v>44406</v>
      </c>
      <c r="C1371" s="0" t="n">
        <v>86689.428</v>
      </c>
      <c r="D1371" s="0" t="n">
        <v>8828.689</v>
      </c>
      <c r="E1371" s="0" t="n">
        <v>77860.739</v>
      </c>
      <c r="F1371" s="0" t="n">
        <v>42690.365</v>
      </c>
      <c r="G1371" s="0" t="n">
        <v>40526.654</v>
      </c>
      <c r="H1371" s="0" t="n">
        <v>2163.711</v>
      </c>
      <c r="I1371" s="0" t="n">
        <v>1049.132</v>
      </c>
      <c r="J1371" s="0" t="n">
        <v>34121.242</v>
      </c>
      <c r="K1371" s="0" t="n">
        <v>47265.3911805556</v>
      </c>
      <c r="L1371" s="0" t="n">
        <v>44989</v>
      </c>
      <c r="M1371" s="0" t="n">
        <v>44964</v>
      </c>
      <c r="N1371" s="0" t="n">
        <v>10</v>
      </c>
      <c r="O1371" s="54" t="n">
        <f aca="false">YEAR(B1371)</f>
        <v>2021</v>
      </c>
      <c r="P1371" s="54" t="n">
        <f aca="false">IF(AND(E1371&gt;=14400,K1371&gt;0,L1371&gt;0),1,0)</f>
        <v>1</v>
      </c>
      <c r="Q1371" s="53" t="n">
        <f aca="false">IF(P1371=1,F1371/E1371*MIN(L1371/K1371,1)*MIN(MAX(M1371/L1371,0),1),0)</f>
        <v>0.521594531059424</v>
      </c>
      <c r="R1371" s="55" t="n">
        <f aca="false">IF(F1371&gt;0,N1371/(F1371/3600),0)</f>
        <v>0.843281616355353</v>
      </c>
    </row>
    <row r="1372" customFormat="false" ht="15" hidden="false" customHeight="false" outlineLevel="0" collapsed="false">
      <c r="A1372" s="0" t="s">
        <v>260</v>
      </c>
      <c r="B1372" s="52" t="n">
        <v>44407</v>
      </c>
      <c r="C1372" s="0" t="n">
        <v>45592.233</v>
      </c>
      <c r="D1372" s="0" t="n">
        <v>1385.438</v>
      </c>
      <c r="E1372" s="0" t="n">
        <v>44206.795</v>
      </c>
      <c r="F1372" s="0" t="n">
        <v>24348.602</v>
      </c>
      <c r="G1372" s="0" t="n">
        <v>22729.704</v>
      </c>
      <c r="H1372" s="0" t="n">
        <v>1618.898</v>
      </c>
      <c r="I1372" s="0" t="n">
        <v>3261.354</v>
      </c>
      <c r="J1372" s="0" t="n">
        <v>16596.839</v>
      </c>
      <c r="K1372" s="0" t="n">
        <v>26986.8061805556</v>
      </c>
      <c r="L1372" s="0" t="n">
        <v>25230</v>
      </c>
      <c r="M1372" s="0" t="n">
        <v>25192</v>
      </c>
      <c r="N1372" s="0" t="n">
        <v>17</v>
      </c>
      <c r="O1372" s="54" t="n">
        <f aca="false">YEAR(B1372)</f>
        <v>2021</v>
      </c>
      <c r="P1372" s="54" t="n">
        <f aca="false">IF(AND(E1372&gt;=14400,K1372&gt;0,L1372&gt;0),1,0)</f>
        <v>1</v>
      </c>
      <c r="Q1372" s="53" t="n">
        <f aca="false">IF(P1372=1,F1372/E1372*MIN(L1372/K1372,1)*MIN(MAX(M1372/L1372,0),1),0)</f>
        <v>0.514157480609794</v>
      </c>
      <c r="R1372" s="55" t="n">
        <f aca="false">IF(F1372&gt;0,N1372/(F1372/3600),0)</f>
        <v>2.51349132898883</v>
      </c>
    </row>
    <row r="1373" customFormat="false" ht="15" hidden="false" customHeight="false" outlineLevel="0" collapsed="false">
      <c r="A1373" s="0" t="s">
        <v>260</v>
      </c>
      <c r="B1373" s="52" t="n">
        <v>44408</v>
      </c>
      <c r="C1373" s="0" t="n">
        <v>83096.44</v>
      </c>
      <c r="D1373" s="0" t="n">
        <v>13337.606</v>
      </c>
      <c r="E1373" s="0" t="n">
        <v>69758.834</v>
      </c>
      <c r="F1373" s="0" t="n">
        <v>36939.048</v>
      </c>
      <c r="G1373" s="0" t="n">
        <v>34306.312</v>
      </c>
      <c r="H1373" s="0" t="n">
        <v>2632.736</v>
      </c>
      <c r="I1373" s="0" t="n">
        <v>4946.515</v>
      </c>
      <c r="J1373" s="0" t="n">
        <v>27873.271</v>
      </c>
      <c r="K1373" s="0" t="n">
        <v>40629.9061111111</v>
      </c>
      <c r="L1373" s="0" t="n">
        <v>36759</v>
      </c>
      <c r="M1373" s="0" t="n">
        <v>36730</v>
      </c>
      <c r="N1373" s="0" t="n">
        <v>25</v>
      </c>
      <c r="O1373" s="54" t="n">
        <f aca="false">YEAR(B1373)</f>
        <v>2021</v>
      </c>
      <c r="P1373" s="54" t="n">
        <f aca="false">IF(AND(E1373&gt;=14400,K1373&gt;0,L1373&gt;0),1,0)</f>
        <v>1</v>
      </c>
      <c r="Q1373" s="53" t="n">
        <f aca="false">IF(P1373=1,F1373/E1373*MIN(L1373/K1373,1)*MIN(MAX(M1373/L1373,0),1),0)</f>
        <v>0.478697980441295</v>
      </c>
      <c r="R1373" s="55" t="n">
        <f aca="false">IF(F1373&gt;0,N1373/(F1373/3600),0)</f>
        <v>2.43644611523286</v>
      </c>
    </row>
    <row r="1374" customFormat="false" ht="15" hidden="false" customHeight="false" outlineLevel="0" collapsed="false">
      <c r="A1374" s="0" t="s">
        <v>260</v>
      </c>
      <c r="B1374" s="52" t="n">
        <v>44409</v>
      </c>
      <c r="C1374" s="0" t="n">
        <v>85157.788</v>
      </c>
      <c r="D1374" s="0" t="n">
        <v>17466.647</v>
      </c>
      <c r="E1374" s="0" t="n">
        <v>67691.141</v>
      </c>
      <c r="F1374" s="0" t="n">
        <v>41859.263</v>
      </c>
      <c r="G1374" s="0" t="n">
        <v>38831.785</v>
      </c>
      <c r="H1374" s="0" t="n">
        <v>3027.478</v>
      </c>
      <c r="I1374" s="0" t="n">
        <v>2068.162</v>
      </c>
      <c r="J1374" s="0" t="n">
        <v>23763.716</v>
      </c>
      <c r="K1374" s="0" t="n">
        <v>45708.989125</v>
      </c>
      <c r="L1374" s="0" t="n">
        <v>42323</v>
      </c>
      <c r="M1374" s="0" t="n">
        <v>42256</v>
      </c>
      <c r="N1374" s="0" t="n">
        <v>12</v>
      </c>
      <c r="O1374" s="54" t="n">
        <f aca="false">YEAR(B1374)</f>
        <v>2021</v>
      </c>
      <c r="P1374" s="54" t="n">
        <f aca="false">IF(AND(E1374&gt;=14400,K1374&gt;0,L1374&gt;0),1,0)</f>
        <v>1</v>
      </c>
      <c r="Q1374" s="53" t="n">
        <f aca="false">IF(P1374=1,F1374/E1374*MIN(L1374/K1374,1)*MIN(MAX(M1374/L1374,0),1),0)</f>
        <v>0.571671458620262</v>
      </c>
      <c r="R1374" s="55" t="n">
        <f aca="false">IF(F1374&gt;0,N1374/(F1374/3600),0)</f>
        <v>1.03202963702443</v>
      </c>
    </row>
    <row r="1375" customFormat="false" ht="15" hidden="false" customHeight="false" outlineLevel="0" collapsed="false">
      <c r="A1375" s="0" t="s">
        <v>260</v>
      </c>
      <c r="B1375" s="52" t="n">
        <v>44410</v>
      </c>
      <c r="C1375" s="0" t="n">
        <v>73885.32</v>
      </c>
      <c r="D1375" s="0" t="n">
        <v>8471.8</v>
      </c>
      <c r="E1375" s="0" t="n">
        <v>65413.52</v>
      </c>
      <c r="F1375" s="0" t="n">
        <v>30871.823</v>
      </c>
      <c r="G1375" s="0" t="n">
        <v>26172.613</v>
      </c>
      <c r="H1375" s="0" t="n">
        <v>4699.21</v>
      </c>
      <c r="I1375" s="0" t="n">
        <v>1174.134</v>
      </c>
      <c r="J1375" s="0" t="n">
        <v>33367.563</v>
      </c>
      <c r="K1375" s="0" t="n">
        <v>32391.1425</v>
      </c>
      <c r="L1375" s="0" t="n">
        <v>26710</v>
      </c>
      <c r="M1375" s="0" t="n">
        <v>26621</v>
      </c>
      <c r="N1375" s="0" t="n">
        <v>7</v>
      </c>
      <c r="O1375" s="54" t="n">
        <f aca="false">YEAR(B1375)</f>
        <v>2021</v>
      </c>
      <c r="P1375" s="54" t="n">
        <f aca="false">IF(AND(E1375&gt;=14400,K1375&gt;0,L1375&gt;0),1,0)</f>
        <v>1</v>
      </c>
      <c r="Q1375" s="53" t="n">
        <f aca="false">IF(P1375=1,F1375/E1375*MIN(L1375/K1375,1)*MIN(MAX(M1375/L1375,0),1),0)</f>
        <v>0.387875951987226</v>
      </c>
      <c r="R1375" s="55" t="n">
        <f aca="false">IF(F1375&gt;0,N1375/(F1375/3600),0)</f>
        <v>0.816278326032123</v>
      </c>
    </row>
    <row r="1376" customFormat="false" ht="15" hidden="false" customHeight="false" outlineLevel="0" collapsed="false">
      <c r="A1376" s="0" t="s">
        <v>260</v>
      </c>
      <c r="B1376" s="52" t="n">
        <v>44411</v>
      </c>
      <c r="C1376" s="0" t="n">
        <v>74275.23</v>
      </c>
      <c r="D1376" s="0" t="n">
        <v>7741.139</v>
      </c>
      <c r="E1376" s="0" t="n">
        <v>66534.091</v>
      </c>
      <c r="F1376" s="0" t="n">
        <v>32204.932</v>
      </c>
      <c r="G1376" s="0" t="n">
        <v>29816.32</v>
      </c>
      <c r="H1376" s="0" t="n">
        <v>2388.612</v>
      </c>
      <c r="I1376" s="0" t="n">
        <v>984.209</v>
      </c>
      <c r="J1376" s="0" t="n">
        <v>33344.95</v>
      </c>
      <c r="K1376" s="0" t="n">
        <v>33778.0759722222</v>
      </c>
      <c r="L1376" s="0" t="n">
        <v>31276</v>
      </c>
      <c r="M1376" s="0" t="n">
        <v>31242</v>
      </c>
      <c r="N1376" s="0" t="n">
        <v>5</v>
      </c>
      <c r="O1376" s="54" t="n">
        <f aca="false">YEAR(B1376)</f>
        <v>2021</v>
      </c>
      <c r="P1376" s="54" t="n">
        <f aca="false">IF(AND(E1376&gt;=14400,K1376&gt;0,L1376&gt;0),1,0)</f>
        <v>1</v>
      </c>
      <c r="Q1376" s="53" t="n">
        <f aca="false">IF(P1376=1,F1376/E1376*MIN(L1376/K1376,1)*MIN(MAX(M1376/L1376,0),1),0)</f>
        <v>0.447694829359578</v>
      </c>
      <c r="R1376" s="55" t="n">
        <f aca="false">IF(F1376&gt;0,N1376/(F1376/3600),0)</f>
        <v>0.558920602595901</v>
      </c>
    </row>
    <row r="1377" customFormat="false" ht="15" hidden="false" customHeight="false" outlineLevel="0" collapsed="false">
      <c r="A1377" s="0" t="s">
        <v>260</v>
      </c>
      <c r="B1377" s="52" t="n">
        <v>44412</v>
      </c>
      <c r="C1377" s="0" t="n">
        <v>90761.26</v>
      </c>
      <c r="D1377" s="0" t="n">
        <v>2803.053</v>
      </c>
      <c r="E1377" s="0" t="n">
        <v>87958.207</v>
      </c>
      <c r="F1377" s="0" t="n">
        <v>37051.735</v>
      </c>
      <c r="G1377" s="0" t="n">
        <v>34049.561</v>
      </c>
      <c r="H1377" s="0" t="n">
        <v>3002.174</v>
      </c>
      <c r="I1377" s="0" t="n">
        <v>2638.805</v>
      </c>
      <c r="J1377" s="0" t="n">
        <v>48267.667</v>
      </c>
      <c r="K1377" s="0" t="n">
        <v>38987.16</v>
      </c>
      <c r="L1377" s="0" t="n">
        <v>35487</v>
      </c>
      <c r="M1377" s="0" t="n">
        <v>35441</v>
      </c>
      <c r="N1377" s="0" t="n">
        <v>47</v>
      </c>
      <c r="O1377" s="54" t="n">
        <f aca="false">YEAR(B1377)</f>
        <v>2021</v>
      </c>
      <c r="P1377" s="54" t="n">
        <f aca="false">IF(AND(E1377&gt;=14400,K1377&gt;0,L1377&gt;0),1,0)</f>
        <v>1</v>
      </c>
      <c r="Q1377" s="53" t="n">
        <f aca="false">IF(P1377=1,F1377/E1377*MIN(L1377/K1377,1)*MIN(MAX(M1377/L1377,0),1),0)</f>
        <v>0.382927492989622</v>
      </c>
      <c r="R1377" s="55" t="n">
        <f aca="false">IF(F1377&gt;0,N1377/(F1377/3600),0)</f>
        <v>4.56658777247543</v>
      </c>
    </row>
    <row r="1378" customFormat="false" ht="15" hidden="false" customHeight="false" outlineLevel="0" collapsed="false">
      <c r="A1378" s="0" t="s">
        <v>260</v>
      </c>
      <c r="B1378" s="52" t="n">
        <v>44413</v>
      </c>
      <c r="C1378" s="0" t="n">
        <v>73985.071</v>
      </c>
      <c r="D1378" s="0" t="n">
        <v>12274.909</v>
      </c>
      <c r="E1378" s="0" t="n">
        <v>61710.162</v>
      </c>
      <c r="F1378" s="0" t="n">
        <v>28672.437</v>
      </c>
      <c r="G1378" s="0" t="n">
        <v>26826.202</v>
      </c>
      <c r="H1378" s="0" t="n">
        <v>1846.235</v>
      </c>
      <c r="I1378" s="0" t="n">
        <v>2347.346</v>
      </c>
      <c r="J1378" s="0" t="n">
        <v>30690.379</v>
      </c>
      <c r="K1378" s="0" t="n">
        <v>29988.8029166667</v>
      </c>
      <c r="L1378" s="0" t="n">
        <v>26962</v>
      </c>
      <c r="M1378" s="0" t="n">
        <v>26881</v>
      </c>
      <c r="N1378" s="0" t="n">
        <v>34</v>
      </c>
      <c r="O1378" s="54" t="n">
        <f aca="false">YEAR(B1378)</f>
        <v>2021</v>
      </c>
      <c r="P1378" s="54" t="n">
        <f aca="false">IF(AND(E1378&gt;=14400,K1378&gt;0,L1378&gt;0),1,0)</f>
        <v>1</v>
      </c>
      <c r="Q1378" s="53" t="n">
        <f aca="false">IF(P1378=1,F1378/E1378*MIN(L1378/K1378,1)*MIN(MAX(M1378/L1378,0),1),0)</f>
        <v>0.416480058187951</v>
      </c>
      <c r="R1378" s="55" t="n">
        <f aca="false">IF(F1378&gt;0,N1378/(F1378/3600),0)</f>
        <v>4.26890815036057</v>
      </c>
    </row>
    <row r="1379" customFormat="false" ht="15" hidden="false" customHeight="false" outlineLevel="0" collapsed="false">
      <c r="A1379" s="0" t="s">
        <v>260</v>
      </c>
      <c r="B1379" s="52" t="n">
        <v>44414</v>
      </c>
      <c r="C1379" s="0" t="n">
        <v>82586.635</v>
      </c>
      <c r="D1379" s="0" t="n">
        <v>9046.85</v>
      </c>
      <c r="E1379" s="0" t="n">
        <v>73539.785</v>
      </c>
      <c r="F1379" s="0" t="n">
        <v>27824.822</v>
      </c>
      <c r="G1379" s="0" t="n">
        <v>26063.361</v>
      </c>
      <c r="H1379" s="0" t="n">
        <v>1761.461</v>
      </c>
      <c r="I1379" s="0" t="n">
        <v>4593.705</v>
      </c>
      <c r="J1379" s="0" t="n">
        <v>41121.258</v>
      </c>
      <c r="K1379" s="0" t="n">
        <v>28984.1895833333</v>
      </c>
      <c r="L1379" s="0" t="n">
        <v>27186</v>
      </c>
      <c r="M1379" s="0" t="n">
        <v>27165</v>
      </c>
      <c r="N1379" s="0" t="n">
        <v>16</v>
      </c>
      <c r="O1379" s="54" t="n">
        <f aca="false">YEAR(B1379)</f>
        <v>2021</v>
      </c>
      <c r="P1379" s="54" t="n">
        <f aca="false">IF(AND(E1379&gt;=14400,K1379&gt;0,L1379&gt;0),1,0)</f>
        <v>1</v>
      </c>
      <c r="Q1379" s="53" t="n">
        <f aca="false">IF(P1379=1,F1379/E1379*MIN(L1379/K1379,1)*MIN(MAX(M1379/L1379,0),1),0)</f>
        <v>0.354616212163253</v>
      </c>
      <c r="R1379" s="55" t="n">
        <f aca="false">IF(F1379&gt;0,N1379/(F1379/3600),0)</f>
        <v>2.07009410518421</v>
      </c>
    </row>
    <row r="1380" customFormat="false" ht="15" hidden="false" customHeight="false" outlineLevel="0" collapsed="false">
      <c r="A1380" s="0" t="s">
        <v>260</v>
      </c>
      <c r="B1380" s="52" t="n">
        <v>44415</v>
      </c>
      <c r="C1380" s="0" t="n">
        <v>81582.457</v>
      </c>
      <c r="D1380" s="0" t="n">
        <v>8253.365</v>
      </c>
      <c r="E1380" s="0" t="n">
        <v>73329.092</v>
      </c>
      <c r="F1380" s="0" t="n">
        <v>37930.335</v>
      </c>
      <c r="G1380" s="0" t="n">
        <v>36111.867</v>
      </c>
      <c r="H1380" s="0" t="n">
        <v>1818.468</v>
      </c>
      <c r="I1380" s="0" t="n">
        <v>1956.951</v>
      </c>
      <c r="J1380" s="0" t="n">
        <v>33441.806</v>
      </c>
      <c r="K1380" s="0" t="n">
        <v>39655.2254166667</v>
      </c>
      <c r="L1380" s="0" t="n">
        <v>37664</v>
      </c>
      <c r="M1380" s="0" t="n">
        <v>37630</v>
      </c>
      <c r="N1380" s="0" t="n">
        <v>14</v>
      </c>
      <c r="O1380" s="54" t="n">
        <f aca="false">YEAR(B1380)</f>
        <v>2021</v>
      </c>
      <c r="P1380" s="54" t="n">
        <f aca="false">IF(AND(E1380&gt;=14400,K1380&gt;0,L1380&gt;0),1,0)</f>
        <v>1</v>
      </c>
      <c r="Q1380" s="53" t="n">
        <f aca="false">IF(P1380=1,F1380/E1380*MIN(L1380/K1380,1)*MIN(MAX(M1380/L1380,0),1),0)</f>
        <v>0.490844768331455</v>
      </c>
      <c r="R1380" s="55" t="n">
        <f aca="false">IF(F1380&gt;0,N1380/(F1380/3600),0)</f>
        <v>1.32875177611798</v>
      </c>
    </row>
    <row r="1381" customFormat="false" ht="15" hidden="false" customHeight="false" outlineLevel="0" collapsed="false">
      <c r="A1381" s="0" t="s">
        <v>260</v>
      </c>
      <c r="B1381" s="52" t="n">
        <v>44416</v>
      </c>
      <c r="C1381" s="0" t="n">
        <v>80904.77</v>
      </c>
      <c r="D1381" s="0" t="n">
        <v>6473.333</v>
      </c>
      <c r="E1381" s="0" t="n">
        <v>74431.437</v>
      </c>
      <c r="F1381" s="0" t="n">
        <v>38932.639</v>
      </c>
      <c r="G1381" s="0" t="n">
        <v>37430.752</v>
      </c>
      <c r="H1381" s="0" t="n">
        <v>1501.887</v>
      </c>
      <c r="I1381" s="0" t="n">
        <v>2832.463</v>
      </c>
      <c r="J1381" s="0" t="n">
        <v>32666.335</v>
      </c>
      <c r="K1381" s="0" t="n">
        <v>40554.8322916667</v>
      </c>
      <c r="L1381" s="0" t="n">
        <v>38925</v>
      </c>
      <c r="M1381" s="0" t="n">
        <v>38839</v>
      </c>
      <c r="N1381" s="0" t="n">
        <v>21</v>
      </c>
      <c r="O1381" s="54" t="n">
        <f aca="false">YEAR(B1381)</f>
        <v>2021</v>
      </c>
      <c r="P1381" s="54" t="n">
        <f aca="false">IF(AND(E1381&gt;=14400,K1381&gt;0,L1381&gt;0),1,0)</f>
        <v>1</v>
      </c>
      <c r="Q1381" s="53" t="n">
        <f aca="false">IF(P1381=1,F1381/E1381*MIN(L1381/K1381,1)*MIN(MAX(M1381/L1381,0),1),0)</f>
        <v>0.500936721133034</v>
      </c>
      <c r="R1381" s="55" t="n">
        <f aca="false">IF(F1381&gt;0,N1381/(F1381/3600),0)</f>
        <v>1.94181545206838</v>
      </c>
    </row>
    <row r="1382" customFormat="false" ht="15" hidden="false" customHeight="false" outlineLevel="0" collapsed="false">
      <c r="A1382" s="0" t="s">
        <v>260</v>
      </c>
      <c r="B1382" s="52" t="n">
        <v>44417</v>
      </c>
      <c r="C1382" s="0" t="n">
        <v>96184.382</v>
      </c>
      <c r="D1382" s="0" t="n">
        <v>16130.619</v>
      </c>
      <c r="E1382" s="0" t="n">
        <v>80053.763</v>
      </c>
      <c r="F1382" s="0" t="n">
        <v>34724.608</v>
      </c>
      <c r="G1382" s="0" t="n">
        <v>31148.729</v>
      </c>
      <c r="H1382" s="0" t="n">
        <v>3575.879</v>
      </c>
      <c r="I1382" s="0" t="n">
        <v>3088.751</v>
      </c>
      <c r="J1382" s="0" t="n">
        <v>42240.404</v>
      </c>
      <c r="K1382" s="0" t="n">
        <v>36359.640625</v>
      </c>
      <c r="L1382" s="0" t="n">
        <v>26684</v>
      </c>
      <c r="M1382" s="0" t="n">
        <v>26528</v>
      </c>
      <c r="N1382" s="0" t="n">
        <v>17</v>
      </c>
      <c r="O1382" s="54" t="n">
        <f aca="false">YEAR(B1382)</f>
        <v>2021</v>
      </c>
      <c r="P1382" s="54" t="n">
        <f aca="false">IF(AND(E1382&gt;=14400,K1382&gt;0,L1382&gt;0),1,0)</f>
        <v>1</v>
      </c>
      <c r="Q1382" s="53" t="n">
        <f aca="false">IF(P1382=1,F1382/E1382*MIN(L1382/K1382,1)*MIN(MAX(M1382/L1382,0),1),0)</f>
        <v>0.316475815359189</v>
      </c>
      <c r="R1382" s="55" t="n">
        <f aca="false">IF(F1382&gt;0,N1382/(F1382/3600),0)</f>
        <v>1.76243890211806</v>
      </c>
    </row>
    <row r="1383" customFormat="false" ht="15" hidden="false" customHeight="false" outlineLevel="0" collapsed="false">
      <c r="A1383" s="0" t="s">
        <v>260</v>
      </c>
      <c r="B1383" s="52" t="n">
        <v>44418</v>
      </c>
      <c r="C1383" s="0" t="n">
        <v>75366.697</v>
      </c>
      <c r="D1383" s="0" t="n">
        <v>2737.765</v>
      </c>
      <c r="E1383" s="0" t="n">
        <v>72628.932</v>
      </c>
      <c r="F1383" s="0" t="n">
        <v>30218.944</v>
      </c>
      <c r="G1383" s="0" t="n">
        <v>28773.942</v>
      </c>
      <c r="H1383" s="0" t="n">
        <v>1445.002</v>
      </c>
      <c r="I1383" s="0" t="n">
        <v>2132.816</v>
      </c>
      <c r="J1383" s="0" t="n">
        <v>40277.172</v>
      </c>
      <c r="K1383" s="0" t="n">
        <v>31478.0666666667</v>
      </c>
      <c r="L1383" s="0" t="n">
        <v>29951</v>
      </c>
      <c r="M1383" s="0" t="n">
        <v>29905</v>
      </c>
      <c r="N1383" s="0" t="n">
        <v>12</v>
      </c>
      <c r="O1383" s="54" t="n">
        <f aca="false">YEAR(B1383)</f>
        <v>2021</v>
      </c>
      <c r="P1383" s="54" t="n">
        <f aca="false">IF(AND(E1383&gt;=14400,K1383&gt;0,L1383&gt;0),1,0)</f>
        <v>1</v>
      </c>
      <c r="Q1383" s="53" t="n">
        <f aca="false">IF(P1383=1,F1383/E1383*MIN(L1383/K1383,1)*MIN(MAX(M1383/L1383,0),1),0)</f>
        <v>0.395280492352552</v>
      </c>
      <c r="R1383" s="55" t="n">
        <f aca="false">IF(F1383&gt;0,N1383/(F1383/3600),0)</f>
        <v>1.42956683066093</v>
      </c>
    </row>
    <row r="1384" customFormat="false" ht="15" hidden="false" customHeight="false" outlineLevel="0" collapsed="false">
      <c r="A1384" s="0" t="s">
        <v>260</v>
      </c>
      <c r="B1384" s="52" t="n">
        <v>44419</v>
      </c>
      <c r="C1384" s="0" t="n">
        <v>76901.757</v>
      </c>
      <c r="D1384" s="0" t="n">
        <v>7288.452</v>
      </c>
      <c r="E1384" s="0" t="n">
        <v>69613.305</v>
      </c>
      <c r="F1384" s="0" t="n">
        <v>37065.299</v>
      </c>
      <c r="G1384" s="0" t="n">
        <v>33568.602</v>
      </c>
      <c r="H1384" s="0" t="n">
        <v>3496.697</v>
      </c>
      <c r="I1384" s="0" t="n">
        <v>2247.999</v>
      </c>
      <c r="J1384" s="0" t="n">
        <v>30300.007</v>
      </c>
      <c r="K1384" s="0" t="n">
        <v>38867.0893055556</v>
      </c>
      <c r="L1384" s="0" t="n">
        <v>33241</v>
      </c>
      <c r="M1384" s="0" t="n">
        <v>33147</v>
      </c>
      <c r="N1384" s="0" t="n">
        <v>29</v>
      </c>
      <c r="O1384" s="54" t="n">
        <f aca="false">YEAR(B1384)</f>
        <v>2021</v>
      </c>
      <c r="P1384" s="54" t="n">
        <f aca="false">IF(AND(E1384&gt;=14400,K1384&gt;0,L1384&gt;0),1,0)</f>
        <v>1</v>
      </c>
      <c r="Q1384" s="53" t="n">
        <f aca="false">IF(P1384=1,F1384/E1384*MIN(L1384/K1384,1)*MIN(MAX(M1384/L1384,0),1),0)</f>
        <v>0.454085323061725</v>
      </c>
      <c r="R1384" s="55" t="n">
        <f aca="false">IF(F1384&gt;0,N1384/(F1384/3600),0)</f>
        <v>2.8166506899081</v>
      </c>
    </row>
    <row r="1385" customFormat="false" ht="15" hidden="false" customHeight="false" outlineLevel="0" collapsed="false">
      <c r="A1385" s="0" t="s">
        <v>260</v>
      </c>
      <c r="B1385" s="52" t="n">
        <v>44420</v>
      </c>
      <c r="C1385" s="0" t="n">
        <v>90164.265</v>
      </c>
      <c r="D1385" s="0" t="n">
        <v>7051.572</v>
      </c>
      <c r="E1385" s="0" t="n">
        <v>83112.693</v>
      </c>
      <c r="F1385" s="0" t="n">
        <v>35324.382</v>
      </c>
      <c r="G1385" s="0" t="n">
        <v>34158.116</v>
      </c>
      <c r="H1385" s="0" t="n">
        <v>1166.266</v>
      </c>
      <c r="I1385" s="0" t="n">
        <v>2068.186</v>
      </c>
      <c r="J1385" s="0" t="n">
        <v>45720.125</v>
      </c>
      <c r="K1385" s="0" t="n">
        <v>36796.23125</v>
      </c>
      <c r="L1385" s="0" t="n">
        <v>35549</v>
      </c>
      <c r="M1385" s="0" t="n">
        <v>35448</v>
      </c>
      <c r="N1385" s="0" t="n">
        <v>13</v>
      </c>
      <c r="O1385" s="54" t="n">
        <f aca="false">YEAR(B1385)</f>
        <v>2021</v>
      </c>
      <c r="P1385" s="54" t="n">
        <f aca="false">IF(AND(E1385&gt;=14400,K1385&gt;0,L1385&gt;0),1,0)</f>
        <v>1</v>
      </c>
      <c r="Q1385" s="53" t="n">
        <f aca="false">IF(P1385=1,F1385/E1385*MIN(L1385/K1385,1)*MIN(MAX(M1385/L1385,0),1),0)</f>
        <v>0.409445041084158</v>
      </c>
      <c r="R1385" s="55" t="n">
        <f aca="false">IF(F1385&gt;0,N1385/(F1385/3600),0)</f>
        <v>1.32486394241802</v>
      </c>
    </row>
    <row r="1386" customFormat="false" ht="15" hidden="false" customHeight="false" outlineLevel="0" collapsed="false">
      <c r="A1386" s="0" t="s">
        <v>260</v>
      </c>
      <c r="B1386" s="52" t="n">
        <v>44421</v>
      </c>
      <c r="C1386" s="0" t="n">
        <v>81261.802</v>
      </c>
      <c r="D1386" s="0" t="n">
        <v>6908.895</v>
      </c>
      <c r="E1386" s="0" t="n">
        <v>74352.907</v>
      </c>
      <c r="F1386" s="0" t="n">
        <v>33738.143</v>
      </c>
      <c r="G1386" s="0" t="n">
        <v>30803.685</v>
      </c>
      <c r="H1386" s="0" t="n">
        <v>2934.458</v>
      </c>
      <c r="I1386" s="0" t="n">
        <v>1368.712</v>
      </c>
      <c r="J1386" s="0" t="n">
        <v>39246.052</v>
      </c>
      <c r="K1386" s="0" t="n">
        <v>35301.7147222222</v>
      </c>
      <c r="L1386" s="0" t="n">
        <v>32182</v>
      </c>
      <c r="M1386" s="0" t="n">
        <v>32107</v>
      </c>
      <c r="N1386" s="0" t="n">
        <v>9</v>
      </c>
      <c r="O1386" s="54" t="n">
        <f aca="false">YEAR(B1386)</f>
        <v>2021</v>
      </c>
      <c r="P1386" s="54" t="n">
        <f aca="false">IF(AND(E1386&gt;=14400,K1386&gt;0,L1386&gt;0),1,0)</f>
        <v>1</v>
      </c>
      <c r="Q1386" s="53" t="n">
        <f aca="false">IF(P1386=1,F1386/E1386*MIN(L1386/K1386,1)*MIN(MAX(M1386/L1386,0),1),0)</f>
        <v>0.412693043891461</v>
      </c>
      <c r="R1386" s="55" t="n">
        <f aca="false">IF(F1386&gt;0,N1386/(F1386/3600),0)</f>
        <v>0.960337384307133</v>
      </c>
    </row>
    <row r="1387" customFormat="false" ht="15" hidden="false" customHeight="false" outlineLevel="0" collapsed="false">
      <c r="A1387" s="0" t="s">
        <v>260</v>
      </c>
      <c r="B1387" s="52" t="n">
        <v>44422</v>
      </c>
      <c r="C1387" s="0" t="n">
        <v>86328.438</v>
      </c>
      <c r="D1387" s="0" t="n">
        <v>23661.176</v>
      </c>
      <c r="E1387" s="0" t="n">
        <v>62667.262</v>
      </c>
      <c r="F1387" s="0" t="n">
        <v>39209.593</v>
      </c>
      <c r="G1387" s="0" t="n">
        <v>36220.232</v>
      </c>
      <c r="H1387" s="0" t="n">
        <v>2989.361</v>
      </c>
      <c r="I1387" s="0" t="n">
        <v>1422.081</v>
      </c>
      <c r="J1387" s="0" t="n">
        <v>22035.588</v>
      </c>
      <c r="K1387" s="0" t="n">
        <v>40843.3260416667</v>
      </c>
      <c r="L1387" s="0" t="n">
        <v>37685</v>
      </c>
      <c r="M1387" s="0" t="n">
        <v>37647</v>
      </c>
      <c r="N1387" s="0" t="n">
        <v>13</v>
      </c>
      <c r="O1387" s="54" t="n">
        <f aca="false">YEAR(B1387)</f>
        <v>2021</v>
      </c>
      <c r="P1387" s="54" t="n">
        <f aca="false">IF(AND(E1387&gt;=14400,K1387&gt;0,L1387&gt;0),1,0)</f>
        <v>1</v>
      </c>
      <c r="Q1387" s="53" t="n">
        <f aca="false">IF(P1387=1,F1387/E1387*MIN(L1387/K1387,1)*MIN(MAX(M1387/L1387,0),1),0)</f>
        <v>0.576714521212049</v>
      </c>
      <c r="R1387" s="55" t="n">
        <f aca="false">IF(F1387&gt;0,N1387/(F1387/3600),0)</f>
        <v>1.19358545751801</v>
      </c>
    </row>
    <row r="1388" customFormat="false" ht="15" hidden="false" customHeight="false" outlineLevel="0" collapsed="false">
      <c r="A1388" s="0" t="s">
        <v>260</v>
      </c>
      <c r="B1388" s="52" t="n">
        <v>44423</v>
      </c>
      <c r="C1388" s="0" t="n">
        <v>74548.738</v>
      </c>
      <c r="D1388" s="0" t="n">
        <v>9885.5</v>
      </c>
      <c r="E1388" s="0" t="n">
        <v>64663.238</v>
      </c>
      <c r="F1388" s="0" t="n">
        <v>37987.473</v>
      </c>
      <c r="G1388" s="0" t="n">
        <v>34326.247</v>
      </c>
      <c r="H1388" s="0" t="n">
        <v>3661.226</v>
      </c>
      <c r="I1388" s="0" t="n">
        <v>2570.129</v>
      </c>
      <c r="J1388" s="0" t="n">
        <v>24105.636</v>
      </c>
      <c r="K1388" s="0" t="n">
        <v>39666.6497916667</v>
      </c>
      <c r="L1388" s="0" t="n">
        <v>34770</v>
      </c>
      <c r="M1388" s="0" t="n">
        <v>34685</v>
      </c>
      <c r="N1388" s="0" t="n">
        <v>14</v>
      </c>
      <c r="O1388" s="54" t="n">
        <f aca="false">YEAR(B1388)</f>
        <v>2021</v>
      </c>
      <c r="P1388" s="54" t="n">
        <f aca="false">IF(AND(E1388&gt;=14400,K1388&gt;0,L1388&gt;0),1,0)</f>
        <v>1</v>
      </c>
      <c r="Q1388" s="53" t="n">
        <f aca="false">IF(P1388=1,F1388/E1388*MIN(L1388/K1388,1)*MIN(MAX(M1388/L1388,0),1),0)</f>
        <v>0.513687660270034</v>
      </c>
      <c r="R1388" s="55" t="n">
        <f aca="false">IF(F1388&gt;0,N1388/(F1388/3600),0)</f>
        <v>1.32675316412861</v>
      </c>
    </row>
    <row r="1389" customFormat="false" ht="15" hidden="false" customHeight="false" outlineLevel="0" collapsed="false">
      <c r="A1389" s="0" t="s">
        <v>260</v>
      </c>
      <c r="B1389" s="52" t="n">
        <v>44424</v>
      </c>
      <c r="C1389" s="0" t="n">
        <v>73396.62</v>
      </c>
      <c r="D1389" s="0" t="n">
        <v>5920.777</v>
      </c>
      <c r="E1389" s="0" t="n">
        <v>67475.843</v>
      </c>
      <c r="F1389" s="0" t="n">
        <v>16655.734</v>
      </c>
      <c r="G1389" s="0" t="n">
        <v>14388.035</v>
      </c>
      <c r="H1389" s="0" t="n">
        <v>2267.699</v>
      </c>
      <c r="I1389" s="0" t="n">
        <v>1099.47</v>
      </c>
      <c r="J1389" s="0" t="n">
        <v>49720.639</v>
      </c>
      <c r="K1389" s="0" t="n">
        <v>17349.7229166667</v>
      </c>
      <c r="L1389" s="0" t="n">
        <v>14002</v>
      </c>
      <c r="M1389" s="0" t="n">
        <v>13985</v>
      </c>
      <c r="N1389" s="0" t="n">
        <v>9</v>
      </c>
      <c r="O1389" s="54" t="n">
        <f aca="false">YEAR(B1389)</f>
        <v>2021</v>
      </c>
      <c r="P1389" s="54" t="n">
        <f aca="false">IF(AND(E1389&gt;=14400,K1389&gt;0,L1389&gt;0),1,0)</f>
        <v>1</v>
      </c>
      <c r="Q1389" s="53" t="n">
        <f aca="false">IF(P1389=1,F1389/E1389*MIN(L1389/K1389,1)*MIN(MAX(M1389/L1389,0),1),0)</f>
        <v>0.198968985092932</v>
      </c>
      <c r="R1389" s="55" t="n">
        <f aca="false">IF(F1389&gt;0,N1389/(F1389/3600),0)</f>
        <v>1.94527602326022</v>
      </c>
    </row>
    <row r="1390" customFormat="false" ht="15" hidden="false" customHeight="false" outlineLevel="0" collapsed="false">
      <c r="A1390" s="0" t="s">
        <v>260</v>
      </c>
      <c r="B1390" s="52" t="n">
        <v>44425</v>
      </c>
      <c r="C1390" s="0" t="n">
        <v>78068.477</v>
      </c>
      <c r="D1390" s="0" t="n">
        <v>2879.574</v>
      </c>
      <c r="E1390" s="0" t="n">
        <v>75188.903</v>
      </c>
      <c r="F1390" s="0" t="n">
        <v>12561.241</v>
      </c>
      <c r="G1390" s="0" t="n">
        <v>11807.656</v>
      </c>
      <c r="H1390" s="0" t="n">
        <v>753.585</v>
      </c>
      <c r="I1390" s="0" t="n">
        <v>1540.626</v>
      </c>
      <c r="J1390" s="0" t="n">
        <v>61087.036</v>
      </c>
      <c r="K1390" s="0" t="n">
        <v>13084.6260416667</v>
      </c>
      <c r="L1390" s="0" t="n">
        <v>12280</v>
      </c>
      <c r="M1390" s="0" t="n">
        <v>12263</v>
      </c>
      <c r="N1390" s="0" t="n">
        <v>5</v>
      </c>
      <c r="O1390" s="54" t="n">
        <f aca="false">YEAR(B1390)</f>
        <v>2021</v>
      </c>
      <c r="P1390" s="54" t="n">
        <f aca="false">IF(AND(E1390&gt;=14400,K1390&gt;0,L1390&gt;0),1,0)</f>
        <v>1</v>
      </c>
      <c r="Q1390" s="53" t="n">
        <f aca="false">IF(P1390=1,F1390/E1390*MIN(L1390/K1390,1)*MIN(MAX(M1390/L1390,0),1),0)</f>
        <v>0.156572040956629</v>
      </c>
      <c r="R1390" s="55" t="n">
        <f aca="false">IF(F1390&gt;0,N1390/(F1390/3600),0)</f>
        <v>1.43297943252582</v>
      </c>
    </row>
    <row r="1391" customFormat="false" ht="15" hidden="false" customHeight="false" outlineLevel="0" collapsed="false">
      <c r="A1391" s="0" t="s">
        <v>260</v>
      </c>
      <c r="B1391" s="52" t="n">
        <v>44426</v>
      </c>
      <c r="C1391" s="0" t="n">
        <v>88726.136</v>
      </c>
      <c r="D1391" s="0" t="n">
        <v>9595.869</v>
      </c>
      <c r="E1391" s="0" t="n">
        <v>79130.267</v>
      </c>
      <c r="F1391" s="0" t="n">
        <v>39110.372</v>
      </c>
      <c r="G1391" s="0" t="n">
        <v>37364.657</v>
      </c>
      <c r="H1391" s="0" t="n">
        <v>1745.715</v>
      </c>
      <c r="I1391" s="0" t="n">
        <v>1794.58</v>
      </c>
      <c r="J1391" s="0" t="n">
        <v>38225.315</v>
      </c>
      <c r="K1391" s="0" t="n">
        <v>40739.9708333333</v>
      </c>
      <c r="L1391" s="0" t="n">
        <v>37903</v>
      </c>
      <c r="M1391" s="0" t="n">
        <v>37756</v>
      </c>
      <c r="N1391" s="0" t="n">
        <v>16</v>
      </c>
      <c r="O1391" s="54" t="n">
        <f aca="false">YEAR(B1391)</f>
        <v>2021</v>
      </c>
      <c r="P1391" s="54" t="n">
        <f aca="false">IF(AND(E1391&gt;=14400,K1391&gt;0,L1391&gt;0),1,0)</f>
        <v>1</v>
      </c>
      <c r="Q1391" s="53" t="n">
        <f aca="false">IF(P1391=1,F1391/E1391*MIN(L1391/K1391,1)*MIN(MAX(M1391/L1391,0),1),0)</f>
        <v>0.458051784407602</v>
      </c>
      <c r="R1391" s="55" t="n">
        <f aca="false">IF(F1391&gt;0,N1391/(F1391/3600),0)</f>
        <v>1.47275510445158</v>
      </c>
    </row>
    <row r="1392" customFormat="false" ht="15" hidden="false" customHeight="false" outlineLevel="0" collapsed="false">
      <c r="A1392" s="0" t="s">
        <v>260</v>
      </c>
      <c r="B1392" s="52" t="n">
        <v>44427</v>
      </c>
      <c r="C1392" s="0" t="n">
        <v>85119.392</v>
      </c>
      <c r="D1392" s="0" t="n">
        <v>7454.575</v>
      </c>
      <c r="E1392" s="0" t="n">
        <v>77664.817</v>
      </c>
      <c r="F1392" s="0" t="n">
        <v>39403.313</v>
      </c>
      <c r="G1392" s="0" t="n">
        <v>37437.803</v>
      </c>
      <c r="H1392" s="0" t="n">
        <v>1965.51</v>
      </c>
      <c r="I1392" s="0" t="n">
        <v>2763.39</v>
      </c>
      <c r="J1392" s="0" t="n">
        <v>35498.114</v>
      </c>
      <c r="K1392" s="0" t="n">
        <v>41151.0234722222</v>
      </c>
      <c r="L1392" s="0" t="n">
        <v>39041</v>
      </c>
      <c r="M1392" s="0" t="n">
        <v>38952</v>
      </c>
      <c r="N1392" s="0" t="n">
        <v>13</v>
      </c>
      <c r="O1392" s="54" t="n">
        <f aca="false">YEAR(B1392)</f>
        <v>2021</v>
      </c>
      <c r="P1392" s="54" t="n">
        <f aca="false">IF(AND(E1392&gt;=14400,K1392&gt;0,L1392&gt;0),1,0)</f>
        <v>1</v>
      </c>
      <c r="Q1392" s="53" t="n">
        <f aca="false">IF(P1392=1,F1392/E1392*MIN(L1392/K1392,1)*MIN(MAX(M1392/L1392,0),1),0)</f>
        <v>0.480239121287483</v>
      </c>
      <c r="R1392" s="55" t="n">
        <f aca="false">IF(F1392&gt;0,N1392/(F1392/3600),0)</f>
        <v>1.18771738812927</v>
      </c>
    </row>
    <row r="1393" customFormat="false" ht="15" hidden="false" customHeight="false" outlineLevel="0" collapsed="false">
      <c r="A1393" s="0" t="s">
        <v>260</v>
      </c>
      <c r="B1393" s="52" t="n">
        <v>44428</v>
      </c>
      <c r="C1393" s="0" t="n">
        <v>66954.514</v>
      </c>
      <c r="D1393" s="0" t="n">
        <v>2086.899</v>
      </c>
      <c r="E1393" s="0" t="n">
        <v>64867.615</v>
      </c>
      <c r="F1393" s="0" t="n">
        <v>24202.249</v>
      </c>
      <c r="G1393" s="0" t="n">
        <v>22378.242</v>
      </c>
      <c r="H1393" s="0" t="n">
        <v>1824.007</v>
      </c>
      <c r="I1393" s="0" t="n">
        <v>2435.611</v>
      </c>
      <c r="J1393" s="0" t="n">
        <v>38229.755</v>
      </c>
      <c r="K1393" s="0" t="n">
        <v>25210.6760416667</v>
      </c>
      <c r="L1393" s="0" t="n">
        <v>23287</v>
      </c>
      <c r="M1393" s="0" t="n">
        <v>23270</v>
      </c>
      <c r="N1393" s="0" t="n">
        <v>10</v>
      </c>
      <c r="O1393" s="54" t="n">
        <f aca="false">YEAR(B1393)</f>
        <v>2021</v>
      </c>
      <c r="P1393" s="54" t="n">
        <f aca="false">IF(AND(E1393&gt;=14400,K1393&gt;0,L1393&gt;0),1,0)</f>
        <v>1</v>
      </c>
      <c r="Q1393" s="53" t="n">
        <f aca="false">IF(P1393=1,F1393/E1393*MIN(L1393/K1393,1)*MIN(MAX(M1393/L1393,0),1),0)</f>
        <v>0.344381398946146</v>
      </c>
      <c r="R1393" s="55" t="n">
        <f aca="false">IF(F1393&gt;0,N1393/(F1393/3600),0)</f>
        <v>1.48746506987842</v>
      </c>
    </row>
    <row r="1394" customFormat="false" ht="15" hidden="false" customHeight="false" outlineLevel="0" collapsed="false">
      <c r="A1394" s="0" t="s">
        <v>260</v>
      </c>
      <c r="B1394" s="52" t="n">
        <v>44429</v>
      </c>
      <c r="C1394" s="0" t="n">
        <v>83137.87</v>
      </c>
      <c r="D1394" s="0" t="n">
        <v>9393.099</v>
      </c>
      <c r="E1394" s="0" t="n">
        <v>73744.771</v>
      </c>
      <c r="F1394" s="0" t="n">
        <v>41864.829</v>
      </c>
      <c r="G1394" s="0" t="n">
        <v>39911.689</v>
      </c>
      <c r="H1394" s="0" t="n">
        <v>1953.14</v>
      </c>
      <c r="I1394" s="0" t="n">
        <v>1334.968</v>
      </c>
      <c r="J1394" s="0" t="n">
        <v>30544.974</v>
      </c>
      <c r="K1394" s="0" t="n">
        <v>43851.0907638889</v>
      </c>
      <c r="L1394" s="0" t="n">
        <v>40842</v>
      </c>
      <c r="M1394" s="0" t="n">
        <v>40787</v>
      </c>
      <c r="N1394" s="0" t="n">
        <v>10</v>
      </c>
      <c r="O1394" s="54" t="n">
        <f aca="false">YEAR(B1394)</f>
        <v>2021</v>
      </c>
      <c r="P1394" s="54" t="n">
        <f aca="false">IF(AND(E1394&gt;=14400,K1394&gt;0,L1394&gt;0),1,0)</f>
        <v>1</v>
      </c>
      <c r="Q1394" s="53" t="n">
        <f aca="false">IF(P1394=1,F1394/E1394*MIN(L1394/K1394,1)*MIN(MAX(M1394/L1394,0),1),0)</f>
        <v>0.528031039468204</v>
      </c>
      <c r="R1394" s="55" t="n">
        <f aca="false">IF(F1394&gt;0,N1394/(F1394/3600),0)</f>
        <v>0.859910355778594</v>
      </c>
    </row>
    <row r="1395" customFormat="false" ht="15" hidden="false" customHeight="false" outlineLevel="0" collapsed="false">
      <c r="A1395" s="0" t="s">
        <v>260</v>
      </c>
      <c r="B1395" s="52" t="n">
        <v>44430</v>
      </c>
      <c r="C1395" s="0" t="n">
        <v>82220.408</v>
      </c>
      <c r="D1395" s="0" t="n">
        <v>10942.22</v>
      </c>
      <c r="E1395" s="0" t="n">
        <v>71278.188</v>
      </c>
      <c r="F1395" s="0" t="n">
        <v>41045.618</v>
      </c>
      <c r="G1395" s="0" t="n">
        <v>38903.275</v>
      </c>
      <c r="H1395" s="0" t="n">
        <v>2142.343</v>
      </c>
      <c r="I1395" s="0" t="n">
        <v>700.767</v>
      </c>
      <c r="J1395" s="0" t="n">
        <v>29531.803</v>
      </c>
      <c r="K1395" s="0" t="n">
        <v>42755.8520833333</v>
      </c>
      <c r="L1395" s="0" t="n">
        <v>40510</v>
      </c>
      <c r="M1395" s="0" t="n">
        <v>40472</v>
      </c>
      <c r="N1395" s="0" t="n">
        <v>6</v>
      </c>
      <c r="O1395" s="54" t="n">
        <f aca="false">YEAR(B1395)</f>
        <v>2021</v>
      </c>
      <c r="P1395" s="54" t="n">
        <f aca="false">IF(AND(E1395&gt;=14400,K1395&gt;0,L1395&gt;0),1,0)</f>
        <v>1</v>
      </c>
      <c r="Q1395" s="53" t="n">
        <f aca="false">IF(P1395=1,F1395/E1395*MIN(L1395/K1395,1)*MIN(MAX(M1395/L1395,0),1),0)</f>
        <v>0.545091297775415</v>
      </c>
      <c r="R1395" s="55" t="n">
        <f aca="false">IF(F1395&gt;0,N1395/(F1395/3600),0)</f>
        <v>0.526243751525437</v>
      </c>
    </row>
    <row r="1396" customFormat="false" ht="15" hidden="false" customHeight="false" outlineLevel="0" collapsed="false">
      <c r="A1396" s="0" t="s">
        <v>260</v>
      </c>
      <c r="B1396" s="52" t="n">
        <v>44431</v>
      </c>
      <c r="C1396" s="0" t="n">
        <v>87894.236</v>
      </c>
      <c r="D1396" s="0" t="n">
        <v>1943.993</v>
      </c>
      <c r="E1396" s="0" t="n">
        <v>85950.243</v>
      </c>
      <c r="F1396" s="0" t="n">
        <v>38935.381</v>
      </c>
      <c r="G1396" s="0" t="n">
        <v>37270.042</v>
      </c>
      <c r="H1396" s="0" t="n">
        <v>1665.339</v>
      </c>
      <c r="I1396" s="0" t="n">
        <v>1725.394</v>
      </c>
      <c r="J1396" s="0" t="n">
        <v>45289.468</v>
      </c>
      <c r="K1396" s="0" t="n">
        <v>40557.6885416667</v>
      </c>
      <c r="L1396" s="0" t="n">
        <v>38759</v>
      </c>
      <c r="M1396" s="0" t="n">
        <v>38734</v>
      </c>
      <c r="N1396" s="0" t="n">
        <v>13</v>
      </c>
      <c r="O1396" s="54" t="n">
        <f aca="false">YEAR(B1396)</f>
        <v>2021</v>
      </c>
      <c r="P1396" s="54" t="n">
        <f aca="false">IF(AND(E1396&gt;=14400,K1396&gt;0,L1396&gt;0),1,0)</f>
        <v>1</v>
      </c>
      <c r="Q1396" s="53" t="n">
        <f aca="false">IF(P1396=1,F1396/E1396*MIN(L1396/K1396,1)*MIN(MAX(M1396/L1396,0),1),0)</f>
        <v>0.432629841430466</v>
      </c>
      <c r="R1396" s="55" t="n">
        <f aca="false">IF(F1396&gt;0,N1396/(F1396/3600),0)</f>
        <v>1.20199157676151</v>
      </c>
    </row>
    <row r="1397" customFormat="false" ht="15" hidden="false" customHeight="false" outlineLevel="0" collapsed="false">
      <c r="A1397" s="0" t="s">
        <v>260</v>
      </c>
      <c r="B1397" s="52" t="n">
        <v>44432</v>
      </c>
      <c r="C1397" s="0" t="n">
        <v>81592.9</v>
      </c>
      <c r="D1397" s="0" t="n">
        <v>490.841</v>
      </c>
      <c r="E1397" s="0" t="n">
        <v>81102.059</v>
      </c>
      <c r="F1397" s="0" t="n">
        <v>48212.203</v>
      </c>
      <c r="G1397" s="0" t="n">
        <v>44520.245</v>
      </c>
      <c r="H1397" s="0" t="n">
        <v>3691.958</v>
      </c>
      <c r="I1397" s="0" t="n">
        <v>9707.133</v>
      </c>
      <c r="J1397" s="0" t="n">
        <v>23182.723</v>
      </c>
      <c r="K1397" s="0" t="n">
        <v>50221.0447916667</v>
      </c>
      <c r="L1397" s="0" t="n">
        <v>45369</v>
      </c>
      <c r="M1397" s="0" t="n">
        <v>45270</v>
      </c>
      <c r="N1397" s="0" t="n">
        <v>18</v>
      </c>
      <c r="O1397" s="54" t="n">
        <f aca="false">YEAR(B1397)</f>
        <v>2021</v>
      </c>
      <c r="P1397" s="54" t="n">
        <f aca="false">IF(AND(E1397&gt;=14400,K1397&gt;0,L1397&gt;0),1,0)</f>
        <v>1</v>
      </c>
      <c r="Q1397" s="53" t="n">
        <f aca="false">IF(P1397=1,F1397/E1397*MIN(L1397/K1397,1)*MIN(MAX(M1397/L1397,0),1),0)</f>
        <v>0.535858158668943</v>
      </c>
      <c r="R1397" s="55" t="n">
        <f aca="false">IF(F1397&gt;0,N1397/(F1397/3600),0)</f>
        <v>1.34405805932577</v>
      </c>
    </row>
    <row r="1398" customFormat="false" ht="15" hidden="false" customHeight="false" outlineLevel="0" collapsed="false">
      <c r="A1398" s="0" t="s">
        <v>260</v>
      </c>
      <c r="B1398" s="52" t="n">
        <v>44433</v>
      </c>
      <c r="C1398" s="0" t="n">
        <v>67113.39</v>
      </c>
      <c r="D1398" s="0" t="n">
        <v>5123.267</v>
      </c>
      <c r="E1398" s="0" t="n">
        <v>61990.123</v>
      </c>
      <c r="F1398" s="0" t="n">
        <v>34151.791</v>
      </c>
      <c r="G1398" s="0" t="n">
        <v>30942.249</v>
      </c>
      <c r="H1398" s="0" t="n">
        <v>3209.542</v>
      </c>
      <c r="I1398" s="0" t="n">
        <v>2630.568</v>
      </c>
      <c r="J1398" s="0" t="n">
        <v>25207.764</v>
      </c>
      <c r="K1398" s="0" t="n">
        <v>35680.1334722222</v>
      </c>
      <c r="L1398" s="0" t="n">
        <v>31342</v>
      </c>
      <c r="M1398" s="0" t="n">
        <v>31311</v>
      </c>
      <c r="N1398" s="0" t="n">
        <v>14</v>
      </c>
      <c r="O1398" s="54" t="n">
        <f aca="false">YEAR(B1398)</f>
        <v>2021</v>
      </c>
      <c r="P1398" s="54" t="n">
        <f aca="false">IF(AND(E1398&gt;=14400,K1398&gt;0,L1398&gt;0),1,0)</f>
        <v>1</v>
      </c>
      <c r="Q1398" s="53" t="n">
        <f aca="false">IF(P1398=1,F1398/E1398*MIN(L1398/K1398,1)*MIN(MAX(M1398/L1398,0),1),0)</f>
        <v>0.48346100870452</v>
      </c>
      <c r="R1398" s="55" t="n">
        <f aca="false">IF(F1398&gt;0,N1398/(F1398/3600),0)</f>
        <v>1.47576447747645</v>
      </c>
    </row>
    <row r="1399" customFormat="false" ht="15" hidden="false" customHeight="false" outlineLevel="0" collapsed="false">
      <c r="A1399" s="0" t="s">
        <v>260</v>
      </c>
      <c r="B1399" s="52" t="n">
        <v>44434</v>
      </c>
      <c r="C1399" s="0" t="n">
        <v>61356.26</v>
      </c>
      <c r="D1399" s="0" t="n">
        <v>1543.61</v>
      </c>
      <c r="E1399" s="0" t="n">
        <v>59812.65</v>
      </c>
      <c r="F1399" s="0" t="n">
        <v>22405.181</v>
      </c>
      <c r="G1399" s="0" t="n">
        <v>21616.951</v>
      </c>
      <c r="H1399" s="0" t="n">
        <v>788.23</v>
      </c>
      <c r="I1399" s="0" t="n">
        <v>1696.689</v>
      </c>
      <c r="J1399" s="0" t="n">
        <v>35710.78</v>
      </c>
      <c r="K1399" s="0" t="n">
        <v>23338.7302083333</v>
      </c>
      <c r="L1399" s="0" t="n">
        <v>22502</v>
      </c>
      <c r="M1399" s="0" t="n">
        <v>22485</v>
      </c>
      <c r="N1399" s="0" t="n">
        <v>9</v>
      </c>
      <c r="O1399" s="54" t="n">
        <f aca="false">YEAR(B1399)</f>
        <v>2021</v>
      </c>
      <c r="P1399" s="54" t="n">
        <f aca="false">IF(AND(E1399&gt;=14400,K1399&gt;0,L1399&gt;0),1,0)</f>
        <v>1</v>
      </c>
      <c r="Q1399" s="53" t="n">
        <f aca="false">IF(P1399=1,F1399/E1399*MIN(L1399/K1399,1)*MIN(MAX(M1399/L1399,0),1),0)</f>
        <v>0.360886869249231</v>
      </c>
      <c r="R1399" s="55" t="n">
        <f aca="false">IF(F1399&gt;0,N1399/(F1399/3600),0)</f>
        <v>1.44609409761073</v>
      </c>
    </row>
    <row r="1400" customFormat="false" ht="15" hidden="false" customHeight="false" outlineLevel="0" collapsed="false">
      <c r="A1400" s="0" t="s">
        <v>260</v>
      </c>
      <c r="B1400" s="52" t="n">
        <v>44435</v>
      </c>
      <c r="C1400" s="0" t="n">
        <v>87333.174</v>
      </c>
      <c r="D1400" s="0" t="n">
        <v>12131.938</v>
      </c>
      <c r="E1400" s="0" t="n">
        <v>75201.236</v>
      </c>
      <c r="F1400" s="0" t="n">
        <v>40959.028</v>
      </c>
      <c r="G1400" s="0" t="n">
        <v>39067.307</v>
      </c>
      <c r="H1400" s="0" t="n">
        <v>1891.721</v>
      </c>
      <c r="I1400" s="0" t="n">
        <v>2055.162</v>
      </c>
      <c r="J1400" s="0" t="n">
        <v>32187.046</v>
      </c>
      <c r="K1400" s="0" t="n">
        <v>42826.1631944445</v>
      </c>
      <c r="L1400" s="0" t="n">
        <v>39886</v>
      </c>
      <c r="M1400" s="0" t="n">
        <v>39836</v>
      </c>
      <c r="N1400" s="0" t="n">
        <v>17</v>
      </c>
      <c r="O1400" s="54" t="n">
        <f aca="false">YEAR(B1400)</f>
        <v>2021</v>
      </c>
      <c r="P1400" s="54" t="n">
        <f aca="false">IF(AND(E1400&gt;=14400,K1400&gt;0,L1400&gt;0),1,0)</f>
        <v>1</v>
      </c>
      <c r="Q1400" s="53" t="n">
        <f aca="false">IF(P1400=1,F1400/E1400*MIN(L1400/K1400,1)*MIN(MAX(M1400/L1400,0),1),0)</f>
        <v>0.506630369076486</v>
      </c>
      <c r="R1400" s="55" t="n">
        <f aca="false">IF(F1400&gt;0,N1400/(F1400/3600),0)</f>
        <v>1.49417608249883</v>
      </c>
    </row>
    <row r="1401" customFormat="false" ht="15" hidden="false" customHeight="false" outlineLevel="0" collapsed="false">
      <c r="A1401" s="0" t="s">
        <v>260</v>
      </c>
      <c r="B1401" s="52" t="n">
        <v>44436</v>
      </c>
      <c r="C1401" s="0" t="n">
        <v>70643.314</v>
      </c>
      <c r="D1401" s="0" t="n">
        <v>2201.763</v>
      </c>
      <c r="E1401" s="0" t="n">
        <v>68441.551</v>
      </c>
      <c r="F1401" s="0" t="n">
        <v>33814.013</v>
      </c>
      <c r="G1401" s="0" t="n">
        <v>31971.741</v>
      </c>
      <c r="H1401" s="0" t="n">
        <v>1842.272</v>
      </c>
      <c r="I1401" s="0" t="n">
        <v>1250.309</v>
      </c>
      <c r="J1401" s="0" t="n">
        <v>33377.229</v>
      </c>
      <c r="K1401" s="0" t="n">
        <v>35222.9302083333</v>
      </c>
      <c r="L1401" s="0" t="n">
        <v>33275</v>
      </c>
      <c r="M1401" s="0" t="n">
        <v>33186</v>
      </c>
      <c r="N1401" s="0" t="n">
        <v>9</v>
      </c>
      <c r="O1401" s="54" t="n">
        <f aca="false">YEAR(B1401)</f>
        <v>2021</v>
      </c>
      <c r="P1401" s="54" t="n">
        <f aca="false">IF(AND(E1401&gt;=14400,K1401&gt;0,L1401&gt;0),1,0)</f>
        <v>1</v>
      </c>
      <c r="Q1401" s="53" t="n">
        <f aca="false">IF(P1401=1,F1401/E1401*MIN(L1401/K1401,1)*MIN(MAX(M1401/L1401,0),1),0)</f>
        <v>0.465485652129654</v>
      </c>
      <c r="R1401" s="55" t="n">
        <f aca="false">IF(F1401&gt;0,N1401/(F1401/3600),0)</f>
        <v>0.958182632744596</v>
      </c>
    </row>
    <row r="1402" customFormat="false" ht="15" hidden="false" customHeight="false" outlineLevel="0" collapsed="false">
      <c r="A1402" s="0" t="s">
        <v>260</v>
      </c>
      <c r="B1402" s="52" t="n">
        <v>44437</v>
      </c>
      <c r="C1402" s="0" t="n">
        <v>57578.371</v>
      </c>
      <c r="D1402" s="0" t="n">
        <v>6938.215</v>
      </c>
      <c r="E1402" s="0" t="n">
        <v>50640.156</v>
      </c>
      <c r="F1402" s="0" t="n">
        <v>26091.17</v>
      </c>
      <c r="G1402" s="0" t="n">
        <v>23417.932</v>
      </c>
      <c r="H1402" s="0" t="n">
        <v>2673.238</v>
      </c>
      <c r="I1402" s="0" t="n">
        <v>2329.275</v>
      </c>
      <c r="J1402" s="0" t="n">
        <v>22219.711</v>
      </c>
      <c r="K1402" s="0" t="n">
        <v>27295.3399305556</v>
      </c>
      <c r="L1402" s="0" t="n">
        <v>24462</v>
      </c>
      <c r="M1402" s="0" t="n">
        <v>24401</v>
      </c>
      <c r="N1402" s="0" t="n">
        <v>17</v>
      </c>
      <c r="O1402" s="54" t="n">
        <f aca="false">YEAR(B1402)</f>
        <v>2021</v>
      </c>
      <c r="P1402" s="54" t="n">
        <f aca="false">IF(AND(E1402&gt;=14400,K1402&gt;0,L1402&gt;0),1,0)</f>
        <v>1</v>
      </c>
      <c r="Q1402" s="53" t="n">
        <f aca="false">IF(P1402=1,F1402/E1402*MIN(L1402/K1402,1)*MIN(MAX(M1402/L1402,0),1),0)</f>
        <v>0.460593322300466</v>
      </c>
      <c r="R1402" s="55" t="n">
        <f aca="false">IF(F1402&gt;0,N1402/(F1402/3600),0)</f>
        <v>2.34562114309171</v>
      </c>
    </row>
    <row r="1403" customFormat="false" ht="15" hidden="false" customHeight="false" outlineLevel="0" collapsed="false">
      <c r="A1403" s="0" t="s">
        <v>260</v>
      </c>
      <c r="B1403" s="52" t="n">
        <v>44438</v>
      </c>
      <c r="C1403" s="0" t="n">
        <v>90733.58</v>
      </c>
      <c r="D1403" s="0" t="n">
        <v>181.872</v>
      </c>
      <c r="E1403" s="0" t="n">
        <v>90551.708</v>
      </c>
      <c r="F1403" s="0" t="n">
        <v>48640.12</v>
      </c>
      <c r="G1403" s="0" t="n">
        <v>38810.24</v>
      </c>
      <c r="H1403" s="0" t="n">
        <v>9829.88</v>
      </c>
      <c r="I1403" s="0" t="n">
        <v>27783.902</v>
      </c>
      <c r="J1403" s="0" t="n">
        <v>14127.686</v>
      </c>
      <c r="K1403" s="0" t="n">
        <v>50666.7916666667</v>
      </c>
      <c r="L1403" s="0" t="n">
        <v>39401</v>
      </c>
      <c r="M1403" s="0" t="n">
        <v>39265</v>
      </c>
      <c r="N1403" s="0" t="n">
        <v>12</v>
      </c>
      <c r="O1403" s="54" t="n">
        <f aca="false">YEAR(B1403)</f>
        <v>2021</v>
      </c>
      <c r="P1403" s="54" t="n">
        <f aca="false">IF(AND(E1403&gt;=14400,K1403&gt;0,L1403&gt;0),1,0)</f>
        <v>1</v>
      </c>
      <c r="Q1403" s="53" t="n">
        <f aca="false">IF(P1403=1,F1403/E1403*MIN(L1403/K1403,1)*MIN(MAX(M1403/L1403,0),1),0)</f>
        <v>0.416274864743578</v>
      </c>
      <c r="R1403" s="55" t="n">
        <f aca="false">IF(F1403&gt;0,N1403/(F1403/3600),0)</f>
        <v>0.888155703563231</v>
      </c>
    </row>
    <row r="1404" customFormat="false" ht="15" hidden="false" customHeight="false" outlineLevel="0" collapsed="false">
      <c r="A1404" s="0" t="s">
        <v>260</v>
      </c>
      <c r="B1404" s="52" t="n">
        <v>44439</v>
      </c>
      <c r="C1404" s="0" t="n">
        <v>89126.732</v>
      </c>
      <c r="D1404" s="0" t="n">
        <v>7356.612</v>
      </c>
      <c r="E1404" s="0" t="n">
        <v>81770.12</v>
      </c>
      <c r="F1404" s="0" t="n">
        <v>30096.921</v>
      </c>
      <c r="G1404" s="0" t="n">
        <v>28711.867</v>
      </c>
      <c r="H1404" s="0" t="n">
        <v>1385.054</v>
      </c>
      <c r="I1404" s="0" t="n">
        <v>4048.127</v>
      </c>
      <c r="J1404" s="0" t="n">
        <v>47625.072</v>
      </c>
      <c r="K1404" s="0" t="n">
        <v>31520.2979166667</v>
      </c>
      <c r="L1404" s="0" t="n">
        <v>29993</v>
      </c>
      <c r="M1404" s="0" t="n">
        <v>29960</v>
      </c>
      <c r="N1404" s="0" t="n">
        <v>22</v>
      </c>
      <c r="O1404" s="54" t="n">
        <f aca="false">YEAR(B1404)</f>
        <v>2021</v>
      </c>
      <c r="P1404" s="54" t="n">
        <f aca="false">IF(AND(E1404&gt;=14400,K1404&gt;0,L1404&gt;0),1,0)</f>
        <v>1</v>
      </c>
      <c r="Q1404" s="53" t="n">
        <f aca="false">IF(P1404=1,F1404/E1404*MIN(L1404/K1404,1)*MIN(MAX(M1404/L1404,0),1),0)</f>
        <v>0.349847623926037</v>
      </c>
      <c r="R1404" s="55" t="n">
        <f aca="false">IF(F1404&gt;0,N1404/(F1404/3600),0)</f>
        <v>2.63149841806077</v>
      </c>
    </row>
    <row r="1405" customFormat="false" ht="15" hidden="false" customHeight="false" outlineLevel="0" collapsed="false">
      <c r="A1405" s="0" t="s">
        <v>260</v>
      </c>
      <c r="B1405" s="52" t="n">
        <v>44440</v>
      </c>
      <c r="C1405" s="0" t="n">
        <v>85447.95</v>
      </c>
      <c r="D1405" s="0" t="n">
        <v>11021.259</v>
      </c>
      <c r="E1405" s="0" t="n">
        <v>74426.691</v>
      </c>
      <c r="F1405" s="0" t="n">
        <v>38231.117</v>
      </c>
      <c r="G1405" s="0" t="n">
        <v>37113.129</v>
      </c>
      <c r="H1405" s="0" t="n">
        <v>1117.988</v>
      </c>
      <c r="I1405" s="0" t="n">
        <v>1558.761</v>
      </c>
      <c r="J1405" s="0" t="n">
        <v>34636.813</v>
      </c>
      <c r="K1405" s="0" t="n">
        <v>39824.0802083333</v>
      </c>
      <c r="L1405" s="0" t="n">
        <v>38650</v>
      </c>
      <c r="M1405" s="0" t="n">
        <v>38621</v>
      </c>
      <c r="N1405" s="0" t="n">
        <v>8</v>
      </c>
      <c r="O1405" s="54" t="n">
        <f aca="false">YEAR(B1405)</f>
        <v>2021</v>
      </c>
      <c r="P1405" s="54" t="n">
        <f aca="false">IF(AND(E1405&gt;=14400,K1405&gt;0,L1405&gt;0),1,0)</f>
        <v>1</v>
      </c>
      <c r="Q1405" s="53" t="n">
        <f aca="false">IF(P1405=1,F1405/E1405*MIN(L1405/K1405,1)*MIN(MAX(M1405/L1405,0),1),0)</f>
        <v>0.498156770129684</v>
      </c>
      <c r="R1405" s="55" t="n">
        <f aca="false">IF(F1405&gt;0,N1405/(F1405/3600),0)</f>
        <v>0.753313066944918</v>
      </c>
    </row>
    <row r="1406" customFormat="false" ht="15" hidden="false" customHeight="false" outlineLevel="0" collapsed="false">
      <c r="A1406" s="0" t="s">
        <v>260</v>
      </c>
      <c r="B1406" s="52" t="n">
        <v>44441</v>
      </c>
      <c r="C1406" s="0" t="n">
        <v>76917.967</v>
      </c>
      <c r="D1406" s="0" t="n">
        <v>2302.438</v>
      </c>
      <c r="E1406" s="0" t="n">
        <v>74615.529</v>
      </c>
      <c r="F1406" s="0" t="n">
        <v>26730.423</v>
      </c>
      <c r="G1406" s="0" t="n">
        <v>24815.609</v>
      </c>
      <c r="H1406" s="0" t="n">
        <v>1914.814</v>
      </c>
      <c r="I1406" s="0" t="n">
        <v>746.123</v>
      </c>
      <c r="J1406" s="0" t="n">
        <v>47138.983</v>
      </c>
      <c r="K1406" s="0" t="n">
        <v>27975.3513194444</v>
      </c>
      <c r="L1406" s="0" t="n">
        <v>25948</v>
      </c>
      <c r="M1406" s="0" t="n">
        <v>25911</v>
      </c>
      <c r="N1406" s="0" t="n">
        <v>6</v>
      </c>
      <c r="O1406" s="54" t="n">
        <f aca="false">YEAR(B1406)</f>
        <v>2021</v>
      </c>
      <c r="P1406" s="54" t="n">
        <f aca="false">IF(AND(E1406&gt;=14400,K1406&gt;0,L1406&gt;0),1,0)</f>
        <v>1</v>
      </c>
      <c r="Q1406" s="53" t="n">
        <f aca="false">IF(P1406=1,F1406/E1406*MIN(L1406/K1406,1)*MIN(MAX(M1406/L1406,0),1),0)</f>
        <v>0.33180676334508</v>
      </c>
      <c r="R1406" s="55" t="n">
        <f aca="false">IF(F1406&gt;0,N1406/(F1406/3600),0)</f>
        <v>0.808068020472403</v>
      </c>
    </row>
    <row r="1407" customFormat="false" ht="15" hidden="false" customHeight="false" outlineLevel="0" collapsed="false">
      <c r="A1407" s="0" t="s">
        <v>260</v>
      </c>
      <c r="B1407" s="52" t="n">
        <v>44442</v>
      </c>
      <c r="C1407" s="0" t="n">
        <v>58307.39</v>
      </c>
      <c r="D1407" s="0" t="n">
        <v>19587.609</v>
      </c>
      <c r="E1407" s="0" t="n">
        <v>38719.781</v>
      </c>
      <c r="F1407" s="0" t="n">
        <v>19618.511</v>
      </c>
      <c r="G1407" s="0" t="n">
        <v>18599.329</v>
      </c>
      <c r="H1407" s="0" t="n">
        <v>1019.182</v>
      </c>
      <c r="I1407" s="0" t="n">
        <v>1074.191</v>
      </c>
      <c r="J1407" s="0" t="n">
        <v>18027.079</v>
      </c>
      <c r="K1407" s="0" t="n">
        <v>20435.9489583333</v>
      </c>
      <c r="L1407" s="0" t="n">
        <v>19362</v>
      </c>
      <c r="M1407" s="0" t="n">
        <v>19345</v>
      </c>
      <c r="N1407" s="0" t="n">
        <v>12</v>
      </c>
      <c r="O1407" s="54" t="n">
        <f aca="false">YEAR(B1407)</f>
        <v>2021</v>
      </c>
      <c r="P1407" s="54" t="n">
        <f aca="false">IF(AND(E1407&gt;=14400,K1407&gt;0,L1407&gt;0),1,0)</f>
        <v>1</v>
      </c>
      <c r="Q1407" s="53" t="n">
        <f aca="false">IF(P1407=1,F1407/E1407*MIN(L1407/K1407,1)*MIN(MAX(M1407/L1407,0),1),0)</f>
        <v>0.479630811961462</v>
      </c>
      <c r="R1407" s="55" t="n">
        <f aca="false">IF(F1407&gt;0,N1407/(F1407/3600),0)</f>
        <v>2.20200197660261</v>
      </c>
    </row>
    <row r="1408" customFormat="false" ht="15" hidden="false" customHeight="false" outlineLevel="0" collapsed="false">
      <c r="A1408" s="0" t="s">
        <v>260</v>
      </c>
      <c r="B1408" s="52" t="n">
        <v>44443</v>
      </c>
      <c r="C1408" s="0" t="n">
        <v>74093.034</v>
      </c>
      <c r="D1408" s="0" t="n">
        <v>3153.98</v>
      </c>
      <c r="E1408" s="0" t="n">
        <v>70939.054</v>
      </c>
      <c r="F1408" s="0" t="n">
        <v>37666.685</v>
      </c>
      <c r="G1408" s="0" t="n">
        <v>36541.98</v>
      </c>
      <c r="H1408" s="0" t="n">
        <v>1124.705</v>
      </c>
      <c r="I1408" s="0" t="n">
        <v>3539.99</v>
      </c>
      <c r="J1408" s="0" t="n">
        <v>29732.379</v>
      </c>
      <c r="K1408" s="0" t="n">
        <v>39441.400625</v>
      </c>
      <c r="L1408" s="0" t="n">
        <v>38185</v>
      </c>
      <c r="M1408" s="0" t="n">
        <v>38147</v>
      </c>
      <c r="N1408" s="0" t="n">
        <v>32</v>
      </c>
      <c r="O1408" s="54" t="n">
        <f aca="false">YEAR(B1408)</f>
        <v>2021</v>
      </c>
      <c r="P1408" s="54" t="n">
        <f aca="false">IF(AND(E1408&gt;=14400,K1408&gt;0,L1408&gt;0),1,0)</f>
        <v>1</v>
      </c>
      <c r="Q1408" s="53" t="n">
        <f aca="false">IF(P1408=1,F1408/E1408*MIN(L1408/K1408,1)*MIN(MAX(M1408/L1408,0),1),0)</f>
        <v>0.513546847771633</v>
      </c>
      <c r="R1408" s="55" t="n">
        <f aca="false">IF(F1408&gt;0,N1408/(F1408/3600),0)</f>
        <v>3.05840559104153</v>
      </c>
    </row>
    <row r="1409" customFormat="false" ht="15" hidden="false" customHeight="false" outlineLevel="0" collapsed="false">
      <c r="A1409" s="0" t="s">
        <v>260</v>
      </c>
      <c r="B1409" s="52" t="n">
        <v>44444</v>
      </c>
      <c r="C1409" s="0" t="n">
        <v>81864.995</v>
      </c>
      <c r="D1409" s="0" t="n">
        <v>0</v>
      </c>
      <c r="E1409" s="0" t="n">
        <v>81864.995</v>
      </c>
      <c r="F1409" s="0" t="n">
        <v>35486.191</v>
      </c>
      <c r="G1409" s="0" t="n">
        <v>33966.397</v>
      </c>
      <c r="H1409" s="0" t="n">
        <v>1519.794</v>
      </c>
      <c r="I1409" s="0" t="n">
        <v>45532.665</v>
      </c>
      <c r="J1409" s="0" t="n">
        <v>846.139</v>
      </c>
      <c r="K1409" s="0" t="n">
        <v>36964.7822916667</v>
      </c>
      <c r="L1409" s="0" t="n">
        <v>35338</v>
      </c>
      <c r="M1409" s="0" t="n">
        <v>35296</v>
      </c>
      <c r="N1409" s="0" t="n">
        <v>19</v>
      </c>
      <c r="O1409" s="54" t="n">
        <f aca="false">YEAR(B1409)</f>
        <v>2021</v>
      </c>
      <c r="P1409" s="54" t="n">
        <f aca="false">IF(AND(E1409&gt;=14400,K1409&gt;0,L1409&gt;0),1,0)</f>
        <v>1</v>
      </c>
      <c r="Q1409" s="53" t="n">
        <f aca="false">IF(P1409=1,F1409/E1409*MIN(L1409/K1409,1)*MIN(MAX(M1409/L1409,0),1),0)</f>
        <v>0.413902914182063</v>
      </c>
      <c r="R1409" s="55" t="n">
        <f aca="false">IF(F1409&gt;0,N1409/(F1409/3600),0)</f>
        <v>1.92751033775364</v>
      </c>
    </row>
    <row r="1410" customFormat="false" ht="15" hidden="false" customHeight="false" outlineLevel="0" collapsed="false">
      <c r="A1410" s="0" t="s">
        <v>260</v>
      </c>
      <c r="B1410" s="52" t="n">
        <v>44445</v>
      </c>
      <c r="C1410" s="0" t="n">
        <v>80159.82</v>
      </c>
      <c r="D1410" s="0" t="n">
        <v>348.562</v>
      </c>
      <c r="E1410" s="0" t="n">
        <v>79811.258</v>
      </c>
      <c r="F1410" s="0" t="n">
        <v>35941.91</v>
      </c>
      <c r="G1410" s="0" t="n">
        <v>34265.793</v>
      </c>
      <c r="H1410" s="0" t="n">
        <v>1676.117</v>
      </c>
      <c r="I1410" s="0" t="n">
        <v>23447.345</v>
      </c>
      <c r="J1410" s="0" t="n">
        <v>20422.003</v>
      </c>
      <c r="K1410" s="0" t="n">
        <v>37555.7759027778</v>
      </c>
      <c r="L1410" s="0" t="n">
        <v>34786</v>
      </c>
      <c r="M1410" s="0" t="n">
        <v>34750</v>
      </c>
      <c r="N1410" s="0" t="n">
        <v>19</v>
      </c>
      <c r="O1410" s="54" t="n">
        <f aca="false">YEAR(B1410)</f>
        <v>2021</v>
      </c>
      <c r="P1410" s="54" t="n">
        <f aca="false">IF(AND(E1410&gt;=14400,K1410&gt;0,L1410&gt;0),1,0)</f>
        <v>1</v>
      </c>
      <c r="Q1410" s="53" t="n">
        <f aca="false">IF(P1410=1,F1410/E1410*MIN(L1410/K1410,1)*MIN(MAX(M1410/L1410,0),1),0)</f>
        <v>0.416691907378784</v>
      </c>
      <c r="R1410" s="55" t="n">
        <f aca="false">IF(F1410&gt;0,N1410/(F1410/3600),0)</f>
        <v>1.90307081621427</v>
      </c>
    </row>
    <row r="1411" customFormat="false" ht="15" hidden="false" customHeight="false" outlineLevel="0" collapsed="false">
      <c r="A1411" s="0" t="s">
        <v>260</v>
      </c>
      <c r="B1411" s="52" t="n">
        <v>44446</v>
      </c>
      <c r="C1411" s="0" t="n">
        <v>83690.167</v>
      </c>
      <c r="D1411" s="0" t="n">
        <v>7281.655</v>
      </c>
      <c r="E1411" s="0" t="n">
        <v>76408.512</v>
      </c>
      <c r="F1411" s="0" t="n">
        <v>37079.253</v>
      </c>
      <c r="G1411" s="0" t="n">
        <v>35510.036</v>
      </c>
      <c r="H1411" s="0" t="n">
        <v>1569.217</v>
      </c>
      <c r="I1411" s="0" t="n">
        <v>2698.04</v>
      </c>
      <c r="J1411" s="0" t="n">
        <v>36631.219</v>
      </c>
      <c r="K1411" s="0" t="n">
        <v>38624.221875</v>
      </c>
      <c r="L1411" s="0" t="n">
        <v>35976</v>
      </c>
      <c r="M1411" s="0" t="n">
        <v>35951</v>
      </c>
      <c r="N1411" s="0" t="n">
        <v>23</v>
      </c>
      <c r="O1411" s="54" t="n">
        <f aca="false">YEAR(B1411)</f>
        <v>2021</v>
      </c>
      <c r="P1411" s="54" t="n">
        <f aca="false">IF(AND(E1411&gt;=14400,K1411&gt;0,L1411&gt;0),1,0)</f>
        <v>1</v>
      </c>
      <c r="Q1411" s="53" t="n">
        <f aca="false">IF(P1411=1,F1411/E1411*MIN(L1411/K1411,1)*MIN(MAX(M1411/L1411,0),1),0)</f>
        <v>0.451689989722611</v>
      </c>
      <c r="R1411" s="55" t="n">
        <f aca="false">IF(F1411&gt;0,N1411/(F1411/3600),0)</f>
        <v>2.23305469503391</v>
      </c>
    </row>
    <row r="1412" customFormat="false" ht="15" hidden="false" customHeight="false" outlineLevel="0" collapsed="false">
      <c r="A1412" s="0" t="s">
        <v>260</v>
      </c>
      <c r="B1412" s="52" t="n">
        <v>44447</v>
      </c>
      <c r="C1412" s="0" t="n">
        <v>77662.291</v>
      </c>
      <c r="D1412" s="0" t="n">
        <v>7381.725</v>
      </c>
      <c r="E1412" s="0" t="n">
        <v>70280.566</v>
      </c>
      <c r="F1412" s="0" t="n">
        <v>39739.543</v>
      </c>
      <c r="G1412" s="0" t="n">
        <v>36202.223</v>
      </c>
      <c r="H1412" s="0" t="n">
        <v>3537.32</v>
      </c>
      <c r="I1412" s="0" t="n">
        <v>2682.633</v>
      </c>
      <c r="J1412" s="0" t="n">
        <v>27858.39</v>
      </c>
      <c r="K1412" s="0" t="n">
        <v>41514.0589583333</v>
      </c>
      <c r="L1412" s="0" t="n">
        <v>36828</v>
      </c>
      <c r="M1412" s="0" t="n">
        <v>36778</v>
      </c>
      <c r="N1412" s="0" t="n">
        <v>16</v>
      </c>
      <c r="O1412" s="54" t="n">
        <f aca="false">YEAR(B1412)</f>
        <v>2021</v>
      </c>
      <c r="P1412" s="54" t="n">
        <f aca="false">IF(AND(E1412&gt;=14400,K1412&gt;0,L1412&gt;0),1,0)</f>
        <v>1</v>
      </c>
      <c r="Q1412" s="53" t="n">
        <f aca="false">IF(P1412=1,F1412/E1412*MIN(L1412/K1412,1)*MIN(MAX(M1412/L1412,0),1),0)</f>
        <v>0.500934022039085</v>
      </c>
      <c r="R1412" s="55" t="n">
        <f aca="false">IF(F1412&gt;0,N1412/(F1412/3600),0)</f>
        <v>1.4494379062185</v>
      </c>
    </row>
    <row r="1413" customFormat="false" ht="15" hidden="false" customHeight="false" outlineLevel="0" collapsed="false">
      <c r="A1413" s="0" t="s">
        <v>260</v>
      </c>
      <c r="B1413" s="52" t="n">
        <v>44448</v>
      </c>
      <c r="C1413" s="0" t="n">
        <v>60544.173</v>
      </c>
      <c r="D1413" s="0" t="n">
        <v>7380.914</v>
      </c>
      <c r="E1413" s="0" t="n">
        <v>53163.259</v>
      </c>
      <c r="F1413" s="0" t="n">
        <v>33269.227</v>
      </c>
      <c r="G1413" s="0" t="n">
        <v>31587.545</v>
      </c>
      <c r="H1413" s="0" t="n">
        <v>1681.682</v>
      </c>
      <c r="I1413" s="0" t="n">
        <v>1521.564</v>
      </c>
      <c r="J1413" s="0" t="n">
        <v>18372.468</v>
      </c>
      <c r="K1413" s="0" t="n">
        <v>34655.4447916667</v>
      </c>
      <c r="L1413" s="0" t="n">
        <v>32852</v>
      </c>
      <c r="M1413" s="0" t="n">
        <v>32765</v>
      </c>
      <c r="N1413" s="0" t="n">
        <v>16</v>
      </c>
      <c r="O1413" s="54" t="n">
        <f aca="false">YEAR(B1413)</f>
        <v>2021</v>
      </c>
      <c r="P1413" s="54" t="n">
        <f aca="false">IF(AND(E1413&gt;=14400,K1413&gt;0,L1413&gt;0),1,0)</f>
        <v>1</v>
      </c>
      <c r="Q1413" s="53" t="n">
        <f aca="false">IF(P1413=1,F1413/E1413*MIN(L1413/K1413,1)*MIN(MAX(M1413/L1413,0),1),0)</f>
        <v>0.591656730449877</v>
      </c>
      <c r="R1413" s="55" t="n">
        <f aca="false">IF(F1413&gt;0,N1413/(F1413/3600),0)</f>
        <v>1.73132967591943</v>
      </c>
    </row>
    <row r="1414" customFormat="false" ht="15" hidden="false" customHeight="false" outlineLevel="0" collapsed="false">
      <c r="A1414" s="0" t="s">
        <v>260</v>
      </c>
      <c r="B1414" s="52" t="n">
        <v>44449</v>
      </c>
      <c r="C1414" s="0" t="n">
        <v>85809.921</v>
      </c>
      <c r="D1414" s="0" t="n">
        <v>12330.516</v>
      </c>
      <c r="E1414" s="0" t="n">
        <v>73479.405</v>
      </c>
      <c r="F1414" s="0" t="n">
        <v>38220.051</v>
      </c>
      <c r="G1414" s="0" t="n">
        <v>36247.538</v>
      </c>
      <c r="H1414" s="0" t="n">
        <v>1972.513</v>
      </c>
      <c r="I1414" s="0" t="n">
        <v>1943.956</v>
      </c>
      <c r="J1414" s="0" t="n">
        <v>33315.398</v>
      </c>
      <c r="K1414" s="0" t="n">
        <v>39964.4086805556</v>
      </c>
      <c r="L1414" s="0" t="n">
        <v>37888</v>
      </c>
      <c r="M1414" s="0" t="n">
        <v>37820</v>
      </c>
      <c r="N1414" s="0" t="n">
        <v>14</v>
      </c>
      <c r="O1414" s="54" t="n">
        <f aca="false">YEAR(B1414)</f>
        <v>2021</v>
      </c>
      <c r="P1414" s="54" t="n">
        <f aca="false">IF(AND(E1414&gt;=14400,K1414&gt;0,L1414&gt;0),1,0)</f>
        <v>1</v>
      </c>
      <c r="Q1414" s="53" t="n">
        <f aca="false">IF(P1414=1,F1414/E1414*MIN(L1414/K1414,1)*MIN(MAX(M1414/L1414,0),1),0)</f>
        <v>0.492236443609724</v>
      </c>
      <c r="R1414" s="55" t="n">
        <f aca="false">IF(F1414&gt;0,N1414/(F1414/3600),0)</f>
        <v>1.31867955906181</v>
      </c>
    </row>
    <row r="1415" customFormat="false" ht="15" hidden="false" customHeight="false" outlineLevel="0" collapsed="false">
      <c r="A1415" s="0" t="s">
        <v>260</v>
      </c>
      <c r="B1415" s="52" t="n">
        <v>44450</v>
      </c>
      <c r="C1415" s="0" t="n">
        <v>57783.468</v>
      </c>
      <c r="D1415" s="0" t="n">
        <v>8645.821</v>
      </c>
      <c r="E1415" s="0" t="n">
        <v>49137.647</v>
      </c>
      <c r="F1415" s="0" t="n">
        <v>30672.221</v>
      </c>
      <c r="G1415" s="0" t="n">
        <v>29170.872</v>
      </c>
      <c r="H1415" s="0" t="n">
        <v>1501.349</v>
      </c>
      <c r="I1415" s="0" t="n">
        <v>1925.01</v>
      </c>
      <c r="J1415" s="0" t="n">
        <v>16540.416</v>
      </c>
      <c r="K1415" s="0" t="n">
        <v>31950.2302083333</v>
      </c>
      <c r="L1415" s="0" t="n">
        <v>30332</v>
      </c>
      <c r="M1415" s="0" t="n">
        <v>30298</v>
      </c>
      <c r="N1415" s="0" t="n">
        <v>11</v>
      </c>
      <c r="O1415" s="54" t="n">
        <f aca="false">YEAR(B1415)</f>
        <v>2021</v>
      </c>
      <c r="P1415" s="54" t="n">
        <f aca="false">IF(AND(E1415&gt;=14400,K1415&gt;0,L1415&gt;0),1,0)</f>
        <v>1</v>
      </c>
      <c r="Q1415" s="53" t="n">
        <f aca="false">IF(P1415=1,F1415/E1415*MIN(L1415/K1415,1)*MIN(MAX(M1415/L1415,0),1),0)</f>
        <v>0.591930663672194</v>
      </c>
      <c r="R1415" s="55" t="n">
        <f aca="false">IF(F1415&gt;0,N1415/(F1415/3600),0)</f>
        <v>1.29107050969671</v>
      </c>
    </row>
    <row r="1416" customFormat="false" ht="15" hidden="false" customHeight="false" outlineLevel="0" collapsed="false">
      <c r="A1416" s="0" t="s">
        <v>260</v>
      </c>
      <c r="B1416" s="52" t="n">
        <v>44451</v>
      </c>
      <c r="C1416" s="0" t="n">
        <v>90174.505</v>
      </c>
      <c r="D1416" s="0" t="n">
        <v>3184.718</v>
      </c>
      <c r="E1416" s="0" t="n">
        <v>86989.787</v>
      </c>
      <c r="F1416" s="0" t="n">
        <v>37787.802</v>
      </c>
      <c r="G1416" s="0" t="n">
        <v>35405.028</v>
      </c>
      <c r="H1416" s="0" t="n">
        <v>2382.774</v>
      </c>
      <c r="I1416" s="0" t="n">
        <v>2223.126</v>
      </c>
      <c r="J1416" s="0" t="n">
        <v>46978.859</v>
      </c>
      <c r="K1416" s="0" t="n">
        <v>39474.3566666667</v>
      </c>
      <c r="L1416" s="0" t="n">
        <v>36901</v>
      </c>
      <c r="M1416" s="0" t="n">
        <v>36835</v>
      </c>
      <c r="N1416" s="0" t="n">
        <v>22</v>
      </c>
      <c r="O1416" s="54" t="n">
        <f aca="false">YEAR(B1416)</f>
        <v>2021</v>
      </c>
      <c r="P1416" s="54" t="n">
        <f aca="false">IF(AND(E1416&gt;=14400,K1416&gt;0,L1416&gt;0),1,0)</f>
        <v>1</v>
      </c>
      <c r="Q1416" s="53" t="n">
        <f aca="false">IF(P1416=1,F1416/E1416*MIN(L1416/K1416,1)*MIN(MAX(M1416/L1416,0),1),0)</f>
        <v>0.405348879648275</v>
      </c>
      <c r="R1416" s="55" t="n">
        <f aca="false">IF(F1416&gt;0,N1416/(F1416/3600),0)</f>
        <v>2.09591444350217</v>
      </c>
    </row>
    <row r="1417" customFormat="false" ht="15" hidden="false" customHeight="false" outlineLevel="0" collapsed="false">
      <c r="A1417" s="0" t="s">
        <v>260</v>
      </c>
      <c r="B1417" s="52" t="n">
        <v>44452</v>
      </c>
      <c r="C1417" s="0" t="n">
        <v>73543.84</v>
      </c>
      <c r="D1417" s="0" t="n">
        <v>440.82</v>
      </c>
      <c r="E1417" s="0" t="n">
        <v>73103.02</v>
      </c>
      <c r="F1417" s="0" t="n">
        <v>34984.957</v>
      </c>
      <c r="G1417" s="0" t="n">
        <v>33579.288</v>
      </c>
      <c r="H1417" s="0" t="n">
        <v>1405.669</v>
      </c>
      <c r="I1417" s="0" t="n">
        <v>22252.431</v>
      </c>
      <c r="J1417" s="0" t="n">
        <v>15865.632</v>
      </c>
      <c r="K1417" s="0" t="n">
        <v>36442.6635416667</v>
      </c>
      <c r="L1417" s="0" t="n">
        <v>33951</v>
      </c>
      <c r="M1417" s="0" t="n">
        <v>33932</v>
      </c>
      <c r="N1417" s="0" t="n">
        <v>19</v>
      </c>
      <c r="O1417" s="54" t="n">
        <f aca="false">YEAR(B1417)</f>
        <v>2021</v>
      </c>
      <c r="P1417" s="54" t="n">
        <f aca="false">IF(AND(E1417&gt;=14400,K1417&gt;0,L1417&gt;0),1,0)</f>
        <v>1</v>
      </c>
      <c r="Q1417" s="53" t="n">
        <f aca="false">IF(P1417=1,F1417/E1417*MIN(L1417/K1417,1)*MIN(MAX(M1417/L1417,0),1),0)</f>
        <v>0.445600195450202</v>
      </c>
      <c r="R1417" s="55" t="n">
        <f aca="false">IF(F1417&gt;0,N1417/(F1417/3600),0)</f>
        <v>1.95512602745231</v>
      </c>
    </row>
    <row r="1418" customFormat="false" ht="15" hidden="false" customHeight="false" outlineLevel="0" collapsed="false">
      <c r="A1418" s="0" t="s">
        <v>260</v>
      </c>
      <c r="B1418" s="52" t="n">
        <v>44453</v>
      </c>
      <c r="C1418" s="0" t="n">
        <v>76861.059</v>
      </c>
      <c r="D1418" s="0" t="n">
        <v>8341.192</v>
      </c>
      <c r="E1418" s="0" t="n">
        <v>68519.867</v>
      </c>
      <c r="F1418" s="0" t="n">
        <v>43442.759</v>
      </c>
      <c r="G1418" s="0" t="n">
        <v>39602.887</v>
      </c>
      <c r="H1418" s="0" t="n">
        <v>3839.872</v>
      </c>
      <c r="I1418" s="0" t="n">
        <v>1216.176</v>
      </c>
      <c r="J1418" s="0" t="n">
        <v>23860.932</v>
      </c>
      <c r="K1418" s="0" t="n">
        <v>45425.3225694445</v>
      </c>
      <c r="L1418" s="0" t="n">
        <v>41391</v>
      </c>
      <c r="M1418" s="0" t="n">
        <v>41357</v>
      </c>
      <c r="N1418" s="0" t="n">
        <v>8</v>
      </c>
      <c r="O1418" s="54" t="n">
        <f aca="false">YEAR(B1418)</f>
        <v>2021</v>
      </c>
      <c r="P1418" s="54" t="n">
        <f aca="false">IF(AND(E1418&gt;=14400,K1418&gt;0,L1418&gt;0),1,0)</f>
        <v>1</v>
      </c>
      <c r="Q1418" s="53" t="n">
        <f aca="false">IF(P1418=1,F1418/E1418*MIN(L1418/K1418,1)*MIN(MAX(M1418/L1418,0),1),0)</f>
        <v>0.577233989126868</v>
      </c>
      <c r="R1418" s="55" t="n">
        <f aca="false">IF(F1418&gt;0,N1418/(F1418/3600),0)</f>
        <v>0.662941320094334</v>
      </c>
    </row>
    <row r="1419" customFormat="false" ht="15" hidden="false" customHeight="false" outlineLevel="0" collapsed="false">
      <c r="A1419" s="0" t="s">
        <v>260</v>
      </c>
      <c r="B1419" s="52" t="n">
        <v>44454</v>
      </c>
      <c r="C1419" s="0" t="n">
        <v>85162.415</v>
      </c>
      <c r="D1419" s="0" t="n">
        <v>2277.742</v>
      </c>
      <c r="E1419" s="0" t="n">
        <v>82884.673</v>
      </c>
      <c r="F1419" s="0" t="n">
        <v>35039.089</v>
      </c>
      <c r="G1419" s="0" t="n">
        <v>33396.798</v>
      </c>
      <c r="H1419" s="0" t="n">
        <v>1642.291</v>
      </c>
      <c r="I1419" s="0" t="n">
        <v>2978.813</v>
      </c>
      <c r="J1419" s="0" t="n">
        <v>44866.771</v>
      </c>
      <c r="K1419" s="0" t="n">
        <v>36499.0510416667</v>
      </c>
      <c r="L1419" s="0" t="n">
        <v>34713</v>
      </c>
      <c r="M1419" s="0" t="n">
        <v>34684</v>
      </c>
      <c r="N1419" s="0" t="n">
        <v>17</v>
      </c>
      <c r="O1419" s="54" t="n">
        <f aca="false">YEAR(B1419)</f>
        <v>2021</v>
      </c>
      <c r="P1419" s="54" t="n">
        <f aca="false">IF(AND(E1419&gt;=14400,K1419&gt;0,L1419&gt;0),1,0)</f>
        <v>1</v>
      </c>
      <c r="Q1419" s="53" t="n">
        <f aca="false">IF(P1419=1,F1419/E1419*MIN(L1419/K1419,1)*MIN(MAX(M1419/L1419,0),1),0)</f>
        <v>0.401722523535805</v>
      </c>
      <c r="R1419" s="55" t="n">
        <f aca="false">IF(F1419&gt;0,N1419/(F1419/3600),0)</f>
        <v>1.74662075261146</v>
      </c>
    </row>
    <row r="1420" customFormat="false" ht="15" hidden="false" customHeight="false" outlineLevel="0" collapsed="false">
      <c r="A1420" s="0" t="s">
        <v>260</v>
      </c>
      <c r="B1420" s="52" t="n">
        <v>44455</v>
      </c>
      <c r="C1420" s="0" t="n">
        <v>76794.176</v>
      </c>
      <c r="D1420" s="0" t="n">
        <v>2118.852</v>
      </c>
      <c r="E1420" s="0" t="n">
        <v>74675.324</v>
      </c>
      <c r="F1420" s="0" t="n">
        <v>36480.933</v>
      </c>
      <c r="G1420" s="0" t="n">
        <v>34322.717</v>
      </c>
      <c r="H1420" s="0" t="n">
        <v>2158.216</v>
      </c>
      <c r="I1420" s="0" t="n">
        <v>2644.49</v>
      </c>
      <c r="J1420" s="0" t="n">
        <v>35549.901</v>
      </c>
      <c r="K1420" s="0" t="n">
        <v>38111.9518055556</v>
      </c>
      <c r="L1420" s="0" t="n">
        <v>35821</v>
      </c>
      <c r="M1420" s="0" t="n">
        <v>35754</v>
      </c>
      <c r="N1420" s="0" t="n">
        <v>18</v>
      </c>
      <c r="O1420" s="54" t="n">
        <f aca="false">YEAR(B1420)</f>
        <v>2021</v>
      </c>
      <c r="P1420" s="54" t="n">
        <f aca="false">IF(AND(E1420&gt;=14400,K1420&gt;0,L1420&gt;0),1,0)</f>
        <v>1</v>
      </c>
      <c r="Q1420" s="53" t="n">
        <f aca="false">IF(P1420=1,F1420/E1420*MIN(L1420/K1420,1)*MIN(MAX(M1420/L1420,0),1),0)</f>
        <v>0.458302542416389</v>
      </c>
      <c r="R1420" s="55" t="n">
        <f aca="false">IF(F1420&gt;0,N1420/(F1420/3600),0)</f>
        <v>1.77627036019062</v>
      </c>
    </row>
    <row r="1421" customFormat="false" ht="15" hidden="false" customHeight="false" outlineLevel="0" collapsed="false">
      <c r="A1421" s="0" t="s">
        <v>260</v>
      </c>
      <c r="B1421" s="52" t="n">
        <v>44456</v>
      </c>
      <c r="C1421" s="0" t="n">
        <v>66129.05</v>
      </c>
      <c r="D1421" s="0" t="n">
        <v>9137.694</v>
      </c>
      <c r="E1421" s="0" t="n">
        <v>56991.356</v>
      </c>
      <c r="F1421" s="0" t="n">
        <v>28275.29</v>
      </c>
      <c r="G1421" s="0" t="n">
        <v>26565.255</v>
      </c>
      <c r="H1421" s="0" t="n">
        <v>1710.035</v>
      </c>
      <c r="I1421" s="0" t="n">
        <v>3043.926</v>
      </c>
      <c r="J1421" s="0" t="n">
        <v>25672.14</v>
      </c>
      <c r="K1421" s="0" t="n">
        <v>29453.4270833333</v>
      </c>
      <c r="L1421" s="0" t="n">
        <v>26822</v>
      </c>
      <c r="M1421" s="0" t="n">
        <v>26771</v>
      </c>
      <c r="N1421" s="0" t="n">
        <v>15</v>
      </c>
      <c r="O1421" s="54" t="n">
        <f aca="false">YEAR(B1421)</f>
        <v>2021</v>
      </c>
      <c r="P1421" s="54" t="n">
        <f aca="false">IF(AND(E1421&gt;=14400,K1421&gt;0,L1421&gt;0),1,0)</f>
        <v>1</v>
      </c>
      <c r="Q1421" s="53" t="n">
        <f aca="false">IF(P1421=1,F1421/E1421*MIN(L1421/K1421,1)*MIN(MAX(M1421/L1421,0),1),0)</f>
        <v>0.450948385927157</v>
      </c>
      <c r="R1421" s="55" t="n">
        <f aca="false">IF(F1421&gt;0,N1421/(F1421/3600),0)</f>
        <v>1.90979473596911</v>
      </c>
    </row>
    <row r="1422" customFormat="false" ht="15" hidden="false" customHeight="false" outlineLevel="0" collapsed="false">
      <c r="A1422" s="0" t="s">
        <v>260</v>
      </c>
      <c r="B1422" s="52" t="n">
        <v>44457</v>
      </c>
      <c r="C1422" s="0" t="n">
        <v>78522.716</v>
      </c>
      <c r="D1422" s="0" t="n">
        <v>8888.856</v>
      </c>
      <c r="E1422" s="0" t="n">
        <v>69633.86</v>
      </c>
      <c r="F1422" s="0" t="n">
        <v>41102.25</v>
      </c>
      <c r="G1422" s="0" t="n">
        <v>38651.575</v>
      </c>
      <c r="H1422" s="0" t="n">
        <v>2450.675</v>
      </c>
      <c r="I1422" s="0" t="n">
        <v>2980.478</v>
      </c>
      <c r="J1422" s="0" t="n">
        <v>25551.132</v>
      </c>
      <c r="K1422" s="0" t="n">
        <v>43018.0958333333</v>
      </c>
      <c r="L1422" s="0" t="n">
        <v>39400</v>
      </c>
      <c r="M1422" s="0" t="n">
        <v>39313</v>
      </c>
      <c r="N1422" s="0" t="n">
        <v>14</v>
      </c>
      <c r="O1422" s="54" t="n">
        <f aca="false">YEAR(B1422)</f>
        <v>2021</v>
      </c>
      <c r="P1422" s="54" t="n">
        <f aca="false">IF(AND(E1422&gt;=14400,K1422&gt;0,L1422&gt;0),1,0)</f>
        <v>1</v>
      </c>
      <c r="Q1422" s="53" t="n">
        <f aca="false">IF(P1422=1,F1422/E1422*MIN(L1422/K1422,1)*MIN(MAX(M1422/L1422,0),1),0)</f>
        <v>0.539423832292895</v>
      </c>
      <c r="R1422" s="55" t="n">
        <f aca="false">IF(F1422&gt;0,N1422/(F1422/3600),0)</f>
        <v>1.22621024396475</v>
      </c>
    </row>
    <row r="1423" customFormat="false" ht="15" hidden="false" customHeight="false" outlineLevel="0" collapsed="false">
      <c r="A1423" s="0" t="s">
        <v>260</v>
      </c>
      <c r="B1423" s="52" t="n">
        <v>44458</v>
      </c>
      <c r="C1423" s="0" t="n">
        <v>82373.712</v>
      </c>
      <c r="D1423" s="0" t="n">
        <v>6671.138</v>
      </c>
      <c r="E1423" s="0" t="n">
        <v>75702.574</v>
      </c>
      <c r="F1423" s="0" t="n">
        <v>37272.445</v>
      </c>
      <c r="G1423" s="0" t="n">
        <v>33787.623</v>
      </c>
      <c r="H1423" s="0" t="n">
        <v>3484.822</v>
      </c>
      <c r="I1423" s="0" t="n">
        <v>1676.107</v>
      </c>
      <c r="J1423" s="0" t="n">
        <v>36754.022</v>
      </c>
      <c r="K1423" s="0" t="n">
        <v>38825.4635416667</v>
      </c>
      <c r="L1423" s="0" t="n">
        <v>34198</v>
      </c>
      <c r="M1423" s="0" t="n">
        <v>34181</v>
      </c>
      <c r="N1423" s="0" t="n">
        <v>17</v>
      </c>
      <c r="O1423" s="54" t="n">
        <f aca="false">YEAR(B1423)</f>
        <v>2021</v>
      </c>
      <c r="P1423" s="54" t="n">
        <f aca="false">IF(AND(E1423&gt;=14400,K1423&gt;0,L1423&gt;0),1,0)</f>
        <v>1</v>
      </c>
      <c r="Q1423" s="53" t="n">
        <f aca="false">IF(P1423=1,F1423/E1423*MIN(L1423/K1423,1)*MIN(MAX(M1423/L1423,0),1),0)</f>
        <v>0.433456331352749</v>
      </c>
      <c r="R1423" s="55" t="n">
        <f aca="false">IF(F1423&gt;0,N1423/(F1423/3600),0)</f>
        <v>1.64196365438329</v>
      </c>
    </row>
    <row r="1424" customFormat="false" ht="15" hidden="false" customHeight="false" outlineLevel="0" collapsed="false">
      <c r="A1424" s="0" t="s">
        <v>260</v>
      </c>
      <c r="B1424" s="52" t="n">
        <v>44459</v>
      </c>
      <c r="C1424" s="0" t="n">
        <v>70987.889</v>
      </c>
      <c r="D1424" s="0" t="n">
        <v>6871.923</v>
      </c>
      <c r="E1424" s="0" t="n">
        <v>64115.966</v>
      </c>
      <c r="F1424" s="0" t="n">
        <v>42391.982</v>
      </c>
      <c r="G1424" s="0" t="n">
        <v>38619.793</v>
      </c>
      <c r="H1424" s="0" t="n">
        <v>3772.189</v>
      </c>
      <c r="I1424" s="0" t="n">
        <v>1926.436</v>
      </c>
      <c r="J1424" s="0" t="n">
        <v>19797.548</v>
      </c>
      <c r="K1424" s="0" t="n">
        <v>44324.87875</v>
      </c>
      <c r="L1424" s="0" t="n">
        <v>39390</v>
      </c>
      <c r="M1424" s="0" t="n">
        <v>39352</v>
      </c>
      <c r="N1424" s="0" t="n">
        <v>17</v>
      </c>
      <c r="O1424" s="54" t="n">
        <f aca="false">YEAR(B1424)</f>
        <v>2021</v>
      </c>
      <c r="P1424" s="54" t="n">
        <f aca="false">IF(AND(E1424&gt;=14400,K1424&gt;0,L1424&gt;0),1,0)</f>
        <v>1</v>
      </c>
      <c r="Q1424" s="53" t="n">
        <f aca="false">IF(P1424=1,F1424/E1424*MIN(L1424/K1424,1)*MIN(MAX(M1424/L1424,0),1),0)</f>
        <v>0.586998221553799</v>
      </c>
      <c r="R1424" s="55" t="n">
        <f aca="false">IF(F1424&gt;0,N1424/(F1424/3600),0)</f>
        <v>1.44366922971424</v>
      </c>
    </row>
    <row r="1425" customFormat="false" ht="15" hidden="false" customHeight="false" outlineLevel="0" collapsed="false">
      <c r="A1425" s="0" t="s">
        <v>260</v>
      </c>
      <c r="B1425" s="52" t="n">
        <v>44460</v>
      </c>
      <c r="C1425" s="0" t="n">
        <v>93469.1</v>
      </c>
      <c r="D1425" s="0" t="n">
        <v>7291.545</v>
      </c>
      <c r="E1425" s="0" t="n">
        <v>86177.555</v>
      </c>
      <c r="F1425" s="0" t="n">
        <v>33280.456</v>
      </c>
      <c r="G1425" s="0" t="n">
        <v>30590.997</v>
      </c>
      <c r="H1425" s="0" t="n">
        <v>2689.459</v>
      </c>
      <c r="I1425" s="0" t="n">
        <v>3527.762</v>
      </c>
      <c r="J1425" s="0" t="n">
        <v>49369.337</v>
      </c>
      <c r="K1425" s="0" t="n">
        <v>34667.1416666667</v>
      </c>
      <c r="L1425" s="0" t="n">
        <v>30890</v>
      </c>
      <c r="M1425" s="0" t="n">
        <v>30854</v>
      </c>
      <c r="N1425" s="0" t="n">
        <v>12</v>
      </c>
      <c r="O1425" s="54" t="n">
        <f aca="false">YEAR(B1425)</f>
        <v>2021</v>
      </c>
      <c r="P1425" s="54" t="n">
        <f aca="false">IF(AND(E1425&gt;=14400,K1425&gt;0,L1425&gt;0),1,0)</f>
        <v>1</v>
      </c>
      <c r="Q1425" s="53" t="n">
        <f aca="false">IF(P1425=1,F1425/E1425*MIN(L1425/K1425,1)*MIN(MAX(M1425/L1425,0),1),0)</f>
        <v>0.343707128845788</v>
      </c>
      <c r="R1425" s="55" t="n">
        <f aca="false">IF(F1425&gt;0,N1425/(F1425/3600),0)</f>
        <v>1.29805913717048</v>
      </c>
    </row>
    <row r="1426" customFormat="false" ht="15" hidden="false" customHeight="false" outlineLevel="0" collapsed="false">
      <c r="A1426" s="0" t="s">
        <v>260</v>
      </c>
      <c r="B1426" s="52" t="n">
        <v>44461</v>
      </c>
      <c r="C1426" s="0" t="n">
        <v>74103.378</v>
      </c>
      <c r="D1426" s="0" t="n">
        <v>9101.902</v>
      </c>
      <c r="E1426" s="0" t="n">
        <v>65001.476</v>
      </c>
      <c r="F1426" s="0" t="n">
        <v>50116.408</v>
      </c>
      <c r="G1426" s="0" t="n">
        <v>47590.781</v>
      </c>
      <c r="H1426" s="0" t="n">
        <v>2525.627</v>
      </c>
      <c r="I1426" s="0" t="n">
        <v>2300.965</v>
      </c>
      <c r="J1426" s="0" t="n">
        <v>12584.103</v>
      </c>
      <c r="K1426" s="0" t="n">
        <v>52311.6250694445</v>
      </c>
      <c r="L1426" s="0" t="n">
        <v>48694</v>
      </c>
      <c r="M1426" s="0" t="n">
        <v>48626</v>
      </c>
      <c r="N1426" s="0" t="n">
        <v>16</v>
      </c>
      <c r="O1426" s="54" t="n">
        <f aca="false">YEAR(B1426)</f>
        <v>2021</v>
      </c>
      <c r="P1426" s="54" t="n">
        <f aca="false">IF(AND(E1426&gt;=14400,K1426&gt;0,L1426&gt;0),1,0)</f>
        <v>1</v>
      </c>
      <c r="Q1426" s="53" t="n">
        <f aca="false">IF(P1426=1,F1426/E1426*MIN(L1426/K1426,1)*MIN(MAX(M1426/L1426,0),1),0)</f>
        <v>0.716682915767943</v>
      </c>
      <c r="R1426" s="55" t="n">
        <f aca="false">IF(F1426&gt;0,N1426/(F1426/3600),0)</f>
        <v>1.14932418939522</v>
      </c>
    </row>
    <row r="1427" customFormat="false" ht="15" hidden="false" customHeight="false" outlineLevel="0" collapsed="false">
      <c r="A1427" s="0" t="s">
        <v>260</v>
      </c>
      <c r="B1427" s="52" t="n">
        <v>44462</v>
      </c>
      <c r="C1427" s="0" t="n">
        <v>91056.539</v>
      </c>
      <c r="D1427" s="0" t="n">
        <v>6772.054</v>
      </c>
      <c r="E1427" s="0" t="n">
        <v>84284.485</v>
      </c>
      <c r="F1427" s="0" t="n">
        <v>41992.376</v>
      </c>
      <c r="G1427" s="0" t="n">
        <v>39643.228</v>
      </c>
      <c r="H1427" s="0" t="n">
        <v>2349.148</v>
      </c>
      <c r="I1427" s="0" t="n">
        <v>5442.699</v>
      </c>
      <c r="J1427" s="0" t="n">
        <v>36849.41</v>
      </c>
      <c r="K1427" s="0" t="n">
        <v>43742.0583333333</v>
      </c>
      <c r="L1427" s="0" t="n">
        <v>41263</v>
      </c>
      <c r="M1427" s="0" t="n">
        <v>41229</v>
      </c>
      <c r="N1427" s="0" t="n">
        <v>16</v>
      </c>
      <c r="O1427" s="54" t="n">
        <f aca="false">YEAR(B1427)</f>
        <v>2021</v>
      </c>
      <c r="P1427" s="54" t="n">
        <f aca="false">IF(AND(E1427&gt;=14400,K1427&gt;0,L1427&gt;0),1,0)</f>
        <v>1</v>
      </c>
      <c r="Q1427" s="53" t="n">
        <f aca="false">IF(P1427=1,F1427/E1427*MIN(L1427/K1427,1)*MIN(MAX(M1427/L1427,0),1),0)</f>
        <v>0.469598171003833</v>
      </c>
      <c r="R1427" s="55" t="n">
        <f aca="false">IF(F1427&gt;0,N1427/(F1427/3600),0)</f>
        <v>1.37167756356535</v>
      </c>
    </row>
    <row r="1428" customFormat="false" ht="15" hidden="false" customHeight="false" outlineLevel="0" collapsed="false">
      <c r="A1428" s="0" t="s">
        <v>260</v>
      </c>
      <c r="B1428" s="52" t="n">
        <v>44463</v>
      </c>
      <c r="C1428" s="0" t="n">
        <v>83704.276</v>
      </c>
      <c r="D1428" s="0" t="n">
        <v>2015.65</v>
      </c>
      <c r="E1428" s="0" t="n">
        <v>81688.626</v>
      </c>
      <c r="F1428" s="0" t="n">
        <v>28524.466</v>
      </c>
      <c r="G1428" s="0" t="n">
        <v>26379.761</v>
      </c>
      <c r="H1428" s="0" t="n">
        <v>2144.705</v>
      </c>
      <c r="I1428" s="0" t="n">
        <v>2415.332</v>
      </c>
      <c r="J1428" s="0" t="n">
        <v>50748.828</v>
      </c>
      <c r="K1428" s="0" t="n">
        <v>29800.4761805556</v>
      </c>
      <c r="L1428" s="0" t="n">
        <v>27539</v>
      </c>
      <c r="M1428" s="0" t="n">
        <v>27444</v>
      </c>
      <c r="N1428" s="0" t="n">
        <v>16</v>
      </c>
      <c r="O1428" s="54" t="n">
        <f aca="false">YEAR(B1428)</f>
        <v>2021</v>
      </c>
      <c r="P1428" s="54" t="n">
        <f aca="false">IF(AND(E1428&gt;=14400,K1428&gt;0,L1428&gt;0),1,0)</f>
        <v>1</v>
      </c>
      <c r="Q1428" s="53" t="n">
        <f aca="false">IF(P1428=1,F1428/E1428*MIN(L1428/K1428,1)*MIN(MAX(M1428/L1428,0),1),0)</f>
        <v>0.321573415563073</v>
      </c>
      <c r="R1428" s="55" t="n">
        <f aca="false">IF(F1428&gt;0,N1428/(F1428/3600),0)</f>
        <v>2.01931913466846</v>
      </c>
    </row>
    <row r="1429" customFormat="false" ht="15" hidden="false" customHeight="false" outlineLevel="0" collapsed="false">
      <c r="A1429" s="0" t="s">
        <v>260</v>
      </c>
      <c r="B1429" s="52" t="n">
        <v>44464</v>
      </c>
      <c r="C1429" s="0" t="n">
        <v>73084.638</v>
      </c>
      <c r="D1429" s="0" t="n">
        <v>3274.078</v>
      </c>
      <c r="E1429" s="0" t="n">
        <v>69810.56</v>
      </c>
      <c r="F1429" s="0" t="n">
        <v>32575.2</v>
      </c>
      <c r="G1429" s="0" t="n">
        <v>31327.628</v>
      </c>
      <c r="H1429" s="0" t="n">
        <v>1247.572</v>
      </c>
      <c r="I1429" s="0" t="n">
        <v>1444.089</v>
      </c>
      <c r="J1429" s="0" t="n">
        <v>35791.271</v>
      </c>
      <c r="K1429" s="0" t="n">
        <v>33932.5</v>
      </c>
      <c r="L1429" s="0" t="n">
        <v>32584</v>
      </c>
      <c r="M1429" s="0" t="n">
        <v>32567</v>
      </c>
      <c r="N1429" s="0" t="n">
        <v>13</v>
      </c>
      <c r="O1429" s="54" t="n">
        <f aca="false">YEAR(B1429)</f>
        <v>2021</v>
      </c>
      <c r="P1429" s="54" t="n">
        <f aca="false">IF(AND(E1429&gt;=14400,K1429&gt;0,L1429&gt;0),1,0)</f>
        <v>1</v>
      </c>
      <c r="Q1429" s="53" t="n">
        <f aca="false">IF(P1429=1,F1429/E1429*MIN(L1429/K1429,1)*MIN(MAX(M1429/L1429,0),1),0)</f>
        <v>0.447845139761091</v>
      </c>
      <c r="R1429" s="55" t="n">
        <f aca="false">IF(F1429&gt;0,N1429/(F1429/3600),0)</f>
        <v>1.43667575333382</v>
      </c>
    </row>
    <row r="1430" customFormat="false" ht="15" hidden="false" customHeight="false" outlineLevel="0" collapsed="false">
      <c r="A1430" s="0" t="s">
        <v>260</v>
      </c>
      <c r="B1430" s="52" t="n">
        <v>44465</v>
      </c>
      <c r="C1430" s="0" t="n">
        <v>77591.779</v>
      </c>
      <c r="D1430" s="0" t="n">
        <v>1931.442</v>
      </c>
      <c r="E1430" s="0" t="n">
        <v>75660.337</v>
      </c>
      <c r="F1430" s="0" t="n">
        <v>36290.008</v>
      </c>
      <c r="G1430" s="0" t="n">
        <v>33836.608</v>
      </c>
      <c r="H1430" s="0" t="n">
        <v>2453.4</v>
      </c>
      <c r="I1430" s="0" t="n">
        <v>1552.732</v>
      </c>
      <c r="J1430" s="0" t="n">
        <v>37817.597</v>
      </c>
      <c r="K1430" s="0" t="n">
        <v>38069.2268055556</v>
      </c>
      <c r="L1430" s="0" t="n">
        <v>35464</v>
      </c>
      <c r="M1430" s="0" t="n">
        <v>35407</v>
      </c>
      <c r="N1430" s="0" t="n">
        <v>13</v>
      </c>
      <c r="O1430" s="54" t="n">
        <f aca="false">YEAR(B1430)</f>
        <v>2021</v>
      </c>
      <c r="P1430" s="54" t="n">
        <f aca="false">IF(AND(E1430&gt;=14400,K1430&gt;0,L1430&gt;0),1,0)</f>
        <v>1</v>
      </c>
      <c r="Q1430" s="53" t="n">
        <f aca="false">IF(P1430=1,F1430/E1430*MIN(L1430/K1430,1)*MIN(MAX(M1430/L1430,0),1),0)</f>
        <v>0.446101688720708</v>
      </c>
      <c r="R1430" s="55" t="n">
        <f aca="false">IF(F1430&gt;0,N1430/(F1430/3600),0)</f>
        <v>1.28961117892286</v>
      </c>
    </row>
    <row r="1431" customFormat="false" ht="15" hidden="false" customHeight="false" outlineLevel="0" collapsed="false">
      <c r="A1431" s="0" t="s">
        <v>260</v>
      </c>
      <c r="B1431" s="52" t="n">
        <v>44466</v>
      </c>
      <c r="C1431" s="0" t="n">
        <v>58644.994</v>
      </c>
      <c r="D1431" s="0" t="n">
        <v>8115.362</v>
      </c>
      <c r="E1431" s="0" t="n">
        <v>50529.632</v>
      </c>
      <c r="F1431" s="0" t="n">
        <v>30749.061</v>
      </c>
      <c r="G1431" s="0" t="n">
        <v>28793.339</v>
      </c>
      <c r="H1431" s="0" t="n">
        <v>1955.722</v>
      </c>
      <c r="I1431" s="0" t="n">
        <v>2391.027</v>
      </c>
      <c r="J1431" s="0" t="n">
        <v>17389.544</v>
      </c>
      <c r="K1431" s="0" t="n">
        <v>32030.271875</v>
      </c>
      <c r="L1431" s="0" t="n">
        <v>29938</v>
      </c>
      <c r="M1431" s="0" t="n">
        <v>29921</v>
      </c>
      <c r="N1431" s="0" t="n">
        <v>15</v>
      </c>
      <c r="O1431" s="54" t="n">
        <f aca="false">YEAR(B1431)</f>
        <v>2021</v>
      </c>
      <c r="P1431" s="54" t="n">
        <f aca="false">IF(AND(E1431&gt;=14400,K1431&gt;0,L1431&gt;0),1,0)</f>
        <v>1</v>
      </c>
      <c r="Q1431" s="53" t="n">
        <f aca="false">IF(P1431=1,F1431/E1431*MIN(L1431/K1431,1)*MIN(MAX(M1431/L1431,0),1),0)</f>
        <v>0.568461689964416</v>
      </c>
      <c r="R1431" s="55" t="n">
        <f aca="false">IF(F1431&gt;0,N1431/(F1431/3600),0)</f>
        <v>1.75615118783627</v>
      </c>
    </row>
    <row r="1432" customFormat="false" ht="15" hidden="false" customHeight="false" outlineLevel="0" collapsed="false">
      <c r="A1432" s="0" t="s">
        <v>260</v>
      </c>
      <c r="B1432" s="52" t="n">
        <v>44467</v>
      </c>
      <c r="C1432" s="0" t="n">
        <v>91842.109</v>
      </c>
      <c r="D1432" s="0" t="n">
        <v>9234.049</v>
      </c>
      <c r="E1432" s="0" t="n">
        <v>82608.06</v>
      </c>
      <c r="F1432" s="0" t="n">
        <v>42535.942</v>
      </c>
      <c r="G1432" s="0" t="n">
        <v>41060.179</v>
      </c>
      <c r="H1432" s="0" t="n">
        <v>1475.763</v>
      </c>
      <c r="I1432" s="0" t="n">
        <v>3166.356</v>
      </c>
      <c r="J1432" s="0" t="n">
        <v>36905.762</v>
      </c>
      <c r="K1432" s="0" t="n">
        <v>44573.8261111111</v>
      </c>
      <c r="L1432" s="0" t="n">
        <v>42974</v>
      </c>
      <c r="M1432" s="0" t="n">
        <v>42898</v>
      </c>
      <c r="N1432" s="0" t="n">
        <v>21</v>
      </c>
      <c r="O1432" s="54" t="n">
        <f aca="false">YEAR(B1432)</f>
        <v>2021</v>
      </c>
      <c r="P1432" s="54" t="n">
        <f aca="false">IF(AND(E1432&gt;=14400,K1432&gt;0,L1432&gt;0),1,0)</f>
        <v>1</v>
      </c>
      <c r="Q1432" s="53" t="n">
        <f aca="false">IF(P1432=1,F1432/E1432*MIN(L1432/K1432,1)*MIN(MAX(M1432/L1432,0),1),0)</f>
        <v>0.495553744815834</v>
      </c>
      <c r="R1432" s="55" t="n">
        <f aca="false">IF(F1432&gt;0,N1432/(F1432/3600),0)</f>
        <v>1.77732045995361</v>
      </c>
    </row>
    <row r="1433" customFormat="false" ht="15" hidden="false" customHeight="false" outlineLevel="0" collapsed="false">
      <c r="A1433" s="0" t="s">
        <v>260</v>
      </c>
      <c r="B1433" s="52" t="n">
        <v>44468</v>
      </c>
      <c r="C1433" s="0" t="n">
        <v>83673.838</v>
      </c>
      <c r="D1433" s="0" t="n">
        <v>7138.34</v>
      </c>
      <c r="E1433" s="0" t="n">
        <v>76535.498</v>
      </c>
      <c r="F1433" s="0" t="n">
        <v>44958.57</v>
      </c>
      <c r="G1433" s="0" t="n">
        <v>43347.942</v>
      </c>
      <c r="H1433" s="0" t="n">
        <v>1610.628</v>
      </c>
      <c r="I1433" s="0" t="n">
        <v>3447.63</v>
      </c>
      <c r="J1433" s="0" t="n">
        <v>28129.298</v>
      </c>
      <c r="K1433" s="0" t="n">
        <v>47134.78625</v>
      </c>
      <c r="L1433" s="0" t="n">
        <v>45356</v>
      </c>
      <c r="M1433" s="0" t="n">
        <v>45301</v>
      </c>
      <c r="N1433" s="0" t="n">
        <v>23</v>
      </c>
      <c r="O1433" s="54" t="n">
        <f aca="false">YEAR(B1433)</f>
        <v>2021</v>
      </c>
      <c r="P1433" s="54" t="n">
        <f aca="false">IF(AND(E1433&gt;=14400,K1433&gt;0,L1433&gt;0),1,0)</f>
        <v>1</v>
      </c>
      <c r="Q1433" s="53" t="n">
        <f aca="false">IF(P1433=1,F1433/E1433*MIN(L1433/K1433,1)*MIN(MAX(M1433/L1433,0),1),0)</f>
        <v>0.564567434897289</v>
      </c>
      <c r="R1433" s="55" t="n">
        <f aca="false">IF(F1433&gt;0,N1433/(F1433/3600),0)</f>
        <v>1.84169558773778</v>
      </c>
    </row>
    <row r="1434" customFormat="false" ht="15" hidden="false" customHeight="false" outlineLevel="0" collapsed="false">
      <c r="A1434" s="0" t="s">
        <v>260</v>
      </c>
      <c r="B1434" s="52" t="n">
        <v>44469</v>
      </c>
      <c r="C1434" s="0" t="n">
        <v>83740.741</v>
      </c>
      <c r="D1434" s="0" t="n">
        <v>8196.177</v>
      </c>
      <c r="E1434" s="0" t="n">
        <v>75544.564</v>
      </c>
      <c r="F1434" s="0" t="n">
        <v>35583.802</v>
      </c>
      <c r="G1434" s="0" t="n">
        <v>33104.007</v>
      </c>
      <c r="H1434" s="0" t="n">
        <v>2479.795</v>
      </c>
      <c r="I1434" s="0" t="n">
        <v>1672.168</v>
      </c>
      <c r="J1434" s="0" t="n">
        <v>38288.594</v>
      </c>
      <c r="K1434" s="0" t="n">
        <v>37153.1125</v>
      </c>
      <c r="L1434" s="0" t="n">
        <v>33502</v>
      </c>
      <c r="M1434" s="0" t="n">
        <v>33458</v>
      </c>
      <c r="N1434" s="0" t="n">
        <v>17</v>
      </c>
      <c r="O1434" s="54" t="n">
        <f aca="false">YEAR(B1434)</f>
        <v>2021</v>
      </c>
      <c r="P1434" s="54" t="n">
        <f aca="false">IF(AND(E1434&gt;=14400,K1434&gt;0,L1434&gt;0),1,0)</f>
        <v>1</v>
      </c>
      <c r="Q1434" s="53" t="n">
        <f aca="false">IF(P1434=1,F1434/E1434*MIN(L1434/K1434,1)*MIN(MAX(M1434/L1434,0),1),0)</f>
        <v>0.424183629875742</v>
      </c>
      <c r="R1434" s="55" t="n">
        <f aca="false">IF(F1434&gt;0,N1434/(F1434/3600),0)</f>
        <v>1.71988367066566</v>
      </c>
    </row>
    <row r="1435" customFormat="false" ht="15" hidden="false" customHeight="false" outlineLevel="0" collapsed="false">
      <c r="A1435" s="0" t="s">
        <v>260</v>
      </c>
      <c r="B1435" s="52" t="n">
        <v>44470</v>
      </c>
      <c r="C1435" s="0" t="n">
        <v>62807.108</v>
      </c>
      <c r="D1435" s="0" t="n">
        <v>1988.153</v>
      </c>
      <c r="E1435" s="0" t="n">
        <v>60818.955</v>
      </c>
      <c r="F1435" s="0" t="n">
        <v>27226.918</v>
      </c>
      <c r="G1435" s="0" t="n">
        <v>25374.438</v>
      </c>
      <c r="H1435" s="0" t="n">
        <v>1852.48</v>
      </c>
      <c r="I1435" s="0" t="n">
        <v>1063.17</v>
      </c>
      <c r="J1435" s="0" t="n">
        <v>32528.867</v>
      </c>
      <c r="K1435" s="0" t="n">
        <v>28361.3729166667</v>
      </c>
      <c r="L1435" s="0" t="n">
        <v>26398</v>
      </c>
      <c r="M1435" s="0" t="n">
        <v>26318</v>
      </c>
      <c r="N1435" s="0" t="n">
        <v>13</v>
      </c>
      <c r="O1435" s="54" t="n">
        <f aca="false">YEAR(B1435)</f>
        <v>2021</v>
      </c>
      <c r="P1435" s="54" t="n">
        <f aca="false">IF(AND(E1435&gt;=14400,K1435&gt;0,L1435&gt;0),1,0)</f>
        <v>1</v>
      </c>
      <c r="Q1435" s="53" t="n">
        <f aca="false">IF(P1435=1,F1435/E1435*MIN(L1435/K1435,1)*MIN(MAX(M1435/L1435,0),1),0)</f>
        <v>0.415417857804364</v>
      </c>
      <c r="R1435" s="55" t="n">
        <f aca="false">IF(F1435&gt;0,N1435/(F1435/3600),0)</f>
        <v>1.71888716894068</v>
      </c>
    </row>
    <row r="1436" customFormat="false" ht="15" hidden="false" customHeight="false" outlineLevel="0" collapsed="false">
      <c r="A1436" s="0" t="s">
        <v>260</v>
      </c>
      <c r="B1436" s="52" t="n">
        <v>44471</v>
      </c>
      <c r="C1436" s="0" t="n">
        <v>90353.419</v>
      </c>
      <c r="D1436" s="0" t="n">
        <v>8925.448</v>
      </c>
      <c r="E1436" s="0" t="n">
        <v>81427.971</v>
      </c>
      <c r="F1436" s="0" t="n">
        <v>36192.848</v>
      </c>
      <c r="G1436" s="0" t="n">
        <v>32457.935</v>
      </c>
      <c r="H1436" s="0" t="n">
        <v>3734.913</v>
      </c>
      <c r="I1436" s="0" t="n">
        <v>2049.277</v>
      </c>
      <c r="J1436" s="0" t="n">
        <v>43185.846</v>
      </c>
      <c r="K1436" s="0" t="n">
        <v>37825.7470138889</v>
      </c>
      <c r="L1436" s="0" t="n">
        <v>33900</v>
      </c>
      <c r="M1436" s="0" t="n">
        <v>33844</v>
      </c>
      <c r="N1436" s="0" t="n">
        <v>11</v>
      </c>
      <c r="O1436" s="54" t="n">
        <f aca="false">YEAR(B1436)</f>
        <v>2021</v>
      </c>
      <c r="P1436" s="54" t="n">
        <f aca="false">IF(AND(E1436&gt;=14400,K1436&gt;0,L1436&gt;0),1,0)</f>
        <v>1</v>
      </c>
      <c r="Q1436" s="53" t="n">
        <f aca="false">IF(P1436=1,F1436/E1436*MIN(L1436/K1436,1)*MIN(MAX(M1436/L1436,0),1),0)</f>
        <v>0.397688761685939</v>
      </c>
      <c r="R1436" s="55" t="n">
        <f aca="false">IF(F1436&gt;0,N1436/(F1436/3600),0)</f>
        <v>1.09413881991271</v>
      </c>
    </row>
    <row r="1437" customFormat="false" ht="15" hidden="false" customHeight="false" outlineLevel="0" collapsed="false">
      <c r="A1437" s="0" t="s">
        <v>260</v>
      </c>
      <c r="B1437" s="52" t="n">
        <v>44472</v>
      </c>
      <c r="C1437" s="0" t="n">
        <v>85927.753</v>
      </c>
      <c r="D1437" s="0" t="n">
        <v>1934.198</v>
      </c>
      <c r="E1437" s="0" t="n">
        <v>83993.555</v>
      </c>
      <c r="F1437" s="0" t="n">
        <v>36015.048</v>
      </c>
      <c r="G1437" s="0" t="n">
        <v>33400.319</v>
      </c>
      <c r="H1437" s="0" t="n">
        <v>2614.729</v>
      </c>
      <c r="I1437" s="0" t="n">
        <v>4565.842</v>
      </c>
      <c r="J1437" s="0" t="n">
        <v>43412.665</v>
      </c>
      <c r="K1437" s="0" t="n">
        <v>37515.675</v>
      </c>
      <c r="L1437" s="0" t="n">
        <v>34710</v>
      </c>
      <c r="M1437" s="0" t="n">
        <v>34655</v>
      </c>
      <c r="N1437" s="0" t="n">
        <v>30</v>
      </c>
      <c r="O1437" s="54" t="n">
        <f aca="false">YEAR(B1437)</f>
        <v>2021</v>
      </c>
      <c r="P1437" s="54" t="n">
        <f aca="false">IF(AND(E1437&gt;=14400,K1437&gt;0,L1437&gt;0),1,0)</f>
        <v>1</v>
      </c>
      <c r="Q1437" s="53" t="n">
        <f aca="false">IF(P1437=1,F1437/E1437*MIN(L1437/K1437,1)*MIN(MAX(M1437/L1437,0),1),0)</f>
        <v>0.396087533144656</v>
      </c>
      <c r="R1437" s="55" t="n">
        <f aca="false">IF(F1437&gt;0,N1437/(F1437/3600),0)</f>
        <v>2.99874652395299</v>
      </c>
    </row>
    <row r="1438" customFormat="false" ht="15" hidden="false" customHeight="false" outlineLevel="0" collapsed="false">
      <c r="A1438" s="0" t="s">
        <v>260</v>
      </c>
      <c r="B1438" s="52" t="n">
        <v>44473</v>
      </c>
      <c r="C1438" s="0" t="n">
        <v>87531.338</v>
      </c>
      <c r="D1438" s="0" t="n">
        <v>7428.422</v>
      </c>
      <c r="E1438" s="0" t="n">
        <v>80102.916</v>
      </c>
      <c r="F1438" s="0" t="n">
        <v>45509.697</v>
      </c>
      <c r="G1438" s="0" t="n">
        <v>42972.408</v>
      </c>
      <c r="H1438" s="0" t="n">
        <v>2537.289</v>
      </c>
      <c r="I1438" s="0" t="n">
        <v>5427.426</v>
      </c>
      <c r="J1438" s="0" t="n">
        <v>29165.793</v>
      </c>
      <c r="K1438" s="0" t="n">
        <v>47530.77125</v>
      </c>
      <c r="L1438" s="0" t="n">
        <v>44758</v>
      </c>
      <c r="M1438" s="0" t="n">
        <v>44683</v>
      </c>
      <c r="N1438" s="0" t="n">
        <v>34</v>
      </c>
      <c r="O1438" s="54" t="n">
        <f aca="false">YEAR(B1438)</f>
        <v>2021</v>
      </c>
      <c r="P1438" s="54" t="n">
        <f aca="false">IF(AND(E1438&gt;=14400,K1438&gt;0,L1438&gt;0),1,0)</f>
        <v>1</v>
      </c>
      <c r="Q1438" s="53" t="n">
        <f aca="false">IF(P1438=1,F1438/E1438*MIN(L1438/K1438,1)*MIN(MAX(M1438/L1438,0),1),0)</f>
        <v>0.534100617876268</v>
      </c>
      <c r="R1438" s="55" t="n">
        <f aca="false">IF(F1438&gt;0,N1438/(F1438/3600),0)</f>
        <v>2.6895366936853</v>
      </c>
    </row>
    <row r="1439" customFormat="false" ht="15" hidden="false" customHeight="false" outlineLevel="0" collapsed="false">
      <c r="A1439" s="0" t="s">
        <v>260</v>
      </c>
      <c r="B1439" s="52" t="n">
        <v>44474</v>
      </c>
      <c r="C1439" s="0" t="n">
        <v>82716.647</v>
      </c>
      <c r="D1439" s="0" t="n">
        <v>7508.287</v>
      </c>
      <c r="E1439" s="0" t="n">
        <v>75208.36</v>
      </c>
      <c r="F1439" s="0" t="n">
        <v>38384.176</v>
      </c>
      <c r="G1439" s="0" t="n">
        <v>36607.981</v>
      </c>
      <c r="H1439" s="0" t="n">
        <v>1776.195</v>
      </c>
      <c r="I1439" s="0" t="n">
        <v>3366.759</v>
      </c>
      <c r="J1439" s="0" t="n">
        <v>33457.425</v>
      </c>
      <c r="K1439" s="0" t="n">
        <v>39983.5166666667</v>
      </c>
      <c r="L1439" s="0" t="n">
        <v>37100</v>
      </c>
      <c r="M1439" s="0" t="n">
        <v>37038</v>
      </c>
      <c r="N1439" s="0" t="n">
        <v>29</v>
      </c>
      <c r="O1439" s="54" t="n">
        <f aca="false">YEAR(B1439)</f>
        <v>2021</v>
      </c>
      <c r="P1439" s="54" t="n">
        <f aca="false">IF(AND(E1439&gt;=14400,K1439&gt;0,L1439&gt;0),1,0)</f>
        <v>1</v>
      </c>
      <c r="Q1439" s="53" t="n">
        <f aca="false">IF(P1439=1,F1439/E1439*MIN(L1439/K1439,1)*MIN(MAX(M1439/L1439,0),1),0)</f>
        <v>0.472772973642824</v>
      </c>
      <c r="R1439" s="55" t="n">
        <f aca="false">IF(F1439&gt;0,N1439/(F1439/3600),0)</f>
        <v>2.71987081343103</v>
      </c>
    </row>
    <row r="1440" customFormat="false" ht="15" hidden="false" customHeight="false" outlineLevel="0" collapsed="false">
      <c r="A1440" s="0" t="s">
        <v>260</v>
      </c>
      <c r="B1440" s="52" t="n">
        <v>44475</v>
      </c>
      <c r="C1440" s="0" t="n">
        <v>81794.939</v>
      </c>
      <c r="D1440" s="0" t="n">
        <v>7442.404</v>
      </c>
      <c r="E1440" s="0" t="n">
        <v>74352.535</v>
      </c>
      <c r="F1440" s="0" t="n">
        <v>42949.007</v>
      </c>
      <c r="G1440" s="0" t="n">
        <v>40612.764</v>
      </c>
      <c r="H1440" s="0" t="n">
        <v>2336.243</v>
      </c>
      <c r="I1440" s="0" t="n">
        <v>2347.099</v>
      </c>
      <c r="J1440" s="0" t="n">
        <v>29056.429</v>
      </c>
      <c r="K1440" s="0" t="n">
        <v>44853.8401388889</v>
      </c>
      <c r="L1440" s="0" t="n">
        <v>42334</v>
      </c>
      <c r="M1440" s="0" t="n">
        <v>42256</v>
      </c>
      <c r="N1440" s="0" t="n">
        <v>24</v>
      </c>
      <c r="O1440" s="54" t="n">
        <f aca="false">YEAR(B1440)</f>
        <v>2021</v>
      </c>
      <c r="P1440" s="54" t="n">
        <f aca="false">IF(AND(E1440&gt;=14400,K1440&gt;0,L1440&gt;0),1,0)</f>
        <v>1</v>
      </c>
      <c r="Q1440" s="53" t="n">
        <f aca="false">IF(P1440=1,F1440/E1440*MIN(L1440/K1440,1)*MIN(MAX(M1440/L1440,0),1),0)</f>
        <v>0.544184415401452</v>
      </c>
      <c r="R1440" s="55" t="n">
        <f aca="false">IF(F1440&gt;0,N1440/(F1440/3600),0)</f>
        <v>2.01168795357713</v>
      </c>
    </row>
    <row r="1441" customFormat="false" ht="15" hidden="false" customHeight="false" outlineLevel="0" collapsed="false">
      <c r="A1441" s="0" t="s">
        <v>260</v>
      </c>
      <c r="B1441" s="52" t="n">
        <v>44476</v>
      </c>
      <c r="C1441" s="0" t="n">
        <v>78171.637</v>
      </c>
      <c r="D1441" s="0" t="n">
        <v>1933.579</v>
      </c>
      <c r="E1441" s="0" t="n">
        <v>76238.058</v>
      </c>
      <c r="F1441" s="0" t="n">
        <v>31744.027</v>
      </c>
      <c r="G1441" s="0" t="n">
        <v>30552.781</v>
      </c>
      <c r="H1441" s="0" t="n">
        <v>1191.246</v>
      </c>
      <c r="I1441" s="0" t="n">
        <v>3431.076</v>
      </c>
      <c r="J1441" s="0" t="n">
        <v>41062.955</v>
      </c>
      <c r="K1441" s="0" t="n">
        <v>33066.6947916667</v>
      </c>
      <c r="L1441" s="0" t="n">
        <v>31732</v>
      </c>
      <c r="M1441" s="0" t="n">
        <v>31699</v>
      </c>
      <c r="N1441" s="0" t="n">
        <v>27</v>
      </c>
      <c r="O1441" s="54" t="n">
        <f aca="false">YEAR(B1441)</f>
        <v>2021</v>
      </c>
      <c r="P1441" s="54" t="n">
        <f aca="false">IF(AND(E1441&gt;=14400,K1441&gt;0,L1441&gt;0),1,0)</f>
        <v>1</v>
      </c>
      <c r="Q1441" s="53" t="n">
        <f aca="false">IF(P1441=1,F1441/E1441*MIN(L1441/K1441,1)*MIN(MAX(M1441/L1441,0),1),0)</f>
        <v>0.399158121262743</v>
      </c>
      <c r="R1441" s="55" t="n">
        <f aca="false">IF(F1441&gt;0,N1441/(F1441/3600),0)</f>
        <v>3.0619933633499</v>
      </c>
    </row>
    <row r="1442" customFormat="false" ht="15" hidden="false" customHeight="false" outlineLevel="0" collapsed="false">
      <c r="A1442" s="0" t="s">
        <v>260</v>
      </c>
      <c r="B1442" s="52" t="n">
        <v>44477</v>
      </c>
      <c r="C1442" s="0" t="n">
        <v>88090.202</v>
      </c>
      <c r="D1442" s="0" t="n">
        <v>11977.949</v>
      </c>
      <c r="E1442" s="0" t="n">
        <v>76112.253</v>
      </c>
      <c r="F1442" s="0" t="n">
        <v>27426.527</v>
      </c>
      <c r="G1442" s="0" t="n">
        <v>24781.392</v>
      </c>
      <c r="H1442" s="0" t="n">
        <v>2645.135</v>
      </c>
      <c r="I1442" s="0" t="n">
        <v>4132.756</v>
      </c>
      <c r="J1442" s="0" t="n">
        <v>44552.97</v>
      </c>
      <c r="K1442" s="0" t="n">
        <v>28693.5135416667</v>
      </c>
      <c r="L1442" s="0" t="n">
        <v>25865</v>
      </c>
      <c r="M1442" s="0" t="n">
        <v>25808</v>
      </c>
      <c r="N1442" s="0" t="n">
        <v>20</v>
      </c>
      <c r="O1442" s="54" t="n">
        <f aca="false">YEAR(B1442)</f>
        <v>2021</v>
      </c>
      <c r="P1442" s="54" t="n">
        <f aca="false">IF(AND(E1442&gt;=14400,K1442&gt;0,L1442&gt;0),1,0)</f>
        <v>1</v>
      </c>
      <c r="Q1442" s="53" t="n">
        <f aca="false">IF(P1442=1,F1442/E1442*MIN(L1442/K1442,1)*MIN(MAX(M1442/L1442,0),1),0)</f>
        <v>0.324105840982814</v>
      </c>
      <c r="R1442" s="55" t="n">
        <f aca="false">IF(F1442&gt;0,N1442/(F1442/3600),0)</f>
        <v>2.62519567278788</v>
      </c>
    </row>
    <row r="1443" customFormat="false" ht="15" hidden="false" customHeight="false" outlineLevel="0" collapsed="false">
      <c r="A1443" s="0" t="s">
        <v>260</v>
      </c>
      <c r="B1443" s="52" t="n">
        <v>44478</v>
      </c>
      <c r="C1443" s="0" t="n">
        <v>87854.607</v>
      </c>
      <c r="D1443" s="0" t="n">
        <v>8719.823</v>
      </c>
      <c r="E1443" s="0" t="n">
        <v>79134.784</v>
      </c>
      <c r="F1443" s="0" t="n">
        <v>33218.515</v>
      </c>
      <c r="G1443" s="0" t="n">
        <v>32027.695</v>
      </c>
      <c r="H1443" s="0" t="n">
        <v>1190.82</v>
      </c>
      <c r="I1443" s="0" t="n">
        <v>2319.083</v>
      </c>
      <c r="J1443" s="0" t="n">
        <v>43597.186</v>
      </c>
      <c r="K1443" s="0" t="n">
        <v>34602.6197916667</v>
      </c>
      <c r="L1443" s="0" t="n">
        <v>33320</v>
      </c>
      <c r="M1443" s="0" t="n">
        <v>33303</v>
      </c>
      <c r="N1443" s="0" t="n">
        <v>17</v>
      </c>
      <c r="O1443" s="54" t="n">
        <f aca="false">YEAR(B1443)</f>
        <v>2021</v>
      </c>
      <c r="P1443" s="54" t="n">
        <f aca="false">IF(AND(E1443&gt;=14400,K1443&gt;0,L1443&gt;0),1,0)</f>
        <v>1</v>
      </c>
      <c r="Q1443" s="53" t="n">
        <f aca="false">IF(P1443=1,F1443/E1443*MIN(L1443/K1443,1)*MIN(MAX(M1443/L1443,0),1),0)</f>
        <v>0.404005399193356</v>
      </c>
      <c r="R1443" s="55" t="n">
        <f aca="false">IF(F1443&gt;0,N1443/(F1443/3600),0)</f>
        <v>1.8423460530972</v>
      </c>
    </row>
    <row r="1444" customFormat="false" ht="15" hidden="false" customHeight="false" outlineLevel="0" collapsed="false">
      <c r="A1444" s="0" t="s">
        <v>260</v>
      </c>
      <c r="B1444" s="52" t="n">
        <v>44479</v>
      </c>
      <c r="C1444" s="0" t="n">
        <v>86602.01</v>
      </c>
      <c r="D1444" s="0" t="n">
        <v>6749.279</v>
      </c>
      <c r="E1444" s="0" t="n">
        <v>79852.731</v>
      </c>
      <c r="F1444" s="0" t="n">
        <v>40314.096</v>
      </c>
      <c r="G1444" s="0" t="n">
        <v>37660.066</v>
      </c>
      <c r="H1444" s="0" t="n">
        <v>2654.03</v>
      </c>
      <c r="I1444" s="0" t="n">
        <v>3732.914</v>
      </c>
      <c r="J1444" s="0" t="n">
        <v>35805.721</v>
      </c>
      <c r="K1444" s="0" t="n">
        <v>42086.9370833333</v>
      </c>
      <c r="L1444" s="0" t="n">
        <v>39180</v>
      </c>
      <c r="M1444" s="0" t="n">
        <v>39091</v>
      </c>
      <c r="N1444" s="0" t="n">
        <v>28</v>
      </c>
      <c r="O1444" s="54" t="n">
        <f aca="false">YEAR(B1444)</f>
        <v>2021</v>
      </c>
      <c r="P1444" s="54" t="n">
        <f aca="false">IF(AND(E1444&gt;=14400,K1444&gt;0,L1444&gt;0),1,0)</f>
        <v>1</v>
      </c>
      <c r="Q1444" s="53" t="n">
        <f aca="false">IF(P1444=1,F1444/E1444*MIN(L1444/K1444,1)*MIN(MAX(M1444/L1444,0),1),0)</f>
        <v>0.468917684257347</v>
      </c>
      <c r="R1444" s="55" t="n">
        <f aca="false">IF(F1444&gt;0,N1444/(F1444/3600),0)</f>
        <v>2.50036612503974</v>
      </c>
    </row>
    <row r="1445" customFormat="false" ht="15" hidden="false" customHeight="false" outlineLevel="0" collapsed="false">
      <c r="A1445" s="0" t="s">
        <v>260</v>
      </c>
      <c r="B1445" s="52" t="n">
        <v>44480</v>
      </c>
      <c r="C1445" s="0" t="n">
        <v>82696.099</v>
      </c>
      <c r="D1445" s="0" t="n">
        <v>7457.561</v>
      </c>
      <c r="E1445" s="0" t="n">
        <v>75238.538</v>
      </c>
      <c r="F1445" s="0" t="n">
        <v>35639.992</v>
      </c>
      <c r="G1445" s="0" t="n">
        <v>34397.393</v>
      </c>
      <c r="H1445" s="0" t="n">
        <v>1242.599</v>
      </c>
      <c r="I1445" s="0" t="n">
        <v>1875.507</v>
      </c>
      <c r="J1445" s="0" t="n">
        <v>37723.039</v>
      </c>
      <c r="K1445" s="0" t="n">
        <v>37124.9916666667</v>
      </c>
      <c r="L1445" s="0" t="n">
        <v>34869</v>
      </c>
      <c r="M1445" s="0" t="n">
        <v>34846</v>
      </c>
      <c r="N1445" s="0" t="n">
        <v>16</v>
      </c>
      <c r="O1445" s="54" t="n">
        <f aca="false">YEAR(B1445)</f>
        <v>2021</v>
      </c>
      <c r="P1445" s="54" t="n">
        <f aca="false">IF(AND(E1445&gt;=14400,K1445&gt;0,L1445&gt;0),1,0)</f>
        <v>1</v>
      </c>
      <c r="Q1445" s="53" t="n">
        <f aca="false">IF(P1445=1,F1445/E1445*MIN(L1445/K1445,1)*MIN(MAX(M1445/L1445,0),1),0)</f>
        <v>0.444614699982607</v>
      </c>
      <c r="R1445" s="55" t="n">
        <f aca="false">IF(F1445&gt;0,N1445/(F1445/3600),0)</f>
        <v>1.61616197893647</v>
      </c>
    </row>
    <row r="1446" customFormat="false" ht="15" hidden="false" customHeight="false" outlineLevel="0" collapsed="false">
      <c r="A1446" s="0" t="s">
        <v>260</v>
      </c>
      <c r="B1446" s="52" t="n">
        <v>44481</v>
      </c>
      <c r="C1446" s="0" t="n">
        <v>85403.273</v>
      </c>
      <c r="D1446" s="0" t="n">
        <v>6965.712</v>
      </c>
      <c r="E1446" s="0" t="n">
        <v>78437.561</v>
      </c>
      <c r="F1446" s="0" t="n">
        <v>34169.664</v>
      </c>
      <c r="G1446" s="0" t="n">
        <v>32880.646</v>
      </c>
      <c r="H1446" s="0" t="n">
        <v>1289.018</v>
      </c>
      <c r="I1446" s="0" t="n">
        <v>3759.829</v>
      </c>
      <c r="J1446" s="0" t="n">
        <v>40508.068</v>
      </c>
      <c r="K1446" s="0" t="n">
        <v>35688.3189583333</v>
      </c>
      <c r="L1446" s="0" t="n">
        <v>34293</v>
      </c>
      <c r="M1446" s="0" t="n">
        <v>34247</v>
      </c>
      <c r="N1446" s="0" t="n">
        <v>23</v>
      </c>
      <c r="O1446" s="54" t="n">
        <f aca="false">YEAR(B1446)</f>
        <v>2021</v>
      </c>
      <c r="P1446" s="54" t="n">
        <f aca="false">IF(AND(E1446&gt;=14400,K1446&gt;0,L1446&gt;0),1,0)</f>
        <v>1</v>
      </c>
      <c r="Q1446" s="53" t="n">
        <f aca="false">IF(P1446=1,F1446/E1446*MIN(L1446/K1446,1)*MIN(MAX(M1446/L1446,0),1),0)</f>
        <v>0.418035408928655</v>
      </c>
      <c r="R1446" s="55" t="n">
        <f aca="false">IF(F1446&gt;0,N1446/(F1446/3600),0)</f>
        <v>2.42320205431344</v>
      </c>
    </row>
    <row r="1447" customFormat="false" ht="15" hidden="false" customHeight="false" outlineLevel="0" collapsed="false">
      <c r="A1447" s="0" t="s">
        <v>260</v>
      </c>
      <c r="B1447" s="52" t="n">
        <v>44482</v>
      </c>
      <c r="C1447" s="0" t="n">
        <v>75426.853</v>
      </c>
      <c r="D1447" s="0" t="n">
        <v>6921.79</v>
      </c>
      <c r="E1447" s="0" t="n">
        <v>68505.063</v>
      </c>
      <c r="F1447" s="0" t="n">
        <v>33450.025</v>
      </c>
      <c r="G1447" s="0" t="n">
        <v>29960.279</v>
      </c>
      <c r="H1447" s="0" t="n">
        <v>3489.746</v>
      </c>
      <c r="I1447" s="0" t="n">
        <v>4700.854</v>
      </c>
      <c r="J1447" s="0" t="n">
        <v>30354.184</v>
      </c>
      <c r="K1447" s="0" t="n">
        <v>34843.7760416667</v>
      </c>
      <c r="L1447" s="0" t="n">
        <v>30192</v>
      </c>
      <c r="M1447" s="0" t="n">
        <v>30159</v>
      </c>
      <c r="N1447" s="0" t="n">
        <v>26</v>
      </c>
      <c r="O1447" s="54" t="n">
        <f aca="false">YEAR(B1447)</f>
        <v>2021</v>
      </c>
      <c r="P1447" s="54" t="n">
        <f aca="false">IF(AND(E1447&gt;=14400,K1447&gt;0,L1447&gt;0),1,0)</f>
        <v>1</v>
      </c>
      <c r="Q1447" s="53" t="n">
        <f aca="false">IF(P1447=1,F1447/E1447*MIN(L1447/K1447,1)*MIN(MAX(M1447/L1447,0),1),0)</f>
        <v>0.422635039398475</v>
      </c>
      <c r="R1447" s="55" t="n">
        <f aca="false">IF(F1447&gt;0,N1447/(F1447/3600),0)</f>
        <v>2.79820418669343</v>
      </c>
    </row>
    <row r="1448" customFormat="false" ht="15" hidden="false" customHeight="false" outlineLevel="0" collapsed="false">
      <c r="A1448" s="0" t="s">
        <v>260</v>
      </c>
      <c r="B1448" s="52" t="n">
        <v>44483</v>
      </c>
      <c r="C1448" s="0" t="n">
        <v>59496.456</v>
      </c>
      <c r="D1448" s="0" t="n">
        <v>9351.077</v>
      </c>
      <c r="E1448" s="0" t="n">
        <v>50145.379</v>
      </c>
      <c r="F1448" s="0" t="n">
        <v>26283.928</v>
      </c>
      <c r="G1448" s="0" t="n">
        <v>20961.563</v>
      </c>
      <c r="H1448" s="0" t="n">
        <v>5322.365</v>
      </c>
      <c r="I1448" s="0" t="n">
        <v>2873.433</v>
      </c>
      <c r="J1448" s="0" t="n">
        <v>20988.018</v>
      </c>
      <c r="K1448" s="0" t="n">
        <v>27474.835625</v>
      </c>
      <c r="L1448" s="0" t="n">
        <v>21853</v>
      </c>
      <c r="M1448" s="0" t="n">
        <v>21815</v>
      </c>
      <c r="N1448" s="0" t="n">
        <v>16</v>
      </c>
      <c r="O1448" s="54" t="n">
        <f aca="false">YEAR(B1448)</f>
        <v>2021</v>
      </c>
      <c r="P1448" s="54" t="n">
        <f aca="false">IF(AND(E1448&gt;=14400,K1448&gt;0,L1448&gt;0),1,0)</f>
        <v>1</v>
      </c>
      <c r="Q1448" s="53" t="n">
        <f aca="false">IF(P1448=1,F1448/E1448*MIN(L1448/K1448,1)*MIN(MAX(M1448/L1448,0),1),0)</f>
        <v>0.416178332013189</v>
      </c>
      <c r="R1448" s="55" t="n">
        <f aca="false">IF(F1448&gt;0,N1448/(F1448/3600),0)</f>
        <v>2.19145327136796</v>
      </c>
    </row>
    <row r="1449" customFormat="false" ht="15" hidden="false" customHeight="false" outlineLevel="0" collapsed="false">
      <c r="A1449" s="0" t="s">
        <v>260</v>
      </c>
      <c r="B1449" s="52" t="n">
        <v>44484</v>
      </c>
      <c r="C1449" s="0" t="n">
        <v>91764.834</v>
      </c>
      <c r="D1449" s="0" t="n">
        <v>7057.863</v>
      </c>
      <c r="E1449" s="0" t="n">
        <v>84706.971</v>
      </c>
      <c r="F1449" s="0" t="n">
        <v>39821.086</v>
      </c>
      <c r="G1449" s="0" t="n">
        <v>35824.094</v>
      </c>
      <c r="H1449" s="0" t="n">
        <v>3996.992</v>
      </c>
      <c r="I1449" s="0" t="n">
        <v>3868.845</v>
      </c>
      <c r="J1449" s="0" t="n">
        <v>41017.04</v>
      </c>
      <c r="K1449" s="0" t="n">
        <v>41480.2979166667</v>
      </c>
      <c r="L1449" s="0" t="n">
        <v>37184</v>
      </c>
      <c r="M1449" s="0" t="n">
        <v>37079</v>
      </c>
      <c r="N1449" s="0" t="n">
        <v>31</v>
      </c>
      <c r="O1449" s="54" t="n">
        <f aca="false">YEAR(B1449)</f>
        <v>2021</v>
      </c>
      <c r="P1449" s="54" t="n">
        <f aca="false">IF(AND(E1449&gt;=14400,K1449&gt;0,L1449&gt;0),1,0)</f>
        <v>1</v>
      </c>
      <c r="Q1449" s="53" t="n">
        <f aca="false">IF(P1449=1,F1449/E1449*MIN(L1449/K1449,1)*MIN(MAX(M1449/L1449,0),1),0)</f>
        <v>0.420223265922234</v>
      </c>
      <c r="R1449" s="55" t="n">
        <f aca="false">IF(F1449&gt;0,N1449/(F1449/3600),0)</f>
        <v>2.80253532010654</v>
      </c>
    </row>
    <row r="1450" customFormat="false" ht="15" hidden="false" customHeight="false" outlineLevel="0" collapsed="false">
      <c r="A1450" s="0" t="s">
        <v>260</v>
      </c>
      <c r="B1450" s="52" t="n">
        <v>44485</v>
      </c>
      <c r="C1450" s="0" t="n">
        <v>61425.744</v>
      </c>
      <c r="D1450" s="0" t="n">
        <v>8253.647</v>
      </c>
      <c r="E1450" s="0" t="n">
        <v>53172.097</v>
      </c>
      <c r="F1450" s="0" t="n">
        <v>24619.642</v>
      </c>
      <c r="G1450" s="0" t="n">
        <v>21055.32</v>
      </c>
      <c r="H1450" s="0" t="n">
        <v>3564.322</v>
      </c>
      <c r="I1450" s="0" t="n">
        <v>2178.372</v>
      </c>
      <c r="J1450" s="0" t="n">
        <v>26374.083</v>
      </c>
      <c r="K1450" s="0" t="n">
        <v>25923.7593194445</v>
      </c>
      <c r="L1450" s="0" t="n">
        <v>15690</v>
      </c>
      <c r="M1450" s="0" t="n">
        <v>15572</v>
      </c>
      <c r="N1450" s="0" t="n">
        <v>9</v>
      </c>
      <c r="O1450" s="54" t="n">
        <f aca="false">YEAR(B1450)</f>
        <v>2021</v>
      </c>
      <c r="P1450" s="54" t="n">
        <f aca="false">IF(AND(E1450&gt;=14400,K1450&gt;0,L1450&gt;0),1,0)</f>
        <v>1</v>
      </c>
      <c r="Q1450" s="53" t="n">
        <f aca="false">IF(P1450=1,F1450/E1450*MIN(L1450/K1450,1)*MIN(MAX(M1450/L1450,0),1),0)</f>
        <v>0.278127773677951</v>
      </c>
      <c r="R1450" s="55" t="n">
        <f aca="false">IF(F1450&gt;0,N1450/(F1450/3600),0)</f>
        <v>1.31602238570325</v>
      </c>
    </row>
    <row r="1451" customFormat="false" ht="15" hidden="false" customHeight="false" outlineLevel="0" collapsed="false">
      <c r="A1451" s="0" t="s">
        <v>260</v>
      </c>
      <c r="B1451" s="52" t="n">
        <v>44486</v>
      </c>
      <c r="C1451" s="0" t="n">
        <v>83825.362</v>
      </c>
      <c r="D1451" s="0" t="n">
        <v>6948.159</v>
      </c>
      <c r="E1451" s="0" t="n">
        <v>76877.203</v>
      </c>
      <c r="F1451" s="0" t="n">
        <v>45103.573</v>
      </c>
      <c r="G1451" s="0" t="n">
        <v>43446.409</v>
      </c>
      <c r="H1451" s="0" t="n">
        <v>1657.164</v>
      </c>
      <c r="I1451" s="0" t="n">
        <v>4302.816</v>
      </c>
      <c r="J1451" s="0" t="n">
        <v>27470.814</v>
      </c>
      <c r="K1451" s="0" t="n">
        <v>46982.8885416667</v>
      </c>
      <c r="L1451" s="0" t="n">
        <v>45117</v>
      </c>
      <c r="M1451" s="0" t="n">
        <v>45035</v>
      </c>
      <c r="N1451" s="0" t="n">
        <v>37</v>
      </c>
      <c r="O1451" s="54" t="n">
        <f aca="false">YEAR(B1451)</f>
        <v>2021</v>
      </c>
      <c r="P1451" s="54" t="n">
        <f aca="false">IF(AND(E1451&gt;=14400,K1451&gt;0,L1451&gt;0),1,0)</f>
        <v>1</v>
      </c>
      <c r="Q1451" s="53" t="n">
        <f aca="false">IF(P1451=1,F1451/E1451*MIN(L1451/K1451,1)*MIN(MAX(M1451/L1451,0),1),0)</f>
        <v>0.562372176833749</v>
      </c>
      <c r="R1451" s="55" t="n">
        <f aca="false">IF(F1451&gt;0,N1451/(F1451/3600),0)</f>
        <v>2.95320284271049</v>
      </c>
    </row>
    <row r="1452" customFormat="false" ht="15" hidden="false" customHeight="false" outlineLevel="0" collapsed="false">
      <c r="A1452" s="0" t="s">
        <v>260</v>
      </c>
      <c r="B1452" s="52" t="n">
        <v>44487</v>
      </c>
      <c r="C1452" s="0" t="n">
        <v>85648.784</v>
      </c>
      <c r="D1452" s="0" t="n">
        <v>5804.733</v>
      </c>
      <c r="E1452" s="0" t="n">
        <v>79844.051</v>
      </c>
      <c r="F1452" s="0" t="n">
        <v>44986.683</v>
      </c>
      <c r="G1452" s="0" t="n">
        <v>40052.253</v>
      </c>
      <c r="H1452" s="0" t="n">
        <v>4934.43</v>
      </c>
      <c r="I1452" s="0" t="n">
        <v>7226.821</v>
      </c>
      <c r="J1452" s="0" t="n">
        <v>27630.547</v>
      </c>
      <c r="K1452" s="0" t="n">
        <v>47066.2911805556</v>
      </c>
      <c r="L1452" s="0" t="n">
        <v>40760</v>
      </c>
      <c r="M1452" s="0" t="n">
        <v>40687</v>
      </c>
      <c r="N1452" s="0" t="n">
        <v>52</v>
      </c>
      <c r="O1452" s="54" t="n">
        <f aca="false">YEAR(B1452)</f>
        <v>2021</v>
      </c>
      <c r="P1452" s="54" t="n">
        <f aca="false">IF(AND(E1452&gt;=14400,K1452&gt;0,L1452&gt;0),1,0)</f>
        <v>1</v>
      </c>
      <c r="Q1452" s="53" t="n">
        <f aca="false">IF(P1452=1,F1452/E1452*MIN(L1452/K1452,1)*MIN(MAX(M1452/L1452,0),1),0)</f>
        <v>0.487065199708355</v>
      </c>
      <c r="R1452" s="55" t="n">
        <f aca="false">IF(F1452&gt;0,N1452/(F1452/3600),0)</f>
        <v>4.16123144709291</v>
      </c>
    </row>
    <row r="1453" customFormat="false" ht="15" hidden="false" customHeight="false" outlineLevel="0" collapsed="false">
      <c r="A1453" s="0" t="s">
        <v>260</v>
      </c>
      <c r="B1453" s="52" t="n">
        <v>44488</v>
      </c>
      <c r="C1453" s="0" t="n">
        <v>87053.292</v>
      </c>
      <c r="D1453" s="0" t="n">
        <v>6974.283</v>
      </c>
      <c r="E1453" s="0" t="n">
        <v>80079.009</v>
      </c>
      <c r="F1453" s="0" t="n">
        <v>51372.014</v>
      </c>
      <c r="G1453" s="0" t="n">
        <v>40622.84</v>
      </c>
      <c r="H1453" s="0" t="n">
        <v>10749.174</v>
      </c>
      <c r="I1453" s="0" t="n">
        <v>4117.246</v>
      </c>
      <c r="J1453" s="0" t="n">
        <v>24589.749</v>
      </c>
      <c r="K1453" s="0" t="n">
        <v>53887.110375</v>
      </c>
      <c r="L1453" s="0" t="n">
        <v>41701</v>
      </c>
      <c r="M1453" s="0" t="n">
        <v>41650</v>
      </c>
      <c r="N1453" s="0" t="n">
        <v>33</v>
      </c>
      <c r="O1453" s="54" t="n">
        <f aca="false">YEAR(B1453)</f>
        <v>2021</v>
      </c>
      <c r="P1453" s="54" t="n">
        <f aca="false">IF(AND(E1453&gt;=14400,K1453&gt;0,L1453&gt;0),1,0)</f>
        <v>1</v>
      </c>
      <c r="Q1453" s="53" t="n">
        <f aca="false">IF(P1453=1,F1453/E1453*MIN(L1453/K1453,1)*MIN(MAX(M1453/L1453,0),1),0)</f>
        <v>0.495835950747443</v>
      </c>
      <c r="R1453" s="55" t="n">
        <f aca="false">IF(F1453&gt;0,N1453/(F1453/3600),0)</f>
        <v>2.31254316795911</v>
      </c>
    </row>
    <row r="1454" customFormat="false" ht="15" hidden="false" customHeight="false" outlineLevel="0" collapsed="false">
      <c r="A1454" s="0" t="s">
        <v>260</v>
      </c>
      <c r="B1454" s="52" t="n">
        <v>44489</v>
      </c>
      <c r="C1454" s="0" t="n">
        <v>84489.601</v>
      </c>
      <c r="D1454" s="0" t="n">
        <v>7509.932</v>
      </c>
      <c r="E1454" s="0" t="n">
        <v>76979.669</v>
      </c>
      <c r="F1454" s="0" t="n">
        <v>45682.423</v>
      </c>
      <c r="G1454" s="0" t="n">
        <v>42149.281</v>
      </c>
      <c r="H1454" s="0" t="n">
        <v>3533.142</v>
      </c>
      <c r="I1454" s="0" t="n">
        <v>5078.312</v>
      </c>
      <c r="J1454" s="0" t="n">
        <v>26218.934</v>
      </c>
      <c r="K1454" s="0" t="n">
        <v>47706.7995833333</v>
      </c>
      <c r="L1454" s="0" t="n">
        <v>42989</v>
      </c>
      <c r="M1454" s="0" t="n">
        <v>42920</v>
      </c>
      <c r="N1454" s="0" t="n">
        <v>28</v>
      </c>
      <c r="O1454" s="54" t="n">
        <f aca="false">YEAR(B1454)</f>
        <v>2021</v>
      </c>
      <c r="P1454" s="54" t="n">
        <f aca="false">IF(AND(E1454&gt;=14400,K1454&gt;0,L1454&gt;0),1,0)</f>
        <v>1</v>
      </c>
      <c r="Q1454" s="53" t="n">
        <f aca="false">IF(P1454=1,F1454/E1454*MIN(L1454/K1454,1)*MIN(MAX(M1454/L1454,0),1),0)</f>
        <v>0.533890904240199</v>
      </c>
      <c r="R1454" s="55" t="n">
        <f aca="false">IF(F1454&gt;0,N1454/(F1454/3600),0)</f>
        <v>2.20653795005576</v>
      </c>
    </row>
    <row r="1455" customFormat="false" ht="15" hidden="false" customHeight="false" outlineLevel="0" collapsed="false">
      <c r="A1455" s="0" t="s">
        <v>260</v>
      </c>
      <c r="B1455" s="52" t="n">
        <v>44490</v>
      </c>
      <c r="C1455" s="0" t="n">
        <v>83715.999</v>
      </c>
      <c r="D1455" s="0" t="n">
        <v>7218.245</v>
      </c>
      <c r="E1455" s="0" t="n">
        <v>76497.754</v>
      </c>
      <c r="F1455" s="0" t="n">
        <v>39879.972</v>
      </c>
      <c r="G1455" s="0" t="n">
        <v>38137.045</v>
      </c>
      <c r="H1455" s="0" t="n">
        <v>1742.927</v>
      </c>
      <c r="I1455" s="0" t="n">
        <v>2020.508</v>
      </c>
      <c r="J1455" s="0" t="n">
        <v>34597.274</v>
      </c>
      <c r="K1455" s="0" t="n">
        <v>41541.6375</v>
      </c>
      <c r="L1455" s="0" t="n">
        <v>38739</v>
      </c>
      <c r="M1455" s="0" t="n">
        <v>38618</v>
      </c>
      <c r="N1455" s="0" t="n">
        <v>18</v>
      </c>
      <c r="O1455" s="54" t="n">
        <f aca="false">YEAR(B1455)</f>
        <v>2021</v>
      </c>
      <c r="P1455" s="54" t="n">
        <f aca="false">IF(AND(E1455&gt;=14400,K1455&gt;0,L1455&gt;0),1,0)</f>
        <v>1</v>
      </c>
      <c r="Q1455" s="53" t="n">
        <f aca="false">IF(P1455=1,F1455/E1455*MIN(L1455/K1455,1)*MIN(MAX(M1455/L1455,0),1),0)</f>
        <v>0.484632267765666</v>
      </c>
      <c r="R1455" s="55" t="n">
        <f aca="false">IF(F1455&gt;0,N1455/(F1455/3600),0)</f>
        <v>1.62487576470716</v>
      </c>
    </row>
    <row r="1456" customFormat="false" ht="15" hidden="false" customHeight="false" outlineLevel="0" collapsed="false">
      <c r="A1456" s="0" t="s">
        <v>260</v>
      </c>
      <c r="B1456" s="52" t="n">
        <v>44491</v>
      </c>
      <c r="C1456" s="0" t="n">
        <v>78930.566</v>
      </c>
      <c r="D1456" s="0" t="n">
        <v>1931.07</v>
      </c>
      <c r="E1456" s="0" t="n">
        <v>76999.496</v>
      </c>
      <c r="F1456" s="0" t="n">
        <v>33713.025</v>
      </c>
      <c r="G1456" s="0" t="n">
        <v>32096.916</v>
      </c>
      <c r="H1456" s="0" t="n">
        <v>1616.109</v>
      </c>
      <c r="I1456" s="0" t="n">
        <v>2666.429</v>
      </c>
      <c r="J1456" s="0" t="n">
        <v>40620.042</v>
      </c>
      <c r="K1456" s="0" t="n">
        <v>35928.7067083333</v>
      </c>
      <c r="L1456" s="0" t="n">
        <v>34147</v>
      </c>
      <c r="M1456" s="0" t="n">
        <v>34080</v>
      </c>
      <c r="N1456" s="0" t="n">
        <v>15</v>
      </c>
      <c r="O1456" s="54" t="n">
        <f aca="false">YEAR(B1456)</f>
        <v>2021</v>
      </c>
      <c r="P1456" s="54" t="n">
        <f aca="false">IF(AND(E1456&gt;=14400,K1456&gt;0,L1456&gt;0),1,0)</f>
        <v>1</v>
      </c>
      <c r="Q1456" s="53" t="n">
        <f aca="false">IF(P1456=1,F1456/E1456*MIN(L1456/K1456,1)*MIN(MAX(M1456/L1456,0),1),0)</f>
        <v>0.415305652027629</v>
      </c>
      <c r="R1456" s="55" t="n">
        <f aca="false">IF(F1456&gt;0,N1456/(F1456/3600),0)</f>
        <v>1.60175481138225</v>
      </c>
    </row>
    <row r="1457" customFormat="false" ht="15" hidden="false" customHeight="false" outlineLevel="0" collapsed="false">
      <c r="A1457" s="0" t="s">
        <v>260</v>
      </c>
      <c r="B1457" s="52" t="n">
        <v>44492</v>
      </c>
      <c r="C1457" s="0" t="n">
        <v>74881.219</v>
      </c>
      <c r="D1457" s="0" t="n">
        <v>2012.443</v>
      </c>
      <c r="E1457" s="0" t="n">
        <v>72868.776</v>
      </c>
      <c r="F1457" s="0" t="n">
        <v>33895.123</v>
      </c>
      <c r="G1457" s="0" t="n">
        <v>32728.85</v>
      </c>
      <c r="H1457" s="0" t="n">
        <v>1166.273</v>
      </c>
      <c r="I1457" s="0" t="n">
        <v>2511.044</v>
      </c>
      <c r="J1457" s="0" t="n">
        <v>36462.609</v>
      </c>
      <c r="K1457" s="0" t="n">
        <v>35674.4304305556</v>
      </c>
      <c r="L1457" s="0" t="n">
        <v>34454</v>
      </c>
      <c r="M1457" s="0" t="n">
        <v>34401</v>
      </c>
      <c r="N1457" s="0" t="n">
        <v>15</v>
      </c>
      <c r="O1457" s="54" t="n">
        <f aca="false">YEAR(B1457)</f>
        <v>2021</v>
      </c>
      <c r="P1457" s="54" t="n">
        <f aca="false">IF(AND(E1457&gt;=14400,K1457&gt;0,L1457&gt;0),1,0)</f>
        <v>1</v>
      </c>
      <c r="Q1457" s="53" t="n">
        <f aca="false">IF(P1457=1,F1457/E1457*MIN(L1457/K1457,1)*MIN(MAX(M1457/L1457,0),1),0)</f>
        <v>0.448548861669922</v>
      </c>
      <c r="R1457" s="55" t="n">
        <f aca="false">IF(F1457&gt;0,N1457/(F1457/3600),0)</f>
        <v>1.59314955133811</v>
      </c>
    </row>
    <row r="1458" customFormat="false" ht="15" hidden="false" customHeight="false" outlineLevel="0" collapsed="false">
      <c r="A1458" s="0" t="s">
        <v>260</v>
      </c>
      <c r="B1458" s="52" t="n">
        <v>44493</v>
      </c>
      <c r="C1458" s="0" t="n">
        <v>62779.432</v>
      </c>
      <c r="D1458" s="0" t="n">
        <v>8205.525</v>
      </c>
      <c r="E1458" s="0" t="n">
        <v>54573.907</v>
      </c>
      <c r="F1458" s="0" t="n">
        <v>30986.933</v>
      </c>
      <c r="G1458" s="0" t="n">
        <v>29072.595</v>
      </c>
      <c r="H1458" s="0" t="n">
        <v>1914.338</v>
      </c>
      <c r="I1458" s="0" t="n">
        <v>2279.087</v>
      </c>
      <c r="J1458" s="0" t="n">
        <v>21307.887</v>
      </c>
      <c r="K1458" s="0" t="n">
        <v>32565.5054166667</v>
      </c>
      <c r="L1458" s="0" t="n">
        <v>30556</v>
      </c>
      <c r="M1458" s="0" t="n">
        <v>30490</v>
      </c>
      <c r="N1458" s="0" t="n">
        <v>14</v>
      </c>
      <c r="O1458" s="54" t="n">
        <f aca="false">YEAR(B1458)</f>
        <v>2021</v>
      </c>
      <c r="P1458" s="54" t="n">
        <f aca="false">IF(AND(E1458&gt;=14400,K1458&gt;0,L1458&gt;0),1,0)</f>
        <v>1</v>
      </c>
      <c r="Q1458" s="53" t="n">
        <f aca="false">IF(P1458=1,F1458/E1458*MIN(L1458/K1458,1)*MIN(MAX(M1458/L1458,0),1),0)</f>
        <v>0.531610007871722</v>
      </c>
      <c r="R1458" s="55" t="n">
        <f aca="false">IF(F1458&gt;0,N1458/(F1458/3600),0)</f>
        <v>1.62649204424329</v>
      </c>
    </row>
    <row r="1459" customFormat="false" ht="15" hidden="false" customHeight="false" outlineLevel="0" collapsed="false">
      <c r="A1459" s="0" t="s">
        <v>260</v>
      </c>
      <c r="B1459" s="52" t="n">
        <v>44494</v>
      </c>
      <c r="C1459" s="0" t="n">
        <v>84816.846</v>
      </c>
      <c r="D1459" s="0" t="n">
        <v>7106.916</v>
      </c>
      <c r="E1459" s="0" t="n">
        <v>77709.93</v>
      </c>
      <c r="F1459" s="0" t="n">
        <v>40126.314</v>
      </c>
      <c r="G1459" s="0" t="n">
        <v>37155.844</v>
      </c>
      <c r="H1459" s="0" t="n">
        <v>2970.47</v>
      </c>
      <c r="I1459" s="0" t="n">
        <v>1207.965</v>
      </c>
      <c r="J1459" s="0" t="n">
        <v>36375.651</v>
      </c>
      <c r="K1459" s="0" t="n">
        <v>41991.5302083333</v>
      </c>
      <c r="L1459" s="0" t="n">
        <v>38940</v>
      </c>
      <c r="M1459" s="0" t="n">
        <v>38886</v>
      </c>
      <c r="N1459" s="0" t="n">
        <v>13</v>
      </c>
      <c r="O1459" s="54" t="n">
        <f aca="false">YEAR(B1459)</f>
        <v>2021</v>
      </c>
      <c r="P1459" s="54" t="n">
        <f aca="false">IF(AND(E1459&gt;=14400,K1459&gt;0,L1459&gt;0),1,0)</f>
        <v>1</v>
      </c>
      <c r="Q1459" s="53" t="n">
        <f aca="false">IF(P1459=1,F1459/E1459*MIN(L1459/K1459,1)*MIN(MAX(M1459/L1459,0),1),0)</f>
        <v>0.47817219660226</v>
      </c>
      <c r="R1459" s="55" t="n">
        <f aca="false">IF(F1459&gt;0,N1459/(F1459/3600),0)</f>
        <v>1.16631694603197</v>
      </c>
    </row>
    <row r="1460" customFormat="false" ht="15" hidden="false" customHeight="false" outlineLevel="0" collapsed="false">
      <c r="A1460" s="0" t="s">
        <v>260</v>
      </c>
      <c r="B1460" s="52" t="n">
        <v>44495</v>
      </c>
      <c r="C1460" s="0" t="n">
        <v>81299.316</v>
      </c>
      <c r="D1460" s="0" t="n">
        <v>1967.939</v>
      </c>
      <c r="E1460" s="0" t="n">
        <v>79331.377</v>
      </c>
      <c r="F1460" s="0" t="n">
        <v>36918.539</v>
      </c>
      <c r="G1460" s="0" t="n">
        <v>33875.325</v>
      </c>
      <c r="H1460" s="0" t="n">
        <v>3043.214</v>
      </c>
      <c r="I1460" s="0" t="n">
        <v>1986.653</v>
      </c>
      <c r="J1460" s="0" t="n">
        <v>40426.185</v>
      </c>
      <c r="K1460" s="0" t="n">
        <v>38577.8575694444</v>
      </c>
      <c r="L1460" s="0" t="n">
        <v>35328</v>
      </c>
      <c r="M1460" s="0" t="n">
        <v>35263</v>
      </c>
      <c r="N1460" s="0" t="n">
        <v>18</v>
      </c>
      <c r="O1460" s="54" t="n">
        <f aca="false">YEAR(B1460)</f>
        <v>2021</v>
      </c>
      <c r="P1460" s="54" t="n">
        <f aca="false">IF(AND(E1460&gt;=14400,K1460&gt;0,L1460&gt;0),1,0)</f>
        <v>1</v>
      </c>
      <c r="Q1460" s="53" t="n">
        <f aca="false">IF(P1460=1,F1460/E1460*MIN(L1460/K1460,1)*MIN(MAX(M1460/L1460,0),1),0)</f>
        <v>0.425383524492371</v>
      </c>
      <c r="R1460" s="55" t="n">
        <f aca="false">IF(F1460&gt;0,N1460/(F1460/3600),0)</f>
        <v>1.75521571966865</v>
      </c>
    </row>
    <row r="1461" customFormat="false" ht="15" hidden="false" customHeight="false" outlineLevel="0" collapsed="false">
      <c r="A1461" s="0" t="s">
        <v>260</v>
      </c>
      <c r="B1461" s="52" t="n">
        <v>44496</v>
      </c>
      <c r="C1461" s="0" t="n">
        <v>89245.759</v>
      </c>
      <c r="D1461" s="0" t="n">
        <v>10706.053</v>
      </c>
      <c r="E1461" s="0" t="n">
        <v>78539.706</v>
      </c>
      <c r="F1461" s="0" t="n">
        <v>41685.976</v>
      </c>
      <c r="G1461" s="0" t="n">
        <v>37218.84</v>
      </c>
      <c r="H1461" s="0" t="n">
        <v>4467.136</v>
      </c>
      <c r="I1461" s="0" t="n">
        <v>3112.087</v>
      </c>
      <c r="J1461" s="0" t="n">
        <v>33741.643</v>
      </c>
      <c r="K1461" s="0" t="n">
        <v>43422.8916666667</v>
      </c>
      <c r="L1461" s="0" t="n">
        <v>37771</v>
      </c>
      <c r="M1461" s="0" t="n">
        <v>37609</v>
      </c>
      <c r="N1461" s="0" t="n">
        <v>27</v>
      </c>
      <c r="O1461" s="54" t="n">
        <f aca="false">YEAR(B1461)</f>
        <v>2021</v>
      </c>
      <c r="P1461" s="54" t="n">
        <f aca="false">IF(AND(E1461&gt;=14400,K1461&gt;0,L1461&gt;0),1,0)</f>
        <v>1</v>
      </c>
      <c r="Q1461" s="53" t="n">
        <f aca="false">IF(P1461=1,F1461/E1461*MIN(L1461/K1461,1)*MIN(MAX(M1461/L1461,0),1),0)</f>
        <v>0.45969919979074</v>
      </c>
      <c r="R1461" s="55" t="n">
        <f aca="false">IF(F1461&gt;0,N1461/(F1461/3600),0)</f>
        <v>2.33171942525707</v>
      </c>
    </row>
    <row r="1462" customFormat="false" ht="15" hidden="false" customHeight="false" outlineLevel="0" collapsed="false">
      <c r="A1462" s="0" t="s">
        <v>260</v>
      </c>
      <c r="B1462" s="52" t="n">
        <v>44497</v>
      </c>
      <c r="C1462" s="0" t="n">
        <v>73307.666</v>
      </c>
      <c r="D1462" s="0" t="n">
        <v>9758.914</v>
      </c>
      <c r="E1462" s="0" t="n">
        <v>63548.752</v>
      </c>
      <c r="F1462" s="0" t="n">
        <v>33414.395</v>
      </c>
      <c r="G1462" s="0" t="n">
        <v>31124.632</v>
      </c>
      <c r="H1462" s="0" t="n">
        <v>2289.763</v>
      </c>
      <c r="I1462" s="0" t="n">
        <v>4393.906</v>
      </c>
      <c r="J1462" s="0" t="n">
        <v>25740.451</v>
      </c>
      <c r="K1462" s="0" t="n">
        <v>35016.7433333333</v>
      </c>
      <c r="L1462" s="0" t="n">
        <v>31521</v>
      </c>
      <c r="M1462" s="0" t="n">
        <v>31340</v>
      </c>
      <c r="N1462" s="0" t="n">
        <v>36</v>
      </c>
      <c r="O1462" s="54" t="n">
        <f aca="false">YEAR(B1462)</f>
        <v>2021</v>
      </c>
      <c r="P1462" s="54" t="n">
        <f aca="false">IF(AND(E1462&gt;=14400,K1462&gt;0,L1462&gt;0),1,0)</f>
        <v>1</v>
      </c>
      <c r="Q1462" s="53" t="n">
        <f aca="false">IF(P1462=1,F1462/E1462*MIN(L1462/K1462,1)*MIN(MAX(M1462/L1462,0),1),0)</f>
        <v>0.470597716352313</v>
      </c>
      <c r="R1462" s="55" t="n">
        <f aca="false">IF(F1462&gt;0,N1462/(F1462/3600),0)</f>
        <v>3.8785679046411</v>
      </c>
    </row>
    <row r="1463" customFormat="false" ht="15" hidden="false" customHeight="false" outlineLevel="0" collapsed="false">
      <c r="A1463" s="0" t="s">
        <v>260</v>
      </c>
      <c r="B1463" s="52" t="n">
        <v>44498</v>
      </c>
      <c r="C1463" s="0" t="n">
        <v>84333.011</v>
      </c>
      <c r="D1463" s="0" t="n">
        <v>3256.811</v>
      </c>
      <c r="E1463" s="0" t="n">
        <v>81076.2</v>
      </c>
      <c r="F1463" s="0" t="n">
        <v>35725.445</v>
      </c>
      <c r="G1463" s="0" t="n">
        <v>34684.04</v>
      </c>
      <c r="H1463" s="0" t="n">
        <v>1041.405</v>
      </c>
      <c r="I1463" s="0" t="n">
        <v>2335.103</v>
      </c>
      <c r="J1463" s="0" t="n">
        <v>43015.652</v>
      </c>
      <c r="K1463" s="0" t="n">
        <v>37214.0052083333</v>
      </c>
      <c r="L1463" s="0" t="n">
        <v>36089</v>
      </c>
      <c r="M1463" s="0" t="n">
        <v>36056</v>
      </c>
      <c r="N1463" s="0" t="n">
        <v>14</v>
      </c>
      <c r="O1463" s="54" t="n">
        <f aca="false">YEAR(B1463)</f>
        <v>2021</v>
      </c>
      <c r="P1463" s="54" t="n">
        <f aca="false">IF(AND(E1463&gt;=14400,K1463&gt;0,L1463&gt;0),1,0)</f>
        <v>1</v>
      </c>
      <c r="Q1463" s="53" t="n">
        <f aca="false">IF(P1463=1,F1463/E1463*MIN(L1463/K1463,1)*MIN(MAX(M1463/L1463,0),1),0)</f>
        <v>0.426928741110215</v>
      </c>
      <c r="R1463" s="55" t="n">
        <f aca="false">IF(F1463&gt;0,N1463/(F1463/3600),0)</f>
        <v>1.41075919418219</v>
      </c>
    </row>
    <row r="1464" customFormat="false" ht="15" hidden="false" customHeight="false" outlineLevel="0" collapsed="false">
      <c r="A1464" s="0" t="s">
        <v>260</v>
      </c>
      <c r="B1464" s="52" t="n">
        <v>44499</v>
      </c>
      <c r="C1464" s="0" t="n">
        <v>81107.748</v>
      </c>
      <c r="D1464" s="0" t="n">
        <v>3924.636</v>
      </c>
      <c r="E1464" s="0" t="n">
        <v>77183.112</v>
      </c>
      <c r="F1464" s="0" t="n">
        <v>33160.787</v>
      </c>
      <c r="G1464" s="0" t="n">
        <v>30216.693</v>
      </c>
      <c r="H1464" s="0" t="n">
        <v>2944.094</v>
      </c>
      <c r="I1464" s="0" t="n">
        <v>2631.96</v>
      </c>
      <c r="J1464" s="0" t="n">
        <v>41390.365</v>
      </c>
      <c r="K1464" s="0" t="n">
        <v>34542.4864583333</v>
      </c>
      <c r="L1464" s="0" t="n">
        <v>31504</v>
      </c>
      <c r="M1464" s="0" t="n">
        <v>31487</v>
      </c>
      <c r="N1464" s="0" t="n">
        <v>10</v>
      </c>
      <c r="O1464" s="54" t="n">
        <f aca="false">YEAR(B1464)</f>
        <v>2021</v>
      </c>
      <c r="P1464" s="54" t="n">
        <f aca="false">IF(AND(E1464&gt;=14400,K1464&gt;0,L1464&gt;0),1,0)</f>
        <v>1</v>
      </c>
      <c r="Q1464" s="53" t="n">
        <f aca="false">IF(P1464=1,F1464/E1464*MIN(L1464/K1464,1)*MIN(MAX(M1464/L1464,0),1),0)</f>
        <v>0.391633858971636</v>
      </c>
      <c r="R1464" s="55" t="n">
        <f aca="false">IF(F1464&gt;0,N1464/(F1464/3600),0)</f>
        <v>1.08561959039151</v>
      </c>
    </row>
    <row r="1465" customFormat="false" ht="15" hidden="false" customHeight="false" outlineLevel="0" collapsed="false">
      <c r="A1465" s="0" t="s">
        <v>260</v>
      </c>
      <c r="B1465" s="52" t="n">
        <v>44500</v>
      </c>
      <c r="C1465" s="0" t="n">
        <v>88348.238</v>
      </c>
      <c r="D1465" s="0" t="n">
        <v>7491.134</v>
      </c>
      <c r="E1465" s="0" t="n">
        <v>80857.104</v>
      </c>
      <c r="F1465" s="0" t="n">
        <v>53762.429</v>
      </c>
      <c r="G1465" s="0" t="n">
        <v>50238.732</v>
      </c>
      <c r="H1465" s="0" t="n">
        <v>3523.697</v>
      </c>
      <c r="I1465" s="0" t="n">
        <v>2397.296</v>
      </c>
      <c r="J1465" s="0" t="n">
        <v>24697.379</v>
      </c>
      <c r="K1465" s="0" t="n">
        <v>56444.8753472222</v>
      </c>
      <c r="L1465" s="0" t="n">
        <v>50321</v>
      </c>
      <c r="M1465" s="0" t="n">
        <v>50267</v>
      </c>
      <c r="N1465" s="0" t="n">
        <v>14</v>
      </c>
      <c r="O1465" s="54" t="n">
        <f aca="false">YEAR(B1465)</f>
        <v>2021</v>
      </c>
      <c r="P1465" s="54" t="n">
        <f aca="false">IF(AND(E1465&gt;=14400,K1465&gt;0,L1465&gt;0),1,0)</f>
        <v>1</v>
      </c>
      <c r="Q1465" s="53" t="n">
        <f aca="false">IF(P1465=1,F1465/E1465*MIN(L1465/K1465,1)*MIN(MAX(M1465/L1465,0),1),0)</f>
        <v>0.592132840087555</v>
      </c>
      <c r="R1465" s="55" t="n">
        <f aca="false">IF(F1465&gt;0,N1465/(F1465/3600),0)</f>
        <v>0.937457643515326</v>
      </c>
    </row>
    <row r="1466" customFormat="false" ht="15" hidden="false" customHeight="false" outlineLevel="0" collapsed="false">
      <c r="A1466" s="0" t="s">
        <v>260</v>
      </c>
      <c r="B1466" s="52" t="n">
        <v>44501</v>
      </c>
      <c r="C1466" s="0" t="n">
        <v>86596.197</v>
      </c>
      <c r="D1466" s="0" t="n">
        <v>7211.588</v>
      </c>
      <c r="E1466" s="0" t="n">
        <v>79384.609</v>
      </c>
      <c r="F1466" s="0" t="n">
        <v>57655.742</v>
      </c>
      <c r="G1466" s="0" t="n">
        <v>53485.044</v>
      </c>
      <c r="H1466" s="0" t="n">
        <v>4170.698</v>
      </c>
      <c r="I1466" s="0" t="n">
        <v>4716.88</v>
      </c>
      <c r="J1466" s="0" t="n">
        <v>17011.987</v>
      </c>
      <c r="K1466" s="0" t="n">
        <v>60495.766625</v>
      </c>
      <c r="L1466" s="0" t="n">
        <v>56701</v>
      </c>
      <c r="M1466" s="0" t="n">
        <v>56659</v>
      </c>
      <c r="N1466" s="0" t="n">
        <v>24</v>
      </c>
      <c r="O1466" s="54" t="n">
        <f aca="false">YEAR(B1466)</f>
        <v>2021</v>
      </c>
      <c r="P1466" s="54" t="n">
        <f aca="false">IF(AND(E1466&gt;=14400,K1466&gt;0,L1466&gt;0),1,0)</f>
        <v>1</v>
      </c>
      <c r="Q1466" s="53" t="n">
        <f aca="false">IF(P1466=1,F1466/E1466*MIN(L1466/K1466,1)*MIN(MAX(M1466/L1466,0),1),0)</f>
        <v>0.680221220336389</v>
      </c>
      <c r="R1466" s="55" t="n">
        <f aca="false">IF(F1466&gt;0,N1466/(F1466/3600),0)</f>
        <v>1.49854978884844</v>
      </c>
    </row>
    <row r="1467" customFormat="false" ht="15" hidden="false" customHeight="false" outlineLevel="0" collapsed="false">
      <c r="A1467" s="0" t="s">
        <v>260</v>
      </c>
      <c r="B1467" s="52" t="n">
        <v>44502</v>
      </c>
      <c r="C1467" s="0" t="n">
        <v>72420.193</v>
      </c>
      <c r="D1467" s="0" t="n">
        <v>2237.493</v>
      </c>
      <c r="E1467" s="0" t="n">
        <v>70182.7</v>
      </c>
      <c r="F1467" s="0" t="n">
        <v>64441.225</v>
      </c>
      <c r="G1467" s="0" t="n">
        <v>60997.339</v>
      </c>
      <c r="H1467" s="0" t="n">
        <v>3443.886</v>
      </c>
      <c r="I1467" s="0" t="n">
        <v>3282.708</v>
      </c>
      <c r="J1467" s="0" t="n">
        <v>2458.767</v>
      </c>
      <c r="K1467" s="0" t="n">
        <v>67126.2760416667</v>
      </c>
      <c r="L1467" s="0" t="n">
        <v>62476</v>
      </c>
      <c r="M1467" s="0" t="n">
        <v>62398</v>
      </c>
      <c r="N1467" s="0" t="n">
        <v>32</v>
      </c>
      <c r="O1467" s="54" t="n">
        <f aca="false">YEAR(B1467)</f>
        <v>2021</v>
      </c>
      <c r="P1467" s="54" t="n">
        <f aca="false">IF(AND(E1467&gt;=14400,K1467&gt;0,L1467&gt;0),1,0)</f>
        <v>1</v>
      </c>
      <c r="Q1467" s="53" t="n">
        <f aca="false">IF(P1467=1,F1467/E1467*MIN(L1467/K1467,1)*MIN(MAX(M1467/L1467,0),1),0)</f>
        <v>0.85351632239854</v>
      </c>
      <c r="R1467" s="55" t="n">
        <f aca="false">IF(F1467&gt;0,N1467/(F1467/3600),0)</f>
        <v>1.78767551361725</v>
      </c>
    </row>
    <row r="1468" customFormat="false" ht="15" hidden="false" customHeight="false" outlineLevel="0" collapsed="false">
      <c r="A1468" s="0" t="s">
        <v>260</v>
      </c>
      <c r="B1468" s="52" t="n">
        <v>44503</v>
      </c>
      <c r="C1468" s="0" t="n">
        <v>38424.601</v>
      </c>
      <c r="D1468" s="0" t="n">
        <v>12215.093</v>
      </c>
      <c r="E1468" s="0" t="n">
        <v>26209.508</v>
      </c>
      <c r="F1468" s="0" t="n">
        <v>7707.955</v>
      </c>
      <c r="G1468" s="0" t="n">
        <v>6616.524</v>
      </c>
      <c r="H1468" s="0" t="n">
        <v>1091.431</v>
      </c>
      <c r="I1468" s="0" t="n">
        <v>1730.625</v>
      </c>
      <c r="J1468" s="0" t="n">
        <v>16770.928</v>
      </c>
      <c r="K1468" s="0" t="n">
        <v>8029.11979166667</v>
      </c>
      <c r="L1468" s="0" t="n">
        <v>6878</v>
      </c>
      <c r="M1468" s="0" t="n">
        <v>6849</v>
      </c>
      <c r="N1468" s="0" t="n">
        <v>6</v>
      </c>
      <c r="O1468" s="54" t="n">
        <f aca="false">YEAR(B1468)</f>
        <v>2021</v>
      </c>
      <c r="P1468" s="54" t="n">
        <f aca="false">IF(AND(E1468&gt;=14400,K1468&gt;0,L1468&gt;0),1,0)</f>
        <v>1</v>
      </c>
      <c r="Q1468" s="53" t="n">
        <f aca="false">IF(P1468=1,F1468/E1468*MIN(L1468/K1468,1)*MIN(MAX(M1468/L1468,0),1),0)</f>
        <v>0.250864686204716</v>
      </c>
      <c r="R1468" s="55" t="n">
        <f aca="false">IF(F1468&gt;0,N1468/(F1468/3600),0)</f>
        <v>2.80229970206105</v>
      </c>
    </row>
    <row r="1469" customFormat="false" ht="15" hidden="false" customHeight="false" outlineLevel="0" collapsed="false">
      <c r="A1469" s="0" t="s">
        <v>260</v>
      </c>
      <c r="B1469" s="52" t="n">
        <v>44504</v>
      </c>
      <c r="C1469" s="0" t="n">
        <v>40298.248</v>
      </c>
      <c r="D1469" s="0" t="n">
        <v>7538.093</v>
      </c>
      <c r="E1469" s="0" t="n">
        <v>32760.155</v>
      </c>
      <c r="F1469" s="0" t="n">
        <v>246.997</v>
      </c>
      <c r="G1469" s="0" t="n">
        <v>0</v>
      </c>
      <c r="H1469" s="0" t="n">
        <v>246.997</v>
      </c>
      <c r="I1469" s="0" t="n">
        <v>0</v>
      </c>
      <c r="J1469" s="0" t="n">
        <v>32513.158</v>
      </c>
      <c r="K1469" s="0" t="n">
        <v>257.288541666667</v>
      </c>
      <c r="L1469" s="0" t="n">
        <v>0</v>
      </c>
      <c r="M1469" s="0" t="n">
        <v>0</v>
      </c>
      <c r="N1469" s="0" t="n">
        <v>0</v>
      </c>
      <c r="O1469" s="54" t="n">
        <f aca="false">YEAR(B1469)</f>
        <v>2021</v>
      </c>
      <c r="P1469" s="54" t="n">
        <f aca="false">IF(AND(E1469&gt;=14400,K1469&gt;0,L1469&gt;0),1,0)</f>
        <v>0</v>
      </c>
      <c r="Q1469" s="53" t="n">
        <f aca="false">IF(P1469=1,F1469/E1469*MIN(L1469/K1469,1)*MIN(MAX(M1469/L1469,0),1),0)</f>
        <v>0</v>
      </c>
      <c r="R1469" s="55" t="n">
        <f aca="false">IF(F1469&gt;0,N1469/(F1469/3600),0)</f>
        <v>0</v>
      </c>
    </row>
    <row r="1470" customFormat="false" ht="15" hidden="false" customHeight="false" outlineLevel="0" collapsed="false">
      <c r="A1470" s="0" t="s">
        <v>260</v>
      </c>
      <c r="B1470" s="52" t="n">
        <v>44505</v>
      </c>
      <c r="C1470" s="0" t="n">
        <v>84305.378</v>
      </c>
      <c r="D1470" s="0" t="n">
        <v>2392.217</v>
      </c>
      <c r="E1470" s="0" t="n">
        <v>81913.161</v>
      </c>
      <c r="F1470" s="0" t="n">
        <v>34465.012</v>
      </c>
      <c r="G1470" s="0" t="n">
        <v>26373.128</v>
      </c>
      <c r="H1470" s="0" t="n">
        <v>8091.884</v>
      </c>
      <c r="I1470" s="0" t="n">
        <v>3004.596</v>
      </c>
      <c r="J1470" s="0" t="n">
        <v>44443.553</v>
      </c>
      <c r="K1470" s="0" t="n">
        <v>43055.1204166667</v>
      </c>
      <c r="L1470" s="0" t="n">
        <v>32976</v>
      </c>
      <c r="M1470" s="0" t="n">
        <v>32764</v>
      </c>
      <c r="N1470" s="0" t="n">
        <v>15</v>
      </c>
      <c r="O1470" s="54" t="n">
        <f aca="false">YEAR(B1470)</f>
        <v>2021</v>
      </c>
      <c r="P1470" s="54" t="n">
        <f aca="false">IF(AND(E1470&gt;=14400,K1470&gt;0,L1470&gt;0),1,0)</f>
        <v>1</v>
      </c>
      <c r="Q1470" s="53" t="n">
        <f aca="false">IF(P1470=1,F1470/E1470*MIN(L1470/K1470,1)*MIN(MAX(M1470/L1470,0),1),0)</f>
        <v>0.320181959068437</v>
      </c>
      <c r="R1470" s="55" t="n">
        <f aca="false">IF(F1470&gt;0,N1470/(F1470/3600),0)</f>
        <v>1.5668063600268</v>
      </c>
    </row>
    <row r="1471" customFormat="false" ht="15" hidden="false" customHeight="false" outlineLevel="0" collapsed="false">
      <c r="A1471" s="0" t="s">
        <v>260</v>
      </c>
      <c r="B1471" s="52" t="n">
        <v>44506</v>
      </c>
      <c r="C1471" s="0" t="n">
        <v>83310.821</v>
      </c>
      <c r="D1471" s="0" t="n">
        <v>11140.738</v>
      </c>
      <c r="E1471" s="0" t="n">
        <v>72170.083</v>
      </c>
      <c r="F1471" s="0" t="n">
        <v>35899.133</v>
      </c>
      <c r="G1471" s="0" t="n">
        <v>31772.11</v>
      </c>
      <c r="H1471" s="0" t="n">
        <v>4127.023</v>
      </c>
      <c r="I1471" s="0" t="n">
        <v>3274.045</v>
      </c>
      <c r="J1471" s="0" t="n">
        <v>32996.905</v>
      </c>
      <c r="K1471" s="0" t="n">
        <v>44873.91625</v>
      </c>
      <c r="L1471" s="0" t="n">
        <v>39636</v>
      </c>
      <c r="M1471" s="0" t="n">
        <v>39402</v>
      </c>
      <c r="N1471" s="0" t="n">
        <v>25</v>
      </c>
      <c r="O1471" s="54" t="n">
        <f aca="false">YEAR(B1471)</f>
        <v>2021</v>
      </c>
      <c r="P1471" s="54" t="n">
        <f aca="false">IF(AND(E1471&gt;=14400,K1471&gt;0,L1471&gt;0),1,0)</f>
        <v>1</v>
      </c>
      <c r="Q1471" s="53" t="n">
        <f aca="false">IF(P1471=1,F1471/E1471*MIN(L1471/K1471,1)*MIN(MAX(M1471/L1471,0),1),0)</f>
        <v>0.436768238163173</v>
      </c>
      <c r="R1471" s="55" t="n">
        <f aca="false">IF(F1471&gt;0,N1471/(F1471/3600),0)</f>
        <v>2.507024333986</v>
      </c>
    </row>
    <row r="1472" customFormat="false" ht="15" hidden="false" customHeight="false" outlineLevel="0" collapsed="false">
      <c r="A1472" s="0" t="s">
        <v>260</v>
      </c>
      <c r="B1472" s="52" t="n">
        <v>44507</v>
      </c>
      <c r="C1472" s="0" t="n">
        <v>86036.747</v>
      </c>
      <c r="D1472" s="0" t="n">
        <v>8044.381</v>
      </c>
      <c r="E1472" s="0" t="n">
        <v>77992.366</v>
      </c>
      <c r="F1472" s="0" t="n">
        <v>36545.357</v>
      </c>
      <c r="G1472" s="0" t="n">
        <v>27672.362</v>
      </c>
      <c r="H1472" s="0" t="n">
        <v>8872.995</v>
      </c>
      <c r="I1472" s="0" t="n">
        <v>6000.744</v>
      </c>
      <c r="J1472" s="0" t="n">
        <v>35446.265</v>
      </c>
      <c r="K1472" s="0" t="n">
        <v>44652.4279166667</v>
      </c>
      <c r="L1472" s="0" t="n">
        <v>33025</v>
      </c>
      <c r="M1472" s="0" t="n">
        <v>32494</v>
      </c>
      <c r="N1472" s="0" t="n">
        <v>27</v>
      </c>
      <c r="O1472" s="54" t="n">
        <f aca="false">YEAR(B1472)</f>
        <v>2021</v>
      </c>
      <c r="P1472" s="54" t="n">
        <f aca="false">IF(AND(E1472&gt;=14400,K1472&gt;0,L1472&gt;0),1,0)</f>
        <v>1</v>
      </c>
      <c r="Q1472" s="53" t="n">
        <f aca="false">IF(P1472=1,F1472/E1472*MIN(L1472/K1472,1)*MIN(MAX(M1472/L1472,0),1),0)</f>
        <v>0.340987305722504</v>
      </c>
      <c r="R1472" s="55" t="n">
        <f aca="false">IF(F1472&gt;0,N1472/(F1472/3600),0)</f>
        <v>2.65970859170975</v>
      </c>
    </row>
    <row r="1473" customFormat="false" ht="15" hidden="false" customHeight="false" outlineLevel="0" collapsed="false">
      <c r="A1473" s="0" t="s">
        <v>260</v>
      </c>
      <c r="B1473" s="52" t="n">
        <v>44508</v>
      </c>
      <c r="C1473" s="0" t="n">
        <v>64519.143</v>
      </c>
      <c r="D1473" s="0" t="n">
        <v>8136.131</v>
      </c>
      <c r="E1473" s="0" t="n">
        <v>56383.012</v>
      </c>
      <c r="F1473" s="0" t="n">
        <v>31379.411</v>
      </c>
      <c r="G1473" s="0" t="n">
        <v>28175.206</v>
      </c>
      <c r="H1473" s="0" t="n">
        <v>3204.205</v>
      </c>
      <c r="I1473" s="0" t="n">
        <v>2040.657</v>
      </c>
      <c r="J1473" s="0" t="n">
        <v>22962.944</v>
      </c>
      <c r="K1473" s="0" t="n">
        <v>39224.26375</v>
      </c>
      <c r="L1473" s="0" t="n">
        <v>35194</v>
      </c>
      <c r="M1473" s="0" t="n">
        <v>35173</v>
      </c>
      <c r="N1473" s="0" t="n">
        <v>14</v>
      </c>
      <c r="O1473" s="54" t="n">
        <f aca="false">YEAR(B1473)</f>
        <v>2021</v>
      </c>
      <c r="P1473" s="54" t="n">
        <f aca="false">IF(AND(E1473&gt;=14400,K1473&gt;0,L1473&gt;0),1,0)</f>
        <v>1</v>
      </c>
      <c r="Q1473" s="53" t="n">
        <f aca="false">IF(P1473=1,F1473/E1473*MIN(L1473/K1473,1)*MIN(MAX(M1473/L1473,0),1),0)</f>
        <v>0.499058120555887</v>
      </c>
      <c r="R1473" s="55" t="n">
        <f aca="false">IF(F1473&gt;0,N1473/(F1473/3600),0)</f>
        <v>1.60614869412304</v>
      </c>
    </row>
    <row r="1474" customFormat="false" ht="15" hidden="false" customHeight="false" outlineLevel="0" collapsed="false">
      <c r="A1474" s="0" t="s">
        <v>260</v>
      </c>
      <c r="B1474" s="52" t="n">
        <v>44509</v>
      </c>
      <c r="C1474" s="0" t="n">
        <v>78095.406</v>
      </c>
      <c r="D1474" s="0" t="n">
        <v>7686.694</v>
      </c>
      <c r="E1474" s="0" t="n">
        <v>70408.712</v>
      </c>
      <c r="F1474" s="0" t="n">
        <v>32170.868</v>
      </c>
      <c r="G1474" s="0" t="n">
        <v>28241.718</v>
      </c>
      <c r="H1474" s="0" t="n">
        <v>3929.15</v>
      </c>
      <c r="I1474" s="0" t="n">
        <v>7244.858</v>
      </c>
      <c r="J1474" s="0" t="n">
        <v>30992.986</v>
      </c>
      <c r="K1474" s="0" t="n">
        <v>39807.4879166667</v>
      </c>
      <c r="L1474" s="0" t="n">
        <v>33720</v>
      </c>
      <c r="M1474" s="0" t="n">
        <v>33621</v>
      </c>
      <c r="N1474" s="0" t="n">
        <v>22</v>
      </c>
      <c r="O1474" s="54" t="n">
        <f aca="false">YEAR(B1474)</f>
        <v>2021</v>
      </c>
      <c r="P1474" s="54" t="n">
        <f aca="false">IF(AND(E1474&gt;=14400,K1474&gt;0,L1474&gt;0),1,0)</f>
        <v>1</v>
      </c>
      <c r="Q1474" s="53" t="n">
        <f aca="false">IF(P1474=1,F1474/E1474*MIN(L1474/K1474,1)*MIN(MAX(M1474/L1474,0),1),0)</f>
        <v>0.385906624420725</v>
      </c>
      <c r="R1474" s="55" t="n">
        <f aca="false">IF(F1474&gt;0,N1474/(F1474/3600),0)</f>
        <v>2.46185461952721</v>
      </c>
    </row>
    <row r="1475" customFormat="false" ht="15" hidden="false" customHeight="false" outlineLevel="0" collapsed="false">
      <c r="A1475" s="0" t="s">
        <v>260</v>
      </c>
      <c r="B1475" s="52" t="n">
        <v>44510</v>
      </c>
      <c r="C1475" s="0" t="n">
        <v>71863.037</v>
      </c>
      <c r="D1475" s="0" t="n">
        <v>1932.628</v>
      </c>
      <c r="E1475" s="0" t="n">
        <v>69930.409</v>
      </c>
      <c r="F1475" s="0" t="n">
        <v>35045.501</v>
      </c>
      <c r="G1475" s="0" t="n">
        <v>30206.884</v>
      </c>
      <c r="H1475" s="0" t="n">
        <v>4838.617</v>
      </c>
      <c r="I1475" s="0" t="n">
        <v>3261.117</v>
      </c>
      <c r="J1475" s="0" t="n">
        <v>31623.791</v>
      </c>
      <c r="K1475" s="0" t="n">
        <v>43806.87625</v>
      </c>
      <c r="L1475" s="0" t="n">
        <v>37691</v>
      </c>
      <c r="M1475" s="0" t="n">
        <v>37360</v>
      </c>
      <c r="N1475" s="0" t="n">
        <v>16</v>
      </c>
      <c r="O1475" s="54" t="n">
        <f aca="false">YEAR(B1475)</f>
        <v>2021</v>
      </c>
      <c r="P1475" s="54" t="n">
        <f aca="false">IF(AND(E1475&gt;=14400,K1475&gt;0,L1475&gt;0),1,0)</f>
        <v>1</v>
      </c>
      <c r="Q1475" s="53" t="n">
        <f aca="false">IF(P1475=1,F1475/E1475*MIN(L1475/K1475,1)*MIN(MAX(M1475/L1475,0),1),0)</f>
        <v>0.427396327683426</v>
      </c>
      <c r="R1475" s="55" t="n">
        <f aca="false">IF(F1475&gt;0,N1475/(F1475/3600),0)</f>
        <v>1.64357758789067</v>
      </c>
    </row>
    <row r="1476" customFormat="false" ht="15" hidden="false" customHeight="false" outlineLevel="0" collapsed="false">
      <c r="A1476" s="0" t="s">
        <v>260</v>
      </c>
      <c r="B1476" s="52" t="n">
        <v>44511</v>
      </c>
      <c r="C1476" s="0" t="n">
        <v>81281.536</v>
      </c>
      <c r="D1476" s="0" t="n">
        <v>1937.727</v>
      </c>
      <c r="E1476" s="0" t="n">
        <v>79343.809</v>
      </c>
      <c r="F1476" s="0" t="n">
        <v>33204.99</v>
      </c>
      <c r="G1476" s="0" t="n">
        <v>31413.317</v>
      </c>
      <c r="H1476" s="0" t="n">
        <v>1791.673</v>
      </c>
      <c r="I1476" s="0" t="n">
        <v>3129.698</v>
      </c>
      <c r="J1476" s="0" t="n">
        <v>43009.121</v>
      </c>
      <c r="K1476" s="0" t="n">
        <v>41506.2375</v>
      </c>
      <c r="L1476" s="0" t="n">
        <v>39232</v>
      </c>
      <c r="M1476" s="0" t="n">
        <v>39129</v>
      </c>
      <c r="N1476" s="0" t="n">
        <v>16</v>
      </c>
      <c r="O1476" s="54" t="n">
        <f aca="false">YEAR(B1476)</f>
        <v>2021</v>
      </c>
      <c r="P1476" s="54" t="n">
        <f aca="false">IF(AND(E1476&gt;=14400,K1476&gt;0,L1476&gt;0),1,0)</f>
        <v>1</v>
      </c>
      <c r="Q1476" s="53" t="n">
        <f aca="false">IF(P1476=1,F1476/E1476*MIN(L1476/K1476,1)*MIN(MAX(M1476/L1476,0),1),0)</f>
        <v>0.394526055586769</v>
      </c>
      <c r="R1476" s="55" t="n">
        <f aca="false">IF(F1476&gt;0,N1476/(F1476/3600),0)</f>
        <v>1.73467903468726</v>
      </c>
    </row>
    <row r="1477" customFormat="false" ht="15" hidden="false" customHeight="false" outlineLevel="0" collapsed="false">
      <c r="A1477" s="0" t="s">
        <v>260</v>
      </c>
      <c r="B1477" s="52" t="n">
        <v>44512</v>
      </c>
      <c r="C1477" s="0" t="n">
        <v>63370.003</v>
      </c>
      <c r="D1477" s="0" t="n">
        <v>2241.153</v>
      </c>
      <c r="E1477" s="0" t="n">
        <v>61128.85</v>
      </c>
      <c r="F1477" s="0" t="n">
        <v>26284.229</v>
      </c>
      <c r="G1477" s="0" t="n">
        <v>22953.556</v>
      </c>
      <c r="H1477" s="0" t="n">
        <v>3330.673</v>
      </c>
      <c r="I1477" s="0" t="n">
        <v>2164.153</v>
      </c>
      <c r="J1477" s="0" t="n">
        <v>32680.468</v>
      </c>
      <c r="K1477" s="0" t="n">
        <v>32100.81375</v>
      </c>
      <c r="L1477" s="0" t="n">
        <v>27965</v>
      </c>
      <c r="M1477" s="0" t="n">
        <v>27727</v>
      </c>
      <c r="N1477" s="0" t="n">
        <v>14</v>
      </c>
      <c r="O1477" s="54" t="n">
        <f aca="false">YEAR(B1477)</f>
        <v>2021</v>
      </c>
      <c r="P1477" s="54" t="n">
        <f aca="false">IF(AND(E1477&gt;=14400,K1477&gt;0,L1477&gt;0),1,0)</f>
        <v>1</v>
      </c>
      <c r="Q1477" s="53" t="n">
        <f aca="false">IF(P1477=1,F1477/E1477*MIN(L1477/K1477,1)*MIN(MAX(M1477/L1477,0),1),0)</f>
        <v>0.371394832934367</v>
      </c>
      <c r="R1477" s="55" t="n">
        <f aca="false">IF(F1477&gt;0,N1477/(F1477/3600),0)</f>
        <v>1.91749965349944</v>
      </c>
    </row>
    <row r="1478" customFormat="false" ht="15" hidden="false" customHeight="false" outlineLevel="0" collapsed="false">
      <c r="A1478" s="0" t="s">
        <v>260</v>
      </c>
      <c r="B1478" s="52" t="n">
        <v>44513</v>
      </c>
      <c r="C1478" s="0" t="n">
        <v>87743.188</v>
      </c>
      <c r="D1478" s="0" t="n">
        <v>8542.167</v>
      </c>
      <c r="E1478" s="0" t="n">
        <v>79201.021</v>
      </c>
      <c r="F1478" s="0" t="n">
        <v>46926.202</v>
      </c>
      <c r="G1478" s="0" t="n">
        <v>40956.071</v>
      </c>
      <c r="H1478" s="0" t="n">
        <v>5970.131</v>
      </c>
      <c r="I1478" s="0" t="n">
        <v>3534.788</v>
      </c>
      <c r="J1478" s="0" t="n">
        <v>28740.031</v>
      </c>
      <c r="K1478" s="0" t="n">
        <v>57973.3015277778</v>
      </c>
      <c r="L1478" s="0" t="n">
        <v>50594</v>
      </c>
      <c r="M1478" s="0" t="n">
        <v>50080</v>
      </c>
      <c r="N1478" s="0" t="n">
        <v>25</v>
      </c>
      <c r="O1478" s="54" t="n">
        <f aca="false">YEAR(B1478)</f>
        <v>2021</v>
      </c>
      <c r="P1478" s="54" t="n">
        <f aca="false">IF(AND(E1478&gt;=14400,K1478&gt;0,L1478&gt;0),1,0)</f>
        <v>1</v>
      </c>
      <c r="Q1478" s="53" t="n">
        <f aca="false">IF(P1478=1,F1478/E1478*MIN(L1478/K1478,1)*MIN(MAX(M1478/L1478,0),1),0)</f>
        <v>0.51182431276858</v>
      </c>
      <c r="R1478" s="55" t="n">
        <f aca="false">IF(F1478&gt;0,N1478/(F1478/3600),0)</f>
        <v>1.91790505440862</v>
      </c>
    </row>
    <row r="1479" customFormat="false" ht="15" hidden="false" customHeight="false" outlineLevel="0" collapsed="false">
      <c r="A1479" s="0" t="s">
        <v>260</v>
      </c>
      <c r="B1479" s="52" t="n">
        <v>44514</v>
      </c>
      <c r="C1479" s="0" t="n">
        <v>51494.804</v>
      </c>
      <c r="D1479" s="0" t="n">
        <v>6935.062</v>
      </c>
      <c r="E1479" s="0" t="n">
        <v>44559.742</v>
      </c>
      <c r="F1479" s="0" t="n">
        <v>32829.228</v>
      </c>
      <c r="G1479" s="0" t="n">
        <v>29981.4</v>
      </c>
      <c r="H1479" s="0" t="n">
        <v>2847.828</v>
      </c>
      <c r="I1479" s="0" t="n">
        <v>1827.504</v>
      </c>
      <c r="J1479" s="0" t="n">
        <v>9903.01</v>
      </c>
      <c r="K1479" s="0" t="n">
        <v>41036.535</v>
      </c>
      <c r="L1479" s="0" t="n">
        <v>37401</v>
      </c>
      <c r="M1479" s="0" t="n">
        <v>37172</v>
      </c>
      <c r="N1479" s="0" t="n">
        <v>18</v>
      </c>
      <c r="O1479" s="54" t="n">
        <f aca="false">YEAR(B1479)</f>
        <v>2021</v>
      </c>
      <c r="P1479" s="54" t="n">
        <f aca="false">IF(AND(E1479&gt;=14400,K1479&gt;0,L1479&gt;0),1,0)</f>
        <v>1</v>
      </c>
      <c r="Q1479" s="53" t="n">
        <f aca="false">IF(P1479=1,F1479/E1479*MIN(L1479/K1479,1)*MIN(MAX(M1479/L1479,0),1),0)</f>
        <v>0.667364725765244</v>
      </c>
      <c r="R1479" s="55" t="n">
        <f aca="false">IF(F1479&gt;0,N1479/(F1479/3600),0)</f>
        <v>1.97385086240834</v>
      </c>
    </row>
    <row r="1480" customFormat="false" ht="15" hidden="false" customHeight="false" outlineLevel="0" collapsed="false">
      <c r="A1480" s="0" t="s">
        <v>260</v>
      </c>
      <c r="B1480" s="52" t="n">
        <v>44515</v>
      </c>
      <c r="C1480" s="0" t="n">
        <v>91447.006</v>
      </c>
      <c r="D1480" s="0" t="n">
        <v>5070.921</v>
      </c>
      <c r="E1480" s="0" t="n">
        <v>86376.085</v>
      </c>
      <c r="F1480" s="0" t="n">
        <v>39009.311</v>
      </c>
      <c r="G1480" s="0" t="n">
        <v>30969.252</v>
      </c>
      <c r="H1480" s="0" t="n">
        <v>8040.059</v>
      </c>
      <c r="I1480" s="0" t="n">
        <v>4581.86</v>
      </c>
      <c r="J1480" s="0" t="n">
        <v>42784.914</v>
      </c>
      <c r="K1480" s="0" t="n">
        <v>48761.63875</v>
      </c>
      <c r="L1480" s="0" t="n">
        <v>37518</v>
      </c>
      <c r="M1480" s="0" t="n">
        <v>37170</v>
      </c>
      <c r="N1480" s="0" t="n">
        <v>22</v>
      </c>
      <c r="O1480" s="54" t="n">
        <f aca="false">YEAR(B1480)</f>
        <v>2021</v>
      </c>
      <c r="P1480" s="54" t="n">
        <f aca="false">IF(AND(E1480&gt;=14400,K1480&gt;0,L1480&gt;0),1,0)</f>
        <v>1</v>
      </c>
      <c r="Q1480" s="53" t="n">
        <f aca="false">IF(P1480=1,F1480/E1480*MIN(L1480/K1480,1)*MIN(MAX(M1480/L1480,0),1),0)</f>
        <v>0.344261956304225</v>
      </c>
      <c r="R1480" s="55" t="n">
        <f aca="false">IF(F1480&gt;0,N1480/(F1480/3600),0)</f>
        <v>2.03028451335631</v>
      </c>
    </row>
    <row r="1481" customFormat="false" ht="15" hidden="false" customHeight="false" outlineLevel="0" collapsed="false">
      <c r="A1481" s="0" t="s">
        <v>260</v>
      </c>
      <c r="B1481" s="52" t="n">
        <v>44516</v>
      </c>
      <c r="C1481" s="0" t="n">
        <v>84173.568</v>
      </c>
      <c r="D1481" s="0" t="n">
        <v>2342.069</v>
      </c>
      <c r="E1481" s="0" t="n">
        <v>81831.499</v>
      </c>
      <c r="F1481" s="0" t="n">
        <v>23094.767</v>
      </c>
      <c r="G1481" s="0" t="n">
        <v>19184.437</v>
      </c>
      <c r="H1481" s="0" t="n">
        <v>3910.33</v>
      </c>
      <c r="I1481" s="0" t="n">
        <v>1300.018</v>
      </c>
      <c r="J1481" s="0" t="n">
        <v>57436.714</v>
      </c>
      <c r="K1481" s="0" t="n">
        <v>25981.6633333333</v>
      </c>
      <c r="L1481" s="0" t="n">
        <v>21412</v>
      </c>
      <c r="M1481" s="0" t="n">
        <v>21340</v>
      </c>
      <c r="N1481" s="0" t="n">
        <v>8</v>
      </c>
      <c r="O1481" s="54" t="n">
        <f aca="false">YEAR(B1481)</f>
        <v>2021</v>
      </c>
      <c r="P1481" s="54" t="n">
        <f aca="false">IF(AND(E1481&gt;=14400,K1481&gt;0,L1481&gt;0),1,0)</f>
        <v>1</v>
      </c>
      <c r="Q1481" s="53" t="n">
        <f aca="false">IF(P1481=1,F1481/E1481*MIN(L1481/K1481,1)*MIN(MAX(M1481/L1481,0),1),0)</f>
        <v>0.231803795380652</v>
      </c>
      <c r="R1481" s="55" t="n">
        <f aca="false">IF(F1481&gt;0,N1481/(F1481/3600),0)</f>
        <v>1.24703574623637</v>
      </c>
    </row>
    <row r="1482" customFormat="false" ht="15" hidden="false" customHeight="false" outlineLevel="0" collapsed="false">
      <c r="A1482" s="0" t="s">
        <v>260</v>
      </c>
      <c r="B1482" s="52" t="n">
        <v>44517</v>
      </c>
      <c r="C1482" s="0" t="n">
        <v>72322.417</v>
      </c>
      <c r="D1482" s="0" t="n">
        <v>6769.85</v>
      </c>
      <c r="E1482" s="0" t="n">
        <v>65552.567</v>
      </c>
      <c r="F1482" s="0" t="n">
        <v>40585.865</v>
      </c>
      <c r="G1482" s="0" t="n">
        <v>37285.154</v>
      </c>
      <c r="H1482" s="0" t="n">
        <v>3300.711</v>
      </c>
      <c r="I1482" s="0" t="n">
        <v>2638.211</v>
      </c>
      <c r="J1482" s="0" t="n">
        <v>22328.491</v>
      </c>
      <c r="K1482" s="0" t="n">
        <v>45095.4055555556</v>
      </c>
      <c r="L1482" s="0" t="n">
        <v>40011</v>
      </c>
      <c r="M1482" s="0" t="n">
        <v>39864</v>
      </c>
      <c r="N1482" s="0" t="n">
        <v>20</v>
      </c>
      <c r="O1482" s="54" t="n">
        <f aca="false">YEAR(B1482)</f>
        <v>2021</v>
      </c>
      <c r="P1482" s="54" t="n">
        <f aca="false">IF(AND(E1482&gt;=14400,K1482&gt;0,L1482&gt;0),1,0)</f>
        <v>1</v>
      </c>
      <c r="Q1482" s="53" t="n">
        <f aca="false">IF(P1482=1,F1482/E1482*MIN(L1482/K1482,1)*MIN(MAX(M1482/L1482,0),1),0)</f>
        <v>0.547310374588382</v>
      </c>
      <c r="R1482" s="55" t="n">
        <f aca="false">IF(F1482&gt;0,N1482/(F1482/3600),0)</f>
        <v>1.7740166434792</v>
      </c>
    </row>
    <row r="1483" customFormat="false" ht="15" hidden="false" customHeight="false" outlineLevel="0" collapsed="false">
      <c r="A1483" s="0" t="s">
        <v>260</v>
      </c>
      <c r="B1483" s="52" t="n">
        <v>44518</v>
      </c>
      <c r="C1483" s="0" t="n">
        <v>81986.381</v>
      </c>
      <c r="D1483" s="0" t="n">
        <v>377.198</v>
      </c>
      <c r="E1483" s="0" t="n">
        <v>81609.183</v>
      </c>
      <c r="F1483" s="0" t="n">
        <v>48543.662</v>
      </c>
      <c r="G1483" s="0" t="n">
        <v>43489.348</v>
      </c>
      <c r="H1483" s="0" t="n">
        <v>5054.314</v>
      </c>
      <c r="I1483" s="0" t="n">
        <v>18695.236</v>
      </c>
      <c r="J1483" s="0" t="n">
        <v>14370.285</v>
      </c>
      <c r="K1483" s="0" t="n">
        <v>53937.4022222222</v>
      </c>
      <c r="L1483" s="0" t="n">
        <v>47286</v>
      </c>
      <c r="M1483" s="0" t="n">
        <v>47214</v>
      </c>
      <c r="N1483" s="0" t="n">
        <v>13</v>
      </c>
      <c r="O1483" s="54" t="n">
        <f aca="false">YEAR(B1483)</f>
        <v>2021</v>
      </c>
      <c r="P1483" s="54" t="n">
        <f aca="false">IF(AND(E1483&gt;=14400,K1483&gt;0,L1483&gt;0),1,0)</f>
        <v>1</v>
      </c>
      <c r="Q1483" s="53" t="n">
        <f aca="false">IF(P1483=1,F1483/E1483*MIN(L1483/K1483,1)*MIN(MAX(M1483/L1483,0),1),0)</f>
        <v>0.520684050960295</v>
      </c>
      <c r="R1483" s="55" t="n">
        <f aca="false">IF(F1483&gt;0,N1483/(F1483/3600),0)</f>
        <v>0.96408054258453</v>
      </c>
    </row>
    <row r="1484" customFormat="false" ht="15" hidden="false" customHeight="false" outlineLevel="0" collapsed="false">
      <c r="A1484" s="0" t="s">
        <v>260</v>
      </c>
      <c r="B1484" s="52" t="n">
        <v>44519</v>
      </c>
      <c r="C1484" s="0" t="n">
        <v>67892.925</v>
      </c>
      <c r="D1484" s="0" t="n">
        <v>10265.088</v>
      </c>
      <c r="E1484" s="0" t="n">
        <v>57627.837</v>
      </c>
      <c r="F1484" s="0" t="n">
        <v>28040.404</v>
      </c>
      <c r="G1484" s="0" t="n">
        <v>25519.816</v>
      </c>
      <c r="H1484" s="0" t="n">
        <v>2520.588</v>
      </c>
      <c r="I1484" s="0" t="n">
        <v>2663.54</v>
      </c>
      <c r="J1484" s="0" t="n">
        <v>26923.893</v>
      </c>
      <c r="K1484" s="0" t="n">
        <v>31156.0044444444</v>
      </c>
      <c r="L1484" s="0" t="n">
        <v>28345</v>
      </c>
      <c r="M1484" s="0" t="n">
        <v>28216</v>
      </c>
      <c r="N1484" s="0" t="n">
        <v>10</v>
      </c>
      <c r="O1484" s="54" t="n">
        <f aca="false">YEAR(B1484)</f>
        <v>2021</v>
      </c>
      <c r="P1484" s="54" t="n">
        <f aca="false">IF(AND(E1484&gt;=14400,K1484&gt;0,L1484&gt;0),1,0)</f>
        <v>1</v>
      </c>
      <c r="Q1484" s="53" t="n">
        <f aca="false">IF(P1484=1,F1484/E1484*MIN(L1484/K1484,1)*MIN(MAX(M1484/L1484,0),1),0)</f>
        <v>0.440662036300269</v>
      </c>
      <c r="R1484" s="55" t="n">
        <f aca="false">IF(F1484&gt;0,N1484/(F1484/3600),0)</f>
        <v>1.28386167331969</v>
      </c>
    </row>
    <row r="1485" customFormat="false" ht="15" hidden="false" customHeight="false" outlineLevel="0" collapsed="false">
      <c r="A1485" s="0" t="s">
        <v>260</v>
      </c>
      <c r="B1485" s="52" t="n">
        <v>44520</v>
      </c>
      <c r="C1485" s="0" t="n">
        <v>49562.129</v>
      </c>
      <c r="D1485" s="0" t="n">
        <v>6121.463</v>
      </c>
      <c r="E1485" s="0" t="n">
        <v>43440.666</v>
      </c>
      <c r="F1485" s="0" t="n">
        <v>22570.834</v>
      </c>
      <c r="G1485" s="0" t="n">
        <v>21073.858</v>
      </c>
      <c r="H1485" s="0" t="n">
        <v>1496.976</v>
      </c>
      <c r="I1485" s="0" t="n">
        <v>2613.366</v>
      </c>
      <c r="J1485" s="0" t="n">
        <v>18256.466</v>
      </c>
      <c r="K1485" s="0" t="n">
        <v>25078.7044444444</v>
      </c>
      <c r="L1485" s="0" t="n">
        <v>23389</v>
      </c>
      <c r="M1485" s="0" t="n">
        <v>23342</v>
      </c>
      <c r="N1485" s="0" t="n">
        <v>12</v>
      </c>
      <c r="O1485" s="54" t="n">
        <f aca="false">YEAR(B1485)</f>
        <v>2021</v>
      </c>
      <c r="P1485" s="54" t="n">
        <f aca="false">IF(AND(E1485&gt;=14400,K1485&gt;0,L1485&gt;0),1,0)</f>
        <v>1</v>
      </c>
      <c r="Q1485" s="53" t="n">
        <f aca="false">IF(P1485=1,F1485/E1485*MIN(L1485/K1485,1)*MIN(MAX(M1485/L1485,0),1),0)</f>
        <v>0.483597558103736</v>
      </c>
      <c r="R1485" s="55" t="n">
        <f aca="false">IF(F1485&gt;0,N1485/(F1485/3600),0)</f>
        <v>1.91397446811226</v>
      </c>
    </row>
    <row r="1486" customFormat="false" ht="15" hidden="false" customHeight="false" outlineLevel="0" collapsed="false">
      <c r="A1486" s="0" t="s">
        <v>260</v>
      </c>
      <c r="B1486" s="52" t="n">
        <v>44521</v>
      </c>
      <c r="C1486" s="0" t="n">
        <v>81267.154</v>
      </c>
      <c r="D1486" s="0" t="n">
        <v>3317.855</v>
      </c>
      <c r="E1486" s="0" t="n">
        <v>77949.299</v>
      </c>
      <c r="F1486" s="0" t="n">
        <v>38805.033</v>
      </c>
      <c r="G1486" s="0" t="n">
        <v>37491.695</v>
      </c>
      <c r="H1486" s="0" t="n">
        <v>1313.338</v>
      </c>
      <c r="I1486" s="0" t="n">
        <v>1602.242</v>
      </c>
      <c r="J1486" s="0" t="n">
        <v>37542.024</v>
      </c>
      <c r="K1486" s="0" t="n">
        <v>43116.7033333333</v>
      </c>
      <c r="L1486" s="0" t="n">
        <v>41648</v>
      </c>
      <c r="M1486" s="0" t="n">
        <v>41598</v>
      </c>
      <c r="N1486" s="0" t="n">
        <v>8</v>
      </c>
      <c r="O1486" s="54" t="n">
        <f aca="false">YEAR(B1486)</f>
        <v>2021</v>
      </c>
      <c r="P1486" s="54" t="n">
        <f aca="false">IF(AND(E1486&gt;=14400,K1486&gt;0,L1486&gt;0),1,0)</f>
        <v>1</v>
      </c>
      <c r="Q1486" s="53" t="n">
        <f aca="false">IF(P1486=1,F1486/E1486*MIN(L1486/K1486,1)*MIN(MAX(M1486/L1486,0),1),0)</f>
        <v>0.48028911716063</v>
      </c>
      <c r="R1486" s="55" t="n">
        <f aca="false">IF(F1486&gt;0,N1486/(F1486/3600),0)</f>
        <v>0.742171769316624</v>
      </c>
    </row>
    <row r="1487" customFormat="false" ht="15" hidden="false" customHeight="false" outlineLevel="0" collapsed="false">
      <c r="A1487" s="0" t="s">
        <v>260</v>
      </c>
      <c r="B1487" s="52" t="n">
        <v>44522</v>
      </c>
      <c r="C1487" s="0" t="n">
        <v>79839.932</v>
      </c>
      <c r="D1487" s="0" t="n">
        <v>2363.964</v>
      </c>
      <c r="E1487" s="0" t="n">
        <v>77475.968</v>
      </c>
      <c r="F1487" s="0" t="n">
        <v>35766.415</v>
      </c>
      <c r="G1487" s="0" t="n">
        <v>34080.11</v>
      </c>
      <c r="H1487" s="0" t="n">
        <v>1686.305</v>
      </c>
      <c r="I1487" s="0" t="n">
        <v>1298.505</v>
      </c>
      <c r="J1487" s="0" t="n">
        <v>40411.048</v>
      </c>
      <c r="K1487" s="0" t="n">
        <v>39740.4611111111</v>
      </c>
      <c r="L1487" s="0" t="n">
        <v>37840</v>
      </c>
      <c r="M1487" s="0" t="n">
        <v>37806</v>
      </c>
      <c r="N1487" s="0" t="n">
        <v>7</v>
      </c>
      <c r="O1487" s="54" t="n">
        <f aca="false">YEAR(B1487)</f>
        <v>2021</v>
      </c>
      <c r="P1487" s="54" t="n">
        <f aca="false">IF(AND(E1487&gt;=14400,K1487&gt;0,L1487&gt;0),1,0)</f>
        <v>1</v>
      </c>
      <c r="Q1487" s="53" t="n">
        <f aca="false">IF(P1487=1,F1487/E1487*MIN(L1487/K1487,1)*MIN(MAX(M1487/L1487,0),1),0)</f>
        <v>0.439173602839012</v>
      </c>
      <c r="R1487" s="55" t="n">
        <f aca="false">IF(F1487&gt;0,N1487/(F1487/3600),0)</f>
        <v>0.704571593211117</v>
      </c>
    </row>
    <row r="1488" customFormat="false" ht="15" hidden="false" customHeight="false" outlineLevel="0" collapsed="false">
      <c r="A1488" s="0" t="s">
        <v>260</v>
      </c>
      <c r="B1488" s="52" t="n">
        <v>44523</v>
      </c>
      <c r="C1488" s="0" t="n">
        <v>76658.075</v>
      </c>
      <c r="D1488" s="0" t="n">
        <v>6460.166</v>
      </c>
      <c r="E1488" s="0" t="n">
        <v>70197.909</v>
      </c>
      <c r="F1488" s="0" t="n">
        <v>38968.531</v>
      </c>
      <c r="G1488" s="0" t="n">
        <v>37707.401</v>
      </c>
      <c r="H1488" s="0" t="n">
        <v>1261.13</v>
      </c>
      <c r="I1488" s="0" t="n">
        <v>2054.284</v>
      </c>
      <c r="J1488" s="0" t="n">
        <v>29175.094</v>
      </c>
      <c r="K1488" s="0" t="n">
        <v>43298.3677777778</v>
      </c>
      <c r="L1488" s="0" t="n">
        <v>41843</v>
      </c>
      <c r="M1488" s="0" t="n">
        <v>41792</v>
      </c>
      <c r="N1488" s="0" t="n">
        <v>14</v>
      </c>
      <c r="O1488" s="54" t="n">
        <f aca="false">YEAR(B1488)</f>
        <v>2021</v>
      </c>
      <c r="P1488" s="54" t="n">
        <f aca="false">IF(AND(E1488&gt;=14400,K1488&gt;0,L1488&gt;0),1,0)</f>
        <v>1</v>
      </c>
      <c r="Q1488" s="53" t="n">
        <f aca="false">IF(P1488=1,F1488/E1488*MIN(L1488/K1488,1)*MIN(MAX(M1488/L1488,0),1),0)</f>
        <v>0.535810831630327</v>
      </c>
      <c r="R1488" s="55" t="n">
        <f aca="false">IF(F1488&gt;0,N1488/(F1488/3600),0)</f>
        <v>1.29335129415066</v>
      </c>
    </row>
    <row r="1489" customFormat="false" ht="15" hidden="false" customHeight="false" outlineLevel="0" collapsed="false">
      <c r="A1489" s="0" t="s">
        <v>260</v>
      </c>
      <c r="B1489" s="52" t="n">
        <v>44524</v>
      </c>
      <c r="C1489" s="0" t="n">
        <v>59649.869</v>
      </c>
      <c r="D1489" s="0" t="n">
        <v>3350.054</v>
      </c>
      <c r="E1489" s="0" t="n">
        <v>56299.815</v>
      </c>
      <c r="F1489" s="0" t="n">
        <v>23329.276</v>
      </c>
      <c r="G1489" s="0" t="n">
        <v>21530.711</v>
      </c>
      <c r="H1489" s="0" t="n">
        <v>1798.565</v>
      </c>
      <c r="I1489" s="0" t="n">
        <v>2374.318</v>
      </c>
      <c r="J1489" s="0" t="n">
        <v>30596.221</v>
      </c>
      <c r="K1489" s="0" t="n">
        <v>25921.4177777778</v>
      </c>
      <c r="L1489" s="0" t="n">
        <v>23918</v>
      </c>
      <c r="M1489" s="0" t="n">
        <v>23809</v>
      </c>
      <c r="N1489" s="0" t="n">
        <v>8</v>
      </c>
      <c r="O1489" s="54" t="n">
        <f aca="false">YEAR(B1489)</f>
        <v>2021</v>
      </c>
      <c r="P1489" s="54" t="n">
        <f aca="false">IF(AND(E1489&gt;=14400,K1489&gt;0,L1489&gt;0),1,0)</f>
        <v>1</v>
      </c>
      <c r="Q1489" s="53" t="n">
        <f aca="false">IF(P1489=1,F1489/E1489*MIN(L1489/K1489,1)*MIN(MAX(M1489/L1489,0),1),0)</f>
        <v>0.380606934498808</v>
      </c>
      <c r="R1489" s="55" t="n">
        <f aca="false">IF(F1489&gt;0,N1489/(F1489/3600),0)</f>
        <v>1.23450037626543</v>
      </c>
    </row>
    <row r="1490" customFormat="false" ht="15" hidden="false" customHeight="false" outlineLevel="0" collapsed="false">
      <c r="A1490" s="0" t="s">
        <v>260</v>
      </c>
      <c r="B1490" s="52" t="n">
        <v>44525</v>
      </c>
      <c r="C1490" s="0" t="n">
        <v>83158.679</v>
      </c>
      <c r="D1490" s="0" t="n">
        <v>7389.87</v>
      </c>
      <c r="E1490" s="0" t="n">
        <v>75768.809</v>
      </c>
      <c r="F1490" s="0" t="n">
        <v>39558.482</v>
      </c>
      <c r="G1490" s="0" t="n">
        <v>37318.248</v>
      </c>
      <c r="H1490" s="0" t="n">
        <v>2240.234</v>
      </c>
      <c r="I1490" s="0" t="n">
        <v>5118.438</v>
      </c>
      <c r="J1490" s="0" t="n">
        <v>31091.889</v>
      </c>
      <c r="K1490" s="0" t="n">
        <v>43953.8688888889</v>
      </c>
      <c r="L1490" s="0" t="n">
        <v>41418</v>
      </c>
      <c r="M1490" s="0" t="n">
        <v>41324</v>
      </c>
      <c r="N1490" s="0" t="n">
        <v>18</v>
      </c>
      <c r="O1490" s="54" t="n">
        <f aca="false">YEAR(B1490)</f>
        <v>2021</v>
      </c>
      <c r="P1490" s="54" t="n">
        <f aca="false">IF(AND(E1490&gt;=14400,K1490&gt;0,L1490&gt;0),1,0)</f>
        <v>1</v>
      </c>
      <c r="Q1490" s="53" t="n">
        <f aca="false">IF(P1490=1,F1490/E1490*MIN(L1490/K1490,1)*MIN(MAX(M1490/L1490,0),1),0)</f>
        <v>0.490856336411465</v>
      </c>
      <c r="R1490" s="55" t="n">
        <f aca="false">IF(F1490&gt;0,N1490/(F1490/3600),0)</f>
        <v>1.63808105680092</v>
      </c>
    </row>
    <row r="1491" customFormat="false" ht="15" hidden="false" customHeight="false" outlineLevel="0" collapsed="false">
      <c r="A1491" s="0" t="s">
        <v>260</v>
      </c>
      <c r="B1491" s="52" t="n">
        <v>44526</v>
      </c>
      <c r="C1491" s="0" t="n">
        <v>88152.199</v>
      </c>
      <c r="D1491" s="0" t="n">
        <v>7167.87</v>
      </c>
      <c r="E1491" s="0" t="n">
        <v>80984.329</v>
      </c>
      <c r="F1491" s="0" t="n">
        <v>42618.322</v>
      </c>
      <c r="G1491" s="0" t="n">
        <v>39570.127</v>
      </c>
      <c r="H1491" s="0" t="n">
        <v>3048.195</v>
      </c>
      <c r="I1491" s="0" t="n">
        <v>3700.998</v>
      </c>
      <c r="J1491" s="0" t="n">
        <v>34665.009</v>
      </c>
      <c r="K1491" s="0" t="n">
        <v>47353.6911111111</v>
      </c>
      <c r="L1491" s="0" t="n">
        <v>43894</v>
      </c>
      <c r="M1491" s="0" t="n">
        <v>43824</v>
      </c>
      <c r="N1491" s="0" t="n">
        <v>23</v>
      </c>
      <c r="O1491" s="54" t="n">
        <f aca="false">YEAR(B1491)</f>
        <v>2021</v>
      </c>
      <c r="P1491" s="54" t="n">
        <f aca="false">IF(AND(E1491&gt;=14400,K1491&gt;0,L1491&gt;0),1,0)</f>
        <v>1</v>
      </c>
      <c r="Q1491" s="53" t="n">
        <f aca="false">IF(P1491=1,F1491/E1491*MIN(L1491/K1491,1)*MIN(MAX(M1491/L1491,0),1),0)</f>
        <v>0.487027558134118</v>
      </c>
      <c r="R1491" s="55" t="n">
        <f aca="false">IF(F1491&gt;0,N1491/(F1491/3600),0)</f>
        <v>1.94282637406513</v>
      </c>
    </row>
    <row r="1492" customFormat="false" ht="15" hidden="false" customHeight="false" outlineLevel="0" collapsed="false">
      <c r="A1492" s="0" t="s">
        <v>260</v>
      </c>
      <c r="B1492" s="52" t="n">
        <v>44527</v>
      </c>
      <c r="C1492" s="0" t="n">
        <v>88773.032</v>
      </c>
      <c r="D1492" s="0" t="n">
        <v>10223.948</v>
      </c>
      <c r="E1492" s="0" t="n">
        <v>78549.084</v>
      </c>
      <c r="F1492" s="0" t="n">
        <v>40545.963</v>
      </c>
      <c r="G1492" s="0" t="n">
        <v>38672.627</v>
      </c>
      <c r="H1492" s="0" t="n">
        <v>1873.336</v>
      </c>
      <c r="I1492" s="0" t="n">
        <v>3300.058</v>
      </c>
      <c r="J1492" s="0" t="n">
        <v>34703.063</v>
      </c>
      <c r="K1492" s="0" t="n">
        <v>45051.07</v>
      </c>
      <c r="L1492" s="0" t="n">
        <v>41954</v>
      </c>
      <c r="M1492" s="0" t="n">
        <v>41894</v>
      </c>
      <c r="N1492" s="0" t="n">
        <v>15</v>
      </c>
      <c r="O1492" s="54" t="n">
        <f aca="false">YEAR(B1492)</f>
        <v>2021</v>
      </c>
      <c r="P1492" s="54" t="n">
        <f aca="false">IF(AND(E1492&gt;=14400,K1492&gt;0,L1492&gt;0),1,0)</f>
        <v>1</v>
      </c>
      <c r="Q1492" s="53" t="n">
        <f aca="false">IF(P1492=1,F1492/E1492*MIN(L1492/K1492,1)*MIN(MAX(M1492/L1492,0),1),0)</f>
        <v>0.480013236055051</v>
      </c>
      <c r="R1492" s="55" t="n">
        <f aca="false">IF(F1492&gt;0,N1492/(F1492/3600),0)</f>
        <v>1.33182186349847</v>
      </c>
    </row>
    <row r="1493" customFormat="false" ht="15" hidden="false" customHeight="false" outlineLevel="0" collapsed="false">
      <c r="A1493" s="0" t="s">
        <v>260</v>
      </c>
      <c r="B1493" s="52" t="n">
        <v>44528</v>
      </c>
      <c r="C1493" s="0" t="n">
        <v>64833.268</v>
      </c>
      <c r="D1493" s="0" t="n">
        <v>0</v>
      </c>
      <c r="E1493" s="0" t="n">
        <v>64833.268</v>
      </c>
      <c r="F1493" s="0" t="n">
        <v>35603.964</v>
      </c>
      <c r="G1493" s="0" t="n">
        <v>33854.08</v>
      </c>
      <c r="H1493" s="0" t="n">
        <v>1749.884</v>
      </c>
      <c r="I1493" s="0" t="n">
        <v>28820.599</v>
      </c>
      <c r="J1493" s="0" t="n">
        <v>408.705</v>
      </c>
      <c r="K1493" s="0" t="n">
        <v>39559.96</v>
      </c>
      <c r="L1493" s="0" t="n">
        <v>37544</v>
      </c>
      <c r="M1493" s="0" t="n">
        <v>37476</v>
      </c>
      <c r="N1493" s="0" t="n">
        <v>16</v>
      </c>
      <c r="O1493" s="54" t="n">
        <f aca="false">YEAR(B1493)</f>
        <v>2021</v>
      </c>
      <c r="P1493" s="54" t="n">
        <f aca="false">IF(AND(E1493&gt;=14400,K1493&gt;0,L1493&gt;0),1,0)</f>
        <v>1</v>
      </c>
      <c r="Q1493" s="53" t="n">
        <f aca="false">IF(P1493=1,F1493/E1493*MIN(L1493/K1493,1)*MIN(MAX(M1493/L1493,0),1),0)</f>
        <v>0.520232914990495</v>
      </c>
      <c r="R1493" s="55" t="n">
        <f aca="false">IF(F1493&gt;0,N1493/(F1493/3600),0)</f>
        <v>1.61779738907724</v>
      </c>
    </row>
    <row r="1494" customFormat="false" ht="15" hidden="false" customHeight="false" outlineLevel="0" collapsed="false">
      <c r="A1494" s="0" t="s">
        <v>260</v>
      </c>
      <c r="B1494" s="52" t="n">
        <v>44529</v>
      </c>
      <c r="C1494" s="0" t="n">
        <v>88664.258</v>
      </c>
      <c r="D1494" s="0" t="n">
        <v>13257.965</v>
      </c>
      <c r="E1494" s="0" t="n">
        <v>75406.293</v>
      </c>
      <c r="F1494" s="0" t="n">
        <v>51537.564</v>
      </c>
      <c r="G1494" s="0" t="n">
        <v>49096.984</v>
      </c>
      <c r="H1494" s="0" t="n">
        <v>2440.58</v>
      </c>
      <c r="I1494" s="0" t="n">
        <v>2013.004</v>
      </c>
      <c r="J1494" s="0" t="n">
        <v>21855.725</v>
      </c>
      <c r="K1494" s="0" t="n">
        <v>57263.96</v>
      </c>
      <c r="L1494" s="0" t="n">
        <v>53445</v>
      </c>
      <c r="M1494" s="0" t="n">
        <v>53397</v>
      </c>
      <c r="N1494" s="0" t="n">
        <v>18</v>
      </c>
      <c r="O1494" s="54" t="n">
        <f aca="false">YEAR(B1494)</f>
        <v>2021</v>
      </c>
      <c r="P1494" s="54" t="n">
        <f aca="false">IF(AND(E1494&gt;=14400,K1494&gt;0,L1494&gt;0),1,0)</f>
        <v>1</v>
      </c>
      <c r="Q1494" s="53" t="n">
        <f aca="false">IF(P1494=1,F1494/E1494*MIN(L1494/K1494,1)*MIN(MAX(M1494/L1494,0),1),0)</f>
        <v>0.637311530484598</v>
      </c>
      <c r="R1494" s="55" t="n">
        <f aca="false">IF(F1494&gt;0,N1494/(F1494/3600),0)</f>
        <v>1.25733532923675</v>
      </c>
    </row>
    <row r="1495" customFormat="false" ht="15" hidden="false" customHeight="false" outlineLevel="0" collapsed="false">
      <c r="A1495" s="0" t="s">
        <v>260</v>
      </c>
      <c r="B1495" s="52" t="n">
        <v>44530</v>
      </c>
      <c r="C1495" s="0" t="n">
        <v>25724.368</v>
      </c>
      <c r="D1495" s="0" t="n">
        <v>1589.517</v>
      </c>
      <c r="E1495" s="0" t="n">
        <v>24134.851</v>
      </c>
      <c r="F1495" s="0" t="n">
        <v>20092.524</v>
      </c>
      <c r="G1495" s="0" t="n">
        <v>16979.848</v>
      </c>
      <c r="H1495" s="0" t="n">
        <v>3112.676</v>
      </c>
      <c r="I1495" s="0" t="n">
        <v>1749.864</v>
      </c>
      <c r="J1495" s="0" t="n">
        <v>2292.463</v>
      </c>
      <c r="K1495" s="0" t="n">
        <v>22325.0266666667</v>
      </c>
      <c r="L1495" s="0" t="n">
        <v>18853</v>
      </c>
      <c r="M1495" s="0" t="n">
        <v>18834</v>
      </c>
      <c r="N1495" s="0" t="n">
        <v>13</v>
      </c>
      <c r="O1495" s="54" t="n">
        <f aca="false">YEAR(B1495)</f>
        <v>2021</v>
      </c>
      <c r="P1495" s="54" t="n">
        <f aca="false">IF(AND(E1495&gt;=14400,K1495&gt;0,L1495&gt;0),1,0)</f>
        <v>1</v>
      </c>
      <c r="Q1495" s="53" t="n">
        <f aca="false">IF(P1495=1,F1495/E1495*MIN(L1495/K1495,1)*MIN(MAX(M1495/L1495,0),1),0)</f>
        <v>0.702328761010375</v>
      </c>
      <c r="R1495" s="55" t="n">
        <f aca="false">IF(F1495&gt;0,N1495/(F1495/3600),0)</f>
        <v>2.32922454142645</v>
      </c>
    </row>
    <row r="1496" customFormat="false" ht="15" hidden="false" customHeight="false" outlineLevel="0" collapsed="false">
      <c r="A1496" s="0" t="s">
        <v>260</v>
      </c>
      <c r="B1496" s="52" t="n">
        <v>44531</v>
      </c>
      <c r="C1496" s="0" t="n">
        <v>105520.335</v>
      </c>
      <c r="D1496" s="0" t="n">
        <v>3112.64</v>
      </c>
      <c r="E1496" s="0" t="n">
        <v>102407.695</v>
      </c>
      <c r="F1496" s="0" t="n">
        <v>52206.859</v>
      </c>
      <c r="G1496" s="0" t="n">
        <v>49950.792</v>
      </c>
      <c r="H1496" s="0" t="n">
        <v>2256.067</v>
      </c>
      <c r="I1496" s="0" t="n">
        <v>3035.862</v>
      </c>
      <c r="J1496" s="0" t="n">
        <v>47164.974</v>
      </c>
      <c r="K1496" s="0" t="n">
        <v>58007.6211111111</v>
      </c>
      <c r="L1496" s="0" t="n">
        <v>61075</v>
      </c>
      <c r="M1496" s="0" t="n">
        <v>60937</v>
      </c>
      <c r="N1496" s="0" t="n">
        <v>13</v>
      </c>
      <c r="O1496" s="54" t="n">
        <f aca="false">YEAR(B1496)</f>
        <v>2021</v>
      </c>
      <c r="P1496" s="54" t="n">
        <f aca="false">IF(AND(E1496&gt;=14400,K1496&gt;0,L1496&gt;0),1,0)</f>
        <v>1</v>
      </c>
      <c r="Q1496" s="53" t="n">
        <f aca="false">IF(P1496=1,F1496/E1496*MIN(L1496/K1496,1)*MIN(MAX(M1496/L1496,0),1),0)</f>
        <v>0.508642409295858</v>
      </c>
      <c r="R1496" s="55" t="n">
        <f aca="false">IF(F1496&gt;0,N1496/(F1496/3600),0)</f>
        <v>0.896433934092836</v>
      </c>
    </row>
    <row r="1497" customFormat="false" ht="15" hidden="false" customHeight="false" outlineLevel="0" collapsed="false">
      <c r="A1497" s="0" t="s">
        <v>260</v>
      </c>
      <c r="B1497" s="52" t="n">
        <v>44532</v>
      </c>
      <c r="C1497" s="0" t="n">
        <v>71490.278</v>
      </c>
      <c r="D1497" s="0" t="n">
        <v>85.023</v>
      </c>
      <c r="E1497" s="0" t="n">
        <v>71405.255</v>
      </c>
      <c r="F1497" s="0" t="n">
        <v>22527.639</v>
      </c>
      <c r="G1497" s="0" t="n">
        <v>22194.238</v>
      </c>
      <c r="H1497" s="0" t="n">
        <v>333.401</v>
      </c>
      <c r="I1497" s="0" t="n">
        <v>39113.397</v>
      </c>
      <c r="J1497" s="0" t="n">
        <v>9764.219</v>
      </c>
      <c r="K1497" s="0" t="n">
        <v>25030.71</v>
      </c>
      <c r="L1497" s="0" t="n">
        <v>31129</v>
      </c>
      <c r="M1497" s="0" t="n">
        <v>31106</v>
      </c>
      <c r="N1497" s="0" t="n">
        <v>12</v>
      </c>
      <c r="O1497" s="54" t="n">
        <f aca="false">YEAR(B1497)</f>
        <v>2021</v>
      </c>
      <c r="P1497" s="54" t="n">
        <f aca="false">IF(AND(E1497&gt;=14400,K1497&gt;0,L1497&gt;0),1,0)</f>
        <v>1</v>
      </c>
      <c r="Q1497" s="53" t="n">
        <f aca="false">IF(P1497=1,F1497/E1497*MIN(L1497/K1497,1)*MIN(MAX(M1497/L1497,0),1),0)</f>
        <v>0.315256828213351</v>
      </c>
      <c r="R1497" s="55" t="n">
        <f aca="false">IF(F1497&gt;0,N1497/(F1497/3600),0)</f>
        <v>1.91764436566122</v>
      </c>
    </row>
    <row r="1498" customFormat="false" ht="15" hidden="false" customHeight="false" outlineLevel="0" collapsed="false">
      <c r="A1498" s="0" t="s">
        <v>260</v>
      </c>
      <c r="B1498" s="52" t="n">
        <v>44533</v>
      </c>
      <c r="C1498" s="0" t="n">
        <v>75514.319</v>
      </c>
      <c r="D1498" s="0" t="n">
        <v>1981.076</v>
      </c>
      <c r="E1498" s="0" t="n">
        <v>73533.243</v>
      </c>
      <c r="F1498" s="0" t="n">
        <v>36363.307</v>
      </c>
      <c r="G1498" s="0" t="n">
        <v>34466.549</v>
      </c>
      <c r="H1498" s="0" t="n">
        <v>1896.758</v>
      </c>
      <c r="I1498" s="0" t="n">
        <v>2236.443</v>
      </c>
      <c r="J1498" s="0" t="n">
        <v>34933.493</v>
      </c>
      <c r="K1498" s="0" t="n">
        <v>40403.6744444445</v>
      </c>
      <c r="L1498" s="0" t="n">
        <v>38247</v>
      </c>
      <c r="M1498" s="0" t="n">
        <v>38159</v>
      </c>
      <c r="N1498" s="0" t="n">
        <v>19</v>
      </c>
      <c r="O1498" s="54" t="n">
        <f aca="false">YEAR(B1498)</f>
        <v>2021</v>
      </c>
      <c r="P1498" s="54" t="n">
        <f aca="false">IF(AND(E1498&gt;=14400,K1498&gt;0,L1498&gt;0),1,0)</f>
        <v>1</v>
      </c>
      <c r="Q1498" s="53" t="n">
        <f aca="false">IF(P1498=1,F1498/E1498*MIN(L1498/K1498,1)*MIN(MAX(M1498/L1498,0),1),0)</f>
        <v>0.467041824879123</v>
      </c>
      <c r="R1498" s="55" t="n">
        <f aca="false">IF(F1498&gt;0,N1498/(F1498/3600),0)</f>
        <v>1.88101703731182</v>
      </c>
    </row>
    <row r="1499" customFormat="false" ht="15" hidden="false" customHeight="false" outlineLevel="0" collapsed="false">
      <c r="A1499" s="0" t="s">
        <v>260</v>
      </c>
      <c r="B1499" s="52" t="n">
        <v>44534</v>
      </c>
      <c r="C1499" s="0" t="n">
        <v>75371.221</v>
      </c>
      <c r="D1499" s="0" t="n">
        <v>13337.325</v>
      </c>
      <c r="E1499" s="0" t="n">
        <v>62033.896</v>
      </c>
      <c r="F1499" s="0" t="n">
        <v>26645.331</v>
      </c>
      <c r="G1499" s="0" t="n">
        <v>22331.782</v>
      </c>
      <c r="H1499" s="0" t="n">
        <v>4313.549</v>
      </c>
      <c r="I1499" s="0" t="n">
        <v>2042.736</v>
      </c>
      <c r="J1499" s="0" t="n">
        <v>33345.829</v>
      </c>
      <c r="K1499" s="0" t="n">
        <v>29605.9233333333</v>
      </c>
      <c r="L1499" s="0" t="n">
        <v>23763</v>
      </c>
      <c r="M1499" s="0" t="n">
        <v>23672</v>
      </c>
      <c r="N1499" s="0" t="n">
        <v>19</v>
      </c>
      <c r="O1499" s="54" t="n">
        <f aca="false">YEAR(B1499)</f>
        <v>2021</v>
      </c>
      <c r="P1499" s="54" t="n">
        <f aca="false">IF(AND(E1499&gt;=14400,K1499&gt;0,L1499&gt;0),1,0)</f>
        <v>1</v>
      </c>
      <c r="Q1499" s="53" t="n">
        <f aca="false">IF(P1499=1,F1499/E1499*MIN(L1499/K1499,1)*MIN(MAX(M1499/L1499,0),1),0)</f>
        <v>0.343438045548518</v>
      </c>
      <c r="R1499" s="55" t="n">
        <f aca="false">IF(F1499&gt;0,N1499/(F1499/3600),0)</f>
        <v>2.56705386771138</v>
      </c>
    </row>
    <row r="1500" customFormat="false" ht="15" hidden="false" customHeight="false" outlineLevel="0" collapsed="false">
      <c r="A1500" s="0" t="s">
        <v>260</v>
      </c>
      <c r="B1500" s="52" t="n">
        <v>44535</v>
      </c>
      <c r="C1500" s="0" t="n">
        <v>86935.986</v>
      </c>
      <c r="D1500" s="0" t="n">
        <v>7466.398</v>
      </c>
      <c r="E1500" s="0" t="n">
        <v>79469.588</v>
      </c>
      <c r="F1500" s="0" t="n">
        <v>53046.899</v>
      </c>
      <c r="G1500" s="0" t="n">
        <v>51167.334</v>
      </c>
      <c r="H1500" s="0" t="n">
        <v>1879.565</v>
      </c>
      <c r="I1500" s="0" t="n">
        <v>3240.755</v>
      </c>
      <c r="J1500" s="0" t="n">
        <v>23181.934</v>
      </c>
      <c r="K1500" s="0" t="n">
        <v>58940.9988888889</v>
      </c>
      <c r="L1500" s="0" t="n">
        <v>56760</v>
      </c>
      <c r="M1500" s="0" t="n">
        <v>56697</v>
      </c>
      <c r="N1500" s="0" t="n">
        <v>22</v>
      </c>
      <c r="O1500" s="54" t="n">
        <f aca="false">YEAR(B1500)</f>
        <v>2021</v>
      </c>
      <c r="P1500" s="54" t="n">
        <f aca="false">IF(AND(E1500&gt;=14400,K1500&gt;0,L1500&gt;0),1,0)</f>
        <v>1</v>
      </c>
      <c r="Q1500" s="53" t="n">
        <f aca="false">IF(P1500=1,F1500/E1500*MIN(L1500/K1500,1)*MIN(MAX(M1500/L1500,0),1),0)</f>
        <v>0.642098459098592</v>
      </c>
      <c r="R1500" s="55" t="n">
        <f aca="false">IF(F1500&gt;0,N1500/(F1500/3600),0)</f>
        <v>1.49301847031624</v>
      </c>
    </row>
    <row r="1501" customFormat="false" ht="15" hidden="false" customHeight="false" outlineLevel="0" collapsed="false">
      <c r="A1501" s="0" t="s">
        <v>260</v>
      </c>
      <c r="B1501" s="52" t="n">
        <v>44536</v>
      </c>
      <c r="C1501" s="0" t="n">
        <v>28822.478</v>
      </c>
      <c r="D1501" s="0" t="n">
        <v>833.209</v>
      </c>
      <c r="E1501" s="0" t="n">
        <v>27989.269</v>
      </c>
      <c r="F1501" s="0" t="n">
        <v>14200.882</v>
      </c>
      <c r="G1501" s="0" t="n">
        <v>12119.646</v>
      </c>
      <c r="H1501" s="0" t="n">
        <v>2081.236</v>
      </c>
      <c r="I1501" s="0" t="n">
        <v>2022.842</v>
      </c>
      <c r="J1501" s="0" t="n">
        <v>11765.545</v>
      </c>
      <c r="K1501" s="0" t="n">
        <v>15778.7577777778</v>
      </c>
      <c r="L1501" s="0" t="n">
        <v>13422</v>
      </c>
      <c r="M1501" s="0" t="n">
        <v>13333</v>
      </c>
      <c r="N1501" s="0" t="n">
        <v>13</v>
      </c>
      <c r="O1501" s="54" t="n">
        <f aca="false">YEAR(B1501)</f>
        <v>2021</v>
      </c>
      <c r="P1501" s="54" t="n">
        <f aca="false">IF(AND(E1501&gt;=14400,K1501&gt;0,L1501&gt;0),1,0)</f>
        <v>1</v>
      </c>
      <c r="Q1501" s="53" t="n">
        <f aca="false">IF(P1501=1,F1501/E1501*MIN(L1501/K1501,1)*MIN(MAX(M1501/L1501,0),1),0)</f>
        <v>0.428725023150837</v>
      </c>
      <c r="R1501" s="55" t="n">
        <f aca="false">IF(F1501&gt;0,N1501/(F1501/3600),0)</f>
        <v>3.29556995121852</v>
      </c>
    </row>
    <row r="1502" customFormat="false" ht="15" hidden="false" customHeight="false" outlineLevel="0" collapsed="false">
      <c r="A1502" s="0" t="s">
        <v>260</v>
      </c>
      <c r="B1502" s="52" t="n">
        <v>44537</v>
      </c>
      <c r="C1502" s="0" t="n">
        <v>77047.158</v>
      </c>
      <c r="D1502" s="0" t="n">
        <v>1237.71</v>
      </c>
      <c r="E1502" s="0" t="n">
        <v>75809.448</v>
      </c>
      <c r="F1502" s="0" t="n">
        <v>43916.355</v>
      </c>
      <c r="G1502" s="0" t="n">
        <v>36498.323</v>
      </c>
      <c r="H1502" s="0" t="n">
        <v>7418.032</v>
      </c>
      <c r="I1502" s="0" t="n">
        <v>12815.239</v>
      </c>
      <c r="J1502" s="0" t="n">
        <v>19077.854</v>
      </c>
      <c r="K1502" s="0" t="n">
        <v>48795.95</v>
      </c>
      <c r="L1502" s="0" t="n">
        <v>40207</v>
      </c>
      <c r="M1502" s="0" t="n">
        <v>39838</v>
      </c>
      <c r="N1502" s="0" t="n">
        <v>110</v>
      </c>
      <c r="O1502" s="54" t="n">
        <f aca="false">YEAR(B1502)</f>
        <v>2021</v>
      </c>
      <c r="P1502" s="54" t="n">
        <f aca="false">IF(AND(E1502&gt;=14400,K1502&gt;0,L1502&gt;0),1,0)</f>
        <v>1</v>
      </c>
      <c r="Q1502" s="53" t="n">
        <f aca="false">IF(P1502=1,F1502/E1502*MIN(L1502/K1502,1)*MIN(MAX(M1502/L1502,0),1),0)</f>
        <v>0.47295160360487</v>
      </c>
      <c r="R1502" s="55" t="n">
        <f aca="false">IF(F1502&gt;0,N1502/(F1502/3600),0)</f>
        <v>9.01714179148065</v>
      </c>
    </row>
    <row r="1503" customFormat="false" ht="15" hidden="false" customHeight="false" outlineLevel="0" collapsed="false">
      <c r="A1503" s="0" t="s">
        <v>260</v>
      </c>
      <c r="B1503" s="52" t="n">
        <v>44538</v>
      </c>
      <c r="C1503" s="0" t="n">
        <v>98123.308</v>
      </c>
      <c r="D1503" s="0" t="n">
        <v>6724.298</v>
      </c>
      <c r="E1503" s="0" t="n">
        <v>91399.01</v>
      </c>
      <c r="F1503" s="0" t="n">
        <v>43035.255</v>
      </c>
      <c r="G1503" s="0" t="n">
        <v>38355.856</v>
      </c>
      <c r="H1503" s="0" t="n">
        <v>4679.399</v>
      </c>
      <c r="I1503" s="0" t="n">
        <v>13433.848</v>
      </c>
      <c r="J1503" s="0" t="n">
        <v>34929.907</v>
      </c>
      <c r="K1503" s="0" t="n">
        <v>47816.95</v>
      </c>
      <c r="L1503" s="0" t="n">
        <v>41509</v>
      </c>
      <c r="M1503" s="0" t="n">
        <v>41474</v>
      </c>
      <c r="N1503" s="0" t="n">
        <v>32</v>
      </c>
      <c r="O1503" s="54" t="n">
        <f aca="false">YEAR(B1503)</f>
        <v>2021</v>
      </c>
      <c r="P1503" s="54" t="n">
        <f aca="false">IF(AND(E1503&gt;=14400,K1503&gt;0,L1503&gt;0),1,0)</f>
        <v>1</v>
      </c>
      <c r="Q1503" s="53" t="n">
        <f aca="false">IF(P1503=1,F1503/E1503*MIN(L1503/K1503,1)*MIN(MAX(M1503/L1503,0),1),0)</f>
        <v>0.408391732032984</v>
      </c>
      <c r="R1503" s="55" t="n">
        <f aca="false">IF(F1503&gt;0,N1503/(F1503/3600),0)</f>
        <v>2.67687504117264</v>
      </c>
    </row>
    <row r="1504" customFormat="false" ht="15" hidden="false" customHeight="false" outlineLevel="0" collapsed="false">
      <c r="A1504" s="0" t="s">
        <v>260</v>
      </c>
      <c r="B1504" s="52" t="n">
        <v>44539</v>
      </c>
      <c r="C1504" s="0" t="n">
        <v>71540.4</v>
      </c>
      <c r="D1504" s="0" t="n">
        <v>9898.204</v>
      </c>
      <c r="E1504" s="0" t="n">
        <v>61642.196</v>
      </c>
      <c r="F1504" s="0" t="n">
        <v>39158.522</v>
      </c>
      <c r="G1504" s="0" t="n">
        <v>35409.227</v>
      </c>
      <c r="H1504" s="0" t="n">
        <v>3749.295</v>
      </c>
      <c r="I1504" s="0" t="n">
        <v>2867.623</v>
      </c>
      <c r="J1504" s="0" t="n">
        <v>19616.051</v>
      </c>
      <c r="K1504" s="0" t="n">
        <v>43509.4688888889</v>
      </c>
      <c r="L1504" s="0" t="n">
        <v>38235</v>
      </c>
      <c r="M1504" s="0" t="n">
        <v>38090</v>
      </c>
      <c r="N1504" s="0" t="n">
        <v>30</v>
      </c>
      <c r="O1504" s="54" t="n">
        <f aca="false">YEAR(B1504)</f>
        <v>2021</v>
      </c>
      <c r="P1504" s="54" t="n">
        <f aca="false">IF(AND(E1504&gt;=14400,K1504&gt;0,L1504&gt;0),1,0)</f>
        <v>1</v>
      </c>
      <c r="Q1504" s="53" t="n">
        <f aca="false">IF(P1504=1,F1504/E1504*MIN(L1504/K1504,1)*MIN(MAX(M1504/L1504,0),1),0)</f>
        <v>0.556128792037195</v>
      </c>
      <c r="R1504" s="55" t="n">
        <f aca="false">IF(F1504&gt;0,N1504/(F1504/3600),0)</f>
        <v>2.75802033590543</v>
      </c>
    </row>
    <row r="1505" customFormat="false" ht="15" hidden="false" customHeight="false" outlineLevel="0" collapsed="false">
      <c r="A1505" s="0" t="s">
        <v>260</v>
      </c>
      <c r="B1505" s="52" t="n">
        <v>44540</v>
      </c>
      <c r="C1505" s="0" t="n">
        <v>79848.702</v>
      </c>
      <c r="D1505" s="0" t="n">
        <v>8389.553</v>
      </c>
      <c r="E1505" s="0" t="n">
        <v>71459.149</v>
      </c>
      <c r="F1505" s="0" t="n">
        <v>32771.529</v>
      </c>
      <c r="G1505" s="0" t="n">
        <v>27519.359</v>
      </c>
      <c r="H1505" s="0" t="n">
        <v>5252.17</v>
      </c>
      <c r="I1505" s="0" t="n">
        <v>5740.151</v>
      </c>
      <c r="J1505" s="0" t="n">
        <v>32947.469</v>
      </c>
      <c r="K1505" s="0" t="n">
        <v>36412.81</v>
      </c>
      <c r="L1505" s="0" t="n">
        <v>29546</v>
      </c>
      <c r="M1505" s="0" t="n">
        <v>29326</v>
      </c>
      <c r="N1505" s="0" t="n">
        <v>36</v>
      </c>
      <c r="O1505" s="54" t="n">
        <f aca="false">YEAR(B1505)</f>
        <v>2021</v>
      </c>
      <c r="P1505" s="54" t="n">
        <f aca="false">IF(AND(E1505&gt;=14400,K1505&gt;0,L1505&gt;0),1,0)</f>
        <v>1</v>
      </c>
      <c r="Q1505" s="53" t="n">
        <f aca="false">IF(P1505=1,F1505/E1505*MIN(L1505/K1505,1)*MIN(MAX(M1505/L1505,0),1),0)</f>
        <v>0.369349486655656</v>
      </c>
      <c r="R1505" s="55" t="n">
        <f aca="false">IF(F1505&gt;0,N1505/(F1505/3600),0)</f>
        <v>3.95465222266559</v>
      </c>
    </row>
    <row r="1506" customFormat="false" ht="15" hidden="false" customHeight="false" outlineLevel="0" collapsed="false">
      <c r="A1506" s="0" t="s">
        <v>260</v>
      </c>
      <c r="B1506" s="52" t="n">
        <v>44541</v>
      </c>
      <c r="C1506" s="0" t="n">
        <v>98948.59</v>
      </c>
      <c r="D1506" s="0" t="n">
        <v>4280.415</v>
      </c>
      <c r="E1506" s="0" t="n">
        <v>94668.175</v>
      </c>
      <c r="F1506" s="0" t="n">
        <v>36001.774</v>
      </c>
      <c r="G1506" s="0" t="n">
        <v>33068.877</v>
      </c>
      <c r="H1506" s="0" t="n">
        <v>2932.897</v>
      </c>
      <c r="I1506" s="0" t="n">
        <v>49846.604</v>
      </c>
      <c r="J1506" s="0" t="n">
        <v>8819.797</v>
      </c>
      <c r="K1506" s="0" t="n">
        <v>40001.9711111111</v>
      </c>
      <c r="L1506" s="0" t="n">
        <v>36704</v>
      </c>
      <c r="M1506" s="0" t="n">
        <v>36575</v>
      </c>
      <c r="N1506" s="0" t="n">
        <v>25</v>
      </c>
      <c r="O1506" s="54" t="n">
        <f aca="false">YEAR(B1506)</f>
        <v>2021</v>
      </c>
      <c r="P1506" s="54" t="n">
        <f aca="false">IF(AND(E1506&gt;=14400,K1506&gt;0,L1506&gt;0),1,0)</f>
        <v>1</v>
      </c>
      <c r="Q1506" s="53" t="n">
        <f aca="false">IF(P1506=1,F1506/E1506*MIN(L1506/K1506,1)*MIN(MAX(M1506/L1506,0),1),0)</f>
        <v>0.347714530252643</v>
      </c>
      <c r="R1506" s="55" t="n">
        <f aca="false">IF(F1506&gt;0,N1506/(F1506/3600),0)</f>
        <v>2.49987681162601</v>
      </c>
    </row>
    <row r="1507" customFormat="false" ht="15" hidden="false" customHeight="false" outlineLevel="0" collapsed="false">
      <c r="A1507" s="0" t="s">
        <v>260</v>
      </c>
      <c r="B1507" s="52" t="n">
        <v>44542</v>
      </c>
      <c r="C1507" s="0" t="n">
        <v>73028.75</v>
      </c>
      <c r="D1507" s="0" t="n">
        <v>7369.208</v>
      </c>
      <c r="E1507" s="0" t="n">
        <v>65659.542</v>
      </c>
      <c r="F1507" s="0" t="n">
        <v>43541.082</v>
      </c>
      <c r="G1507" s="0" t="n">
        <v>40823.463</v>
      </c>
      <c r="H1507" s="0" t="n">
        <v>2717.619</v>
      </c>
      <c r="I1507" s="0" t="n">
        <v>3668.835</v>
      </c>
      <c r="J1507" s="0" t="n">
        <v>18449.625</v>
      </c>
      <c r="K1507" s="0" t="n">
        <v>48378.98</v>
      </c>
      <c r="L1507" s="0" t="n">
        <v>44225</v>
      </c>
      <c r="M1507" s="0" t="n">
        <v>44049</v>
      </c>
      <c r="N1507" s="0" t="n">
        <v>40</v>
      </c>
      <c r="O1507" s="54" t="n">
        <f aca="false">YEAR(B1507)</f>
        <v>2021</v>
      </c>
      <c r="P1507" s="54" t="n">
        <f aca="false">IF(AND(E1507&gt;=14400,K1507&gt;0,L1507&gt;0),1,0)</f>
        <v>1</v>
      </c>
      <c r="Q1507" s="53" t="n">
        <f aca="false">IF(P1507=1,F1507/E1507*MIN(L1507/K1507,1)*MIN(MAX(M1507/L1507,0),1),0)</f>
        <v>0.603782767781109</v>
      </c>
      <c r="R1507" s="55" t="n">
        <f aca="false">IF(F1507&gt;0,N1507/(F1507/3600),0)</f>
        <v>3.3072214420395</v>
      </c>
    </row>
    <row r="1508" customFormat="false" ht="15" hidden="false" customHeight="false" outlineLevel="0" collapsed="false">
      <c r="A1508" s="0" t="s">
        <v>260</v>
      </c>
      <c r="B1508" s="52" t="n">
        <v>44543</v>
      </c>
      <c r="C1508" s="0" t="n">
        <v>30101.026</v>
      </c>
      <c r="D1508" s="0" t="n">
        <v>7395.926</v>
      </c>
      <c r="E1508" s="0" t="n">
        <v>22705.1</v>
      </c>
      <c r="F1508" s="0" t="n">
        <v>9752.058</v>
      </c>
      <c r="G1508" s="0" t="n">
        <v>8530.898</v>
      </c>
      <c r="H1508" s="0" t="n">
        <v>1221.16</v>
      </c>
      <c r="I1508" s="0" t="n">
        <v>1189.211</v>
      </c>
      <c r="J1508" s="0" t="n">
        <v>11763.831</v>
      </c>
      <c r="K1508" s="0" t="n">
        <v>10835.62</v>
      </c>
      <c r="L1508" s="0" t="n">
        <v>9454</v>
      </c>
      <c r="M1508" s="0" t="n">
        <v>9433</v>
      </c>
      <c r="N1508" s="0" t="n">
        <v>11</v>
      </c>
      <c r="O1508" s="54" t="n">
        <f aca="false">YEAR(B1508)</f>
        <v>2021</v>
      </c>
      <c r="P1508" s="54" t="n">
        <f aca="false">IF(AND(E1508&gt;=14400,K1508&gt;0,L1508&gt;0),1,0)</f>
        <v>1</v>
      </c>
      <c r="Q1508" s="53" t="n">
        <f aca="false">IF(P1508=1,F1508/E1508*MIN(L1508/K1508,1)*MIN(MAX(M1508/L1508,0),1),0)</f>
        <v>0.373911588145395</v>
      </c>
      <c r="R1508" s="55" t="n">
        <f aca="false">IF(F1508&gt;0,N1508/(F1508/3600),0)</f>
        <v>4.06068134541448</v>
      </c>
    </row>
    <row r="1509" customFormat="false" ht="15" hidden="false" customHeight="false" outlineLevel="0" collapsed="false">
      <c r="A1509" s="0" t="s">
        <v>260</v>
      </c>
      <c r="B1509" s="52" t="n">
        <v>44544</v>
      </c>
      <c r="C1509" s="0" t="n">
        <v>52922.355</v>
      </c>
      <c r="D1509" s="0" t="n">
        <v>946.9</v>
      </c>
      <c r="E1509" s="0" t="n">
        <v>51975.455</v>
      </c>
      <c r="F1509" s="0" t="n">
        <v>35950.211</v>
      </c>
      <c r="G1509" s="0" t="n">
        <v>34835.613</v>
      </c>
      <c r="H1509" s="0" t="n">
        <v>1114.598</v>
      </c>
      <c r="I1509" s="0" t="n">
        <v>2950.618</v>
      </c>
      <c r="J1509" s="0" t="n">
        <v>13074.626</v>
      </c>
      <c r="K1509" s="0" t="n">
        <v>39944.6788888889</v>
      </c>
      <c r="L1509" s="0" t="n">
        <v>38681</v>
      </c>
      <c r="M1509" s="0" t="n">
        <v>38660</v>
      </c>
      <c r="N1509" s="0" t="n">
        <v>17</v>
      </c>
      <c r="O1509" s="54" t="n">
        <f aca="false">YEAR(B1509)</f>
        <v>2021</v>
      </c>
      <c r="P1509" s="54" t="n">
        <f aca="false">IF(AND(E1509&gt;=14400,K1509&gt;0,L1509&gt;0),1,0)</f>
        <v>1</v>
      </c>
      <c r="Q1509" s="53" t="n">
        <f aca="false">IF(P1509=1,F1509/E1509*MIN(L1509/K1509,1)*MIN(MAX(M1509/L1509,0),1),0)</f>
        <v>0.669431369095278</v>
      </c>
      <c r="R1509" s="55" t="n">
        <f aca="false">IF(F1509&gt;0,N1509/(F1509/3600),0)</f>
        <v>1.70235440342756</v>
      </c>
    </row>
    <row r="1510" customFormat="false" ht="15" hidden="false" customHeight="false" outlineLevel="0" collapsed="false">
      <c r="A1510" s="0" t="s">
        <v>260</v>
      </c>
      <c r="B1510" s="52" t="n">
        <v>44545</v>
      </c>
      <c r="C1510" s="0" t="n">
        <v>87208.953</v>
      </c>
      <c r="D1510" s="0" t="n">
        <v>2009.653</v>
      </c>
      <c r="E1510" s="0" t="n">
        <v>85199.3</v>
      </c>
      <c r="F1510" s="0" t="n">
        <v>34350.285</v>
      </c>
      <c r="G1510" s="0" t="n">
        <v>30091.439</v>
      </c>
      <c r="H1510" s="0" t="n">
        <v>4258.846</v>
      </c>
      <c r="I1510" s="0" t="n">
        <v>2257.221</v>
      </c>
      <c r="J1510" s="0" t="n">
        <v>48591.794</v>
      </c>
      <c r="K1510" s="0" t="n">
        <v>38166.9833333333</v>
      </c>
      <c r="L1510" s="0" t="n">
        <v>33374</v>
      </c>
      <c r="M1510" s="0" t="n">
        <v>33324</v>
      </c>
      <c r="N1510" s="0" t="n">
        <v>19</v>
      </c>
      <c r="O1510" s="54" t="n">
        <f aca="false">YEAR(B1510)</f>
        <v>2021</v>
      </c>
      <c r="P1510" s="54" t="n">
        <f aca="false">IF(AND(E1510&gt;=14400,K1510&gt;0,L1510&gt;0),1,0)</f>
        <v>1</v>
      </c>
      <c r="Q1510" s="53" t="n">
        <f aca="false">IF(P1510=1,F1510/E1510*MIN(L1510/K1510,1)*MIN(MAX(M1510/L1510,0),1),0)</f>
        <v>0.352016976665301</v>
      </c>
      <c r="R1510" s="55" t="n">
        <f aca="false">IF(F1510&gt;0,N1510/(F1510/3600),0)</f>
        <v>1.99124985425885</v>
      </c>
    </row>
    <row r="1511" customFormat="false" ht="15" hidden="false" customHeight="false" outlineLevel="0" collapsed="false">
      <c r="A1511" s="0" t="s">
        <v>260</v>
      </c>
      <c r="B1511" s="52" t="n">
        <v>44546</v>
      </c>
      <c r="C1511" s="0" t="n">
        <v>70086.796</v>
      </c>
      <c r="D1511" s="0" t="n">
        <v>12367.721</v>
      </c>
      <c r="E1511" s="0" t="n">
        <v>57719.075</v>
      </c>
      <c r="F1511" s="0" t="n">
        <v>44233.323</v>
      </c>
      <c r="G1511" s="0" t="n">
        <v>39791.603</v>
      </c>
      <c r="H1511" s="0" t="n">
        <v>4441.72</v>
      </c>
      <c r="I1511" s="0" t="n">
        <v>1357.794</v>
      </c>
      <c r="J1511" s="0" t="n">
        <v>12127.958</v>
      </c>
      <c r="K1511" s="0" t="n">
        <v>49148.1366666667</v>
      </c>
      <c r="L1511" s="0" t="n">
        <v>43176</v>
      </c>
      <c r="M1511" s="0" t="n">
        <v>43147</v>
      </c>
      <c r="N1511" s="0" t="n">
        <v>12</v>
      </c>
      <c r="O1511" s="54" t="n">
        <f aca="false">YEAR(B1511)</f>
        <v>2021</v>
      </c>
      <c r="P1511" s="54" t="n">
        <f aca="false">IF(AND(E1511&gt;=14400,K1511&gt;0,L1511&gt;0),1,0)</f>
        <v>1</v>
      </c>
      <c r="Q1511" s="53" t="n">
        <f aca="false">IF(P1511=1,F1511/E1511*MIN(L1511/K1511,1)*MIN(MAX(M1511/L1511,0),1),0)</f>
        <v>0.672781052017899</v>
      </c>
      <c r="R1511" s="55" t="n">
        <f aca="false">IF(F1511&gt;0,N1511/(F1511/3600),0)</f>
        <v>0.976639263570589</v>
      </c>
    </row>
    <row r="1512" customFormat="false" ht="15" hidden="false" customHeight="false" outlineLevel="0" collapsed="false">
      <c r="A1512" s="0" t="s">
        <v>260</v>
      </c>
      <c r="B1512" s="52" t="n">
        <v>44547</v>
      </c>
      <c r="C1512" s="0" t="n">
        <v>73719.589</v>
      </c>
      <c r="D1512" s="0" t="n">
        <v>6491.879</v>
      </c>
      <c r="E1512" s="0" t="n">
        <v>67227.71</v>
      </c>
      <c r="F1512" s="0" t="n">
        <v>32276.227</v>
      </c>
      <c r="G1512" s="0" t="n">
        <v>30715.064</v>
      </c>
      <c r="H1512" s="0" t="n">
        <v>1561.163</v>
      </c>
      <c r="I1512" s="0" t="n">
        <v>2977.058</v>
      </c>
      <c r="J1512" s="0" t="n">
        <v>31974.425</v>
      </c>
      <c r="K1512" s="0" t="n">
        <v>35862.4744444444</v>
      </c>
      <c r="L1512" s="0" t="n">
        <v>34082</v>
      </c>
      <c r="M1512" s="0" t="n">
        <v>34034</v>
      </c>
      <c r="N1512" s="0" t="n">
        <v>17</v>
      </c>
      <c r="O1512" s="54" t="n">
        <f aca="false">YEAR(B1512)</f>
        <v>2021</v>
      </c>
      <c r="P1512" s="54" t="n">
        <f aca="false">IF(AND(E1512&gt;=14400,K1512&gt;0,L1512&gt;0),1,0)</f>
        <v>1</v>
      </c>
      <c r="Q1512" s="53" t="n">
        <f aca="false">IF(P1512=1,F1512/E1512*MIN(L1512/K1512,1)*MIN(MAX(M1512/L1512,0),1),0)</f>
        <v>0.455624622644442</v>
      </c>
      <c r="R1512" s="55" t="n">
        <f aca="false">IF(F1512&gt;0,N1512/(F1512/3600),0)</f>
        <v>1.89613240729779</v>
      </c>
    </row>
    <row r="1513" customFormat="false" ht="15" hidden="false" customHeight="false" outlineLevel="0" collapsed="false">
      <c r="A1513" s="0" t="s">
        <v>260</v>
      </c>
      <c r="B1513" s="52" t="n">
        <v>44548</v>
      </c>
      <c r="C1513" s="0" t="n">
        <v>100732.657</v>
      </c>
      <c r="D1513" s="0" t="n">
        <v>8564.747</v>
      </c>
      <c r="E1513" s="0" t="n">
        <v>92167.91</v>
      </c>
      <c r="F1513" s="0" t="n">
        <v>30368.961</v>
      </c>
      <c r="G1513" s="0" t="n">
        <v>29060.703</v>
      </c>
      <c r="H1513" s="0" t="n">
        <v>1308.258</v>
      </c>
      <c r="I1513" s="0" t="n">
        <v>1906.322</v>
      </c>
      <c r="J1513" s="0" t="n">
        <v>59892.627</v>
      </c>
      <c r="K1513" s="0" t="n">
        <v>33743.29</v>
      </c>
      <c r="L1513" s="0" t="n">
        <v>32295</v>
      </c>
      <c r="M1513" s="0" t="n">
        <v>32261</v>
      </c>
      <c r="N1513" s="0" t="n">
        <v>11</v>
      </c>
      <c r="O1513" s="54" t="n">
        <f aca="false">YEAR(B1513)</f>
        <v>2021</v>
      </c>
      <c r="P1513" s="54" t="n">
        <f aca="false">IF(AND(E1513&gt;=14400,K1513&gt;0,L1513&gt;0),1,0)</f>
        <v>1</v>
      </c>
      <c r="Q1513" s="53" t="n">
        <f aca="false">IF(P1513=1,F1513/E1513*MIN(L1513/K1513,1)*MIN(MAX(M1513/L1513,0),1),0)</f>
        <v>0.315021790121963</v>
      </c>
      <c r="R1513" s="55" t="n">
        <f aca="false">IF(F1513&gt;0,N1513/(F1513/3600),0)</f>
        <v>1.3039629508563</v>
      </c>
    </row>
    <row r="1514" customFormat="false" ht="15" hidden="false" customHeight="false" outlineLevel="0" collapsed="false">
      <c r="A1514" s="0" t="s">
        <v>260</v>
      </c>
      <c r="B1514" s="52" t="n">
        <v>44549</v>
      </c>
      <c r="C1514" s="0" t="n">
        <v>78967.644</v>
      </c>
      <c r="D1514" s="0" t="n">
        <v>1935.928</v>
      </c>
      <c r="E1514" s="0" t="n">
        <v>77031.716</v>
      </c>
      <c r="F1514" s="0" t="n">
        <v>30050.582</v>
      </c>
      <c r="G1514" s="0" t="n">
        <v>28497.66</v>
      </c>
      <c r="H1514" s="0" t="n">
        <v>1552.922</v>
      </c>
      <c r="I1514" s="0" t="n">
        <v>1917.84</v>
      </c>
      <c r="J1514" s="0" t="n">
        <v>45063.294</v>
      </c>
      <c r="K1514" s="0" t="n">
        <v>33389.5355555556</v>
      </c>
      <c r="L1514" s="0" t="n">
        <v>31647</v>
      </c>
      <c r="M1514" s="0" t="n">
        <v>31560</v>
      </c>
      <c r="N1514" s="0" t="n">
        <v>15</v>
      </c>
      <c r="O1514" s="54" t="n">
        <f aca="false">YEAR(B1514)</f>
        <v>2021</v>
      </c>
      <c r="P1514" s="54" t="n">
        <f aca="false">IF(AND(E1514&gt;=14400,K1514&gt;0,L1514&gt;0),1,0)</f>
        <v>1</v>
      </c>
      <c r="Q1514" s="53" t="n">
        <f aca="false">IF(P1514=1,F1514/E1514*MIN(L1514/K1514,1)*MIN(MAX(M1514/L1514,0),1),0)</f>
        <v>0.368731237922832</v>
      </c>
      <c r="R1514" s="55" t="n">
        <f aca="false">IF(F1514&gt;0,N1514/(F1514/3600),0)</f>
        <v>1.79697018846424</v>
      </c>
    </row>
    <row r="1515" customFormat="false" ht="15" hidden="false" customHeight="false" outlineLevel="0" collapsed="false">
      <c r="A1515" s="0" t="s">
        <v>260</v>
      </c>
      <c r="B1515" s="52" t="n">
        <v>44550</v>
      </c>
      <c r="C1515" s="0" t="n">
        <v>82421.974</v>
      </c>
      <c r="D1515" s="0" t="n">
        <v>385.97</v>
      </c>
      <c r="E1515" s="0" t="n">
        <v>82036.004</v>
      </c>
      <c r="F1515" s="0" t="n">
        <v>41010.707</v>
      </c>
      <c r="G1515" s="0" t="n">
        <v>39702.441</v>
      </c>
      <c r="H1515" s="0" t="n">
        <v>1308.266</v>
      </c>
      <c r="I1515" s="0" t="n">
        <v>24716.953</v>
      </c>
      <c r="J1515" s="0" t="n">
        <v>16308.344</v>
      </c>
      <c r="K1515" s="0" t="n">
        <v>45567.4522222222</v>
      </c>
      <c r="L1515" s="0" t="n">
        <v>43056</v>
      </c>
      <c r="M1515" s="0" t="n">
        <v>43035</v>
      </c>
      <c r="N1515" s="0" t="n">
        <v>16</v>
      </c>
      <c r="O1515" s="54" t="n">
        <f aca="false">YEAR(B1515)</f>
        <v>2021</v>
      </c>
      <c r="P1515" s="54" t="n">
        <f aca="false">IF(AND(E1515&gt;=14400,K1515&gt;0,L1515&gt;0),1,0)</f>
        <v>1</v>
      </c>
      <c r="Q1515" s="53" t="n">
        <f aca="false">IF(P1515=1,F1515/E1515*MIN(L1515/K1515,1)*MIN(MAX(M1515/L1515,0),1),0)</f>
        <v>0.472128067086252</v>
      </c>
      <c r="R1515" s="55" t="n">
        <f aca="false">IF(F1515&gt;0,N1515/(F1515/3600),0)</f>
        <v>1.40451126580188</v>
      </c>
    </row>
    <row r="1516" customFormat="false" ht="15" hidden="false" customHeight="false" outlineLevel="0" collapsed="false">
      <c r="A1516" s="0" t="s">
        <v>260</v>
      </c>
      <c r="B1516" s="52" t="n">
        <v>44551</v>
      </c>
      <c r="C1516" s="0" t="n">
        <v>69265.968</v>
      </c>
      <c r="D1516" s="0" t="n">
        <v>1973.783</v>
      </c>
      <c r="E1516" s="0" t="n">
        <v>67292.185</v>
      </c>
      <c r="F1516" s="0" t="n">
        <v>37884.516</v>
      </c>
      <c r="G1516" s="0" t="n">
        <v>32835.942</v>
      </c>
      <c r="H1516" s="0" t="n">
        <v>5048.574</v>
      </c>
      <c r="I1516" s="0" t="n">
        <v>2503.769</v>
      </c>
      <c r="J1516" s="0" t="n">
        <v>26903.9</v>
      </c>
      <c r="K1516" s="0" t="n">
        <v>42007.5413194445</v>
      </c>
      <c r="L1516" s="0" t="n">
        <v>36399</v>
      </c>
      <c r="M1516" s="0" t="n">
        <v>36303</v>
      </c>
      <c r="N1516" s="0" t="n">
        <v>14</v>
      </c>
      <c r="O1516" s="54" t="n">
        <f aca="false">YEAR(B1516)</f>
        <v>2021</v>
      </c>
      <c r="P1516" s="54" t="n">
        <f aca="false">IF(AND(E1516&gt;=14400,K1516&gt;0,L1516&gt;0),1,0)</f>
        <v>1</v>
      </c>
      <c r="Q1516" s="53" t="n">
        <f aca="false">IF(P1516=1,F1516/E1516*MIN(L1516/K1516,1)*MIN(MAX(M1516/L1516,0),1),0)</f>
        <v>0.486533070563194</v>
      </c>
      <c r="R1516" s="55" t="n">
        <f aca="false">IF(F1516&gt;0,N1516/(F1516/3600),0)</f>
        <v>1.33035881994639</v>
      </c>
    </row>
    <row r="1517" customFormat="false" ht="15" hidden="false" customHeight="false" outlineLevel="0" collapsed="false">
      <c r="A1517" s="0" t="s">
        <v>260</v>
      </c>
      <c r="B1517" s="52" t="n">
        <v>44552</v>
      </c>
      <c r="C1517" s="0" t="n">
        <v>87487.879</v>
      </c>
      <c r="D1517" s="0" t="n">
        <v>7493.977</v>
      </c>
      <c r="E1517" s="0" t="n">
        <v>79993.902</v>
      </c>
      <c r="F1517" s="0" t="n">
        <v>56956.816</v>
      </c>
      <c r="G1517" s="0" t="n">
        <v>43470.616</v>
      </c>
      <c r="H1517" s="0" t="n">
        <v>13486.2</v>
      </c>
      <c r="I1517" s="0" t="n">
        <v>1766.279</v>
      </c>
      <c r="J1517" s="0" t="n">
        <v>21270.807</v>
      </c>
      <c r="K1517" s="0" t="n">
        <v>61328.5420833333</v>
      </c>
      <c r="L1517" s="0" t="n">
        <v>46825</v>
      </c>
      <c r="M1517" s="0" t="n">
        <v>46697</v>
      </c>
      <c r="N1517" s="0" t="n">
        <v>16</v>
      </c>
      <c r="O1517" s="54" t="n">
        <f aca="false">YEAR(B1517)</f>
        <v>2021</v>
      </c>
      <c r="P1517" s="54" t="n">
        <f aca="false">IF(AND(E1517&gt;=14400,K1517&gt;0,L1517&gt;0),1,0)</f>
        <v>1</v>
      </c>
      <c r="Q1517" s="53" t="n">
        <f aca="false">IF(P1517=1,F1517/E1517*MIN(L1517/K1517,1)*MIN(MAX(M1517/L1517,0),1),0)</f>
        <v>0.542144631689795</v>
      </c>
      <c r="R1517" s="55" t="n">
        <f aca="false">IF(F1517&gt;0,N1517/(F1517/3600),0)</f>
        <v>1.01129248516982</v>
      </c>
    </row>
    <row r="1518" customFormat="false" ht="15" hidden="false" customHeight="false" outlineLevel="0" collapsed="false">
      <c r="A1518" s="0" t="s">
        <v>260</v>
      </c>
      <c r="B1518" s="52" t="n">
        <v>44553</v>
      </c>
      <c r="C1518" s="0" t="n">
        <v>82355.848</v>
      </c>
      <c r="D1518" s="0" t="n">
        <v>7289.157</v>
      </c>
      <c r="E1518" s="0" t="n">
        <v>75066.691</v>
      </c>
      <c r="F1518" s="0" t="n">
        <v>39684.385</v>
      </c>
      <c r="G1518" s="0" t="n">
        <v>38198.891</v>
      </c>
      <c r="H1518" s="0" t="n">
        <v>1485.494</v>
      </c>
      <c r="I1518" s="0" t="n">
        <v>2213.92</v>
      </c>
      <c r="J1518" s="0" t="n">
        <v>33168.386</v>
      </c>
      <c r="K1518" s="0" t="n">
        <v>44093.7611111111</v>
      </c>
      <c r="L1518" s="0" t="n">
        <v>42415</v>
      </c>
      <c r="M1518" s="0" t="n">
        <v>42364</v>
      </c>
      <c r="N1518" s="0" t="n">
        <v>13</v>
      </c>
      <c r="O1518" s="54" t="n">
        <f aca="false">YEAR(B1518)</f>
        <v>2021</v>
      </c>
      <c r="P1518" s="54" t="n">
        <f aca="false">IF(AND(E1518&gt;=14400,K1518&gt;0,L1518&gt;0),1,0)</f>
        <v>1</v>
      </c>
      <c r="Q1518" s="53" t="n">
        <f aca="false">IF(P1518=1,F1518/E1518*MIN(L1518/K1518,1)*MIN(MAX(M1518/L1518,0),1),0)</f>
        <v>0.5079163540058</v>
      </c>
      <c r="R1518" s="55" t="n">
        <f aca="false">IF(F1518&gt;0,N1518/(F1518/3600),0)</f>
        <v>1.17930515995145</v>
      </c>
    </row>
    <row r="1519" customFormat="false" ht="15" hidden="false" customHeight="false" outlineLevel="0" collapsed="false">
      <c r="A1519" s="0" t="s">
        <v>260</v>
      </c>
      <c r="B1519" s="52" t="n">
        <v>44554</v>
      </c>
      <c r="C1519" s="0" t="n">
        <v>29873.097</v>
      </c>
      <c r="D1519" s="0" t="n">
        <v>770.099</v>
      </c>
      <c r="E1519" s="0" t="n">
        <v>29102.998</v>
      </c>
      <c r="F1519" s="0" t="n">
        <v>12747.033</v>
      </c>
      <c r="G1519" s="0" t="n">
        <v>11046.285</v>
      </c>
      <c r="H1519" s="0" t="n">
        <v>1700.748</v>
      </c>
      <c r="I1519" s="0" t="n">
        <v>2124.575</v>
      </c>
      <c r="J1519" s="0" t="n">
        <v>14231.39</v>
      </c>
      <c r="K1519" s="0" t="n">
        <v>14163.37</v>
      </c>
      <c r="L1519" s="0" t="n">
        <v>12252</v>
      </c>
      <c r="M1519" s="0" t="n">
        <v>12167</v>
      </c>
      <c r="N1519" s="0" t="n">
        <v>9</v>
      </c>
      <c r="O1519" s="54" t="n">
        <f aca="false">YEAR(B1519)</f>
        <v>2021</v>
      </c>
      <c r="P1519" s="54" t="n">
        <f aca="false">IF(AND(E1519&gt;=14400,K1519&gt;0,L1519&gt;0),1,0)</f>
        <v>1</v>
      </c>
      <c r="Q1519" s="53" t="n">
        <f aca="false">IF(P1519=1,F1519/E1519*MIN(L1519/K1519,1)*MIN(MAX(M1519/L1519,0),1),0)</f>
        <v>0.376260205220094</v>
      </c>
      <c r="R1519" s="55" t="n">
        <f aca="false">IF(F1519&gt;0,N1519/(F1519/3600),0)</f>
        <v>2.54176795494293</v>
      </c>
    </row>
    <row r="1520" customFormat="false" ht="15" hidden="false" customHeight="false" outlineLevel="0" collapsed="false">
      <c r="A1520" s="0" t="s">
        <v>260</v>
      </c>
      <c r="B1520" s="52" t="n">
        <v>44555</v>
      </c>
      <c r="C1520" s="0" t="n">
        <v>89775.095</v>
      </c>
      <c r="D1520" s="0" t="n">
        <v>10090.194</v>
      </c>
      <c r="E1520" s="0" t="n">
        <v>79684.901</v>
      </c>
      <c r="F1520" s="0" t="n">
        <v>40222.627</v>
      </c>
      <c r="G1520" s="0" t="n">
        <v>35883.342</v>
      </c>
      <c r="H1520" s="0" t="n">
        <v>4339.285</v>
      </c>
      <c r="I1520" s="0" t="n">
        <v>4741.692</v>
      </c>
      <c r="J1520" s="0" t="n">
        <v>34720.582</v>
      </c>
      <c r="K1520" s="0" t="n">
        <v>44648.27</v>
      </c>
      <c r="L1520" s="0" t="n">
        <v>39790</v>
      </c>
      <c r="M1520" s="0" t="n">
        <v>39699</v>
      </c>
      <c r="N1520" s="0" t="n">
        <v>20</v>
      </c>
      <c r="O1520" s="54" t="n">
        <f aca="false">YEAR(B1520)</f>
        <v>2021</v>
      </c>
      <c r="P1520" s="54" t="n">
        <f aca="false">IF(AND(E1520&gt;=14400,K1520&gt;0,L1520&gt;0),1,0)</f>
        <v>1</v>
      </c>
      <c r="Q1520" s="53" t="n">
        <f aca="false">IF(P1520=1,F1520/E1520*MIN(L1520/K1520,1)*MIN(MAX(M1520/L1520,0),1),0)</f>
        <v>0.44881702802723</v>
      </c>
      <c r="R1520" s="55" t="n">
        <f aca="false">IF(F1520&gt;0,N1520/(F1520/3600),0)</f>
        <v>1.79003723451479</v>
      </c>
    </row>
    <row r="1521" customFormat="false" ht="15" hidden="false" customHeight="false" outlineLevel="0" collapsed="false">
      <c r="A1521" s="0" t="s">
        <v>260</v>
      </c>
      <c r="B1521" s="52" t="n">
        <v>44556</v>
      </c>
      <c r="C1521" s="0" t="n">
        <v>76744.939</v>
      </c>
      <c r="D1521" s="0" t="n">
        <v>6951.315</v>
      </c>
      <c r="E1521" s="0" t="n">
        <v>69793.624</v>
      </c>
      <c r="F1521" s="0" t="n">
        <v>35054.011</v>
      </c>
      <c r="G1521" s="0" t="n">
        <v>31103.816</v>
      </c>
      <c r="H1521" s="0" t="n">
        <v>3950.195</v>
      </c>
      <c r="I1521" s="0" t="n">
        <v>4977.951</v>
      </c>
      <c r="J1521" s="0" t="n">
        <v>29761.662</v>
      </c>
      <c r="K1521" s="0" t="n">
        <v>38948.9011111111</v>
      </c>
      <c r="L1521" s="0" t="n">
        <v>33476</v>
      </c>
      <c r="M1521" s="0" t="n">
        <v>33359</v>
      </c>
      <c r="N1521" s="0" t="n">
        <v>22</v>
      </c>
      <c r="O1521" s="54" t="n">
        <f aca="false">YEAR(B1521)</f>
        <v>2021</v>
      </c>
      <c r="P1521" s="54" t="n">
        <f aca="false">IF(AND(E1521&gt;=14400,K1521&gt;0,L1521&gt;0),1,0)</f>
        <v>1</v>
      </c>
      <c r="Q1521" s="53" t="n">
        <f aca="false">IF(P1521=1,F1521/E1521*MIN(L1521/K1521,1)*MIN(MAX(M1521/L1521,0),1),0)</f>
        <v>0.430169667074459</v>
      </c>
      <c r="R1521" s="55" t="n">
        <f aca="false">IF(F1521&gt;0,N1521/(F1521/3600),0)</f>
        <v>2.25937054678279</v>
      </c>
    </row>
    <row r="1522" customFormat="false" ht="15" hidden="false" customHeight="false" outlineLevel="0" collapsed="false">
      <c r="A1522" s="0" t="s">
        <v>260</v>
      </c>
      <c r="B1522" s="52" t="n">
        <v>44557</v>
      </c>
      <c r="C1522" s="0" t="n">
        <v>82286.999</v>
      </c>
      <c r="D1522" s="0" t="n">
        <v>20587.597</v>
      </c>
      <c r="E1522" s="0" t="n">
        <v>61699.402</v>
      </c>
      <c r="F1522" s="0" t="n">
        <v>32064.597</v>
      </c>
      <c r="G1522" s="0" t="n">
        <v>28372.074</v>
      </c>
      <c r="H1522" s="0" t="n">
        <v>3692.523</v>
      </c>
      <c r="I1522" s="0" t="n">
        <v>6827.523</v>
      </c>
      <c r="J1522" s="0" t="n">
        <v>22807.282</v>
      </c>
      <c r="K1522" s="0" t="n">
        <v>35627.33</v>
      </c>
      <c r="L1522" s="0" t="n">
        <v>31431</v>
      </c>
      <c r="M1522" s="0" t="n">
        <v>31259</v>
      </c>
      <c r="N1522" s="0" t="n">
        <v>30</v>
      </c>
      <c r="O1522" s="54" t="n">
        <f aca="false">YEAR(B1522)</f>
        <v>2021</v>
      </c>
      <c r="P1522" s="54" t="n">
        <f aca="false">IF(AND(E1522&gt;=14400,K1522&gt;0,L1522&gt;0),1,0)</f>
        <v>1</v>
      </c>
      <c r="Q1522" s="53" t="n">
        <f aca="false">IF(P1522=1,F1522/E1522*MIN(L1522/K1522,1)*MIN(MAX(M1522/L1522,0),1),0)</f>
        <v>0.455970383635161</v>
      </c>
      <c r="R1522" s="55" t="n">
        <f aca="false">IF(F1522&gt;0,N1522/(F1522/3600),0)</f>
        <v>3.3682007604836</v>
      </c>
    </row>
    <row r="1523" customFormat="false" ht="15" hidden="false" customHeight="false" outlineLevel="0" collapsed="false">
      <c r="A1523" s="0" t="s">
        <v>260</v>
      </c>
      <c r="B1523" s="52" t="n">
        <v>44558</v>
      </c>
      <c r="C1523" s="0" t="n">
        <v>97521.833</v>
      </c>
      <c r="D1523" s="0" t="n">
        <v>1960.81</v>
      </c>
      <c r="E1523" s="0" t="n">
        <v>95561.023</v>
      </c>
      <c r="F1523" s="0" t="n">
        <v>40721.232</v>
      </c>
      <c r="G1523" s="0" t="n">
        <v>38509.317</v>
      </c>
      <c r="H1523" s="0" t="n">
        <v>2211.915</v>
      </c>
      <c r="I1523" s="0" t="n">
        <v>2607.757</v>
      </c>
      <c r="J1523" s="0" t="n">
        <v>52232.034</v>
      </c>
      <c r="K1523" s="0" t="n">
        <v>45245.8133333333</v>
      </c>
      <c r="L1523" s="0" t="n">
        <v>42795</v>
      </c>
      <c r="M1523" s="0" t="n">
        <v>42755</v>
      </c>
      <c r="N1523" s="0" t="n">
        <v>15</v>
      </c>
      <c r="O1523" s="54" t="n">
        <f aca="false">YEAR(B1523)</f>
        <v>2021</v>
      </c>
      <c r="P1523" s="54" t="n">
        <f aca="false">IF(AND(E1523&gt;=14400,K1523&gt;0,L1523&gt;0),1,0)</f>
        <v>1</v>
      </c>
      <c r="Q1523" s="53" t="n">
        <f aca="false">IF(P1523=1,F1523/E1523*MIN(L1523/K1523,1)*MIN(MAX(M1523/L1523,0),1),0)</f>
        <v>0.402669402147359</v>
      </c>
      <c r="R1523" s="55" t="n">
        <f aca="false">IF(F1523&gt;0,N1523/(F1523/3600),0)</f>
        <v>1.32608954463853</v>
      </c>
    </row>
    <row r="1524" customFormat="false" ht="15" hidden="false" customHeight="false" outlineLevel="0" collapsed="false">
      <c r="A1524" s="0" t="s">
        <v>260</v>
      </c>
      <c r="B1524" s="52" t="n">
        <v>44559</v>
      </c>
      <c r="C1524" s="0" t="n">
        <v>67529.138</v>
      </c>
      <c r="D1524" s="0" t="n">
        <v>7606.638</v>
      </c>
      <c r="E1524" s="0" t="n">
        <v>59922.5</v>
      </c>
      <c r="F1524" s="0" t="n">
        <v>34590.045</v>
      </c>
      <c r="G1524" s="0" t="n">
        <v>32837.603</v>
      </c>
      <c r="H1524" s="0" t="n">
        <v>1752.442</v>
      </c>
      <c r="I1524" s="0" t="n">
        <v>5152.906</v>
      </c>
      <c r="J1524" s="0" t="n">
        <v>20179.549</v>
      </c>
      <c r="K1524" s="0" t="n">
        <v>38433.3833333333</v>
      </c>
      <c r="L1524" s="0" t="n">
        <v>35398</v>
      </c>
      <c r="M1524" s="0" t="n">
        <v>35284</v>
      </c>
      <c r="N1524" s="0" t="n">
        <v>34</v>
      </c>
      <c r="O1524" s="54" t="n">
        <f aca="false">YEAR(B1524)</f>
        <v>2021</v>
      </c>
      <c r="P1524" s="54" t="n">
        <f aca="false">IF(AND(E1524&gt;=14400,K1524&gt;0,L1524&gt;0),1,0)</f>
        <v>1</v>
      </c>
      <c r="Q1524" s="53" t="n">
        <f aca="false">IF(P1524=1,F1524/E1524*MIN(L1524/K1524,1)*MIN(MAX(M1524/L1524,0),1),0)</f>
        <v>0.529944511660895</v>
      </c>
      <c r="R1524" s="55" t="n">
        <f aca="false">IF(F1524&gt;0,N1524/(F1524/3600),0)</f>
        <v>3.538590366101</v>
      </c>
    </row>
    <row r="1525" customFormat="false" ht="15" hidden="false" customHeight="false" outlineLevel="0" collapsed="false">
      <c r="A1525" s="0" t="s">
        <v>260</v>
      </c>
      <c r="B1525" s="52" t="n">
        <v>44560</v>
      </c>
      <c r="C1525" s="0" t="n">
        <v>52320.638</v>
      </c>
      <c r="D1525" s="0" t="n">
        <v>60.05</v>
      </c>
      <c r="E1525" s="0" t="n">
        <v>52260.588</v>
      </c>
      <c r="F1525" s="0" t="n">
        <v>30606.173</v>
      </c>
      <c r="G1525" s="0" t="n">
        <v>27577.783</v>
      </c>
      <c r="H1525" s="0" t="n">
        <v>3028.39</v>
      </c>
      <c r="I1525" s="0" t="n">
        <v>20585.449</v>
      </c>
      <c r="J1525" s="0" t="n">
        <v>1068.966</v>
      </c>
      <c r="K1525" s="0" t="n">
        <v>34006.8588888889</v>
      </c>
      <c r="L1525" s="0" t="n">
        <v>30586</v>
      </c>
      <c r="M1525" s="0" t="n">
        <v>30518</v>
      </c>
      <c r="N1525" s="0" t="n">
        <v>22</v>
      </c>
      <c r="O1525" s="54" t="n">
        <f aca="false">YEAR(B1525)</f>
        <v>2021</v>
      </c>
      <c r="P1525" s="54" t="n">
        <f aca="false">IF(AND(E1525&gt;=14400,K1525&gt;0,L1525&gt;0),1,0)</f>
        <v>1</v>
      </c>
      <c r="Q1525" s="53" t="n">
        <f aca="false">IF(P1525=1,F1525/E1525*MIN(L1525/K1525,1)*MIN(MAX(M1525/L1525,0),1),0)</f>
        <v>0.525562398953491</v>
      </c>
      <c r="R1525" s="55" t="n">
        <f aca="false">IF(F1525&gt;0,N1525/(F1525/3600),0)</f>
        <v>2.58771326947672</v>
      </c>
    </row>
    <row r="1526" customFormat="false" ht="15" hidden="false" customHeight="false" outlineLevel="0" collapsed="false">
      <c r="A1526" s="0" t="s">
        <v>260</v>
      </c>
      <c r="B1526" s="52" t="n">
        <v>44561</v>
      </c>
      <c r="C1526" s="0" t="n">
        <v>25700.088</v>
      </c>
      <c r="D1526" s="0" t="n">
        <v>482.861</v>
      </c>
      <c r="E1526" s="0" t="n">
        <v>25217.227</v>
      </c>
      <c r="F1526" s="0" t="n">
        <v>23099.318</v>
      </c>
      <c r="G1526" s="0" t="n">
        <v>21356.295</v>
      </c>
      <c r="H1526" s="0" t="n">
        <v>1743.023</v>
      </c>
      <c r="I1526" s="0" t="n">
        <v>1329.126</v>
      </c>
      <c r="J1526" s="0" t="n">
        <v>788.783</v>
      </c>
      <c r="K1526" s="0" t="n">
        <v>25665.9088888889</v>
      </c>
      <c r="L1526" s="0" t="n">
        <v>23729</v>
      </c>
      <c r="M1526" s="0" t="n">
        <v>23674</v>
      </c>
      <c r="N1526" s="0" t="n">
        <v>5</v>
      </c>
      <c r="O1526" s="54" t="n">
        <f aca="false">YEAR(B1526)</f>
        <v>2021</v>
      </c>
      <c r="P1526" s="54" t="n">
        <f aca="false">IF(AND(E1526&gt;=14400,K1526&gt;0,L1526&gt;0),1,0)</f>
        <v>1</v>
      </c>
      <c r="Q1526" s="53" t="n">
        <f aca="false">IF(P1526=1,F1526/E1526*MIN(L1526/K1526,1)*MIN(MAX(M1526/L1526,0),1),0)</f>
        <v>0.8449224016582</v>
      </c>
      <c r="R1526" s="55" t="n">
        <f aca="false">IF(F1526&gt;0,N1526/(F1526/3600),0)</f>
        <v>0.779243785465874</v>
      </c>
    </row>
    <row r="1527" customFormat="false" ht="15" hidden="false" customHeight="false" outlineLevel="0" collapsed="false">
      <c r="A1527" s="0" t="s">
        <v>260</v>
      </c>
      <c r="B1527" s="52" t="n">
        <v>44562</v>
      </c>
      <c r="C1527" s="0" t="n">
        <v>45413.219</v>
      </c>
      <c r="D1527" s="0" t="n">
        <v>0</v>
      </c>
      <c r="E1527" s="0" t="n">
        <v>45413.219</v>
      </c>
      <c r="F1527" s="0" t="n">
        <v>29556.333</v>
      </c>
      <c r="G1527" s="0" t="n">
        <v>27889.791</v>
      </c>
      <c r="H1527" s="0" t="n">
        <v>1666.542</v>
      </c>
      <c r="I1527" s="0" t="n">
        <v>15409.103</v>
      </c>
      <c r="J1527" s="0" t="n">
        <v>447.783</v>
      </c>
      <c r="K1527" s="0" t="n">
        <v>32840.37</v>
      </c>
      <c r="L1527" s="0" t="n">
        <v>30882</v>
      </c>
      <c r="M1527" s="0" t="n">
        <v>30803</v>
      </c>
      <c r="N1527" s="0" t="n">
        <v>23</v>
      </c>
      <c r="O1527" s="54" t="n">
        <f aca="false">YEAR(B1527)</f>
        <v>2022</v>
      </c>
      <c r="P1527" s="54" t="n">
        <f aca="false">IF(AND(E1527&gt;=14400,K1527&gt;0,L1527&gt;0),1,0)</f>
        <v>1</v>
      </c>
      <c r="Q1527" s="53" t="n">
        <f aca="false">IF(P1527=1,F1527/E1527*MIN(L1527/K1527,1)*MIN(MAX(M1527/L1527,0),1),0)</f>
        <v>0.61045441416518</v>
      </c>
      <c r="R1527" s="55" t="n">
        <f aca="false">IF(F1527&gt;0,N1527/(F1527/3600),0)</f>
        <v>2.80143006914965</v>
      </c>
    </row>
    <row r="1528" customFormat="false" ht="15" hidden="false" customHeight="false" outlineLevel="0" collapsed="false">
      <c r="A1528" s="0" t="s">
        <v>261</v>
      </c>
      <c r="B1528" s="52" t="n">
        <v>43830</v>
      </c>
      <c r="C1528" s="0" t="n">
        <v>10186.126</v>
      </c>
      <c r="D1528" s="0" t="n">
        <v>2884.481</v>
      </c>
      <c r="E1528" s="0" t="n">
        <v>7301.645</v>
      </c>
      <c r="F1528" s="0" t="n">
        <v>4840.759</v>
      </c>
      <c r="G1528" s="0" t="n">
        <v>3293.62</v>
      </c>
      <c r="H1528" s="0" t="n">
        <v>1547.139</v>
      </c>
      <c r="I1528" s="0" t="n">
        <v>21.09</v>
      </c>
      <c r="J1528" s="0" t="n">
        <v>2439.796</v>
      </c>
      <c r="K1528" s="0" t="n">
        <v>8740.25930555556</v>
      </c>
      <c r="L1528" s="0" t="n">
        <v>5936</v>
      </c>
      <c r="M1528" s="0" t="n">
        <v>5936</v>
      </c>
      <c r="N1528" s="0" t="n">
        <v>3</v>
      </c>
      <c r="O1528" s="54" t="n">
        <f aca="false">YEAR(B1528)</f>
        <v>2019</v>
      </c>
      <c r="P1528" s="54" t="n">
        <f aca="false">IF(AND(E1528&gt;=14400,K1528&gt;0,L1528&gt;0),1,0)</f>
        <v>0</v>
      </c>
      <c r="Q1528" s="53" t="n">
        <f aca="false">IF(P1528=1,F1528/E1528*MIN(L1528/K1528,1)*MIN(MAX(M1528/L1528,0),1),0)</f>
        <v>0</v>
      </c>
      <c r="R1528" s="55" t="n">
        <f aca="false">IF(F1528&gt;0,N1528/(F1528/3600),0)</f>
        <v>2.23105508867514</v>
      </c>
    </row>
    <row r="1529" customFormat="false" ht="15" hidden="false" customHeight="false" outlineLevel="0" collapsed="false">
      <c r="A1529" s="0" t="s">
        <v>261</v>
      </c>
      <c r="B1529" s="52" t="n">
        <v>43831</v>
      </c>
      <c r="C1529" s="0" t="n">
        <v>20621.065</v>
      </c>
      <c r="D1529" s="0" t="n">
        <v>6194.477</v>
      </c>
      <c r="E1529" s="0" t="n">
        <v>14426.588</v>
      </c>
      <c r="F1529" s="0" t="n">
        <v>0</v>
      </c>
      <c r="G1529" s="0" t="n">
        <v>0</v>
      </c>
      <c r="H1529" s="0" t="n">
        <v>0</v>
      </c>
      <c r="I1529" s="0" t="n">
        <v>0</v>
      </c>
      <c r="J1529" s="0" t="n">
        <v>14426.588</v>
      </c>
      <c r="K1529" s="0" t="n">
        <v>0</v>
      </c>
      <c r="L1529" s="0" t="n">
        <v>0</v>
      </c>
      <c r="M1529" s="0" t="n">
        <v>0</v>
      </c>
      <c r="N1529" s="0" t="n">
        <v>0</v>
      </c>
      <c r="O1529" s="54" t="n">
        <f aca="false">YEAR(B1529)</f>
        <v>2020</v>
      </c>
      <c r="P1529" s="54" t="n">
        <f aca="false">IF(AND(E1529&gt;=14400,K1529&gt;0,L1529&gt;0),1,0)</f>
        <v>0</v>
      </c>
      <c r="Q1529" s="53" t="n">
        <f aca="false">IF(P1529=1,F1529/E1529*MIN(L1529/K1529,1)*MIN(MAX(M1529/L1529,0),1),0)</f>
        <v>0</v>
      </c>
      <c r="R1529" s="55" t="n">
        <f aca="false">IF(F1529&gt;0,N1529/(F1529/3600),0)</f>
        <v>0</v>
      </c>
    </row>
    <row r="1530" customFormat="false" ht="15" hidden="false" customHeight="false" outlineLevel="0" collapsed="false">
      <c r="A1530" s="0" t="s">
        <v>261</v>
      </c>
      <c r="B1530" s="52" t="n">
        <v>43832</v>
      </c>
      <c r="C1530" s="0" t="n">
        <v>59262.657</v>
      </c>
      <c r="D1530" s="0" t="n">
        <v>0</v>
      </c>
      <c r="E1530" s="0" t="n">
        <v>59262.657</v>
      </c>
      <c r="F1530" s="0" t="n">
        <v>47262.238</v>
      </c>
      <c r="G1530" s="0" t="n">
        <v>25357.195</v>
      </c>
      <c r="H1530" s="0" t="n">
        <v>21905.043</v>
      </c>
      <c r="I1530" s="0" t="n">
        <v>1109.109</v>
      </c>
      <c r="J1530" s="0" t="n">
        <v>10891.31</v>
      </c>
      <c r="K1530" s="0" t="n">
        <v>73678.3546466667</v>
      </c>
      <c r="L1530" s="0" t="n">
        <v>42957</v>
      </c>
      <c r="M1530" s="0" t="n">
        <v>42861</v>
      </c>
      <c r="N1530" s="0" t="n">
        <v>26</v>
      </c>
      <c r="O1530" s="54" t="n">
        <f aca="false">YEAR(B1530)</f>
        <v>2020</v>
      </c>
      <c r="P1530" s="54" t="n">
        <f aca="false">IF(AND(E1530&gt;=14400,K1530&gt;0,L1530&gt;0),1,0)</f>
        <v>1</v>
      </c>
      <c r="Q1530" s="53" t="n">
        <f aca="false">IF(P1530=1,F1530/E1530*MIN(L1530/K1530,1)*MIN(MAX(M1530/L1530,0),1),0)</f>
        <v>0.463933298261852</v>
      </c>
      <c r="R1530" s="55" t="n">
        <f aca="false">IF(F1530&gt;0,N1530/(F1530/3600),0)</f>
        <v>1.98043943665977</v>
      </c>
    </row>
    <row r="1531" customFormat="false" ht="15" hidden="false" customHeight="false" outlineLevel="0" collapsed="false">
      <c r="A1531" s="0" t="s">
        <v>261</v>
      </c>
      <c r="B1531" s="52" t="n">
        <v>43833</v>
      </c>
      <c r="C1531" s="0" t="n">
        <v>75598.477</v>
      </c>
      <c r="D1531" s="0" t="n">
        <v>17145.988</v>
      </c>
      <c r="E1531" s="0" t="n">
        <v>58452.489</v>
      </c>
      <c r="F1531" s="0" t="n">
        <v>39467.128</v>
      </c>
      <c r="G1531" s="0" t="n">
        <v>19998.95</v>
      </c>
      <c r="H1531" s="0" t="n">
        <v>19468.178</v>
      </c>
      <c r="I1531" s="0" t="n">
        <v>3606.432</v>
      </c>
      <c r="J1531" s="0" t="n">
        <v>15378.929</v>
      </c>
      <c r="K1531" s="0" t="n">
        <v>63521.6579205556</v>
      </c>
      <c r="L1531" s="0" t="n">
        <v>34799</v>
      </c>
      <c r="M1531" s="0" t="n">
        <v>34646</v>
      </c>
      <c r="N1531" s="0" t="n">
        <v>18</v>
      </c>
      <c r="O1531" s="54" t="n">
        <f aca="false">YEAR(B1531)</f>
        <v>2020</v>
      </c>
      <c r="P1531" s="54" t="n">
        <f aca="false">IF(AND(E1531&gt;=14400,K1531&gt;0,L1531&gt;0),1,0)</f>
        <v>1</v>
      </c>
      <c r="Q1531" s="53" t="n">
        <f aca="false">IF(P1531=1,F1531/E1531*MIN(L1531/K1531,1)*MIN(MAX(M1531/L1531,0),1),0)</f>
        <v>0.368267837585599</v>
      </c>
      <c r="R1531" s="55" t="n">
        <f aca="false">IF(F1531&gt;0,N1531/(F1531/3600),0)</f>
        <v>1.64187269973128</v>
      </c>
    </row>
    <row r="1532" customFormat="false" ht="15" hidden="false" customHeight="false" outlineLevel="0" collapsed="false">
      <c r="A1532" s="0" t="s">
        <v>261</v>
      </c>
      <c r="B1532" s="52" t="n">
        <v>43834</v>
      </c>
      <c r="C1532" s="0" t="n">
        <v>85267.142</v>
      </c>
      <c r="D1532" s="0" t="n">
        <v>23956.435</v>
      </c>
      <c r="E1532" s="0" t="n">
        <v>61310.707</v>
      </c>
      <c r="F1532" s="0" t="n">
        <v>52380.879</v>
      </c>
      <c r="G1532" s="0" t="n">
        <v>35117.04</v>
      </c>
      <c r="H1532" s="0" t="n">
        <v>17263.839</v>
      </c>
      <c r="I1532" s="0" t="n">
        <v>459.518</v>
      </c>
      <c r="J1532" s="0" t="n">
        <v>8470.31</v>
      </c>
      <c r="K1532" s="0" t="n">
        <v>90374.3008716667</v>
      </c>
      <c r="L1532" s="0" t="n">
        <v>60733</v>
      </c>
      <c r="M1532" s="0" t="n">
        <v>60648</v>
      </c>
      <c r="N1532" s="0" t="n">
        <v>16</v>
      </c>
      <c r="O1532" s="54" t="n">
        <f aca="false">YEAR(B1532)</f>
        <v>2020</v>
      </c>
      <c r="P1532" s="54" t="n">
        <f aca="false">IF(AND(E1532&gt;=14400,K1532&gt;0,L1532&gt;0),1,0)</f>
        <v>1</v>
      </c>
      <c r="Q1532" s="53" t="n">
        <f aca="false">IF(P1532=1,F1532/E1532*MIN(L1532/K1532,1)*MIN(MAX(M1532/L1532,0),1),0)</f>
        <v>0.573334387632111</v>
      </c>
      <c r="R1532" s="55" t="n">
        <f aca="false">IF(F1532&gt;0,N1532/(F1532/3600),0)</f>
        <v>1.0996379041291</v>
      </c>
    </row>
    <row r="1533" customFormat="false" ht="15" hidden="false" customHeight="false" outlineLevel="0" collapsed="false">
      <c r="A1533" s="0" t="s">
        <v>261</v>
      </c>
      <c r="B1533" s="52" t="n">
        <v>43835</v>
      </c>
      <c r="C1533" s="0" t="n">
        <v>44810.223</v>
      </c>
      <c r="D1533" s="0" t="n">
        <v>1760.06</v>
      </c>
      <c r="E1533" s="0" t="n">
        <v>43050.163</v>
      </c>
      <c r="F1533" s="0" t="n">
        <v>41.202</v>
      </c>
      <c r="G1533" s="0" t="n">
        <v>0</v>
      </c>
      <c r="H1533" s="0" t="n">
        <v>41.202</v>
      </c>
      <c r="I1533" s="0" t="n">
        <v>0</v>
      </c>
      <c r="J1533" s="0" t="n">
        <v>43008.961</v>
      </c>
      <c r="K1533" s="0" t="n">
        <v>14.1396088888889</v>
      </c>
      <c r="L1533" s="0" t="n">
        <v>0</v>
      </c>
      <c r="M1533" s="0" t="n">
        <v>0</v>
      </c>
      <c r="N1533" s="0" t="n">
        <v>0</v>
      </c>
      <c r="O1533" s="54" t="n">
        <f aca="false">YEAR(B1533)</f>
        <v>2020</v>
      </c>
      <c r="P1533" s="54" t="n">
        <f aca="false">IF(AND(E1533&gt;=14400,K1533&gt;0,L1533&gt;0),1,0)</f>
        <v>0</v>
      </c>
      <c r="Q1533" s="53" t="n">
        <f aca="false">IF(P1533=1,F1533/E1533*MIN(L1533/K1533,1)*MIN(MAX(M1533/L1533,0),1),0)</f>
        <v>0</v>
      </c>
      <c r="R1533" s="55" t="n">
        <f aca="false">IF(F1533&gt;0,N1533/(F1533/3600),0)</f>
        <v>0</v>
      </c>
    </row>
    <row r="1534" customFormat="false" ht="15" hidden="false" customHeight="false" outlineLevel="0" collapsed="false">
      <c r="A1534" s="0" t="s">
        <v>261</v>
      </c>
      <c r="B1534" s="52" t="n">
        <v>43836</v>
      </c>
      <c r="C1534" s="0" t="n">
        <v>59170.945</v>
      </c>
      <c r="D1534" s="0" t="n">
        <v>900</v>
      </c>
      <c r="E1534" s="0" t="n">
        <v>58270.945</v>
      </c>
      <c r="F1534" s="0" t="n">
        <v>40682.979</v>
      </c>
      <c r="G1534" s="0" t="n">
        <v>22522.695</v>
      </c>
      <c r="H1534" s="0" t="n">
        <v>18160.284</v>
      </c>
      <c r="I1534" s="0" t="n">
        <v>9761.644</v>
      </c>
      <c r="J1534" s="0" t="n">
        <v>7826.322</v>
      </c>
      <c r="K1534" s="0" t="n">
        <v>64615.3405408333</v>
      </c>
      <c r="L1534" s="0" t="n">
        <v>38205</v>
      </c>
      <c r="M1534" s="0" t="n">
        <v>37884</v>
      </c>
      <c r="N1534" s="0" t="n">
        <v>22</v>
      </c>
      <c r="O1534" s="54" t="n">
        <f aca="false">YEAR(B1534)</f>
        <v>2020</v>
      </c>
      <c r="P1534" s="54" t="n">
        <f aca="false">IF(AND(E1534&gt;=14400,K1534&gt;0,L1534&gt;0),1,0)</f>
        <v>1</v>
      </c>
      <c r="Q1534" s="53" t="n">
        <f aca="false">IF(P1534=1,F1534/E1534*MIN(L1534/K1534,1)*MIN(MAX(M1534/L1534,0),1),0)</f>
        <v>0.409336880628943</v>
      </c>
      <c r="R1534" s="55" t="n">
        <f aca="false">IF(F1534&gt;0,N1534/(F1534/3600),0)</f>
        <v>1.94676009345333</v>
      </c>
    </row>
    <row r="1535" customFormat="false" ht="15" hidden="false" customHeight="false" outlineLevel="0" collapsed="false">
      <c r="A1535" s="0" t="s">
        <v>261</v>
      </c>
      <c r="B1535" s="52" t="n">
        <v>43837</v>
      </c>
      <c r="C1535" s="0" t="n">
        <v>79991.166</v>
      </c>
      <c r="D1535" s="0" t="n">
        <v>13201.607</v>
      </c>
      <c r="E1535" s="0" t="n">
        <v>66789.559</v>
      </c>
      <c r="F1535" s="0" t="n">
        <v>51396.562</v>
      </c>
      <c r="G1535" s="0" t="n">
        <v>16135.898</v>
      </c>
      <c r="H1535" s="0" t="n">
        <v>35260.664</v>
      </c>
      <c r="I1535" s="0" t="n">
        <v>878.657</v>
      </c>
      <c r="J1535" s="0" t="n">
        <v>14514.34</v>
      </c>
      <c r="K1535" s="0" t="n">
        <v>85687.8053377778</v>
      </c>
      <c r="L1535" s="0" t="n">
        <v>27059</v>
      </c>
      <c r="M1535" s="0" t="n">
        <v>26969</v>
      </c>
      <c r="N1535" s="0" t="n">
        <v>18</v>
      </c>
      <c r="O1535" s="54" t="n">
        <f aca="false">YEAR(B1535)</f>
        <v>2020</v>
      </c>
      <c r="P1535" s="54" t="n">
        <f aca="false">IF(AND(E1535&gt;=14400,K1535&gt;0,L1535&gt;0),1,0)</f>
        <v>1</v>
      </c>
      <c r="Q1535" s="53" t="n">
        <f aca="false">IF(P1535=1,F1535/E1535*MIN(L1535/K1535,1)*MIN(MAX(M1535/L1535,0),1),0)</f>
        <v>0.24219842631597</v>
      </c>
      <c r="R1535" s="55" t="n">
        <f aca="false">IF(F1535&gt;0,N1535/(F1535/3600),0)</f>
        <v>1.26078471941372</v>
      </c>
    </row>
    <row r="1536" customFormat="false" ht="15" hidden="false" customHeight="false" outlineLevel="0" collapsed="false">
      <c r="A1536" s="0" t="s">
        <v>261</v>
      </c>
      <c r="B1536" s="52" t="n">
        <v>43838</v>
      </c>
      <c r="C1536" s="0" t="n">
        <v>76782.574</v>
      </c>
      <c r="D1536" s="0" t="n">
        <v>14924.942</v>
      </c>
      <c r="E1536" s="0" t="n">
        <v>61857.632</v>
      </c>
      <c r="F1536" s="0" t="n">
        <v>47274.367</v>
      </c>
      <c r="G1536" s="0" t="n">
        <v>20200.559</v>
      </c>
      <c r="H1536" s="0" t="n">
        <v>27073.808</v>
      </c>
      <c r="I1536" s="0" t="n">
        <v>1864.427</v>
      </c>
      <c r="J1536" s="0" t="n">
        <v>12718.838</v>
      </c>
      <c r="K1536" s="0" t="n">
        <v>57944.4978577778</v>
      </c>
      <c r="L1536" s="0" t="n">
        <v>31427</v>
      </c>
      <c r="M1536" s="0" t="n">
        <v>31346</v>
      </c>
      <c r="N1536" s="0" t="n">
        <v>19</v>
      </c>
      <c r="O1536" s="54" t="n">
        <f aca="false">YEAR(B1536)</f>
        <v>2020</v>
      </c>
      <c r="P1536" s="54" t="n">
        <f aca="false">IF(AND(E1536&gt;=14400,K1536&gt;0,L1536&gt;0),1,0)</f>
        <v>1</v>
      </c>
      <c r="Q1536" s="53" t="n">
        <f aca="false">IF(P1536=1,F1536/E1536*MIN(L1536/K1536,1)*MIN(MAX(M1536/L1536,0),1),0)</f>
        <v>0.413430352213163</v>
      </c>
      <c r="R1536" s="55" t="n">
        <f aca="false">IF(F1536&gt;0,N1536/(F1536/3600),0)</f>
        <v>1.44687288991093</v>
      </c>
    </row>
    <row r="1537" customFormat="false" ht="15" hidden="false" customHeight="false" outlineLevel="0" collapsed="false">
      <c r="A1537" s="0" t="s">
        <v>261</v>
      </c>
      <c r="B1537" s="52" t="n">
        <v>43839</v>
      </c>
      <c r="C1537" s="0" t="n">
        <v>86399.997</v>
      </c>
      <c r="D1537" s="0" t="n">
        <v>17805.268</v>
      </c>
      <c r="E1537" s="0" t="n">
        <v>68594.729</v>
      </c>
      <c r="F1537" s="0" t="n">
        <v>49974.389</v>
      </c>
      <c r="G1537" s="0" t="n">
        <v>26146.891</v>
      </c>
      <c r="H1537" s="0" t="n">
        <v>23827.498</v>
      </c>
      <c r="I1537" s="0" t="n">
        <v>4662.707</v>
      </c>
      <c r="J1537" s="0" t="n">
        <v>13957.633</v>
      </c>
      <c r="K1537" s="0" t="n">
        <v>59594.3690786111</v>
      </c>
      <c r="L1537" s="0" t="n">
        <v>40028</v>
      </c>
      <c r="M1537" s="0" t="n">
        <v>39751</v>
      </c>
      <c r="N1537" s="0" t="n">
        <v>27</v>
      </c>
      <c r="O1537" s="54" t="n">
        <f aca="false">YEAR(B1537)</f>
        <v>2020</v>
      </c>
      <c r="P1537" s="54" t="n">
        <f aca="false">IF(AND(E1537&gt;=14400,K1537&gt;0,L1537&gt;0),1,0)</f>
        <v>1</v>
      </c>
      <c r="Q1537" s="53" t="n">
        <f aca="false">IF(P1537=1,F1537/E1537*MIN(L1537/K1537,1)*MIN(MAX(M1537/L1537,0),1),0)</f>
        <v>0.485958945032859</v>
      </c>
      <c r="R1537" s="55" t="n">
        <f aca="false">IF(F1537&gt;0,N1537/(F1537/3600),0)</f>
        <v>1.94499626598736</v>
      </c>
    </row>
    <row r="1538" customFormat="false" ht="15" hidden="false" customHeight="false" outlineLevel="0" collapsed="false">
      <c r="A1538" s="0" t="s">
        <v>261</v>
      </c>
      <c r="B1538" s="52" t="n">
        <v>43840</v>
      </c>
      <c r="C1538" s="0" t="n">
        <v>84030.943</v>
      </c>
      <c r="D1538" s="0" t="n">
        <v>20402.81</v>
      </c>
      <c r="E1538" s="0" t="n">
        <v>63628.133</v>
      </c>
      <c r="F1538" s="0" t="n">
        <v>36674.829</v>
      </c>
      <c r="G1538" s="0" t="n">
        <v>7043.58</v>
      </c>
      <c r="H1538" s="0" t="n">
        <v>29631.249</v>
      </c>
      <c r="I1538" s="0" t="n">
        <v>559.6</v>
      </c>
      <c r="J1538" s="0" t="n">
        <v>26393.704</v>
      </c>
      <c r="K1538" s="0" t="n">
        <v>41039.9202011111</v>
      </c>
      <c r="L1538" s="0" t="n">
        <v>11201</v>
      </c>
      <c r="M1538" s="0" t="n">
        <v>11158</v>
      </c>
      <c r="N1538" s="0" t="n">
        <v>19</v>
      </c>
      <c r="O1538" s="54" t="n">
        <f aca="false">YEAR(B1538)</f>
        <v>2020</v>
      </c>
      <c r="P1538" s="54" t="n">
        <f aca="false">IF(AND(E1538&gt;=14400,K1538&gt;0,L1538&gt;0),1,0)</f>
        <v>1</v>
      </c>
      <c r="Q1538" s="53" t="n">
        <f aca="false">IF(P1538=1,F1538/E1538*MIN(L1538/K1538,1)*MIN(MAX(M1538/L1538,0),1),0)</f>
        <v>0.156710741954644</v>
      </c>
      <c r="R1538" s="55" t="n">
        <f aca="false">IF(F1538&gt;0,N1538/(F1538/3600),0)</f>
        <v>1.86503937073572</v>
      </c>
    </row>
    <row r="1539" customFormat="false" ht="15" hidden="false" customHeight="false" outlineLevel="0" collapsed="false">
      <c r="A1539" s="0" t="s">
        <v>261</v>
      </c>
      <c r="B1539" s="52" t="n">
        <v>43841</v>
      </c>
      <c r="C1539" s="0" t="n">
        <v>27649.225</v>
      </c>
      <c r="D1539" s="0" t="n">
        <v>24232.196</v>
      </c>
      <c r="E1539" s="0" t="n">
        <v>3417.029</v>
      </c>
      <c r="F1539" s="0" t="n">
        <v>0</v>
      </c>
      <c r="G1539" s="0" t="n">
        <v>0</v>
      </c>
      <c r="H1539" s="0" t="n">
        <v>0</v>
      </c>
      <c r="I1539" s="0" t="n">
        <v>0</v>
      </c>
      <c r="J1539" s="0" t="n">
        <v>3417.029</v>
      </c>
      <c r="K1539" s="0" t="n">
        <v>0</v>
      </c>
      <c r="L1539" s="0" t="n">
        <v>0</v>
      </c>
      <c r="M1539" s="0" t="n">
        <v>0</v>
      </c>
      <c r="N1539" s="0" t="n">
        <v>0</v>
      </c>
      <c r="O1539" s="54" t="n">
        <f aca="false">YEAR(B1539)</f>
        <v>2020</v>
      </c>
      <c r="P1539" s="54" t="n">
        <f aca="false">IF(AND(E1539&gt;=14400,K1539&gt;0,L1539&gt;0),1,0)</f>
        <v>0</v>
      </c>
      <c r="Q1539" s="53" t="n">
        <f aca="false">IF(P1539=1,F1539/E1539*MIN(L1539/K1539,1)*MIN(MAX(M1539/L1539,0),1),0)</f>
        <v>0</v>
      </c>
      <c r="R1539" s="55" t="n">
        <f aca="false">IF(F1539&gt;0,N1539/(F1539/3600),0)</f>
        <v>0</v>
      </c>
    </row>
    <row r="1540" customFormat="false" ht="15" hidden="false" customHeight="false" outlineLevel="0" collapsed="false">
      <c r="A1540" s="0" t="s">
        <v>261</v>
      </c>
      <c r="B1540" s="52" t="n">
        <v>43842</v>
      </c>
      <c r="C1540" s="0" t="n">
        <v>19053.899</v>
      </c>
      <c r="D1540" s="0" t="n">
        <v>0</v>
      </c>
      <c r="E1540" s="0" t="n">
        <v>19053.899</v>
      </c>
      <c r="F1540" s="0" t="n">
        <v>5089.323</v>
      </c>
      <c r="G1540" s="0" t="n">
        <v>111.01</v>
      </c>
      <c r="H1540" s="0" t="n">
        <v>4978.313</v>
      </c>
      <c r="I1540" s="0" t="n">
        <v>89.59</v>
      </c>
      <c r="J1540" s="0" t="n">
        <v>13874.986</v>
      </c>
      <c r="K1540" s="0" t="n">
        <v>7112.49788777778</v>
      </c>
      <c r="L1540" s="0" t="n">
        <v>108</v>
      </c>
      <c r="M1540" s="0" t="n">
        <v>0</v>
      </c>
      <c r="N1540" s="0" t="n">
        <v>2</v>
      </c>
      <c r="O1540" s="54" t="n">
        <f aca="false">YEAR(B1540)</f>
        <v>2020</v>
      </c>
      <c r="P1540" s="54" t="n">
        <f aca="false">IF(AND(E1540&gt;=14400,K1540&gt;0,L1540&gt;0),1,0)</f>
        <v>1</v>
      </c>
      <c r="Q1540" s="53" t="n">
        <f aca="false">IF(P1540=1,F1540/E1540*MIN(L1540/K1540,1)*MIN(MAX(M1540/L1540,0),1),0)</f>
        <v>0</v>
      </c>
      <c r="R1540" s="55" t="n">
        <f aca="false">IF(F1540&gt;0,N1540/(F1540/3600),0)</f>
        <v>1.41472647737233</v>
      </c>
    </row>
    <row r="1541" customFormat="false" ht="15" hidden="false" customHeight="false" outlineLevel="0" collapsed="false">
      <c r="A1541" s="0" t="s">
        <v>261</v>
      </c>
      <c r="B1541" s="52" t="n">
        <v>43843</v>
      </c>
      <c r="C1541" s="0" t="n">
        <v>61523.431</v>
      </c>
      <c r="D1541" s="0" t="n">
        <v>10922.027</v>
      </c>
      <c r="E1541" s="0" t="n">
        <v>50601.404</v>
      </c>
      <c r="F1541" s="0" t="n">
        <v>25671.988</v>
      </c>
      <c r="G1541" s="0" t="n">
        <v>7449.577</v>
      </c>
      <c r="H1541" s="0" t="n">
        <v>18222.411</v>
      </c>
      <c r="I1541" s="0" t="n">
        <v>1818.415</v>
      </c>
      <c r="J1541" s="0" t="n">
        <v>23111.001</v>
      </c>
      <c r="K1541" s="0" t="n">
        <v>36571.4230902778</v>
      </c>
      <c r="L1541" s="0" t="n">
        <v>10565</v>
      </c>
      <c r="M1541" s="0" t="n">
        <v>10183</v>
      </c>
      <c r="N1541" s="0" t="n">
        <v>38</v>
      </c>
      <c r="O1541" s="54" t="n">
        <f aca="false">YEAR(B1541)</f>
        <v>2020</v>
      </c>
      <c r="P1541" s="54" t="n">
        <f aca="false">IF(AND(E1541&gt;=14400,K1541&gt;0,L1541&gt;0),1,0)</f>
        <v>1</v>
      </c>
      <c r="Q1541" s="53" t="n">
        <f aca="false">IF(P1541=1,F1541/E1541*MIN(L1541/K1541,1)*MIN(MAX(M1541/L1541,0),1),0)</f>
        <v>0.141263778200363</v>
      </c>
      <c r="R1541" s="55" t="n">
        <f aca="false">IF(F1541&gt;0,N1541/(F1541/3600),0)</f>
        <v>5.32876534532503</v>
      </c>
    </row>
    <row r="1542" customFormat="false" ht="15" hidden="false" customHeight="false" outlineLevel="0" collapsed="false">
      <c r="A1542" s="0" t="s">
        <v>261</v>
      </c>
      <c r="B1542" s="52" t="n">
        <v>43844</v>
      </c>
      <c r="C1542" s="0" t="n">
        <v>68547.601</v>
      </c>
      <c r="D1542" s="0" t="n">
        <v>14389.039</v>
      </c>
      <c r="E1542" s="0" t="n">
        <v>54158.562</v>
      </c>
      <c r="F1542" s="0" t="n">
        <v>35500.241</v>
      </c>
      <c r="G1542" s="0" t="n">
        <v>17272.829</v>
      </c>
      <c r="H1542" s="0" t="n">
        <v>18227.412</v>
      </c>
      <c r="I1542" s="0" t="n">
        <v>4371.617</v>
      </c>
      <c r="J1542" s="0" t="n">
        <v>14286.704</v>
      </c>
      <c r="K1542" s="0" t="n">
        <v>55565.3671286111</v>
      </c>
      <c r="L1542" s="0" t="n">
        <v>27889</v>
      </c>
      <c r="M1542" s="0" t="n">
        <v>27616</v>
      </c>
      <c r="N1542" s="0" t="n">
        <v>19</v>
      </c>
      <c r="O1542" s="54" t="n">
        <f aca="false">YEAR(B1542)</f>
        <v>2020</v>
      </c>
      <c r="P1542" s="54" t="n">
        <f aca="false">IF(AND(E1542&gt;=14400,K1542&gt;0,L1542&gt;0),1,0)</f>
        <v>1</v>
      </c>
      <c r="Q1542" s="53" t="n">
        <f aca="false">IF(P1542=1,F1542/E1542*MIN(L1542/K1542,1)*MIN(MAX(M1542/L1542,0),1),0)</f>
        <v>0.325777257284528</v>
      </c>
      <c r="R1542" s="55" t="n">
        <f aca="false">IF(F1542&gt;0,N1542/(F1542/3600),0)</f>
        <v>1.92674748320723</v>
      </c>
    </row>
    <row r="1543" customFormat="false" ht="15" hidden="false" customHeight="false" outlineLevel="0" collapsed="false">
      <c r="A1543" s="0" t="s">
        <v>261</v>
      </c>
      <c r="B1543" s="52" t="n">
        <v>43845</v>
      </c>
      <c r="C1543" s="0" t="n">
        <v>63345.974</v>
      </c>
      <c r="D1543" s="0" t="n">
        <v>6549.743</v>
      </c>
      <c r="E1543" s="0" t="n">
        <v>56796.231</v>
      </c>
      <c r="F1543" s="0" t="n">
        <v>39723.432</v>
      </c>
      <c r="G1543" s="0" t="n">
        <v>25608.158</v>
      </c>
      <c r="H1543" s="0" t="n">
        <v>14115.274</v>
      </c>
      <c r="I1543" s="0" t="n">
        <v>3036.51</v>
      </c>
      <c r="J1543" s="0" t="n">
        <v>14036.289</v>
      </c>
      <c r="K1543" s="0" t="n">
        <v>66829.0440880556</v>
      </c>
      <c r="L1543" s="0" t="n">
        <v>44004</v>
      </c>
      <c r="M1543" s="0" t="n">
        <v>43850</v>
      </c>
      <c r="N1543" s="0" t="n">
        <v>23</v>
      </c>
      <c r="O1543" s="54" t="n">
        <f aca="false">YEAR(B1543)</f>
        <v>2020</v>
      </c>
      <c r="P1543" s="54" t="n">
        <f aca="false">IF(AND(E1543&gt;=14400,K1543&gt;0,L1543&gt;0),1,0)</f>
        <v>1</v>
      </c>
      <c r="Q1543" s="53" t="n">
        <f aca="false">IF(P1543=1,F1543/E1543*MIN(L1543/K1543,1)*MIN(MAX(M1543/L1543,0),1),0)</f>
        <v>0.458914304595108</v>
      </c>
      <c r="R1543" s="55" t="n">
        <f aca="false">IF(F1543&gt;0,N1543/(F1543/3600),0)</f>
        <v>2.08441204173899</v>
      </c>
    </row>
    <row r="1544" customFormat="false" ht="15" hidden="false" customHeight="false" outlineLevel="0" collapsed="false">
      <c r="A1544" s="0" t="s">
        <v>261</v>
      </c>
      <c r="B1544" s="52" t="n">
        <v>43846</v>
      </c>
      <c r="C1544" s="0" t="n">
        <v>78938.73</v>
      </c>
      <c r="D1544" s="0" t="n">
        <v>943.229</v>
      </c>
      <c r="E1544" s="0" t="n">
        <v>77995.501</v>
      </c>
      <c r="F1544" s="0" t="n">
        <v>35825.493</v>
      </c>
      <c r="G1544" s="0" t="n">
        <v>18987.289</v>
      </c>
      <c r="H1544" s="0" t="n">
        <v>16838.204</v>
      </c>
      <c r="I1544" s="0" t="n">
        <v>3648.247</v>
      </c>
      <c r="J1544" s="0" t="n">
        <v>38521.761</v>
      </c>
      <c r="K1544" s="0" t="n">
        <v>59482.7310572222</v>
      </c>
      <c r="L1544" s="0" t="n">
        <v>32449</v>
      </c>
      <c r="M1544" s="0" t="n">
        <v>32373</v>
      </c>
      <c r="N1544" s="0" t="n">
        <v>6</v>
      </c>
      <c r="O1544" s="54" t="n">
        <f aca="false">YEAR(B1544)</f>
        <v>2020</v>
      </c>
      <c r="P1544" s="54" t="n">
        <f aca="false">IF(AND(E1544&gt;=14400,K1544&gt;0,L1544&gt;0),1,0)</f>
        <v>1</v>
      </c>
      <c r="Q1544" s="53" t="n">
        <f aca="false">IF(P1544=1,F1544/E1544*MIN(L1544/K1544,1)*MIN(MAX(M1544/L1544,0),1),0)</f>
        <v>0.249985414549751</v>
      </c>
      <c r="R1544" s="55" t="n">
        <f aca="false">IF(F1544&gt;0,N1544/(F1544/3600),0)</f>
        <v>0.60292261714305</v>
      </c>
    </row>
    <row r="1545" customFormat="false" ht="15" hidden="false" customHeight="false" outlineLevel="0" collapsed="false">
      <c r="A1545" s="0" t="s">
        <v>261</v>
      </c>
      <c r="B1545" s="52" t="n">
        <v>43847</v>
      </c>
      <c r="C1545" s="0" t="n">
        <v>77248.659</v>
      </c>
      <c r="D1545" s="0" t="n">
        <v>4035.446</v>
      </c>
      <c r="E1545" s="0" t="n">
        <v>73213.213</v>
      </c>
      <c r="F1545" s="0" t="n">
        <v>50367.262</v>
      </c>
      <c r="G1545" s="0" t="n">
        <v>27711.832</v>
      </c>
      <c r="H1545" s="0" t="n">
        <v>22655.43</v>
      </c>
      <c r="I1545" s="0" t="n">
        <v>2552.679</v>
      </c>
      <c r="J1545" s="0" t="n">
        <v>20293.272</v>
      </c>
      <c r="K1545" s="0" t="n">
        <v>83797.0478</v>
      </c>
      <c r="L1545" s="0" t="n">
        <v>48329</v>
      </c>
      <c r="M1545" s="0" t="n">
        <v>48070</v>
      </c>
      <c r="N1545" s="0" t="n">
        <v>41</v>
      </c>
      <c r="O1545" s="54" t="n">
        <f aca="false">YEAR(B1545)</f>
        <v>2020</v>
      </c>
      <c r="P1545" s="54" t="n">
        <f aca="false">IF(AND(E1545&gt;=14400,K1545&gt;0,L1545&gt;0),1,0)</f>
        <v>1</v>
      </c>
      <c r="Q1545" s="53" t="n">
        <f aca="false">IF(P1545=1,F1545/E1545*MIN(L1545/K1545,1)*MIN(MAX(M1545/L1545,0),1),0)</f>
        <v>0.394642887432359</v>
      </c>
      <c r="R1545" s="55" t="n">
        <f aca="false">IF(F1545&gt;0,N1545/(F1545/3600),0)</f>
        <v>2.93047495811863</v>
      </c>
    </row>
    <row r="1546" customFormat="false" ht="15" hidden="false" customHeight="false" outlineLevel="0" collapsed="false">
      <c r="A1546" s="0" t="s">
        <v>261</v>
      </c>
      <c r="B1546" s="52" t="n">
        <v>43848</v>
      </c>
      <c r="C1546" s="0" t="n">
        <v>85010.888</v>
      </c>
      <c r="D1546" s="0" t="n">
        <v>22113.769</v>
      </c>
      <c r="E1546" s="0" t="n">
        <v>62897.119</v>
      </c>
      <c r="F1546" s="0" t="n">
        <v>41503.18</v>
      </c>
      <c r="G1546" s="0" t="n">
        <v>31079.992</v>
      </c>
      <c r="H1546" s="0" t="n">
        <v>10423.188</v>
      </c>
      <c r="I1546" s="0" t="n">
        <v>2344.898</v>
      </c>
      <c r="J1546" s="0" t="n">
        <v>19049.041</v>
      </c>
      <c r="K1546" s="0" t="n">
        <v>70971.6927111111</v>
      </c>
      <c r="L1546" s="0" t="n">
        <v>53226</v>
      </c>
      <c r="M1546" s="0" t="n">
        <v>53112</v>
      </c>
      <c r="N1546" s="0" t="n">
        <v>26</v>
      </c>
      <c r="O1546" s="54" t="n">
        <f aca="false">YEAR(B1546)</f>
        <v>2020</v>
      </c>
      <c r="P1546" s="54" t="n">
        <f aca="false">IF(AND(E1546&gt;=14400,K1546&gt;0,L1546&gt;0),1,0)</f>
        <v>1</v>
      </c>
      <c r="Q1546" s="53" t="n">
        <f aca="false">IF(P1546=1,F1546/E1546*MIN(L1546/K1546,1)*MIN(MAX(M1546/L1546,0),1),0)</f>
        <v>0.49380799032504</v>
      </c>
      <c r="R1546" s="55" t="n">
        <f aca="false">IF(F1546&gt;0,N1546/(F1546/3600),0)</f>
        <v>2.25524887490549</v>
      </c>
    </row>
    <row r="1547" customFormat="false" ht="15" hidden="false" customHeight="false" outlineLevel="0" collapsed="false">
      <c r="A1547" s="0" t="s">
        <v>261</v>
      </c>
      <c r="B1547" s="52" t="n">
        <v>43849</v>
      </c>
      <c r="C1547" s="0" t="n">
        <v>3055.16</v>
      </c>
      <c r="D1547" s="0" t="n">
        <v>2149.16</v>
      </c>
      <c r="E1547" s="0" t="n">
        <v>906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n">
        <v>906</v>
      </c>
      <c r="K1547" s="0" t="n">
        <v>0</v>
      </c>
      <c r="L1547" s="0" t="n">
        <v>0</v>
      </c>
      <c r="M1547" s="0" t="n">
        <v>0</v>
      </c>
      <c r="N1547" s="0" t="n">
        <v>0</v>
      </c>
      <c r="O1547" s="54" t="n">
        <f aca="false">YEAR(B1547)</f>
        <v>2020</v>
      </c>
      <c r="P1547" s="54" t="n">
        <f aca="false">IF(AND(E1547&gt;=14400,K1547&gt;0,L1547&gt;0),1,0)</f>
        <v>0</v>
      </c>
      <c r="Q1547" s="53" t="n">
        <f aca="false">IF(P1547=1,F1547/E1547*MIN(L1547/K1547,1)*MIN(MAX(M1547/L1547,0),1),0)</f>
        <v>0</v>
      </c>
      <c r="R1547" s="55" t="n">
        <f aca="false">IF(F1547&gt;0,N1547/(F1547/3600),0)</f>
        <v>0</v>
      </c>
    </row>
    <row r="1548" customFormat="false" ht="15" hidden="false" customHeight="false" outlineLevel="0" collapsed="false">
      <c r="A1548" s="0" t="s">
        <v>261</v>
      </c>
      <c r="B1548" s="52" t="n">
        <v>43850</v>
      </c>
      <c r="C1548" s="0" t="n">
        <v>55056.229</v>
      </c>
      <c r="D1548" s="0" t="n">
        <v>0</v>
      </c>
      <c r="E1548" s="0" t="n">
        <v>55056.229</v>
      </c>
      <c r="F1548" s="0" t="n">
        <v>43721.35</v>
      </c>
      <c r="G1548" s="0" t="n">
        <v>11002.184</v>
      </c>
      <c r="H1548" s="0" t="n">
        <v>32719.166</v>
      </c>
      <c r="I1548" s="0" t="n">
        <v>4790.504</v>
      </c>
      <c r="J1548" s="0" t="n">
        <v>6544.375</v>
      </c>
      <c r="K1548" s="0" t="n">
        <v>63954.1338944445</v>
      </c>
      <c r="L1548" s="0" t="n">
        <v>16331</v>
      </c>
      <c r="M1548" s="0" t="n">
        <v>15984</v>
      </c>
      <c r="N1548" s="0" t="n">
        <v>61</v>
      </c>
      <c r="O1548" s="54" t="n">
        <f aca="false">YEAR(B1548)</f>
        <v>2020</v>
      </c>
      <c r="P1548" s="54" t="n">
        <f aca="false">IF(AND(E1548&gt;=14400,K1548&gt;0,L1548&gt;0),1,0)</f>
        <v>1</v>
      </c>
      <c r="Q1548" s="53" t="n">
        <f aca="false">IF(P1548=1,F1548/E1548*MIN(L1548/K1548,1)*MIN(MAX(M1548/L1548,0),1),0)</f>
        <v>0.198474150020562</v>
      </c>
      <c r="R1548" s="55" t="n">
        <f aca="false">IF(F1548&gt;0,N1548/(F1548/3600),0)</f>
        <v>5.02271773401325</v>
      </c>
    </row>
    <row r="1549" customFormat="false" ht="15" hidden="false" customHeight="false" outlineLevel="0" collapsed="false">
      <c r="A1549" s="0" t="s">
        <v>261</v>
      </c>
      <c r="B1549" s="52" t="n">
        <v>43851</v>
      </c>
      <c r="C1549" s="0" t="n">
        <v>86231.274</v>
      </c>
      <c r="D1549" s="0" t="n">
        <v>26739.68</v>
      </c>
      <c r="E1549" s="0" t="n">
        <v>59491.594</v>
      </c>
      <c r="F1549" s="0" t="n">
        <v>46886.647</v>
      </c>
      <c r="G1549" s="0" t="n">
        <v>29318.05</v>
      </c>
      <c r="H1549" s="0" t="n">
        <v>17568.597</v>
      </c>
      <c r="I1549" s="0" t="n">
        <v>2990.498</v>
      </c>
      <c r="J1549" s="0" t="n">
        <v>9614.449</v>
      </c>
      <c r="K1549" s="0" t="n">
        <v>69422.9434005556</v>
      </c>
      <c r="L1549" s="0" t="n">
        <v>48218</v>
      </c>
      <c r="M1549" s="0" t="n">
        <v>47894</v>
      </c>
      <c r="N1549" s="0" t="n">
        <v>61</v>
      </c>
      <c r="O1549" s="54" t="n">
        <f aca="false">YEAR(B1549)</f>
        <v>2020</v>
      </c>
      <c r="P1549" s="54" t="n">
        <f aca="false">IF(AND(E1549&gt;=14400,K1549&gt;0,L1549&gt;0),1,0)</f>
        <v>1</v>
      </c>
      <c r="Q1549" s="53" t="n">
        <f aca="false">IF(P1549=1,F1549/E1549*MIN(L1549/K1549,1)*MIN(MAX(M1549/L1549,0),1),0)</f>
        <v>0.543715429616925</v>
      </c>
      <c r="R1549" s="55" t="n">
        <f aca="false">IF(F1549&gt;0,N1549/(F1549/3600),0)</f>
        <v>4.6836362600209</v>
      </c>
    </row>
    <row r="1550" customFormat="false" ht="15" hidden="false" customHeight="false" outlineLevel="0" collapsed="false">
      <c r="A1550" s="0" t="s">
        <v>261</v>
      </c>
      <c r="B1550" s="52" t="n">
        <v>43852</v>
      </c>
      <c r="C1550" s="0" t="n">
        <v>82785.45</v>
      </c>
      <c r="D1550" s="0" t="n">
        <v>3898.589</v>
      </c>
      <c r="E1550" s="0" t="n">
        <v>78886.861</v>
      </c>
      <c r="F1550" s="0" t="n">
        <v>43831.261</v>
      </c>
      <c r="G1550" s="0" t="n">
        <v>28062.235</v>
      </c>
      <c r="H1550" s="0" t="n">
        <v>15769.026</v>
      </c>
      <c r="I1550" s="0" t="n">
        <v>4921.84</v>
      </c>
      <c r="J1550" s="0" t="n">
        <v>30133.76</v>
      </c>
      <c r="K1550" s="0" t="n">
        <v>77101.2025944445</v>
      </c>
      <c r="L1550" s="0" t="n">
        <v>49420</v>
      </c>
      <c r="M1550" s="0" t="n">
        <v>49337</v>
      </c>
      <c r="N1550" s="0" t="n">
        <v>23</v>
      </c>
      <c r="O1550" s="54" t="n">
        <f aca="false">YEAR(B1550)</f>
        <v>2020</v>
      </c>
      <c r="P1550" s="54" t="n">
        <f aca="false">IF(AND(E1550&gt;=14400,K1550&gt;0,L1550&gt;0),1,0)</f>
        <v>1</v>
      </c>
      <c r="Q1550" s="53" t="n">
        <f aca="false">IF(P1550=1,F1550/E1550*MIN(L1550/K1550,1)*MIN(MAX(M1550/L1550,0),1),0)</f>
        <v>0.355541971253001</v>
      </c>
      <c r="R1550" s="55" t="n">
        <f aca="false">IF(F1550&gt;0,N1550/(F1550/3600),0)</f>
        <v>1.88906269431765</v>
      </c>
    </row>
    <row r="1551" customFormat="false" ht="15" hidden="false" customHeight="false" outlineLevel="0" collapsed="false">
      <c r="A1551" s="0" t="s">
        <v>261</v>
      </c>
      <c r="B1551" s="52" t="n">
        <v>43853</v>
      </c>
      <c r="C1551" s="0" t="n">
        <v>83751.348</v>
      </c>
      <c r="D1551" s="0" t="n">
        <v>2595.14</v>
      </c>
      <c r="E1551" s="0" t="n">
        <v>81156.208</v>
      </c>
      <c r="F1551" s="0" t="n">
        <v>43969.352</v>
      </c>
      <c r="G1551" s="0" t="n">
        <v>26743.784</v>
      </c>
      <c r="H1551" s="0" t="n">
        <v>17225.568</v>
      </c>
      <c r="I1551" s="0" t="n">
        <v>6067.566</v>
      </c>
      <c r="J1551" s="0" t="n">
        <v>31119.29</v>
      </c>
      <c r="K1551" s="0" t="n">
        <v>72523.7146983333</v>
      </c>
      <c r="L1551" s="0" t="n">
        <v>44934</v>
      </c>
      <c r="M1551" s="0" t="n">
        <v>44745</v>
      </c>
      <c r="N1551" s="0" t="n">
        <v>33</v>
      </c>
      <c r="O1551" s="54" t="n">
        <f aca="false">YEAR(B1551)</f>
        <v>2020</v>
      </c>
      <c r="P1551" s="54" t="n">
        <f aca="false">IF(AND(E1551&gt;=14400,K1551&gt;0,L1551&gt;0),1,0)</f>
        <v>1</v>
      </c>
      <c r="Q1551" s="53" t="n">
        <f aca="false">IF(P1551=1,F1551/E1551*MIN(L1551/K1551,1)*MIN(MAX(M1551/L1551,0),1),0)</f>
        <v>0.334266450984113</v>
      </c>
      <c r="R1551" s="55" t="n">
        <f aca="false">IF(F1551&gt;0,N1551/(F1551/3600),0)</f>
        <v>2.70188198361441</v>
      </c>
    </row>
    <row r="1552" customFormat="false" ht="15" hidden="false" customHeight="false" outlineLevel="0" collapsed="false">
      <c r="A1552" s="0" t="s">
        <v>261</v>
      </c>
      <c r="B1552" s="52" t="n">
        <v>43854</v>
      </c>
      <c r="C1552" s="0" t="n">
        <v>82569.238</v>
      </c>
      <c r="D1552" s="0" t="n">
        <v>16097.519</v>
      </c>
      <c r="E1552" s="0" t="n">
        <v>66471.719</v>
      </c>
      <c r="F1552" s="0" t="n">
        <v>30966.778</v>
      </c>
      <c r="G1552" s="0" t="n">
        <v>16057.17</v>
      </c>
      <c r="H1552" s="0" t="n">
        <v>14909.608</v>
      </c>
      <c r="I1552" s="0" t="n">
        <v>5286.51</v>
      </c>
      <c r="J1552" s="0" t="n">
        <v>30218.431</v>
      </c>
      <c r="K1552" s="0" t="n">
        <v>46152.3138383333</v>
      </c>
      <c r="L1552" s="0" t="n">
        <v>25618</v>
      </c>
      <c r="M1552" s="0" t="n">
        <v>25509</v>
      </c>
      <c r="N1552" s="0" t="n">
        <v>20</v>
      </c>
      <c r="O1552" s="54" t="n">
        <f aca="false">YEAR(B1552)</f>
        <v>2020</v>
      </c>
      <c r="P1552" s="54" t="n">
        <f aca="false">IF(AND(E1552&gt;=14400,K1552&gt;0,L1552&gt;0),1,0)</f>
        <v>1</v>
      </c>
      <c r="Q1552" s="53" t="n">
        <f aca="false">IF(P1552=1,F1552/E1552*MIN(L1552/K1552,1)*MIN(MAX(M1552/L1552,0),1),0)</f>
        <v>0.257489228051462</v>
      </c>
      <c r="R1552" s="55" t="n">
        <f aca="false">IF(F1552&gt;0,N1552/(F1552/3600),0)</f>
        <v>2.3250723727215</v>
      </c>
    </row>
    <row r="1553" customFormat="false" ht="15" hidden="false" customHeight="false" outlineLevel="0" collapsed="false">
      <c r="A1553" s="0" t="s">
        <v>261</v>
      </c>
      <c r="B1553" s="52" t="n">
        <v>43855</v>
      </c>
      <c r="C1553" s="0" t="n">
        <v>84845.856</v>
      </c>
      <c r="D1553" s="0" t="n">
        <v>1656.7</v>
      </c>
      <c r="E1553" s="0" t="n">
        <v>83189.156</v>
      </c>
      <c r="F1553" s="0" t="n">
        <v>43794.662</v>
      </c>
      <c r="G1553" s="0" t="n">
        <v>29251.919</v>
      </c>
      <c r="H1553" s="0" t="n">
        <v>14542.743</v>
      </c>
      <c r="I1553" s="0" t="n">
        <v>3349.233</v>
      </c>
      <c r="J1553" s="0" t="n">
        <v>36045.261</v>
      </c>
      <c r="K1553" s="0" t="n">
        <v>70174.8849005556</v>
      </c>
      <c r="L1553" s="0" t="n">
        <v>51904</v>
      </c>
      <c r="M1553" s="0" t="n">
        <v>51744</v>
      </c>
      <c r="N1553" s="0" t="n">
        <v>48</v>
      </c>
      <c r="O1553" s="54" t="n">
        <f aca="false">YEAR(B1553)</f>
        <v>2020</v>
      </c>
      <c r="P1553" s="54" t="n">
        <f aca="false">IF(AND(E1553&gt;=14400,K1553&gt;0,L1553&gt;0),1,0)</f>
        <v>1</v>
      </c>
      <c r="Q1553" s="53" t="n">
        <f aca="false">IF(P1553=1,F1553/E1553*MIN(L1553/K1553,1)*MIN(MAX(M1553/L1553,0),1),0)</f>
        <v>0.388179637343042</v>
      </c>
      <c r="R1553" s="55" t="n">
        <f aca="false">IF(F1553&gt;0,N1553/(F1553/3600),0)</f>
        <v>3.94568634871528</v>
      </c>
    </row>
    <row r="1554" customFormat="false" ht="15" hidden="false" customHeight="false" outlineLevel="0" collapsed="false">
      <c r="A1554" s="0" t="s">
        <v>261</v>
      </c>
      <c r="B1554" s="52" t="n">
        <v>43856</v>
      </c>
      <c r="C1554" s="0" t="n">
        <v>59349.207</v>
      </c>
      <c r="D1554" s="0" t="n">
        <v>55061.55</v>
      </c>
      <c r="E1554" s="0" t="n">
        <v>4287.657</v>
      </c>
      <c r="F1554" s="0" t="n">
        <v>18.619</v>
      </c>
      <c r="G1554" s="0" t="n">
        <v>0</v>
      </c>
      <c r="H1554" s="0" t="n">
        <v>18.619</v>
      </c>
      <c r="I1554" s="0" t="n">
        <v>0</v>
      </c>
      <c r="J1554" s="0" t="n">
        <v>4269.038</v>
      </c>
      <c r="K1554" s="0" t="n">
        <v>31.9419288888889</v>
      </c>
      <c r="L1554" s="0" t="n">
        <v>0</v>
      </c>
      <c r="M1554" s="0" t="n">
        <v>0</v>
      </c>
      <c r="N1554" s="0" t="n">
        <v>0</v>
      </c>
      <c r="O1554" s="54" t="n">
        <f aca="false">YEAR(B1554)</f>
        <v>2020</v>
      </c>
      <c r="P1554" s="54" t="n">
        <f aca="false">IF(AND(E1554&gt;=14400,K1554&gt;0,L1554&gt;0),1,0)</f>
        <v>0</v>
      </c>
      <c r="Q1554" s="53" t="n">
        <f aca="false">IF(P1554=1,F1554/E1554*MIN(L1554/K1554,1)*MIN(MAX(M1554/L1554,0),1),0)</f>
        <v>0</v>
      </c>
      <c r="R1554" s="55" t="n">
        <f aca="false">IF(F1554&gt;0,N1554/(F1554/3600),0)</f>
        <v>0</v>
      </c>
    </row>
    <row r="1555" customFormat="false" ht="15" hidden="false" customHeight="false" outlineLevel="0" collapsed="false">
      <c r="A1555" s="0" t="s">
        <v>261</v>
      </c>
      <c r="B1555" s="52" t="n">
        <v>43857</v>
      </c>
      <c r="C1555" s="0" t="n">
        <v>86281.47</v>
      </c>
      <c r="D1555" s="0" t="n">
        <v>509.112</v>
      </c>
      <c r="E1555" s="0" t="n">
        <v>85772.358</v>
      </c>
      <c r="F1555" s="0" t="n">
        <v>49114.109</v>
      </c>
      <c r="G1555" s="0" t="n">
        <v>31544.738</v>
      </c>
      <c r="H1555" s="0" t="n">
        <v>17569.371</v>
      </c>
      <c r="I1555" s="0" t="n">
        <v>3641.42</v>
      </c>
      <c r="J1555" s="0" t="n">
        <v>33016.829</v>
      </c>
      <c r="K1555" s="0" t="n">
        <v>82530.4177030556</v>
      </c>
      <c r="L1555" s="0" t="n">
        <v>53966</v>
      </c>
      <c r="M1555" s="0" t="n">
        <v>53754</v>
      </c>
      <c r="N1555" s="0" t="n">
        <v>40</v>
      </c>
      <c r="O1555" s="54" t="n">
        <f aca="false">YEAR(B1555)</f>
        <v>2020</v>
      </c>
      <c r="P1555" s="54" t="n">
        <f aca="false">IF(AND(E1555&gt;=14400,K1555&gt;0,L1555&gt;0),1,0)</f>
        <v>1</v>
      </c>
      <c r="Q1555" s="53" t="n">
        <f aca="false">IF(P1555=1,F1555/E1555*MIN(L1555/K1555,1)*MIN(MAX(M1555/L1555,0),1),0)</f>
        <v>0.372954338819656</v>
      </c>
      <c r="R1555" s="55" t="n">
        <f aca="false">IF(F1555&gt;0,N1555/(F1555/3600),0)</f>
        <v>2.93194772198759</v>
      </c>
    </row>
    <row r="1556" customFormat="false" ht="15" hidden="false" customHeight="false" outlineLevel="0" collapsed="false">
      <c r="A1556" s="0" t="s">
        <v>261</v>
      </c>
      <c r="B1556" s="52" t="n">
        <v>43858</v>
      </c>
      <c r="C1556" s="0" t="n">
        <v>80151.696</v>
      </c>
      <c r="D1556" s="0" t="n">
        <v>15425.457</v>
      </c>
      <c r="E1556" s="0" t="n">
        <v>64726.239</v>
      </c>
      <c r="F1556" s="0" t="n">
        <v>44330.815</v>
      </c>
      <c r="G1556" s="0" t="n">
        <v>28837.57</v>
      </c>
      <c r="H1556" s="0" t="n">
        <v>15493.245</v>
      </c>
      <c r="I1556" s="0" t="n">
        <v>2263.179</v>
      </c>
      <c r="J1556" s="0" t="n">
        <v>18132.245</v>
      </c>
      <c r="K1556" s="0" t="n">
        <v>78249.48465</v>
      </c>
      <c r="L1556" s="0" t="n">
        <v>51350</v>
      </c>
      <c r="M1556" s="0" t="n">
        <v>50897</v>
      </c>
      <c r="N1556" s="0" t="n">
        <v>35</v>
      </c>
      <c r="O1556" s="54" t="n">
        <f aca="false">YEAR(B1556)</f>
        <v>2020</v>
      </c>
      <c r="P1556" s="54" t="n">
        <f aca="false">IF(AND(E1556&gt;=14400,K1556&gt;0,L1556&gt;0),1,0)</f>
        <v>1</v>
      </c>
      <c r="Q1556" s="53" t="n">
        <f aca="false">IF(P1556=1,F1556/E1556*MIN(L1556/K1556,1)*MIN(MAX(M1556/L1556,0),1),0)</f>
        <v>0.445488032599304</v>
      </c>
      <c r="R1556" s="55" t="n">
        <f aca="false">IF(F1556&gt;0,N1556/(F1556/3600),0)</f>
        <v>2.84226671672966</v>
      </c>
    </row>
    <row r="1557" customFormat="false" ht="15" hidden="false" customHeight="false" outlineLevel="0" collapsed="false">
      <c r="A1557" s="0" t="s">
        <v>261</v>
      </c>
      <c r="B1557" s="52" t="n">
        <v>43859</v>
      </c>
      <c r="C1557" s="0" t="n">
        <v>80022.121</v>
      </c>
      <c r="D1557" s="0" t="n">
        <v>5756.54</v>
      </c>
      <c r="E1557" s="0" t="n">
        <v>74265.581</v>
      </c>
      <c r="F1557" s="0" t="n">
        <v>49341.788</v>
      </c>
      <c r="G1557" s="0" t="n">
        <v>37501.785</v>
      </c>
      <c r="H1557" s="0" t="n">
        <v>11840.003</v>
      </c>
      <c r="I1557" s="0" t="n">
        <v>4204.98</v>
      </c>
      <c r="J1557" s="0" t="n">
        <v>20718.813</v>
      </c>
      <c r="K1557" s="0" t="n">
        <v>78905.1548555556</v>
      </c>
      <c r="L1557" s="0" t="n">
        <v>60749</v>
      </c>
      <c r="M1557" s="0" t="n">
        <v>60282</v>
      </c>
      <c r="N1557" s="0" t="n">
        <v>91</v>
      </c>
      <c r="O1557" s="54" t="n">
        <f aca="false">YEAR(B1557)</f>
        <v>2020</v>
      </c>
      <c r="P1557" s="54" t="n">
        <f aca="false">IF(AND(E1557&gt;=14400,K1557&gt;0,L1557&gt;0),1,0)</f>
        <v>1</v>
      </c>
      <c r="Q1557" s="53" t="n">
        <f aca="false">IF(P1557=1,F1557/E1557*MIN(L1557/K1557,1)*MIN(MAX(M1557/L1557,0),1),0)</f>
        <v>0.507585931096313</v>
      </c>
      <c r="R1557" s="55" t="n">
        <f aca="false">IF(F1557&gt;0,N1557/(F1557/3600),0)</f>
        <v>6.63940269047405</v>
      </c>
    </row>
    <row r="1558" customFormat="false" ht="15" hidden="false" customHeight="false" outlineLevel="0" collapsed="false">
      <c r="A1558" s="0" t="s">
        <v>261</v>
      </c>
      <c r="B1558" s="52" t="n">
        <v>43860</v>
      </c>
      <c r="C1558" s="0" t="n">
        <v>84196.987</v>
      </c>
      <c r="D1558" s="0" t="n">
        <v>9560.984</v>
      </c>
      <c r="E1558" s="0" t="n">
        <v>74636.003</v>
      </c>
      <c r="F1558" s="0" t="n">
        <v>37974.378</v>
      </c>
      <c r="G1558" s="0" t="n">
        <v>11883.74</v>
      </c>
      <c r="H1558" s="0" t="n">
        <v>26090.638</v>
      </c>
      <c r="I1558" s="0" t="n">
        <v>817.627</v>
      </c>
      <c r="J1558" s="0" t="n">
        <v>35843.998</v>
      </c>
      <c r="K1558" s="0" t="n">
        <v>62513.4134283333</v>
      </c>
      <c r="L1558" s="0" t="n">
        <v>19086</v>
      </c>
      <c r="M1558" s="0" t="n">
        <v>18485</v>
      </c>
      <c r="N1558" s="0" t="n">
        <v>14</v>
      </c>
      <c r="O1558" s="54" t="n">
        <f aca="false">YEAR(B1558)</f>
        <v>2020</v>
      </c>
      <c r="P1558" s="54" t="n">
        <f aca="false">IF(AND(E1558&gt;=14400,K1558&gt;0,L1558&gt;0),1,0)</f>
        <v>1</v>
      </c>
      <c r="Q1558" s="53" t="n">
        <f aca="false">IF(P1558=1,F1558/E1558*MIN(L1558/K1558,1)*MIN(MAX(M1558/L1558,0),1),0)</f>
        <v>0.150448733840129</v>
      </c>
      <c r="R1558" s="55" t="n">
        <f aca="false">IF(F1558&gt;0,N1558/(F1558/3600),0)</f>
        <v>1.32721067873712</v>
      </c>
    </row>
    <row r="1559" customFormat="false" ht="15" hidden="false" customHeight="false" outlineLevel="0" collapsed="false">
      <c r="A1559" s="0" t="s">
        <v>261</v>
      </c>
      <c r="B1559" s="52" t="n">
        <v>43861</v>
      </c>
      <c r="C1559" s="0" t="n">
        <v>71781.727</v>
      </c>
      <c r="D1559" s="0" t="n">
        <v>14263.75</v>
      </c>
      <c r="E1559" s="0" t="n">
        <v>57517.977</v>
      </c>
      <c r="F1559" s="0" t="n">
        <v>38647.093</v>
      </c>
      <c r="G1559" s="0" t="n">
        <v>25058.144</v>
      </c>
      <c r="H1559" s="0" t="n">
        <v>13588.949</v>
      </c>
      <c r="I1559" s="0" t="n">
        <v>7525.497</v>
      </c>
      <c r="J1559" s="0" t="n">
        <v>11345.387</v>
      </c>
      <c r="K1559" s="0" t="n">
        <v>61879.8324777778</v>
      </c>
      <c r="L1559" s="0" t="n">
        <v>42602</v>
      </c>
      <c r="M1559" s="0" t="n">
        <v>42255</v>
      </c>
      <c r="N1559" s="0" t="n">
        <v>66</v>
      </c>
      <c r="O1559" s="54" t="n">
        <f aca="false">YEAR(B1559)</f>
        <v>2020</v>
      </c>
      <c r="P1559" s="54" t="n">
        <f aca="false">IF(AND(E1559&gt;=14400,K1559&gt;0,L1559&gt;0),1,0)</f>
        <v>1</v>
      </c>
      <c r="Q1559" s="53" t="n">
        <f aca="false">IF(P1559=1,F1559/E1559*MIN(L1559/K1559,1)*MIN(MAX(M1559/L1559,0),1),0)</f>
        <v>0.458819858011836</v>
      </c>
      <c r="R1559" s="55" t="n">
        <f aca="false">IF(F1559&gt;0,N1559/(F1559/3600),0)</f>
        <v>6.14793976871689</v>
      </c>
    </row>
    <row r="1560" customFormat="false" ht="15" hidden="false" customHeight="false" outlineLevel="0" collapsed="false">
      <c r="A1560" s="0" t="s">
        <v>261</v>
      </c>
      <c r="B1560" s="52" t="n">
        <v>43862</v>
      </c>
      <c r="C1560" s="0" t="n">
        <v>80039.557</v>
      </c>
      <c r="D1560" s="0" t="n">
        <v>14951.318</v>
      </c>
      <c r="E1560" s="0" t="n">
        <v>65088.239</v>
      </c>
      <c r="F1560" s="0" t="n">
        <v>40880.482</v>
      </c>
      <c r="G1560" s="0" t="n">
        <v>25997.09</v>
      </c>
      <c r="H1560" s="0" t="n">
        <v>14883.392</v>
      </c>
      <c r="I1560" s="0" t="n">
        <v>1849.904</v>
      </c>
      <c r="J1560" s="0" t="n">
        <v>22357.853</v>
      </c>
      <c r="K1560" s="0" t="n">
        <v>69907.8748144445</v>
      </c>
      <c r="L1560" s="0" t="n">
        <v>44469</v>
      </c>
      <c r="M1560" s="0" t="n">
        <v>44133</v>
      </c>
      <c r="N1560" s="0" t="n">
        <v>36</v>
      </c>
      <c r="O1560" s="54" t="n">
        <f aca="false">YEAR(B1560)</f>
        <v>2020</v>
      </c>
      <c r="P1560" s="54" t="n">
        <f aca="false">IF(AND(E1560&gt;=14400,K1560&gt;0,L1560&gt;0),1,0)</f>
        <v>1</v>
      </c>
      <c r="Q1560" s="53" t="n">
        <f aca="false">IF(P1560=1,F1560/E1560*MIN(L1560/K1560,1)*MIN(MAX(M1560/L1560,0),1),0)</f>
        <v>0.396506979540276</v>
      </c>
      <c r="R1560" s="55" t="n">
        <f aca="false">IF(F1560&gt;0,N1560/(F1560/3600),0)</f>
        <v>3.17021702434917</v>
      </c>
    </row>
    <row r="1561" customFormat="false" ht="15" hidden="false" customHeight="false" outlineLevel="0" collapsed="false">
      <c r="A1561" s="0" t="s">
        <v>261</v>
      </c>
      <c r="B1561" s="52" t="n">
        <v>43863</v>
      </c>
      <c r="C1561" s="0" t="n">
        <v>4593.37</v>
      </c>
      <c r="D1561" s="0" t="n">
        <v>149.359</v>
      </c>
      <c r="E1561" s="0" t="n">
        <v>4444.011</v>
      </c>
      <c r="F1561" s="0" t="n">
        <v>0</v>
      </c>
      <c r="G1561" s="0" t="n">
        <v>0</v>
      </c>
      <c r="H1561" s="0" t="n">
        <v>0</v>
      </c>
      <c r="I1561" s="0" t="n">
        <v>0</v>
      </c>
      <c r="J1561" s="0" t="n">
        <v>4444.011</v>
      </c>
      <c r="K1561" s="0" t="n">
        <v>0</v>
      </c>
      <c r="L1561" s="0" t="n">
        <v>0</v>
      </c>
      <c r="M1561" s="0" t="n">
        <v>0</v>
      </c>
      <c r="N1561" s="0" t="n">
        <v>0</v>
      </c>
      <c r="O1561" s="54" t="n">
        <f aca="false">YEAR(B1561)</f>
        <v>2020</v>
      </c>
      <c r="P1561" s="54" t="n">
        <f aca="false">IF(AND(E1561&gt;=14400,K1561&gt;0,L1561&gt;0),1,0)</f>
        <v>0</v>
      </c>
      <c r="Q1561" s="53" t="n">
        <f aca="false">IF(P1561=1,F1561/E1561*MIN(L1561/K1561,1)*MIN(MAX(M1561/L1561,0),1),0)</f>
        <v>0</v>
      </c>
      <c r="R1561" s="55" t="n">
        <f aca="false">IF(F1561&gt;0,N1561/(F1561/3600),0)</f>
        <v>0</v>
      </c>
    </row>
    <row r="1562" customFormat="false" ht="15" hidden="false" customHeight="false" outlineLevel="0" collapsed="false">
      <c r="A1562" s="0" t="s">
        <v>261</v>
      </c>
      <c r="B1562" s="52" t="n">
        <v>43864</v>
      </c>
      <c r="C1562" s="0" t="n">
        <v>63149.006</v>
      </c>
      <c r="D1562" s="0" t="n">
        <v>768.609</v>
      </c>
      <c r="E1562" s="0" t="n">
        <v>62380.397</v>
      </c>
      <c r="F1562" s="0" t="n">
        <v>45080.758</v>
      </c>
      <c r="G1562" s="0" t="n">
        <v>25744.383</v>
      </c>
      <c r="H1562" s="0" t="n">
        <v>19336.375</v>
      </c>
      <c r="I1562" s="0" t="n">
        <v>4070.342</v>
      </c>
      <c r="J1562" s="0" t="n">
        <v>13229.297</v>
      </c>
      <c r="K1562" s="0" t="n">
        <v>50857.9507986111</v>
      </c>
      <c r="L1562" s="0" t="n">
        <v>35234</v>
      </c>
      <c r="M1562" s="0" t="n">
        <v>34563</v>
      </c>
      <c r="N1562" s="0" t="n">
        <v>74</v>
      </c>
      <c r="O1562" s="54" t="n">
        <f aca="false">YEAR(B1562)</f>
        <v>2020</v>
      </c>
      <c r="P1562" s="54" t="n">
        <f aca="false">IF(AND(E1562&gt;=14400,K1562&gt;0,L1562&gt;0),1,0)</f>
        <v>1</v>
      </c>
      <c r="Q1562" s="53" t="n">
        <f aca="false">IF(P1562=1,F1562/E1562*MIN(L1562/K1562,1)*MIN(MAX(M1562/L1562,0),1),0)</f>
        <v>0.491129079728906</v>
      </c>
      <c r="R1562" s="55" t="n">
        <f aca="false">IF(F1562&gt;0,N1562/(F1562/3600),0)</f>
        <v>5.90939486864884</v>
      </c>
    </row>
    <row r="1563" customFormat="false" ht="15" hidden="false" customHeight="false" outlineLevel="0" collapsed="false">
      <c r="A1563" s="0" t="s">
        <v>261</v>
      </c>
      <c r="B1563" s="52" t="n">
        <v>43865</v>
      </c>
      <c r="C1563" s="0" t="n">
        <v>83159.702</v>
      </c>
      <c r="D1563" s="0" t="n">
        <v>13486.73</v>
      </c>
      <c r="E1563" s="0" t="n">
        <v>69672.972</v>
      </c>
      <c r="F1563" s="0" t="n">
        <v>50367.912</v>
      </c>
      <c r="G1563" s="0" t="n">
        <v>30584.504</v>
      </c>
      <c r="H1563" s="0" t="n">
        <v>19783.408</v>
      </c>
      <c r="I1563" s="0" t="n">
        <v>5217.909</v>
      </c>
      <c r="J1563" s="0" t="n">
        <v>14087.151</v>
      </c>
      <c r="K1563" s="0" t="n">
        <v>86863.3993161111</v>
      </c>
      <c r="L1563" s="0" t="n">
        <v>52469</v>
      </c>
      <c r="M1563" s="0" t="n">
        <v>52061</v>
      </c>
      <c r="N1563" s="0" t="n">
        <v>83</v>
      </c>
      <c r="O1563" s="54" t="n">
        <f aca="false">YEAR(B1563)</f>
        <v>2020</v>
      </c>
      <c r="P1563" s="54" t="n">
        <f aca="false">IF(AND(E1563&gt;=14400,K1563&gt;0,L1563&gt;0),1,0)</f>
        <v>1</v>
      </c>
      <c r="Q1563" s="53" t="n">
        <f aca="false">IF(P1563=1,F1563/E1563*MIN(L1563/K1563,1)*MIN(MAX(M1563/L1563,0),1),0)</f>
        <v>0.433276661175889</v>
      </c>
      <c r="R1563" s="55" t="n">
        <f aca="false">IF(F1563&gt;0,N1563/(F1563/3600),0)</f>
        <v>5.9323483570254</v>
      </c>
    </row>
    <row r="1564" customFormat="false" ht="15" hidden="false" customHeight="false" outlineLevel="0" collapsed="false">
      <c r="A1564" s="0" t="s">
        <v>261</v>
      </c>
      <c r="B1564" s="52" t="n">
        <v>43866</v>
      </c>
      <c r="C1564" s="0" t="n">
        <v>74484.3</v>
      </c>
      <c r="D1564" s="0" t="n">
        <v>2744.12</v>
      </c>
      <c r="E1564" s="0" t="n">
        <v>71740.18</v>
      </c>
      <c r="F1564" s="0" t="n">
        <v>45804.4</v>
      </c>
      <c r="G1564" s="0" t="n">
        <v>35945.896</v>
      </c>
      <c r="H1564" s="0" t="n">
        <v>9858.504</v>
      </c>
      <c r="I1564" s="0" t="n">
        <v>5412.068</v>
      </c>
      <c r="J1564" s="0" t="n">
        <v>20523.712</v>
      </c>
      <c r="K1564" s="0" t="n">
        <v>78715.664285</v>
      </c>
      <c r="L1564" s="0" t="n">
        <v>61513</v>
      </c>
      <c r="M1564" s="0" t="n">
        <v>61182</v>
      </c>
      <c r="N1564" s="0" t="n">
        <v>80</v>
      </c>
      <c r="O1564" s="54" t="n">
        <f aca="false">YEAR(B1564)</f>
        <v>2020</v>
      </c>
      <c r="P1564" s="54" t="n">
        <f aca="false">IF(AND(E1564&gt;=14400,K1564&gt;0,L1564&gt;0),1,0)</f>
        <v>1</v>
      </c>
      <c r="Q1564" s="53" t="n">
        <f aca="false">IF(P1564=1,F1564/E1564*MIN(L1564/K1564,1)*MIN(MAX(M1564/L1564,0),1),0)</f>
        <v>0.49625768064839</v>
      </c>
      <c r="R1564" s="55" t="n">
        <f aca="false">IF(F1564&gt;0,N1564/(F1564/3600),0)</f>
        <v>6.28760555754469</v>
      </c>
    </row>
    <row r="1565" customFormat="false" ht="15" hidden="false" customHeight="false" outlineLevel="0" collapsed="false">
      <c r="A1565" s="0" t="s">
        <v>261</v>
      </c>
      <c r="B1565" s="52" t="n">
        <v>43867</v>
      </c>
      <c r="C1565" s="0" t="n">
        <v>83245.138</v>
      </c>
      <c r="D1565" s="0" t="n">
        <v>11670.5</v>
      </c>
      <c r="E1565" s="0" t="n">
        <v>71574.638</v>
      </c>
      <c r="F1565" s="0" t="n">
        <v>49784.167</v>
      </c>
      <c r="G1565" s="0" t="n">
        <v>30066.127</v>
      </c>
      <c r="H1565" s="0" t="n">
        <v>19718.04</v>
      </c>
      <c r="I1565" s="0" t="n">
        <v>3571.499</v>
      </c>
      <c r="J1565" s="0" t="n">
        <v>18218.972</v>
      </c>
      <c r="K1565" s="0" t="n">
        <v>70491.9969716667</v>
      </c>
      <c r="L1565" s="0" t="n">
        <v>50936</v>
      </c>
      <c r="M1565" s="0" t="n">
        <v>50745</v>
      </c>
      <c r="N1565" s="0" t="n">
        <v>69</v>
      </c>
      <c r="O1565" s="54" t="n">
        <f aca="false">YEAR(B1565)</f>
        <v>2020</v>
      </c>
      <c r="P1565" s="54" t="n">
        <f aca="false">IF(AND(E1565&gt;=14400,K1565&gt;0,L1565&gt;0),1,0)</f>
        <v>1</v>
      </c>
      <c r="Q1565" s="53" t="n">
        <f aca="false">IF(P1565=1,F1565/E1565*MIN(L1565/K1565,1)*MIN(MAX(M1565/L1565,0),1),0)</f>
        <v>0.500709149734209</v>
      </c>
      <c r="R1565" s="55" t="n">
        <f aca="false">IF(F1565&gt;0,N1565/(F1565/3600),0)</f>
        <v>4.98953813970614</v>
      </c>
    </row>
    <row r="1566" customFormat="false" ht="15" hidden="false" customHeight="false" outlineLevel="0" collapsed="false">
      <c r="A1566" s="0" t="s">
        <v>261</v>
      </c>
      <c r="B1566" s="52" t="n">
        <v>43868</v>
      </c>
      <c r="C1566" s="0" t="n">
        <v>77203.189</v>
      </c>
      <c r="D1566" s="0" t="n">
        <v>6264.31</v>
      </c>
      <c r="E1566" s="0" t="n">
        <v>70938.879</v>
      </c>
      <c r="F1566" s="0" t="n">
        <v>39492.381</v>
      </c>
      <c r="G1566" s="0" t="n">
        <v>25588.951</v>
      </c>
      <c r="H1566" s="0" t="n">
        <v>13903.43</v>
      </c>
      <c r="I1566" s="0" t="n">
        <v>2722.509</v>
      </c>
      <c r="J1566" s="0" t="n">
        <v>28723.989</v>
      </c>
      <c r="K1566" s="0" t="n">
        <v>55238.61985</v>
      </c>
      <c r="L1566" s="0" t="n">
        <v>43720</v>
      </c>
      <c r="M1566" s="0" t="n">
        <v>43664</v>
      </c>
      <c r="N1566" s="0" t="n">
        <v>38</v>
      </c>
      <c r="O1566" s="54" t="n">
        <f aca="false">YEAR(B1566)</f>
        <v>2020</v>
      </c>
      <c r="P1566" s="54" t="n">
        <f aca="false">IF(AND(E1566&gt;=14400,K1566&gt;0,L1566&gt;0),1,0)</f>
        <v>1</v>
      </c>
      <c r="Q1566" s="53" t="n">
        <f aca="false">IF(P1566=1,F1566/E1566*MIN(L1566/K1566,1)*MIN(MAX(M1566/L1566,0),1),0)</f>
        <v>0.44005777249744</v>
      </c>
      <c r="R1566" s="55" t="n">
        <f aca="false">IF(F1566&gt;0,N1566/(F1566/3600),0)</f>
        <v>3.46395928875496</v>
      </c>
    </row>
    <row r="1567" customFormat="false" ht="15" hidden="false" customHeight="false" outlineLevel="0" collapsed="false">
      <c r="A1567" s="0" t="s">
        <v>261</v>
      </c>
      <c r="B1567" s="52" t="n">
        <v>43869</v>
      </c>
      <c r="C1567" s="0" t="n">
        <v>82386.358</v>
      </c>
      <c r="D1567" s="0" t="n">
        <v>12683.44</v>
      </c>
      <c r="E1567" s="0" t="n">
        <v>69702.918</v>
      </c>
      <c r="F1567" s="0" t="n">
        <v>49501.169</v>
      </c>
      <c r="G1567" s="0" t="n">
        <v>32188.013</v>
      </c>
      <c r="H1567" s="0" t="n">
        <v>17313.156</v>
      </c>
      <c r="I1567" s="0" t="n">
        <v>2894.646</v>
      </c>
      <c r="J1567" s="0" t="n">
        <v>17307.103</v>
      </c>
      <c r="K1567" s="0" t="n">
        <v>84542.0459555556</v>
      </c>
      <c r="L1567" s="0" t="n">
        <v>55038</v>
      </c>
      <c r="M1567" s="0" t="n">
        <v>54871</v>
      </c>
      <c r="N1567" s="0" t="n">
        <v>65</v>
      </c>
      <c r="O1567" s="54" t="n">
        <f aca="false">YEAR(B1567)</f>
        <v>2020</v>
      </c>
      <c r="P1567" s="54" t="n">
        <f aca="false">IF(AND(E1567&gt;=14400,K1567&gt;0,L1567&gt;0),1,0)</f>
        <v>1</v>
      </c>
      <c r="Q1567" s="53" t="n">
        <f aca="false">IF(P1567=1,F1567/E1567*MIN(L1567/K1567,1)*MIN(MAX(M1567/L1567,0),1),0)</f>
        <v>0.460929619586428</v>
      </c>
      <c r="R1567" s="55" t="n">
        <f aca="false">IF(F1567&gt;0,N1567/(F1567/3600),0)</f>
        <v>4.72716108987244</v>
      </c>
    </row>
    <row r="1568" customFormat="false" ht="15" hidden="false" customHeight="false" outlineLevel="0" collapsed="false">
      <c r="A1568" s="0" t="s">
        <v>261</v>
      </c>
      <c r="B1568" s="52" t="n">
        <v>43870</v>
      </c>
      <c r="C1568" s="0" t="n">
        <v>44466.42</v>
      </c>
      <c r="D1568" s="0" t="n">
        <v>8150.51</v>
      </c>
      <c r="E1568" s="0" t="n">
        <v>36315.91</v>
      </c>
      <c r="F1568" s="0" t="n">
        <v>0</v>
      </c>
      <c r="G1568" s="0" t="n">
        <v>0</v>
      </c>
      <c r="H1568" s="0" t="n">
        <v>0</v>
      </c>
      <c r="I1568" s="0" t="n">
        <v>0</v>
      </c>
      <c r="J1568" s="0" t="n">
        <v>36315.91</v>
      </c>
      <c r="K1568" s="0" t="n">
        <v>0</v>
      </c>
      <c r="L1568" s="0" t="n">
        <v>0</v>
      </c>
      <c r="M1568" s="0" t="n">
        <v>0</v>
      </c>
      <c r="N1568" s="0" t="n">
        <v>0</v>
      </c>
      <c r="O1568" s="54" t="n">
        <f aca="false">YEAR(B1568)</f>
        <v>2020</v>
      </c>
      <c r="P1568" s="54" t="n">
        <f aca="false">IF(AND(E1568&gt;=14400,K1568&gt;0,L1568&gt;0),1,0)</f>
        <v>0</v>
      </c>
      <c r="Q1568" s="53" t="n">
        <f aca="false">IF(P1568=1,F1568/E1568*MIN(L1568/K1568,1)*MIN(MAX(M1568/L1568,0),1),0)</f>
        <v>0</v>
      </c>
      <c r="R1568" s="55" t="n">
        <f aca="false">IF(F1568&gt;0,N1568/(F1568/3600),0)</f>
        <v>0</v>
      </c>
    </row>
    <row r="1569" customFormat="false" ht="15" hidden="false" customHeight="false" outlineLevel="0" collapsed="false">
      <c r="A1569" s="0" t="s">
        <v>261</v>
      </c>
      <c r="B1569" s="52" t="n">
        <v>43871</v>
      </c>
      <c r="C1569" s="0" t="n">
        <v>64416.545</v>
      </c>
      <c r="D1569" s="0" t="n">
        <v>4356.11</v>
      </c>
      <c r="E1569" s="0" t="n">
        <v>60060.435</v>
      </c>
      <c r="F1569" s="0" t="n">
        <v>46855.258</v>
      </c>
      <c r="G1569" s="0" t="n">
        <v>32347.858</v>
      </c>
      <c r="H1569" s="0" t="n">
        <v>14507.4</v>
      </c>
      <c r="I1569" s="0" t="n">
        <v>6073.58</v>
      </c>
      <c r="J1569" s="0" t="n">
        <v>7131.597</v>
      </c>
      <c r="K1569" s="0" t="n">
        <v>75674.3783805556</v>
      </c>
      <c r="L1569" s="0" t="n">
        <v>54551</v>
      </c>
      <c r="M1569" s="0" t="n">
        <v>54282</v>
      </c>
      <c r="N1569" s="0" t="n">
        <v>70</v>
      </c>
      <c r="O1569" s="54" t="n">
        <f aca="false">YEAR(B1569)</f>
        <v>2020</v>
      </c>
      <c r="P1569" s="54" t="n">
        <f aca="false">IF(AND(E1569&gt;=14400,K1569&gt;0,L1569&gt;0),1,0)</f>
        <v>1</v>
      </c>
      <c r="Q1569" s="53" t="n">
        <f aca="false">IF(P1569=1,F1569/E1569*MIN(L1569/K1569,1)*MIN(MAX(M1569/L1569,0),1),0)</f>
        <v>0.559598882783508</v>
      </c>
      <c r="R1569" s="55" t="n">
        <f aca="false">IF(F1569&gt;0,N1569/(F1569/3600),0)</f>
        <v>5.37826512448187</v>
      </c>
    </row>
    <row r="1570" customFormat="false" ht="15" hidden="false" customHeight="false" outlineLevel="0" collapsed="false">
      <c r="A1570" s="0" t="s">
        <v>261</v>
      </c>
      <c r="B1570" s="52" t="n">
        <v>43872</v>
      </c>
      <c r="C1570" s="0" t="n">
        <v>81963.882</v>
      </c>
      <c r="D1570" s="0" t="n">
        <v>4094.42</v>
      </c>
      <c r="E1570" s="0" t="n">
        <v>77869.462</v>
      </c>
      <c r="F1570" s="0" t="n">
        <v>44473.438</v>
      </c>
      <c r="G1570" s="0" t="n">
        <v>26524.949</v>
      </c>
      <c r="H1570" s="0" t="n">
        <v>17948.489</v>
      </c>
      <c r="I1570" s="0" t="n">
        <v>4986.7</v>
      </c>
      <c r="J1570" s="0" t="n">
        <v>28409.324</v>
      </c>
      <c r="K1570" s="0" t="n">
        <v>71344.016815</v>
      </c>
      <c r="L1570" s="0" t="n">
        <v>43646</v>
      </c>
      <c r="M1570" s="0" t="n">
        <v>43358</v>
      </c>
      <c r="N1570" s="0" t="n">
        <v>84</v>
      </c>
      <c r="O1570" s="54" t="n">
        <f aca="false">YEAR(B1570)</f>
        <v>2020</v>
      </c>
      <c r="P1570" s="54" t="n">
        <f aca="false">IF(AND(E1570&gt;=14400,K1570&gt;0,L1570&gt;0),1,0)</f>
        <v>1</v>
      </c>
      <c r="Q1570" s="53" t="n">
        <f aca="false">IF(P1570=1,F1570/E1570*MIN(L1570/K1570,1)*MIN(MAX(M1570/L1570,0),1),0)</f>
        <v>0.347092486967517</v>
      </c>
      <c r="R1570" s="55" t="n">
        <f aca="false">IF(F1570&gt;0,N1570/(F1570/3600),0)</f>
        <v>6.79956427025048</v>
      </c>
    </row>
    <row r="1571" customFormat="false" ht="15" hidden="false" customHeight="false" outlineLevel="0" collapsed="false">
      <c r="A1571" s="0" t="s">
        <v>261</v>
      </c>
      <c r="B1571" s="52" t="n">
        <v>43873</v>
      </c>
      <c r="C1571" s="0" t="n">
        <v>81862.449</v>
      </c>
      <c r="D1571" s="0" t="n">
        <v>14901.27</v>
      </c>
      <c r="E1571" s="0" t="n">
        <v>66961.179</v>
      </c>
      <c r="F1571" s="0" t="n">
        <v>44754.606</v>
      </c>
      <c r="G1571" s="0" t="n">
        <v>28093.192</v>
      </c>
      <c r="H1571" s="0" t="n">
        <v>16661.414</v>
      </c>
      <c r="I1571" s="0" t="n">
        <v>7476.448</v>
      </c>
      <c r="J1571" s="0" t="n">
        <v>14730.125</v>
      </c>
      <c r="K1571" s="0" t="n">
        <v>75248.3279797222</v>
      </c>
      <c r="L1571" s="0" t="n">
        <v>46990</v>
      </c>
      <c r="M1571" s="0" t="n">
        <v>46723</v>
      </c>
      <c r="N1571" s="0" t="n">
        <v>91</v>
      </c>
      <c r="O1571" s="54" t="n">
        <f aca="false">YEAR(B1571)</f>
        <v>2020</v>
      </c>
      <c r="P1571" s="54" t="n">
        <f aca="false">IF(AND(E1571&gt;=14400,K1571&gt;0,L1571&gt;0),1,0)</f>
        <v>1</v>
      </c>
      <c r="Q1571" s="53" t="n">
        <f aca="false">IF(P1571=1,F1571/E1571*MIN(L1571/K1571,1)*MIN(MAX(M1571/L1571,0),1),0)</f>
        <v>0.415000397130505</v>
      </c>
      <c r="R1571" s="55" t="n">
        <f aca="false">IF(F1571&gt;0,N1571/(F1571/3600),0)</f>
        <v>7.3199169712275</v>
      </c>
    </row>
    <row r="1572" customFormat="false" ht="15" hidden="false" customHeight="false" outlineLevel="0" collapsed="false">
      <c r="A1572" s="0" t="s">
        <v>261</v>
      </c>
      <c r="B1572" s="52" t="n">
        <v>43874</v>
      </c>
      <c r="C1572" s="0" t="n">
        <v>85163.159</v>
      </c>
      <c r="D1572" s="0" t="n">
        <v>17478.38</v>
      </c>
      <c r="E1572" s="0" t="n">
        <v>67684.779</v>
      </c>
      <c r="F1572" s="0" t="n">
        <v>44324.591</v>
      </c>
      <c r="G1572" s="0" t="n">
        <v>30133.841</v>
      </c>
      <c r="H1572" s="0" t="n">
        <v>14190.75</v>
      </c>
      <c r="I1572" s="0" t="n">
        <v>2265.288</v>
      </c>
      <c r="J1572" s="0" t="n">
        <v>21094.9</v>
      </c>
      <c r="K1572" s="0" t="n">
        <v>78730.0408444445</v>
      </c>
      <c r="L1572" s="0" t="n">
        <v>53398</v>
      </c>
      <c r="M1572" s="0" t="n">
        <v>53323</v>
      </c>
      <c r="N1572" s="0" t="n">
        <v>36</v>
      </c>
      <c r="O1572" s="54" t="n">
        <f aca="false">YEAR(B1572)</f>
        <v>2020</v>
      </c>
      <c r="P1572" s="54" t="n">
        <f aca="false">IF(AND(E1572&gt;=14400,K1572&gt;0,L1572&gt;0),1,0)</f>
        <v>1</v>
      </c>
      <c r="Q1572" s="53" t="n">
        <f aca="false">IF(P1572=1,F1572/E1572*MIN(L1572/K1572,1)*MIN(MAX(M1572/L1572,0),1),0)</f>
        <v>0.443534922188226</v>
      </c>
      <c r="R1572" s="55" t="n">
        <f aca="false">IF(F1572&gt;0,N1572/(F1572/3600),0)</f>
        <v>2.92388484757818</v>
      </c>
    </row>
    <row r="1573" customFormat="false" ht="15" hidden="false" customHeight="false" outlineLevel="0" collapsed="false">
      <c r="A1573" s="0" t="s">
        <v>261</v>
      </c>
      <c r="B1573" s="52" t="n">
        <v>43875</v>
      </c>
      <c r="C1573" s="0" t="n">
        <v>83050.418</v>
      </c>
      <c r="D1573" s="0" t="n">
        <v>21393.979</v>
      </c>
      <c r="E1573" s="0" t="n">
        <v>61656.439</v>
      </c>
      <c r="F1573" s="0" t="n">
        <v>50271.238</v>
      </c>
      <c r="G1573" s="0" t="n">
        <v>29739.385</v>
      </c>
      <c r="H1573" s="0" t="n">
        <v>20531.853</v>
      </c>
      <c r="I1573" s="0" t="n">
        <v>3733.949</v>
      </c>
      <c r="J1573" s="0" t="n">
        <v>7651.252</v>
      </c>
      <c r="K1573" s="0" t="n">
        <v>84990.9235502778</v>
      </c>
      <c r="L1573" s="0" t="n">
        <v>51009</v>
      </c>
      <c r="M1573" s="0" t="n">
        <v>50793</v>
      </c>
      <c r="N1573" s="0" t="n">
        <v>56</v>
      </c>
      <c r="O1573" s="54" t="n">
        <f aca="false">YEAR(B1573)</f>
        <v>2020</v>
      </c>
      <c r="P1573" s="54" t="n">
        <f aca="false">IF(AND(E1573&gt;=14400,K1573&gt;0,L1573&gt;0),1,0)</f>
        <v>1</v>
      </c>
      <c r="Q1573" s="53" t="n">
        <f aca="false">IF(P1573=1,F1573/E1573*MIN(L1573/K1573,1)*MIN(MAX(M1573/L1573,0),1),0)</f>
        <v>0.487273124067391</v>
      </c>
      <c r="R1573" s="55" t="n">
        <f aca="false">IF(F1573&gt;0,N1573/(F1573/3600),0)</f>
        <v>4.01024538126553</v>
      </c>
    </row>
    <row r="1574" customFormat="false" ht="15" hidden="false" customHeight="false" outlineLevel="0" collapsed="false">
      <c r="A1574" s="0" t="s">
        <v>261</v>
      </c>
      <c r="B1574" s="52" t="n">
        <v>43876</v>
      </c>
      <c r="C1574" s="0" t="n">
        <v>83839.918</v>
      </c>
      <c r="D1574" s="0" t="n">
        <v>16355.608</v>
      </c>
      <c r="E1574" s="0" t="n">
        <v>67484.31</v>
      </c>
      <c r="F1574" s="0" t="n">
        <v>50122.541</v>
      </c>
      <c r="G1574" s="0" t="n">
        <v>31155.571</v>
      </c>
      <c r="H1574" s="0" t="n">
        <v>18966.97</v>
      </c>
      <c r="I1574" s="0" t="n">
        <v>3745.505</v>
      </c>
      <c r="J1574" s="0" t="n">
        <v>13616.264</v>
      </c>
      <c r="K1574" s="0" t="n">
        <v>68220.04587</v>
      </c>
      <c r="L1574" s="0" t="n">
        <v>46731</v>
      </c>
      <c r="M1574" s="0" t="n">
        <v>46461</v>
      </c>
      <c r="N1574" s="0" t="n">
        <v>64</v>
      </c>
      <c r="O1574" s="54" t="n">
        <f aca="false">YEAR(B1574)</f>
        <v>2020</v>
      </c>
      <c r="P1574" s="54" t="n">
        <f aca="false">IF(AND(E1574&gt;=14400,K1574&gt;0,L1574&gt;0),1,0)</f>
        <v>1</v>
      </c>
      <c r="Q1574" s="53" t="n">
        <f aca="false">IF(P1574=1,F1574/E1574*MIN(L1574/K1574,1)*MIN(MAX(M1574/L1574,0),1),0)</f>
        <v>0.505832598356583</v>
      </c>
      <c r="R1574" s="55" t="n">
        <f aca="false">IF(F1574&gt;0,N1574/(F1574/3600),0)</f>
        <v>4.59673423181</v>
      </c>
    </row>
    <row r="1575" customFormat="false" ht="15" hidden="false" customHeight="false" outlineLevel="0" collapsed="false">
      <c r="A1575" s="0" t="s">
        <v>261</v>
      </c>
      <c r="B1575" s="52" t="n">
        <v>43877</v>
      </c>
      <c r="C1575" s="0" t="n">
        <v>19674.95</v>
      </c>
      <c r="D1575" s="0" t="n">
        <v>14100.68</v>
      </c>
      <c r="E1575" s="0" t="n">
        <v>5574.27</v>
      </c>
      <c r="F1575" s="0" t="n">
        <v>0</v>
      </c>
      <c r="G1575" s="0" t="n">
        <v>0</v>
      </c>
      <c r="H1575" s="0" t="n">
        <v>0</v>
      </c>
      <c r="I1575" s="0" t="n">
        <v>0</v>
      </c>
      <c r="J1575" s="0" t="n">
        <v>5574.27</v>
      </c>
      <c r="K1575" s="0" t="n">
        <v>0</v>
      </c>
      <c r="L1575" s="0" t="n">
        <v>0</v>
      </c>
      <c r="M1575" s="0" t="n">
        <v>0</v>
      </c>
      <c r="N1575" s="0" t="n">
        <v>0</v>
      </c>
      <c r="O1575" s="54" t="n">
        <f aca="false">YEAR(B1575)</f>
        <v>2020</v>
      </c>
      <c r="P1575" s="54" t="n">
        <f aca="false">IF(AND(E1575&gt;=14400,K1575&gt;0,L1575&gt;0),1,0)</f>
        <v>0</v>
      </c>
      <c r="Q1575" s="53" t="n">
        <f aca="false">IF(P1575=1,F1575/E1575*MIN(L1575/K1575,1)*MIN(MAX(M1575/L1575,0),1),0)</f>
        <v>0</v>
      </c>
      <c r="R1575" s="55" t="n">
        <f aca="false">IF(F1575&gt;0,N1575/(F1575/3600),0)</f>
        <v>0</v>
      </c>
    </row>
    <row r="1576" customFormat="false" ht="15" hidden="false" customHeight="false" outlineLevel="0" collapsed="false">
      <c r="A1576" s="0" t="s">
        <v>261</v>
      </c>
      <c r="B1576" s="52" t="n">
        <v>43878</v>
      </c>
      <c r="C1576" s="0" t="n">
        <v>62257.759</v>
      </c>
      <c r="D1576" s="0" t="n">
        <v>5944.93</v>
      </c>
      <c r="E1576" s="0" t="n">
        <v>56312.829</v>
      </c>
      <c r="F1576" s="0" t="n">
        <v>50556.256</v>
      </c>
      <c r="G1576" s="0" t="n">
        <v>36260.001</v>
      </c>
      <c r="H1576" s="0" t="n">
        <v>14296.255</v>
      </c>
      <c r="I1576" s="0" t="n">
        <v>2914.691</v>
      </c>
      <c r="J1576" s="0" t="n">
        <v>2841.882</v>
      </c>
      <c r="K1576" s="0" t="n">
        <v>86309.1168486111</v>
      </c>
      <c r="L1576" s="0" t="n">
        <v>62306</v>
      </c>
      <c r="M1576" s="0" t="n">
        <v>62101</v>
      </c>
      <c r="N1576" s="0" t="n">
        <v>33</v>
      </c>
      <c r="O1576" s="54" t="n">
        <f aca="false">YEAR(B1576)</f>
        <v>2020</v>
      </c>
      <c r="P1576" s="54" t="n">
        <f aca="false">IF(AND(E1576&gt;=14400,K1576&gt;0,L1576&gt;0),1,0)</f>
        <v>1</v>
      </c>
      <c r="Q1576" s="53" t="n">
        <f aca="false">IF(P1576=1,F1576/E1576*MIN(L1576/K1576,1)*MIN(MAX(M1576/L1576,0),1),0)</f>
        <v>0.645965731851144</v>
      </c>
      <c r="R1576" s="55" t="n">
        <f aca="false">IF(F1576&gt;0,N1576/(F1576/3600),0)</f>
        <v>2.34985755274283</v>
      </c>
    </row>
    <row r="1577" customFormat="false" ht="15" hidden="false" customHeight="false" outlineLevel="0" collapsed="false">
      <c r="A1577" s="0" t="s">
        <v>261</v>
      </c>
      <c r="B1577" s="52" t="n">
        <v>43879</v>
      </c>
      <c r="C1577" s="0" t="n">
        <v>76934.65</v>
      </c>
      <c r="D1577" s="0" t="n">
        <v>18724.075</v>
      </c>
      <c r="E1577" s="0" t="n">
        <v>58210.575</v>
      </c>
      <c r="F1577" s="0" t="n">
        <v>47364.031</v>
      </c>
      <c r="G1577" s="0" t="n">
        <v>29521.838</v>
      </c>
      <c r="H1577" s="0" t="n">
        <v>17842.193</v>
      </c>
      <c r="I1577" s="0" t="n">
        <v>4901.972</v>
      </c>
      <c r="J1577" s="0" t="n">
        <v>5944.572</v>
      </c>
      <c r="K1577" s="0" t="n">
        <v>74309.1236375</v>
      </c>
      <c r="L1577" s="0" t="n">
        <v>49995</v>
      </c>
      <c r="M1577" s="0" t="n">
        <v>49634</v>
      </c>
      <c r="N1577" s="0" t="n">
        <v>89</v>
      </c>
      <c r="O1577" s="54" t="n">
        <f aca="false">YEAR(B1577)</f>
        <v>2020</v>
      </c>
      <c r="P1577" s="54" t="n">
        <f aca="false">IF(AND(E1577&gt;=14400,K1577&gt;0,L1577&gt;0),1,0)</f>
        <v>1</v>
      </c>
      <c r="Q1577" s="53" t="n">
        <f aca="false">IF(P1577=1,F1577/E1577*MIN(L1577/K1577,1)*MIN(MAX(M1577/L1577,0),1),0)</f>
        <v>0.543480422465972</v>
      </c>
      <c r="R1577" s="55" t="n">
        <f aca="false">IF(F1577&gt;0,N1577/(F1577/3600),0)</f>
        <v>6.76462693810837</v>
      </c>
    </row>
    <row r="1578" customFormat="false" ht="15" hidden="false" customHeight="false" outlineLevel="0" collapsed="false">
      <c r="A1578" s="0" t="s">
        <v>261</v>
      </c>
      <c r="B1578" s="52" t="n">
        <v>43880</v>
      </c>
      <c r="C1578" s="0" t="n">
        <v>81744.19</v>
      </c>
      <c r="D1578" s="0" t="n">
        <v>9206.221</v>
      </c>
      <c r="E1578" s="0" t="n">
        <v>72537.969</v>
      </c>
      <c r="F1578" s="0" t="n">
        <v>48566.991</v>
      </c>
      <c r="G1578" s="0" t="n">
        <v>35898.695</v>
      </c>
      <c r="H1578" s="0" t="n">
        <v>12668.296</v>
      </c>
      <c r="I1578" s="0" t="n">
        <v>3956.006</v>
      </c>
      <c r="J1578" s="0" t="n">
        <v>20014.972</v>
      </c>
      <c r="K1578" s="0" t="n">
        <v>83239.0712711111</v>
      </c>
      <c r="L1578" s="0" t="n">
        <v>60802</v>
      </c>
      <c r="M1578" s="0" t="n">
        <v>60325</v>
      </c>
      <c r="N1578" s="0" t="n">
        <v>76</v>
      </c>
      <c r="O1578" s="54" t="n">
        <f aca="false">YEAR(B1578)</f>
        <v>2020</v>
      </c>
      <c r="P1578" s="54" t="n">
        <f aca="false">IF(AND(E1578&gt;=14400,K1578&gt;0,L1578&gt;0),1,0)</f>
        <v>1</v>
      </c>
      <c r="Q1578" s="53" t="n">
        <f aca="false">IF(P1578=1,F1578/E1578*MIN(L1578/K1578,1)*MIN(MAX(M1578/L1578,0),1),0)</f>
        <v>0.485228063179498</v>
      </c>
      <c r="R1578" s="55" t="n">
        <f aca="false">IF(F1578&gt;0,N1578/(F1578/3600),0)</f>
        <v>5.63345585893925</v>
      </c>
    </row>
    <row r="1579" customFormat="false" ht="15" hidden="false" customHeight="false" outlineLevel="0" collapsed="false">
      <c r="A1579" s="0" t="s">
        <v>261</v>
      </c>
      <c r="B1579" s="52" t="n">
        <v>43881</v>
      </c>
      <c r="C1579" s="0" t="n">
        <v>84989.235</v>
      </c>
      <c r="D1579" s="0" t="n">
        <v>16947.24</v>
      </c>
      <c r="E1579" s="0" t="n">
        <v>68041.995</v>
      </c>
      <c r="F1579" s="0" t="n">
        <v>45546.472</v>
      </c>
      <c r="G1579" s="0" t="n">
        <v>21296.086</v>
      </c>
      <c r="H1579" s="0" t="n">
        <v>24250.386</v>
      </c>
      <c r="I1579" s="0" t="n">
        <v>5399.44</v>
      </c>
      <c r="J1579" s="0" t="n">
        <v>17096.083</v>
      </c>
      <c r="K1579" s="0" t="n">
        <v>72553.1787236111</v>
      </c>
      <c r="L1579" s="0" t="n">
        <v>34573</v>
      </c>
      <c r="M1579" s="0" t="n">
        <v>33996</v>
      </c>
      <c r="N1579" s="0" t="n">
        <v>75</v>
      </c>
      <c r="O1579" s="54" t="n">
        <f aca="false">YEAR(B1579)</f>
        <v>2020</v>
      </c>
      <c r="P1579" s="54" t="n">
        <f aca="false">IF(AND(E1579&gt;=14400,K1579&gt;0,L1579&gt;0),1,0)</f>
        <v>1</v>
      </c>
      <c r="Q1579" s="53" t="n">
        <f aca="false">IF(P1579=1,F1579/E1579*MIN(L1579/K1579,1)*MIN(MAX(M1579/L1579,0),1),0)</f>
        <v>0.313652735582975</v>
      </c>
      <c r="R1579" s="55" t="n">
        <f aca="false">IF(F1579&gt;0,N1579/(F1579/3600),0)</f>
        <v>5.92801128482575</v>
      </c>
    </row>
    <row r="1580" customFormat="false" ht="15" hidden="false" customHeight="false" outlineLevel="0" collapsed="false">
      <c r="A1580" s="0" t="s">
        <v>261</v>
      </c>
      <c r="B1580" s="52" t="n">
        <v>43882</v>
      </c>
      <c r="C1580" s="0" t="n">
        <v>82142.685</v>
      </c>
      <c r="D1580" s="0" t="n">
        <v>13026.511</v>
      </c>
      <c r="E1580" s="0" t="n">
        <v>69116.174</v>
      </c>
      <c r="F1580" s="0" t="n">
        <v>46651.036</v>
      </c>
      <c r="G1580" s="0" t="n">
        <v>28290.767</v>
      </c>
      <c r="H1580" s="0" t="n">
        <v>18360.269</v>
      </c>
      <c r="I1580" s="0" t="n">
        <v>5316.736</v>
      </c>
      <c r="J1580" s="0" t="n">
        <v>17148.402</v>
      </c>
      <c r="K1580" s="0" t="n">
        <v>78268.0386969445</v>
      </c>
      <c r="L1580" s="0" t="n">
        <v>46956</v>
      </c>
      <c r="M1580" s="0" t="n">
        <v>46725</v>
      </c>
      <c r="N1580" s="0" t="n">
        <v>72</v>
      </c>
      <c r="O1580" s="54" t="n">
        <f aca="false">YEAR(B1580)</f>
        <v>2020</v>
      </c>
      <c r="P1580" s="54" t="n">
        <f aca="false">IF(AND(E1580&gt;=14400,K1580&gt;0,L1580&gt;0),1,0)</f>
        <v>1</v>
      </c>
      <c r="Q1580" s="53" t="n">
        <f aca="false">IF(P1580=1,F1580/E1580*MIN(L1580/K1580,1)*MIN(MAX(M1580/L1580,0),1),0)</f>
        <v>0.402945641412251</v>
      </c>
      <c r="R1580" s="55" t="n">
        <f aca="false">IF(F1580&gt;0,N1580/(F1580/3600),0)</f>
        <v>5.55614670593811</v>
      </c>
    </row>
    <row r="1581" customFormat="false" ht="15" hidden="false" customHeight="false" outlineLevel="0" collapsed="false">
      <c r="A1581" s="0" t="s">
        <v>261</v>
      </c>
      <c r="B1581" s="52" t="n">
        <v>43883</v>
      </c>
      <c r="C1581" s="0" t="n">
        <v>85543.941</v>
      </c>
      <c r="D1581" s="0" t="n">
        <v>5555.21</v>
      </c>
      <c r="E1581" s="0" t="n">
        <v>79988.731</v>
      </c>
      <c r="F1581" s="0" t="n">
        <v>45061.577</v>
      </c>
      <c r="G1581" s="0" t="n">
        <v>27195.855</v>
      </c>
      <c r="H1581" s="0" t="n">
        <v>17865.722</v>
      </c>
      <c r="I1581" s="0" t="n">
        <v>3291.387</v>
      </c>
      <c r="J1581" s="0" t="n">
        <v>31635.767</v>
      </c>
      <c r="K1581" s="0" t="n">
        <v>72996.2646527778</v>
      </c>
      <c r="L1581" s="0" t="n">
        <v>44619</v>
      </c>
      <c r="M1581" s="0" t="n">
        <v>44401</v>
      </c>
      <c r="N1581" s="0" t="n">
        <v>36</v>
      </c>
      <c r="O1581" s="54" t="n">
        <f aca="false">YEAR(B1581)</f>
        <v>2020</v>
      </c>
      <c r="P1581" s="54" t="n">
        <f aca="false">IF(AND(E1581&gt;=14400,K1581&gt;0,L1581&gt;0),1,0)</f>
        <v>1</v>
      </c>
      <c r="Q1581" s="53" t="n">
        <f aca="false">IF(P1581=1,F1581/E1581*MIN(L1581/K1581,1)*MIN(MAX(M1581/L1581,0),1),0)</f>
        <v>0.342664957642734</v>
      </c>
      <c r="R1581" s="55" t="n">
        <f aca="false">IF(F1581&gt;0,N1581/(F1581/3600),0)</f>
        <v>2.87606445730916</v>
      </c>
    </row>
    <row r="1582" customFormat="false" ht="15" hidden="false" customHeight="false" outlineLevel="0" collapsed="false">
      <c r="A1582" s="0" t="s">
        <v>261</v>
      </c>
      <c r="B1582" s="52" t="n">
        <v>43884</v>
      </c>
      <c r="C1582" s="0" t="n">
        <v>39838.62</v>
      </c>
      <c r="D1582" s="0" t="n">
        <v>9084.321</v>
      </c>
      <c r="E1582" s="0" t="n">
        <v>30754.299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n">
        <v>30754.299</v>
      </c>
      <c r="K1582" s="0" t="n">
        <v>0</v>
      </c>
      <c r="L1582" s="0" t="n">
        <v>0</v>
      </c>
      <c r="M1582" s="0" t="n">
        <v>0</v>
      </c>
      <c r="N1582" s="0" t="n">
        <v>0</v>
      </c>
      <c r="O1582" s="54" t="n">
        <f aca="false">YEAR(B1582)</f>
        <v>2020</v>
      </c>
      <c r="P1582" s="54" t="n">
        <f aca="false">IF(AND(E1582&gt;=14400,K1582&gt;0,L1582&gt;0),1,0)</f>
        <v>0</v>
      </c>
      <c r="Q1582" s="53" t="n">
        <f aca="false">IF(P1582=1,F1582/E1582*MIN(L1582/K1582,1)*MIN(MAX(M1582/L1582,0),1),0)</f>
        <v>0</v>
      </c>
      <c r="R1582" s="55" t="n">
        <f aca="false">IF(F1582&gt;0,N1582/(F1582/3600),0)</f>
        <v>0</v>
      </c>
    </row>
    <row r="1583" customFormat="false" ht="15" hidden="false" customHeight="false" outlineLevel="0" collapsed="false">
      <c r="A1583" s="0" t="s">
        <v>261</v>
      </c>
      <c r="B1583" s="52" t="n">
        <v>43885</v>
      </c>
      <c r="C1583" s="0" t="n">
        <v>64243.915</v>
      </c>
      <c r="D1583" s="0" t="n">
        <v>85.469</v>
      </c>
      <c r="E1583" s="0" t="n">
        <v>64158.446</v>
      </c>
      <c r="F1583" s="0" t="n">
        <v>52195.664</v>
      </c>
      <c r="G1583" s="0" t="n">
        <v>24393.8</v>
      </c>
      <c r="H1583" s="0" t="n">
        <v>27801.864</v>
      </c>
      <c r="I1583" s="0" t="n">
        <v>3143.126</v>
      </c>
      <c r="J1583" s="0" t="n">
        <v>8819.656</v>
      </c>
      <c r="K1583" s="0" t="n">
        <v>86591.1485994445</v>
      </c>
      <c r="L1583" s="0" t="n">
        <v>41496</v>
      </c>
      <c r="M1583" s="0" t="n">
        <v>40609</v>
      </c>
      <c r="N1583" s="0" t="n">
        <v>43</v>
      </c>
      <c r="O1583" s="54" t="n">
        <f aca="false">YEAR(B1583)</f>
        <v>2020</v>
      </c>
      <c r="P1583" s="54" t="n">
        <f aca="false">IF(AND(E1583&gt;=14400,K1583&gt;0,L1583&gt;0),1,0)</f>
        <v>1</v>
      </c>
      <c r="Q1583" s="53" t="n">
        <f aca="false">IF(P1583=1,F1583/E1583*MIN(L1583/K1583,1)*MIN(MAX(M1583/L1583,0),1),0)</f>
        <v>0.38153060849104</v>
      </c>
      <c r="R1583" s="55" t="n">
        <f aca="false">IF(F1583&gt;0,N1583/(F1583/3600),0)</f>
        <v>2.96576359292987</v>
      </c>
    </row>
    <row r="1584" customFormat="false" ht="15" hidden="false" customHeight="false" outlineLevel="0" collapsed="false">
      <c r="A1584" s="0" t="s">
        <v>261</v>
      </c>
      <c r="B1584" s="52" t="n">
        <v>43886</v>
      </c>
      <c r="C1584" s="0" t="n">
        <v>86212.312</v>
      </c>
      <c r="D1584" s="0" t="n">
        <v>12826.203</v>
      </c>
      <c r="E1584" s="0" t="n">
        <v>73386.109</v>
      </c>
      <c r="F1584" s="0" t="n">
        <v>53216.7</v>
      </c>
      <c r="G1584" s="0" t="n">
        <v>27119.941</v>
      </c>
      <c r="H1584" s="0" t="n">
        <v>26096.759</v>
      </c>
      <c r="I1584" s="0" t="n">
        <v>1766.304</v>
      </c>
      <c r="J1584" s="0" t="n">
        <v>18403.105</v>
      </c>
      <c r="K1584" s="0" t="n">
        <v>86604.9275241667</v>
      </c>
      <c r="L1584" s="0" t="n">
        <v>44039</v>
      </c>
      <c r="M1584" s="0" t="n">
        <v>43755</v>
      </c>
      <c r="N1584" s="0" t="n">
        <v>27</v>
      </c>
      <c r="O1584" s="54" t="n">
        <f aca="false">YEAR(B1584)</f>
        <v>2020</v>
      </c>
      <c r="P1584" s="54" t="n">
        <f aca="false">IF(AND(E1584&gt;=14400,K1584&gt;0,L1584&gt;0),1,0)</f>
        <v>1</v>
      </c>
      <c r="Q1584" s="53" t="n">
        <f aca="false">IF(P1584=1,F1584/E1584*MIN(L1584/K1584,1)*MIN(MAX(M1584/L1584,0),1),0)</f>
        <v>0.366369375456233</v>
      </c>
      <c r="R1584" s="55" t="n">
        <f aca="false">IF(F1584&gt;0,N1584/(F1584/3600),0)</f>
        <v>1.82649431475458</v>
      </c>
    </row>
    <row r="1585" customFormat="false" ht="15" hidden="false" customHeight="false" outlineLevel="0" collapsed="false">
      <c r="A1585" s="0" t="s">
        <v>261</v>
      </c>
      <c r="B1585" s="52" t="n">
        <v>43887</v>
      </c>
      <c r="C1585" s="0" t="n">
        <v>78569.576</v>
      </c>
      <c r="D1585" s="0" t="n">
        <v>14486.49</v>
      </c>
      <c r="E1585" s="0" t="n">
        <v>64083.086</v>
      </c>
      <c r="F1585" s="0" t="n">
        <v>51055.083</v>
      </c>
      <c r="G1585" s="0" t="n">
        <v>37342.745</v>
      </c>
      <c r="H1585" s="0" t="n">
        <v>13712.338</v>
      </c>
      <c r="I1585" s="0" t="n">
        <v>2638.296</v>
      </c>
      <c r="J1585" s="0" t="n">
        <v>10389.707</v>
      </c>
      <c r="K1585" s="0" t="n">
        <v>86415.452135</v>
      </c>
      <c r="L1585" s="0" t="n">
        <v>63368</v>
      </c>
      <c r="M1585" s="0" t="n">
        <v>62584</v>
      </c>
      <c r="N1585" s="0" t="n">
        <v>68</v>
      </c>
      <c r="O1585" s="54" t="n">
        <f aca="false">YEAR(B1585)</f>
        <v>2020</v>
      </c>
      <c r="P1585" s="54" t="n">
        <f aca="false">IF(AND(E1585&gt;=14400,K1585&gt;0,L1585&gt;0),1,0)</f>
        <v>1</v>
      </c>
      <c r="Q1585" s="53" t="n">
        <f aca="false">IF(P1585=1,F1585/E1585*MIN(L1585/K1585,1)*MIN(MAX(M1585/L1585,0),1),0)</f>
        <v>0.576988928303674</v>
      </c>
      <c r="R1585" s="55" t="n">
        <f aca="false">IF(F1585&gt;0,N1585/(F1585/3600),0)</f>
        <v>4.79482131093588</v>
      </c>
    </row>
    <row r="1586" customFormat="false" ht="15" hidden="false" customHeight="false" outlineLevel="0" collapsed="false">
      <c r="A1586" s="0" t="s">
        <v>261</v>
      </c>
      <c r="B1586" s="52" t="n">
        <v>43888</v>
      </c>
      <c r="C1586" s="0" t="n">
        <v>81860.378</v>
      </c>
      <c r="D1586" s="0" t="n">
        <v>6041.264</v>
      </c>
      <c r="E1586" s="0" t="n">
        <v>75819.114</v>
      </c>
      <c r="F1586" s="0" t="n">
        <v>47828.455</v>
      </c>
      <c r="G1586" s="0" t="n">
        <v>31466.951</v>
      </c>
      <c r="H1586" s="0" t="n">
        <v>16361.504</v>
      </c>
      <c r="I1586" s="0" t="n">
        <v>2899.143</v>
      </c>
      <c r="J1586" s="0" t="n">
        <v>25091.516</v>
      </c>
      <c r="K1586" s="0" t="n">
        <v>79044.1070088889</v>
      </c>
      <c r="L1586" s="0" t="n">
        <v>54602</v>
      </c>
      <c r="M1586" s="0" t="n">
        <v>53883</v>
      </c>
      <c r="N1586" s="0" t="n">
        <v>53</v>
      </c>
      <c r="O1586" s="54" t="n">
        <f aca="false">YEAR(B1586)</f>
        <v>2020</v>
      </c>
      <c r="P1586" s="54" t="n">
        <f aca="false">IF(AND(E1586&gt;=14400,K1586&gt;0,L1586&gt;0),1,0)</f>
        <v>1</v>
      </c>
      <c r="Q1586" s="53" t="n">
        <f aca="false">IF(P1586=1,F1586/E1586*MIN(L1586/K1586,1)*MIN(MAX(M1586/L1586,0),1),0)</f>
        <v>0.430021249903218</v>
      </c>
      <c r="R1586" s="55" t="n">
        <f aca="false">IF(F1586&gt;0,N1586/(F1586/3600),0)</f>
        <v>3.98925702283296</v>
      </c>
    </row>
    <row r="1587" customFormat="false" ht="15" hidden="false" customHeight="false" outlineLevel="0" collapsed="false">
      <c r="A1587" s="0" t="s">
        <v>261</v>
      </c>
      <c r="B1587" s="52" t="n">
        <v>43889</v>
      </c>
      <c r="C1587" s="0" t="n">
        <v>82930.514</v>
      </c>
      <c r="D1587" s="0" t="n">
        <v>2550.283</v>
      </c>
      <c r="E1587" s="0" t="n">
        <v>80380.231</v>
      </c>
      <c r="F1587" s="0" t="n">
        <v>53190.862</v>
      </c>
      <c r="G1587" s="0" t="n">
        <v>24689.77</v>
      </c>
      <c r="H1587" s="0" t="n">
        <v>28501.092</v>
      </c>
      <c r="I1587" s="0" t="n">
        <v>1581.159</v>
      </c>
      <c r="J1587" s="0" t="n">
        <v>25608.21</v>
      </c>
      <c r="K1587" s="0" t="n">
        <v>86190.9639244445</v>
      </c>
      <c r="L1587" s="0" t="n">
        <v>45128</v>
      </c>
      <c r="M1587" s="0" t="n">
        <v>44597</v>
      </c>
      <c r="N1587" s="0" t="n">
        <v>26</v>
      </c>
      <c r="O1587" s="54" t="n">
        <f aca="false">YEAR(B1587)</f>
        <v>2020</v>
      </c>
      <c r="P1587" s="54" t="n">
        <f aca="false">IF(AND(E1587&gt;=14400,K1587&gt;0,L1587&gt;0),1,0)</f>
        <v>1</v>
      </c>
      <c r="Q1587" s="53" t="n">
        <f aca="false">IF(P1587=1,F1587/E1587*MIN(L1587/K1587,1)*MIN(MAX(M1587/L1587,0),1),0)</f>
        <v>0.342398367920877</v>
      </c>
      <c r="R1587" s="55" t="n">
        <f aca="false">IF(F1587&gt;0,N1587/(F1587/3600),0)</f>
        <v>1.75970075461458</v>
      </c>
    </row>
    <row r="1588" customFormat="false" ht="15" hidden="false" customHeight="false" outlineLevel="0" collapsed="false">
      <c r="A1588" s="0" t="s">
        <v>261</v>
      </c>
      <c r="B1588" s="52" t="n">
        <v>43890</v>
      </c>
      <c r="C1588" s="0" t="n">
        <v>82638.962</v>
      </c>
      <c r="D1588" s="0" t="n">
        <v>17786.755</v>
      </c>
      <c r="E1588" s="0" t="n">
        <v>64852.207</v>
      </c>
      <c r="F1588" s="0" t="n">
        <v>53185.922</v>
      </c>
      <c r="G1588" s="0" t="n">
        <v>36050.81</v>
      </c>
      <c r="H1588" s="0" t="n">
        <v>17135.112</v>
      </c>
      <c r="I1588" s="0" t="n">
        <v>876.511</v>
      </c>
      <c r="J1588" s="0" t="n">
        <v>10789.774</v>
      </c>
      <c r="K1588" s="0" t="n">
        <v>90146.7560430556</v>
      </c>
      <c r="L1588" s="0" t="n">
        <v>53323</v>
      </c>
      <c r="M1588" s="0" t="n">
        <v>52977</v>
      </c>
      <c r="N1588" s="0" t="n">
        <v>21</v>
      </c>
      <c r="O1588" s="54" t="n">
        <f aca="false">YEAR(B1588)</f>
        <v>2020</v>
      </c>
      <c r="P1588" s="54" t="n">
        <f aca="false">IF(AND(E1588&gt;=14400,K1588&gt;0,L1588&gt;0),1,0)</f>
        <v>1</v>
      </c>
      <c r="Q1588" s="53" t="n">
        <f aca="false">IF(P1588=1,F1588/E1588*MIN(L1588/K1588,1)*MIN(MAX(M1588/L1588,0),1),0)</f>
        <v>0.481957996361273</v>
      </c>
      <c r="R1588" s="55" t="n">
        <f aca="false">IF(F1588&gt;0,N1588/(F1588/3600),0)</f>
        <v>1.42142877583282</v>
      </c>
    </row>
    <row r="1589" customFormat="false" ht="15" hidden="false" customHeight="false" outlineLevel="0" collapsed="false">
      <c r="A1589" s="0" t="s">
        <v>261</v>
      </c>
      <c r="B1589" s="52" t="n">
        <v>43891</v>
      </c>
      <c r="C1589" s="0" t="n">
        <v>62708.349</v>
      </c>
      <c r="D1589" s="0" t="n">
        <v>26158.638</v>
      </c>
      <c r="E1589" s="0" t="n">
        <v>36549.711</v>
      </c>
      <c r="F1589" s="0" t="n">
        <v>132.356</v>
      </c>
      <c r="G1589" s="0" t="n">
        <v>68.903</v>
      </c>
      <c r="H1589" s="0" t="n">
        <v>63.453</v>
      </c>
      <c r="I1589" s="0" t="n">
        <v>0</v>
      </c>
      <c r="J1589" s="0" t="n">
        <v>36417.355</v>
      </c>
      <c r="K1589" s="0" t="n">
        <v>215.0785</v>
      </c>
      <c r="L1589" s="0" t="n">
        <v>0</v>
      </c>
      <c r="M1589" s="0" t="n">
        <v>0</v>
      </c>
      <c r="N1589" s="0" t="n">
        <v>0</v>
      </c>
      <c r="O1589" s="54" t="n">
        <f aca="false">YEAR(B1589)</f>
        <v>2020</v>
      </c>
      <c r="P1589" s="54" t="n">
        <f aca="false">IF(AND(E1589&gt;=14400,K1589&gt;0,L1589&gt;0),1,0)</f>
        <v>0</v>
      </c>
      <c r="Q1589" s="53" t="n">
        <f aca="false">IF(P1589=1,F1589/E1589*MIN(L1589/K1589,1)*MIN(MAX(M1589/L1589,0),1),0)</f>
        <v>0</v>
      </c>
      <c r="R1589" s="55" t="n">
        <f aca="false">IF(F1589&gt;0,N1589/(F1589/3600),0)</f>
        <v>0</v>
      </c>
    </row>
    <row r="1590" customFormat="false" ht="15" hidden="false" customHeight="false" outlineLevel="0" collapsed="false">
      <c r="A1590" s="0" t="s">
        <v>261</v>
      </c>
      <c r="B1590" s="52" t="n">
        <v>43892</v>
      </c>
      <c r="C1590" s="0" t="n">
        <v>82827.582</v>
      </c>
      <c r="D1590" s="0" t="n">
        <v>18271.458</v>
      </c>
      <c r="E1590" s="0" t="n">
        <v>64556.124</v>
      </c>
      <c r="F1590" s="0" t="n">
        <v>44987.84</v>
      </c>
      <c r="G1590" s="0" t="n">
        <v>26045.574</v>
      </c>
      <c r="H1590" s="0" t="n">
        <v>18942.266</v>
      </c>
      <c r="I1590" s="0" t="n">
        <v>8724.875</v>
      </c>
      <c r="J1590" s="0" t="n">
        <v>10843.409</v>
      </c>
      <c r="K1590" s="0" t="n">
        <v>75744.1364608333</v>
      </c>
      <c r="L1590" s="0" t="n">
        <v>38791</v>
      </c>
      <c r="M1590" s="0" t="n">
        <v>37735</v>
      </c>
      <c r="N1590" s="0" t="n">
        <v>93</v>
      </c>
      <c r="O1590" s="54" t="n">
        <f aca="false">YEAR(B1590)</f>
        <v>2020</v>
      </c>
      <c r="P1590" s="54" t="n">
        <f aca="false">IF(AND(E1590&gt;=14400,K1590&gt;0,L1590&gt;0),1,0)</f>
        <v>1</v>
      </c>
      <c r="Q1590" s="53" t="n">
        <f aca="false">IF(P1590=1,F1590/E1590*MIN(L1590/K1590,1)*MIN(MAX(M1590/L1590,0),1),0)</f>
        <v>0.347178666272261</v>
      </c>
      <c r="R1590" s="55" t="n">
        <f aca="false">IF(F1590&gt;0,N1590/(F1590/3600),0)</f>
        <v>7.44201099674934</v>
      </c>
    </row>
    <row r="1591" customFormat="false" ht="15" hidden="false" customHeight="false" outlineLevel="0" collapsed="false">
      <c r="A1591" s="0" t="s">
        <v>261</v>
      </c>
      <c r="B1591" s="52" t="n">
        <v>43893</v>
      </c>
      <c r="C1591" s="0" t="n">
        <v>84444.178</v>
      </c>
      <c r="D1591" s="0" t="n">
        <v>22189.659</v>
      </c>
      <c r="E1591" s="0" t="n">
        <v>62254.519</v>
      </c>
      <c r="F1591" s="0" t="n">
        <v>46311.278</v>
      </c>
      <c r="G1591" s="0" t="n">
        <v>30916.45</v>
      </c>
      <c r="H1591" s="0" t="n">
        <v>15394.828</v>
      </c>
      <c r="I1591" s="0" t="n">
        <v>6657.32</v>
      </c>
      <c r="J1591" s="0" t="n">
        <v>9285.921</v>
      </c>
      <c r="K1591" s="0" t="n">
        <v>73725.7111166667</v>
      </c>
      <c r="L1591" s="0" t="n">
        <v>49455</v>
      </c>
      <c r="M1591" s="0" t="n">
        <v>49004</v>
      </c>
      <c r="N1591" s="0" t="n">
        <v>150</v>
      </c>
      <c r="O1591" s="54" t="n">
        <f aca="false">YEAR(B1591)</f>
        <v>2020</v>
      </c>
      <c r="P1591" s="54" t="n">
        <f aca="false">IF(AND(E1591&gt;=14400,K1591&gt;0,L1591&gt;0),1,0)</f>
        <v>1</v>
      </c>
      <c r="Q1591" s="53" t="n">
        <f aca="false">IF(P1591=1,F1591/E1591*MIN(L1591/K1591,1)*MIN(MAX(M1591/L1591,0),1),0)</f>
        <v>0.494456903642892</v>
      </c>
      <c r="R1591" s="55" t="n">
        <f aca="false">IF(F1591&gt;0,N1591/(F1591/3600),0)</f>
        <v>11.6602266946725</v>
      </c>
    </row>
    <row r="1592" customFormat="false" ht="15" hidden="false" customHeight="false" outlineLevel="0" collapsed="false">
      <c r="A1592" s="0" t="s">
        <v>261</v>
      </c>
      <c r="B1592" s="52" t="n">
        <v>43894</v>
      </c>
      <c r="C1592" s="0" t="n">
        <v>86399.995</v>
      </c>
      <c r="D1592" s="0" t="n">
        <v>3726.545</v>
      </c>
      <c r="E1592" s="0" t="n">
        <v>82673.45</v>
      </c>
      <c r="F1592" s="0" t="n">
        <v>45089.203</v>
      </c>
      <c r="G1592" s="0" t="n">
        <v>25696.03</v>
      </c>
      <c r="H1592" s="0" t="n">
        <v>19393.173</v>
      </c>
      <c r="I1592" s="0" t="n">
        <v>3906.917</v>
      </c>
      <c r="J1592" s="0" t="n">
        <v>33677.33</v>
      </c>
      <c r="K1592" s="0" t="n">
        <v>70479.2441333333</v>
      </c>
      <c r="L1592" s="0" t="n">
        <v>41373</v>
      </c>
      <c r="M1592" s="0" t="n">
        <v>40870</v>
      </c>
      <c r="N1592" s="0" t="n">
        <v>64</v>
      </c>
      <c r="O1592" s="54" t="n">
        <f aca="false">YEAR(B1592)</f>
        <v>2020</v>
      </c>
      <c r="P1592" s="54" t="n">
        <f aca="false">IF(AND(E1592&gt;=14400,K1592&gt;0,L1592&gt;0),1,0)</f>
        <v>1</v>
      </c>
      <c r="Q1592" s="53" t="n">
        <f aca="false">IF(P1592=1,F1592/E1592*MIN(L1592/K1592,1)*MIN(MAX(M1592/L1592,0),1),0)</f>
        <v>0.316264100458708</v>
      </c>
      <c r="R1592" s="55" t="n">
        <f aca="false">IF(F1592&gt;0,N1592/(F1592/3600),0)</f>
        <v>5.10987075996886</v>
      </c>
    </row>
    <row r="1593" customFormat="false" ht="15" hidden="false" customHeight="false" outlineLevel="0" collapsed="false">
      <c r="A1593" s="0" t="s">
        <v>261</v>
      </c>
      <c r="B1593" s="52" t="n">
        <v>43895</v>
      </c>
      <c r="C1593" s="0" t="n">
        <v>78783.429</v>
      </c>
      <c r="D1593" s="0" t="n">
        <v>17090.8</v>
      </c>
      <c r="E1593" s="0" t="n">
        <v>61692.629</v>
      </c>
      <c r="F1593" s="0" t="n">
        <v>51756.656</v>
      </c>
      <c r="G1593" s="0" t="n">
        <v>35309.977</v>
      </c>
      <c r="H1593" s="0" t="n">
        <v>16446.679</v>
      </c>
      <c r="I1593" s="0" t="n">
        <v>3813.756</v>
      </c>
      <c r="J1593" s="0" t="n">
        <v>6122.217</v>
      </c>
      <c r="K1593" s="0" t="n">
        <v>83346.9788216667</v>
      </c>
      <c r="L1593" s="0" t="n">
        <v>56131</v>
      </c>
      <c r="M1593" s="0" t="n">
        <v>55896</v>
      </c>
      <c r="N1593" s="0" t="n">
        <v>66</v>
      </c>
      <c r="O1593" s="54" t="n">
        <f aca="false">YEAR(B1593)</f>
        <v>2020</v>
      </c>
      <c r="P1593" s="54" t="n">
        <f aca="false">IF(AND(E1593&gt;=14400,K1593&gt;0,L1593&gt;0),1,0)</f>
        <v>1</v>
      </c>
      <c r="Q1593" s="53" t="n">
        <f aca="false">IF(P1593=1,F1593/E1593*MIN(L1593/K1593,1)*MIN(MAX(M1593/L1593,0),1),0)</f>
        <v>0.562631183609861</v>
      </c>
      <c r="R1593" s="55" t="n">
        <f aca="false">IF(F1593&gt;0,N1593/(F1593/3600),0)</f>
        <v>4.59071389774486</v>
      </c>
    </row>
    <row r="1594" customFormat="false" ht="15" hidden="false" customHeight="false" outlineLevel="0" collapsed="false">
      <c r="A1594" s="0" t="s">
        <v>261</v>
      </c>
      <c r="B1594" s="52" t="n">
        <v>43896</v>
      </c>
      <c r="C1594" s="0" t="n">
        <v>81405.329</v>
      </c>
      <c r="D1594" s="0" t="n">
        <v>20074.461</v>
      </c>
      <c r="E1594" s="0" t="n">
        <v>61330.868</v>
      </c>
      <c r="F1594" s="0" t="n">
        <v>49560.141</v>
      </c>
      <c r="G1594" s="0" t="n">
        <v>32011.733</v>
      </c>
      <c r="H1594" s="0" t="n">
        <v>17548.408</v>
      </c>
      <c r="I1594" s="0" t="n">
        <v>3598.901</v>
      </c>
      <c r="J1594" s="0" t="n">
        <v>8171.826</v>
      </c>
      <c r="K1594" s="0" t="n">
        <v>62537.7509988889</v>
      </c>
      <c r="L1594" s="0" t="n">
        <v>50782</v>
      </c>
      <c r="M1594" s="0" t="n">
        <v>50189</v>
      </c>
      <c r="N1594" s="0" t="n">
        <v>57</v>
      </c>
      <c r="O1594" s="54" t="n">
        <f aca="false">YEAR(B1594)</f>
        <v>2020</v>
      </c>
      <c r="P1594" s="54" t="n">
        <f aca="false">IF(AND(E1594&gt;=14400,K1594&gt;0,L1594&gt;0),1,0)</f>
        <v>1</v>
      </c>
      <c r="Q1594" s="53" t="n">
        <f aca="false">IF(P1594=1,F1594/E1594*MIN(L1594/K1594,1)*MIN(MAX(M1594/L1594,0),1),0)</f>
        <v>0.648514522242497</v>
      </c>
      <c r="R1594" s="55" t="n">
        <f aca="false">IF(F1594&gt;0,N1594/(F1594/3600),0)</f>
        <v>4.14042405569427</v>
      </c>
    </row>
    <row r="1595" customFormat="false" ht="15" hidden="false" customHeight="false" outlineLevel="0" collapsed="false">
      <c r="A1595" s="0" t="s">
        <v>261</v>
      </c>
      <c r="B1595" s="52" t="n">
        <v>43897</v>
      </c>
      <c r="C1595" s="0" t="n">
        <v>78244.007</v>
      </c>
      <c r="D1595" s="0" t="n">
        <v>10150.75</v>
      </c>
      <c r="E1595" s="0" t="n">
        <v>68093.257</v>
      </c>
      <c r="F1595" s="0" t="n">
        <v>51259.208</v>
      </c>
      <c r="G1595" s="0" t="n">
        <v>34736.499</v>
      </c>
      <c r="H1595" s="0" t="n">
        <v>16522.709</v>
      </c>
      <c r="I1595" s="0" t="n">
        <v>1297.965</v>
      </c>
      <c r="J1595" s="0" t="n">
        <v>15536.084</v>
      </c>
      <c r="K1595" s="0" t="n">
        <v>83620.0359855556</v>
      </c>
      <c r="L1595" s="0" t="n">
        <v>58151</v>
      </c>
      <c r="M1595" s="0" t="n">
        <v>58065</v>
      </c>
      <c r="N1595" s="0" t="n">
        <v>30</v>
      </c>
      <c r="O1595" s="54" t="n">
        <f aca="false">YEAR(B1595)</f>
        <v>2020</v>
      </c>
      <c r="P1595" s="54" t="n">
        <f aca="false">IF(AND(E1595&gt;=14400,K1595&gt;0,L1595&gt;0),1,0)</f>
        <v>1</v>
      </c>
      <c r="Q1595" s="53" t="n">
        <f aca="false">IF(P1595=1,F1595/E1595*MIN(L1595/K1595,1)*MIN(MAX(M1595/L1595,0),1),0)</f>
        <v>0.522723306541134</v>
      </c>
      <c r="R1595" s="55" t="n">
        <f aca="false">IF(F1595&gt;0,N1595/(F1595/3600),0)</f>
        <v>2.10693852312349</v>
      </c>
    </row>
    <row r="1596" customFormat="false" ht="15" hidden="false" customHeight="false" outlineLevel="0" collapsed="false">
      <c r="A1596" s="0" t="s">
        <v>261</v>
      </c>
      <c r="B1596" s="52" t="n">
        <v>43898</v>
      </c>
      <c r="C1596" s="0" t="n">
        <v>54208.69</v>
      </c>
      <c r="D1596" s="0" t="n">
        <v>52802.15</v>
      </c>
      <c r="E1596" s="0" t="n">
        <v>1406.54</v>
      </c>
      <c r="F1596" s="0" t="n">
        <v>47.68</v>
      </c>
      <c r="G1596" s="0" t="n">
        <v>0</v>
      </c>
      <c r="H1596" s="0" t="n">
        <v>47.68</v>
      </c>
      <c r="I1596" s="0" t="n">
        <v>0</v>
      </c>
      <c r="J1596" s="0" t="n">
        <v>1358.86</v>
      </c>
      <c r="K1596" s="0" t="n">
        <v>0</v>
      </c>
      <c r="L1596" s="0" t="n">
        <v>0</v>
      </c>
      <c r="M1596" s="0" t="n">
        <v>0</v>
      </c>
      <c r="N1596" s="0" t="n">
        <v>0</v>
      </c>
      <c r="O1596" s="54" t="n">
        <f aca="false">YEAR(B1596)</f>
        <v>2020</v>
      </c>
      <c r="P1596" s="54" t="n">
        <f aca="false">IF(AND(E1596&gt;=14400,K1596&gt;0,L1596&gt;0),1,0)</f>
        <v>0</v>
      </c>
      <c r="Q1596" s="53" t="n">
        <f aca="false">IF(P1596=1,F1596/E1596*MIN(L1596/K1596,1)*MIN(MAX(M1596/L1596,0),1),0)</f>
        <v>0</v>
      </c>
      <c r="R1596" s="55" t="n">
        <f aca="false">IF(F1596&gt;0,N1596/(F1596/3600),0)</f>
        <v>0</v>
      </c>
    </row>
    <row r="1597" customFormat="false" ht="15" hidden="false" customHeight="false" outlineLevel="0" collapsed="false">
      <c r="A1597" s="0" t="s">
        <v>261</v>
      </c>
      <c r="B1597" s="52" t="n">
        <v>43899</v>
      </c>
      <c r="C1597" s="0" t="n">
        <v>24451.87</v>
      </c>
      <c r="D1597" s="0" t="n">
        <v>471.97</v>
      </c>
      <c r="E1597" s="0" t="n">
        <v>23979.9</v>
      </c>
      <c r="F1597" s="0" t="n">
        <v>22322.879</v>
      </c>
      <c r="G1597" s="0" t="n">
        <v>12300.764</v>
      </c>
      <c r="H1597" s="0" t="n">
        <v>10022.115</v>
      </c>
      <c r="I1597" s="0" t="n">
        <v>854.918</v>
      </c>
      <c r="J1597" s="0" t="n">
        <v>802.103</v>
      </c>
      <c r="K1597" s="0" t="n">
        <v>32716.8387616667</v>
      </c>
      <c r="L1597" s="0" t="n">
        <v>23365</v>
      </c>
      <c r="M1597" s="0" t="n">
        <v>23238</v>
      </c>
      <c r="N1597" s="0" t="n">
        <v>15</v>
      </c>
      <c r="O1597" s="54" t="n">
        <f aca="false">YEAR(B1597)</f>
        <v>2020</v>
      </c>
      <c r="P1597" s="54" t="n">
        <f aca="false">IF(AND(E1597&gt;=14400,K1597&gt;0,L1597&gt;0),1,0)</f>
        <v>1</v>
      </c>
      <c r="Q1597" s="53" t="n">
        <f aca="false">IF(P1597=1,F1597/E1597*MIN(L1597/K1597,1)*MIN(MAX(M1597/L1597,0),1),0)</f>
        <v>0.661196051188953</v>
      </c>
      <c r="R1597" s="55" t="n">
        <f aca="false">IF(F1597&gt;0,N1597/(F1597/3600),0)</f>
        <v>2.41904281253328</v>
      </c>
    </row>
    <row r="1598" customFormat="false" ht="15" hidden="false" customHeight="false" outlineLevel="0" collapsed="false">
      <c r="A1598" s="0" t="s">
        <v>261</v>
      </c>
      <c r="B1598" s="52" t="n">
        <v>43906</v>
      </c>
      <c r="C1598" s="0" t="n">
        <v>39759.494</v>
      </c>
      <c r="D1598" s="0" t="n">
        <v>0</v>
      </c>
      <c r="E1598" s="0" t="n">
        <v>39759.494</v>
      </c>
      <c r="F1598" s="0" t="n">
        <v>33505.356</v>
      </c>
      <c r="G1598" s="0" t="n">
        <v>20174.149</v>
      </c>
      <c r="H1598" s="0" t="n">
        <v>13331.207</v>
      </c>
      <c r="I1598" s="0" t="n">
        <v>1870.758</v>
      </c>
      <c r="J1598" s="0" t="n">
        <v>4383.38</v>
      </c>
      <c r="K1598" s="0" t="n">
        <v>56074.7468630556</v>
      </c>
      <c r="L1598" s="0" t="n">
        <v>32538</v>
      </c>
      <c r="M1598" s="0" t="n">
        <v>32300</v>
      </c>
      <c r="N1598" s="0" t="n">
        <v>36</v>
      </c>
      <c r="O1598" s="54" t="n">
        <f aca="false">YEAR(B1598)</f>
        <v>2020</v>
      </c>
      <c r="P1598" s="54" t="n">
        <f aca="false">IF(AND(E1598&gt;=14400,K1598&gt;0,L1598&gt;0),1,0)</f>
        <v>1</v>
      </c>
      <c r="Q1598" s="53" t="n">
        <f aca="false">IF(P1598=1,F1598/E1598*MIN(L1598/K1598,1)*MIN(MAX(M1598/L1598,0),1),0)</f>
        <v>0.485409854243343</v>
      </c>
      <c r="R1598" s="55" t="n">
        <f aca="false">IF(F1598&gt;0,N1598/(F1598/3600),0)</f>
        <v>3.86803829214649</v>
      </c>
    </row>
    <row r="1599" customFormat="false" ht="15" hidden="false" customHeight="false" outlineLevel="0" collapsed="false">
      <c r="A1599" s="0" t="s">
        <v>261</v>
      </c>
      <c r="B1599" s="52" t="n">
        <v>43908</v>
      </c>
      <c r="C1599" s="0" t="n">
        <v>75083.51</v>
      </c>
      <c r="D1599" s="0" t="n">
        <v>900</v>
      </c>
      <c r="E1599" s="0" t="n">
        <v>74183.51</v>
      </c>
      <c r="F1599" s="0" t="n">
        <v>52472.317</v>
      </c>
      <c r="G1599" s="0" t="n">
        <v>35772.533</v>
      </c>
      <c r="H1599" s="0" t="n">
        <v>16699.784</v>
      </c>
      <c r="I1599" s="0" t="n">
        <v>2868.272</v>
      </c>
      <c r="J1599" s="0" t="n">
        <v>18842.921</v>
      </c>
      <c r="K1599" s="0" t="n">
        <v>89862.1497727778</v>
      </c>
      <c r="L1599" s="0" t="n">
        <v>60965</v>
      </c>
      <c r="M1599" s="0" t="n">
        <v>60721</v>
      </c>
      <c r="N1599" s="0" t="n">
        <v>62</v>
      </c>
      <c r="O1599" s="54" t="n">
        <f aca="false">YEAR(B1599)</f>
        <v>2020</v>
      </c>
      <c r="P1599" s="54" t="n">
        <f aca="false">IF(AND(E1599&gt;=14400,K1599&gt;0,L1599&gt;0),1,0)</f>
        <v>1</v>
      </c>
      <c r="Q1599" s="53" t="n">
        <f aca="false">IF(P1599=1,F1599/E1599*MIN(L1599/K1599,1)*MIN(MAX(M1599/L1599,0),1),0)</f>
        <v>0.4779527609053</v>
      </c>
      <c r="R1599" s="55" t="n">
        <f aca="false">IF(F1599&gt;0,N1599/(F1599/3600),0)</f>
        <v>4.25367151216136</v>
      </c>
    </row>
    <row r="1600" customFormat="false" ht="15" hidden="false" customHeight="false" outlineLevel="0" collapsed="false">
      <c r="A1600" s="0" t="s">
        <v>261</v>
      </c>
      <c r="B1600" s="52" t="n">
        <v>43909</v>
      </c>
      <c r="C1600" s="0" t="n">
        <v>83345.004</v>
      </c>
      <c r="D1600" s="0" t="n">
        <v>13159.79</v>
      </c>
      <c r="E1600" s="0" t="n">
        <v>70185.214</v>
      </c>
      <c r="F1600" s="0" t="n">
        <v>43972.71</v>
      </c>
      <c r="G1600" s="0" t="n">
        <v>26267.295</v>
      </c>
      <c r="H1600" s="0" t="n">
        <v>17705.415</v>
      </c>
      <c r="I1600" s="0" t="n">
        <v>5976.429</v>
      </c>
      <c r="J1600" s="0" t="n">
        <v>20236.075</v>
      </c>
      <c r="K1600" s="0" t="n">
        <v>63070.2684966667</v>
      </c>
      <c r="L1600" s="0" t="n">
        <v>41630</v>
      </c>
      <c r="M1600" s="0" t="n">
        <v>41192</v>
      </c>
      <c r="N1600" s="0" t="n">
        <v>112</v>
      </c>
      <c r="O1600" s="54" t="n">
        <f aca="false">YEAR(B1600)</f>
        <v>2020</v>
      </c>
      <c r="P1600" s="54" t="n">
        <f aca="false">IF(AND(E1600&gt;=14400,K1600&gt;0,L1600&gt;0),1,0)</f>
        <v>1</v>
      </c>
      <c r="Q1600" s="53" t="n">
        <f aca="false">IF(P1600=1,F1600/E1600*MIN(L1600/K1600,1)*MIN(MAX(M1600/L1600,0),1),0)</f>
        <v>0.409190744826891</v>
      </c>
      <c r="R1600" s="55" t="n">
        <f aca="false">IF(F1600&gt;0,N1600/(F1600/3600),0)</f>
        <v>9.16932342809893</v>
      </c>
    </row>
    <row r="1601" customFormat="false" ht="15" hidden="false" customHeight="false" outlineLevel="0" collapsed="false">
      <c r="A1601" s="0" t="s">
        <v>261</v>
      </c>
      <c r="B1601" s="52" t="n">
        <v>43910</v>
      </c>
      <c r="C1601" s="0" t="n">
        <v>72951.666</v>
      </c>
      <c r="D1601" s="0" t="n">
        <v>0</v>
      </c>
      <c r="E1601" s="0" t="n">
        <v>72951.666</v>
      </c>
      <c r="F1601" s="0" t="n">
        <v>53908.862</v>
      </c>
      <c r="G1601" s="0" t="n">
        <v>37281.992</v>
      </c>
      <c r="H1601" s="0" t="n">
        <v>16626.87</v>
      </c>
      <c r="I1601" s="0" t="n">
        <v>5965.548</v>
      </c>
      <c r="J1601" s="0" t="n">
        <v>13077.256</v>
      </c>
      <c r="K1601" s="0" t="n">
        <v>69412.1149880556</v>
      </c>
      <c r="L1601" s="0" t="n">
        <v>58887</v>
      </c>
      <c r="M1601" s="0" t="n">
        <v>58167</v>
      </c>
      <c r="N1601" s="0" t="n">
        <v>113</v>
      </c>
      <c r="O1601" s="54" t="n">
        <f aca="false">YEAR(B1601)</f>
        <v>2020</v>
      </c>
      <c r="P1601" s="54" t="n">
        <f aca="false">IF(AND(E1601&gt;=14400,K1601&gt;0,L1601&gt;0),1,0)</f>
        <v>1</v>
      </c>
      <c r="Q1601" s="53" t="n">
        <f aca="false">IF(P1601=1,F1601/E1601*MIN(L1601/K1601,1)*MIN(MAX(M1601/L1601,0),1),0)</f>
        <v>0.619250459556376</v>
      </c>
      <c r="R1601" s="55" t="n">
        <f aca="false">IF(F1601&gt;0,N1601/(F1601/3600),0)</f>
        <v>7.54606914165615</v>
      </c>
    </row>
    <row r="1602" customFormat="false" ht="15" hidden="false" customHeight="false" outlineLevel="0" collapsed="false">
      <c r="A1602" s="0" t="s">
        <v>261</v>
      </c>
      <c r="B1602" s="52" t="n">
        <v>43911</v>
      </c>
      <c r="C1602" s="0" t="n">
        <v>79695.543</v>
      </c>
      <c r="D1602" s="0" t="n">
        <v>11271.06</v>
      </c>
      <c r="E1602" s="0" t="n">
        <v>68424.483</v>
      </c>
      <c r="F1602" s="0" t="n">
        <v>53133.825</v>
      </c>
      <c r="G1602" s="0" t="n">
        <v>33397.992</v>
      </c>
      <c r="H1602" s="0" t="n">
        <v>19735.833</v>
      </c>
      <c r="I1602" s="0" t="n">
        <v>3614.982</v>
      </c>
      <c r="J1602" s="0" t="n">
        <v>11675.676</v>
      </c>
      <c r="K1602" s="0" t="n">
        <v>91043.5035983333</v>
      </c>
      <c r="L1602" s="0" t="n">
        <v>56952</v>
      </c>
      <c r="M1602" s="0" t="n">
        <v>56390</v>
      </c>
      <c r="N1602" s="0" t="n">
        <v>87</v>
      </c>
      <c r="O1602" s="54" t="n">
        <f aca="false">YEAR(B1602)</f>
        <v>2020</v>
      </c>
      <c r="P1602" s="54" t="n">
        <f aca="false">IF(AND(E1602&gt;=14400,K1602&gt;0,L1602&gt;0),1,0)</f>
        <v>1</v>
      </c>
      <c r="Q1602" s="53" t="n">
        <f aca="false">IF(P1602=1,F1602/E1602*MIN(L1602/K1602,1)*MIN(MAX(M1602/L1602,0),1),0)</f>
        <v>0.480964130670552</v>
      </c>
      <c r="R1602" s="55" t="n">
        <f aca="false">IF(F1602&gt;0,N1602/(F1602/3600),0)</f>
        <v>5.8945502229512</v>
      </c>
    </row>
    <row r="1603" customFormat="false" ht="15" hidden="false" customHeight="false" outlineLevel="0" collapsed="false">
      <c r="A1603" s="0" t="s">
        <v>261</v>
      </c>
      <c r="B1603" s="52" t="n">
        <v>43912</v>
      </c>
      <c r="C1603" s="0" t="n">
        <v>47041.093</v>
      </c>
      <c r="D1603" s="0" t="n">
        <v>1108.9</v>
      </c>
      <c r="E1603" s="0" t="n">
        <v>45932.193</v>
      </c>
      <c r="F1603" s="0" t="n">
        <v>2142.363</v>
      </c>
      <c r="G1603" s="0" t="n">
        <v>0</v>
      </c>
      <c r="H1603" s="0" t="n">
        <v>2142.363</v>
      </c>
      <c r="I1603" s="0" t="n">
        <v>0</v>
      </c>
      <c r="J1603" s="0" t="n">
        <v>43789.83</v>
      </c>
      <c r="K1603" s="0" t="n">
        <v>3675.34274666667</v>
      </c>
      <c r="L1603" s="0" t="n">
        <v>0</v>
      </c>
      <c r="M1603" s="0" t="n">
        <v>0</v>
      </c>
      <c r="N1603" s="0" t="n">
        <v>0</v>
      </c>
      <c r="O1603" s="54" t="n">
        <f aca="false">YEAR(B1603)</f>
        <v>2020</v>
      </c>
      <c r="P1603" s="54" t="n">
        <f aca="false">IF(AND(E1603&gt;=14400,K1603&gt;0,L1603&gt;0),1,0)</f>
        <v>0</v>
      </c>
      <c r="Q1603" s="53" t="n">
        <f aca="false">IF(P1603=1,F1603/E1603*MIN(L1603/K1603,1)*MIN(MAX(M1603/L1603,0),1),0)</f>
        <v>0</v>
      </c>
      <c r="R1603" s="55" t="n">
        <f aca="false">IF(F1603&gt;0,N1603/(F1603/3600),0)</f>
        <v>0</v>
      </c>
    </row>
    <row r="1604" customFormat="false" ht="15" hidden="false" customHeight="false" outlineLevel="0" collapsed="false">
      <c r="A1604" s="0" t="s">
        <v>261</v>
      </c>
      <c r="B1604" s="52" t="n">
        <v>43913</v>
      </c>
      <c r="C1604" s="0" t="n">
        <v>65243.128</v>
      </c>
      <c r="D1604" s="0" t="n">
        <v>1664.726</v>
      </c>
      <c r="E1604" s="0" t="n">
        <v>63578.402</v>
      </c>
      <c r="F1604" s="0" t="n">
        <v>51757.564</v>
      </c>
      <c r="G1604" s="0" t="n">
        <v>35665.632</v>
      </c>
      <c r="H1604" s="0" t="n">
        <v>16091.932</v>
      </c>
      <c r="I1604" s="0" t="n">
        <v>3963.932</v>
      </c>
      <c r="J1604" s="0" t="n">
        <v>7856.906</v>
      </c>
      <c r="K1604" s="0" t="n">
        <v>84406.3711441667</v>
      </c>
      <c r="L1604" s="0" t="n">
        <v>58607</v>
      </c>
      <c r="M1604" s="0" t="n">
        <v>58156</v>
      </c>
      <c r="N1604" s="0" t="n">
        <v>108</v>
      </c>
      <c r="O1604" s="54" t="n">
        <f aca="false">YEAR(B1604)</f>
        <v>2020</v>
      </c>
      <c r="P1604" s="54" t="n">
        <f aca="false">IF(AND(E1604&gt;=14400,K1604&gt;0,L1604&gt;0),1,0)</f>
        <v>1</v>
      </c>
      <c r="Q1604" s="53" t="n">
        <f aca="false">IF(P1604=1,F1604/E1604*MIN(L1604/K1604,1)*MIN(MAX(M1604/L1604,0),1),0)</f>
        <v>0.560897518321836</v>
      </c>
      <c r="R1604" s="55" t="n">
        <f aca="false">IF(F1604&gt;0,N1604/(F1604/3600),0)</f>
        <v>7.51194550037169</v>
      </c>
    </row>
    <row r="1605" customFormat="false" ht="15" hidden="false" customHeight="false" outlineLevel="0" collapsed="false">
      <c r="A1605" s="0" t="s">
        <v>261</v>
      </c>
      <c r="B1605" s="52" t="n">
        <v>43914</v>
      </c>
      <c r="C1605" s="0" t="n">
        <v>85281.987</v>
      </c>
      <c r="D1605" s="0" t="n">
        <v>9404.001</v>
      </c>
      <c r="E1605" s="0" t="n">
        <v>75877.986</v>
      </c>
      <c r="F1605" s="0" t="n">
        <v>53193.249</v>
      </c>
      <c r="G1605" s="0" t="n">
        <v>30916.734</v>
      </c>
      <c r="H1605" s="0" t="n">
        <v>22276.515</v>
      </c>
      <c r="I1605" s="0" t="n">
        <v>3903.882</v>
      </c>
      <c r="J1605" s="0" t="n">
        <v>18780.855</v>
      </c>
      <c r="K1605" s="0" t="n">
        <v>83417.2383972222</v>
      </c>
      <c r="L1605" s="0" t="n">
        <v>52302</v>
      </c>
      <c r="M1605" s="0" t="n">
        <v>51580</v>
      </c>
      <c r="N1605" s="0" t="n">
        <v>85</v>
      </c>
      <c r="O1605" s="54" t="n">
        <f aca="false">YEAR(B1605)</f>
        <v>2020</v>
      </c>
      <c r="P1605" s="54" t="n">
        <f aca="false">IF(AND(E1605&gt;=14400,K1605&gt;0,L1605&gt;0),1,0)</f>
        <v>1</v>
      </c>
      <c r="Q1605" s="53" t="n">
        <f aca="false">IF(P1605=1,F1605/E1605*MIN(L1605/K1605,1)*MIN(MAX(M1605/L1605,0),1),0)</f>
        <v>0.433477192773894</v>
      </c>
      <c r="R1605" s="55" t="n">
        <f aca="false">IF(F1605&gt;0,N1605/(F1605/3600),0)</f>
        <v>5.7526096967681</v>
      </c>
    </row>
    <row r="1606" customFormat="false" ht="15" hidden="false" customHeight="false" outlineLevel="0" collapsed="false">
      <c r="A1606" s="0" t="s">
        <v>261</v>
      </c>
      <c r="B1606" s="52" t="n">
        <v>43915</v>
      </c>
      <c r="C1606" s="0" t="n">
        <v>85223.875</v>
      </c>
      <c r="D1606" s="0" t="n">
        <v>3209.676</v>
      </c>
      <c r="E1606" s="0" t="n">
        <v>82014.199</v>
      </c>
      <c r="F1606" s="0" t="n">
        <v>52306.304</v>
      </c>
      <c r="G1606" s="0" t="n">
        <v>39269.216</v>
      </c>
      <c r="H1606" s="0" t="n">
        <v>13037.088</v>
      </c>
      <c r="I1606" s="0" t="n">
        <v>2633.919</v>
      </c>
      <c r="J1606" s="0" t="n">
        <v>27073.976</v>
      </c>
      <c r="K1606" s="0" t="n">
        <v>86921.1524083333</v>
      </c>
      <c r="L1606" s="0" t="n">
        <v>66895</v>
      </c>
      <c r="M1606" s="0" t="n">
        <v>66372</v>
      </c>
      <c r="N1606" s="0" t="n">
        <v>82</v>
      </c>
      <c r="O1606" s="54" t="n">
        <f aca="false">YEAR(B1606)</f>
        <v>2020</v>
      </c>
      <c r="P1606" s="54" t="n">
        <f aca="false">IF(AND(E1606&gt;=14400,K1606&gt;0,L1606&gt;0),1,0)</f>
        <v>1</v>
      </c>
      <c r="Q1606" s="53" t="n">
        <f aca="false">IF(P1606=1,F1606/E1606*MIN(L1606/K1606,1)*MIN(MAX(M1606/L1606,0),1),0)</f>
        <v>0.486994901869492</v>
      </c>
      <c r="R1606" s="55" t="n">
        <f aca="false">IF(F1606&gt;0,N1606/(F1606/3600),0)</f>
        <v>5.64367920165034</v>
      </c>
    </row>
    <row r="1607" customFormat="false" ht="15" hidden="false" customHeight="false" outlineLevel="0" collapsed="false">
      <c r="A1607" s="0" t="s">
        <v>261</v>
      </c>
      <c r="B1607" s="52" t="n">
        <v>43916</v>
      </c>
      <c r="C1607" s="0" t="n">
        <v>75764.753</v>
      </c>
      <c r="D1607" s="0" t="n">
        <v>7447.84</v>
      </c>
      <c r="E1607" s="0" t="n">
        <v>68316.913</v>
      </c>
      <c r="F1607" s="0" t="n">
        <v>47502.056</v>
      </c>
      <c r="G1607" s="0" t="n">
        <v>22645.342</v>
      </c>
      <c r="H1607" s="0" t="n">
        <v>24856.714</v>
      </c>
      <c r="I1607" s="0" t="n">
        <v>5818.003</v>
      </c>
      <c r="J1607" s="0" t="n">
        <v>14996.854</v>
      </c>
      <c r="K1607" s="0" t="n">
        <v>71494.0228566667</v>
      </c>
      <c r="L1607" s="0" t="n">
        <v>37510</v>
      </c>
      <c r="M1607" s="0" t="n">
        <v>36551</v>
      </c>
      <c r="N1607" s="0" t="n">
        <v>93</v>
      </c>
      <c r="O1607" s="54" t="n">
        <f aca="false">YEAR(B1607)</f>
        <v>2020</v>
      </c>
      <c r="P1607" s="54" t="n">
        <f aca="false">IF(AND(E1607&gt;=14400,K1607&gt;0,L1607&gt;0),1,0)</f>
        <v>1</v>
      </c>
      <c r="Q1607" s="53" t="n">
        <f aca="false">IF(P1607=1,F1607/E1607*MIN(L1607/K1607,1)*MIN(MAX(M1607/L1607,0),1),0)</f>
        <v>0.355478797128924</v>
      </c>
      <c r="R1607" s="55" t="n">
        <f aca="false">IF(F1607&gt;0,N1607/(F1607/3600),0)</f>
        <v>7.04811598049567</v>
      </c>
    </row>
    <row r="1608" customFormat="false" ht="15" hidden="false" customHeight="false" outlineLevel="0" collapsed="false">
      <c r="A1608" s="0" t="s">
        <v>261</v>
      </c>
      <c r="B1608" s="52" t="n">
        <v>43917</v>
      </c>
      <c r="C1608" s="0" t="n">
        <v>85714.022</v>
      </c>
      <c r="D1608" s="0" t="n">
        <v>12238.462</v>
      </c>
      <c r="E1608" s="0" t="n">
        <v>73475.56</v>
      </c>
      <c r="F1608" s="0" t="n">
        <v>53162.819</v>
      </c>
      <c r="G1608" s="0" t="n">
        <v>31123.029</v>
      </c>
      <c r="H1608" s="0" t="n">
        <v>22039.79</v>
      </c>
      <c r="I1608" s="0" t="n">
        <v>1642.636</v>
      </c>
      <c r="J1608" s="0" t="n">
        <v>18670.105</v>
      </c>
      <c r="K1608" s="0" t="n">
        <v>86314.0418419445</v>
      </c>
      <c r="L1608" s="0" t="n">
        <v>53120</v>
      </c>
      <c r="M1608" s="0" t="n">
        <v>52668</v>
      </c>
      <c r="N1608" s="0" t="n">
        <v>49</v>
      </c>
      <c r="O1608" s="54" t="n">
        <f aca="false">YEAR(B1608)</f>
        <v>2020</v>
      </c>
      <c r="P1608" s="54" t="n">
        <f aca="false">IF(AND(E1608&gt;=14400,K1608&gt;0,L1608&gt;0),1,0)</f>
        <v>1</v>
      </c>
      <c r="Q1608" s="53" t="n">
        <f aca="false">IF(P1608=1,F1608/E1608*MIN(L1608/K1608,1)*MIN(MAX(M1608/L1608,0),1),0)</f>
        <v>0.44149975808214</v>
      </c>
      <c r="R1608" s="55" t="n">
        <f aca="false">IF(F1608&gt;0,N1608/(F1608/3600),0)</f>
        <v>3.3181084697559</v>
      </c>
    </row>
    <row r="1609" customFormat="false" ht="15" hidden="false" customHeight="false" outlineLevel="0" collapsed="false">
      <c r="A1609" s="0" t="s">
        <v>261</v>
      </c>
      <c r="B1609" s="52" t="n">
        <v>43918</v>
      </c>
      <c r="C1609" s="0" t="n">
        <v>84663.198</v>
      </c>
      <c r="D1609" s="0" t="n">
        <v>9817.3</v>
      </c>
      <c r="E1609" s="0" t="n">
        <v>74845.898</v>
      </c>
      <c r="F1609" s="0" t="n">
        <v>50762.007</v>
      </c>
      <c r="G1609" s="0" t="n">
        <v>28789.104</v>
      </c>
      <c r="H1609" s="0" t="n">
        <v>21972.903</v>
      </c>
      <c r="I1609" s="0" t="n">
        <v>4635.722</v>
      </c>
      <c r="J1609" s="0" t="n">
        <v>19448.169</v>
      </c>
      <c r="K1609" s="0" t="n">
        <v>70560.7381016667</v>
      </c>
      <c r="L1609" s="0" t="n">
        <v>47299</v>
      </c>
      <c r="M1609" s="0" t="n">
        <v>46698</v>
      </c>
      <c r="N1609" s="0" t="n">
        <v>100</v>
      </c>
      <c r="O1609" s="54" t="n">
        <f aca="false">YEAR(B1609)</f>
        <v>2020</v>
      </c>
      <c r="P1609" s="54" t="n">
        <f aca="false">IF(AND(E1609&gt;=14400,K1609&gt;0,L1609&gt;0),1,0)</f>
        <v>1</v>
      </c>
      <c r="Q1609" s="53" t="n">
        <f aca="false">IF(P1609=1,F1609/E1609*MIN(L1609/K1609,1)*MIN(MAX(M1609/L1609,0),1),0)</f>
        <v>0.448854875598264</v>
      </c>
      <c r="R1609" s="55" t="n">
        <f aca="false">IF(F1609&gt;0,N1609/(F1609/3600),0)</f>
        <v>7.0919181741573</v>
      </c>
    </row>
    <row r="1610" customFormat="false" ht="15" hidden="false" customHeight="false" outlineLevel="0" collapsed="false">
      <c r="A1610" s="0" t="s">
        <v>261</v>
      </c>
      <c r="B1610" s="52" t="n">
        <v>43919</v>
      </c>
      <c r="C1610" s="0" t="n">
        <v>32885.86</v>
      </c>
      <c r="D1610" s="0" t="n">
        <v>900</v>
      </c>
      <c r="E1610" s="0" t="n">
        <v>31985.86</v>
      </c>
      <c r="F1610" s="0" t="n">
        <v>3855.919</v>
      </c>
      <c r="G1610" s="0" t="n">
        <v>0</v>
      </c>
      <c r="H1610" s="0" t="n">
        <v>3855.919</v>
      </c>
      <c r="I1610" s="0" t="n">
        <v>0</v>
      </c>
      <c r="J1610" s="0" t="n">
        <v>28129.941</v>
      </c>
      <c r="K1610" s="0" t="n">
        <v>0</v>
      </c>
      <c r="L1610" s="0" t="n">
        <v>0</v>
      </c>
      <c r="M1610" s="0" t="n">
        <v>0</v>
      </c>
      <c r="N1610" s="0" t="n">
        <v>0</v>
      </c>
      <c r="O1610" s="54" t="n">
        <f aca="false">YEAR(B1610)</f>
        <v>2020</v>
      </c>
      <c r="P1610" s="54" t="n">
        <f aca="false">IF(AND(E1610&gt;=14400,K1610&gt;0,L1610&gt;0),1,0)</f>
        <v>0</v>
      </c>
      <c r="Q1610" s="53" t="n">
        <f aca="false">IF(P1610=1,F1610/E1610*MIN(L1610/K1610,1)*MIN(MAX(M1610/L1610,0),1),0)</f>
        <v>0</v>
      </c>
      <c r="R1610" s="55" t="n">
        <f aca="false">IF(F1610&gt;0,N1610/(F1610/3600),0)</f>
        <v>0</v>
      </c>
    </row>
    <row r="1611" customFormat="false" ht="15" hidden="false" customHeight="false" outlineLevel="0" collapsed="false">
      <c r="A1611" s="0" t="s">
        <v>261</v>
      </c>
      <c r="B1611" s="52" t="n">
        <v>43920</v>
      </c>
      <c r="C1611" s="0" t="n">
        <v>57070.044</v>
      </c>
      <c r="D1611" s="0" t="n">
        <v>1290.089</v>
      </c>
      <c r="E1611" s="0" t="n">
        <v>55779.955</v>
      </c>
      <c r="F1611" s="0" t="n">
        <v>46733.151</v>
      </c>
      <c r="G1611" s="0" t="n">
        <v>25077.094</v>
      </c>
      <c r="H1611" s="0" t="n">
        <v>21656.057</v>
      </c>
      <c r="I1611" s="0" t="n">
        <v>5309.999</v>
      </c>
      <c r="J1611" s="0" t="n">
        <v>3736.805</v>
      </c>
      <c r="K1611" s="0" t="n">
        <v>65553.5750183333</v>
      </c>
      <c r="L1611" s="0" t="n">
        <v>35326</v>
      </c>
      <c r="M1611" s="0" t="n">
        <v>35069</v>
      </c>
      <c r="N1611" s="0" t="n">
        <v>64</v>
      </c>
      <c r="O1611" s="54" t="n">
        <f aca="false">YEAR(B1611)</f>
        <v>2020</v>
      </c>
      <c r="P1611" s="54" t="n">
        <f aca="false">IF(AND(E1611&gt;=14400,K1611&gt;0,L1611&gt;0),1,0)</f>
        <v>1</v>
      </c>
      <c r="Q1611" s="53" t="n">
        <f aca="false">IF(P1611=1,F1611/E1611*MIN(L1611/K1611,1)*MIN(MAX(M1611/L1611,0),1),0)</f>
        <v>0.448202119245202</v>
      </c>
      <c r="R1611" s="55" t="n">
        <f aca="false">IF(F1611&gt;0,N1611/(F1611/3600),0)</f>
        <v>4.93011909254739</v>
      </c>
    </row>
    <row r="1612" customFormat="false" ht="15" hidden="false" customHeight="false" outlineLevel="0" collapsed="false">
      <c r="A1612" s="0" t="s">
        <v>261</v>
      </c>
      <c r="B1612" s="52" t="n">
        <v>43921</v>
      </c>
      <c r="C1612" s="0" t="n">
        <v>85490.668</v>
      </c>
      <c r="D1612" s="0" t="n">
        <v>15584.743</v>
      </c>
      <c r="E1612" s="0" t="n">
        <v>69905.925</v>
      </c>
      <c r="F1612" s="0" t="n">
        <v>51428.625</v>
      </c>
      <c r="G1612" s="0" t="n">
        <v>33207.383</v>
      </c>
      <c r="H1612" s="0" t="n">
        <v>18221.242</v>
      </c>
      <c r="I1612" s="0" t="n">
        <v>2842.481</v>
      </c>
      <c r="J1612" s="0" t="n">
        <v>15634.819</v>
      </c>
      <c r="K1612" s="0" t="n">
        <v>80633.1188358333</v>
      </c>
      <c r="L1612" s="0" t="n">
        <v>55360</v>
      </c>
      <c r="M1612" s="0" t="n">
        <v>54434</v>
      </c>
      <c r="N1612" s="0" t="n">
        <v>61</v>
      </c>
      <c r="O1612" s="54" t="n">
        <f aca="false">YEAR(B1612)</f>
        <v>2020</v>
      </c>
      <c r="P1612" s="54" t="n">
        <f aca="false">IF(AND(E1612&gt;=14400,K1612&gt;0,L1612&gt;0),1,0)</f>
        <v>1</v>
      </c>
      <c r="Q1612" s="53" t="n">
        <f aca="false">IF(P1612=1,F1612/E1612*MIN(L1612/K1612,1)*MIN(MAX(M1612/L1612,0),1),0)</f>
        <v>0.496646886327795</v>
      </c>
      <c r="R1612" s="55" t="n">
        <f aca="false">IF(F1612&gt;0,N1612/(F1612/3600),0)</f>
        <v>4.26999555208797</v>
      </c>
    </row>
    <row r="1613" customFormat="false" ht="15" hidden="false" customHeight="false" outlineLevel="0" collapsed="false">
      <c r="A1613" s="0" t="s">
        <v>261</v>
      </c>
      <c r="B1613" s="52" t="n">
        <v>43922</v>
      </c>
      <c r="C1613" s="0" t="n">
        <v>81803.477</v>
      </c>
      <c r="D1613" s="0" t="n">
        <v>10129.58</v>
      </c>
      <c r="E1613" s="0" t="n">
        <v>71673.897</v>
      </c>
      <c r="F1613" s="0" t="n">
        <v>49850.396</v>
      </c>
      <c r="G1613" s="0" t="n">
        <v>29521.088</v>
      </c>
      <c r="H1613" s="0" t="n">
        <v>20329.308</v>
      </c>
      <c r="I1613" s="0" t="n">
        <v>4101.147</v>
      </c>
      <c r="J1613" s="0" t="n">
        <v>17722.354</v>
      </c>
      <c r="K1613" s="0" t="n">
        <v>78844.4083208333</v>
      </c>
      <c r="L1613" s="0" t="n">
        <v>50681</v>
      </c>
      <c r="M1613" s="0" t="n">
        <v>49864</v>
      </c>
      <c r="N1613" s="0" t="n">
        <v>59</v>
      </c>
      <c r="O1613" s="54" t="n">
        <f aca="false">YEAR(B1613)</f>
        <v>2020</v>
      </c>
      <c r="P1613" s="54" t="n">
        <f aca="false">IF(AND(E1613&gt;=14400,K1613&gt;0,L1613&gt;0),1,0)</f>
        <v>1</v>
      </c>
      <c r="Q1613" s="53" t="n">
        <f aca="false">IF(P1613=1,F1613/E1613*MIN(L1613/K1613,1)*MIN(MAX(M1613/L1613,0),1),0)</f>
        <v>0.439869459728317</v>
      </c>
      <c r="R1613" s="55" t="n">
        <f aca="false">IF(F1613&gt;0,N1613/(F1613/3600),0)</f>
        <v>4.260748500373</v>
      </c>
    </row>
    <row r="1614" customFormat="false" ht="15" hidden="false" customHeight="false" outlineLevel="0" collapsed="false">
      <c r="A1614" s="0" t="s">
        <v>261</v>
      </c>
      <c r="B1614" s="52" t="n">
        <v>43923</v>
      </c>
      <c r="C1614" s="0" t="n">
        <v>80734.843</v>
      </c>
      <c r="D1614" s="0" t="n">
        <v>9715.937</v>
      </c>
      <c r="E1614" s="0" t="n">
        <v>71018.906</v>
      </c>
      <c r="F1614" s="0" t="n">
        <v>54954.288</v>
      </c>
      <c r="G1614" s="0" t="n">
        <v>28753.567</v>
      </c>
      <c r="H1614" s="0" t="n">
        <v>26200.721</v>
      </c>
      <c r="I1614" s="0" t="n">
        <v>3049.854</v>
      </c>
      <c r="J1614" s="0" t="n">
        <v>13014.764</v>
      </c>
      <c r="K1614" s="0" t="n">
        <v>86861.0363230556</v>
      </c>
      <c r="L1614" s="0" t="n">
        <v>49655</v>
      </c>
      <c r="M1614" s="0" t="n">
        <v>49329</v>
      </c>
      <c r="N1614" s="0" t="n">
        <v>44</v>
      </c>
      <c r="O1614" s="54" t="n">
        <f aca="false">YEAR(B1614)</f>
        <v>2020</v>
      </c>
      <c r="P1614" s="54" t="n">
        <f aca="false">IF(AND(E1614&gt;=14400,K1614&gt;0,L1614&gt;0),1,0)</f>
        <v>1</v>
      </c>
      <c r="Q1614" s="53" t="n">
        <f aca="false">IF(P1614=1,F1614/E1614*MIN(L1614/K1614,1)*MIN(MAX(M1614/L1614,0),1),0)</f>
        <v>0.43944538952347</v>
      </c>
      <c r="R1614" s="55" t="n">
        <f aca="false">IF(F1614&gt;0,N1614/(F1614/3600),0)</f>
        <v>2.88239563762522</v>
      </c>
    </row>
    <row r="1615" customFormat="false" ht="15" hidden="false" customHeight="false" outlineLevel="0" collapsed="false">
      <c r="A1615" s="0" t="s">
        <v>261</v>
      </c>
      <c r="B1615" s="52" t="n">
        <v>43924</v>
      </c>
      <c r="C1615" s="0" t="n">
        <v>76395.739</v>
      </c>
      <c r="D1615" s="0" t="n">
        <v>14058.061</v>
      </c>
      <c r="E1615" s="0" t="n">
        <v>62337.678</v>
      </c>
      <c r="F1615" s="0" t="n">
        <v>47349.49</v>
      </c>
      <c r="G1615" s="0" t="n">
        <v>28445.977</v>
      </c>
      <c r="H1615" s="0" t="n">
        <v>18903.513</v>
      </c>
      <c r="I1615" s="0" t="n">
        <v>6402.954</v>
      </c>
      <c r="J1615" s="0" t="n">
        <v>8585.234</v>
      </c>
      <c r="K1615" s="0" t="n">
        <v>75516.3907855556</v>
      </c>
      <c r="L1615" s="0" t="n">
        <v>46497</v>
      </c>
      <c r="M1615" s="0" t="n">
        <v>45993</v>
      </c>
      <c r="N1615" s="0" t="n">
        <v>107</v>
      </c>
      <c r="O1615" s="54" t="n">
        <f aca="false">YEAR(B1615)</f>
        <v>2020</v>
      </c>
      <c r="P1615" s="54" t="n">
        <f aca="false">IF(AND(E1615&gt;=14400,K1615&gt;0,L1615&gt;0),1,0)</f>
        <v>1</v>
      </c>
      <c r="Q1615" s="53" t="n">
        <f aca="false">IF(P1615=1,F1615/E1615*MIN(L1615/K1615,1)*MIN(MAX(M1615/L1615,0),1),0)</f>
        <v>0.462610192771151</v>
      </c>
      <c r="R1615" s="55" t="n">
        <f aca="false">IF(F1615&gt;0,N1615/(F1615/3600),0)</f>
        <v>8.13525129837724</v>
      </c>
    </row>
    <row r="1616" customFormat="false" ht="15" hidden="false" customHeight="false" outlineLevel="0" collapsed="false">
      <c r="A1616" s="0" t="s">
        <v>261</v>
      </c>
      <c r="B1616" s="52" t="n">
        <v>43925</v>
      </c>
      <c r="C1616" s="0" t="n">
        <v>75036.887</v>
      </c>
      <c r="D1616" s="0" t="n">
        <v>8324.57</v>
      </c>
      <c r="E1616" s="0" t="n">
        <v>66712.317</v>
      </c>
      <c r="F1616" s="0" t="n">
        <v>49313.398</v>
      </c>
      <c r="G1616" s="0" t="n">
        <v>30597.507</v>
      </c>
      <c r="H1616" s="0" t="n">
        <v>18715.891</v>
      </c>
      <c r="I1616" s="0" t="n">
        <v>5420.211</v>
      </c>
      <c r="J1616" s="0" t="n">
        <v>11978.708</v>
      </c>
      <c r="K1616" s="0" t="n">
        <v>79608.0562111111</v>
      </c>
      <c r="L1616" s="0" t="n">
        <v>50413</v>
      </c>
      <c r="M1616" s="0" t="n">
        <v>49754</v>
      </c>
      <c r="N1616" s="0" t="n">
        <v>121</v>
      </c>
      <c r="O1616" s="54" t="n">
        <f aca="false">YEAR(B1616)</f>
        <v>2020</v>
      </c>
      <c r="P1616" s="54" t="n">
        <f aca="false">IF(AND(E1616&gt;=14400,K1616&gt;0,L1616&gt;0),1,0)</f>
        <v>1</v>
      </c>
      <c r="Q1616" s="53" t="n">
        <f aca="false">IF(P1616=1,F1616/E1616*MIN(L1616/K1616,1)*MIN(MAX(M1616/L1616,0),1),0)</f>
        <v>0.461987140022103</v>
      </c>
      <c r="R1616" s="55" t="n">
        <f aca="false">IF(F1616&gt;0,N1616/(F1616/3600),0)</f>
        <v>8.83329921819624</v>
      </c>
    </row>
    <row r="1617" customFormat="false" ht="15" hidden="false" customHeight="false" outlineLevel="0" collapsed="false">
      <c r="A1617" s="0" t="s">
        <v>261</v>
      </c>
      <c r="B1617" s="52" t="n">
        <v>43926</v>
      </c>
      <c r="C1617" s="0" t="n">
        <v>46783.458</v>
      </c>
      <c r="D1617" s="0" t="n">
        <v>15212.955</v>
      </c>
      <c r="E1617" s="0" t="n">
        <v>31570.503</v>
      </c>
      <c r="F1617" s="0" t="n">
        <v>3052.485</v>
      </c>
      <c r="G1617" s="0" t="n">
        <v>0</v>
      </c>
      <c r="H1617" s="0" t="n">
        <v>3052.485</v>
      </c>
      <c r="I1617" s="0" t="n">
        <v>0</v>
      </c>
      <c r="J1617" s="0" t="n">
        <v>28518.018</v>
      </c>
      <c r="K1617" s="0" t="n">
        <v>257.921768888889</v>
      </c>
      <c r="L1617" s="0" t="n">
        <v>0</v>
      </c>
      <c r="M1617" s="0" t="n">
        <v>0</v>
      </c>
      <c r="N1617" s="0" t="n">
        <v>0</v>
      </c>
      <c r="O1617" s="54" t="n">
        <f aca="false">YEAR(B1617)</f>
        <v>2020</v>
      </c>
      <c r="P1617" s="54" t="n">
        <f aca="false">IF(AND(E1617&gt;=14400,K1617&gt;0,L1617&gt;0),1,0)</f>
        <v>0</v>
      </c>
      <c r="Q1617" s="53" t="n">
        <f aca="false">IF(P1617=1,F1617/E1617*MIN(L1617/K1617,1)*MIN(MAX(M1617/L1617,0),1),0)</f>
        <v>0</v>
      </c>
      <c r="R1617" s="55" t="n">
        <f aca="false">IF(F1617&gt;0,N1617/(F1617/3600),0)</f>
        <v>0</v>
      </c>
    </row>
    <row r="1618" customFormat="false" ht="15" hidden="false" customHeight="false" outlineLevel="0" collapsed="false">
      <c r="A1618" s="0" t="s">
        <v>261</v>
      </c>
      <c r="B1618" s="52" t="n">
        <v>43927</v>
      </c>
      <c r="C1618" s="0" t="n">
        <v>63340.848</v>
      </c>
      <c r="D1618" s="0" t="n">
        <v>4203.01</v>
      </c>
      <c r="E1618" s="0" t="n">
        <v>59137.838</v>
      </c>
      <c r="F1618" s="0" t="n">
        <v>49393.355</v>
      </c>
      <c r="G1618" s="0" t="n">
        <v>36371.168</v>
      </c>
      <c r="H1618" s="0" t="n">
        <v>13022.187</v>
      </c>
      <c r="I1618" s="0" t="n">
        <v>3942.373</v>
      </c>
      <c r="J1618" s="0" t="n">
        <v>5802.11</v>
      </c>
      <c r="K1618" s="0" t="n">
        <v>68162.1769158333</v>
      </c>
      <c r="L1618" s="0" t="n">
        <v>53402</v>
      </c>
      <c r="M1618" s="0" t="n">
        <v>53129</v>
      </c>
      <c r="N1618" s="0" t="n">
        <v>77</v>
      </c>
      <c r="O1618" s="54" t="n">
        <f aca="false">YEAR(B1618)</f>
        <v>2020</v>
      </c>
      <c r="P1618" s="54" t="n">
        <f aca="false">IF(AND(E1618&gt;=14400,K1618&gt;0,L1618&gt;0),1,0)</f>
        <v>1</v>
      </c>
      <c r="Q1618" s="53" t="n">
        <f aca="false">IF(P1618=1,F1618/E1618*MIN(L1618/K1618,1)*MIN(MAX(M1618/L1618,0),1),0)</f>
        <v>0.651015415545251</v>
      </c>
      <c r="R1618" s="55" t="n">
        <f aca="false">IF(F1618&gt;0,N1618/(F1618/3600),0)</f>
        <v>5.6120909381434</v>
      </c>
    </row>
    <row r="1619" customFormat="false" ht="15" hidden="false" customHeight="false" outlineLevel="0" collapsed="false">
      <c r="A1619" s="0" t="s">
        <v>261</v>
      </c>
      <c r="B1619" s="52" t="n">
        <v>43928</v>
      </c>
      <c r="C1619" s="0" t="n">
        <v>93601.669</v>
      </c>
      <c r="D1619" s="0" t="n">
        <v>6263.311</v>
      </c>
      <c r="E1619" s="0" t="n">
        <v>87338.358</v>
      </c>
      <c r="F1619" s="0" t="n">
        <v>54632.813</v>
      </c>
      <c r="G1619" s="0" t="n">
        <v>32274.766</v>
      </c>
      <c r="H1619" s="0" t="n">
        <v>22358.047</v>
      </c>
      <c r="I1619" s="0" t="n">
        <v>1622.132</v>
      </c>
      <c r="J1619" s="0" t="n">
        <v>31083.413</v>
      </c>
      <c r="K1619" s="0" t="n">
        <v>75070.7083644445</v>
      </c>
      <c r="L1619" s="0" t="n">
        <v>53365</v>
      </c>
      <c r="M1619" s="0" t="n">
        <v>53013</v>
      </c>
      <c r="N1619" s="0" t="n">
        <v>49</v>
      </c>
      <c r="O1619" s="54" t="n">
        <f aca="false">YEAR(B1619)</f>
        <v>2020</v>
      </c>
      <c r="P1619" s="54" t="n">
        <f aca="false">IF(AND(E1619&gt;=14400,K1619&gt;0,L1619&gt;0),1,0)</f>
        <v>1</v>
      </c>
      <c r="Q1619" s="53" t="n">
        <f aca="false">IF(P1619=1,F1619/E1619*MIN(L1619/K1619,1)*MIN(MAX(M1619/L1619,0),1),0)</f>
        <v>0.441733572431737</v>
      </c>
      <c r="R1619" s="55" t="n">
        <f aca="false">IF(F1619&gt;0,N1619/(F1619/3600),0)</f>
        <v>3.22882879927856</v>
      </c>
    </row>
    <row r="1620" customFormat="false" ht="15" hidden="false" customHeight="false" outlineLevel="0" collapsed="false">
      <c r="A1620" s="0" t="s">
        <v>261</v>
      </c>
      <c r="B1620" s="52" t="n">
        <v>43929</v>
      </c>
      <c r="C1620" s="0" t="n">
        <v>78899.893</v>
      </c>
      <c r="D1620" s="0" t="n">
        <v>7574.233</v>
      </c>
      <c r="E1620" s="0" t="n">
        <v>71325.66</v>
      </c>
      <c r="F1620" s="0" t="n">
        <v>56583.125</v>
      </c>
      <c r="G1620" s="0" t="n">
        <v>42230.71</v>
      </c>
      <c r="H1620" s="0" t="n">
        <v>14352.415</v>
      </c>
      <c r="I1620" s="0" t="n">
        <v>1759.65</v>
      </c>
      <c r="J1620" s="0" t="n">
        <v>12982.885</v>
      </c>
      <c r="K1620" s="0" t="n">
        <v>0</v>
      </c>
      <c r="L1620" s="0" t="n">
        <v>9555</v>
      </c>
      <c r="M1620" s="0" t="n">
        <v>9087</v>
      </c>
      <c r="N1620" s="0" t="n">
        <v>35</v>
      </c>
      <c r="O1620" s="54" t="n">
        <f aca="false">YEAR(B1620)</f>
        <v>2020</v>
      </c>
      <c r="P1620" s="54" t="n">
        <f aca="false">IF(AND(E1620&gt;=14400,K1620&gt;0,L1620&gt;0),1,0)</f>
        <v>0</v>
      </c>
      <c r="Q1620" s="53" t="n">
        <f aca="false">IF(P1620=1,F1620/E1620*MIN(L1620/K1620,1)*MIN(MAX(M1620/L1620,0),1),0)</f>
        <v>0</v>
      </c>
      <c r="R1620" s="55" t="n">
        <f aca="false">IF(F1620&gt;0,N1620/(F1620/3600),0)</f>
        <v>2.22681232257851</v>
      </c>
    </row>
    <row r="1621" customFormat="false" ht="15" hidden="false" customHeight="false" outlineLevel="0" collapsed="false">
      <c r="A1621" s="0" t="s">
        <v>261</v>
      </c>
      <c r="B1621" s="52" t="n">
        <v>43930</v>
      </c>
      <c r="C1621" s="0" t="n">
        <v>85083.446</v>
      </c>
      <c r="D1621" s="0" t="n">
        <v>12335.082</v>
      </c>
      <c r="E1621" s="0" t="n">
        <v>72748.364</v>
      </c>
      <c r="F1621" s="0" t="n">
        <v>47108.653</v>
      </c>
      <c r="G1621" s="0" t="n">
        <v>31475.433</v>
      </c>
      <c r="H1621" s="0" t="n">
        <v>15633.22</v>
      </c>
      <c r="I1621" s="0" t="n">
        <v>2175.754</v>
      </c>
      <c r="J1621" s="0" t="n">
        <v>23463.957</v>
      </c>
      <c r="K1621" s="0" t="n">
        <v>58191.5030430556</v>
      </c>
      <c r="L1621" s="0" t="n">
        <v>43503</v>
      </c>
      <c r="M1621" s="0" t="n">
        <v>42778</v>
      </c>
      <c r="N1621" s="0" t="n">
        <v>38</v>
      </c>
      <c r="O1621" s="54" t="n">
        <f aca="false">YEAR(B1621)</f>
        <v>2020</v>
      </c>
      <c r="P1621" s="54" t="n">
        <f aca="false">IF(AND(E1621&gt;=14400,K1621&gt;0,L1621&gt;0),1,0)</f>
        <v>1</v>
      </c>
      <c r="Q1621" s="53" t="n">
        <f aca="false">IF(P1621=1,F1621/E1621*MIN(L1621/K1621,1)*MIN(MAX(M1621/L1621,0),1),0)</f>
        <v>0.476034420833153</v>
      </c>
      <c r="R1621" s="55" t="n">
        <f aca="false">IF(F1621&gt;0,N1621/(F1621/3600),0)</f>
        <v>2.903925102677</v>
      </c>
    </row>
    <row r="1622" customFormat="false" ht="15" hidden="false" customHeight="false" outlineLevel="0" collapsed="false">
      <c r="A1622" s="0" t="s">
        <v>261</v>
      </c>
      <c r="B1622" s="52" t="n">
        <v>43931</v>
      </c>
      <c r="C1622" s="0" t="n">
        <v>60843.096</v>
      </c>
      <c r="D1622" s="0" t="n">
        <v>13045.72</v>
      </c>
      <c r="E1622" s="0" t="n">
        <v>47797.376</v>
      </c>
      <c r="F1622" s="0" t="n">
        <v>34268.221</v>
      </c>
      <c r="G1622" s="0" t="n">
        <v>23264.232</v>
      </c>
      <c r="H1622" s="0" t="n">
        <v>11003.989</v>
      </c>
      <c r="I1622" s="0" t="n">
        <v>1448.733</v>
      </c>
      <c r="J1622" s="0" t="n">
        <v>12080.422</v>
      </c>
      <c r="K1622" s="0" t="n">
        <v>58786.1788280556</v>
      </c>
      <c r="L1622" s="0" t="n">
        <v>39896</v>
      </c>
      <c r="M1622" s="0" t="n">
        <v>39791</v>
      </c>
      <c r="N1622" s="0" t="n">
        <v>26</v>
      </c>
      <c r="O1622" s="54" t="n">
        <f aca="false">YEAR(B1622)</f>
        <v>2020</v>
      </c>
      <c r="P1622" s="54" t="n">
        <f aca="false">IF(AND(E1622&gt;=14400,K1622&gt;0,L1622&gt;0),1,0)</f>
        <v>1</v>
      </c>
      <c r="Q1622" s="53" t="n">
        <f aca="false">IF(P1622=1,F1622/E1622*MIN(L1622/K1622,1)*MIN(MAX(M1622/L1622,0),1),0)</f>
        <v>0.485285288819149</v>
      </c>
      <c r="R1622" s="55" t="n">
        <f aca="false">IF(F1622&gt;0,N1622/(F1622/3600),0)</f>
        <v>2.73139361392586</v>
      </c>
    </row>
    <row r="1623" customFormat="false" ht="15" hidden="false" customHeight="false" outlineLevel="0" collapsed="false">
      <c r="A1623" s="0" t="s">
        <v>261</v>
      </c>
      <c r="B1623" s="52" t="n">
        <v>43932</v>
      </c>
      <c r="C1623" s="0" t="n">
        <v>79433.388</v>
      </c>
      <c r="D1623" s="0" t="n">
        <v>3982.16</v>
      </c>
      <c r="E1623" s="0" t="n">
        <v>75451.228</v>
      </c>
      <c r="F1623" s="0" t="n">
        <v>43192.991</v>
      </c>
      <c r="G1623" s="0" t="n">
        <v>24302.033</v>
      </c>
      <c r="H1623" s="0" t="n">
        <v>18890.958</v>
      </c>
      <c r="I1623" s="0" t="n">
        <v>4267.494</v>
      </c>
      <c r="J1623" s="0" t="n">
        <v>27990.743</v>
      </c>
      <c r="K1623" s="0" t="n">
        <v>74212.1723277778</v>
      </c>
      <c r="L1623" s="0" t="n">
        <v>42664</v>
      </c>
      <c r="M1623" s="0" t="n">
        <v>42571</v>
      </c>
      <c r="N1623" s="0" t="n">
        <v>34</v>
      </c>
      <c r="O1623" s="54" t="n">
        <f aca="false">YEAR(B1623)</f>
        <v>2020</v>
      </c>
      <c r="P1623" s="54" t="n">
        <f aca="false">IF(AND(E1623&gt;=14400,K1623&gt;0,L1623&gt;0),1,0)</f>
        <v>1</v>
      </c>
      <c r="Q1623" s="53" t="n">
        <f aca="false">IF(P1623=1,F1623/E1623*MIN(L1623/K1623,1)*MIN(MAX(M1623/L1623,0),1),0)</f>
        <v>0.328386786560426</v>
      </c>
      <c r="R1623" s="55" t="n">
        <f aca="false">IF(F1623&gt;0,N1623/(F1623/3600),0)</f>
        <v>2.83379310314491</v>
      </c>
    </row>
    <row r="1624" customFormat="false" ht="15" hidden="false" customHeight="false" outlineLevel="0" collapsed="false">
      <c r="A1624" s="0" t="s">
        <v>261</v>
      </c>
      <c r="B1624" s="52" t="n">
        <v>43933</v>
      </c>
      <c r="C1624" s="0" t="n">
        <v>2214.03</v>
      </c>
      <c r="D1624" s="0" t="n">
        <v>1060.76</v>
      </c>
      <c r="E1624" s="0" t="n">
        <v>1153.27</v>
      </c>
      <c r="F1624" s="0" t="n">
        <v>0</v>
      </c>
      <c r="G1624" s="0" t="n">
        <v>0</v>
      </c>
      <c r="H1624" s="0" t="n">
        <v>0</v>
      </c>
      <c r="I1624" s="0" t="n">
        <v>0</v>
      </c>
      <c r="J1624" s="0" t="n">
        <v>1153.27</v>
      </c>
      <c r="K1624" s="0" t="n">
        <v>0</v>
      </c>
      <c r="L1624" s="0" t="n">
        <v>0</v>
      </c>
      <c r="M1624" s="0" t="n">
        <v>0</v>
      </c>
      <c r="N1624" s="0" t="n">
        <v>0</v>
      </c>
      <c r="O1624" s="54" t="n">
        <f aca="false">YEAR(B1624)</f>
        <v>2020</v>
      </c>
      <c r="P1624" s="54" t="n">
        <f aca="false">IF(AND(E1624&gt;=14400,K1624&gt;0,L1624&gt;0),1,0)</f>
        <v>0</v>
      </c>
      <c r="Q1624" s="53" t="n">
        <f aca="false">IF(P1624=1,F1624/E1624*MIN(L1624/K1624,1)*MIN(MAX(M1624/L1624,0),1),0)</f>
        <v>0</v>
      </c>
      <c r="R1624" s="55" t="n">
        <f aca="false">IF(F1624&gt;0,N1624/(F1624/3600),0)</f>
        <v>0</v>
      </c>
    </row>
    <row r="1625" customFormat="false" ht="15" hidden="false" customHeight="false" outlineLevel="0" collapsed="false">
      <c r="A1625" s="0" t="s">
        <v>261</v>
      </c>
      <c r="B1625" s="52" t="n">
        <v>43934</v>
      </c>
      <c r="C1625" s="0" t="n">
        <v>69414.367</v>
      </c>
      <c r="D1625" s="0" t="n">
        <v>9569.36</v>
      </c>
      <c r="E1625" s="0" t="n">
        <v>59845.007</v>
      </c>
      <c r="F1625" s="0" t="n">
        <v>50391.858</v>
      </c>
      <c r="G1625" s="0" t="n">
        <v>36470.688</v>
      </c>
      <c r="H1625" s="0" t="n">
        <v>13921.17</v>
      </c>
      <c r="I1625" s="0" t="n">
        <v>2624.803</v>
      </c>
      <c r="J1625" s="0" t="n">
        <v>6828.346</v>
      </c>
      <c r="K1625" s="0" t="n">
        <v>87336.1859088889</v>
      </c>
      <c r="L1625" s="0" t="n">
        <v>62723</v>
      </c>
      <c r="M1625" s="0" t="n">
        <v>62415</v>
      </c>
      <c r="N1625" s="0" t="n">
        <v>49</v>
      </c>
      <c r="O1625" s="54" t="n">
        <f aca="false">YEAR(B1625)</f>
        <v>2020</v>
      </c>
      <c r="P1625" s="54" t="n">
        <f aca="false">IF(AND(E1625&gt;=14400,K1625&gt;0,L1625&gt;0),1,0)</f>
        <v>1</v>
      </c>
      <c r="Q1625" s="53" t="n">
        <f aca="false">IF(P1625=1,F1625/E1625*MIN(L1625/K1625,1)*MIN(MAX(M1625/L1625,0),1),0)</f>
        <v>0.601765385077196</v>
      </c>
      <c r="R1625" s="55" t="n">
        <f aca="false">IF(F1625&gt;0,N1625/(F1625/3600),0)</f>
        <v>3.50056550802314</v>
      </c>
    </row>
    <row r="1626" customFormat="false" ht="15" hidden="false" customHeight="false" outlineLevel="0" collapsed="false">
      <c r="A1626" s="0" t="s">
        <v>261</v>
      </c>
      <c r="B1626" s="52" t="n">
        <v>43935</v>
      </c>
      <c r="C1626" s="0" t="n">
        <v>56359.096</v>
      </c>
      <c r="D1626" s="0" t="n">
        <v>301.123</v>
      </c>
      <c r="E1626" s="0" t="n">
        <v>56057.973</v>
      </c>
      <c r="F1626" s="0" t="n">
        <v>42648.766</v>
      </c>
      <c r="G1626" s="0" t="n">
        <v>22061.509</v>
      </c>
      <c r="H1626" s="0" t="n">
        <v>20587.257</v>
      </c>
      <c r="I1626" s="0" t="n">
        <v>2345.534</v>
      </c>
      <c r="J1626" s="0" t="n">
        <v>11063.673</v>
      </c>
      <c r="K1626" s="0" t="n">
        <v>65423.3534838889</v>
      </c>
      <c r="L1626" s="0" t="n">
        <v>36017</v>
      </c>
      <c r="M1626" s="0" t="n">
        <v>35583</v>
      </c>
      <c r="N1626" s="0" t="n">
        <v>40</v>
      </c>
      <c r="O1626" s="54" t="n">
        <f aca="false">YEAR(B1626)</f>
        <v>2020</v>
      </c>
      <c r="P1626" s="54" t="n">
        <f aca="false">IF(AND(E1626&gt;=14400,K1626&gt;0,L1626&gt;0),1,0)</f>
        <v>1</v>
      </c>
      <c r="Q1626" s="53" t="n">
        <f aca="false">IF(P1626=1,F1626/E1626*MIN(L1626/K1626,1)*MIN(MAX(M1626/L1626,0),1),0)</f>
        <v>0.41378890232284</v>
      </c>
      <c r="R1626" s="55" t="n">
        <f aca="false">IF(F1626&gt;0,N1626/(F1626/3600),0)</f>
        <v>3.37641656501855</v>
      </c>
    </row>
    <row r="1627" customFormat="false" ht="15" hidden="false" customHeight="false" outlineLevel="0" collapsed="false">
      <c r="A1627" s="0" t="s">
        <v>261</v>
      </c>
      <c r="B1627" s="52" t="n">
        <v>43936</v>
      </c>
      <c r="C1627" s="0" t="n">
        <v>4413.209</v>
      </c>
      <c r="D1627" s="0" t="n">
        <v>4.53</v>
      </c>
      <c r="E1627" s="0" t="n">
        <v>4408.679</v>
      </c>
      <c r="F1627" s="0" t="n">
        <v>4376.059</v>
      </c>
      <c r="G1627" s="0" t="n">
        <v>3862.86</v>
      </c>
      <c r="H1627" s="0" t="n">
        <v>513.199</v>
      </c>
      <c r="I1627" s="0" t="n">
        <v>32.62</v>
      </c>
      <c r="J1627" s="0" t="n">
        <v>0</v>
      </c>
      <c r="K1627" s="0" t="n">
        <v>1037.37757333333</v>
      </c>
      <c r="L1627" s="0" t="n">
        <v>1348</v>
      </c>
      <c r="M1627" s="0" t="n">
        <v>1346</v>
      </c>
      <c r="N1627" s="0" t="n">
        <v>2</v>
      </c>
      <c r="O1627" s="54" t="n">
        <f aca="false">YEAR(B1627)</f>
        <v>2020</v>
      </c>
      <c r="P1627" s="54" t="n">
        <f aca="false">IF(AND(E1627&gt;=14400,K1627&gt;0,L1627&gt;0),1,0)</f>
        <v>0</v>
      </c>
      <c r="Q1627" s="53" t="n">
        <f aca="false">IF(P1627=1,F1627/E1627*MIN(L1627/K1627,1)*MIN(MAX(M1627/L1627,0),1),0)</f>
        <v>0</v>
      </c>
      <c r="R1627" s="55" t="n">
        <f aca="false">IF(F1627&gt;0,N1627/(F1627/3600),0)</f>
        <v>1.64531602521812</v>
      </c>
    </row>
    <row r="1628" customFormat="false" ht="15" hidden="false" customHeight="false" outlineLevel="0" collapsed="false">
      <c r="A1628" s="0" t="s">
        <v>261</v>
      </c>
      <c r="B1628" s="52" t="n">
        <v>43937</v>
      </c>
      <c r="C1628" s="0" t="n">
        <v>86221.163</v>
      </c>
      <c r="D1628" s="0" t="n">
        <v>5519.96</v>
      </c>
      <c r="E1628" s="0" t="n">
        <v>80701.203</v>
      </c>
      <c r="F1628" s="0" t="n">
        <v>72884.68</v>
      </c>
      <c r="G1628" s="0" t="n">
        <v>54749.919</v>
      </c>
      <c r="H1628" s="0" t="n">
        <v>18134.761</v>
      </c>
      <c r="I1628" s="0" t="n">
        <v>4437.81</v>
      </c>
      <c r="J1628" s="0" t="n">
        <v>3378.713</v>
      </c>
      <c r="K1628" s="0" t="n">
        <v>111311.070882778</v>
      </c>
      <c r="L1628" s="0" t="n">
        <v>83916</v>
      </c>
      <c r="M1628" s="0" t="n">
        <v>83411</v>
      </c>
      <c r="N1628" s="0" t="n">
        <v>72</v>
      </c>
      <c r="O1628" s="54" t="n">
        <f aca="false">YEAR(B1628)</f>
        <v>2020</v>
      </c>
      <c r="P1628" s="54" t="n">
        <f aca="false">IF(AND(E1628&gt;=14400,K1628&gt;0,L1628&gt;0),1,0)</f>
        <v>1</v>
      </c>
      <c r="Q1628" s="53" t="n">
        <f aca="false">IF(P1628=1,F1628/E1628*MIN(L1628/K1628,1)*MIN(MAX(M1628/L1628,0),1),0)</f>
        <v>0.676770172368558</v>
      </c>
      <c r="R1628" s="55" t="n">
        <f aca="false">IF(F1628&gt;0,N1628/(F1628/3600),0)</f>
        <v>3.55630291578422</v>
      </c>
    </row>
    <row r="1629" customFormat="false" ht="15" hidden="false" customHeight="false" outlineLevel="0" collapsed="false">
      <c r="A1629" s="0" t="s">
        <v>261</v>
      </c>
      <c r="B1629" s="52" t="n">
        <v>43938</v>
      </c>
      <c r="C1629" s="0" t="n">
        <v>87010.825</v>
      </c>
      <c r="D1629" s="0" t="n">
        <v>20806.061</v>
      </c>
      <c r="E1629" s="0" t="n">
        <v>66204.764</v>
      </c>
      <c r="F1629" s="0" t="n">
        <v>49375.753</v>
      </c>
      <c r="G1629" s="0" t="n">
        <v>26420.781</v>
      </c>
      <c r="H1629" s="0" t="n">
        <v>22954.972</v>
      </c>
      <c r="I1629" s="0" t="n">
        <v>4335.105</v>
      </c>
      <c r="J1629" s="0" t="n">
        <v>12493.906</v>
      </c>
      <c r="K1629" s="0" t="n">
        <v>84337.0453963889</v>
      </c>
      <c r="L1629" s="0" t="n">
        <v>44891</v>
      </c>
      <c r="M1629" s="0" t="n">
        <v>44454</v>
      </c>
      <c r="N1629" s="0" t="n">
        <v>59</v>
      </c>
      <c r="O1629" s="54" t="n">
        <f aca="false">YEAR(B1629)</f>
        <v>2020</v>
      </c>
      <c r="P1629" s="54" t="n">
        <f aca="false">IF(AND(E1629&gt;=14400,K1629&gt;0,L1629&gt;0),1,0)</f>
        <v>1</v>
      </c>
      <c r="Q1629" s="53" t="n">
        <f aca="false">IF(P1629=1,F1629/E1629*MIN(L1629/K1629,1)*MIN(MAX(M1629/L1629,0),1),0)</f>
        <v>0.39311259009637</v>
      </c>
      <c r="R1629" s="55" t="n">
        <f aca="false">IF(F1629&gt;0,N1629/(F1629/3600),0)</f>
        <v>4.30170654815128</v>
      </c>
    </row>
    <row r="1630" customFormat="false" ht="15" hidden="false" customHeight="false" outlineLevel="0" collapsed="false">
      <c r="A1630" s="0" t="s">
        <v>261</v>
      </c>
      <c r="B1630" s="52" t="n">
        <v>43939</v>
      </c>
      <c r="C1630" s="0" t="n">
        <v>75718.479</v>
      </c>
      <c r="D1630" s="0" t="n">
        <v>5950.38</v>
      </c>
      <c r="E1630" s="0" t="n">
        <v>69768.099</v>
      </c>
      <c r="F1630" s="0" t="n">
        <v>55446.553</v>
      </c>
      <c r="G1630" s="0" t="n">
        <v>31351.598</v>
      </c>
      <c r="H1630" s="0" t="n">
        <v>24094.955</v>
      </c>
      <c r="I1630" s="0" t="n">
        <v>4198.052</v>
      </c>
      <c r="J1630" s="0" t="n">
        <v>10123.494</v>
      </c>
      <c r="K1630" s="0" t="n">
        <v>77709.1751733333</v>
      </c>
      <c r="L1630" s="0" t="n">
        <v>53535</v>
      </c>
      <c r="M1630" s="0" t="n">
        <v>53087</v>
      </c>
      <c r="N1630" s="0" t="n">
        <v>39</v>
      </c>
      <c r="O1630" s="54" t="n">
        <f aca="false">YEAR(B1630)</f>
        <v>2020</v>
      </c>
      <c r="P1630" s="54" t="n">
        <f aca="false">IF(AND(E1630&gt;=14400,K1630&gt;0,L1630&gt;0),1,0)</f>
        <v>1</v>
      </c>
      <c r="Q1630" s="53" t="n">
        <f aca="false">IF(P1630=1,F1630/E1630*MIN(L1630/K1630,1)*MIN(MAX(M1630/L1630,0),1),0)</f>
        <v>0.542917132615405</v>
      </c>
      <c r="R1630" s="55" t="n">
        <f aca="false">IF(F1630&gt;0,N1630/(F1630/3600),0)</f>
        <v>2.53216823054807</v>
      </c>
    </row>
    <row r="1631" customFormat="false" ht="15" hidden="false" customHeight="false" outlineLevel="0" collapsed="false">
      <c r="A1631" s="0" t="s">
        <v>261</v>
      </c>
      <c r="B1631" s="52" t="n">
        <v>43940</v>
      </c>
      <c r="C1631" s="0" t="n">
        <v>34996.909</v>
      </c>
      <c r="D1631" s="0" t="n">
        <v>900</v>
      </c>
      <c r="E1631" s="0" t="n">
        <v>34096.909</v>
      </c>
      <c r="F1631" s="0" t="n">
        <v>242.507</v>
      </c>
      <c r="G1631" s="0" t="n">
        <v>0</v>
      </c>
      <c r="H1631" s="0" t="n">
        <v>242.507</v>
      </c>
      <c r="I1631" s="0" t="n">
        <v>0</v>
      </c>
      <c r="J1631" s="0" t="n">
        <v>33854.402</v>
      </c>
      <c r="K1631" s="0" t="n">
        <v>0</v>
      </c>
      <c r="L1631" s="0" t="n">
        <v>0</v>
      </c>
      <c r="M1631" s="0" t="n">
        <v>0</v>
      </c>
      <c r="N1631" s="0" t="n">
        <v>0</v>
      </c>
      <c r="O1631" s="54" t="n">
        <f aca="false">YEAR(B1631)</f>
        <v>2020</v>
      </c>
      <c r="P1631" s="54" t="n">
        <f aca="false">IF(AND(E1631&gt;=14400,K1631&gt;0,L1631&gt;0),1,0)</f>
        <v>0</v>
      </c>
      <c r="Q1631" s="53" t="n">
        <f aca="false">IF(P1631=1,F1631/E1631*MIN(L1631/K1631,1)*MIN(MAX(M1631/L1631,0),1),0)</f>
        <v>0</v>
      </c>
      <c r="R1631" s="55" t="n">
        <f aca="false">IF(F1631&gt;0,N1631/(F1631/3600),0)</f>
        <v>0</v>
      </c>
    </row>
    <row r="1632" customFormat="false" ht="15" hidden="false" customHeight="false" outlineLevel="0" collapsed="false">
      <c r="A1632" s="0" t="s">
        <v>261</v>
      </c>
      <c r="B1632" s="52" t="n">
        <v>43941</v>
      </c>
      <c r="C1632" s="0" t="n">
        <v>62393.169</v>
      </c>
      <c r="D1632" s="0" t="n">
        <v>900</v>
      </c>
      <c r="E1632" s="0" t="n">
        <v>61493.169</v>
      </c>
      <c r="F1632" s="0" t="n">
        <v>53398.398</v>
      </c>
      <c r="G1632" s="0" t="n">
        <v>37299.63</v>
      </c>
      <c r="H1632" s="0" t="n">
        <v>16098.768</v>
      </c>
      <c r="I1632" s="0" t="n">
        <v>2455.561</v>
      </c>
      <c r="J1632" s="0" t="n">
        <v>5639.21</v>
      </c>
      <c r="K1632" s="0" t="n">
        <v>52514.2528805556</v>
      </c>
      <c r="L1632" s="0" t="n">
        <v>40062</v>
      </c>
      <c r="M1632" s="0" t="n">
        <v>39759</v>
      </c>
      <c r="N1632" s="0" t="n">
        <v>43</v>
      </c>
      <c r="O1632" s="54" t="n">
        <f aca="false">YEAR(B1632)</f>
        <v>2020</v>
      </c>
      <c r="P1632" s="54" t="n">
        <f aca="false">IF(AND(E1632&gt;=14400,K1632&gt;0,L1632&gt;0),1,0)</f>
        <v>1</v>
      </c>
      <c r="Q1632" s="53" t="n">
        <f aca="false">IF(P1632=1,F1632/E1632*MIN(L1632/K1632,1)*MIN(MAX(M1632/L1632,0),1),0)</f>
        <v>0.657445284698444</v>
      </c>
      <c r="R1632" s="55" t="n">
        <f aca="false">IF(F1632&gt;0,N1632/(F1632/3600),0)</f>
        <v>2.89896337339558</v>
      </c>
    </row>
    <row r="1633" customFormat="false" ht="15" hidden="false" customHeight="false" outlineLevel="0" collapsed="false">
      <c r="A1633" s="0" t="s">
        <v>261</v>
      </c>
      <c r="B1633" s="52" t="n">
        <v>43942</v>
      </c>
      <c r="C1633" s="0" t="n">
        <v>73049.087</v>
      </c>
      <c r="D1633" s="0" t="n">
        <v>4128.72</v>
      </c>
      <c r="E1633" s="0" t="n">
        <v>68920.367</v>
      </c>
      <c r="F1633" s="0" t="n">
        <v>57519.564</v>
      </c>
      <c r="G1633" s="0" t="n">
        <v>35503.277</v>
      </c>
      <c r="H1633" s="0" t="n">
        <v>22016.287</v>
      </c>
      <c r="I1633" s="0" t="n">
        <v>3252.089</v>
      </c>
      <c r="J1633" s="0" t="n">
        <v>8148.714</v>
      </c>
      <c r="K1633" s="0" t="n">
        <v>50477.9426925</v>
      </c>
      <c r="L1633" s="0" t="n">
        <v>43853</v>
      </c>
      <c r="M1633" s="0" t="n">
        <v>43390</v>
      </c>
      <c r="N1633" s="0" t="n">
        <v>117</v>
      </c>
      <c r="O1633" s="54" t="n">
        <f aca="false">YEAR(B1633)</f>
        <v>2020</v>
      </c>
      <c r="P1633" s="54" t="n">
        <f aca="false">IF(AND(E1633&gt;=14400,K1633&gt;0,L1633&gt;0),1,0)</f>
        <v>1</v>
      </c>
      <c r="Q1633" s="53" t="n">
        <f aca="false">IF(P1633=1,F1633/E1633*MIN(L1633/K1633,1)*MIN(MAX(M1633/L1633,0),1),0)</f>
        <v>0.717391138691555</v>
      </c>
      <c r="R1633" s="55" t="n">
        <f aca="false">IF(F1633&gt;0,N1633/(F1633/3600),0)</f>
        <v>7.32272588158005</v>
      </c>
    </row>
    <row r="1634" customFormat="false" ht="15" hidden="false" customHeight="false" outlineLevel="0" collapsed="false">
      <c r="A1634" s="0" t="s">
        <v>261</v>
      </c>
      <c r="B1634" s="52" t="n">
        <v>43943</v>
      </c>
      <c r="C1634" s="0" t="n">
        <v>85229.837</v>
      </c>
      <c r="D1634" s="0" t="n">
        <v>8569.85</v>
      </c>
      <c r="E1634" s="0" t="n">
        <v>76659.987</v>
      </c>
      <c r="F1634" s="0" t="n">
        <v>53235.923</v>
      </c>
      <c r="G1634" s="0" t="n">
        <v>34051.234</v>
      </c>
      <c r="H1634" s="0" t="n">
        <v>19184.689</v>
      </c>
      <c r="I1634" s="0" t="n">
        <v>2134.11</v>
      </c>
      <c r="J1634" s="0" t="n">
        <v>21289.954</v>
      </c>
      <c r="K1634" s="0" t="n">
        <v>78097.6836263889</v>
      </c>
      <c r="L1634" s="0" t="n">
        <v>55741</v>
      </c>
      <c r="M1634" s="0" t="n">
        <v>55435</v>
      </c>
      <c r="N1634" s="0" t="n">
        <v>49</v>
      </c>
      <c r="O1634" s="54" t="n">
        <f aca="false">YEAR(B1634)</f>
        <v>2020</v>
      </c>
      <c r="P1634" s="54" t="n">
        <f aca="false">IF(AND(E1634&gt;=14400,K1634&gt;0,L1634&gt;0),1,0)</f>
        <v>1</v>
      </c>
      <c r="Q1634" s="53" t="n">
        <f aca="false">IF(P1634=1,F1634/E1634*MIN(L1634/K1634,1)*MIN(MAX(M1634/L1634,0),1),0)</f>
        <v>0.492926249410012</v>
      </c>
      <c r="R1634" s="55" t="n">
        <f aca="false">IF(F1634&gt;0,N1634/(F1634/3600),0)</f>
        <v>3.3135520163706</v>
      </c>
    </row>
    <row r="1635" customFormat="false" ht="15" hidden="false" customHeight="false" outlineLevel="0" collapsed="false">
      <c r="A1635" s="0" t="s">
        <v>261</v>
      </c>
      <c r="B1635" s="52" t="n">
        <v>43944</v>
      </c>
      <c r="C1635" s="0" t="n">
        <v>65269.377</v>
      </c>
      <c r="D1635" s="0" t="n">
        <v>3522.68</v>
      </c>
      <c r="E1635" s="0" t="n">
        <v>61746.697</v>
      </c>
      <c r="F1635" s="0" t="n">
        <v>52841.017</v>
      </c>
      <c r="G1635" s="0" t="n">
        <v>30602.313</v>
      </c>
      <c r="H1635" s="0" t="n">
        <v>22238.704</v>
      </c>
      <c r="I1635" s="0" t="n">
        <v>2503.473</v>
      </c>
      <c r="J1635" s="0" t="n">
        <v>6402.207</v>
      </c>
      <c r="K1635" s="0" t="n">
        <v>50011.7175772222</v>
      </c>
      <c r="L1635" s="0" t="n">
        <v>30802</v>
      </c>
      <c r="M1635" s="0" t="n">
        <v>30605</v>
      </c>
      <c r="N1635" s="0" t="n">
        <v>54</v>
      </c>
      <c r="O1635" s="54" t="n">
        <f aca="false">YEAR(B1635)</f>
        <v>2020</v>
      </c>
      <c r="P1635" s="54" t="n">
        <f aca="false">IF(AND(E1635&gt;=14400,K1635&gt;0,L1635&gt;0),1,0)</f>
        <v>1</v>
      </c>
      <c r="Q1635" s="53" t="n">
        <f aca="false">IF(P1635=1,F1635/E1635*MIN(L1635/K1635,1)*MIN(MAX(M1635/L1635,0),1),0)</f>
        <v>0.523694545449862</v>
      </c>
      <c r="R1635" s="55" t="n">
        <f aca="false">IF(F1635&gt;0,N1635/(F1635/3600),0)</f>
        <v>3.67896022894487</v>
      </c>
    </row>
    <row r="1636" customFormat="false" ht="15" hidden="false" customHeight="false" outlineLevel="0" collapsed="false">
      <c r="A1636" s="0" t="s">
        <v>261</v>
      </c>
      <c r="B1636" s="52" t="n">
        <v>44287</v>
      </c>
      <c r="C1636" s="0" t="n">
        <v>53524.394</v>
      </c>
      <c r="D1636" s="0" t="n">
        <v>6214.18</v>
      </c>
      <c r="E1636" s="0" t="n">
        <v>47310.214</v>
      </c>
      <c r="F1636" s="0" t="n">
        <v>40706.686</v>
      </c>
      <c r="G1636" s="0" t="n">
        <v>33232.564</v>
      </c>
      <c r="H1636" s="0" t="n">
        <v>7474.122</v>
      </c>
      <c r="I1636" s="0" t="n">
        <v>5659.238</v>
      </c>
      <c r="J1636" s="0" t="n">
        <v>944.29</v>
      </c>
      <c r="K1636" s="0" t="n">
        <v>62000.351155</v>
      </c>
      <c r="L1636" s="0" t="n">
        <v>49705</v>
      </c>
      <c r="M1636" s="0" t="n">
        <v>49458</v>
      </c>
      <c r="N1636" s="0" t="n">
        <v>68</v>
      </c>
      <c r="O1636" s="54" t="n">
        <f aca="false">YEAR(B1636)</f>
        <v>2021</v>
      </c>
      <c r="P1636" s="54" t="n">
        <f aca="false">IF(AND(E1636&gt;=14400,K1636&gt;0,L1636&gt;0),1,0)</f>
        <v>1</v>
      </c>
      <c r="Q1636" s="53" t="n">
        <f aca="false">IF(P1636=1,F1636/E1636*MIN(L1636/K1636,1)*MIN(MAX(M1636/L1636,0),1),0)</f>
        <v>0.6863620072327</v>
      </c>
      <c r="R1636" s="55" t="n">
        <f aca="false">IF(F1636&gt;0,N1636/(F1636/3600),0)</f>
        <v>6.01375410417837</v>
      </c>
    </row>
    <row r="1637" customFormat="false" ht="15" hidden="false" customHeight="false" outlineLevel="0" collapsed="false">
      <c r="A1637" s="0" t="s">
        <v>261</v>
      </c>
      <c r="B1637" s="52" t="n">
        <v>44288</v>
      </c>
      <c r="C1637" s="0" t="n">
        <v>57368.495</v>
      </c>
      <c r="D1637" s="0" t="n">
        <v>9552.52</v>
      </c>
      <c r="E1637" s="0" t="n">
        <v>47815.975</v>
      </c>
      <c r="F1637" s="0" t="n">
        <v>4425.758</v>
      </c>
      <c r="G1637" s="0" t="n">
        <v>0</v>
      </c>
      <c r="H1637" s="0" t="n">
        <v>4425.758</v>
      </c>
      <c r="I1637" s="0" t="n">
        <v>0</v>
      </c>
      <c r="J1637" s="0" t="n">
        <v>43390.217</v>
      </c>
      <c r="K1637" s="0" t="n">
        <v>6793.53853</v>
      </c>
      <c r="L1637" s="0" t="n">
        <v>0</v>
      </c>
      <c r="M1637" s="0" t="n">
        <v>0</v>
      </c>
      <c r="N1637" s="0" t="n">
        <v>0</v>
      </c>
      <c r="O1637" s="54" t="n">
        <f aca="false">YEAR(B1637)</f>
        <v>2021</v>
      </c>
      <c r="P1637" s="54" t="n">
        <f aca="false">IF(AND(E1637&gt;=14400,K1637&gt;0,L1637&gt;0),1,0)</f>
        <v>0</v>
      </c>
      <c r="Q1637" s="53" t="n">
        <f aca="false">IF(P1637=1,F1637/E1637*MIN(L1637/K1637,1)*MIN(MAX(M1637/L1637,0),1),0)</f>
        <v>0</v>
      </c>
      <c r="R1637" s="55" t="n">
        <f aca="false">IF(F1637&gt;0,N1637/(F1637/3600),0)</f>
        <v>0</v>
      </c>
    </row>
    <row r="1638" customFormat="false" ht="15" hidden="false" customHeight="false" outlineLevel="0" collapsed="false">
      <c r="A1638" s="0" t="s">
        <v>261</v>
      </c>
      <c r="B1638" s="52" t="n">
        <v>44289</v>
      </c>
      <c r="C1638" s="0" t="n">
        <v>65971.839</v>
      </c>
      <c r="D1638" s="0" t="n">
        <v>7285.035</v>
      </c>
      <c r="E1638" s="0" t="n">
        <v>58686.804</v>
      </c>
      <c r="F1638" s="0" t="n">
        <v>52960.69</v>
      </c>
      <c r="G1638" s="0" t="n">
        <v>39142.247</v>
      </c>
      <c r="H1638" s="0" t="n">
        <v>13818.443</v>
      </c>
      <c r="I1638" s="0" t="n">
        <v>2738.988</v>
      </c>
      <c r="J1638" s="0" t="n">
        <v>2987.126</v>
      </c>
      <c r="K1638" s="0" t="n">
        <v>81314.3631777778</v>
      </c>
      <c r="L1638" s="0" t="n">
        <v>59628</v>
      </c>
      <c r="M1638" s="0" t="n">
        <v>59450</v>
      </c>
      <c r="N1638" s="0" t="n">
        <v>99</v>
      </c>
      <c r="O1638" s="54" t="n">
        <f aca="false">YEAR(B1638)</f>
        <v>2021</v>
      </c>
      <c r="P1638" s="54" t="n">
        <f aca="false">IF(AND(E1638&gt;=14400,K1638&gt;0,L1638&gt;0),1,0)</f>
        <v>1</v>
      </c>
      <c r="Q1638" s="53" t="n">
        <f aca="false">IF(P1638=1,F1638/E1638*MIN(L1638/K1638,1)*MIN(MAX(M1638/L1638,0),1),0)</f>
        <v>0.659777907819974</v>
      </c>
      <c r="R1638" s="55" t="n">
        <f aca="false">IF(F1638&gt;0,N1638/(F1638/3600),0)</f>
        <v>6.72951957385752</v>
      </c>
    </row>
    <row r="1639" customFormat="false" ht="15" hidden="false" customHeight="false" outlineLevel="0" collapsed="false">
      <c r="A1639" s="0" t="s">
        <v>261</v>
      </c>
      <c r="B1639" s="52" t="n">
        <v>44290</v>
      </c>
      <c r="C1639" s="0" t="n">
        <v>42402.048</v>
      </c>
      <c r="D1639" s="0" t="n">
        <v>937.51</v>
      </c>
      <c r="E1639" s="0" t="n">
        <v>41464.538</v>
      </c>
      <c r="F1639" s="0" t="n">
        <v>2066.891</v>
      </c>
      <c r="G1639" s="0" t="n">
        <v>0</v>
      </c>
      <c r="H1639" s="0" t="n">
        <v>2066.891</v>
      </c>
      <c r="I1639" s="0" t="n">
        <v>0</v>
      </c>
      <c r="J1639" s="0" t="n">
        <v>39397.647</v>
      </c>
      <c r="K1639" s="0" t="n">
        <v>3172.677685</v>
      </c>
      <c r="L1639" s="0" t="n">
        <v>0</v>
      </c>
      <c r="M1639" s="0" t="n">
        <v>0</v>
      </c>
      <c r="N1639" s="0" t="n">
        <v>0</v>
      </c>
      <c r="O1639" s="54" t="n">
        <f aca="false">YEAR(B1639)</f>
        <v>2021</v>
      </c>
      <c r="P1639" s="54" t="n">
        <f aca="false">IF(AND(E1639&gt;=14400,K1639&gt;0,L1639&gt;0),1,0)</f>
        <v>0</v>
      </c>
      <c r="Q1639" s="53" t="n">
        <f aca="false">IF(P1639=1,F1639/E1639*MIN(L1639/K1639,1)*MIN(MAX(M1639/L1639,0),1),0)</f>
        <v>0</v>
      </c>
      <c r="R1639" s="55" t="n">
        <f aca="false">IF(F1639&gt;0,N1639/(F1639/3600),0)</f>
        <v>0</v>
      </c>
    </row>
    <row r="1640" customFormat="false" ht="15" hidden="false" customHeight="false" outlineLevel="0" collapsed="false">
      <c r="A1640" s="0" t="s">
        <v>261</v>
      </c>
      <c r="B1640" s="52" t="n">
        <v>44291</v>
      </c>
      <c r="C1640" s="0" t="n">
        <v>70661.897</v>
      </c>
      <c r="D1640" s="0" t="n">
        <v>5380.585</v>
      </c>
      <c r="E1640" s="0" t="n">
        <v>65281.312</v>
      </c>
      <c r="F1640" s="0" t="n">
        <v>51708.202</v>
      </c>
      <c r="G1640" s="0" t="n">
        <v>29130.254</v>
      </c>
      <c r="H1640" s="0" t="n">
        <v>22577.948</v>
      </c>
      <c r="I1640" s="0" t="n">
        <v>3298.137</v>
      </c>
      <c r="J1640" s="0" t="n">
        <v>10274.973</v>
      </c>
      <c r="K1640" s="0" t="n">
        <v>78628.1633222222</v>
      </c>
      <c r="L1640" s="0" t="n">
        <v>43790</v>
      </c>
      <c r="M1640" s="0" t="n">
        <v>43346</v>
      </c>
      <c r="N1640" s="0" t="n">
        <v>60</v>
      </c>
      <c r="O1640" s="54" t="n">
        <f aca="false">YEAR(B1640)</f>
        <v>2021</v>
      </c>
      <c r="P1640" s="54" t="n">
        <f aca="false">IF(AND(E1640&gt;=14400,K1640&gt;0,L1640&gt;0),1,0)</f>
        <v>1</v>
      </c>
      <c r="Q1640" s="53" t="n">
        <f aca="false">IF(P1640=1,F1640/E1640*MIN(L1640/K1640,1)*MIN(MAX(M1640/L1640,0),1),0)</f>
        <v>0.436658037105145</v>
      </c>
      <c r="R1640" s="55" t="n">
        <f aca="false">IF(F1640&gt;0,N1640/(F1640/3600),0)</f>
        <v>4.17728699984579</v>
      </c>
    </row>
    <row r="1641" customFormat="false" ht="15" hidden="false" customHeight="false" outlineLevel="0" collapsed="false">
      <c r="A1641" s="0" t="s">
        <v>261</v>
      </c>
      <c r="B1641" s="52" t="n">
        <v>44292</v>
      </c>
      <c r="C1641" s="0" t="n">
        <v>85079.394</v>
      </c>
      <c r="D1641" s="0" t="n">
        <v>9743.346</v>
      </c>
      <c r="E1641" s="0" t="n">
        <v>75336.048</v>
      </c>
      <c r="F1641" s="0" t="n">
        <v>43243.555</v>
      </c>
      <c r="G1641" s="0" t="n">
        <v>27770.805</v>
      </c>
      <c r="H1641" s="0" t="n">
        <v>15472.75</v>
      </c>
      <c r="I1641" s="0" t="n">
        <v>5113.072</v>
      </c>
      <c r="J1641" s="0" t="n">
        <v>26979.421</v>
      </c>
      <c r="K1641" s="0" t="n">
        <v>69222.3314444445</v>
      </c>
      <c r="L1641" s="0" t="n">
        <v>45253</v>
      </c>
      <c r="M1641" s="0" t="n">
        <v>45042</v>
      </c>
      <c r="N1641" s="0" t="n">
        <v>82</v>
      </c>
      <c r="O1641" s="54" t="n">
        <f aca="false">YEAR(B1641)</f>
        <v>2021</v>
      </c>
      <c r="P1641" s="54" t="n">
        <f aca="false">IF(AND(E1641&gt;=14400,K1641&gt;0,L1641&gt;0),1,0)</f>
        <v>1</v>
      </c>
      <c r="Q1641" s="53" t="n">
        <f aca="false">IF(P1641=1,F1641/E1641*MIN(L1641/K1641,1)*MIN(MAX(M1641/L1641,0),1),0)</f>
        <v>0.373499478037324</v>
      </c>
      <c r="R1641" s="55" t="n">
        <f aca="false">IF(F1641&gt;0,N1641/(F1641/3600),0)</f>
        <v>6.82645078555637</v>
      </c>
    </row>
    <row r="1642" customFormat="false" ht="15" hidden="false" customHeight="false" outlineLevel="0" collapsed="false">
      <c r="A1642" s="0" t="s">
        <v>261</v>
      </c>
      <c r="B1642" s="52" t="n">
        <v>44293</v>
      </c>
      <c r="C1642" s="0" t="n">
        <v>75084.68</v>
      </c>
      <c r="D1642" s="0" t="n">
        <v>5697.463</v>
      </c>
      <c r="E1642" s="0" t="n">
        <v>69387.217</v>
      </c>
      <c r="F1642" s="0" t="n">
        <v>43293.268</v>
      </c>
      <c r="G1642" s="0" t="n">
        <v>23681.159</v>
      </c>
      <c r="H1642" s="0" t="n">
        <v>19612.109</v>
      </c>
      <c r="I1642" s="0" t="n">
        <v>2831.158</v>
      </c>
      <c r="J1642" s="0" t="n">
        <v>23262.791</v>
      </c>
      <c r="K1642" s="0" t="n">
        <v>67711.9730088889</v>
      </c>
      <c r="L1642" s="0" t="n">
        <v>36770</v>
      </c>
      <c r="M1642" s="0" t="n">
        <v>35899</v>
      </c>
      <c r="N1642" s="0" t="n">
        <v>65</v>
      </c>
      <c r="O1642" s="54" t="n">
        <f aca="false">YEAR(B1642)</f>
        <v>2021</v>
      </c>
      <c r="P1642" s="54" t="n">
        <f aca="false">IF(AND(E1642&gt;=14400,K1642&gt;0,L1642&gt;0),1,0)</f>
        <v>1</v>
      </c>
      <c r="Q1642" s="53" t="n">
        <f aca="false">IF(P1642=1,F1642/E1642*MIN(L1642/K1642,1)*MIN(MAX(M1642/L1642,0),1),0)</f>
        <v>0.330794121611474</v>
      </c>
      <c r="R1642" s="55" t="n">
        <f aca="false">IF(F1642&gt;0,N1642/(F1642/3600),0)</f>
        <v>5.40499737742136</v>
      </c>
    </row>
    <row r="1643" customFormat="false" ht="15" hidden="false" customHeight="false" outlineLevel="0" collapsed="false">
      <c r="A1643" s="0" t="s">
        <v>261</v>
      </c>
      <c r="B1643" s="52" t="n">
        <v>44294</v>
      </c>
      <c r="C1643" s="0" t="n">
        <v>78927.142</v>
      </c>
      <c r="D1643" s="0" t="n">
        <v>14827.273</v>
      </c>
      <c r="E1643" s="0" t="n">
        <v>64099.869</v>
      </c>
      <c r="F1643" s="0" t="n">
        <v>41412.472</v>
      </c>
      <c r="G1643" s="0" t="n">
        <v>21564.676</v>
      </c>
      <c r="H1643" s="0" t="n">
        <v>19847.796</v>
      </c>
      <c r="I1643" s="0" t="n">
        <v>4511.762</v>
      </c>
      <c r="J1643" s="0" t="n">
        <v>18175.635</v>
      </c>
      <c r="K1643" s="0" t="n">
        <v>64470.5257433333</v>
      </c>
      <c r="L1643" s="0" t="n">
        <v>33034</v>
      </c>
      <c r="M1643" s="0" t="n">
        <v>32452</v>
      </c>
      <c r="N1643" s="0" t="n">
        <v>101</v>
      </c>
      <c r="O1643" s="54" t="n">
        <f aca="false">YEAR(B1643)</f>
        <v>2021</v>
      </c>
      <c r="P1643" s="54" t="n">
        <f aca="false">IF(AND(E1643&gt;=14400,K1643&gt;0,L1643&gt;0),1,0)</f>
        <v>1</v>
      </c>
      <c r="Q1643" s="53" t="n">
        <f aca="false">IF(P1643=1,F1643/E1643*MIN(L1643/K1643,1)*MIN(MAX(M1643/L1643,0),1),0)</f>
        <v>0.325202794442037</v>
      </c>
      <c r="R1643" s="55" t="n">
        <f aca="false">IF(F1643&gt;0,N1643/(F1643/3600),0)</f>
        <v>8.7799636785749</v>
      </c>
    </row>
    <row r="1644" customFormat="false" ht="15" hidden="false" customHeight="false" outlineLevel="0" collapsed="false">
      <c r="A1644" s="0" t="s">
        <v>261</v>
      </c>
      <c r="B1644" s="52" t="n">
        <v>44295</v>
      </c>
      <c r="C1644" s="0" t="n">
        <v>93875.796</v>
      </c>
      <c r="D1644" s="0" t="n">
        <v>54821.849</v>
      </c>
      <c r="E1644" s="0" t="n">
        <v>39053.947</v>
      </c>
      <c r="F1644" s="0" t="n">
        <v>15318.819</v>
      </c>
      <c r="G1644" s="0" t="n">
        <v>11574.25</v>
      </c>
      <c r="H1644" s="0" t="n">
        <v>3744.569</v>
      </c>
      <c r="I1644" s="0" t="n">
        <v>6745.994</v>
      </c>
      <c r="J1644" s="0" t="n">
        <v>16989.134</v>
      </c>
      <c r="K1644" s="0" t="n">
        <v>24881.524695</v>
      </c>
      <c r="L1644" s="0" t="n">
        <v>41029</v>
      </c>
      <c r="M1644" s="0" t="n">
        <v>40901</v>
      </c>
      <c r="N1644" s="0" t="n">
        <v>31</v>
      </c>
      <c r="O1644" s="54" t="n">
        <f aca="false">YEAR(B1644)</f>
        <v>2021</v>
      </c>
      <c r="P1644" s="54" t="n">
        <f aca="false">IF(AND(E1644&gt;=14400,K1644&gt;0,L1644&gt;0),1,0)</f>
        <v>1</v>
      </c>
      <c r="Q1644" s="53" t="n">
        <f aca="false">IF(P1644=1,F1644/E1644*MIN(L1644/K1644,1)*MIN(MAX(M1644/L1644,0),1),0)</f>
        <v>0.391023939208806</v>
      </c>
      <c r="R1644" s="55" t="n">
        <f aca="false">IF(F1644&gt;0,N1644/(F1644/3600),0)</f>
        <v>7.28515690406682</v>
      </c>
    </row>
    <row r="1645" customFormat="false" ht="15" hidden="false" customHeight="false" outlineLevel="0" collapsed="false">
      <c r="A1645" s="0" t="s">
        <v>261</v>
      </c>
      <c r="B1645" s="52" t="n">
        <v>44296</v>
      </c>
      <c r="C1645" s="0" t="n">
        <v>64016.385</v>
      </c>
      <c r="D1645" s="0" t="n">
        <v>900</v>
      </c>
      <c r="E1645" s="0" t="n">
        <v>63116.385</v>
      </c>
      <c r="F1645" s="0" t="n">
        <v>51589.018</v>
      </c>
      <c r="G1645" s="0" t="n">
        <v>30327.931</v>
      </c>
      <c r="H1645" s="0" t="n">
        <v>21261.087</v>
      </c>
      <c r="I1645" s="0" t="n">
        <v>3702.599</v>
      </c>
      <c r="J1645" s="0" t="n">
        <v>7824.768</v>
      </c>
      <c r="K1645" s="0" t="n">
        <v>83371.8645916667</v>
      </c>
      <c r="L1645" s="0" t="n">
        <v>48918</v>
      </c>
      <c r="M1645" s="0" t="n">
        <v>48681</v>
      </c>
      <c r="N1645" s="0" t="n">
        <v>49</v>
      </c>
      <c r="O1645" s="54" t="n">
        <f aca="false">YEAR(B1645)</f>
        <v>2021</v>
      </c>
      <c r="P1645" s="54" t="n">
        <f aca="false">IF(AND(E1645&gt;=14400,K1645&gt;0,L1645&gt;0),1,0)</f>
        <v>1</v>
      </c>
      <c r="Q1645" s="53" t="n">
        <f aca="false">IF(P1645=1,F1645/E1645*MIN(L1645/K1645,1)*MIN(MAX(M1645/L1645,0),1),0)</f>
        <v>0.477260092280717</v>
      </c>
      <c r="R1645" s="55" t="n">
        <f aca="false">IF(F1645&gt;0,N1645/(F1645/3600),0)</f>
        <v>3.41933238581901</v>
      </c>
    </row>
    <row r="1646" customFormat="false" ht="15" hidden="false" customHeight="false" outlineLevel="0" collapsed="false">
      <c r="A1646" s="0" t="s">
        <v>261</v>
      </c>
      <c r="B1646" s="52" t="n">
        <v>44297</v>
      </c>
      <c r="C1646" s="0" t="n">
        <v>30719.239</v>
      </c>
      <c r="D1646" s="0" t="n">
        <v>371.51</v>
      </c>
      <c r="E1646" s="0" t="n">
        <v>30347.729</v>
      </c>
      <c r="F1646" s="0" t="n">
        <v>17.19</v>
      </c>
      <c r="G1646" s="0" t="n">
        <v>0</v>
      </c>
      <c r="H1646" s="0" t="n">
        <v>17.19</v>
      </c>
      <c r="I1646" s="0" t="n">
        <v>0</v>
      </c>
      <c r="J1646" s="0" t="n">
        <v>30330.539</v>
      </c>
      <c r="K1646" s="0" t="n">
        <v>29.4904</v>
      </c>
      <c r="L1646" s="0" t="n">
        <v>0</v>
      </c>
      <c r="M1646" s="0" t="n">
        <v>0</v>
      </c>
      <c r="N1646" s="0" t="n">
        <v>0</v>
      </c>
      <c r="O1646" s="54" t="n">
        <f aca="false">YEAR(B1646)</f>
        <v>2021</v>
      </c>
      <c r="P1646" s="54" t="n">
        <f aca="false">IF(AND(E1646&gt;=14400,K1646&gt;0,L1646&gt;0),1,0)</f>
        <v>0</v>
      </c>
      <c r="Q1646" s="53" t="n">
        <f aca="false">IF(P1646=1,F1646/E1646*MIN(L1646/K1646,1)*MIN(MAX(M1646/L1646,0),1),0)</f>
        <v>0</v>
      </c>
      <c r="R1646" s="55" t="n">
        <f aca="false">IF(F1646&gt;0,N1646/(F1646/3600),0)</f>
        <v>0</v>
      </c>
    </row>
    <row r="1647" customFormat="false" ht="15" hidden="false" customHeight="false" outlineLevel="0" collapsed="false">
      <c r="A1647" s="0" t="s">
        <v>261</v>
      </c>
      <c r="B1647" s="52" t="n">
        <v>44298</v>
      </c>
      <c r="C1647" s="0" t="n">
        <v>61083.553</v>
      </c>
      <c r="D1647" s="0" t="n">
        <v>1020.82</v>
      </c>
      <c r="E1647" s="0" t="n">
        <v>60062.733</v>
      </c>
      <c r="F1647" s="0" t="n">
        <v>41724.455</v>
      </c>
      <c r="G1647" s="0" t="n">
        <v>27603.894</v>
      </c>
      <c r="H1647" s="0" t="n">
        <v>14120.561</v>
      </c>
      <c r="I1647" s="0" t="n">
        <v>5931.947</v>
      </c>
      <c r="J1647" s="0" t="n">
        <v>12406.331</v>
      </c>
      <c r="K1647" s="0" t="n">
        <v>64136.1263416667</v>
      </c>
      <c r="L1647" s="0" t="n">
        <v>41764</v>
      </c>
      <c r="M1647" s="0" t="n">
        <v>41592</v>
      </c>
      <c r="N1647" s="0" t="n">
        <v>117</v>
      </c>
      <c r="O1647" s="54" t="n">
        <f aca="false">YEAR(B1647)</f>
        <v>2021</v>
      </c>
      <c r="P1647" s="54" t="n">
        <f aca="false">IF(AND(E1647&gt;=14400,K1647&gt;0,L1647&gt;0),1,0)</f>
        <v>1</v>
      </c>
      <c r="Q1647" s="53" t="n">
        <f aca="false">IF(P1647=1,F1647/E1647*MIN(L1647/K1647,1)*MIN(MAX(M1647/L1647,0),1),0)</f>
        <v>0.450497786296891</v>
      </c>
      <c r="R1647" s="55" t="n">
        <f aca="false">IF(F1647&gt;0,N1647/(F1647/3600),0)</f>
        <v>10.0947993209258</v>
      </c>
    </row>
    <row r="1648" customFormat="false" ht="15" hidden="false" customHeight="false" outlineLevel="0" collapsed="false">
      <c r="A1648" s="0" t="s">
        <v>261</v>
      </c>
      <c r="B1648" s="52" t="n">
        <v>44299</v>
      </c>
      <c r="C1648" s="0" t="n">
        <v>82487.192</v>
      </c>
      <c r="D1648" s="0" t="n">
        <v>13235.723</v>
      </c>
      <c r="E1648" s="0" t="n">
        <v>69251.469</v>
      </c>
      <c r="F1648" s="0" t="n">
        <v>53028.048</v>
      </c>
      <c r="G1648" s="0" t="n">
        <v>37488.217</v>
      </c>
      <c r="H1648" s="0" t="n">
        <v>15539.831</v>
      </c>
      <c r="I1648" s="0" t="n">
        <v>3561.553</v>
      </c>
      <c r="J1648" s="0" t="n">
        <v>12661.868</v>
      </c>
      <c r="K1648" s="0" t="n">
        <v>80831.4556505556</v>
      </c>
      <c r="L1648" s="0" t="n">
        <v>56603</v>
      </c>
      <c r="M1648" s="0" t="n">
        <v>56114</v>
      </c>
      <c r="N1648" s="0" t="n">
        <v>63</v>
      </c>
      <c r="O1648" s="54" t="n">
        <f aca="false">YEAR(B1648)</f>
        <v>2021</v>
      </c>
      <c r="P1648" s="54" t="n">
        <f aca="false">IF(AND(E1648&gt;=14400,K1648&gt;0,L1648&gt;0),1,0)</f>
        <v>1</v>
      </c>
      <c r="Q1648" s="53" t="n">
        <f aca="false">IF(P1648=1,F1648/E1648*MIN(L1648/K1648,1)*MIN(MAX(M1648/L1648,0),1),0)</f>
        <v>0.531578586950972</v>
      </c>
      <c r="R1648" s="55" t="n">
        <f aca="false">IF(F1648&gt;0,N1648/(F1648/3600),0)</f>
        <v>4.27698187193313</v>
      </c>
    </row>
    <row r="1649" customFormat="false" ht="15" hidden="false" customHeight="false" outlineLevel="0" collapsed="false">
      <c r="A1649" s="0" t="s">
        <v>261</v>
      </c>
      <c r="B1649" s="52" t="n">
        <v>44300</v>
      </c>
      <c r="C1649" s="0" t="n">
        <v>65039.581</v>
      </c>
      <c r="D1649" s="0" t="n">
        <v>4962.475</v>
      </c>
      <c r="E1649" s="0" t="n">
        <v>60077.106</v>
      </c>
      <c r="F1649" s="0" t="n">
        <v>39390.382</v>
      </c>
      <c r="G1649" s="0" t="n">
        <v>26440.917</v>
      </c>
      <c r="H1649" s="0" t="n">
        <v>12949.465</v>
      </c>
      <c r="I1649" s="0" t="n">
        <v>2376.003</v>
      </c>
      <c r="J1649" s="0" t="n">
        <v>18310.721</v>
      </c>
      <c r="K1649" s="0" t="n">
        <v>59957.7391816667</v>
      </c>
      <c r="L1649" s="0" t="n">
        <v>40593</v>
      </c>
      <c r="M1649" s="0" t="n">
        <v>39473</v>
      </c>
      <c r="N1649" s="0" t="n">
        <v>38</v>
      </c>
      <c r="O1649" s="54" t="n">
        <f aca="false">YEAR(B1649)</f>
        <v>2021</v>
      </c>
      <c r="P1649" s="54" t="n">
        <f aca="false">IF(AND(E1649&gt;=14400,K1649&gt;0,L1649&gt;0),1,0)</f>
        <v>1</v>
      </c>
      <c r="Q1649" s="53" t="n">
        <f aca="false">IF(P1649=1,F1649/E1649*MIN(L1649/K1649,1)*MIN(MAX(M1649/L1649,0),1),0)</f>
        <v>0.431654303028394</v>
      </c>
      <c r="R1649" s="55" t="n">
        <f aca="false">IF(F1649&gt;0,N1649/(F1649/3600),0)</f>
        <v>3.47292900079009</v>
      </c>
    </row>
    <row r="1650" customFormat="false" ht="15" hidden="false" customHeight="false" outlineLevel="0" collapsed="false">
      <c r="A1650" s="0" t="s">
        <v>261</v>
      </c>
      <c r="B1650" s="52" t="n">
        <v>44301</v>
      </c>
      <c r="C1650" s="0" t="n">
        <v>49365.921</v>
      </c>
      <c r="D1650" s="0" t="n">
        <v>13998.543</v>
      </c>
      <c r="E1650" s="0" t="n">
        <v>35367.378</v>
      </c>
      <c r="F1650" s="0" t="n">
        <v>24345.611</v>
      </c>
      <c r="G1650" s="0" t="n">
        <v>16081.588</v>
      </c>
      <c r="H1650" s="0" t="n">
        <v>8264.023</v>
      </c>
      <c r="I1650" s="0" t="n">
        <v>2835.021</v>
      </c>
      <c r="J1650" s="0" t="n">
        <v>8186.746</v>
      </c>
      <c r="K1650" s="0" t="n">
        <v>37614.197515</v>
      </c>
      <c r="L1650" s="0" t="n">
        <v>24434</v>
      </c>
      <c r="M1650" s="0" t="n">
        <v>24271</v>
      </c>
      <c r="N1650" s="0" t="n">
        <v>59</v>
      </c>
      <c r="O1650" s="54" t="n">
        <f aca="false">YEAR(B1650)</f>
        <v>2021</v>
      </c>
      <c r="P1650" s="54" t="n">
        <f aca="false">IF(AND(E1650&gt;=14400,K1650&gt;0,L1650&gt;0),1,0)</f>
        <v>1</v>
      </c>
      <c r="Q1650" s="53" t="n">
        <f aca="false">IF(P1650=1,F1650/E1650*MIN(L1650/K1650,1)*MIN(MAX(M1650/L1650,0),1),0)</f>
        <v>0.444174563152841</v>
      </c>
      <c r="R1650" s="55" t="n">
        <f aca="false">IF(F1650&gt;0,N1650/(F1650/3600),0)</f>
        <v>8.72436514326956</v>
      </c>
    </row>
    <row r="1651" customFormat="false" ht="15" hidden="false" customHeight="false" outlineLevel="0" collapsed="false">
      <c r="A1651" s="0" t="s">
        <v>261</v>
      </c>
      <c r="B1651" s="52" t="n">
        <v>44302</v>
      </c>
      <c r="C1651" s="0" t="n">
        <v>67345.447</v>
      </c>
      <c r="D1651" s="0" t="n">
        <v>1250.449</v>
      </c>
      <c r="E1651" s="0" t="n">
        <v>66094.998</v>
      </c>
      <c r="F1651" s="0" t="n">
        <v>45769.339</v>
      </c>
      <c r="G1651" s="0" t="n">
        <v>33063.394</v>
      </c>
      <c r="H1651" s="0" t="n">
        <v>12705.945</v>
      </c>
      <c r="I1651" s="0" t="n">
        <v>1285.829</v>
      </c>
      <c r="J1651" s="0" t="n">
        <v>19039.83</v>
      </c>
      <c r="K1651" s="0" t="n">
        <v>70353.119345</v>
      </c>
      <c r="L1651" s="0" t="n">
        <v>50575</v>
      </c>
      <c r="M1651" s="0" t="n">
        <v>50161</v>
      </c>
      <c r="N1651" s="0" t="n">
        <v>23</v>
      </c>
      <c r="O1651" s="54" t="n">
        <f aca="false">YEAR(B1651)</f>
        <v>2021</v>
      </c>
      <c r="P1651" s="54" t="n">
        <f aca="false">IF(AND(E1651&gt;=14400,K1651&gt;0,L1651&gt;0),1,0)</f>
        <v>1</v>
      </c>
      <c r="Q1651" s="53" t="n">
        <f aca="false">IF(P1651=1,F1651/E1651*MIN(L1651/K1651,1)*MIN(MAX(M1651/L1651,0),1),0)</f>
        <v>0.493729269929261</v>
      </c>
      <c r="R1651" s="55" t="n">
        <f aca="false">IF(F1651&gt;0,N1651/(F1651/3600),0)</f>
        <v>1.80907135233043</v>
      </c>
    </row>
    <row r="1652" customFormat="false" ht="15" hidden="false" customHeight="false" outlineLevel="0" collapsed="false">
      <c r="A1652" s="0" t="s">
        <v>261</v>
      </c>
      <c r="B1652" s="52" t="n">
        <v>44303</v>
      </c>
      <c r="C1652" s="0" t="n">
        <v>76908.127</v>
      </c>
      <c r="D1652" s="0" t="n">
        <v>16416.835</v>
      </c>
      <c r="E1652" s="0" t="n">
        <v>60491.292</v>
      </c>
      <c r="F1652" s="0" t="n">
        <v>47374.536</v>
      </c>
      <c r="G1652" s="0" t="n">
        <v>22543.756</v>
      </c>
      <c r="H1652" s="0" t="n">
        <v>24830.78</v>
      </c>
      <c r="I1652" s="0" t="n">
        <v>3727.01</v>
      </c>
      <c r="J1652" s="0" t="n">
        <v>9389.746</v>
      </c>
      <c r="K1652" s="0" t="n">
        <v>71574.9313038889</v>
      </c>
      <c r="L1652" s="0" t="n">
        <v>33595</v>
      </c>
      <c r="M1652" s="0" t="n">
        <v>32806</v>
      </c>
      <c r="N1652" s="0" t="n">
        <v>76</v>
      </c>
      <c r="O1652" s="54" t="n">
        <f aca="false">YEAR(B1652)</f>
        <v>2021</v>
      </c>
      <c r="P1652" s="54" t="n">
        <f aca="false">IF(AND(E1652&gt;=14400,K1652&gt;0,L1652&gt;0),1,0)</f>
        <v>1</v>
      </c>
      <c r="Q1652" s="53" t="n">
        <f aca="false">IF(P1652=1,F1652/E1652*MIN(L1652/K1652,1)*MIN(MAX(M1652/L1652,0),1),0)</f>
        <v>0.358958671838019</v>
      </c>
      <c r="R1652" s="55" t="n">
        <f aca="false">IF(F1652&gt;0,N1652/(F1652/3600),0)</f>
        <v>5.7752544531518</v>
      </c>
    </row>
    <row r="1653" customFormat="false" ht="15" hidden="false" customHeight="false" outlineLevel="0" collapsed="false">
      <c r="A1653" s="0" t="s">
        <v>261</v>
      </c>
      <c r="B1653" s="52" t="n">
        <v>44304</v>
      </c>
      <c r="C1653" s="0" t="n">
        <v>999.597</v>
      </c>
      <c r="D1653" s="0" t="n">
        <v>900</v>
      </c>
      <c r="E1653" s="0" t="n">
        <v>99.597</v>
      </c>
      <c r="F1653" s="0" t="n">
        <v>0</v>
      </c>
      <c r="G1653" s="0" t="n">
        <v>0</v>
      </c>
      <c r="H1653" s="0" t="n">
        <v>0</v>
      </c>
      <c r="I1653" s="0" t="n">
        <v>0</v>
      </c>
      <c r="J1653" s="0" t="n">
        <v>99.597</v>
      </c>
      <c r="K1653" s="0" t="n">
        <v>0</v>
      </c>
      <c r="L1653" s="0" t="n">
        <v>0</v>
      </c>
      <c r="M1653" s="0" t="n">
        <v>0</v>
      </c>
      <c r="N1653" s="0" t="n">
        <v>0</v>
      </c>
      <c r="O1653" s="54" t="n">
        <f aca="false">YEAR(B1653)</f>
        <v>2021</v>
      </c>
      <c r="P1653" s="54" t="n">
        <f aca="false">IF(AND(E1653&gt;=14400,K1653&gt;0,L1653&gt;0),1,0)</f>
        <v>0</v>
      </c>
      <c r="Q1653" s="53" t="n">
        <f aca="false">IF(P1653=1,F1653/E1653*MIN(L1653/K1653,1)*MIN(MAX(M1653/L1653,0),1),0)</f>
        <v>0</v>
      </c>
      <c r="R1653" s="55" t="n">
        <f aca="false">IF(F1653&gt;0,N1653/(F1653/3600),0)</f>
        <v>0</v>
      </c>
    </row>
    <row r="1654" customFormat="false" ht="15" hidden="false" customHeight="false" outlineLevel="0" collapsed="false">
      <c r="A1654" s="0" t="s">
        <v>261</v>
      </c>
      <c r="B1654" s="52" t="n">
        <v>44305</v>
      </c>
      <c r="C1654" s="0" t="n">
        <v>66085.567</v>
      </c>
      <c r="D1654" s="0" t="n">
        <v>5039.399</v>
      </c>
      <c r="E1654" s="0" t="n">
        <v>61046.168</v>
      </c>
      <c r="F1654" s="0" t="n">
        <v>48657.079</v>
      </c>
      <c r="G1654" s="0" t="n">
        <v>35104.596</v>
      </c>
      <c r="H1654" s="0" t="n">
        <v>13552.483</v>
      </c>
      <c r="I1654" s="0" t="n">
        <v>4063.454</v>
      </c>
      <c r="J1654" s="0" t="n">
        <v>8325.635</v>
      </c>
      <c r="K1654" s="0" t="n">
        <v>74871.2427927778</v>
      </c>
      <c r="L1654" s="0" t="n">
        <v>51891</v>
      </c>
      <c r="M1654" s="0" t="n">
        <v>51635</v>
      </c>
      <c r="N1654" s="0" t="n">
        <v>64</v>
      </c>
      <c r="O1654" s="54" t="n">
        <f aca="false">YEAR(B1654)</f>
        <v>2021</v>
      </c>
      <c r="P1654" s="54" t="n">
        <f aca="false">IF(AND(E1654&gt;=14400,K1654&gt;0,L1654&gt;0),1,0)</f>
        <v>1</v>
      </c>
      <c r="Q1654" s="53" t="n">
        <f aca="false">IF(P1654=1,F1654/E1654*MIN(L1654/K1654,1)*MIN(MAX(M1654/L1654,0),1),0)</f>
        <v>0.549688644530168</v>
      </c>
      <c r="R1654" s="55" t="n">
        <f aca="false">IF(F1654&gt;0,N1654/(F1654/3600),0)</f>
        <v>4.73517943812451</v>
      </c>
    </row>
    <row r="1655" customFormat="false" ht="15" hidden="false" customHeight="false" outlineLevel="0" collapsed="false">
      <c r="A1655" s="0" t="s">
        <v>261</v>
      </c>
      <c r="B1655" s="52" t="n">
        <v>44306</v>
      </c>
      <c r="C1655" s="0" t="n">
        <v>78403.48</v>
      </c>
      <c r="D1655" s="0" t="n">
        <v>5490.277</v>
      </c>
      <c r="E1655" s="0" t="n">
        <v>72913.203</v>
      </c>
      <c r="F1655" s="0" t="n">
        <v>50606.026</v>
      </c>
      <c r="G1655" s="0" t="n">
        <v>35370.276</v>
      </c>
      <c r="H1655" s="0" t="n">
        <v>15235.75</v>
      </c>
      <c r="I1655" s="0" t="n">
        <v>7640.192</v>
      </c>
      <c r="J1655" s="0" t="n">
        <v>14666.985</v>
      </c>
      <c r="K1655" s="0" t="n">
        <v>77697.8583888889</v>
      </c>
      <c r="L1655" s="0" t="n">
        <v>52551</v>
      </c>
      <c r="M1655" s="0" t="n">
        <v>52242</v>
      </c>
      <c r="N1655" s="0" t="n">
        <v>181</v>
      </c>
      <c r="O1655" s="54" t="n">
        <f aca="false">YEAR(B1655)</f>
        <v>2021</v>
      </c>
      <c r="P1655" s="54" t="n">
        <f aca="false">IF(AND(E1655&gt;=14400,K1655&gt;0,L1655&gt;0),1,0)</f>
        <v>1</v>
      </c>
      <c r="Q1655" s="53" t="n">
        <f aca="false">IF(P1655=1,F1655/E1655*MIN(L1655/K1655,1)*MIN(MAX(M1655/L1655,0),1),0)</f>
        <v>0.466666691434959</v>
      </c>
      <c r="R1655" s="55" t="n">
        <f aca="false">IF(F1655&gt;0,N1655/(F1655/3600),0)</f>
        <v>12.8759369486946</v>
      </c>
    </row>
    <row r="1656" customFormat="false" ht="15" hidden="false" customHeight="false" outlineLevel="0" collapsed="false">
      <c r="A1656" s="0" t="s">
        <v>261</v>
      </c>
      <c r="B1656" s="52" t="n">
        <v>44307</v>
      </c>
      <c r="C1656" s="0" t="n">
        <v>79986.838</v>
      </c>
      <c r="D1656" s="0" t="n">
        <v>8350.993</v>
      </c>
      <c r="E1656" s="0" t="n">
        <v>71635.845</v>
      </c>
      <c r="F1656" s="0" t="n">
        <v>47419.156</v>
      </c>
      <c r="G1656" s="0" t="n">
        <v>21507.992</v>
      </c>
      <c r="H1656" s="0" t="n">
        <v>25911.164</v>
      </c>
      <c r="I1656" s="0" t="n">
        <v>4960.946</v>
      </c>
      <c r="J1656" s="0" t="n">
        <v>19255.743</v>
      </c>
      <c r="K1656" s="0" t="n">
        <v>72312.2381244445</v>
      </c>
      <c r="L1656" s="0" t="n">
        <v>30847</v>
      </c>
      <c r="M1656" s="0" t="n">
        <v>30622</v>
      </c>
      <c r="N1656" s="0" t="n">
        <v>120</v>
      </c>
      <c r="O1656" s="54" t="n">
        <f aca="false">YEAR(B1656)</f>
        <v>2021</v>
      </c>
      <c r="P1656" s="54" t="n">
        <f aca="false">IF(AND(E1656&gt;=14400,K1656&gt;0,L1656&gt;0),1,0)</f>
        <v>1</v>
      </c>
      <c r="Q1656" s="53" t="n">
        <f aca="false">IF(P1656=1,F1656/E1656*MIN(L1656/K1656,1)*MIN(MAX(M1656/L1656,0),1),0)</f>
        <v>0.280314252800382</v>
      </c>
      <c r="R1656" s="55" t="n">
        <f aca="false">IF(F1656&gt;0,N1656/(F1656/3600),0)</f>
        <v>9.1102422826758</v>
      </c>
    </row>
    <row r="1657" customFormat="false" ht="15" hidden="false" customHeight="false" outlineLevel="0" collapsed="false">
      <c r="A1657" s="0" t="s">
        <v>261</v>
      </c>
      <c r="B1657" s="52" t="n">
        <v>44308</v>
      </c>
      <c r="C1657" s="0" t="n">
        <v>82242.921</v>
      </c>
      <c r="D1657" s="0" t="n">
        <v>8436.41</v>
      </c>
      <c r="E1657" s="0" t="n">
        <v>73806.511</v>
      </c>
      <c r="F1657" s="0" t="n">
        <v>49187.487</v>
      </c>
      <c r="G1657" s="0" t="n">
        <v>34932.44</v>
      </c>
      <c r="H1657" s="0" t="n">
        <v>14255.047</v>
      </c>
      <c r="I1657" s="0" t="n">
        <v>2385.601</v>
      </c>
      <c r="J1657" s="0" t="n">
        <v>22233.423</v>
      </c>
      <c r="K1657" s="0" t="n">
        <v>76984.0438444444</v>
      </c>
      <c r="L1657" s="0" t="n">
        <v>54324</v>
      </c>
      <c r="M1657" s="0" t="n">
        <v>54126</v>
      </c>
      <c r="N1657" s="0" t="n">
        <v>41</v>
      </c>
      <c r="O1657" s="54" t="n">
        <f aca="false">YEAR(B1657)</f>
        <v>2021</v>
      </c>
      <c r="P1657" s="54" t="n">
        <f aca="false">IF(AND(E1657&gt;=14400,K1657&gt;0,L1657&gt;0),1,0)</f>
        <v>1</v>
      </c>
      <c r="Q1657" s="53" t="n">
        <f aca="false">IF(P1657=1,F1657/E1657*MIN(L1657/K1657,1)*MIN(MAX(M1657/L1657,0),1),0)</f>
        <v>0.468559958184877</v>
      </c>
      <c r="R1657" s="55" t="n">
        <f aca="false">IF(F1657&gt;0,N1657/(F1657/3600),0)</f>
        <v>3.00076318190437</v>
      </c>
    </row>
    <row r="1658" customFormat="false" ht="15" hidden="false" customHeight="false" outlineLevel="0" collapsed="false">
      <c r="A1658" s="0" t="s">
        <v>261</v>
      </c>
      <c r="B1658" s="52" t="n">
        <v>44309</v>
      </c>
      <c r="C1658" s="0" t="n">
        <v>85791.688</v>
      </c>
      <c r="D1658" s="0" t="n">
        <v>5110.427</v>
      </c>
      <c r="E1658" s="0" t="n">
        <v>80681.261</v>
      </c>
      <c r="F1658" s="0" t="n">
        <v>52640.368</v>
      </c>
      <c r="G1658" s="0" t="n">
        <v>25370.53</v>
      </c>
      <c r="H1658" s="0" t="n">
        <v>27269.838</v>
      </c>
      <c r="I1658" s="0" t="n">
        <v>1157.249</v>
      </c>
      <c r="J1658" s="0" t="n">
        <v>26883.644</v>
      </c>
      <c r="K1658" s="0" t="n">
        <v>80627.7792088889</v>
      </c>
      <c r="L1658" s="0" t="n">
        <v>39356</v>
      </c>
      <c r="M1658" s="0" t="n">
        <v>39228</v>
      </c>
      <c r="N1658" s="0" t="n">
        <v>27</v>
      </c>
      <c r="O1658" s="54" t="n">
        <f aca="false">YEAR(B1658)</f>
        <v>2021</v>
      </c>
      <c r="P1658" s="54" t="n">
        <f aca="false">IF(AND(E1658&gt;=14400,K1658&gt;0,L1658&gt;0),1,0)</f>
        <v>1</v>
      </c>
      <c r="Q1658" s="53" t="n">
        <f aca="false">IF(P1658=1,F1658/E1658*MIN(L1658/K1658,1)*MIN(MAX(M1658/L1658,0),1),0)</f>
        <v>0.317437118403282</v>
      </c>
      <c r="R1658" s="55" t="n">
        <f aca="false">IF(F1658&gt;0,N1658/(F1658/3600),0)</f>
        <v>1.84649165066627</v>
      </c>
    </row>
    <row r="1659" customFormat="false" ht="15" hidden="false" customHeight="false" outlineLevel="0" collapsed="false">
      <c r="A1659" s="0" t="s">
        <v>261</v>
      </c>
      <c r="B1659" s="52" t="n">
        <v>44310</v>
      </c>
      <c r="C1659" s="0" t="n">
        <v>87815.338</v>
      </c>
      <c r="D1659" s="0" t="n">
        <v>5679.536</v>
      </c>
      <c r="E1659" s="0" t="n">
        <v>82135.802</v>
      </c>
      <c r="F1659" s="0" t="n">
        <v>35698.725</v>
      </c>
      <c r="G1659" s="0" t="n">
        <v>19618.258</v>
      </c>
      <c r="H1659" s="0" t="n">
        <v>16080.467</v>
      </c>
      <c r="I1659" s="0" t="n">
        <v>6073.702</v>
      </c>
      <c r="J1659" s="0" t="n">
        <v>40363.375</v>
      </c>
      <c r="K1659" s="0" t="n">
        <v>57151.9149744445</v>
      </c>
      <c r="L1659" s="0" t="n">
        <v>30942</v>
      </c>
      <c r="M1659" s="0" t="n">
        <v>30828</v>
      </c>
      <c r="N1659" s="0" t="n">
        <v>19</v>
      </c>
      <c r="O1659" s="54" t="n">
        <f aca="false">YEAR(B1659)</f>
        <v>2021</v>
      </c>
      <c r="P1659" s="54" t="n">
        <f aca="false">IF(AND(E1659&gt;=14400,K1659&gt;0,L1659&gt;0),1,0)</f>
        <v>1</v>
      </c>
      <c r="Q1659" s="53" t="n">
        <f aca="false">IF(P1659=1,F1659/E1659*MIN(L1659/K1659,1)*MIN(MAX(M1659/L1659,0),1),0)</f>
        <v>0.234441648646554</v>
      </c>
      <c r="R1659" s="55" t="n">
        <f aca="false">IF(F1659&gt;0,N1659/(F1659/3600),0)</f>
        <v>1.91603481636949</v>
      </c>
    </row>
    <row r="1660" customFormat="false" ht="15" hidden="false" customHeight="false" outlineLevel="0" collapsed="false">
      <c r="A1660" s="0" t="s">
        <v>261</v>
      </c>
      <c r="B1660" s="52" t="n">
        <v>44311</v>
      </c>
      <c r="C1660" s="0" t="n">
        <v>27401.586</v>
      </c>
      <c r="D1660" s="0" t="n">
        <v>24773.577</v>
      </c>
      <c r="E1660" s="0" t="n">
        <v>2628.009</v>
      </c>
      <c r="F1660" s="0" t="n">
        <v>1511.385</v>
      </c>
      <c r="G1660" s="0" t="n">
        <v>0</v>
      </c>
      <c r="H1660" s="0" t="n">
        <v>1511.385</v>
      </c>
      <c r="I1660" s="0" t="n">
        <v>0</v>
      </c>
      <c r="J1660" s="0" t="n">
        <v>1116.624</v>
      </c>
      <c r="K1660" s="0" t="n">
        <v>2319.975975</v>
      </c>
      <c r="L1660" s="0" t="n">
        <v>0</v>
      </c>
      <c r="M1660" s="0" t="n">
        <v>0</v>
      </c>
      <c r="N1660" s="0" t="n">
        <v>0</v>
      </c>
      <c r="O1660" s="54" t="n">
        <f aca="false">YEAR(B1660)</f>
        <v>2021</v>
      </c>
      <c r="P1660" s="54" t="n">
        <f aca="false">IF(AND(E1660&gt;=14400,K1660&gt;0,L1660&gt;0),1,0)</f>
        <v>0</v>
      </c>
      <c r="Q1660" s="53" t="n">
        <f aca="false">IF(P1660=1,F1660/E1660*MIN(L1660/K1660,1)*MIN(MAX(M1660/L1660,0),1),0)</f>
        <v>0</v>
      </c>
      <c r="R1660" s="55" t="n">
        <f aca="false">IF(F1660&gt;0,N1660/(F1660/3600),0)</f>
        <v>0</v>
      </c>
    </row>
    <row r="1661" customFormat="false" ht="15" hidden="false" customHeight="false" outlineLevel="0" collapsed="false">
      <c r="A1661" s="0" t="s">
        <v>261</v>
      </c>
      <c r="B1661" s="52" t="n">
        <v>44312</v>
      </c>
      <c r="C1661" s="0" t="n">
        <v>65504.704</v>
      </c>
      <c r="D1661" s="0" t="n">
        <v>5590.89</v>
      </c>
      <c r="E1661" s="0" t="n">
        <v>59913.814</v>
      </c>
      <c r="F1661" s="0" t="n">
        <v>37404.69</v>
      </c>
      <c r="G1661" s="0" t="n">
        <v>20050.705</v>
      </c>
      <c r="H1661" s="0" t="n">
        <v>17353.985</v>
      </c>
      <c r="I1661" s="0" t="n">
        <v>4671.608</v>
      </c>
      <c r="J1661" s="0" t="n">
        <v>17837.516</v>
      </c>
      <c r="K1661" s="0" t="n">
        <v>57949.2037105556</v>
      </c>
      <c r="L1661" s="0" t="n">
        <v>29029</v>
      </c>
      <c r="M1661" s="0" t="n">
        <v>28778</v>
      </c>
      <c r="N1661" s="0" t="n">
        <v>88</v>
      </c>
      <c r="O1661" s="54" t="n">
        <f aca="false">YEAR(B1661)</f>
        <v>2021</v>
      </c>
      <c r="P1661" s="54" t="n">
        <f aca="false">IF(AND(E1661&gt;=14400,K1661&gt;0,L1661&gt;0),1,0)</f>
        <v>1</v>
      </c>
      <c r="Q1661" s="53" t="n">
        <f aca="false">IF(P1661=1,F1661/E1661*MIN(L1661/K1661,1)*MIN(MAX(M1661/L1661,0),1),0)</f>
        <v>0.310036073861619</v>
      </c>
      <c r="R1661" s="55" t="n">
        <f aca="false">IF(F1661&gt;0,N1661/(F1661/3600),0)</f>
        <v>8.46952614765688</v>
      </c>
    </row>
    <row r="1662" customFormat="false" ht="15" hidden="false" customHeight="false" outlineLevel="0" collapsed="false">
      <c r="A1662" s="0" t="s">
        <v>261</v>
      </c>
      <c r="B1662" s="52" t="n">
        <v>44313</v>
      </c>
      <c r="C1662" s="0" t="n">
        <v>87566.272</v>
      </c>
      <c r="D1662" s="0" t="n">
        <v>21397.507</v>
      </c>
      <c r="E1662" s="0" t="n">
        <v>66168.765</v>
      </c>
      <c r="F1662" s="0" t="n">
        <v>50244.365</v>
      </c>
      <c r="G1662" s="0" t="n">
        <v>27730.847</v>
      </c>
      <c r="H1662" s="0" t="n">
        <v>22513.518</v>
      </c>
      <c r="I1662" s="0" t="n">
        <v>6480.349</v>
      </c>
      <c r="J1662" s="0" t="n">
        <v>9444.051</v>
      </c>
      <c r="K1662" s="0" t="n">
        <v>77381.4099088889</v>
      </c>
      <c r="L1662" s="0" t="n">
        <v>42360</v>
      </c>
      <c r="M1662" s="0" t="n">
        <v>42084</v>
      </c>
      <c r="N1662" s="0" t="n">
        <v>70</v>
      </c>
      <c r="O1662" s="54" t="n">
        <f aca="false">YEAR(B1662)</f>
        <v>2021</v>
      </c>
      <c r="P1662" s="54" t="n">
        <f aca="false">IF(AND(E1662&gt;=14400,K1662&gt;0,L1662&gt;0),1,0)</f>
        <v>1</v>
      </c>
      <c r="Q1662" s="53" t="n">
        <f aca="false">IF(P1662=1,F1662/E1662*MIN(L1662/K1662,1)*MIN(MAX(M1662/L1662,0),1),0)</f>
        <v>0.41296638928858</v>
      </c>
      <c r="R1662" s="55" t="n">
        <f aca="false">IF(F1662&gt;0,N1662/(F1662/3600),0)</f>
        <v>5.01548780644357</v>
      </c>
    </row>
    <row r="1663" customFormat="false" ht="15" hidden="false" customHeight="false" outlineLevel="0" collapsed="false">
      <c r="A1663" s="0" t="s">
        <v>261</v>
      </c>
      <c r="B1663" s="52" t="n">
        <v>44314</v>
      </c>
      <c r="C1663" s="0" t="n">
        <v>71558.154</v>
      </c>
      <c r="D1663" s="0" t="n">
        <v>13305.336</v>
      </c>
      <c r="E1663" s="0" t="n">
        <v>58252.818</v>
      </c>
      <c r="F1663" s="0" t="n">
        <v>44287.098</v>
      </c>
      <c r="G1663" s="0" t="n">
        <v>21369.631</v>
      </c>
      <c r="H1663" s="0" t="n">
        <v>22917.467</v>
      </c>
      <c r="I1663" s="0" t="n">
        <v>1596.662</v>
      </c>
      <c r="J1663" s="0" t="n">
        <v>12369.058</v>
      </c>
      <c r="K1663" s="0" t="n">
        <v>69979.9612588889</v>
      </c>
      <c r="L1663" s="0" t="n">
        <v>33766</v>
      </c>
      <c r="M1663" s="0" t="n">
        <v>33467</v>
      </c>
      <c r="N1663" s="0" t="n">
        <v>29</v>
      </c>
      <c r="O1663" s="54" t="n">
        <f aca="false">YEAR(B1663)</f>
        <v>2021</v>
      </c>
      <c r="P1663" s="54" t="n">
        <f aca="false">IF(AND(E1663&gt;=14400,K1663&gt;0,L1663&gt;0),1,0)</f>
        <v>1</v>
      </c>
      <c r="Q1663" s="53" t="n">
        <f aca="false">IF(P1663=1,F1663/E1663*MIN(L1663/K1663,1)*MIN(MAX(M1663/L1663,0),1),0)</f>
        <v>0.363582833460416</v>
      </c>
      <c r="R1663" s="55" t="n">
        <f aca="false">IF(F1663&gt;0,N1663/(F1663/3600),0)</f>
        <v>2.35734569919212</v>
      </c>
    </row>
    <row r="1664" customFormat="false" ht="15" hidden="false" customHeight="false" outlineLevel="0" collapsed="false">
      <c r="A1664" s="0" t="s">
        <v>261</v>
      </c>
      <c r="B1664" s="52" t="n">
        <v>44315</v>
      </c>
      <c r="C1664" s="0" t="n">
        <v>73406.377</v>
      </c>
      <c r="D1664" s="0" t="n">
        <v>11852.183</v>
      </c>
      <c r="E1664" s="0" t="n">
        <v>61554.194</v>
      </c>
      <c r="F1664" s="0" t="n">
        <v>49411.193</v>
      </c>
      <c r="G1664" s="0" t="n">
        <v>35216.794</v>
      </c>
      <c r="H1664" s="0" t="n">
        <v>14194.399</v>
      </c>
      <c r="I1664" s="0" t="n">
        <v>4070.524</v>
      </c>
      <c r="J1664" s="0" t="n">
        <v>8072.477</v>
      </c>
      <c r="K1664" s="0" t="n">
        <v>74160.1175388889</v>
      </c>
      <c r="L1664" s="0" t="n">
        <v>52827</v>
      </c>
      <c r="M1664" s="0" t="n">
        <v>52660</v>
      </c>
      <c r="N1664" s="0" t="n">
        <v>52</v>
      </c>
      <c r="O1664" s="54" t="n">
        <f aca="false">YEAR(B1664)</f>
        <v>2021</v>
      </c>
      <c r="P1664" s="54" t="n">
        <f aca="false">IF(AND(E1664&gt;=14400,K1664&gt;0,L1664&gt;0),1,0)</f>
        <v>1</v>
      </c>
      <c r="Q1664" s="53" t="n">
        <f aca="false">IF(P1664=1,F1664/E1664*MIN(L1664/K1664,1)*MIN(MAX(M1664/L1664,0),1),0)</f>
        <v>0.570004305495381</v>
      </c>
      <c r="R1664" s="55" t="n">
        <f aca="false">IF(F1664&gt;0,N1664/(F1664/3600),0)</f>
        <v>3.78861526375208</v>
      </c>
    </row>
    <row r="1665" customFormat="false" ht="15" hidden="false" customHeight="false" outlineLevel="0" collapsed="false">
      <c r="A1665" s="0" t="s">
        <v>261</v>
      </c>
      <c r="B1665" s="52" t="n">
        <v>44316</v>
      </c>
      <c r="C1665" s="0" t="n">
        <v>83846.696</v>
      </c>
      <c r="D1665" s="0" t="n">
        <v>9464.4</v>
      </c>
      <c r="E1665" s="0" t="n">
        <v>74382.296</v>
      </c>
      <c r="F1665" s="0" t="n">
        <v>59256.739</v>
      </c>
      <c r="G1665" s="0" t="n">
        <v>48095.184</v>
      </c>
      <c r="H1665" s="0" t="n">
        <v>11161.555</v>
      </c>
      <c r="I1665" s="0" t="n">
        <v>2991.147</v>
      </c>
      <c r="J1665" s="0" t="n">
        <v>12134.41</v>
      </c>
      <c r="K1665" s="0" t="n">
        <v>91254.0147302778</v>
      </c>
      <c r="L1665" s="0" t="n">
        <v>73773</v>
      </c>
      <c r="M1665" s="0" t="n">
        <v>73256</v>
      </c>
      <c r="N1665" s="0" t="n">
        <v>51</v>
      </c>
      <c r="O1665" s="54" t="n">
        <f aca="false">YEAR(B1665)</f>
        <v>2021</v>
      </c>
      <c r="P1665" s="54" t="n">
        <f aca="false">IF(AND(E1665&gt;=14400,K1665&gt;0,L1665&gt;0),1,0)</f>
        <v>1</v>
      </c>
      <c r="Q1665" s="53" t="n">
        <f aca="false">IF(P1665=1,F1665/E1665*MIN(L1665/K1665,1)*MIN(MAX(M1665/L1665,0),1),0)</f>
        <v>0.639527742521258</v>
      </c>
      <c r="R1665" s="55" t="n">
        <f aca="false">IF(F1665&gt;0,N1665/(F1665/3600),0)</f>
        <v>3.09838177224029</v>
      </c>
    </row>
    <row r="1666" customFormat="false" ht="15" hidden="false" customHeight="false" outlineLevel="0" collapsed="false">
      <c r="A1666" s="0" t="s">
        <v>261</v>
      </c>
      <c r="B1666" s="52" t="n">
        <v>44317</v>
      </c>
      <c r="C1666" s="0" t="n">
        <v>83887.164</v>
      </c>
      <c r="D1666" s="0" t="n">
        <v>9014.673</v>
      </c>
      <c r="E1666" s="0" t="n">
        <v>74872.491</v>
      </c>
      <c r="F1666" s="0" t="n">
        <v>44132.137</v>
      </c>
      <c r="G1666" s="0" t="n">
        <v>28499.847</v>
      </c>
      <c r="H1666" s="0" t="n">
        <v>15632.29</v>
      </c>
      <c r="I1666" s="0" t="n">
        <v>5514.465</v>
      </c>
      <c r="J1666" s="0" t="n">
        <v>25225.889</v>
      </c>
      <c r="K1666" s="0" t="n">
        <v>64022.4105172222</v>
      </c>
      <c r="L1666" s="0" t="n">
        <v>40651</v>
      </c>
      <c r="M1666" s="0" t="n">
        <v>40309</v>
      </c>
      <c r="N1666" s="0" t="n">
        <v>72</v>
      </c>
      <c r="O1666" s="54" t="n">
        <f aca="false">YEAR(B1666)</f>
        <v>2021</v>
      </c>
      <c r="P1666" s="54" t="n">
        <f aca="false">IF(AND(E1666&gt;=14400,K1666&gt;0,L1666&gt;0),1,0)</f>
        <v>1</v>
      </c>
      <c r="Q1666" s="53" t="n">
        <f aca="false">IF(P1666=1,F1666/E1666*MIN(L1666/K1666,1)*MIN(MAX(M1666/L1666,0),1),0)</f>
        <v>0.371110017654371</v>
      </c>
      <c r="R1666" s="55" t="n">
        <f aca="false">IF(F1666&gt;0,N1666/(F1666/3600),0)</f>
        <v>5.87327099070684</v>
      </c>
    </row>
    <row r="1667" customFormat="false" ht="15" hidden="false" customHeight="false" outlineLevel="0" collapsed="false">
      <c r="A1667" s="0" t="s">
        <v>261</v>
      </c>
      <c r="B1667" s="52" t="n">
        <v>44318</v>
      </c>
      <c r="C1667" s="0" t="n">
        <v>37742.652</v>
      </c>
      <c r="D1667" s="0" t="n">
        <v>1040.607</v>
      </c>
      <c r="E1667" s="0" t="n">
        <v>36702.045</v>
      </c>
      <c r="F1667" s="0" t="n">
        <v>32666.407</v>
      </c>
      <c r="G1667" s="0" t="n">
        <v>0</v>
      </c>
      <c r="H1667" s="0" t="n">
        <v>32666.407</v>
      </c>
      <c r="I1667" s="0" t="n">
        <v>0</v>
      </c>
      <c r="J1667" s="0" t="n">
        <v>4035.638</v>
      </c>
      <c r="K1667" s="0" t="n">
        <v>50647.9009672222</v>
      </c>
      <c r="L1667" s="0" t="n">
        <v>0</v>
      </c>
      <c r="M1667" s="0" t="n">
        <v>0</v>
      </c>
      <c r="N1667" s="0" t="n">
        <v>0</v>
      </c>
      <c r="O1667" s="54" t="n">
        <f aca="false">YEAR(B1667)</f>
        <v>2021</v>
      </c>
      <c r="P1667" s="54" t="n">
        <f aca="false">IF(AND(E1667&gt;=14400,K1667&gt;0,L1667&gt;0),1,0)</f>
        <v>0</v>
      </c>
      <c r="Q1667" s="53" t="n">
        <f aca="false">IF(P1667=1,F1667/E1667*MIN(L1667/K1667,1)*MIN(MAX(M1667/L1667,0),1),0)</f>
        <v>0</v>
      </c>
      <c r="R1667" s="55" t="n">
        <f aca="false">IF(F1667&gt;0,N1667/(F1667/3600),0)</f>
        <v>0</v>
      </c>
    </row>
    <row r="1668" customFormat="false" ht="15" hidden="false" customHeight="false" outlineLevel="0" collapsed="false">
      <c r="A1668" s="0" t="s">
        <v>261</v>
      </c>
      <c r="B1668" s="52" t="n">
        <v>44319</v>
      </c>
      <c r="C1668" s="0" t="n">
        <v>68047.829</v>
      </c>
      <c r="D1668" s="0" t="n">
        <v>8116.051</v>
      </c>
      <c r="E1668" s="0" t="n">
        <v>59931.778</v>
      </c>
      <c r="F1668" s="0" t="n">
        <v>48948.303</v>
      </c>
      <c r="G1668" s="0" t="n">
        <v>21768.333</v>
      </c>
      <c r="H1668" s="0" t="n">
        <v>27179.97</v>
      </c>
      <c r="I1668" s="0" t="n">
        <v>4145.641</v>
      </c>
      <c r="J1668" s="0" t="n">
        <v>6837.834</v>
      </c>
      <c r="K1668" s="0" t="n">
        <v>73398.0246227778</v>
      </c>
      <c r="L1668" s="0" t="n">
        <v>32512</v>
      </c>
      <c r="M1668" s="0" t="n">
        <v>32340</v>
      </c>
      <c r="N1668" s="0" t="n">
        <v>59</v>
      </c>
      <c r="O1668" s="54" t="n">
        <f aca="false">YEAR(B1668)</f>
        <v>2021</v>
      </c>
      <c r="P1668" s="54" t="n">
        <f aca="false">IF(AND(E1668&gt;=14400,K1668&gt;0,L1668&gt;0),1,0)</f>
        <v>1</v>
      </c>
      <c r="Q1668" s="53" t="n">
        <f aca="false">IF(P1668=1,F1668/E1668*MIN(L1668/K1668,1)*MIN(MAX(M1668/L1668,0),1),0)</f>
        <v>0.359862109439159</v>
      </c>
      <c r="R1668" s="55" t="n">
        <f aca="false">IF(F1668&gt;0,N1668/(F1668/3600),0)</f>
        <v>4.33927198661004</v>
      </c>
    </row>
    <row r="1669" customFormat="false" ht="15" hidden="false" customHeight="false" outlineLevel="0" collapsed="false">
      <c r="A1669" s="0" t="s">
        <v>261</v>
      </c>
      <c r="B1669" s="52" t="n">
        <v>44320</v>
      </c>
      <c r="C1669" s="0" t="n">
        <v>92032.164</v>
      </c>
      <c r="D1669" s="0" t="n">
        <v>16493.402</v>
      </c>
      <c r="E1669" s="0" t="n">
        <v>75538.762</v>
      </c>
      <c r="F1669" s="0" t="n">
        <v>52761.976</v>
      </c>
      <c r="G1669" s="0" t="n">
        <v>37974.722</v>
      </c>
      <c r="H1669" s="0" t="n">
        <v>14787.254</v>
      </c>
      <c r="I1669" s="0" t="n">
        <v>3148.854</v>
      </c>
      <c r="J1669" s="0" t="n">
        <v>19627.932</v>
      </c>
      <c r="K1669" s="0" t="n">
        <v>80989.63316</v>
      </c>
      <c r="L1669" s="0" t="n">
        <v>58152</v>
      </c>
      <c r="M1669" s="0" t="n">
        <v>58037</v>
      </c>
      <c r="N1669" s="0" t="n">
        <v>32</v>
      </c>
      <c r="O1669" s="54" t="n">
        <f aca="false">YEAR(B1669)</f>
        <v>2021</v>
      </c>
      <c r="P1669" s="54" t="n">
        <f aca="false">IF(AND(E1669&gt;=14400,K1669&gt;0,L1669&gt;0),1,0)</f>
        <v>1</v>
      </c>
      <c r="Q1669" s="53" t="n">
        <f aca="false">IF(P1669=1,F1669/E1669*MIN(L1669/K1669,1)*MIN(MAX(M1669/L1669,0),1),0)</f>
        <v>0.500526081181641</v>
      </c>
      <c r="R1669" s="55" t="n">
        <f aca="false">IF(F1669&gt;0,N1669/(F1669/3600),0)</f>
        <v>2.18339055383369</v>
      </c>
    </row>
    <row r="1670" customFormat="false" ht="15" hidden="false" customHeight="false" outlineLevel="0" collapsed="false">
      <c r="A1670" s="0" t="s">
        <v>261</v>
      </c>
      <c r="B1670" s="52" t="n">
        <v>44321</v>
      </c>
      <c r="C1670" s="0" t="n">
        <v>70226.512</v>
      </c>
      <c r="D1670" s="0" t="n">
        <v>12584.454</v>
      </c>
      <c r="E1670" s="0" t="n">
        <v>57642.058</v>
      </c>
      <c r="F1670" s="0" t="n">
        <v>52367.589</v>
      </c>
      <c r="G1670" s="0" t="n">
        <v>37468.995</v>
      </c>
      <c r="H1670" s="0" t="n">
        <v>14898.594</v>
      </c>
      <c r="I1670" s="0" t="n">
        <v>3311.954</v>
      </c>
      <c r="J1670" s="0" t="n">
        <v>1962.515</v>
      </c>
      <c r="K1670" s="0" t="n">
        <v>81144.6383783333</v>
      </c>
      <c r="L1670" s="0" t="n">
        <v>57758</v>
      </c>
      <c r="M1670" s="0" t="n">
        <v>57492</v>
      </c>
      <c r="N1670" s="0" t="n">
        <v>42</v>
      </c>
      <c r="O1670" s="54" t="n">
        <f aca="false">YEAR(B1670)</f>
        <v>2021</v>
      </c>
      <c r="P1670" s="54" t="n">
        <f aca="false">IF(AND(E1670&gt;=14400,K1670&gt;0,L1670&gt;0),1,0)</f>
        <v>1</v>
      </c>
      <c r="Q1670" s="53" t="n">
        <f aca="false">IF(P1670=1,F1670/E1670*MIN(L1670/K1670,1)*MIN(MAX(M1670/L1670,0),1),0)</f>
        <v>0.643680998835661</v>
      </c>
      <c r="R1670" s="55" t="n">
        <f aca="false">IF(F1670&gt;0,N1670/(F1670/3600),0)</f>
        <v>2.88728205531861</v>
      </c>
    </row>
    <row r="1671" customFormat="false" ht="15" hidden="false" customHeight="false" outlineLevel="0" collapsed="false">
      <c r="A1671" s="0" t="s">
        <v>261</v>
      </c>
      <c r="B1671" s="52" t="n">
        <v>44322</v>
      </c>
      <c r="C1671" s="0" t="n">
        <v>78454.951</v>
      </c>
      <c r="D1671" s="0" t="n">
        <v>15261.257</v>
      </c>
      <c r="E1671" s="0" t="n">
        <v>63193.694</v>
      </c>
      <c r="F1671" s="0" t="n">
        <v>46461.077</v>
      </c>
      <c r="G1671" s="0" t="n">
        <v>32123.945</v>
      </c>
      <c r="H1671" s="0" t="n">
        <v>14337.132</v>
      </c>
      <c r="I1671" s="0" t="n">
        <v>6838.583</v>
      </c>
      <c r="J1671" s="0" t="n">
        <v>9894.034</v>
      </c>
      <c r="K1671" s="0" t="n">
        <v>73056.413495</v>
      </c>
      <c r="L1671" s="0" t="n">
        <v>50365</v>
      </c>
      <c r="M1671" s="0" t="n">
        <v>50112</v>
      </c>
      <c r="N1671" s="0" t="n">
        <v>52</v>
      </c>
      <c r="O1671" s="54" t="n">
        <f aca="false">YEAR(B1671)</f>
        <v>2021</v>
      </c>
      <c r="P1671" s="54" t="n">
        <f aca="false">IF(AND(E1671&gt;=14400,K1671&gt;0,L1671&gt;0),1,0)</f>
        <v>1</v>
      </c>
      <c r="Q1671" s="53" t="n">
        <f aca="false">IF(P1671=1,F1671/E1671*MIN(L1671/K1671,1)*MIN(MAX(M1671/L1671,0),1),0)</f>
        <v>0.504311553935028</v>
      </c>
      <c r="R1671" s="55" t="n">
        <f aca="false">IF(F1671&gt;0,N1671/(F1671/3600),0)</f>
        <v>4.02917909113472</v>
      </c>
    </row>
    <row r="1672" customFormat="false" ht="15" hidden="false" customHeight="false" outlineLevel="0" collapsed="false">
      <c r="A1672" s="0" t="s">
        <v>261</v>
      </c>
      <c r="B1672" s="52" t="n">
        <v>44323</v>
      </c>
      <c r="C1672" s="0" t="n">
        <v>87577.889</v>
      </c>
      <c r="D1672" s="0" t="n">
        <v>25268.298</v>
      </c>
      <c r="E1672" s="0" t="n">
        <v>62309.591</v>
      </c>
      <c r="F1672" s="0" t="n">
        <v>46702.513</v>
      </c>
      <c r="G1672" s="0" t="n">
        <v>32571.214</v>
      </c>
      <c r="H1672" s="0" t="n">
        <v>14131.299</v>
      </c>
      <c r="I1672" s="0" t="n">
        <v>3827.121</v>
      </c>
      <c r="J1672" s="0" t="n">
        <v>11779.957</v>
      </c>
      <c r="K1672" s="0" t="n">
        <v>73279.5314383333</v>
      </c>
      <c r="L1672" s="0" t="n">
        <v>50952</v>
      </c>
      <c r="M1672" s="0" t="n">
        <v>50559</v>
      </c>
      <c r="N1672" s="0" t="n">
        <v>47</v>
      </c>
      <c r="O1672" s="54" t="n">
        <f aca="false">YEAR(B1672)</f>
        <v>2021</v>
      </c>
      <c r="P1672" s="54" t="n">
        <f aca="false">IF(AND(E1672&gt;=14400,K1672&gt;0,L1672&gt;0),1,0)</f>
        <v>1</v>
      </c>
      <c r="Q1672" s="53" t="n">
        <f aca="false">IF(P1672=1,F1672/E1672*MIN(L1672/K1672,1)*MIN(MAX(M1672/L1672,0),1),0)</f>
        <v>0.51713167682742</v>
      </c>
      <c r="R1672" s="55" t="n">
        <f aca="false">IF(F1672&gt;0,N1672/(F1672/3600),0)</f>
        <v>3.62293138272881</v>
      </c>
    </row>
    <row r="1673" customFormat="false" ht="15" hidden="false" customHeight="false" outlineLevel="0" collapsed="false">
      <c r="A1673" s="0" t="s">
        <v>261</v>
      </c>
      <c r="B1673" s="52" t="n">
        <v>44324</v>
      </c>
      <c r="C1673" s="0" t="n">
        <v>77231.254</v>
      </c>
      <c r="D1673" s="0" t="n">
        <v>16795.792</v>
      </c>
      <c r="E1673" s="0" t="n">
        <v>60435.462</v>
      </c>
      <c r="F1673" s="0" t="n">
        <v>33119.655</v>
      </c>
      <c r="G1673" s="0" t="n">
        <v>24922.799</v>
      </c>
      <c r="H1673" s="0" t="n">
        <v>8196.856</v>
      </c>
      <c r="I1673" s="0" t="n">
        <v>18325.37</v>
      </c>
      <c r="J1673" s="0" t="n">
        <v>8990.437</v>
      </c>
      <c r="K1673" s="0" t="n">
        <v>50842.5067972222</v>
      </c>
      <c r="L1673" s="0" t="n">
        <v>47452</v>
      </c>
      <c r="M1673" s="0" t="n">
        <v>47203</v>
      </c>
      <c r="N1673" s="0" t="n">
        <v>56</v>
      </c>
      <c r="O1673" s="54" t="n">
        <f aca="false">YEAR(B1673)</f>
        <v>2021</v>
      </c>
      <c r="P1673" s="54" t="n">
        <f aca="false">IF(AND(E1673&gt;=14400,K1673&gt;0,L1673&gt;0),1,0)</f>
        <v>1</v>
      </c>
      <c r="Q1673" s="53" t="n">
        <f aca="false">IF(P1673=1,F1673/E1673*MIN(L1673/K1673,1)*MIN(MAX(M1673/L1673,0),1),0)</f>
        <v>0.508787699961723</v>
      </c>
      <c r="R1673" s="55" t="n">
        <f aca="false">IF(F1673&gt;0,N1673/(F1673/3600),0)</f>
        <v>6.08701992819672</v>
      </c>
    </row>
    <row r="1674" customFormat="false" ht="15" hidden="false" customHeight="false" outlineLevel="0" collapsed="false">
      <c r="A1674" s="0" t="s">
        <v>261</v>
      </c>
      <c r="B1674" s="52" t="n">
        <v>44325</v>
      </c>
      <c r="C1674" s="0" t="n">
        <v>46550.317</v>
      </c>
      <c r="D1674" s="0" t="n">
        <v>15189.983</v>
      </c>
      <c r="E1674" s="0" t="n">
        <v>31360.334</v>
      </c>
      <c r="F1674" s="0" t="n">
        <v>298.509</v>
      </c>
      <c r="G1674" s="0" t="n">
        <v>0</v>
      </c>
      <c r="H1674" s="0" t="n">
        <v>298.509</v>
      </c>
      <c r="I1674" s="0" t="n">
        <v>0</v>
      </c>
      <c r="J1674" s="0" t="n">
        <v>31061.825</v>
      </c>
      <c r="K1674" s="0" t="n">
        <v>458.211315</v>
      </c>
      <c r="L1674" s="0" t="n">
        <v>0</v>
      </c>
      <c r="M1674" s="0" t="n">
        <v>0</v>
      </c>
      <c r="N1674" s="0" t="n">
        <v>0</v>
      </c>
      <c r="O1674" s="54" t="n">
        <f aca="false">YEAR(B1674)</f>
        <v>2021</v>
      </c>
      <c r="P1674" s="54" t="n">
        <f aca="false">IF(AND(E1674&gt;=14400,K1674&gt;0,L1674&gt;0),1,0)</f>
        <v>0</v>
      </c>
      <c r="Q1674" s="53" t="n">
        <f aca="false">IF(P1674=1,F1674/E1674*MIN(L1674/K1674,1)*MIN(MAX(M1674/L1674,0),1),0)</f>
        <v>0</v>
      </c>
      <c r="R1674" s="55" t="n">
        <f aca="false">IF(F1674&gt;0,N1674/(F1674/3600),0)</f>
        <v>0</v>
      </c>
    </row>
    <row r="1675" customFormat="false" ht="15" hidden="false" customHeight="false" outlineLevel="0" collapsed="false">
      <c r="A1675" s="0" t="s">
        <v>261</v>
      </c>
      <c r="B1675" s="52" t="n">
        <v>44326</v>
      </c>
      <c r="C1675" s="0" t="n">
        <v>70937.001</v>
      </c>
      <c r="D1675" s="0" t="n">
        <v>11230.221</v>
      </c>
      <c r="E1675" s="0" t="n">
        <v>59706.78</v>
      </c>
      <c r="F1675" s="0" t="n">
        <v>45290.816</v>
      </c>
      <c r="G1675" s="0" t="n">
        <v>28478.441</v>
      </c>
      <c r="H1675" s="0" t="n">
        <v>16812.375</v>
      </c>
      <c r="I1675" s="0" t="n">
        <v>8729.168</v>
      </c>
      <c r="J1675" s="0" t="n">
        <v>5686.796</v>
      </c>
      <c r="K1675" s="0" t="n">
        <v>70013.0572155556</v>
      </c>
      <c r="L1675" s="0" t="n">
        <v>43365</v>
      </c>
      <c r="M1675" s="0" t="n">
        <v>42885</v>
      </c>
      <c r="N1675" s="0" t="n">
        <v>119</v>
      </c>
      <c r="O1675" s="54" t="n">
        <f aca="false">YEAR(B1675)</f>
        <v>2021</v>
      </c>
      <c r="P1675" s="54" t="n">
        <f aca="false">IF(AND(E1675&gt;=14400,K1675&gt;0,L1675&gt;0),1,0)</f>
        <v>1</v>
      </c>
      <c r="Q1675" s="53" t="n">
        <f aca="false">IF(P1675=1,F1675/E1675*MIN(L1675/K1675,1)*MIN(MAX(M1675/L1675,0),1),0)</f>
        <v>0.464636012365863</v>
      </c>
      <c r="R1675" s="55" t="n">
        <f aca="false">IF(F1675&gt;0,N1675/(F1675/3600),0)</f>
        <v>9.45887130847896</v>
      </c>
    </row>
    <row r="1676" customFormat="false" ht="15" hidden="false" customHeight="false" outlineLevel="0" collapsed="false">
      <c r="A1676" s="0" t="s">
        <v>261</v>
      </c>
      <c r="B1676" s="52" t="n">
        <v>44327</v>
      </c>
      <c r="C1676" s="0" t="n">
        <v>86129.114</v>
      </c>
      <c r="D1676" s="0" t="n">
        <v>11877.956</v>
      </c>
      <c r="E1676" s="0" t="n">
        <v>74251.158</v>
      </c>
      <c r="F1676" s="0" t="n">
        <v>48085.913</v>
      </c>
      <c r="G1676" s="0" t="n">
        <v>34302.481</v>
      </c>
      <c r="H1676" s="0" t="n">
        <v>13783.432</v>
      </c>
      <c r="I1676" s="0" t="n">
        <v>3853.807</v>
      </c>
      <c r="J1676" s="0" t="n">
        <v>22311.438</v>
      </c>
      <c r="K1676" s="0" t="n">
        <v>75947.2626833333</v>
      </c>
      <c r="L1676" s="0" t="n">
        <v>53802</v>
      </c>
      <c r="M1676" s="0" t="n">
        <v>53589</v>
      </c>
      <c r="N1676" s="0" t="n">
        <v>67</v>
      </c>
      <c r="O1676" s="54" t="n">
        <f aca="false">YEAR(B1676)</f>
        <v>2021</v>
      </c>
      <c r="P1676" s="54" t="n">
        <f aca="false">IF(AND(E1676&gt;=14400,K1676&gt;0,L1676&gt;0),1,0)</f>
        <v>1</v>
      </c>
      <c r="Q1676" s="53" t="n">
        <f aca="false">IF(P1676=1,F1676/E1676*MIN(L1676/K1676,1)*MIN(MAX(M1676/L1676,0),1),0)</f>
        <v>0.456959975654479</v>
      </c>
      <c r="R1676" s="55" t="n">
        <f aca="false">IF(F1676&gt;0,N1676/(F1676/3600),0)</f>
        <v>5.01602205203008</v>
      </c>
    </row>
    <row r="1677" customFormat="false" ht="15" hidden="false" customHeight="false" outlineLevel="0" collapsed="false">
      <c r="A1677" s="0" t="s">
        <v>261</v>
      </c>
      <c r="B1677" s="52" t="n">
        <v>44328</v>
      </c>
      <c r="C1677" s="0" t="n">
        <v>76826.12</v>
      </c>
      <c r="D1677" s="0" t="n">
        <v>1274.182</v>
      </c>
      <c r="E1677" s="0" t="n">
        <v>75551.938</v>
      </c>
      <c r="F1677" s="0" t="n">
        <v>49279.372</v>
      </c>
      <c r="G1677" s="0" t="n">
        <v>39140.425</v>
      </c>
      <c r="H1677" s="0" t="n">
        <v>10138.947</v>
      </c>
      <c r="I1677" s="0" t="n">
        <v>2978.636</v>
      </c>
      <c r="J1677" s="0" t="n">
        <v>23293.93</v>
      </c>
      <c r="K1677" s="0" t="n">
        <v>75305.9059372222</v>
      </c>
      <c r="L1677" s="0" t="n">
        <v>59856</v>
      </c>
      <c r="M1677" s="0" t="n">
        <v>59558</v>
      </c>
      <c r="N1677" s="0" t="n">
        <v>50</v>
      </c>
      <c r="O1677" s="54" t="n">
        <f aca="false">YEAR(B1677)</f>
        <v>2021</v>
      </c>
      <c r="P1677" s="54" t="n">
        <f aca="false">IF(AND(E1677&gt;=14400,K1677&gt;0,L1677&gt;0),1,0)</f>
        <v>1</v>
      </c>
      <c r="Q1677" s="53" t="n">
        <f aca="false">IF(P1677=1,F1677/E1677*MIN(L1677/K1677,1)*MIN(MAX(M1677/L1677,0),1),0)</f>
        <v>0.515858538747106</v>
      </c>
      <c r="R1677" s="55" t="n">
        <f aca="false">IF(F1677&gt;0,N1677/(F1677/3600),0)</f>
        <v>3.6526439500893</v>
      </c>
    </row>
    <row r="1678" customFormat="false" ht="15" hidden="false" customHeight="false" outlineLevel="0" collapsed="false">
      <c r="A1678" s="0" t="s">
        <v>261</v>
      </c>
      <c r="B1678" s="52" t="n">
        <v>44329</v>
      </c>
      <c r="C1678" s="0" t="n">
        <v>80303.166</v>
      </c>
      <c r="D1678" s="0" t="n">
        <v>6629.332</v>
      </c>
      <c r="E1678" s="0" t="n">
        <v>73673.834</v>
      </c>
      <c r="F1678" s="0" t="n">
        <v>51394.134</v>
      </c>
      <c r="G1678" s="0" t="n">
        <v>40076.133</v>
      </c>
      <c r="H1678" s="0" t="n">
        <v>11318.001</v>
      </c>
      <c r="I1678" s="0" t="n">
        <v>4529.39</v>
      </c>
      <c r="J1678" s="0" t="n">
        <v>17750.31</v>
      </c>
      <c r="K1678" s="0" t="n">
        <v>82530.2688916667</v>
      </c>
      <c r="L1678" s="0" t="n">
        <v>64258</v>
      </c>
      <c r="M1678" s="0" t="n">
        <v>63999</v>
      </c>
      <c r="N1678" s="0" t="n">
        <v>67</v>
      </c>
      <c r="O1678" s="54" t="n">
        <f aca="false">YEAR(B1678)</f>
        <v>2021</v>
      </c>
      <c r="P1678" s="54" t="n">
        <f aca="false">IF(AND(E1678&gt;=14400,K1678&gt;0,L1678&gt;0),1,0)</f>
        <v>1</v>
      </c>
      <c r="Q1678" s="53" t="n">
        <f aca="false">IF(P1678=1,F1678/E1678*MIN(L1678/K1678,1)*MIN(MAX(M1678/L1678,0),1),0)</f>
        <v>0.540953841612793</v>
      </c>
      <c r="R1678" s="55" t="n">
        <f aca="false">IF(F1678&gt;0,N1678/(F1678/3600),0)</f>
        <v>4.69314260650836</v>
      </c>
    </row>
    <row r="1679" customFormat="false" ht="15" hidden="false" customHeight="false" outlineLevel="0" collapsed="false">
      <c r="A1679" s="0" t="s">
        <v>261</v>
      </c>
      <c r="B1679" s="52" t="n">
        <v>44330</v>
      </c>
      <c r="C1679" s="0" t="n">
        <v>88478.098</v>
      </c>
      <c r="D1679" s="0" t="n">
        <v>14292.385</v>
      </c>
      <c r="E1679" s="0" t="n">
        <v>74185.713</v>
      </c>
      <c r="F1679" s="0" t="n">
        <v>51872.671</v>
      </c>
      <c r="G1679" s="0" t="n">
        <v>34650.754</v>
      </c>
      <c r="H1679" s="0" t="n">
        <v>17221.917</v>
      </c>
      <c r="I1679" s="0" t="n">
        <v>3089.431</v>
      </c>
      <c r="J1679" s="0" t="n">
        <v>19223.611</v>
      </c>
      <c r="K1679" s="0" t="n">
        <v>83697.934775</v>
      </c>
      <c r="L1679" s="0" t="n">
        <v>55723</v>
      </c>
      <c r="M1679" s="0" t="n">
        <v>55602</v>
      </c>
      <c r="N1679" s="0" t="n">
        <v>74</v>
      </c>
      <c r="O1679" s="54" t="n">
        <f aca="false">YEAR(B1679)</f>
        <v>2021</v>
      </c>
      <c r="P1679" s="54" t="n">
        <f aca="false">IF(AND(E1679&gt;=14400,K1679&gt;0,L1679&gt;0),1,0)</f>
        <v>1</v>
      </c>
      <c r="Q1679" s="53" t="n">
        <f aca="false">IF(P1679=1,F1679/E1679*MIN(L1679/K1679,1)*MIN(MAX(M1679/L1679,0),1),0)</f>
        <v>0.464508865623184</v>
      </c>
      <c r="R1679" s="55" t="n">
        <f aca="false">IF(F1679&gt;0,N1679/(F1679/3600),0)</f>
        <v>5.13565225897082</v>
      </c>
    </row>
    <row r="1680" customFormat="false" ht="15" hidden="false" customHeight="false" outlineLevel="0" collapsed="false">
      <c r="A1680" s="0" t="s">
        <v>261</v>
      </c>
      <c r="B1680" s="52" t="n">
        <v>44331</v>
      </c>
      <c r="C1680" s="0" t="n">
        <v>79832.248</v>
      </c>
      <c r="D1680" s="0" t="n">
        <v>7186.014</v>
      </c>
      <c r="E1680" s="0" t="n">
        <v>72646.234</v>
      </c>
      <c r="F1680" s="0" t="n">
        <v>47777.843</v>
      </c>
      <c r="G1680" s="0" t="n">
        <v>22667.49</v>
      </c>
      <c r="H1680" s="0" t="n">
        <v>25110.353</v>
      </c>
      <c r="I1680" s="0" t="n">
        <v>4028.266</v>
      </c>
      <c r="J1680" s="0" t="n">
        <v>20840.125</v>
      </c>
      <c r="K1680" s="0" t="n">
        <v>74986.9629127778</v>
      </c>
      <c r="L1680" s="0" t="n">
        <v>34805</v>
      </c>
      <c r="M1680" s="0" t="n">
        <v>34674</v>
      </c>
      <c r="N1680" s="0" t="n">
        <v>72</v>
      </c>
      <c r="O1680" s="54" t="n">
        <f aca="false">YEAR(B1680)</f>
        <v>2021</v>
      </c>
      <c r="P1680" s="54" t="n">
        <f aca="false">IF(AND(E1680&gt;=14400,K1680&gt;0,L1680&gt;0),1,0)</f>
        <v>1</v>
      </c>
      <c r="Q1680" s="53" t="n">
        <f aca="false">IF(P1680=1,F1680/E1680*MIN(L1680/K1680,1)*MIN(MAX(M1680/L1680,0),1),0)</f>
        <v>0.30411063931836</v>
      </c>
      <c r="R1680" s="55" t="n">
        <f aca="false">IF(F1680&gt;0,N1680/(F1680/3600),0)</f>
        <v>5.42510887316533</v>
      </c>
    </row>
    <row r="1681" customFormat="false" ht="15" hidden="false" customHeight="false" outlineLevel="0" collapsed="false">
      <c r="A1681" s="0" t="s">
        <v>261</v>
      </c>
      <c r="B1681" s="52" t="n">
        <v>44332</v>
      </c>
      <c r="C1681" s="0" t="n">
        <v>37118.5</v>
      </c>
      <c r="D1681" s="0" t="n">
        <v>5341.907</v>
      </c>
      <c r="E1681" s="0" t="n">
        <v>31776.593</v>
      </c>
      <c r="F1681" s="0" t="n">
        <v>0</v>
      </c>
      <c r="G1681" s="0" t="n">
        <v>0</v>
      </c>
      <c r="H1681" s="0" t="n">
        <v>0</v>
      </c>
      <c r="I1681" s="0" t="n">
        <v>0</v>
      </c>
      <c r="J1681" s="0" t="n">
        <v>31776.593</v>
      </c>
      <c r="K1681" s="0" t="n">
        <v>0</v>
      </c>
      <c r="L1681" s="0" t="n">
        <v>0</v>
      </c>
      <c r="M1681" s="0" t="n">
        <v>0</v>
      </c>
      <c r="N1681" s="0" t="n">
        <v>0</v>
      </c>
      <c r="O1681" s="54" t="n">
        <f aca="false">YEAR(B1681)</f>
        <v>2021</v>
      </c>
      <c r="P1681" s="54" t="n">
        <f aca="false">IF(AND(E1681&gt;=14400,K1681&gt;0,L1681&gt;0),1,0)</f>
        <v>0</v>
      </c>
      <c r="Q1681" s="53" t="n">
        <f aca="false">IF(P1681=1,F1681/E1681*MIN(L1681/K1681,1)*MIN(MAX(M1681/L1681,0),1),0)</f>
        <v>0</v>
      </c>
      <c r="R1681" s="55" t="n">
        <f aca="false">IF(F1681&gt;0,N1681/(F1681/3600),0)</f>
        <v>0</v>
      </c>
    </row>
    <row r="1682" customFormat="false" ht="15" hidden="false" customHeight="false" outlineLevel="0" collapsed="false">
      <c r="A1682" s="0" t="s">
        <v>261</v>
      </c>
      <c r="B1682" s="52" t="n">
        <v>44333</v>
      </c>
      <c r="C1682" s="0" t="n">
        <v>69334.458</v>
      </c>
      <c r="D1682" s="0" t="n">
        <v>4775.073</v>
      </c>
      <c r="E1682" s="0" t="n">
        <v>64559.385</v>
      </c>
      <c r="F1682" s="0" t="n">
        <v>53514.46</v>
      </c>
      <c r="G1682" s="0" t="n">
        <v>29487.45</v>
      </c>
      <c r="H1682" s="0" t="n">
        <v>24027.01</v>
      </c>
      <c r="I1682" s="0" t="n">
        <v>2445.752</v>
      </c>
      <c r="J1682" s="0" t="n">
        <v>8599.173</v>
      </c>
      <c r="K1682" s="0" t="n">
        <v>81950.4401066667</v>
      </c>
      <c r="L1682" s="0" t="n">
        <v>44776</v>
      </c>
      <c r="M1682" s="0" t="n">
        <v>44416</v>
      </c>
      <c r="N1682" s="0" t="n">
        <v>50</v>
      </c>
      <c r="O1682" s="54" t="n">
        <f aca="false">YEAR(B1682)</f>
        <v>2021</v>
      </c>
      <c r="P1682" s="54" t="n">
        <f aca="false">IF(AND(E1682&gt;=14400,K1682&gt;0,L1682&gt;0),1,0)</f>
        <v>1</v>
      </c>
      <c r="Q1682" s="53" t="n">
        <f aca="false">IF(P1682=1,F1682/E1682*MIN(L1682/K1682,1)*MIN(MAX(M1682/L1682,0),1),0)</f>
        <v>0.449262238842259</v>
      </c>
      <c r="R1682" s="55" t="n">
        <f aca="false">IF(F1682&gt;0,N1682/(F1682/3600),0)</f>
        <v>3.3635768724939</v>
      </c>
    </row>
    <row r="1683" customFormat="false" ht="15" hidden="false" customHeight="false" outlineLevel="0" collapsed="false">
      <c r="A1683" s="0" t="s">
        <v>261</v>
      </c>
      <c r="B1683" s="52" t="n">
        <v>44334</v>
      </c>
      <c r="C1683" s="0" t="n">
        <v>86677.868</v>
      </c>
      <c r="D1683" s="0" t="n">
        <v>14506.234</v>
      </c>
      <c r="E1683" s="0" t="n">
        <v>72171.634</v>
      </c>
      <c r="F1683" s="0" t="n">
        <v>54215.74</v>
      </c>
      <c r="G1683" s="0" t="n">
        <v>39882.268</v>
      </c>
      <c r="H1683" s="0" t="n">
        <v>14333.472</v>
      </c>
      <c r="I1683" s="0" t="n">
        <v>3251.578</v>
      </c>
      <c r="J1683" s="0" t="n">
        <v>14704.316</v>
      </c>
      <c r="K1683" s="0" t="n">
        <v>83495.9515602778</v>
      </c>
      <c r="L1683" s="0" t="n">
        <v>61474</v>
      </c>
      <c r="M1683" s="0" t="n">
        <v>61177</v>
      </c>
      <c r="N1683" s="0" t="n">
        <v>90</v>
      </c>
      <c r="O1683" s="54" t="n">
        <f aca="false">YEAR(B1683)</f>
        <v>2021</v>
      </c>
      <c r="P1683" s="54" t="n">
        <f aca="false">IF(AND(E1683&gt;=14400,K1683&gt;0,L1683&gt;0),1,0)</f>
        <v>1</v>
      </c>
      <c r="Q1683" s="53" t="n">
        <f aca="false">IF(P1683=1,F1683/E1683*MIN(L1683/K1683,1)*MIN(MAX(M1683/L1683,0),1),0)</f>
        <v>0.550404035686927</v>
      </c>
      <c r="R1683" s="55" t="n">
        <f aca="false">IF(F1683&gt;0,N1683/(F1683/3600),0)</f>
        <v>5.97612427682441</v>
      </c>
    </row>
    <row r="1684" customFormat="false" ht="15" hidden="false" customHeight="false" outlineLevel="0" collapsed="false">
      <c r="A1684" s="0" t="s">
        <v>261</v>
      </c>
      <c r="B1684" s="52" t="n">
        <v>44335</v>
      </c>
      <c r="C1684" s="0" t="n">
        <v>75962.325</v>
      </c>
      <c r="D1684" s="0" t="n">
        <v>5254.248</v>
      </c>
      <c r="E1684" s="0" t="n">
        <v>70708.077</v>
      </c>
      <c r="F1684" s="0" t="n">
        <v>45617.945</v>
      </c>
      <c r="G1684" s="0" t="n">
        <v>26664.557</v>
      </c>
      <c r="H1684" s="0" t="n">
        <v>18953.388</v>
      </c>
      <c r="I1684" s="0" t="n">
        <v>3710.697</v>
      </c>
      <c r="J1684" s="0" t="n">
        <v>21379.435</v>
      </c>
      <c r="K1684" s="0" t="n">
        <v>70187.1264708333</v>
      </c>
      <c r="L1684" s="0" t="n">
        <v>40598</v>
      </c>
      <c r="M1684" s="0" t="n">
        <v>40297</v>
      </c>
      <c r="N1684" s="0" t="n">
        <v>57</v>
      </c>
      <c r="O1684" s="54" t="n">
        <f aca="false">YEAR(B1684)</f>
        <v>2021</v>
      </c>
      <c r="P1684" s="54" t="n">
        <f aca="false">IF(AND(E1684&gt;=14400,K1684&gt;0,L1684&gt;0),1,0)</f>
        <v>1</v>
      </c>
      <c r="Q1684" s="53" t="n">
        <f aca="false">IF(P1684=1,F1684/E1684*MIN(L1684/K1684,1)*MIN(MAX(M1684/L1684,0),1),0)</f>
        <v>0.370409352809338</v>
      </c>
      <c r="R1684" s="55" t="n">
        <f aca="false">IF(F1684&gt;0,N1684/(F1684/3600),0)</f>
        <v>4.49822980846682</v>
      </c>
    </row>
    <row r="1685" customFormat="false" ht="15" hidden="false" customHeight="false" outlineLevel="0" collapsed="false">
      <c r="A1685" s="0" t="s">
        <v>261</v>
      </c>
      <c r="B1685" s="52" t="n">
        <v>44336</v>
      </c>
      <c r="C1685" s="0" t="n">
        <v>75948.687</v>
      </c>
      <c r="D1685" s="0" t="n">
        <v>1010.72</v>
      </c>
      <c r="E1685" s="0" t="n">
        <v>74937.967</v>
      </c>
      <c r="F1685" s="0" t="n">
        <v>50206.452</v>
      </c>
      <c r="G1685" s="0" t="n">
        <v>28938.864</v>
      </c>
      <c r="H1685" s="0" t="n">
        <v>21267.588</v>
      </c>
      <c r="I1685" s="0" t="n">
        <v>2161.916</v>
      </c>
      <c r="J1685" s="0" t="n">
        <v>22569.599</v>
      </c>
      <c r="K1685" s="0" t="n">
        <v>77080.7015144444</v>
      </c>
      <c r="L1685" s="0" t="n">
        <v>44042</v>
      </c>
      <c r="M1685" s="0" t="n">
        <v>43511</v>
      </c>
      <c r="N1685" s="0" t="n">
        <v>59</v>
      </c>
      <c r="O1685" s="54" t="n">
        <f aca="false">YEAR(B1685)</f>
        <v>2021</v>
      </c>
      <c r="P1685" s="54" t="n">
        <f aca="false">IF(AND(E1685&gt;=14400,K1685&gt;0,L1685&gt;0),1,0)</f>
        <v>1</v>
      </c>
      <c r="Q1685" s="53" t="n">
        <f aca="false">IF(P1685=1,F1685/E1685*MIN(L1685/K1685,1)*MIN(MAX(M1685/L1685,0),1),0)</f>
        <v>0.378190861864027</v>
      </c>
      <c r="R1685" s="55" t="n">
        <f aca="false">IF(F1685&gt;0,N1685/(F1685/3600),0)</f>
        <v>4.23053196429814</v>
      </c>
    </row>
    <row r="1686" customFormat="false" ht="15" hidden="false" customHeight="false" outlineLevel="0" collapsed="false">
      <c r="A1686" s="0" t="s">
        <v>261</v>
      </c>
      <c r="B1686" s="52" t="n">
        <v>44337</v>
      </c>
      <c r="C1686" s="0" t="n">
        <v>76051.099</v>
      </c>
      <c r="D1686" s="0" t="n">
        <v>18230.334</v>
      </c>
      <c r="E1686" s="0" t="n">
        <v>57820.765</v>
      </c>
      <c r="F1686" s="0" t="n">
        <v>54326.303</v>
      </c>
      <c r="G1686" s="0" t="n">
        <v>41800.18</v>
      </c>
      <c r="H1686" s="0" t="n">
        <v>12526.123</v>
      </c>
      <c r="I1686" s="0" t="n">
        <v>2308.17</v>
      </c>
      <c r="J1686" s="0" t="n">
        <v>1186.292</v>
      </c>
      <c r="K1686" s="0" t="n">
        <v>83390.875105</v>
      </c>
      <c r="L1686" s="0" t="n">
        <v>63768</v>
      </c>
      <c r="M1686" s="0" t="n">
        <v>63616</v>
      </c>
      <c r="N1686" s="0" t="n">
        <v>68</v>
      </c>
      <c r="O1686" s="54" t="n">
        <f aca="false">YEAR(B1686)</f>
        <v>2021</v>
      </c>
      <c r="P1686" s="54" t="n">
        <f aca="false">IF(AND(E1686&gt;=14400,K1686&gt;0,L1686&gt;0),1,0)</f>
        <v>1</v>
      </c>
      <c r="Q1686" s="53" t="n">
        <f aca="false">IF(P1686=1,F1686/E1686*MIN(L1686/K1686,1)*MIN(MAX(M1686/L1686,0),1),0)</f>
        <v>0.716760634496432</v>
      </c>
      <c r="R1686" s="55" t="n">
        <f aca="false">IF(F1686&gt;0,N1686/(F1686/3600),0)</f>
        <v>4.50610452914493</v>
      </c>
    </row>
    <row r="1687" customFormat="false" ht="15" hidden="false" customHeight="false" outlineLevel="0" collapsed="false">
      <c r="A1687" s="0" t="s">
        <v>261</v>
      </c>
      <c r="B1687" s="52" t="n">
        <v>44338</v>
      </c>
      <c r="C1687" s="0" t="n">
        <v>115152.034</v>
      </c>
      <c r="D1687" s="0" t="n">
        <v>15878.039</v>
      </c>
      <c r="E1687" s="0" t="n">
        <v>99273.995</v>
      </c>
      <c r="F1687" s="0" t="n">
        <v>45230.404</v>
      </c>
      <c r="G1687" s="0" t="n">
        <v>29658.166</v>
      </c>
      <c r="H1687" s="0" t="n">
        <v>15572.238</v>
      </c>
      <c r="I1687" s="0" t="n">
        <v>4088.784</v>
      </c>
      <c r="J1687" s="0" t="n">
        <v>49954.807</v>
      </c>
      <c r="K1687" s="0" t="n">
        <v>71902.9387816667</v>
      </c>
      <c r="L1687" s="0" t="n">
        <v>46959</v>
      </c>
      <c r="M1687" s="0" t="n">
        <v>46566</v>
      </c>
      <c r="N1687" s="0" t="n">
        <v>55</v>
      </c>
      <c r="O1687" s="54" t="n">
        <f aca="false">YEAR(B1687)</f>
        <v>2021</v>
      </c>
      <c r="P1687" s="54" t="n">
        <f aca="false">IF(AND(E1687&gt;=14400,K1687&gt;0,L1687&gt;0),1,0)</f>
        <v>1</v>
      </c>
      <c r="Q1687" s="53" t="n">
        <f aca="false">IF(P1687=1,F1687/E1687*MIN(L1687/K1687,1)*MIN(MAX(M1687/L1687,0),1),0)</f>
        <v>0.295064703153378</v>
      </c>
      <c r="R1687" s="55" t="n">
        <f aca="false">IF(F1687&gt;0,N1687/(F1687/3600),0)</f>
        <v>4.3775863686736</v>
      </c>
    </row>
    <row r="1688" customFormat="false" ht="15" hidden="false" customHeight="false" outlineLevel="0" collapsed="false">
      <c r="A1688" s="0" t="s">
        <v>261</v>
      </c>
      <c r="B1688" s="52" t="n">
        <v>44339</v>
      </c>
      <c r="C1688" s="0" t="n">
        <v>900</v>
      </c>
      <c r="D1688" s="0" t="n">
        <v>900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  <c r="O1688" s="54" t="n">
        <f aca="false">YEAR(B1688)</f>
        <v>2021</v>
      </c>
      <c r="P1688" s="54" t="n">
        <f aca="false">IF(AND(E1688&gt;=14400,K1688&gt;0,L1688&gt;0),1,0)</f>
        <v>0</v>
      </c>
      <c r="Q1688" s="53" t="n">
        <f aca="false">IF(P1688=1,F1688/E1688*MIN(L1688/K1688,1)*MIN(MAX(M1688/L1688,0),1),0)</f>
        <v>0</v>
      </c>
      <c r="R1688" s="55" t="n">
        <f aca="false">IF(F1688&gt;0,N1688/(F1688/3600),0)</f>
        <v>0</v>
      </c>
    </row>
    <row r="1689" customFormat="false" ht="15" hidden="false" customHeight="false" outlineLevel="0" collapsed="false">
      <c r="A1689" s="0" t="s">
        <v>261</v>
      </c>
      <c r="B1689" s="52" t="n">
        <v>44340</v>
      </c>
      <c r="C1689" s="0" t="n">
        <v>61138.086</v>
      </c>
      <c r="D1689" s="0" t="n">
        <v>1757.35</v>
      </c>
      <c r="E1689" s="0" t="n">
        <v>59380.736</v>
      </c>
      <c r="F1689" s="0" t="n">
        <v>49116.316</v>
      </c>
      <c r="G1689" s="0" t="n">
        <v>34473.409</v>
      </c>
      <c r="H1689" s="0" t="n">
        <v>14642.907</v>
      </c>
      <c r="I1689" s="0" t="n">
        <v>6177.433</v>
      </c>
      <c r="J1689" s="0" t="n">
        <v>4086.987</v>
      </c>
      <c r="K1689" s="0" t="n">
        <v>77675.5819455556</v>
      </c>
      <c r="L1689" s="0" t="n">
        <v>53913</v>
      </c>
      <c r="M1689" s="0" t="n">
        <v>53549</v>
      </c>
      <c r="N1689" s="0" t="n">
        <v>159</v>
      </c>
      <c r="O1689" s="54" t="n">
        <f aca="false">YEAR(B1689)</f>
        <v>2021</v>
      </c>
      <c r="P1689" s="54" t="n">
        <f aca="false">IF(AND(E1689&gt;=14400,K1689&gt;0,L1689&gt;0),1,0)</f>
        <v>1</v>
      </c>
      <c r="Q1689" s="53" t="n">
        <f aca="false">IF(P1689=1,F1689/E1689*MIN(L1689/K1689,1)*MIN(MAX(M1689/L1689,0),1),0)</f>
        <v>0.570226055770246</v>
      </c>
      <c r="R1689" s="55" t="n">
        <f aca="false">IF(F1689&gt;0,N1689/(F1689/3600),0)</f>
        <v>11.653968510179</v>
      </c>
    </row>
    <row r="1690" customFormat="false" ht="15" hidden="false" customHeight="false" outlineLevel="0" collapsed="false">
      <c r="A1690" s="0" t="s">
        <v>261</v>
      </c>
      <c r="B1690" s="52" t="n">
        <v>44341</v>
      </c>
      <c r="C1690" s="0" t="n">
        <v>76210.818</v>
      </c>
      <c r="D1690" s="0" t="n">
        <v>16078.256</v>
      </c>
      <c r="E1690" s="0" t="n">
        <v>60132.562</v>
      </c>
      <c r="F1690" s="0" t="n">
        <v>46334.343</v>
      </c>
      <c r="G1690" s="0" t="n">
        <v>39069.557</v>
      </c>
      <c r="H1690" s="0" t="n">
        <v>7264.786</v>
      </c>
      <c r="I1690" s="0" t="n">
        <v>7889.241</v>
      </c>
      <c r="J1690" s="0" t="n">
        <v>5908.978</v>
      </c>
      <c r="K1690" s="0" t="n">
        <v>70679.4844122222</v>
      </c>
      <c r="L1690" s="0" t="n">
        <v>58066</v>
      </c>
      <c r="M1690" s="0" t="n">
        <v>57749</v>
      </c>
      <c r="N1690" s="0" t="n">
        <v>132</v>
      </c>
      <c r="O1690" s="54" t="n">
        <f aca="false">YEAR(B1690)</f>
        <v>2021</v>
      </c>
      <c r="P1690" s="54" t="n">
        <f aca="false">IF(AND(E1690&gt;=14400,K1690&gt;0,L1690&gt;0),1,0)</f>
        <v>1</v>
      </c>
      <c r="Q1690" s="53" t="n">
        <f aca="false">IF(P1690=1,F1690/E1690*MIN(L1690/K1690,1)*MIN(MAX(M1690/L1690,0),1),0)</f>
        <v>0.629570539269206</v>
      </c>
      <c r="R1690" s="55" t="n">
        <f aca="false">IF(F1690&gt;0,N1690/(F1690/3600),0)</f>
        <v>10.2558916180165</v>
      </c>
    </row>
    <row r="1691" customFormat="false" ht="15" hidden="false" customHeight="false" outlineLevel="0" collapsed="false">
      <c r="A1691" s="0" t="s">
        <v>261</v>
      </c>
      <c r="B1691" s="52" t="n">
        <v>44342</v>
      </c>
      <c r="C1691" s="0" t="n">
        <v>82182.652</v>
      </c>
      <c r="D1691" s="0" t="n">
        <v>16142.777</v>
      </c>
      <c r="E1691" s="0" t="n">
        <v>66039.875</v>
      </c>
      <c r="F1691" s="0" t="n">
        <v>42530.461</v>
      </c>
      <c r="G1691" s="0" t="n">
        <v>33077.753</v>
      </c>
      <c r="H1691" s="0" t="n">
        <v>9452.708</v>
      </c>
      <c r="I1691" s="0" t="n">
        <v>12466.145</v>
      </c>
      <c r="J1691" s="0" t="n">
        <v>11043.269</v>
      </c>
      <c r="K1691" s="0" t="n">
        <v>65284.257635</v>
      </c>
      <c r="L1691" s="0" t="n">
        <v>50399</v>
      </c>
      <c r="M1691" s="0" t="n">
        <v>50045</v>
      </c>
      <c r="N1691" s="0" t="n">
        <v>68</v>
      </c>
      <c r="O1691" s="54" t="n">
        <f aca="false">YEAR(B1691)</f>
        <v>2021</v>
      </c>
      <c r="P1691" s="54" t="n">
        <f aca="false">IF(AND(E1691&gt;=14400,K1691&gt;0,L1691&gt;0),1,0)</f>
        <v>1</v>
      </c>
      <c r="Q1691" s="53" t="n">
        <f aca="false">IF(P1691=1,F1691/E1691*MIN(L1691/K1691,1)*MIN(MAX(M1691/L1691,0),1),0)</f>
        <v>0.493680611345678</v>
      </c>
      <c r="R1691" s="55" t="n">
        <f aca="false">IF(F1691&gt;0,N1691/(F1691/3600),0)</f>
        <v>5.75587459538706</v>
      </c>
    </row>
    <row r="1692" customFormat="false" ht="15" hidden="false" customHeight="false" outlineLevel="0" collapsed="false">
      <c r="A1692" s="0" t="s">
        <v>261</v>
      </c>
      <c r="B1692" s="52" t="n">
        <v>44343</v>
      </c>
      <c r="C1692" s="0" t="n">
        <v>60089.568</v>
      </c>
      <c r="D1692" s="0" t="n">
        <v>1638.783</v>
      </c>
      <c r="E1692" s="0" t="n">
        <v>58450.785</v>
      </c>
      <c r="F1692" s="0" t="n">
        <v>48029.06</v>
      </c>
      <c r="G1692" s="0" t="n">
        <v>34835.84</v>
      </c>
      <c r="H1692" s="0" t="n">
        <v>13193.22</v>
      </c>
      <c r="I1692" s="0" t="n">
        <v>4432.138</v>
      </c>
      <c r="J1692" s="0" t="n">
        <v>5989.587</v>
      </c>
      <c r="K1692" s="0" t="n">
        <v>73826.2766588889</v>
      </c>
      <c r="L1692" s="0" t="n">
        <v>53094</v>
      </c>
      <c r="M1692" s="0" t="n">
        <v>52632</v>
      </c>
      <c r="N1692" s="0" t="n">
        <v>108</v>
      </c>
      <c r="O1692" s="54" t="n">
        <f aca="false">YEAR(B1692)</f>
        <v>2021</v>
      </c>
      <c r="P1692" s="54" t="n">
        <f aca="false">IF(AND(E1692&gt;=14400,K1692&gt;0,L1692&gt;0),1,0)</f>
        <v>1</v>
      </c>
      <c r="Q1692" s="53" t="n">
        <f aca="false">IF(P1692=1,F1692/E1692*MIN(L1692/K1692,1)*MIN(MAX(M1692/L1692,0),1),0)</f>
        <v>0.585804422878467</v>
      </c>
      <c r="R1692" s="55" t="n">
        <f aca="false">IF(F1692&gt;0,N1692/(F1692/3600),0)</f>
        <v>8.09509909209133</v>
      </c>
    </row>
    <row r="1693" customFormat="false" ht="15" hidden="false" customHeight="false" outlineLevel="0" collapsed="false">
      <c r="A1693" s="0" t="s">
        <v>261</v>
      </c>
      <c r="B1693" s="52" t="n">
        <v>44344</v>
      </c>
      <c r="C1693" s="0" t="n">
        <v>97865.147</v>
      </c>
      <c r="D1693" s="0" t="n">
        <v>37677.748</v>
      </c>
      <c r="E1693" s="0" t="n">
        <v>60187.399</v>
      </c>
      <c r="F1693" s="0" t="n">
        <v>43847.85</v>
      </c>
      <c r="G1693" s="0" t="n">
        <v>24078.311</v>
      </c>
      <c r="H1693" s="0" t="n">
        <v>19769.539</v>
      </c>
      <c r="I1693" s="0" t="n">
        <v>8075.175</v>
      </c>
      <c r="J1693" s="0" t="n">
        <v>8264.374</v>
      </c>
      <c r="K1693" s="0" t="n">
        <v>65034.9371261111</v>
      </c>
      <c r="L1693" s="0" t="n">
        <v>34283</v>
      </c>
      <c r="M1693" s="0" t="n">
        <v>33885</v>
      </c>
      <c r="N1693" s="0" t="n">
        <v>126</v>
      </c>
      <c r="O1693" s="54" t="n">
        <f aca="false">YEAR(B1693)</f>
        <v>2021</v>
      </c>
      <c r="P1693" s="54" t="n">
        <f aca="false">IF(AND(E1693&gt;=14400,K1693&gt;0,L1693&gt;0),1,0)</f>
        <v>1</v>
      </c>
      <c r="Q1693" s="53" t="n">
        <f aca="false">IF(P1693=1,F1693/E1693*MIN(L1693/K1693,1)*MIN(MAX(M1693/L1693,0),1),0)</f>
        <v>0.37958014988781</v>
      </c>
      <c r="R1693" s="55" t="n">
        <f aca="false">IF(F1693&gt;0,N1693/(F1693/3600),0)</f>
        <v>10.3448629750375</v>
      </c>
    </row>
    <row r="1694" customFormat="false" ht="15" hidden="false" customHeight="false" outlineLevel="0" collapsed="false">
      <c r="A1694" s="0" t="s">
        <v>261</v>
      </c>
      <c r="B1694" s="52" t="n">
        <v>44345</v>
      </c>
      <c r="C1694" s="0" t="n">
        <v>61221.371</v>
      </c>
      <c r="D1694" s="0" t="n">
        <v>1578.048</v>
      </c>
      <c r="E1694" s="0" t="n">
        <v>59643.323</v>
      </c>
      <c r="F1694" s="0" t="n">
        <v>43773.78</v>
      </c>
      <c r="G1694" s="0" t="n">
        <v>27860.581</v>
      </c>
      <c r="H1694" s="0" t="n">
        <v>15913.199</v>
      </c>
      <c r="I1694" s="0" t="n">
        <v>8362.528</v>
      </c>
      <c r="J1694" s="0" t="n">
        <v>7507.015</v>
      </c>
      <c r="K1694" s="0" t="n">
        <v>64759.54828</v>
      </c>
      <c r="L1694" s="0" t="n">
        <v>40434</v>
      </c>
      <c r="M1694" s="0" t="n">
        <v>39862</v>
      </c>
      <c r="N1694" s="0" t="n">
        <v>170</v>
      </c>
      <c r="O1694" s="54" t="n">
        <f aca="false">YEAR(B1694)</f>
        <v>2021</v>
      </c>
      <c r="P1694" s="54" t="n">
        <f aca="false">IF(AND(E1694&gt;=14400,K1694&gt;0,L1694&gt;0),1,0)</f>
        <v>1</v>
      </c>
      <c r="Q1694" s="53" t="n">
        <f aca="false">IF(P1694=1,F1694/E1694*MIN(L1694/K1694,1)*MIN(MAX(M1694/L1694,0),1),0)</f>
        <v>0.45175970693331</v>
      </c>
      <c r="R1694" s="55" t="n">
        <f aca="false">IF(F1694&gt;0,N1694/(F1694/3600),0)</f>
        <v>13.980972171012</v>
      </c>
    </row>
    <row r="1695" customFormat="false" ht="15" hidden="false" customHeight="false" outlineLevel="0" collapsed="false">
      <c r="A1695" s="0" t="s">
        <v>261</v>
      </c>
      <c r="B1695" s="52" t="n">
        <v>44346</v>
      </c>
      <c r="C1695" s="0" t="n">
        <v>46516.599</v>
      </c>
      <c r="D1695" s="0" t="n">
        <v>38723.647</v>
      </c>
      <c r="E1695" s="0" t="n">
        <v>7792.952</v>
      </c>
      <c r="F1695" s="0" t="n">
        <v>146.916</v>
      </c>
      <c r="G1695" s="0" t="n">
        <v>0</v>
      </c>
      <c r="H1695" s="0" t="n">
        <v>146.916</v>
      </c>
      <c r="I1695" s="0" t="n">
        <v>0</v>
      </c>
      <c r="J1695" s="0" t="n">
        <v>7646.036</v>
      </c>
      <c r="K1695" s="0" t="n">
        <v>212.212</v>
      </c>
      <c r="L1695" s="0" t="n">
        <v>0</v>
      </c>
      <c r="M1695" s="0" t="n">
        <v>0</v>
      </c>
      <c r="N1695" s="0" t="n">
        <v>0</v>
      </c>
      <c r="O1695" s="54" t="n">
        <f aca="false">YEAR(B1695)</f>
        <v>2021</v>
      </c>
      <c r="P1695" s="54" t="n">
        <f aca="false">IF(AND(E1695&gt;=14400,K1695&gt;0,L1695&gt;0),1,0)</f>
        <v>0</v>
      </c>
      <c r="Q1695" s="53" t="n">
        <f aca="false">IF(P1695=1,F1695/E1695*MIN(L1695/K1695,1)*MIN(MAX(M1695/L1695,0),1),0)</f>
        <v>0</v>
      </c>
      <c r="R1695" s="55" t="n">
        <f aca="false">IF(F1695&gt;0,N1695/(F1695/3600),0)</f>
        <v>0</v>
      </c>
    </row>
    <row r="1696" customFormat="false" ht="15" hidden="false" customHeight="false" outlineLevel="0" collapsed="false">
      <c r="A1696" s="0" t="s">
        <v>261</v>
      </c>
      <c r="B1696" s="52" t="n">
        <v>44347</v>
      </c>
      <c r="C1696" s="0" t="n">
        <v>77312.927</v>
      </c>
      <c r="D1696" s="0" t="n">
        <v>15337.708</v>
      </c>
      <c r="E1696" s="0" t="n">
        <v>61975.219</v>
      </c>
      <c r="F1696" s="0" t="n">
        <v>50282.066</v>
      </c>
      <c r="G1696" s="0" t="n">
        <v>35618.911</v>
      </c>
      <c r="H1696" s="0" t="n">
        <v>14663.155</v>
      </c>
      <c r="I1696" s="0" t="n">
        <v>2578.968</v>
      </c>
      <c r="J1696" s="0" t="n">
        <v>9114.185</v>
      </c>
      <c r="K1696" s="0" t="n">
        <v>76407.3239377778</v>
      </c>
      <c r="L1696" s="0" t="n">
        <v>53820</v>
      </c>
      <c r="M1696" s="0" t="n">
        <v>53316</v>
      </c>
      <c r="N1696" s="0" t="n">
        <v>58</v>
      </c>
      <c r="O1696" s="54" t="n">
        <f aca="false">YEAR(B1696)</f>
        <v>2021</v>
      </c>
      <c r="P1696" s="54" t="n">
        <f aca="false">IF(AND(E1696&gt;=14400,K1696&gt;0,L1696&gt;0),1,0)</f>
        <v>1</v>
      </c>
      <c r="Q1696" s="53" t="n">
        <f aca="false">IF(P1696=1,F1696/E1696*MIN(L1696/K1696,1)*MIN(MAX(M1696/L1696,0),1),0)</f>
        <v>0.566131882642111</v>
      </c>
      <c r="R1696" s="55" t="n">
        <f aca="false">IF(F1696&gt;0,N1696/(F1696/3600),0)</f>
        <v>4.15257400123535</v>
      </c>
    </row>
    <row r="1697" customFormat="false" ht="15" hidden="false" customHeight="false" outlineLevel="0" collapsed="false">
      <c r="A1697" s="0" t="s">
        <v>261</v>
      </c>
      <c r="B1697" s="52" t="n">
        <v>44348</v>
      </c>
      <c r="C1697" s="0" t="n">
        <v>76702.528</v>
      </c>
      <c r="D1697" s="0" t="n">
        <v>12317.92</v>
      </c>
      <c r="E1697" s="0" t="n">
        <v>64384.608</v>
      </c>
      <c r="F1697" s="0" t="n">
        <v>51817.261</v>
      </c>
      <c r="G1697" s="0" t="n">
        <v>37399.09</v>
      </c>
      <c r="H1697" s="0" t="n">
        <v>14418.171</v>
      </c>
      <c r="I1697" s="0" t="n">
        <v>2630.633</v>
      </c>
      <c r="J1697" s="0" t="n">
        <v>9936.714</v>
      </c>
      <c r="K1697" s="0" t="n">
        <v>83222.3606869445</v>
      </c>
      <c r="L1697" s="0" t="n">
        <v>60220</v>
      </c>
      <c r="M1697" s="0" t="n">
        <v>59852</v>
      </c>
      <c r="N1697" s="0" t="n">
        <v>24</v>
      </c>
      <c r="O1697" s="54" t="n">
        <f aca="false">YEAR(B1697)</f>
        <v>2021</v>
      </c>
      <c r="P1697" s="54" t="n">
        <f aca="false">IF(AND(E1697&gt;=14400,K1697&gt;0,L1697&gt;0),1,0)</f>
        <v>1</v>
      </c>
      <c r="Q1697" s="53" t="n">
        <f aca="false">IF(P1697=1,F1697/E1697*MIN(L1697/K1697,1)*MIN(MAX(M1697/L1697,0),1),0)</f>
        <v>0.578803346594005</v>
      </c>
      <c r="R1697" s="55" t="n">
        <f aca="false">IF(F1697&gt;0,N1697/(F1697/3600),0)</f>
        <v>1.66739805100852</v>
      </c>
    </row>
    <row r="1698" customFormat="false" ht="15" hidden="false" customHeight="false" outlineLevel="0" collapsed="false">
      <c r="A1698" s="0" t="s">
        <v>261</v>
      </c>
      <c r="B1698" s="52" t="n">
        <v>44349</v>
      </c>
      <c r="C1698" s="0" t="n">
        <v>79785.595</v>
      </c>
      <c r="D1698" s="0" t="n">
        <v>5970.239</v>
      </c>
      <c r="E1698" s="0" t="n">
        <v>73815.356</v>
      </c>
      <c r="F1698" s="0" t="n">
        <v>47785.862</v>
      </c>
      <c r="G1698" s="0" t="n">
        <v>36392.908</v>
      </c>
      <c r="H1698" s="0" t="n">
        <v>11392.954</v>
      </c>
      <c r="I1698" s="0" t="n">
        <v>5746.289</v>
      </c>
      <c r="J1698" s="0" t="n">
        <v>20283.205</v>
      </c>
      <c r="K1698" s="0" t="n">
        <v>77394.8592638889</v>
      </c>
      <c r="L1698" s="0" t="n">
        <v>57031</v>
      </c>
      <c r="M1698" s="0" t="n">
        <v>56643</v>
      </c>
      <c r="N1698" s="0" t="n">
        <v>23</v>
      </c>
      <c r="O1698" s="54" t="n">
        <f aca="false">YEAR(B1698)</f>
        <v>2021</v>
      </c>
      <c r="P1698" s="54" t="n">
        <f aca="false">IF(AND(E1698&gt;=14400,K1698&gt;0,L1698&gt;0),1,0)</f>
        <v>1</v>
      </c>
      <c r="Q1698" s="53" t="n">
        <f aca="false">IF(P1698=1,F1698/E1698*MIN(L1698/K1698,1)*MIN(MAX(M1698/L1698,0),1),0)</f>
        <v>0.473791034167443</v>
      </c>
      <c r="R1698" s="55" t="n">
        <f aca="false">IF(F1698&gt;0,N1698/(F1698/3600),0)</f>
        <v>1.73273006982693</v>
      </c>
    </row>
    <row r="1699" customFormat="false" ht="15" hidden="false" customHeight="false" outlineLevel="0" collapsed="false">
      <c r="A1699" s="0" t="s">
        <v>261</v>
      </c>
      <c r="B1699" s="52" t="n">
        <v>44350</v>
      </c>
      <c r="C1699" s="0" t="n">
        <v>75230.569</v>
      </c>
      <c r="D1699" s="0" t="n">
        <v>3899.827</v>
      </c>
      <c r="E1699" s="0" t="n">
        <v>71330.742</v>
      </c>
      <c r="F1699" s="0" t="n">
        <v>43984.544</v>
      </c>
      <c r="G1699" s="0" t="n">
        <v>23594.58</v>
      </c>
      <c r="H1699" s="0" t="n">
        <v>20389.964</v>
      </c>
      <c r="I1699" s="0" t="n">
        <v>6413.819</v>
      </c>
      <c r="J1699" s="0" t="n">
        <v>20932.379</v>
      </c>
      <c r="K1699" s="0" t="n">
        <v>69190.2502486111</v>
      </c>
      <c r="L1699" s="0" t="n">
        <v>37298</v>
      </c>
      <c r="M1699" s="0" t="n">
        <v>36980</v>
      </c>
      <c r="N1699" s="0" t="n">
        <v>21</v>
      </c>
      <c r="O1699" s="54" t="n">
        <f aca="false">YEAR(B1699)</f>
        <v>2021</v>
      </c>
      <c r="P1699" s="54" t="n">
        <f aca="false">IF(AND(E1699&gt;=14400,K1699&gt;0,L1699&gt;0),1,0)</f>
        <v>1</v>
      </c>
      <c r="Q1699" s="53" t="n">
        <f aca="false">IF(P1699=1,F1699/E1699*MIN(L1699/K1699,1)*MIN(MAX(M1699/L1699,0),1),0)</f>
        <v>0.329568243732319</v>
      </c>
      <c r="R1699" s="55" t="n">
        <f aca="false">IF(F1699&gt;0,N1699/(F1699/3600),0)</f>
        <v>1.71878558068034</v>
      </c>
    </row>
    <row r="1700" customFormat="false" ht="15" hidden="false" customHeight="false" outlineLevel="0" collapsed="false">
      <c r="A1700" s="0" t="s">
        <v>261</v>
      </c>
      <c r="B1700" s="52" t="n">
        <v>44351</v>
      </c>
      <c r="C1700" s="0" t="n">
        <v>69389.508</v>
      </c>
      <c r="D1700" s="0" t="n">
        <v>4313.646</v>
      </c>
      <c r="E1700" s="0" t="n">
        <v>65075.862</v>
      </c>
      <c r="F1700" s="0" t="n">
        <v>41525.006</v>
      </c>
      <c r="G1700" s="0" t="n">
        <v>26693.738</v>
      </c>
      <c r="H1700" s="0" t="n">
        <v>14831.268</v>
      </c>
      <c r="I1700" s="0" t="n">
        <v>2498.577</v>
      </c>
      <c r="J1700" s="0" t="n">
        <v>21052.279</v>
      </c>
      <c r="K1700" s="0" t="n">
        <v>65076.9084927778</v>
      </c>
      <c r="L1700" s="0" t="n">
        <v>41602</v>
      </c>
      <c r="M1700" s="0" t="n">
        <v>41394</v>
      </c>
      <c r="N1700" s="0" t="n">
        <v>46</v>
      </c>
      <c r="O1700" s="54" t="n">
        <f aca="false">YEAR(B1700)</f>
        <v>2021</v>
      </c>
      <c r="P1700" s="54" t="n">
        <f aca="false">IF(AND(E1700&gt;=14400,K1700&gt;0,L1700&gt;0),1,0)</f>
        <v>1</v>
      </c>
      <c r="Q1700" s="53" t="n">
        <f aca="false">IF(P1700=1,F1700/E1700*MIN(L1700/K1700,1)*MIN(MAX(M1700/L1700,0),1),0)</f>
        <v>0.405882434178545</v>
      </c>
      <c r="R1700" s="55" t="n">
        <f aca="false">IF(F1700&gt;0,N1700/(F1700/3600),0)</f>
        <v>3.98795848458156</v>
      </c>
    </row>
    <row r="1701" customFormat="false" ht="15" hidden="false" customHeight="false" outlineLevel="0" collapsed="false">
      <c r="A1701" s="0" t="s">
        <v>261</v>
      </c>
      <c r="B1701" s="52" t="n">
        <v>44352</v>
      </c>
      <c r="C1701" s="0" t="n">
        <v>81471.028</v>
      </c>
      <c r="D1701" s="0" t="n">
        <v>5455.507</v>
      </c>
      <c r="E1701" s="0" t="n">
        <v>76015.521</v>
      </c>
      <c r="F1701" s="0" t="n">
        <v>54463.406</v>
      </c>
      <c r="G1701" s="0" t="n">
        <v>40886.177</v>
      </c>
      <c r="H1701" s="0" t="n">
        <v>13577.229</v>
      </c>
      <c r="I1701" s="0" t="n">
        <v>1172.103</v>
      </c>
      <c r="J1701" s="0" t="n">
        <v>20380.012</v>
      </c>
      <c r="K1701" s="0" t="n">
        <v>85092.03889</v>
      </c>
      <c r="L1701" s="0" t="n">
        <v>64107</v>
      </c>
      <c r="M1701" s="0" t="n">
        <v>63969</v>
      </c>
      <c r="N1701" s="0" t="n">
        <v>17</v>
      </c>
      <c r="O1701" s="54" t="n">
        <f aca="false">YEAR(B1701)</f>
        <v>2021</v>
      </c>
      <c r="P1701" s="54" t="n">
        <f aca="false">IF(AND(E1701&gt;=14400,K1701&gt;0,L1701&gt;0),1,0)</f>
        <v>1</v>
      </c>
      <c r="Q1701" s="53" t="n">
        <f aca="false">IF(P1701=1,F1701/E1701*MIN(L1701/K1701,1)*MIN(MAX(M1701/L1701,0),1),0)</f>
        <v>0.538620839891389</v>
      </c>
      <c r="R1701" s="55" t="n">
        <f aca="false">IF(F1701&gt;0,N1701/(F1701/3600),0)</f>
        <v>1.12369028114033</v>
      </c>
    </row>
    <row r="1702" customFormat="false" ht="15" hidden="false" customHeight="false" outlineLevel="0" collapsed="false">
      <c r="A1702" s="0" t="s">
        <v>261</v>
      </c>
      <c r="B1702" s="52" t="n">
        <v>44353</v>
      </c>
      <c r="C1702" s="0" t="n">
        <v>32304.946</v>
      </c>
      <c r="D1702" s="0" t="n">
        <v>1159.562</v>
      </c>
      <c r="E1702" s="0" t="n">
        <v>31145.384</v>
      </c>
      <c r="F1702" s="0" t="n">
        <v>0</v>
      </c>
      <c r="G1702" s="0" t="n">
        <v>0</v>
      </c>
      <c r="H1702" s="0" t="n">
        <v>0</v>
      </c>
      <c r="I1702" s="0" t="n">
        <v>0</v>
      </c>
      <c r="J1702" s="0" t="n">
        <v>31145.384</v>
      </c>
      <c r="K1702" s="0" t="n">
        <v>0</v>
      </c>
      <c r="L1702" s="0" t="n">
        <v>0</v>
      </c>
      <c r="M1702" s="0" t="n">
        <v>0</v>
      </c>
      <c r="N1702" s="0" t="n">
        <v>0</v>
      </c>
      <c r="O1702" s="54" t="n">
        <f aca="false">YEAR(B1702)</f>
        <v>2021</v>
      </c>
      <c r="P1702" s="54" t="n">
        <f aca="false">IF(AND(E1702&gt;=14400,K1702&gt;0,L1702&gt;0),1,0)</f>
        <v>0</v>
      </c>
      <c r="Q1702" s="53" t="n">
        <f aca="false">IF(P1702=1,F1702/E1702*MIN(L1702/K1702,1)*MIN(MAX(M1702/L1702,0),1),0)</f>
        <v>0</v>
      </c>
      <c r="R1702" s="55" t="n">
        <f aca="false">IF(F1702&gt;0,N1702/(F1702/3600),0)</f>
        <v>0</v>
      </c>
    </row>
    <row r="1703" customFormat="false" ht="15" hidden="false" customHeight="false" outlineLevel="0" collapsed="false">
      <c r="A1703" s="0" t="s">
        <v>261</v>
      </c>
      <c r="B1703" s="52" t="n">
        <v>44354</v>
      </c>
      <c r="C1703" s="0" t="n">
        <v>69930.763</v>
      </c>
      <c r="D1703" s="0" t="n">
        <v>9164.789</v>
      </c>
      <c r="E1703" s="0" t="n">
        <v>60765.974</v>
      </c>
      <c r="F1703" s="0" t="n">
        <v>34407.492</v>
      </c>
      <c r="G1703" s="0" t="n">
        <v>24171.649</v>
      </c>
      <c r="H1703" s="0" t="n">
        <v>10235.843</v>
      </c>
      <c r="I1703" s="0" t="n">
        <v>2064.712</v>
      </c>
      <c r="J1703" s="0" t="n">
        <v>24293.77</v>
      </c>
      <c r="K1703" s="0" t="n">
        <v>55512.26868</v>
      </c>
      <c r="L1703" s="0" t="n">
        <v>53873</v>
      </c>
      <c r="M1703" s="0" t="n">
        <v>53622</v>
      </c>
      <c r="N1703" s="0" t="n">
        <v>22</v>
      </c>
      <c r="O1703" s="54" t="n">
        <f aca="false">YEAR(B1703)</f>
        <v>2021</v>
      </c>
      <c r="P1703" s="54" t="n">
        <f aca="false">IF(AND(E1703&gt;=14400,K1703&gt;0,L1703&gt;0),1,0)</f>
        <v>1</v>
      </c>
      <c r="Q1703" s="53" t="n">
        <f aca="false">IF(P1703=1,F1703/E1703*MIN(L1703/K1703,1)*MIN(MAX(M1703/L1703,0),1),0)</f>
        <v>0.546948689306593</v>
      </c>
      <c r="R1703" s="55" t="n">
        <f aca="false">IF(F1703&gt;0,N1703/(F1703/3600),0)</f>
        <v>2.30182426548265</v>
      </c>
    </row>
    <row r="1704" customFormat="false" ht="15" hidden="false" customHeight="false" outlineLevel="0" collapsed="false">
      <c r="A1704" s="0" t="s">
        <v>261</v>
      </c>
      <c r="B1704" s="52" t="n">
        <v>44355</v>
      </c>
      <c r="C1704" s="0" t="n">
        <v>86266.81</v>
      </c>
      <c r="D1704" s="0" t="n">
        <v>16720.091</v>
      </c>
      <c r="E1704" s="0" t="n">
        <v>69546.719</v>
      </c>
      <c r="F1704" s="0" t="n">
        <v>49501.012</v>
      </c>
      <c r="G1704" s="0" t="n">
        <v>37325.782</v>
      </c>
      <c r="H1704" s="0" t="n">
        <v>12175.23</v>
      </c>
      <c r="I1704" s="0" t="n">
        <v>4032.115</v>
      </c>
      <c r="J1704" s="0" t="n">
        <v>16013.592</v>
      </c>
      <c r="K1704" s="0" t="n">
        <v>80166.1620077778</v>
      </c>
      <c r="L1704" s="0" t="n">
        <v>60493</v>
      </c>
      <c r="M1704" s="0" t="n">
        <v>60150</v>
      </c>
      <c r="N1704" s="0" t="n">
        <v>29</v>
      </c>
      <c r="O1704" s="54" t="n">
        <f aca="false">YEAR(B1704)</f>
        <v>2021</v>
      </c>
      <c r="P1704" s="54" t="n">
        <f aca="false">IF(AND(E1704&gt;=14400,K1704&gt;0,L1704&gt;0),1,0)</f>
        <v>1</v>
      </c>
      <c r="Q1704" s="53" t="n">
        <f aca="false">IF(P1704=1,F1704/E1704*MIN(L1704/K1704,1)*MIN(MAX(M1704/L1704,0),1),0)</f>
        <v>0.534050063754028</v>
      </c>
      <c r="R1704" s="55" t="n">
        <f aca="false">IF(F1704&gt;0,N1704/(F1704/3600),0)</f>
        <v>2.10904779078052</v>
      </c>
    </row>
    <row r="1705" customFormat="false" ht="15" hidden="false" customHeight="false" outlineLevel="0" collapsed="false">
      <c r="A1705" s="0" t="s">
        <v>261</v>
      </c>
      <c r="B1705" s="52" t="n">
        <v>44356</v>
      </c>
      <c r="C1705" s="0" t="n">
        <v>75709.335</v>
      </c>
      <c r="D1705" s="0" t="n">
        <v>5376.423</v>
      </c>
      <c r="E1705" s="0" t="n">
        <v>70332.912</v>
      </c>
      <c r="F1705" s="0" t="n">
        <v>53301.513</v>
      </c>
      <c r="G1705" s="0" t="n">
        <v>41794.156</v>
      </c>
      <c r="H1705" s="0" t="n">
        <v>11507.357</v>
      </c>
      <c r="I1705" s="0" t="n">
        <v>2481.72</v>
      </c>
      <c r="J1705" s="0" t="n">
        <v>14549.679</v>
      </c>
      <c r="K1705" s="0" t="n">
        <v>86653.7078905556</v>
      </c>
      <c r="L1705" s="0" t="n">
        <v>67736</v>
      </c>
      <c r="M1705" s="0" t="n">
        <v>67578</v>
      </c>
      <c r="N1705" s="0" t="n">
        <v>24</v>
      </c>
      <c r="O1705" s="54" t="n">
        <f aca="false">YEAR(B1705)</f>
        <v>2021</v>
      </c>
      <c r="P1705" s="54" t="n">
        <f aca="false">IF(AND(E1705&gt;=14400,K1705&gt;0,L1705&gt;0),1,0)</f>
        <v>1</v>
      </c>
      <c r="Q1705" s="53" t="n">
        <f aca="false">IF(P1705=1,F1705/E1705*MIN(L1705/K1705,1)*MIN(MAX(M1705/L1705,0),1),0)</f>
        <v>0.591015841396186</v>
      </c>
      <c r="R1705" s="55" t="n">
        <f aca="false">IF(F1705&gt;0,N1705/(F1705/3600),0)</f>
        <v>1.6209671196388</v>
      </c>
    </row>
    <row r="1706" customFormat="false" ht="15" hidden="false" customHeight="false" outlineLevel="0" collapsed="false">
      <c r="A1706" s="0" t="s">
        <v>261</v>
      </c>
      <c r="B1706" s="52" t="n">
        <v>44357</v>
      </c>
      <c r="C1706" s="0" t="n">
        <v>63346.082</v>
      </c>
      <c r="D1706" s="0" t="n">
        <v>804.313</v>
      </c>
      <c r="E1706" s="0" t="n">
        <v>62541.769</v>
      </c>
      <c r="F1706" s="0" t="n">
        <v>51254.445</v>
      </c>
      <c r="G1706" s="0" t="n">
        <v>37743.736</v>
      </c>
      <c r="H1706" s="0" t="n">
        <v>13510.709</v>
      </c>
      <c r="I1706" s="0" t="n">
        <v>2793.799</v>
      </c>
      <c r="J1706" s="0" t="n">
        <v>8493.525</v>
      </c>
      <c r="K1706" s="0" t="n">
        <v>81682.871305</v>
      </c>
      <c r="L1706" s="0" t="n">
        <v>60253</v>
      </c>
      <c r="M1706" s="0" t="n">
        <v>60091</v>
      </c>
      <c r="N1706" s="0" t="n">
        <v>35</v>
      </c>
      <c r="O1706" s="54" t="n">
        <f aca="false">YEAR(B1706)</f>
        <v>2021</v>
      </c>
      <c r="P1706" s="54" t="n">
        <f aca="false">IF(AND(E1706&gt;=14400,K1706&gt;0,L1706&gt;0),1,0)</f>
        <v>1</v>
      </c>
      <c r="Q1706" s="53" t="n">
        <f aca="false">IF(P1706=1,F1706/E1706*MIN(L1706/K1706,1)*MIN(MAX(M1706/L1706,0),1),0)</f>
        <v>0.602892400795095</v>
      </c>
      <c r="R1706" s="55" t="n">
        <f aca="false">IF(F1706&gt;0,N1706/(F1706/3600),0)</f>
        <v>2.45832337078277</v>
      </c>
    </row>
    <row r="1707" customFormat="false" ht="15" hidden="false" customHeight="false" outlineLevel="0" collapsed="false">
      <c r="A1707" s="0" t="s">
        <v>261</v>
      </c>
      <c r="B1707" s="52" t="n">
        <v>44358</v>
      </c>
      <c r="C1707" s="0" t="n">
        <v>93112.654</v>
      </c>
      <c r="D1707" s="0" t="n">
        <v>30679.249</v>
      </c>
      <c r="E1707" s="0" t="n">
        <v>62433.405</v>
      </c>
      <c r="F1707" s="0" t="n">
        <v>44711.879</v>
      </c>
      <c r="G1707" s="0" t="n">
        <v>25592.224</v>
      </c>
      <c r="H1707" s="0" t="n">
        <v>19119.655</v>
      </c>
      <c r="I1707" s="0" t="n">
        <v>1993.277</v>
      </c>
      <c r="J1707" s="0" t="n">
        <v>15728.249</v>
      </c>
      <c r="K1707" s="0" t="n">
        <v>73386.1257927778</v>
      </c>
      <c r="L1707" s="0" t="n">
        <v>41079</v>
      </c>
      <c r="M1707" s="0" t="n">
        <v>40926</v>
      </c>
      <c r="N1707" s="0" t="n">
        <v>20</v>
      </c>
      <c r="O1707" s="54" t="n">
        <f aca="false">YEAR(B1707)</f>
        <v>2021</v>
      </c>
      <c r="P1707" s="54" t="n">
        <f aca="false">IF(AND(E1707&gt;=14400,K1707&gt;0,L1707&gt;0),1,0)</f>
        <v>1</v>
      </c>
      <c r="Q1707" s="53" t="n">
        <f aca="false">IF(P1707=1,F1707/E1707*MIN(L1707/K1707,1)*MIN(MAX(M1707/L1707,0),1),0)</f>
        <v>0.399384530390114</v>
      </c>
      <c r="R1707" s="55" t="n">
        <f aca="false">IF(F1707&gt;0,N1707/(F1707/3600),0)</f>
        <v>1.61031031596771</v>
      </c>
    </row>
    <row r="1708" customFormat="false" ht="15" hidden="false" customHeight="false" outlineLevel="0" collapsed="false">
      <c r="A1708" s="0" t="s">
        <v>261</v>
      </c>
      <c r="B1708" s="52" t="n">
        <v>44359</v>
      </c>
      <c r="C1708" s="0" t="n">
        <v>100289.807</v>
      </c>
      <c r="D1708" s="0" t="n">
        <v>5828.081</v>
      </c>
      <c r="E1708" s="0" t="n">
        <v>94461.726</v>
      </c>
      <c r="F1708" s="0" t="n">
        <v>49531.386</v>
      </c>
      <c r="G1708" s="0" t="n">
        <v>35122.64</v>
      </c>
      <c r="H1708" s="0" t="n">
        <v>14408.746</v>
      </c>
      <c r="I1708" s="0" t="n">
        <v>3425.173</v>
      </c>
      <c r="J1708" s="0" t="n">
        <v>41505.167</v>
      </c>
      <c r="K1708" s="0" t="n">
        <v>77875.22823</v>
      </c>
      <c r="L1708" s="0" t="n">
        <v>55243</v>
      </c>
      <c r="M1708" s="0" t="n">
        <v>54902</v>
      </c>
      <c r="N1708" s="0" t="n">
        <v>26</v>
      </c>
      <c r="O1708" s="54" t="n">
        <f aca="false">YEAR(B1708)</f>
        <v>2021</v>
      </c>
      <c r="P1708" s="54" t="n">
        <f aca="false">IF(AND(E1708&gt;=14400,K1708&gt;0,L1708&gt;0),1,0)</f>
        <v>1</v>
      </c>
      <c r="Q1708" s="53" t="n">
        <f aca="false">IF(P1708=1,F1708/E1708*MIN(L1708/K1708,1)*MIN(MAX(M1708/L1708,0),1),0)</f>
        <v>0.369669344121121</v>
      </c>
      <c r="R1708" s="55" t="n">
        <f aca="false">IF(F1708&gt;0,N1708/(F1708/3600),0)</f>
        <v>1.88971089967077</v>
      </c>
    </row>
    <row r="1709" customFormat="false" ht="15" hidden="false" customHeight="false" outlineLevel="0" collapsed="false">
      <c r="A1709" s="0" t="s">
        <v>261</v>
      </c>
      <c r="B1709" s="52" t="n">
        <v>44360</v>
      </c>
      <c r="C1709" s="0" t="n">
        <v>14407.884</v>
      </c>
      <c r="D1709" s="0" t="n">
        <v>13507.884</v>
      </c>
      <c r="E1709" s="0" t="n">
        <v>900</v>
      </c>
      <c r="F1709" s="0" t="n">
        <v>0</v>
      </c>
      <c r="G1709" s="0" t="n">
        <v>0</v>
      </c>
      <c r="H1709" s="0" t="n">
        <v>0</v>
      </c>
      <c r="I1709" s="0" t="n">
        <v>0</v>
      </c>
      <c r="J1709" s="0" t="n">
        <v>900</v>
      </c>
      <c r="K1709" s="0" t="n">
        <v>0</v>
      </c>
      <c r="L1709" s="0" t="n">
        <v>0</v>
      </c>
      <c r="M1709" s="0" t="n">
        <v>0</v>
      </c>
      <c r="N1709" s="0" t="n">
        <v>0</v>
      </c>
      <c r="O1709" s="54" t="n">
        <f aca="false">YEAR(B1709)</f>
        <v>2021</v>
      </c>
      <c r="P1709" s="54" t="n">
        <f aca="false">IF(AND(E1709&gt;=14400,K1709&gt;0,L1709&gt;0),1,0)</f>
        <v>0</v>
      </c>
      <c r="Q1709" s="53" t="n">
        <f aca="false">IF(P1709=1,F1709/E1709*MIN(L1709/K1709,1)*MIN(MAX(M1709/L1709,0),1),0)</f>
        <v>0</v>
      </c>
      <c r="R1709" s="55" t="n">
        <f aca="false">IF(F1709&gt;0,N1709/(F1709/3600),0)</f>
        <v>0</v>
      </c>
    </row>
    <row r="1710" customFormat="false" ht="15" hidden="false" customHeight="false" outlineLevel="0" collapsed="false">
      <c r="A1710" s="0" t="s">
        <v>261</v>
      </c>
      <c r="B1710" s="52" t="n">
        <v>44361</v>
      </c>
      <c r="C1710" s="0" t="n">
        <v>81675.635</v>
      </c>
      <c r="D1710" s="0" t="n">
        <v>19197.761</v>
      </c>
      <c r="E1710" s="0" t="n">
        <v>62477.874</v>
      </c>
      <c r="F1710" s="0" t="n">
        <v>49757.705</v>
      </c>
      <c r="G1710" s="0" t="n">
        <v>34568.681</v>
      </c>
      <c r="H1710" s="0" t="n">
        <v>15189.024</v>
      </c>
      <c r="I1710" s="0" t="n">
        <v>1995.185</v>
      </c>
      <c r="J1710" s="0" t="n">
        <v>10724.984</v>
      </c>
      <c r="K1710" s="0" t="n">
        <v>77917.3236466667</v>
      </c>
      <c r="L1710" s="0" t="n">
        <v>53789</v>
      </c>
      <c r="M1710" s="0" t="n">
        <v>53548</v>
      </c>
      <c r="N1710" s="0" t="n">
        <v>22</v>
      </c>
      <c r="O1710" s="54" t="n">
        <f aca="false">YEAR(B1710)</f>
        <v>2021</v>
      </c>
      <c r="P1710" s="54" t="n">
        <f aca="false">IF(AND(E1710&gt;=14400,K1710&gt;0,L1710&gt;0),1,0)</f>
        <v>1</v>
      </c>
      <c r="Q1710" s="53" t="n">
        <f aca="false">IF(P1710=1,F1710/E1710*MIN(L1710/K1710,1)*MIN(MAX(M1710/L1710,0),1),0)</f>
        <v>0.547322530277663</v>
      </c>
      <c r="R1710" s="55" t="n">
        <f aca="false">IF(F1710&gt;0,N1710/(F1710/3600),0)</f>
        <v>1.59171328340003</v>
      </c>
    </row>
    <row r="1711" customFormat="false" ht="15" hidden="false" customHeight="false" outlineLevel="0" collapsed="false">
      <c r="A1711" s="0" t="s">
        <v>261</v>
      </c>
      <c r="B1711" s="52" t="n">
        <v>44362</v>
      </c>
      <c r="C1711" s="0" t="n">
        <v>63359.296</v>
      </c>
      <c r="D1711" s="0" t="n">
        <v>5388.914</v>
      </c>
      <c r="E1711" s="0" t="n">
        <v>57970.382</v>
      </c>
      <c r="F1711" s="0" t="n">
        <v>49388.101</v>
      </c>
      <c r="G1711" s="0" t="n">
        <v>36913.073</v>
      </c>
      <c r="H1711" s="0" t="n">
        <v>12475.028</v>
      </c>
      <c r="I1711" s="0" t="n">
        <v>3136.762</v>
      </c>
      <c r="J1711" s="0" t="n">
        <v>5445.519</v>
      </c>
      <c r="K1711" s="0" t="n">
        <v>74528.8903222222</v>
      </c>
      <c r="L1711" s="0" t="n">
        <v>55302</v>
      </c>
      <c r="M1711" s="0" t="n">
        <v>54926</v>
      </c>
      <c r="N1711" s="0" t="n">
        <v>51</v>
      </c>
      <c r="O1711" s="54" t="n">
        <f aca="false">YEAR(B1711)</f>
        <v>2021</v>
      </c>
      <c r="P1711" s="54" t="n">
        <f aca="false">IF(AND(E1711&gt;=14400,K1711&gt;0,L1711&gt;0),1,0)</f>
        <v>1</v>
      </c>
      <c r="Q1711" s="53" t="n">
        <f aca="false">IF(P1711=1,F1711/E1711*MIN(L1711/K1711,1)*MIN(MAX(M1711/L1711,0),1),0)</f>
        <v>0.627869639023348</v>
      </c>
      <c r="R1711" s="55" t="n">
        <f aca="false">IF(F1711&gt;0,N1711/(F1711/3600),0)</f>
        <v>3.71749462486926</v>
      </c>
    </row>
    <row r="1712" customFormat="false" ht="15" hidden="false" customHeight="false" outlineLevel="0" collapsed="false">
      <c r="A1712" s="0" t="s">
        <v>261</v>
      </c>
      <c r="B1712" s="52" t="n">
        <v>44363</v>
      </c>
      <c r="C1712" s="0" t="n">
        <v>78249.128</v>
      </c>
      <c r="D1712" s="0" t="n">
        <v>20472.673</v>
      </c>
      <c r="E1712" s="0" t="n">
        <v>57776.455</v>
      </c>
      <c r="F1712" s="0" t="n">
        <v>44277.851</v>
      </c>
      <c r="G1712" s="0" t="n">
        <v>28066.552</v>
      </c>
      <c r="H1712" s="0" t="n">
        <v>16211.299</v>
      </c>
      <c r="I1712" s="0" t="n">
        <v>1933.52</v>
      </c>
      <c r="J1712" s="0" t="n">
        <v>11565.084</v>
      </c>
      <c r="K1712" s="0" t="n">
        <v>70701.8575572222</v>
      </c>
      <c r="L1712" s="0" t="n">
        <v>43906</v>
      </c>
      <c r="M1712" s="0" t="n">
        <v>43726</v>
      </c>
      <c r="N1712" s="0" t="n">
        <v>34</v>
      </c>
      <c r="O1712" s="54" t="n">
        <f aca="false">YEAR(B1712)</f>
        <v>2021</v>
      </c>
      <c r="P1712" s="54" t="n">
        <f aca="false">IF(AND(E1712&gt;=14400,K1712&gt;0,L1712&gt;0),1,0)</f>
        <v>1</v>
      </c>
      <c r="Q1712" s="53" t="n">
        <f aca="false">IF(P1712=1,F1712/E1712*MIN(L1712/K1712,1)*MIN(MAX(M1712/L1712,0),1),0)</f>
        <v>0.473963141599655</v>
      </c>
      <c r="R1712" s="55" t="n">
        <f aca="false">IF(F1712&gt;0,N1712/(F1712/3600),0)</f>
        <v>2.76436180247321</v>
      </c>
    </row>
    <row r="1713" customFormat="false" ht="15" hidden="false" customHeight="false" outlineLevel="0" collapsed="false">
      <c r="A1713" s="0" t="s">
        <v>261</v>
      </c>
      <c r="B1713" s="52" t="n">
        <v>44364</v>
      </c>
      <c r="C1713" s="0" t="n">
        <v>36375.323</v>
      </c>
      <c r="D1713" s="0" t="n">
        <v>497.494</v>
      </c>
      <c r="E1713" s="0" t="n">
        <v>35877.829</v>
      </c>
      <c r="F1713" s="0" t="n">
        <v>28438.498</v>
      </c>
      <c r="G1713" s="0" t="n">
        <v>16075.157</v>
      </c>
      <c r="H1713" s="0" t="n">
        <v>12363.341</v>
      </c>
      <c r="I1713" s="0" t="n">
        <v>1637.4</v>
      </c>
      <c r="J1713" s="0" t="n">
        <v>5801.931</v>
      </c>
      <c r="K1713" s="0" t="n">
        <v>46106.9018288889</v>
      </c>
      <c r="L1713" s="0" t="n">
        <v>25845</v>
      </c>
      <c r="M1713" s="0" t="n">
        <v>25604</v>
      </c>
      <c r="N1713" s="0" t="n">
        <v>14</v>
      </c>
      <c r="O1713" s="54" t="n">
        <f aca="false">YEAR(B1713)</f>
        <v>2021</v>
      </c>
      <c r="P1713" s="54" t="n">
        <f aca="false">IF(AND(E1713&gt;=14400,K1713&gt;0,L1713&gt;0),1,0)</f>
        <v>1</v>
      </c>
      <c r="Q1713" s="53" t="n">
        <f aca="false">IF(P1713=1,F1713/E1713*MIN(L1713/K1713,1)*MIN(MAX(M1713/L1713,0),1),0)</f>
        <v>0.440171963924331</v>
      </c>
      <c r="R1713" s="55" t="n">
        <f aca="false">IF(F1713&gt;0,N1713/(F1713/3600),0)</f>
        <v>1.77224549622839</v>
      </c>
    </row>
    <row r="1714" customFormat="false" ht="15" hidden="false" customHeight="false" outlineLevel="0" collapsed="false">
      <c r="A1714" s="0" t="s">
        <v>261</v>
      </c>
      <c r="B1714" s="52" t="n">
        <v>44365</v>
      </c>
      <c r="C1714" s="0" t="n">
        <v>28458.088</v>
      </c>
      <c r="D1714" s="0" t="n">
        <v>7535.488</v>
      </c>
      <c r="E1714" s="0" t="n">
        <v>20922.6</v>
      </c>
      <c r="F1714" s="0" t="n">
        <v>15368.009</v>
      </c>
      <c r="G1714" s="0" t="n">
        <v>6461.372</v>
      </c>
      <c r="H1714" s="0" t="n">
        <v>8906.637</v>
      </c>
      <c r="I1714" s="0" t="n">
        <v>2734.862</v>
      </c>
      <c r="J1714" s="0" t="n">
        <v>2819.729</v>
      </c>
      <c r="K1714" s="0" t="n">
        <v>23561.6351816667</v>
      </c>
      <c r="L1714" s="0" t="n">
        <v>26431</v>
      </c>
      <c r="M1714" s="0" t="n">
        <v>26193</v>
      </c>
      <c r="N1714" s="0" t="n">
        <v>42</v>
      </c>
      <c r="O1714" s="54" t="n">
        <f aca="false">YEAR(B1714)</f>
        <v>2021</v>
      </c>
      <c r="P1714" s="54" t="n">
        <f aca="false">IF(AND(E1714&gt;=14400,K1714&gt;0,L1714&gt;0),1,0)</f>
        <v>1</v>
      </c>
      <c r="Q1714" s="53" t="n">
        <f aca="false">IF(P1714=1,F1714/E1714*MIN(L1714/K1714,1)*MIN(MAX(M1714/L1714,0),1),0)</f>
        <v>0.727903155674001</v>
      </c>
      <c r="R1714" s="55" t="n">
        <f aca="false">IF(F1714&gt;0,N1714/(F1714/3600),0)</f>
        <v>9.8386199539576</v>
      </c>
    </row>
    <row r="1715" customFormat="false" ht="15" hidden="false" customHeight="false" outlineLevel="0" collapsed="false">
      <c r="A1715" s="0" t="s">
        <v>261</v>
      </c>
      <c r="B1715" s="52" t="n">
        <v>44366</v>
      </c>
      <c r="C1715" s="0" t="n">
        <v>17649.554</v>
      </c>
      <c r="D1715" s="0" t="n">
        <v>5367.804</v>
      </c>
      <c r="E1715" s="0" t="n">
        <v>12281.75</v>
      </c>
      <c r="F1715" s="0" t="n">
        <v>8896.727</v>
      </c>
      <c r="G1715" s="0" t="n">
        <v>7143.95</v>
      </c>
      <c r="H1715" s="0" t="n">
        <v>1752.777</v>
      </c>
      <c r="I1715" s="0" t="n">
        <v>883.615</v>
      </c>
      <c r="J1715" s="0" t="n">
        <v>2501.408</v>
      </c>
      <c r="K1715" s="0" t="n">
        <v>13656.475945</v>
      </c>
      <c r="L1715" s="0" t="n">
        <v>10842</v>
      </c>
      <c r="M1715" s="0" t="n">
        <v>10802</v>
      </c>
      <c r="N1715" s="0" t="n">
        <v>20</v>
      </c>
      <c r="O1715" s="54" t="n">
        <f aca="false">YEAR(B1715)</f>
        <v>2021</v>
      </c>
      <c r="P1715" s="54" t="n">
        <f aca="false">IF(AND(E1715&gt;=14400,K1715&gt;0,L1715&gt;0),1,0)</f>
        <v>0</v>
      </c>
      <c r="Q1715" s="53" t="n">
        <f aca="false">IF(P1715=1,F1715/E1715*MIN(L1715/K1715,1)*MIN(MAX(M1715/L1715,0),1),0)</f>
        <v>0</v>
      </c>
      <c r="R1715" s="55" t="n">
        <f aca="false">IF(F1715&gt;0,N1715/(F1715/3600),0)</f>
        <v>8.09286381384974</v>
      </c>
    </row>
    <row r="1716" customFormat="false" ht="15" hidden="false" customHeight="false" outlineLevel="0" collapsed="false">
      <c r="A1716" s="0" t="s">
        <v>261</v>
      </c>
      <c r="B1716" s="52" t="n">
        <v>44367</v>
      </c>
      <c r="C1716" s="0" t="n">
        <v>18308.854</v>
      </c>
      <c r="D1716" s="0" t="n">
        <v>9600.803</v>
      </c>
      <c r="E1716" s="0" t="n">
        <v>8708.051</v>
      </c>
      <c r="F1716" s="0" t="n">
        <v>0</v>
      </c>
      <c r="G1716" s="0" t="n">
        <v>0</v>
      </c>
      <c r="H1716" s="0" t="n">
        <v>0</v>
      </c>
      <c r="I1716" s="0" t="n">
        <v>0</v>
      </c>
      <c r="J1716" s="0" t="n">
        <v>8708.051</v>
      </c>
      <c r="K1716" s="0" t="n">
        <v>0</v>
      </c>
      <c r="L1716" s="0" t="n">
        <v>0</v>
      </c>
      <c r="M1716" s="0" t="n">
        <v>0</v>
      </c>
      <c r="N1716" s="0" t="n">
        <v>0</v>
      </c>
      <c r="O1716" s="54" t="n">
        <f aca="false">YEAR(B1716)</f>
        <v>2021</v>
      </c>
      <c r="P1716" s="54" t="n">
        <f aca="false">IF(AND(E1716&gt;=14400,K1716&gt;0,L1716&gt;0),1,0)</f>
        <v>0</v>
      </c>
      <c r="Q1716" s="53" t="n">
        <f aca="false">IF(P1716=1,F1716/E1716*MIN(L1716/K1716,1)*MIN(MAX(M1716/L1716,0),1),0)</f>
        <v>0</v>
      </c>
      <c r="R1716" s="55" t="n">
        <f aca="false">IF(F1716&gt;0,N1716/(F1716/3600),0)</f>
        <v>0</v>
      </c>
    </row>
    <row r="1717" customFormat="false" ht="15" hidden="false" customHeight="false" outlineLevel="0" collapsed="false">
      <c r="A1717" s="0" t="s">
        <v>261</v>
      </c>
      <c r="B1717" s="52" t="n">
        <v>44368</v>
      </c>
      <c r="C1717" s="0" t="n">
        <v>63952.936</v>
      </c>
      <c r="D1717" s="0" t="n">
        <v>5047.129</v>
      </c>
      <c r="E1717" s="0" t="n">
        <v>58905.807</v>
      </c>
      <c r="F1717" s="0" t="n">
        <v>48740.618</v>
      </c>
      <c r="G1717" s="0" t="n">
        <v>22057.395</v>
      </c>
      <c r="H1717" s="0" t="n">
        <v>26683.223</v>
      </c>
      <c r="I1717" s="0" t="n">
        <v>3048.775</v>
      </c>
      <c r="J1717" s="0" t="n">
        <v>7116.414</v>
      </c>
      <c r="K1717" s="0" t="n">
        <v>77028.0239505556</v>
      </c>
      <c r="L1717" s="0" t="n">
        <v>35195</v>
      </c>
      <c r="M1717" s="0" t="n">
        <v>34856</v>
      </c>
      <c r="N1717" s="0" t="n">
        <v>47</v>
      </c>
      <c r="O1717" s="54" t="n">
        <f aca="false">YEAR(B1717)</f>
        <v>2021</v>
      </c>
      <c r="P1717" s="54" t="n">
        <f aca="false">IF(AND(E1717&gt;=14400,K1717&gt;0,L1717&gt;0),1,0)</f>
        <v>1</v>
      </c>
      <c r="Q1717" s="53" t="n">
        <f aca="false">IF(P1717=1,F1717/E1717*MIN(L1717/K1717,1)*MIN(MAX(M1717/L1717,0),1),0)</f>
        <v>0.374422304104435</v>
      </c>
      <c r="R1717" s="55" t="n">
        <f aca="false">IF(F1717&gt;0,N1717/(F1717/3600),0)</f>
        <v>3.47143731333074</v>
      </c>
    </row>
    <row r="1718" customFormat="false" ht="15" hidden="false" customHeight="false" outlineLevel="0" collapsed="false">
      <c r="A1718" s="0" t="s">
        <v>261</v>
      </c>
      <c r="B1718" s="52" t="n">
        <v>44369</v>
      </c>
      <c r="C1718" s="0" t="n">
        <v>87621.709</v>
      </c>
      <c r="D1718" s="0" t="n">
        <v>13294.874</v>
      </c>
      <c r="E1718" s="0" t="n">
        <v>74326.835</v>
      </c>
      <c r="F1718" s="0" t="n">
        <v>46824.3</v>
      </c>
      <c r="G1718" s="0" t="n">
        <v>29732.453</v>
      </c>
      <c r="H1718" s="0" t="n">
        <v>17091.847</v>
      </c>
      <c r="I1718" s="0" t="n">
        <v>5086.332</v>
      </c>
      <c r="J1718" s="0" t="n">
        <v>22416.203</v>
      </c>
      <c r="K1718" s="0" t="n">
        <v>77429.193915</v>
      </c>
      <c r="L1718" s="0" t="n">
        <v>49391</v>
      </c>
      <c r="M1718" s="0" t="n">
        <v>48752</v>
      </c>
      <c r="N1718" s="0" t="n">
        <v>58</v>
      </c>
      <c r="O1718" s="54" t="n">
        <f aca="false">YEAR(B1718)</f>
        <v>2021</v>
      </c>
      <c r="P1718" s="54" t="n">
        <f aca="false">IF(AND(E1718&gt;=14400,K1718&gt;0,L1718&gt;0),1,0)</f>
        <v>1</v>
      </c>
      <c r="Q1718" s="53" t="n">
        <f aca="false">IF(P1718=1,F1718/E1718*MIN(L1718/K1718,1)*MIN(MAX(M1718/L1718,0),1),0)</f>
        <v>0.396655383023718</v>
      </c>
      <c r="R1718" s="55" t="n">
        <f aca="false">IF(F1718&gt;0,N1718/(F1718/3600),0)</f>
        <v>4.45922309570031</v>
      </c>
    </row>
    <row r="1719" customFormat="false" ht="15" hidden="false" customHeight="false" outlineLevel="0" collapsed="false">
      <c r="A1719" s="0" t="s">
        <v>261</v>
      </c>
      <c r="B1719" s="52" t="n">
        <v>44370</v>
      </c>
      <c r="C1719" s="0" t="n">
        <v>92939.873</v>
      </c>
      <c r="D1719" s="0" t="n">
        <v>26021.774</v>
      </c>
      <c r="E1719" s="0" t="n">
        <v>66918.099</v>
      </c>
      <c r="F1719" s="0" t="n">
        <v>52985.438</v>
      </c>
      <c r="G1719" s="0" t="n">
        <v>41302.337</v>
      </c>
      <c r="H1719" s="0" t="n">
        <v>11683.101</v>
      </c>
      <c r="I1719" s="0" t="n">
        <v>1844.895</v>
      </c>
      <c r="J1719" s="0" t="n">
        <v>12087.766</v>
      </c>
      <c r="K1719" s="0" t="n">
        <v>83124.1005138889</v>
      </c>
      <c r="L1719" s="0" t="n">
        <v>64736</v>
      </c>
      <c r="M1719" s="0" t="n">
        <v>64458</v>
      </c>
      <c r="N1719" s="0" t="n">
        <v>15</v>
      </c>
      <c r="O1719" s="54" t="n">
        <f aca="false">YEAR(B1719)</f>
        <v>2021</v>
      </c>
      <c r="P1719" s="54" t="n">
        <f aca="false">IF(AND(E1719&gt;=14400,K1719&gt;0,L1719&gt;0),1,0)</f>
        <v>1</v>
      </c>
      <c r="Q1719" s="53" t="n">
        <f aca="false">IF(P1719=1,F1719/E1719*MIN(L1719/K1719,1)*MIN(MAX(M1719/L1719,0),1),0)</f>
        <v>0.613992124970461</v>
      </c>
      <c r="R1719" s="55" t="n">
        <f aca="false">IF(F1719&gt;0,N1719/(F1719/3600),0)</f>
        <v>1.01914794023218</v>
      </c>
    </row>
    <row r="1720" customFormat="false" ht="15" hidden="false" customHeight="false" outlineLevel="0" collapsed="false">
      <c r="A1720" s="0" t="s">
        <v>261</v>
      </c>
      <c r="B1720" s="52" t="n">
        <v>44371</v>
      </c>
      <c r="C1720" s="0" t="n">
        <v>69804.274</v>
      </c>
      <c r="D1720" s="0" t="n">
        <v>7834.11</v>
      </c>
      <c r="E1720" s="0" t="n">
        <v>61970.164</v>
      </c>
      <c r="F1720" s="0" t="n">
        <v>45953.323</v>
      </c>
      <c r="G1720" s="0" t="n">
        <v>36836.903</v>
      </c>
      <c r="H1720" s="0" t="n">
        <v>9116.42</v>
      </c>
      <c r="I1720" s="0" t="n">
        <v>1854.439</v>
      </c>
      <c r="J1720" s="0" t="n">
        <v>14162.402</v>
      </c>
      <c r="K1720" s="0" t="n">
        <v>72218.003345</v>
      </c>
      <c r="L1720" s="0" t="n">
        <v>57697</v>
      </c>
      <c r="M1720" s="0" t="n">
        <v>57434</v>
      </c>
      <c r="N1720" s="0" t="n">
        <v>28</v>
      </c>
      <c r="O1720" s="54" t="n">
        <f aca="false">YEAR(B1720)</f>
        <v>2021</v>
      </c>
      <c r="P1720" s="54" t="n">
        <f aca="false">IF(AND(E1720&gt;=14400,K1720&gt;0,L1720&gt;0),1,0)</f>
        <v>1</v>
      </c>
      <c r="Q1720" s="53" t="n">
        <f aca="false">IF(P1720=1,F1720/E1720*MIN(L1720/K1720,1)*MIN(MAX(M1720/L1720,0),1),0)</f>
        <v>0.589736303239418</v>
      </c>
      <c r="R1720" s="55" t="n">
        <f aca="false">IF(F1720&gt;0,N1720/(F1720/3600),0)</f>
        <v>2.19353016102883</v>
      </c>
    </row>
    <row r="1721" customFormat="false" ht="15" hidden="false" customHeight="false" outlineLevel="0" collapsed="false">
      <c r="A1721" s="0" t="s">
        <v>261</v>
      </c>
      <c r="B1721" s="52" t="n">
        <v>44372</v>
      </c>
      <c r="C1721" s="0" t="n">
        <v>90426.255</v>
      </c>
      <c r="D1721" s="0" t="n">
        <v>19276.482</v>
      </c>
      <c r="E1721" s="0" t="n">
        <v>71149.773</v>
      </c>
      <c r="F1721" s="0" t="n">
        <v>51582.405</v>
      </c>
      <c r="G1721" s="0" t="n">
        <v>31581.003</v>
      </c>
      <c r="H1721" s="0" t="n">
        <v>20001.402</v>
      </c>
      <c r="I1721" s="0" t="n">
        <v>3874.261</v>
      </c>
      <c r="J1721" s="0" t="n">
        <v>15693.107</v>
      </c>
      <c r="K1721" s="0" t="n">
        <v>87419.6845288889</v>
      </c>
      <c r="L1721" s="0" t="n">
        <v>53624</v>
      </c>
      <c r="M1721" s="0" t="n">
        <v>53102</v>
      </c>
      <c r="N1721" s="0" t="n">
        <v>55</v>
      </c>
      <c r="O1721" s="54" t="n">
        <f aca="false">YEAR(B1721)</f>
        <v>2021</v>
      </c>
      <c r="P1721" s="54" t="n">
        <f aca="false">IF(AND(E1721&gt;=14400,K1721&gt;0,L1721&gt;0),1,0)</f>
        <v>1</v>
      </c>
      <c r="Q1721" s="53" t="n">
        <f aca="false">IF(P1721=1,F1721/E1721*MIN(L1721/K1721,1)*MIN(MAX(M1721/L1721,0),1),0)</f>
        <v>0.440382154291375</v>
      </c>
      <c r="R1721" s="55" t="n">
        <f aca="false">IF(F1721&gt;0,N1721/(F1721/3600),0)</f>
        <v>3.83851819239526</v>
      </c>
    </row>
    <row r="1722" customFormat="false" ht="15" hidden="false" customHeight="false" outlineLevel="0" collapsed="false">
      <c r="A1722" s="0" t="s">
        <v>261</v>
      </c>
      <c r="B1722" s="52" t="n">
        <v>44373</v>
      </c>
      <c r="C1722" s="0" t="n">
        <v>104749.811</v>
      </c>
      <c r="D1722" s="0" t="n">
        <v>5946.751</v>
      </c>
      <c r="E1722" s="0" t="n">
        <v>98803.06</v>
      </c>
      <c r="F1722" s="0" t="n">
        <v>45682.612</v>
      </c>
      <c r="G1722" s="0" t="n">
        <v>19877.231</v>
      </c>
      <c r="H1722" s="0" t="n">
        <v>25805.381</v>
      </c>
      <c r="I1722" s="0" t="n">
        <v>2036.986</v>
      </c>
      <c r="J1722" s="0" t="n">
        <v>51083.462</v>
      </c>
      <c r="K1722" s="0" t="n">
        <v>71957.1538038889</v>
      </c>
      <c r="L1722" s="0" t="n">
        <v>31831</v>
      </c>
      <c r="M1722" s="0" t="n">
        <v>31383</v>
      </c>
      <c r="N1722" s="0" t="n">
        <v>35</v>
      </c>
      <c r="O1722" s="54" t="n">
        <f aca="false">YEAR(B1722)</f>
        <v>2021</v>
      </c>
      <c r="P1722" s="54" t="n">
        <f aca="false">IF(AND(E1722&gt;=14400,K1722&gt;0,L1722&gt;0),1,0)</f>
        <v>1</v>
      </c>
      <c r="Q1722" s="53" t="n">
        <f aca="false">IF(P1722=1,F1722/E1722*MIN(L1722/K1722,1)*MIN(MAX(M1722/L1722,0),1),0)</f>
        <v>0.201651293595292</v>
      </c>
      <c r="R1722" s="55" t="n">
        <f aca="false">IF(F1722&gt;0,N1722/(F1722/3600),0)</f>
        <v>2.75816102634412</v>
      </c>
    </row>
    <row r="1723" customFormat="false" ht="15" hidden="false" customHeight="false" outlineLevel="0" collapsed="false">
      <c r="A1723" s="0" t="s">
        <v>261</v>
      </c>
      <c r="B1723" s="52" t="n">
        <v>44374</v>
      </c>
      <c r="C1723" s="0" t="n">
        <v>900</v>
      </c>
      <c r="D1723" s="0" t="n">
        <v>900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  <c r="O1723" s="54" t="n">
        <f aca="false">YEAR(B1723)</f>
        <v>2021</v>
      </c>
      <c r="P1723" s="54" t="n">
        <f aca="false">IF(AND(E1723&gt;=14400,K1723&gt;0,L1723&gt;0),1,0)</f>
        <v>0</v>
      </c>
      <c r="Q1723" s="53" t="n">
        <f aca="false">IF(P1723=1,F1723/E1723*MIN(L1723/K1723,1)*MIN(MAX(M1723/L1723,0),1),0)</f>
        <v>0</v>
      </c>
      <c r="R1723" s="55" t="n">
        <f aca="false">IF(F1723&gt;0,N1723/(F1723/3600),0)</f>
        <v>0</v>
      </c>
    </row>
    <row r="1724" customFormat="false" ht="15" hidden="false" customHeight="false" outlineLevel="0" collapsed="false">
      <c r="A1724" s="0" t="s">
        <v>261</v>
      </c>
      <c r="B1724" s="52" t="n">
        <v>44375</v>
      </c>
      <c r="C1724" s="0" t="n">
        <v>61749.775</v>
      </c>
      <c r="D1724" s="0" t="n">
        <v>4701.099</v>
      </c>
      <c r="E1724" s="0" t="n">
        <v>57048.676</v>
      </c>
      <c r="F1724" s="0" t="n">
        <v>48148.543</v>
      </c>
      <c r="G1724" s="0" t="n">
        <v>25978.178</v>
      </c>
      <c r="H1724" s="0" t="n">
        <v>22170.365</v>
      </c>
      <c r="I1724" s="0" t="n">
        <v>2683.253</v>
      </c>
      <c r="J1724" s="0" t="n">
        <v>6216.88</v>
      </c>
      <c r="K1724" s="0" t="n">
        <v>75592.879085</v>
      </c>
      <c r="L1724" s="0" t="n">
        <v>40513</v>
      </c>
      <c r="M1724" s="0" t="n">
        <v>40142</v>
      </c>
      <c r="N1724" s="0" t="n">
        <v>58</v>
      </c>
      <c r="O1724" s="54" t="n">
        <f aca="false">YEAR(B1724)</f>
        <v>2021</v>
      </c>
      <c r="P1724" s="54" t="n">
        <f aca="false">IF(AND(E1724&gt;=14400,K1724&gt;0,L1724&gt;0),1,0)</f>
        <v>1</v>
      </c>
      <c r="Q1724" s="53" t="n">
        <f aca="false">IF(P1724=1,F1724/E1724*MIN(L1724/K1724,1)*MIN(MAX(M1724/L1724,0),1),0)</f>
        <v>0.448183331059719</v>
      </c>
      <c r="R1724" s="55" t="n">
        <f aca="false">IF(F1724&gt;0,N1724/(F1724/3600),0)</f>
        <v>4.33657982132502</v>
      </c>
    </row>
    <row r="1725" customFormat="false" ht="15" hidden="false" customHeight="false" outlineLevel="0" collapsed="false">
      <c r="A1725" s="0" t="s">
        <v>261</v>
      </c>
      <c r="B1725" s="52" t="n">
        <v>44376</v>
      </c>
      <c r="C1725" s="0" t="n">
        <v>98597.026</v>
      </c>
      <c r="D1725" s="0" t="n">
        <v>38960.512</v>
      </c>
      <c r="E1725" s="0" t="n">
        <v>59636.514</v>
      </c>
      <c r="F1725" s="0" t="n">
        <v>49152.943</v>
      </c>
      <c r="G1725" s="0" t="n">
        <v>36439.261</v>
      </c>
      <c r="H1725" s="0" t="n">
        <v>12713.682</v>
      </c>
      <c r="I1725" s="0" t="n">
        <v>4359.229</v>
      </c>
      <c r="J1725" s="0" t="n">
        <v>6124.342</v>
      </c>
      <c r="K1725" s="0" t="n">
        <v>77762.462025</v>
      </c>
      <c r="L1725" s="0" t="n">
        <v>57386</v>
      </c>
      <c r="M1725" s="0" t="n">
        <v>57131</v>
      </c>
      <c r="N1725" s="0" t="n">
        <v>81</v>
      </c>
      <c r="O1725" s="54" t="n">
        <f aca="false">YEAR(B1725)</f>
        <v>2021</v>
      </c>
      <c r="P1725" s="54" t="n">
        <f aca="false">IF(AND(E1725&gt;=14400,K1725&gt;0,L1725&gt;0),1,0)</f>
        <v>1</v>
      </c>
      <c r="Q1725" s="53" t="n">
        <f aca="false">IF(P1725=1,F1725/E1725*MIN(L1725/K1725,1)*MIN(MAX(M1725/L1725,0),1),0)</f>
        <v>0.605534790762922</v>
      </c>
      <c r="R1725" s="55" t="n">
        <f aca="false">IF(F1725&gt;0,N1725/(F1725/3600),0)</f>
        <v>5.93250337014408</v>
      </c>
    </row>
    <row r="1726" customFormat="false" ht="15" hidden="false" customHeight="false" outlineLevel="0" collapsed="false">
      <c r="A1726" s="0" t="s">
        <v>261</v>
      </c>
      <c r="B1726" s="52" t="n">
        <v>44377</v>
      </c>
      <c r="C1726" s="0" t="n">
        <v>74086.551</v>
      </c>
      <c r="D1726" s="0" t="n">
        <v>9993.558</v>
      </c>
      <c r="E1726" s="0" t="n">
        <v>64092.993</v>
      </c>
      <c r="F1726" s="0" t="n">
        <v>53499.446</v>
      </c>
      <c r="G1726" s="0" t="n">
        <v>36154.104</v>
      </c>
      <c r="H1726" s="0" t="n">
        <v>17345.342</v>
      </c>
      <c r="I1726" s="0" t="n">
        <v>1919.673</v>
      </c>
      <c r="J1726" s="0" t="n">
        <v>8673.874</v>
      </c>
      <c r="K1726" s="0" t="n">
        <v>85908.0631238889</v>
      </c>
      <c r="L1726" s="0" t="n">
        <v>58134</v>
      </c>
      <c r="M1726" s="0" t="n">
        <v>57754</v>
      </c>
      <c r="N1726" s="0" t="n">
        <v>34</v>
      </c>
      <c r="O1726" s="54" t="n">
        <f aca="false">YEAR(B1726)</f>
        <v>2021</v>
      </c>
      <c r="P1726" s="54" t="n">
        <f aca="false">IF(AND(E1726&gt;=14400,K1726&gt;0,L1726&gt;0),1,0)</f>
        <v>1</v>
      </c>
      <c r="Q1726" s="53" t="n">
        <f aca="false">IF(P1726=1,F1726/E1726*MIN(L1726/K1726,1)*MIN(MAX(M1726/L1726,0),1),0)</f>
        <v>0.56116021523116</v>
      </c>
      <c r="R1726" s="55" t="n">
        <f aca="false">IF(F1726&gt;0,N1726/(F1726/3600),0)</f>
        <v>2.28787415854736</v>
      </c>
    </row>
    <row r="1727" customFormat="false" ht="15" hidden="false" customHeight="false" outlineLevel="0" collapsed="false">
      <c r="A1727" s="0" t="s">
        <v>261</v>
      </c>
      <c r="B1727" s="52" t="n">
        <v>44378</v>
      </c>
      <c r="C1727" s="0" t="n">
        <v>78031.003</v>
      </c>
      <c r="D1727" s="0" t="n">
        <v>2029.382</v>
      </c>
      <c r="E1727" s="0" t="n">
        <v>76001.621</v>
      </c>
      <c r="F1727" s="0" t="n">
        <v>46349.996</v>
      </c>
      <c r="G1727" s="0" t="n">
        <v>13911.705</v>
      </c>
      <c r="H1727" s="0" t="n">
        <v>32438.291</v>
      </c>
      <c r="I1727" s="0" t="n">
        <v>5403.152</v>
      </c>
      <c r="J1727" s="0" t="n">
        <v>24248.473</v>
      </c>
      <c r="K1727" s="0" t="n">
        <v>70378.8685786111</v>
      </c>
      <c r="L1727" s="0" t="n">
        <v>21023</v>
      </c>
      <c r="M1727" s="0" t="n">
        <v>19988</v>
      </c>
      <c r="N1727" s="0" t="n">
        <v>74</v>
      </c>
      <c r="O1727" s="54" t="n">
        <f aca="false">YEAR(B1727)</f>
        <v>2021</v>
      </c>
      <c r="P1727" s="54" t="n">
        <f aca="false">IF(AND(E1727&gt;=14400,K1727&gt;0,L1727&gt;0),1,0)</f>
        <v>1</v>
      </c>
      <c r="Q1727" s="53" t="n">
        <f aca="false">IF(P1727=1,F1727/E1727*MIN(L1727/K1727,1)*MIN(MAX(M1727/L1727,0),1),0)</f>
        <v>0.173202400078617</v>
      </c>
      <c r="R1727" s="55" t="n">
        <f aca="false">IF(F1727&gt;0,N1727/(F1727/3600),0)</f>
        <v>5.74757331154894</v>
      </c>
    </row>
    <row r="1728" customFormat="false" ht="15" hidden="false" customHeight="false" outlineLevel="0" collapsed="false">
      <c r="A1728" s="0" t="s">
        <v>261</v>
      </c>
      <c r="B1728" s="52" t="n">
        <v>44379</v>
      </c>
      <c r="C1728" s="0" t="n">
        <v>78810.512</v>
      </c>
      <c r="D1728" s="0" t="n">
        <v>21894.918</v>
      </c>
      <c r="E1728" s="0" t="n">
        <v>56915.594</v>
      </c>
      <c r="F1728" s="0" t="n">
        <v>51200.423</v>
      </c>
      <c r="G1728" s="0" t="n">
        <v>38297.573</v>
      </c>
      <c r="H1728" s="0" t="n">
        <v>12902.85</v>
      </c>
      <c r="I1728" s="0" t="n">
        <v>2202.297</v>
      </c>
      <c r="J1728" s="0" t="n">
        <v>3512.874</v>
      </c>
      <c r="K1728" s="0" t="n">
        <v>79006.0109944444</v>
      </c>
      <c r="L1728" s="0" t="n">
        <v>59033</v>
      </c>
      <c r="M1728" s="0" t="n">
        <v>58764</v>
      </c>
      <c r="N1728" s="0" t="n">
        <v>20</v>
      </c>
      <c r="O1728" s="54" t="n">
        <f aca="false">YEAR(B1728)</f>
        <v>2021</v>
      </c>
      <c r="P1728" s="54" t="n">
        <f aca="false">IF(AND(E1728&gt;=14400,K1728&gt;0,L1728&gt;0),1,0)</f>
        <v>1</v>
      </c>
      <c r="Q1728" s="53" t="n">
        <f aca="false">IF(P1728=1,F1728/E1728*MIN(L1728/K1728,1)*MIN(MAX(M1728/L1728,0),1),0)</f>
        <v>0.669103792458306</v>
      </c>
      <c r="R1728" s="55" t="n">
        <f aca="false">IF(F1728&gt;0,N1728/(F1728/3600),0)</f>
        <v>1.40623838205399</v>
      </c>
    </row>
    <row r="1729" customFormat="false" ht="15" hidden="false" customHeight="false" outlineLevel="0" collapsed="false">
      <c r="A1729" s="0" t="s">
        <v>261</v>
      </c>
      <c r="B1729" s="52" t="n">
        <v>44380</v>
      </c>
      <c r="C1729" s="0" t="n">
        <v>81042.754</v>
      </c>
      <c r="D1729" s="0" t="n">
        <v>12280.11</v>
      </c>
      <c r="E1729" s="0" t="n">
        <v>68762.644</v>
      </c>
      <c r="F1729" s="0" t="n">
        <v>50806.842</v>
      </c>
      <c r="G1729" s="0" t="n">
        <v>35518.698</v>
      </c>
      <c r="H1729" s="0" t="n">
        <v>15288.144</v>
      </c>
      <c r="I1729" s="0" t="n">
        <v>2991.174</v>
      </c>
      <c r="J1729" s="0" t="n">
        <v>14964.628</v>
      </c>
      <c r="K1729" s="0" t="n">
        <v>80543.4452044445</v>
      </c>
      <c r="L1729" s="0" t="n">
        <v>56030</v>
      </c>
      <c r="M1729" s="0" t="n">
        <v>55628</v>
      </c>
      <c r="N1729" s="0" t="n">
        <v>76</v>
      </c>
      <c r="O1729" s="54" t="n">
        <f aca="false">YEAR(B1729)</f>
        <v>2021</v>
      </c>
      <c r="P1729" s="54" t="n">
        <f aca="false">IF(AND(E1729&gt;=14400,K1729&gt;0,L1729&gt;0),1,0)</f>
        <v>1</v>
      </c>
      <c r="Q1729" s="53" t="n">
        <f aca="false">IF(P1729=1,F1729/E1729*MIN(L1729/K1729,1)*MIN(MAX(M1729/L1729,0),1),0)</f>
        <v>0.510308588367807</v>
      </c>
      <c r="R1729" s="55" t="n">
        <f aca="false">IF(F1729&gt;0,N1729/(F1729/3600),0)</f>
        <v>5.38510147904883</v>
      </c>
    </row>
    <row r="1730" customFormat="false" ht="15" hidden="false" customHeight="false" outlineLevel="0" collapsed="false">
      <c r="A1730" s="0" t="s">
        <v>261</v>
      </c>
      <c r="B1730" s="52" t="n">
        <v>44381</v>
      </c>
      <c r="C1730" s="0" t="n">
        <v>47398.991</v>
      </c>
      <c r="D1730" s="0" t="n">
        <v>10760.023</v>
      </c>
      <c r="E1730" s="0" t="n">
        <v>36638.968</v>
      </c>
      <c r="F1730" s="0" t="n">
        <v>324.63</v>
      </c>
      <c r="G1730" s="0" t="n">
        <v>0</v>
      </c>
      <c r="H1730" s="0" t="n">
        <v>324.63</v>
      </c>
      <c r="I1730" s="0" t="n">
        <v>0</v>
      </c>
      <c r="J1730" s="0" t="n">
        <v>36314.338</v>
      </c>
      <c r="K1730" s="0" t="n">
        <v>501.288022222222</v>
      </c>
      <c r="L1730" s="0" t="n">
        <v>0</v>
      </c>
      <c r="M1730" s="0" t="n">
        <v>0</v>
      </c>
      <c r="N1730" s="0" t="n">
        <v>0</v>
      </c>
      <c r="O1730" s="54" t="n">
        <f aca="false">YEAR(B1730)</f>
        <v>2021</v>
      </c>
      <c r="P1730" s="54" t="n">
        <f aca="false">IF(AND(E1730&gt;=14400,K1730&gt;0,L1730&gt;0),1,0)</f>
        <v>0</v>
      </c>
      <c r="Q1730" s="53" t="n">
        <f aca="false">IF(P1730=1,F1730/E1730*MIN(L1730/K1730,1)*MIN(MAX(M1730/L1730,0),1),0)</f>
        <v>0</v>
      </c>
      <c r="R1730" s="55" t="n">
        <f aca="false">IF(F1730&gt;0,N1730/(F1730/3600),0)</f>
        <v>0</v>
      </c>
    </row>
    <row r="1731" customFormat="false" ht="15" hidden="false" customHeight="false" outlineLevel="0" collapsed="false">
      <c r="A1731" s="0" t="s">
        <v>261</v>
      </c>
      <c r="B1731" s="52" t="n">
        <v>44382</v>
      </c>
      <c r="C1731" s="0" t="n">
        <v>77728.101</v>
      </c>
      <c r="D1731" s="0" t="n">
        <v>19251.07</v>
      </c>
      <c r="E1731" s="0" t="n">
        <v>58477.031</v>
      </c>
      <c r="F1731" s="0" t="n">
        <v>49621.186</v>
      </c>
      <c r="G1731" s="0" t="n">
        <v>31871.505</v>
      </c>
      <c r="H1731" s="0" t="n">
        <v>17749.681</v>
      </c>
      <c r="I1731" s="0" t="n">
        <v>3416.653</v>
      </c>
      <c r="J1731" s="0" t="n">
        <v>5439.192</v>
      </c>
      <c r="K1731" s="0" t="n">
        <v>83747.2569394444</v>
      </c>
      <c r="L1731" s="0" t="n">
        <v>53752</v>
      </c>
      <c r="M1731" s="0" t="n">
        <v>53364</v>
      </c>
      <c r="N1731" s="0" t="n">
        <v>60</v>
      </c>
      <c r="O1731" s="54" t="n">
        <f aca="false">YEAR(B1731)</f>
        <v>2021</v>
      </c>
      <c r="P1731" s="54" t="n">
        <f aca="false">IF(AND(E1731&gt;=14400,K1731&gt;0,L1731&gt;0),1,0)</f>
        <v>1</v>
      </c>
      <c r="Q1731" s="53" t="n">
        <f aca="false">IF(P1731=1,F1731/E1731*MIN(L1731/K1731,1)*MIN(MAX(M1731/L1731,0),1),0)</f>
        <v>0.540704034543005</v>
      </c>
      <c r="R1731" s="55" t="n">
        <f aca="false">IF(F1731&gt;0,N1731/(F1731/3600),0)</f>
        <v>4.35297939069816</v>
      </c>
    </row>
    <row r="1732" customFormat="false" ht="15" hidden="false" customHeight="false" outlineLevel="0" collapsed="false">
      <c r="A1732" s="0" t="s">
        <v>261</v>
      </c>
      <c r="B1732" s="52" t="n">
        <v>44383</v>
      </c>
      <c r="C1732" s="0" t="n">
        <v>62921.002</v>
      </c>
      <c r="D1732" s="0" t="n">
        <v>1421.628</v>
      </c>
      <c r="E1732" s="0" t="n">
        <v>61499.374</v>
      </c>
      <c r="F1732" s="0" t="n">
        <v>52123.974</v>
      </c>
      <c r="G1732" s="0" t="n">
        <v>40541.733</v>
      </c>
      <c r="H1732" s="0" t="n">
        <v>11582.241</v>
      </c>
      <c r="I1732" s="0" t="n">
        <v>8386.975</v>
      </c>
      <c r="J1732" s="0" t="n">
        <v>988.425</v>
      </c>
      <c r="K1732" s="0" t="n">
        <v>82389.37998</v>
      </c>
      <c r="L1732" s="0" t="n">
        <v>63842</v>
      </c>
      <c r="M1732" s="0" t="n">
        <v>63574</v>
      </c>
      <c r="N1732" s="0" t="n">
        <v>54</v>
      </c>
      <c r="O1732" s="54" t="n">
        <f aca="false">YEAR(B1732)</f>
        <v>2021</v>
      </c>
      <c r="P1732" s="54" t="n">
        <f aca="false">IF(AND(E1732&gt;=14400,K1732&gt;0,L1732&gt;0),1,0)</f>
        <v>1</v>
      </c>
      <c r="Q1732" s="53" t="n">
        <f aca="false">IF(P1732=1,F1732/E1732*MIN(L1732/K1732,1)*MIN(MAX(M1732/L1732,0),1),0)</f>
        <v>0.653996053094311</v>
      </c>
      <c r="R1732" s="55" t="n">
        <f aca="false">IF(F1732&gt;0,N1732/(F1732/3600),0)</f>
        <v>3.72956981369072</v>
      </c>
    </row>
    <row r="1733" customFormat="false" ht="15" hidden="false" customHeight="false" outlineLevel="0" collapsed="false">
      <c r="A1733" s="0" t="s">
        <v>261</v>
      </c>
      <c r="B1733" s="52" t="n">
        <v>44384</v>
      </c>
      <c r="C1733" s="0" t="n">
        <v>80126.91</v>
      </c>
      <c r="D1733" s="0" t="n">
        <v>16602.959</v>
      </c>
      <c r="E1733" s="0" t="n">
        <v>63523.951</v>
      </c>
      <c r="F1733" s="0" t="n">
        <v>45979.942</v>
      </c>
      <c r="G1733" s="0" t="n">
        <v>34127.625</v>
      </c>
      <c r="H1733" s="0" t="n">
        <v>11852.317</v>
      </c>
      <c r="I1733" s="0" t="n">
        <v>889.885</v>
      </c>
      <c r="J1733" s="0" t="n">
        <v>16654.124</v>
      </c>
      <c r="K1733" s="0" t="n">
        <v>78253.1914977778</v>
      </c>
      <c r="L1733" s="0" t="n">
        <v>55272</v>
      </c>
      <c r="M1733" s="0" t="n">
        <v>55002</v>
      </c>
      <c r="N1733" s="0" t="n">
        <v>16</v>
      </c>
      <c r="O1733" s="54" t="n">
        <f aca="false">YEAR(B1733)</f>
        <v>2021</v>
      </c>
      <c r="P1733" s="54" t="n">
        <f aca="false">IF(AND(E1733&gt;=14400,K1733&gt;0,L1733&gt;0),1,0)</f>
        <v>1</v>
      </c>
      <c r="Q1733" s="53" t="n">
        <f aca="false">IF(P1733=1,F1733/E1733*MIN(L1733/K1733,1)*MIN(MAX(M1733/L1733,0),1),0)</f>
        <v>0.508753417773899</v>
      </c>
      <c r="R1733" s="55" t="n">
        <f aca="false">IF(F1733&gt;0,N1733/(F1733/3600),0)</f>
        <v>1.2527201534965</v>
      </c>
    </row>
    <row r="1734" customFormat="false" ht="15" hidden="false" customHeight="false" outlineLevel="0" collapsed="false">
      <c r="A1734" s="0" t="s">
        <v>261</v>
      </c>
      <c r="B1734" s="52" t="n">
        <v>44385</v>
      </c>
      <c r="C1734" s="0" t="n">
        <v>99739.427</v>
      </c>
      <c r="D1734" s="0" t="n">
        <v>36705.727</v>
      </c>
      <c r="E1734" s="0" t="n">
        <v>63033.7</v>
      </c>
      <c r="F1734" s="0" t="n">
        <v>46971.566</v>
      </c>
      <c r="G1734" s="0" t="n">
        <v>24178.39</v>
      </c>
      <c r="H1734" s="0" t="n">
        <v>22793.176</v>
      </c>
      <c r="I1734" s="0" t="n">
        <v>1713.443</v>
      </c>
      <c r="J1734" s="0" t="n">
        <v>14348.691</v>
      </c>
      <c r="K1734" s="0" t="n">
        <v>70417.4930605556</v>
      </c>
      <c r="L1734" s="0" t="n">
        <v>35181</v>
      </c>
      <c r="M1734" s="0" t="n">
        <v>34768</v>
      </c>
      <c r="N1734" s="0" t="n">
        <v>21</v>
      </c>
      <c r="O1734" s="54" t="n">
        <f aca="false">YEAR(B1734)</f>
        <v>2021</v>
      </c>
      <c r="P1734" s="54" t="n">
        <f aca="false">IF(AND(E1734&gt;=14400,K1734&gt;0,L1734&gt;0),1,0)</f>
        <v>1</v>
      </c>
      <c r="Q1734" s="53" t="n">
        <f aca="false">IF(P1734=1,F1734/E1734*MIN(L1734/K1734,1)*MIN(MAX(M1734/L1734,0),1),0)</f>
        <v>0.367926770488903</v>
      </c>
      <c r="R1734" s="55" t="n">
        <f aca="false">IF(F1734&gt;0,N1734/(F1734/3600),0)</f>
        <v>1.60948434208048</v>
      </c>
    </row>
    <row r="1735" customFormat="false" ht="15" hidden="false" customHeight="false" outlineLevel="0" collapsed="false">
      <c r="A1735" s="0" t="s">
        <v>261</v>
      </c>
      <c r="B1735" s="52" t="n">
        <v>44386</v>
      </c>
      <c r="C1735" s="0" t="n">
        <v>86330.181</v>
      </c>
      <c r="D1735" s="0" t="n">
        <v>27312.092</v>
      </c>
      <c r="E1735" s="0" t="n">
        <v>59018.089</v>
      </c>
      <c r="F1735" s="0" t="n">
        <v>50038.6</v>
      </c>
      <c r="G1735" s="0" t="n">
        <v>26593.374</v>
      </c>
      <c r="H1735" s="0" t="n">
        <v>23445.226</v>
      </c>
      <c r="I1735" s="0" t="n">
        <v>5898.021</v>
      </c>
      <c r="J1735" s="0" t="n">
        <v>3081.468</v>
      </c>
      <c r="K1735" s="0" t="n">
        <v>80013.3433691667</v>
      </c>
      <c r="L1735" s="0" t="n">
        <v>42224</v>
      </c>
      <c r="M1735" s="0" t="n">
        <v>41599</v>
      </c>
      <c r="N1735" s="0" t="n">
        <v>76</v>
      </c>
      <c r="O1735" s="54" t="n">
        <f aca="false">YEAR(B1735)</f>
        <v>2021</v>
      </c>
      <c r="P1735" s="54" t="n">
        <f aca="false">IF(AND(E1735&gt;=14400,K1735&gt;0,L1735&gt;0),1,0)</f>
        <v>1</v>
      </c>
      <c r="Q1735" s="53" t="n">
        <f aca="false">IF(P1735=1,F1735/E1735*MIN(L1735/K1735,1)*MIN(MAX(M1735/L1735,0),1),0)</f>
        <v>0.440798877827528</v>
      </c>
      <c r="R1735" s="55" t="n">
        <f aca="false">IF(F1735&gt;0,N1735/(F1735/3600),0)</f>
        <v>5.46777887470873</v>
      </c>
    </row>
    <row r="1736" customFormat="false" ht="15" hidden="false" customHeight="false" outlineLevel="0" collapsed="false">
      <c r="A1736" s="0" t="s">
        <v>261</v>
      </c>
      <c r="B1736" s="52" t="n">
        <v>44387</v>
      </c>
      <c r="C1736" s="0" t="n">
        <v>60079.513</v>
      </c>
      <c r="D1736" s="0" t="n">
        <v>1394.919</v>
      </c>
      <c r="E1736" s="0" t="n">
        <v>58684.594</v>
      </c>
      <c r="F1736" s="0" t="n">
        <v>45821.108</v>
      </c>
      <c r="G1736" s="0" t="n">
        <v>28219.92</v>
      </c>
      <c r="H1736" s="0" t="n">
        <v>17601.188</v>
      </c>
      <c r="I1736" s="0" t="n">
        <v>4042.837</v>
      </c>
      <c r="J1736" s="0" t="n">
        <v>8820.649</v>
      </c>
      <c r="K1736" s="0" t="n">
        <v>75453.9558155556</v>
      </c>
      <c r="L1736" s="0" t="n">
        <v>45349</v>
      </c>
      <c r="M1736" s="0" t="n">
        <v>44902</v>
      </c>
      <c r="N1736" s="0" t="n">
        <v>63</v>
      </c>
      <c r="O1736" s="54" t="n">
        <f aca="false">YEAR(B1736)</f>
        <v>2021</v>
      </c>
      <c r="P1736" s="54" t="n">
        <f aca="false">IF(AND(E1736&gt;=14400,K1736&gt;0,L1736&gt;0),1,0)</f>
        <v>1</v>
      </c>
      <c r="Q1736" s="53" t="n">
        <f aca="false">IF(P1736=1,F1736/E1736*MIN(L1736/K1736,1)*MIN(MAX(M1736/L1736,0),1),0)</f>
        <v>0.464649157949585</v>
      </c>
      <c r="R1736" s="55" t="n">
        <f aca="false">IF(F1736&gt;0,N1736/(F1736/3600),0)</f>
        <v>4.94968388804566</v>
      </c>
    </row>
    <row r="1737" customFormat="false" ht="15" hidden="false" customHeight="false" outlineLevel="0" collapsed="false">
      <c r="A1737" s="0" t="s">
        <v>261</v>
      </c>
      <c r="B1737" s="52" t="n">
        <v>44388</v>
      </c>
      <c r="C1737" s="0" t="n">
        <v>900</v>
      </c>
      <c r="D1737" s="0" t="n">
        <v>0</v>
      </c>
      <c r="E1737" s="0" t="n">
        <v>900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n">
        <v>900</v>
      </c>
      <c r="K1737" s="0" t="n">
        <v>0</v>
      </c>
      <c r="L1737" s="0" t="n">
        <v>0</v>
      </c>
      <c r="M1737" s="0" t="n">
        <v>0</v>
      </c>
      <c r="N1737" s="0" t="n">
        <v>0</v>
      </c>
      <c r="O1737" s="54" t="n">
        <f aca="false">YEAR(B1737)</f>
        <v>2021</v>
      </c>
      <c r="P1737" s="54" t="n">
        <f aca="false">IF(AND(E1737&gt;=14400,K1737&gt;0,L1737&gt;0),1,0)</f>
        <v>0</v>
      </c>
      <c r="Q1737" s="53" t="n">
        <f aca="false">IF(P1737=1,F1737/E1737*MIN(L1737/K1737,1)*MIN(MAX(M1737/L1737,0),1),0)</f>
        <v>0</v>
      </c>
      <c r="R1737" s="55" t="n">
        <f aca="false">IF(F1737&gt;0,N1737/(F1737/3600),0)</f>
        <v>0</v>
      </c>
    </row>
    <row r="1738" customFormat="false" ht="15" hidden="false" customHeight="false" outlineLevel="0" collapsed="false">
      <c r="A1738" s="0" t="s">
        <v>261</v>
      </c>
      <c r="B1738" s="52" t="n">
        <v>44389</v>
      </c>
      <c r="C1738" s="0" t="n">
        <v>64563.633</v>
      </c>
      <c r="D1738" s="0" t="n">
        <v>995.998</v>
      </c>
      <c r="E1738" s="0" t="n">
        <v>63567.635</v>
      </c>
      <c r="F1738" s="0" t="n">
        <v>52227.625</v>
      </c>
      <c r="G1738" s="0" t="n">
        <v>38484.95</v>
      </c>
      <c r="H1738" s="0" t="n">
        <v>13742.675</v>
      </c>
      <c r="I1738" s="0" t="n">
        <v>4564.532</v>
      </c>
      <c r="J1738" s="0" t="n">
        <v>6775.478</v>
      </c>
      <c r="K1738" s="0" t="n">
        <v>82072.3946394445</v>
      </c>
      <c r="L1738" s="0" t="n">
        <v>60022</v>
      </c>
      <c r="M1738" s="0" t="n">
        <v>59667</v>
      </c>
      <c r="N1738" s="0" t="n">
        <v>88</v>
      </c>
      <c r="O1738" s="54" t="n">
        <f aca="false">YEAR(B1738)</f>
        <v>2021</v>
      </c>
      <c r="P1738" s="54" t="n">
        <f aca="false">IF(AND(E1738&gt;=14400,K1738&gt;0,L1738&gt;0),1,0)</f>
        <v>1</v>
      </c>
      <c r="Q1738" s="53" t="n">
        <f aca="false">IF(P1738=1,F1738/E1738*MIN(L1738/K1738,1)*MIN(MAX(M1738/L1738,0),1),0)</f>
        <v>0.597312111010696</v>
      </c>
      <c r="R1738" s="55" t="n">
        <f aca="false">IF(F1738&gt;0,N1738/(F1738/3600),0)</f>
        <v>6.06575543115353</v>
      </c>
    </row>
    <row r="1739" customFormat="false" ht="15" hidden="false" customHeight="false" outlineLevel="0" collapsed="false">
      <c r="A1739" s="0" t="s">
        <v>261</v>
      </c>
      <c r="B1739" s="52" t="n">
        <v>44390</v>
      </c>
      <c r="C1739" s="0" t="n">
        <v>71359.702</v>
      </c>
      <c r="D1739" s="0" t="n">
        <v>13895.177</v>
      </c>
      <c r="E1739" s="0" t="n">
        <v>57464.525</v>
      </c>
      <c r="F1739" s="0" t="n">
        <v>54196.489</v>
      </c>
      <c r="G1739" s="0" t="n">
        <v>29160.216</v>
      </c>
      <c r="H1739" s="0" t="n">
        <v>25036.273</v>
      </c>
      <c r="I1739" s="0" t="n">
        <v>1981.069</v>
      </c>
      <c r="J1739" s="0" t="n">
        <v>1286.967</v>
      </c>
      <c r="K1739" s="0" t="n">
        <v>82734.525625</v>
      </c>
      <c r="L1739" s="0" t="n">
        <v>43958</v>
      </c>
      <c r="M1739" s="0" t="n">
        <v>43808</v>
      </c>
      <c r="N1739" s="0" t="n">
        <v>30</v>
      </c>
      <c r="O1739" s="54" t="n">
        <f aca="false">YEAR(B1739)</f>
        <v>2021</v>
      </c>
      <c r="P1739" s="54" t="n">
        <f aca="false">IF(AND(E1739&gt;=14400,K1739&gt;0,L1739&gt;0),1,0)</f>
        <v>1</v>
      </c>
      <c r="Q1739" s="53" t="n">
        <f aca="false">IF(P1739=1,F1739/E1739*MIN(L1739/K1739,1)*MIN(MAX(M1739/L1739,0),1),0)</f>
        <v>0.499387855661997</v>
      </c>
      <c r="R1739" s="55" t="n">
        <f aca="false">IF(F1739&gt;0,N1739/(F1739/3600),0)</f>
        <v>1.99274901368611</v>
      </c>
    </row>
    <row r="1740" customFormat="false" ht="15" hidden="false" customHeight="false" outlineLevel="0" collapsed="false">
      <c r="A1740" s="0" t="s">
        <v>261</v>
      </c>
      <c r="B1740" s="52" t="n">
        <v>44391</v>
      </c>
      <c r="C1740" s="0" t="n">
        <v>72119.043</v>
      </c>
      <c r="D1740" s="0" t="n">
        <v>10732.531</v>
      </c>
      <c r="E1740" s="0" t="n">
        <v>61386.512</v>
      </c>
      <c r="F1740" s="0" t="n">
        <v>54941.005</v>
      </c>
      <c r="G1740" s="0" t="n">
        <v>44710.323</v>
      </c>
      <c r="H1740" s="0" t="n">
        <v>10230.682</v>
      </c>
      <c r="I1740" s="0" t="n">
        <v>1636.902</v>
      </c>
      <c r="J1740" s="0" t="n">
        <v>4808.605</v>
      </c>
      <c r="K1740" s="0" t="n">
        <v>84200.5937761111</v>
      </c>
      <c r="L1740" s="0" t="n">
        <v>68472</v>
      </c>
      <c r="M1740" s="0" t="n">
        <v>68364</v>
      </c>
      <c r="N1740" s="0" t="n">
        <v>24</v>
      </c>
      <c r="O1740" s="54" t="n">
        <f aca="false">YEAR(B1740)</f>
        <v>2021</v>
      </c>
      <c r="P1740" s="54" t="n">
        <f aca="false">IF(AND(E1740&gt;=14400,K1740&gt;0,L1740&gt;0),1,0)</f>
        <v>1</v>
      </c>
      <c r="Q1740" s="53" t="n">
        <f aca="false">IF(P1740=1,F1740/E1740*MIN(L1740/K1740,1)*MIN(MAX(M1740/L1740,0),1),0)</f>
        <v>0.726667862314676</v>
      </c>
      <c r="R1740" s="55" t="n">
        <f aca="false">IF(F1740&gt;0,N1740/(F1740/3600),0)</f>
        <v>1.57259591447226</v>
      </c>
    </row>
    <row r="1741" customFormat="false" ht="15" hidden="false" customHeight="false" outlineLevel="0" collapsed="false">
      <c r="A1741" s="0" t="s">
        <v>261</v>
      </c>
      <c r="B1741" s="52" t="n">
        <v>44392</v>
      </c>
      <c r="C1741" s="0" t="n">
        <v>86098.886</v>
      </c>
      <c r="D1741" s="0" t="n">
        <v>26273.182</v>
      </c>
      <c r="E1741" s="0" t="n">
        <v>59825.704</v>
      </c>
      <c r="F1741" s="0" t="n">
        <v>52573.986</v>
      </c>
      <c r="G1741" s="0" t="n">
        <v>33017.73</v>
      </c>
      <c r="H1741" s="0" t="n">
        <v>19556.256</v>
      </c>
      <c r="I1741" s="0" t="n">
        <v>2982.384</v>
      </c>
      <c r="J1741" s="0" t="n">
        <v>4269.334</v>
      </c>
      <c r="K1741" s="0" t="n">
        <v>81034.6290361111</v>
      </c>
      <c r="L1741" s="0" t="n">
        <v>50566</v>
      </c>
      <c r="M1741" s="0" t="n">
        <v>50161</v>
      </c>
      <c r="N1741" s="0" t="n">
        <v>54</v>
      </c>
      <c r="O1741" s="54" t="n">
        <f aca="false">YEAR(B1741)</f>
        <v>2021</v>
      </c>
      <c r="P1741" s="54" t="n">
        <f aca="false">IF(AND(E1741&gt;=14400,K1741&gt;0,L1741&gt;0),1,0)</f>
        <v>1</v>
      </c>
      <c r="Q1741" s="53" t="n">
        <f aca="false">IF(P1741=1,F1741/E1741*MIN(L1741/K1741,1)*MIN(MAX(M1741/L1741,0),1),0)</f>
        <v>0.543974604207597</v>
      </c>
      <c r="R1741" s="55" t="n">
        <f aca="false">IF(F1741&gt;0,N1741/(F1741/3600),0)</f>
        <v>3.69764620852602</v>
      </c>
    </row>
    <row r="1742" customFormat="false" ht="15" hidden="false" customHeight="false" outlineLevel="0" collapsed="false">
      <c r="A1742" s="0" t="s">
        <v>261</v>
      </c>
      <c r="B1742" s="52" t="n">
        <v>44393</v>
      </c>
      <c r="C1742" s="0" t="n">
        <v>76375.353</v>
      </c>
      <c r="D1742" s="0" t="n">
        <v>13557.579</v>
      </c>
      <c r="E1742" s="0" t="n">
        <v>62817.774</v>
      </c>
      <c r="F1742" s="0" t="n">
        <v>39046.418</v>
      </c>
      <c r="G1742" s="0" t="n">
        <v>23099.375</v>
      </c>
      <c r="H1742" s="0" t="n">
        <v>15947.043</v>
      </c>
      <c r="I1742" s="0" t="n">
        <v>12160.323</v>
      </c>
      <c r="J1742" s="0" t="n">
        <v>11611.033</v>
      </c>
      <c r="K1742" s="0" t="n">
        <v>60068.97838</v>
      </c>
      <c r="L1742" s="0" t="n">
        <v>35313</v>
      </c>
      <c r="M1742" s="0" t="n">
        <v>35197</v>
      </c>
      <c r="N1742" s="0" t="n">
        <v>32</v>
      </c>
      <c r="O1742" s="54" t="n">
        <f aca="false">YEAR(B1742)</f>
        <v>2021</v>
      </c>
      <c r="P1742" s="54" t="n">
        <f aca="false">IF(AND(E1742&gt;=14400,K1742&gt;0,L1742&gt;0),1,0)</f>
        <v>1</v>
      </c>
      <c r="Q1742" s="53" t="n">
        <f aca="false">IF(P1742=1,F1742/E1742*MIN(L1742/K1742,1)*MIN(MAX(M1742/L1742,0),1),0)</f>
        <v>0.364211839040165</v>
      </c>
      <c r="R1742" s="55" t="n">
        <f aca="false">IF(F1742&gt;0,N1742/(F1742/3600),0)</f>
        <v>2.95033465041531</v>
      </c>
    </row>
    <row r="1743" customFormat="false" ht="15" hidden="false" customHeight="false" outlineLevel="0" collapsed="false">
      <c r="A1743" s="0" t="s">
        <v>261</v>
      </c>
      <c r="B1743" s="52" t="n">
        <v>44394</v>
      </c>
      <c r="C1743" s="0" t="n">
        <v>72235.46</v>
      </c>
      <c r="D1743" s="0" t="n">
        <v>11024.545</v>
      </c>
      <c r="E1743" s="0" t="n">
        <v>61210.915</v>
      </c>
      <c r="F1743" s="0" t="n">
        <v>52532.589</v>
      </c>
      <c r="G1743" s="0" t="n">
        <v>32064.058</v>
      </c>
      <c r="H1743" s="0" t="n">
        <v>20468.531</v>
      </c>
      <c r="I1743" s="0" t="n">
        <v>3066.019</v>
      </c>
      <c r="J1743" s="0" t="n">
        <v>5612.307</v>
      </c>
      <c r="K1743" s="0" t="n">
        <v>83035.2214722222</v>
      </c>
      <c r="L1743" s="0" t="n">
        <v>51053</v>
      </c>
      <c r="M1743" s="0" t="n">
        <v>50501</v>
      </c>
      <c r="N1743" s="0" t="n">
        <v>51</v>
      </c>
      <c r="O1743" s="54" t="n">
        <f aca="false">YEAR(B1743)</f>
        <v>2021</v>
      </c>
      <c r="P1743" s="54" t="n">
        <f aca="false">IF(AND(E1743&gt;=14400,K1743&gt;0,L1743&gt;0),1,0)</f>
        <v>1</v>
      </c>
      <c r="Q1743" s="53" t="n">
        <f aca="false">IF(P1743=1,F1743/E1743*MIN(L1743/K1743,1)*MIN(MAX(M1743/L1743,0),1),0)</f>
        <v>0.521960409304273</v>
      </c>
      <c r="R1743" s="55" t="n">
        <f aca="false">IF(F1743&gt;0,N1743/(F1743/3600),0)</f>
        <v>3.49497337738294</v>
      </c>
    </row>
    <row r="1744" customFormat="false" ht="15" hidden="false" customHeight="false" outlineLevel="0" collapsed="false">
      <c r="A1744" s="0" t="s">
        <v>261</v>
      </c>
      <c r="B1744" s="52" t="n">
        <v>44395</v>
      </c>
      <c r="C1744" s="0" t="n">
        <v>29088.473</v>
      </c>
      <c r="D1744" s="0" t="n">
        <v>900</v>
      </c>
      <c r="E1744" s="0" t="n">
        <v>28188.473</v>
      </c>
      <c r="F1744" s="0" t="n">
        <v>0</v>
      </c>
      <c r="G1744" s="0" t="n">
        <v>0</v>
      </c>
      <c r="H1744" s="0" t="n">
        <v>0</v>
      </c>
      <c r="I1744" s="0" t="n">
        <v>0</v>
      </c>
      <c r="J1744" s="0" t="n">
        <v>28188.473</v>
      </c>
      <c r="K1744" s="0" t="n">
        <v>0</v>
      </c>
      <c r="L1744" s="0" t="n">
        <v>0</v>
      </c>
      <c r="M1744" s="0" t="n">
        <v>0</v>
      </c>
      <c r="N1744" s="0" t="n">
        <v>0</v>
      </c>
      <c r="O1744" s="54" t="n">
        <f aca="false">YEAR(B1744)</f>
        <v>2021</v>
      </c>
      <c r="P1744" s="54" t="n">
        <f aca="false">IF(AND(E1744&gt;=14400,K1744&gt;0,L1744&gt;0),1,0)</f>
        <v>0</v>
      </c>
      <c r="Q1744" s="53" t="n">
        <f aca="false">IF(P1744=1,F1744/E1744*MIN(L1744/K1744,1)*MIN(MAX(M1744/L1744,0),1),0)</f>
        <v>0</v>
      </c>
      <c r="R1744" s="55" t="n">
        <f aca="false">IF(F1744&gt;0,N1744/(F1744/3600),0)</f>
        <v>0</v>
      </c>
    </row>
    <row r="1745" customFormat="false" ht="15" hidden="false" customHeight="false" outlineLevel="0" collapsed="false">
      <c r="A1745" s="0" t="s">
        <v>261</v>
      </c>
      <c r="B1745" s="52" t="n">
        <v>44396</v>
      </c>
      <c r="C1745" s="0" t="n">
        <v>85565.885</v>
      </c>
      <c r="D1745" s="0" t="n">
        <v>22909.837</v>
      </c>
      <c r="E1745" s="0" t="n">
        <v>62656.048</v>
      </c>
      <c r="F1745" s="0" t="n">
        <v>48403.415</v>
      </c>
      <c r="G1745" s="0" t="n">
        <v>31579.575</v>
      </c>
      <c r="H1745" s="0" t="n">
        <v>16823.84</v>
      </c>
      <c r="I1745" s="0" t="n">
        <v>5333.354</v>
      </c>
      <c r="J1745" s="0" t="n">
        <v>8919.279</v>
      </c>
      <c r="K1745" s="0" t="n">
        <v>75084.2164216667</v>
      </c>
      <c r="L1745" s="0" t="n">
        <v>48409</v>
      </c>
      <c r="M1745" s="0" t="n">
        <v>48179</v>
      </c>
      <c r="N1745" s="0" t="n">
        <v>71</v>
      </c>
      <c r="O1745" s="54" t="n">
        <f aca="false">YEAR(B1745)</f>
        <v>2021</v>
      </c>
      <c r="P1745" s="54" t="n">
        <f aca="false">IF(AND(E1745&gt;=14400,K1745&gt;0,L1745&gt;0),1,0)</f>
        <v>1</v>
      </c>
      <c r="Q1745" s="53" t="n">
        <f aca="false">IF(P1745=1,F1745/E1745*MIN(L1745/K1745,1)*MIN(MAX(M1745/L1745,0),1),0)</f>
        <v>0.495703669344525</v>
      </c>
      <c r="R1745" s="55" t="n">
        <f aca="false">IF(F1745&gt;0,N1745/(F1745/3600),0)</f>
        <v>5.28061914639701</v>
      </c>
    </row>
    <row r="1746" customFormat="false" ht="15" hidden="false" customHeight="false" outlineLevel="0" collapsed="false">
      <c r="A1746" s="0" t="s">
        <v>261</v>
      </c>
      <c r="B1746" s="52" t="n">
        <v>44397</v>
      </c>
      <c r="C1746" s="0" t="n">
        <v>65551.214</v>
      </c>
      <c r="D1746" s="0" t="n">
        <v>990.723</v>
      </c>
      <c r="E1746" s="0" t="n">
        <v>64560.491</v>
      </c>
      <c r="F1746" s="0" t="n">
        <v>53842.225</v>
      </c>
      <c r="G1746" s="0" t="n">
        <v>28006.808</v>
      </c>
      <c r="H1746" s="0" t="n">
        <v>25835.417</v>
      </c>
      <c r="I1746" s="0" t="n">
        <v>2238.337</v>
      </c>
      <c r="J1746" s="0" t="n">
        <v>8479.929</v>
      </c>
      <c r="K1746" s="0" t="n">
        <v>80961.4847844444</v>
      </c>
      <c r="L1746" s="0" t="n">
        <v>41719</v>
      </c>
      <c r="M1746" s="0" t="n">
        <v>41469</v>
      </c>
      <c r="N1746" s="0" t="n">
        <v>41</v>
      </c>
      <c r="O1746" s="54" t="n">
        <f aca="false">YEAR(B1746)</f>
        <v>2021</v>
      </c>
      <c r="P1746" s="54" t="n">
        <f aca="false">IF(AND(E1746&gt;=14400,K1746&gt;0,L1746&gt;0),1,0)</f>
        <v>1</v>
      </c>
      <c r="Q1746" s="53" t="n">
        <f aca="false">IF(P1746=1,F1746/E1746*MIN(L1746/K1746,1)*MIN(MAX(M1746/L1746,0),1),0)</f>
        <v>0.427170518988217</v>
      </c>
      <c r="R1746" s="55" t="n">
        <f aca="false">IF(F1746&gt;0,N1746/(F1746/3600),0)</f>
        <v>2.7413428772678</v>
      </c>
    </row>
    <row r="1747" customFormat="false" ht="15" hidden="false" customHeight="false" outlineLevel="0" collapsed="false">
      <c r="A1747" s="0" t="s">
        <v>261</v>
      </c>
      <c r="B1747" s="52" t="n">
        <v>44398</v>
      </c>
      <c r="C1747" s="0" t="n">
        <v>92782.745</v>
      </c>
      <c r="D1747" s="0" t="n">
        <v>31636.682</v>
      </c>
      <c r="E1747" s="0" t="n">
        <v>61146.063</v>
      </c>
      <c r="F1747" s="0" t="n">
        <v>43858.42</v>
      </c>
      <c r="G1747" s="0" t="n">
        <v>25894.954</v>
      </c>
      <c r="H1747" s="0" t="n">
        <v>17963.466</v>
      </c>
      <c r="I1747" s="0" t="n">
        <v>2280.401</v>
      </c>
      <c r="J1747" s="0" t="n">
        <v>15007.242</v>
      </c>
      <c r="K1747" s="0" t="n">
        <v>68379.9001194444</v>
      </c>
      <c r="L1747" s="0" t="n">
        <v>40002</v>
      </c>
      <c r="M1747" s="0" t="n">
        <v>39942</v>
      </c>
      <c r="N1747" s="0" t="n">
        <v>36</v>
      </c>
      <c r="O1747" s="54" t="n">
        <f aca="false">YEAR(B1747)</f>
        <v>2021</v>
      </c>
      <c r="P1747" s="54" t="n">
        <f aca="false">IF(AND(E1747&gt;=14400,K1747&gt;0,L1747&gt;0),1,0)</f>
        <v>1</v>
      </c>
      <c r="Q1747" s="53" t="n">
        <f aca="false">IF(P1747=1,F1747/E1747*MIN(L1747/K1747,1)*MIN(MAX(M1747/L1747,0),1),0)</f>
        <v>0.418972798816287</v>
      </c>
      <c r="R1747" s="55" t="n">
        <f aca="false">IF(F1747&gt;0,N1747/(F1747/3600),0)</f>
        <v>2.95496280987778</v>
      </c>
    </row>
    <row r="1748" customFormat="false" ht="15" hidden="false" customHeight="false" outlineLevel="0" collapsed="false">
      <c r="A1748" s="0" t="s">
        <v>261</v>
      </c>
      <c r="B1748" s="52" t="n">
        <v>44399</v>
      </c>
      <c r="C1748" s="0" t="n">
        <v>70529.829</v>
      </c>
      <c r="D1748" s="0" t="n">
        <v>900</v>
      </c>
      <c r="E1748" s="0" t="n">
        <v>69629.829</v>
      </c>
      <c r="F1748" s="0" t="n">
        <v>51993.571</v>
      </c>
      <c r="G1748" s="0" t="n">
        <v>36163.277</v>
      </c>
      <c r="H1748" s="0" t="n">
        <v>15830.294</v>
      </c>
      <c r="I1748" s="0" t="n">
        <v>3277.508</v>
      </c>
      <c r="J1748" s="0" t="n">
        <v>14358.75</v>
      </c>
      <c r="K1748" s="0" t="n">
        <v>80011.45766</v>
      </c>
      <c r="L1748" s="0" t="n">
        <v>55369</v>
      </c>
      <c r="M1748" s="0" t="n">
        <v>54846</v>
      </c>
      <c r="N1748" s="0" t="n">
        <v>43</v>
      </c>
      <c r="O1748" s="54" t="n">
        <f aca="false">YEAR(B1748)</f>
        <v>2021</v>
      </c>
      <c r="P1748" s="54" t="n">
        <f aca="false">IF(AND(E1748&gt;=14400,K1748&gt;0,L1748&gt;0),1,0)</f>
        <v>1</v>
      </c>
      <c r="Q1748" s="53" t="n">
        <f aca="false">IF(P1748=1,F1748/E1748*MIN(L1748/K1748,1)*MIN(MAX(M1748/L1748,0),1),0)</f>
        <v>0.51185517050783</v>
      </c>
      <c r="R1748" s="55" t="n">
        <f aca="false">IF(F1748&gt;0,N1748/(F1748/3600),0)</f>
        <v>2.97729117317216</v>
      </c>
    </row>
    <row r="1749" customFormat="false" ht="15" hidden="false" customHeight="false" outlineLevel="0" collapsed="false">
      <c r="A1749" s="0" t="s">
        <v>261</v>
      </c>
      <c r="B1749" s="52" t="n">
        <v>44400</v>
      </c>
      <c r="C1749" s="0" t="n">
        <v>78736.552</v>
      </c>
      <c r="D1749" s="0" t="n">
        <v>20379.681</v>
      </c>
      <c r="E1749" s="0" t="n">
        <v>58356.871</v>
      </c>
      <c r="F1749" s="0" t="n">
        <v>42657.854</v>
      </c>
      <c r="G1749" s="0" t="n">
        <v>19818.675</v>
      </c>
      <c r="H1749" s="0" t="n">
        <v>22839.179</v>
      </c>
      <c r="I1749" s="0" t="n">
        <v>6015.371</v>
      </c>
      <c r="J1749" s="0" t="n">
        <v>9683.646</v>
      </c>
      <c r="K1749" s="0" t="n">
        <v>65935.8796561111</v>
      </c>
      <c r="L1749" s="0" t="n">
        <v>30362</v>
      </c>
      <c r="M1749" s="0" t="n">
        <v>29789</v>
      </c>
      <c r="N1749" s="0" t="n">
        <v>55</v>
      </c>
      <c r="O1749" s="54" t="n">
        <f aca="false">YEAR(B1749)</f>
        <v>2021</v>
      </c>
      <c r="P1749" s="54" t="n">
        <f aca="false">IF(AND(E1749&gt;=14400,K1749&gt;0,L1749&gt;0),1,0)</f>
        <v>1</v>
      </c>
      <c r="Q1749" s="53" t="n">
        <f aca="false">IF(P1749=1,F1749/E1749*MIN(L1749/K1749,1)*MIN(MAX(M1749/L1749,0),1),0)</f>
        <v>0.330248706846856</v>
      </c>
      <c r="R1749" s="55" t="n">
        <f aca="false">IF(F1749&gt;0,N1749/(F1749/3600),0)</f>
        <v>4.64158370460924</v>
      </c>
    </row>
    <row r="1750" customFormat="false" ht="15" hidden="false" customHeight="false" outlineLevel="0" collapsed="false">
      <c r="A1750" s="0" t="s">
        <v>261</v>
      </c>
      <c r="B1750" s="52" t="n">
        <v>44401</v>
      </c>
      <c r="C1750" s="0" t="n">
        <v>104176.781</v>
      </c>
      <c r="D1750" s="0" t="n">
        <v>16072.316</v>
      </c>
      <c r="E1750" s="0" t="n">
        <v>88104.465</v>
      </c>
      <c r="F1750" s="0" t="n">
        <v>49865.712</v>
      </c>
      <c r="G1750" s="0" t="n">
        <v>31399.877</v>
      </c>
      <c r="H1750" s="0" t="n">
        <v>18465.835</v>
      </c>
      <c r="I1750" s="0" t="n">
        <v>6267.017</v>
      </c>
      <c r="J1750" s="0" t="n">
        <v>31971.736</v>
      </c>
      <c r="K1750" s="0" t="n">
        <v>72288.0303030556</v>
      </c>
      <c r="L1750" s="0" t="n">
        <v>44367</v>
      </c>
      <c r="M1750" s="0" t="n">
        <v>44302</v>
      </c>
      <c r="N1750" s="0" t="n">
        <v>17</v>
      </c>
      <c r="O1750" s="54" t="n">
        <f aca="false">YEAR(B1750)</f>
        <v>2021</v>
      </c>
      <c r="P1750" s="54" t="n">
        <f aca="false">IF(AND(E1750&gt;=14400,K1750&gt;0,L1750&gt;0),1,0)</f>
        <v>1</v>
      </c>
      <c r="Q1750" s="53" t="n">
        <f aca="false">IF(P1750=1,F1750/E1750*MIN(L1750/K1750,1)*MIN(MAX(M1750/L1750,0),1),0)</f>
        <v>0.346865453214812</v>
      </c>
      <c r="R1750" s="55" t="n">
        <f aca="false">IF(F1750&gt;0,N1750/(F1750/3600),0)</f>
        <v>1.22729622310416</v>
      </c>
    </row>
    <row r="1751" customFormat="false" ht="15" hidden="false" customHeight="false" outlineLevel="0" collapsed="false">
      <c r="A1751" s="0" t="s">
        <v>261</v>
      </c>
      <c r="B1751" s="52" t="n">
        <v>44402</v>
      </c>
      <c r="C1751" s="0" t="n">
        <v>21378.091</v>
      </c>
      <c r="D1751" s="0" t="n">
        <v>917.347</v>
      </c>
      <c r="E1751" s="0" t="n">
        <v>20460.744</v>
      </c>
      <c r="F1751" s="0" t="n">
        <v>20436.341</v>
      </c>
      <c r="G1751" s="0" t="n">
        <v>0</v>
      </c>
      <c r="H1751" s="0" t="n">
        <v>20436.341</v>
      </c>
      <c r="I1751" s="0" t="n">
        <v>0</v>
      </c>
      <c r="J1751" s="0" t="n">
        <v>24.403</v>
      </c>
      <c r="K1751" s="0" t="n">
        <v>31369.783435</v>
      </c>
      <c r="L1751" s="0" t="n">
        <v>0</v>
      </c>
      <c r="M1751" s="0" t="n">
        <v>0</v>
      </c>
      <c r="N1751" s="0" t="n">
        <v>0</v>
      </c>
      <c r="O1751" s="54" t="n">
        <f aca="false">YEAR(B1751)</f>
        <v>2021</v>
      </c>
      <c r="P1751" s="54" t="n">
        <f aca="false">IF(AND(E1751&gt;=14400,K1751&gt;0,L1751&gt;0),1,0)</f>
        <v>0</v>
      </c>
      <c r="Q1751" s="53" t="n">
        <f aca="false">IF(P1751=1,F1751/E1751*MIN(L1751/K1751,1)*MIN(MAX(M1751/L1751,0),1),0)</f>
        <v>0</v>
      </c>
      <c r="R1751" s="55" t="n">
        <f aca="false">IF(F1751&gt;0,N1751/(F1751/3600),0)</f>
        <v>0</v>
      </c>
    </row>
    <row r="1752" customFormat="false" ht="15" hidden="false" customHeight="false" outlineLevel="0" collapsed="false">
      <c r="A1752" s="0" t="s">
        <v>261</v>
      </c>
      <c r="B1752" s="52" t="n">
        <v>44403</v>
      </c>
      <c r="C1752" s="0" t="n">
        <v>59954.961</v>
      </c>
      <c r="D1752" s="0" t="n">
        <v>1006.668</v>
      </c>
      <c r="E1752" s="0" t="n">
        <v>58948.293</v>
      </c>
      <c r="F1752" s="0" t="n">
        <v>52556.345</v>
      </c>
      <c r="G1752" s="0" t="n">
        <v>32218.41</v>
      </c>
      <c r="H1752" s="0" t="n">
        <v>20337.935</v>
      </c>
      <c r="I1752" s="0" t="n">
        <v>3477.127</v>
      </c>
      <c r="J1752" s="0" t="n">
        <v>2914.821</v>
      </c>
      <c r="K1752" s="0" t="n">
        <v>82697.9039638889</v>
      </c>
      <c r="L1752" s="0" t="n">
        <v>50219</v>
      </c>
      <c r="M1752" s="0" t="n">
        <v>50012</v>
      </c>
      <c r="N1752" s="0" t="n">
        <v>48</v>
      </c>
      <c r="O1752" s="54" t="n">
        <f aca="false">YEAR(B1752)</f>
        <v>2021</v>
      </c>
      <c r="P1752" s="54" t="n">
        <f aca="false">IF(AND(E1752&gt;=14400,K1752&gt;0,L1752&gt;0),1,0)</f>
        <v>1</v>
      </c>
      <c r="Q1752" s="53" t="n">
        <f aca="false">IF(P1752=1,F1752/E1752*MIN(L1752/K1752,1)*MIN(MAX(M1752/L1752,0),1),0)</f>
        <v>0.539179835228545</v>
      </c>
      <c r="R1752" s="55" t="n">
        <f aca="false">IF(F1752&gt;0,N1752/(F1752/3600),0)</f>
        <v>3.28789987203258</v>
      </c>
    </row>
    <row r="1753" customFormat="false" ht="15" hidden="false" customHeight="false" outlineLevel="0" collapsed="false">
      <c r="A1753" s="0" t="s">
        <v>261</v>
      </c>
      <c r="B1753" s="52" t="n">
        <v>44404</v>
      </c>
      <c r="C1753" s="0" t="n">
        <v>60447.236</v>
      </c>
      <c r="D1753" s="0" t="n">
        <v>1237.196</v>
      </c>
      <c r="E1753" s="0" t="n">
        <v>59210.04</v>
      </c>
      <c r="F1753" s="0" t="n">
        <v>54528.62</v>
      </c>
      <c r="G1753" s="0" t="n">
        <v>31869.262</v>
      </c>
      <c r="H1753" s="0" t="n">
        <v>22659.358</v>
      </c>
      <c r="I1753" s="0" t="n">
        <v>695.804</v>
      </c>
      <c r="J1753" s="0" t="n">
        <v>3985.616</v>
      </c>
      <c r="K1753" s="0" t="n">
        <v>84811.5226175</v>
      </c>
      <c r="L1753" s="0" t="n">
        <v>48336</v>
      </c>
      <c r="M1753" s="0" t="n">
        <v>48186</v>
      </c>
      <c r="N1753" s="0" t="n">
        <v>14</v>
      </c>
      <c r="O1753" s="54" t="n">
        <f aca="false">YEAR(B1753)</f>
        <v>2021</v>
      </c>
      <c r="P1753" s="54" t="n">
        <f aca="false">IF(AND(E1753&gt;=14400,K1753&gt;0,L1753&gt;0),1,0)</f>
        <v>1</v>
      </c>
      <c r="Q1753" s="53" t="n">
        <f aca="false">IF(P1753=1,F1753/E1753*MIN(L1753/K1753,1)*MIN(MAX(M1753/L1753,0),1),0)</f>
        <v>0.5232330500839</v>
      </c>
      <c r="R1753" s="55" t="n">
        <f aca="false">IF(F1753&gt;0,N1753/(F1753/3600),0)</f>
        <v>0.924285265242363</v>
      </c>
    </row>
    <row r="1754" customFormat="false" ht="15" hidden="false" customHeight="false" outlineLevel="0" collapsed="false">
      <c r="A1754" s="0" t="s">
        <v>261</v>
      </c>
      <c r="B1754" s="52" t="n">
        <v>44405</v>
      </c>
      <c r="C1754" s="0" t="n">
        <v>81959.922</v>
      </c>
      <c r="D1754" s="0" t="n">
        <v>21902.271</v>
      </c>
      <c r="E1754" s="0" t="n">
        <v>60057.651</v>
      </c>
      <c r="F1754" s="0" t="n">
        <v>48153.79</v>
      </c>
      <c r="G1754" s="0" t="n">
        <v>30605.8</v>
      </c>
      <c r="H1754" s="0" t="n">
        <v>17547.99</v>
      </c>
      <c r="I1754" s="0" t="n">
        <v>2178.645</v>
      </c>
      <c r="J1754" s="0" t="n">
        <v>9725.216</v>
      </c>
      <c r="K1754" s="0" t="n">
        <v>74628.6218444445</v>
      </c>
      <c r="L1754" s="0" t="n">
        <v>46845</v>
      </c>
      <c r="M1754" s="0" t="n">
        <v>46574</v>
      </c>
      <c r="N1754" s="0" t="n">
        <v>20</v>
      </c>
      <c r="O1754" s="54" t="n">
        <f aca="false">YEAR(B1754)</f>
        <v>2021</v>
      </c>
      <c r="P1754" s="54" t="n">
        <f aca="false">IF(AND(E1754&gt;=14400,K1754&gt;0,L1754&gt;0),1,0)</f>
        <v>1</v>
      </c>
      <c r="Q1754" s="53" t="n">
        <f aca="false">IF(P1754=1,F1754/E1754*MIN(L1754/K1754,1)*MIN(MAX(M1754/L1754,0),1),0)</f>
        <v>0.500380353700375</v>
      </c>
      <c r="R1754" s="55" t="n">
        <f aca="false">IF(F1754&gt;0,N1754/(F1754/3600),0)</f>
        <v>1.49520941134644</v>
      </c>
    </row>
    <row r="1755" customFormat="false" ht="15" hidden="false" customHeight="false" outlineLevel="0" collapsed="false">
      <c r="A1755" s="0" t="s">
        <v>261</v>
      </c>
      <c r="B1755" s="52" t="n">
        <v>44406</v>
      </c>
      <c r="C1755" s="0" t="n">
        <v>58165.248</v>
      </c>
      <c r="D1755" s="0" t="n">
        <v>957.199</v>
      </c>
      <c r="E1755" s="0" t="n">
        <v>57208.049</v>
      </c>
      <c r="F1755" s="0" t="n">
        <v>33058.267</v>
      </c>
      <c r="G1755" s="0" t="n">
        <v>12846.778</v>
      </c>
      <c r="H1755" s="0" t="n">
        <v>20211.489</v>
      </c>
      <c r="I1755" s="0" t="n">
        <v>1073.465</v>
      </c>
      <c r="J1755" s="0" t="n">
        <v>23076.317</v>
      </c>
      <c r="K1755" s="0" t="n">
        <v>53044.1798094445</v>
      </c>
      <c r="L1755" s="0" t="n">
        <v>21397</v>
      </c>
      <c r="M1755" s="0" t="n">
        <v>21263</v>
      </c>
      <c r="N1755" s="0" t="n">
        <v>32</v>
      </c>
      <c r="O1755" s="54" t="n">
        <f aca="false">YEAR(B1755)</f>
        <v>2021</v>
      </c>
      <c r="P1755" s="54" t="n">
        <f aca="false">IF(AND(E1755&gt;=14400,K1755&gt;0,L1755&gt;0),1,0)</f>
        <v>1</v>
      </c>
      <c r="Q1755" s="53" t="n">
        <f aca="false">IF(P1755=1,F1755/E1755*MIN(L1755/K1755,1)*MIN(MAX(M1755/L1755,0),1),0)</f>
        <v>0.231637968046519</v>
      </c>
      <c r="R1755" s="55" t="n">
        <f aca="false">IF(F1755&gt;0,N1755/(F1755/3600),0)</f>
        <v>3.4847561730928</v>
      </c>
    </row>
    <row r="1756" customFormat="false" ht="15" hidden="false" customHeight="false" outlineLevel="0" collapsed="false">
      <c r="A1756" s="0" t="s">
        <v>261</v>
      </c>
      <c r="B1756" s="52" t="n">
        <v>44407</v>
      </c>
      <c r="C1756" s="0" t="n">
        <v>62051.999</v>
      </c>
      <c r="D1756" s="0" t="n">
        <v>978.218</v>
      </c>
      <c r="E1756" s="0" t="n">
        <v>61073.781</v>
      </c>
      <c r="F1756" s="0" t="n">
        <v>50795.542</v>
      </c>
      <c r="G1756" s="0" t="n">
        <v>30500.578</v>
      </c>
      <c r="H1756" s="0" t="n">
        <v>20294.964</v>
      </c>
      <c r="I1756" s="0" t="n">
        <v>3377.858</v>
      </c>
      <c r="J1756" s="0" t="n">
        <v>6900.381</v>
      </c>
      <c r="K1756" s="0" t="n">
        <v>78310.2875855556</v>
      </c>
      <c r="L1756" s="0" t="n">
        <v>46304</v>
      </c>
      <c r="M1756" s="0" t="n">
        <v>45430</v>
      </c>
      <c r="N1756" s="0" t="n">
        <v>54</v>
      </c>
      <c r="O1756" s="54" t="n">
        <f aca="false">YEAR(B1756)</f>
        <v>2021</v>
      </c>
      <c r="P1756" s="54" t="n">
        <f aca="false">IF(AND(E1756&gt;=14400,K1756&gt;0,L1756&gt;0),1,0)</f>
        <v>1</v>
      </c>
      <c r="Q1756" s="53" t="n">
        <f aca="false">IF(P1756=1,F1756/E1756*MIN(L1756/K1756,1)*MIN(MAX(M1756/L1756,0),1),0)</f>
        <v>0.482497102002577</v>
      </c>
      <c r="R1756" s="55" t="n">
        <f aca="false">IF(F1756&gt;0,N1756/(F1756/3600),0)</f>
        <v>3.82710750482788</v>
      </c>
    </row>
    <row r="1757" customFormat="false" ht="15" hidden="false" customHeight="false" outlineLevel="0" collapsed="false">
      <c r="A1757" s="0" t="s">
        <v>261</v>
      </c>
      <c r="B1757" s="52" t="n">
        <v>44408</v>
      </c>
      <c r="C1757" s="0" t="n">
        <v>58210.174</v>
      </c>
      <c r="D1757" s="0" t="n">
        <v>900</v>
      </c>
      <c r="E1757" s="0" t="n">
        <v>57310.174</v>
      </c>
      <c r="F1757" s="0" t="n">
        <v>49639.285</v>
      </c>
      <c r="G1757" s="0" t="n">
        <v>28955.803</v>
      </c>
      <c r="H1757" s="0" t="n">
        <v>20683.482</v>
      </c>
      <c r="I1757" s="0" t="n">
        <v>5124.399</v>
      </c>
      <c r="J1757" s="0" t="n">
        <v>2546.49</v>
      </c>
      <c r="K1757" s="0" t="n">
        <v>76316.4946972222</v>
      </c>
      <c r="L1757" s="0" t="n">
        <v>44003</v>
      </c>
      <c r="M1757" s="0" t="n">
        <v>43510</v>
      </c>
      <c r="N1757" s="0" t="n">
        <v>75</v>
      </c>
      <c r="O1757" s="54" t="n">
        <f aca="false">YEAR(B1757)</f>
        <v>2021</v>
      </c>
      <c r="P1757" s="54" t="n">
        <f aca="false">IF(AND(E1757&gt;=14400,K1757&gt;0,L1757&gt;0),1,0)</f>
        <v>1</v>
      </c>
      <c r="Q1757" s="53" t="n">
        <f aca="false">IF(P1757=1,F1757/E1757*MIN(L1757/K1757,1)*MIN(MAX(M1757/L1757,0),1),0)</f>
        <v>0.493815206106697</v>
      </c>
      <c r="R1757" s="55" t="n">
        <f aca="false">IF(F1757&gt;0,N1757/(F1757/3600),0)</f>
        <v>5.43924031137838</v>
      </c>
    </row>
    <row r="1758" customFormat="false" ht="15" hidden="false" customHeight="false" outlineLevel="0" collapsed="false">
      <c r="A1758" s="0" t="s">
        <v>261</v>
      </c>
      <c r="B1758" s="52" t="n">
        <v>44409</v>
      </c>
      <c r="C1758" s="0" t="n">
        <v>900</v>
      </c>
      <c r="D1758" s="0" t="n">
        <v>0</v>
      </c>
      <c r="E1758" s="0" t="n">
        <v>900</v>
      </c>
      <c r="F1758" s="0" t="n">
        <v>0</v>
      </c>
      <c r="G1758" s="0" t="n">
        <v>0</v>
      </c>
      <c r="H1758" s="0" t="n">
        <v>0</v>
      </c>
      <c r="I1758" s="0" t="n">
        <v>0</v>
      </c>
      <c r="J1758" s="0" t="n">
        <v>900</v>
      </c>
      <c r="K1758" s="0" t="n">
        <v>0</v>
      </c>
      <c r="L1758" s="0" t="n">
        <v>0</v>
      </c>
      <c r="M1758" s="0" t="n">
        <v>0</v>
      </c>
      <c r="N1758" s="0" t="n">
        <v>0</v>
      </c>
      <c r="O1758" s="54" t="n">
        <f aca="false">YEAR(B1758)</f>
        <v>2021</v>
      </c>
      <c r="P1758" s="54" t="n">
        <f aca="false">IF(AND(E1758&gt;=14400,K1758&gt;0,L1758&gt;0),1,0)</f>
        <v>0</v>
      </c>
      <c r="Q1758" s="53" t="n">
        <f aca="false">IF(P1758=1,F1758/E1758*MIN(L1758/K1758,1)*MIN(MAX(M1758/L1758,0),1),0)</f>
        <v>0</v>
      </c>
      <c r="R1758" s="55" t="n">
        <f aca="false">IF(F1758&gt;0,N1758/(F1758/3600),0)</f>
        <v>0</v>
      </c>
    </row>
    <row r="1759" customFormat="false" ht="15" hidden="false" customHeight="false" outlineLevel="0" collapsed="false">
      <c r="A1759" s="0" t="s">
        <v>261</v>
      </c>
      <c r="B1759" s="52" t="n">
        <v>44410</v>
      </c>
      <c r="C1759" s="0" t="n">
        <v>59300.278</v>
      </c>
      <c r="D1759" s="0" t="n">
        <v>113.77</v>
      </c>
      <c r="E1759" s="0" t="n">
        <v>59186.508</v>
      </c>
      <c r="F1759" s="0" t="n">
        <v>51029.422</v>
      </c>
      <c r="G1759" s="0" t="n">
        <v>31343.397</v>
      </c>
      <c r="H1759" s="0" t="n">
        <v>19686.025</v>
      </c>
      <c r="I1759" s="0" t="n">
        <v>4805.963</v>
      </c>
      <c r="J1759" s="0" t="n">
        <v>3351.123</v>
      </c>
      <c r="K1759" s="0" t="n">
        <v>80129.0210425</v>
      </c>
      <c r="L1759" s="0" t="n">
        <v>48849</v>
      </c>
      <c r="M1759" s="0" t="n">
        <v>48414</v>
      </c>
      <c r="N1759" s="0" t="n">
        <v>92</v>
      </c>
      <c r="O1759" s="54" t="n">
        <f aca="false">YEAR(B1759)</f>
        <v>2021</v>
      </c>
      <c r="P1759" s="54" t="n">
        <f aca="false">IF(AND(E1759&gt;=14400,K1759&gt;0,L1759&gt;0),1,0)</f>
        <v>1</v>
      </c>
      <c r="Q1759" s="53" t="n">
        <f aca="false">IF(P1759=1,F1759/E1759*MIN(L1759/K1759,1)*MIN(MAX(M1759/L1759,0),1),0)</f>
        <v>0.520929630445735</v>
      </c>
      <c r="R1759" s="55" t="n">
        <f aca="false">IF(F1759&gt;0,N1759/(F1759/3600),0)</f>
        <v>6.49037333795394</v>
      </c>
    </row>
    <row r="1760" customFormat="false" ht="15" hidden="false" customHeight="false" outlineLevel="0" collapsed="false">
      <c r="A1760" s="0" t="s">
        <v>261</v>
      </c>
      <c r="B1760" s="52" t="n">
        <v>44411</v>
      </c>
      <c r="C1760" s="0" t="n">
        <v>84294.03</v>
      </c>
      <c r="D1760" s="0" t="n">
        <v>11153.307</v>
      </c>
      <c r="E1760" s="0" t="n">
        <v>73140.723</v>
      </c>
      <c r="F1760" s="0" t="n">
        <v>62635.299</v>
      </c>
      <c r="G1760" s="0" t="n">
        <v>39679.188</v>
      </c>
      <c r="H1760" s="0" t="n">
        <v>22956.111</v>
      </c>
      <c r="I1760" s="0" t="n">
        <v>3556.047</v>
      </c>
      <c r="J1760" s="0" t="n">
        <v>6949.377</v>
      </c>
      <c r="K1760" s="0" t="n">
        <v>98836.1376888889</v>
      </c>
      <c r="L1760" s="0" t="n">
        <v>61143</v>
      </c>
      <c r="M1760" s="0" t="n">
        <v>60174</v>
      </c>
      <c r="N1760" s="0" t="n">
        <v>65</v>
      </c>
      <c r="O1760" s="54" t="n">
        <f aca="false">YEAR(B1760)</f>
        <v>2021</v>
      </c>
      <c r="P1760" s="54" t="n">
        <f aca="false">IF(AND(E1760&gt;=14400,K1760&gt;0,L1760&gt;0),1,0)</f>
        <v>1</v>
      </c>
      <c r="Q1760" s="53" t="n">
        <f aca="false">IF(P1760=1,F1760/E1760*MIN(L1760/K1760,1)*MIN(MAX(M1760/L1760,0),1),0)</f>
        <v>0.521378384250384</v>
      </c>
      <c r="R1760" s="55" t="n">
        <f aca="false">IF(F1760&gt;0,N1760/(F1760/3600),0)</f>
        <v>3.73591255627278</v>
      </c>
    </row>
    <row r="1761" customFormat="false" ht="15" hidden="false" customHeight="false" outlineLevel="0" collapsed="false">
      <c r="A1761" s="0" t="s">
        <v>261</v>
      </c>
      <c r="B1761" s="52" t="n">
        <v>44412</v>
      </c>
      <c r="C1761" s="0" t="n">
        <v>88253.28</v>
      </c>
      <c r="D1761" s="0" t="n">
        <v>10827.202</v>
      </c>
      <c r="E1761" s="0" t="n">
        <v>77426.078</v>
      </c>
      <c r="F1761" s="0" t="n">
        <v>48174.959</v>
      </c>
      <c r="G1761" s="0" t="n">
        <v>31447.5</v>
      </c>
      <c r="H1761" s="0" t="n">
        <v>16727.459</v>
      </c>
      <c r="I1761" s="0" t="n">
        <v>11174.421</v>
      </c>
      <c r="J1761" s="0" t="n">
        <v>18076.698</v>
      </c>
      <c r="K1761" s="0" t="n">
        <v>74387.6603686111</v>
      </c>
      <c r="L1761" s="0" t="n">
        <v>47618</v>
      </c>
      <c r="M1761" s="0" t="n">
        <v>46464</v>
      </c>
      <c r="N1761" s="0" t="n">
        <v>171</v>
      </c>
      <c r="O1761" s="54" t="n">
        <f aca="false">YEAR(B1761)</f>
        <v>2021</v>
      </c>
      <c r="P1761" s="54" t="n">
        <f aca="false">IF(AND(E1761&gt;=14400,K1761&gt;0,L1761&gt;0),1,0)</f>
        <v>1</v>
      </c>
      <c r="Q1761" s="53" t="n">
        <f aca="false">IF(P1761=1,F1761/E1761*MIN(L1761/K1761,1)*MIN(MAX(M1761/L1761,0),1),0)</f>
        <v>0.388642049859931</v>
      </c>
      <c r="R1761" s="55" t="n">
        <f aca="false">IF(F1761&gt;0,N1761/(F1761/3600),0)</f>
        <v>12.7784229146931</v>
      </c>
    </row>
    <row r="1762" customFormat="false" ht="15" hidden="false" customHeight="false" outlineLevel="0" collapsed="false">
      <c r="A1762" s="0" t="s">
        <v>261</v>
      </c>
      <c r="B1762" s="52" t="n">
        <v>44413</v>
      </c>
      <c r="C1762" s="0" t="n">
        <v>72718.558</v>
      </c>
      <c r="D1762" s="0" t="n">
        <v>10259.656</v>
      </c>
      <c r="E1762" s="0" t="n">
        <v>62458.902</v>
      </c>
      <c r="F1762" s="0" t="n">
        <v>48131.771</v>
      </c>
      <c r="G1762" s="0" t="n">
        <v>32523.499</v>
      </c>
      <c r="H1762" s="0" t="n">
        <v>15608.272</v>
      </c>
      <c r="I1762" s="0" t="n">
        <v>4736.775</v>
      </c>
      <c r="J1762" s="0" t="n">
        <v>9590.356</v>
      </c>
      <c r="K1762" s="0" t="n">
        <v>76314.0934297222</v>
      </c>
      <c r="L1762" s="0" t="n">
        <v>50097</v>
      </c>
      <c r="M1762" s="0" t="n">
        <v>49720</v>
      </c>
      <c r="N1762" s="0" t="n">
        <v>75</v>
      </c>
      <c r="O1762" s="54" t="n">
        <f aca="false">YEAR(B1762)</f>
        <v>2021</v>
      </c>
      <c r="P1762" s="54" t="n">
        <f aca="false">IF(AND(E1762&gt;=14400,K1762&gt;0,L1762&gt;0),1,0)</f>
        <v>1</v>
      </c>
      <c r="Q1762" s="53" t="n">
        <f aca="false">IF(P1762=1,F1762/E1762*MIN(L1762/K1762,1)*MIN(MAX(M1762/L1762,0),1),0)</f>
        <v>0.502069531976335</v>
      </c>
      <c r="R1762" s="55" t="n">
        <f aca="false">IF(F1762&gt;0,N1762/(F1762/3600),0)</f>
        <v>5.60960036147434</v>
      </c>
    </row>
    <row r="1763" customFormat="false" ht="15" hidden="false" customHeight="false" outlineLevel="0" collapsed="false">
      <c r="A1763" s="0" t="s">
        <v>261</v>
      </c>
      <c r="B1763" s="52" t="n">
        <v>44414</v>
      </c>
      <c r="C1763" s="0" t="n">
        <v>66251.607</v>
      </c>
      <c r="D1763" s="0" t="n">
        <v>5739.381</v>
      </c>
      <c r="E1763" s="0" t="n">
        <v>60512.226</v>
      </c>
      <c r="F1763" s="0" t="n">
        <v>45061.66</v>
      </c>
      <c r="G1763" s="0" t="n">
        <v>24388.578</v>
      </c>
      <c r="H1763" s="0" t="n">
        <v>20673.082</v>
      </c>
      <c r="I1763" s="0" t="n">
        <v>5626.955</v>
      </c>
      <c r="J1763" s="0" t="n">
        <v>9823.611</v>
      </c>
      <c r="K1763" s="0" t="n">
        <v>70639.8059661111</v>
      </c>
      <c r="L1763" s="0" t="n">
        <v>37756</v>
      </c>
      <c r="M1763" s="0" t="n">
        <v>37434</v>
      </c>
      <c r="N1763" s="0" t="n">
        <v>100</v>
      </c>
      <c r="O1763" s="54" t="n">
        <f aca="false">YEAR(B1763)</f>
        <v>2021</v>
      </c>
      <c r="P1763" s="54" t="n">
        <f aca="false">IF(AND(E1763&gt;=14400,K1763&gt;0,L1763&gt;0),1,0)</f>
        <v>1</v>
      </c>
      <c r="Q1763" s="53" t="n">
        <f aca="false">IF(P1763=1,F1763/E1763*MIN(L1763/K1763,1)*MIN(MAX(M1763/L1763,0),1),0)</f>
        <v>0.394621547755535</v>
      </c>
      <c r="R1763" s="55" t="n">
        <f aca="false">IF(F1763&gt;0,N1763/(F1763/3600),0)</f>
        <v>7.98905322174105</v>
      </c>
    </row>
    <row r="1764" customFormat="false" ht="15" hidden="false" customHeight="false" outlineLevel="0" collapsed="false">
      <c r="A1764" s="0" t="s">
        <v>261</v>
      </c>
      <c r="B1764" s="52" t="n">
        <v>44415</v>
      </c>
      <c r="C1764" s="0" t="n">
        <v>96650.69</v>
      </c>
      <c r="D1764" s="0" t="n">
        <v>31728.374</v>
      </c>
      <c r="E1764" s="0" t="n">
        <v>64922.316</v>
      </c>
      <c r="F1764" s="0" t="n">
        <v>43513.203</v>
      </c>
      <c r="G1764" s="0" t="n">
        <v>23871.54</v>
      </c>
      <c r="H1764" s="0" t="n">
        <v>19641.663</v>
      </c>
      <c r="I1764" s="0" t="n">
        <v>10976.814</v>
      </c>
      <c r="J1764" s="0" t="n">
        <v>10432.299</v>
      </c>
      <c r="K1764" s="0" t="n">
        <v>62040.4321680556</v>
      </c>
      <c r="L1764" s="0" t="n">
        <v>28002</v>
      </c>
      <c r="M1764" s="0" t="n">
        <v>27496</v>
      </c>
      <c r="N1764" s="0" t="n">
        <v>263</v>
      </c>
      <c r="O1764" s="54" t="n">
        <f aca="false">YEAR(B1764)</f>
        <v>2021</v>
      </c>
      <c r="P1764" s="54" t="n">
        <f aca="false">IF(AND(E1764&gt;=14400,K1764&gt;0,L1764&gt;0),1,0)</f>
        <v>1</v>
      </c>
      <c r="Q1764" s="53" t="n">
        <f aca="false">IF(P1764=1,F1764/E1764*MIN(L1764/K1764,1)*MIN(MAX(M1764/L1764,0),1),0)</f>
        <v>0.297044662678173</v>
      </c>
      <c r="R1764" s="55" t="n">
        <f aca="false">IF(F1764&gt;0,N1764/(F1764/3600),0)</f>
        <v>21.7589130361192</v>
      </c>
    </row>
    <row r="1765" customFormat="false" ht="15" hidden="false" customHeight="false" outlineLevel="0" collapsed="false">
      <c r="A1765" s="0" t="s">
        <v>261</v>
      </c>
      <c r="B1765" s="52" t="n">
        <v>44416</v>
      </c>
      <c r="C1765" s="0" t="n">
        <v>15503.701</v>
      </c>
      <c r="D1765" s="0" t="n">
        <v>900</v>
      </c>
      <c r="E1765" s="0" t="n">
        <v>14603.701</v>
      </c>
      <c r="F1765" s="0" t="n">
        <v>3822.983</v>
      </c>
      <c r="G1765" s="0" t="n">
        <v>0</v>
      </c>
      <c r="H1765" s="0" t="n">
        <v>3822.983</v>
      </c>
      <c r="I1765" s="0" t="n">
        <v>0</v>
      </c>
      <c r="J1765" s="0" t="n">
        <v>10780.718</v>
      </c>
      <c r="K1765" s="0" t="n">
        <v>3864.05298166667</v>
      </c>
      <c r="L1765" s="0" t="n">
        <v>0</v>
      </c>
      <c r="M1765" s="0" t="n">
        <v>0</v>
      </c>
      <c r="N1765" s="0" t="n">
        <v>0</v>
      </c>
      <c r="O1765" s="54" t="n">
        <f aca="false">YEAR(B1765)</f>
        <v>2021</v>
      </c>
      <c r="P1765" s="54" t="n">
        <f aca="false">IF(AND(E1765&gt;=14400,K1765&gt;0,L1765&gt;0),1,0)</f>
        <v>0</v>
      </c>
      <c r="Q1765" s="53" t="n">
        <f aca="false">IF(P1765=1,F1765/E1765*MIN(L1765/K1765,1)*MIN(MAX(M1765/L1765,0),1),0)</f>
        <v>0</v>
      </c>
      <c r="R1765" s="55" t="n">
        <f aca="false">IF(F1765&gt;0,N1765/(F1765/3600),0)</f>
        <v>0</v>
      </c>
    </row>
    <row r="1766" customFormat="false" ht="15" hidden="false" customHeight="false" outlineLevel="0" collapsed="false">
      <c r="A1766" s="0" t="s">
        <v>261</v>
      </c>
      <c r="B1766" s="52" t="n">
        <v>44417</v>
      </c>
      <c r="C1766" s="0" t="n">
        <v>58737.096</v>
      </c>
      <c r="D1766" s="0" t="n">
        <v>1000.09</v>
      </c>
      <c r="E1766" s="0" t="n">
        <v>57737.006</v>
      </c>
      <c r="F1766" s="0" t="n">
        <v>49527.386</v>
      </c>
      <c r="G1766" s="0" t="n">
        <v>33833.555</v>
      </c>
      <c r="H1766" s="0" t="n">
        <v>15693.831</v>
      </c>
      <c r="I1766" s="0" t="n">
        <v>6204.353</v>
      </c>
      <c r="J1766" s="0" t="n">
        <v>2005.267</v>
      </c>
      <c r="K1766" s="0" t="n">
        <v>76980.6021655556</v>
      </c>
      <c r="L1766" s="0" t="n">
        <v>51502</v>
      </c>
      <c r="M1766" s="0" t="n">
        <v>51206</v>
      </c>
      <c r="N1766" s="0" t="n">
        <v>64</v>
      </c>
      <c r="O1766" s="54" t="n">
        <f aca="false">YEAR(B1766)</f>
        <v>2021</v>
      </c>
      <c r="P1766" s="54" t="n">
        <f aca="false">IF(AND(E1766&gt;=14400,K1766&gt;0,L1766&gt;0),1,0)</f>
        <v>1</v>
      </c>
      <c r="Q1766" s="53" t="n">
        <f aca="false">IF(P1766=1,F1766/E1766*MIN(L1766/K1766,1)*MIN(MAX(M1766/L1766,0),1),0)</f>
        <v>0.570598591789536</v>
      </c>
      <c r="R1766" s="55" t="n">
        <f aca="false">IF(F1766&gt;0,N1766/(F1766/3600),0)</f>
        <v>4.65197173943321</v>
      </c>
    </row>
    <row r="1767" customFormat="false" ht="15" hidden="false" customHeight="false" outlineLevel="0" collapsed="false">
      <c r="A1767" s="0" t="s">
        <v>261</v>
      </c>
      <c r="B1767" s="52" t="n">
        <v>44418</v>
      </c>
      <c r="C1767" s="0" t="n">
        <v>78317.023</v>
      </c>
      <c r="D1767" s="0" t="n">
        <v>18071.467</v>
      </c>
      <c r="E1767" s="0" t="n">
        <v>60245.556</v>
      </c>
      <c r="F1767" s="0" t="n">
        <v>37753.755</v>
      </c>
      <c r="G1767" s="0" t="n">
        <v>15175.856</v>
      </c>
      <c r="H1767" s="0" t="n">
        <v>22577.899</v>
      </c>
      <c r="I1767" s="0" t="n">
        <v>3551.675</v>
      </c>
      <c r="J1767" s="0" t="n">
        <v>18940.126</v>
      </c>
      <c r="K1767" s="0" t="n">
        <v>54064.7261705556</v>
      </c>
      <c r="L1767" s="0" t="n">
        <v>22159</v>
      </c>
      <c r="M1767" s="0" t="n">
        <v>21916</v>
      </c>
      <c r="N1767" s="0" t="n">
        <v>51</v>
      </c>
      <c r="O1767" s="54" t="n">
        <f aca="false">YEAR(B1767)</f>
        <v>2021</v>
      </c>
      <c r="P1767" s="54" t="n">
        <f aca="false">IF(AND(E1767&gt;=14400,K1767&gt;0,L1767&gt;0),1,0)</f>
        <v>1</v>
      </c>
      <c r="Q1767" s="53" t="n">
        <f aca="false">IF(P1767=1,F1767/E1767*MIN(L1767/K1767,1)*MIN(MAX(M1767/L1767,0),1),0)</f>
        <v>0.254028486352783</v>
      </c>
      <c r="R1767" s="55" t="n">
        <f aca="false">IF(F1767&gt;0,N1767/(F1767/3600),0)</f>
        <v>4.86309242617059</v>
      </c>
    </row>
    <row r="1768" customFormat="false" ht="15" hidden="false" customHeight="false" outlineLevel="0" collapsed="false">
      <c r="A1768" s="0" t="s">
        <v>261</v>
      </c>
      <c r="B1768" s="52" t="n">
        <v>44419</v>
      </c>
      <c r="C1768" s="0" t="n">
        <v>80800.683</v>
      </c>
      <c r="D1768" s="0" t="n">
        <v>16391.723</v>
      </c>
      <c r="E1768" s="0" t="n">
        <v>64408.96</v>
      </c>
      <c r="F1768" s="0" t="n">
        <v>29767.801</v>
      </c>
      <c r="G1768" s="0" t="n">
        <v>18941.275</v>
      </c>
      <c r="H1768" s="0" t="n">
        <v>10826.526</v>
      </c>
      <c r="I1768" s="0" t="n">
        <v>1497.163</v>
      </c>
      <c r="J1768" s="0" t="n">
        <v>33143.996</v>
      </c>
      <c r="K1768" s="0" t="n">
        <v>43383.6944938889</v>
      </c>
      <c r="L1768" s="0" t="n">
        <v>28723</v>
      </c>
      <c r="M1768" s="0" t="n">
        <v>28520</v>
      </c>
      <c r="N1768" s="0" t="n">
        <v>15</v>
      </c>
      <c r="O1768" s="54" t="n">
        <f aca="false">YEAR(B1768)</f>
        <v>2021</v>
      </c>
      <c r="P1768" s="54" t="n">
        <f aca="false">IF(AND(E1768&gt;=14400,K1768&gt;0,L1768&gt;0),1,0)</f>
        <v>1</v>
      </c>
      <c r="Q1768" s="53" t="n">
        <f aca="false">IF(P1768=1,F1768/E1768*MIN(L1768/K1768,1)*MIN(MAX(M1768/L1768,0),1),0)</f>
        <v>0.303824963932492</v>
      </c>
      <c r="R1768" s="55" t="n">
        <f aca="false">IF(F1768&gt;0,N1768/(F1768/3600),0)</f>
        <v>1.81404061388344</v>
      </c>
    </row>
    <row r="1769" customFormat="false" ht="15" hidden="false" customHeight="false" outlineLevel="0" collapsed="false">
      <c r="A1769" s="0" t="s">
        <v>261</v>
      </c>
      <c r="B1769" s="52" t="n">
        <v>44420</v>
      </c>
      <c r="C1769" s="0" t="n">
        <v>78515.487</v>
      </c>
      <c r="D1769" s="0" t="n">
        <v>19768.785</v>
      </c>
      <c r="E1769" s="0" t="n">
        <v>58746.702</v>
      </c>
      <c r="F1769" s="0" t="n">
        <v>49969.899</v>
      </c>
      <c r="G1769" s="0" t="n">
        <v>31316.506</v>
      </c>
      <c r="H1769" s="0" t="n">
        <v>18653.393</v>
      </c>
      <c r="I1769" s="0" t="n">
        <v>5313.408</v>
      </c>
      <c r="J1769" s="0" t="n">
        <v>3463.395</v>
      </c>
      <c r="K1769" s="0" t="n">
        <v>76732.4429638889</v>
      </c>
      <c r="L1769" s="0" t="n">
        <v>47992</v>
      </c>
      <c r="M1769" s="0" t="n">
        <v>47587</v>
      </c>
      <c r="N1769" s="0" t="n">
        <v>91</v>
      </c>
      <c r="O1769" s="54" t="n">
        <f aca="false">YEAR(B1769)</f>
        <v>2021</v>
      </c>
      <c r="P1769" s="54" t="n">
        <f aca="false">IF(AND(E1769&gt;=14400,K1769&gt;0,L1769&gt;0),1,0)</f>
        <v>1</v>
      </c>
      <c r="Q1769" s="53" t="n">
        <f aca="false">IF(P1769=1,F1769/E1769*MIN(L1769/K1769,1)*MIN(MAX(M1769/L1769,0),1),0)</f>
        <v>0.527514355084292</v>
      </c>
      <c r="R1769" s="55" t="n">
        <f aca="false">IF(F1769&gt;0,N1769/(F1769/3600),0)</f>
        <v>6.55594681109922</v>
      </c>
    </row>
    <row r="1770" customFormat="false" ht="15" hidden="false" customHeight="false" outlineLevel="0" collapsed="false">
      <c r="A1770" s="0" t="s">
        <v>261</v>
      </c>
      <c r="B1770" s="52" t="n">
        <v>44421</v>
      </c>
      <c r="C1770" s="0" t="n">
        <v>80780.361</v>
      </c>
      <c r="D1770" s="0" t="n">
        <v>18914.997</v>
      </c>
      <c r="E1770" s="0" t="n">
        <v>61865.364</v>
      </c>
      <c r="F1770" s="0" t="n">
        <v>51188.679</v>
      </c>
      <c r="G1770" s="0" t="n">
        <v>43159.061</v>
      </c>
      <c r="H1770" s="0" t="n">
        <v>8029.618</v>
      </c>
      <c r="I1770" s="0" t="n">
        <v>4282.544</v>
      </c>
      <c r="J1770" s="0" t="n">
        <v>6394.141</v>
      </c>
      <c r="K1770" s="0" t="n">
        <v>78574.622265</v>
      </c>
      <c r="L1770" s="0" t="n">
        <v>66074</v>
      </c>
      <c r="M1770" s="0" t="n">
        <v>65920</v>
      </c>
      <c r="N1770" s="0" t="n">
        <v>36</v>
      </c>
      <c r="O1770" s="54" t="n">
        <f aca="false">YEAR(B1770)</f>
        <v>2021</v>
      </c>
      <c r="P1770" s="54" t="n">
        <f aca="false">IF(AND(E1770&gt;=14400,K1770&gt;0,L1770&gt;0),1,0)</f>
        <v>1</v>
      </c>
      <c r="Q1770" s="53" t="n">
        <f aca="false">IF(P1770=1,F1770/E1770*MIN(L1770/K1770,1)*MIN(MAX(M1770/L1770,0),1),0)</f>
        <v>0.694162656299349</v>
      </c>
      <c r="R1770" s="55" t="n">
        <f aca="false">IF(F1770&gt;0,N1770/(F1770/3600),0)</f>
        <v>2.53180981677609</v>
      </c>
    </row>
    <row r="1771" customFormat="false" ht="15" hidden="false" customHeight="false" outlineLevel="0" collapsed="false">
      <c r="A1771" s="0" t="s">
        <v>261</v>
      </c>
      <c r="B1771" s="52" t="n">
        <v>44422</v>
      </c>
      <c r="C1771" s="0" t="n">
        <v>79314.766</v>
      </c>
      <c r="D1771" s="0" t="n">
        <v>11154.619</v>
      </c>
      <c r="E1771" s="0" t="n">
        <v>68160.147</v>
      </c>
      <c r="F1771" s="0" t="n">
        <v>51227.5</v>
      </c>
      <c r="G1771" s="0" t="n">
        <v>33883.456</v>
      </c>
      <c r="H1771" s="0" t="n">
        <v>17344.044</v>
      </c>
      <c r="I1771" s="0" t="n">
        <v>3134.031</v>
      </c>
      <c r="J1771" s="0" t="n">
        <v>13798.616</v>
      </c>
      <c r="K1771" s="0" t="n">
        <v>78653.80675</v>
      </c>
      <c r="L1771" s="0" t="n">
        <v>51829</v>
      </c>
      <c r="M1771" s="0" t="n">
        <v>51592</v>
      </c>
      <c r="N1771" s="0" t="n">
        <v>43</v>
      </c>
      <c r="O1771" s="54" t="n">
        <f aca="false">YEAR(B1771)</f>
        <v>2021</v>
      </c>
      <c r="P1771" s="54" t="n">
        <f aca="false">IF(AND(E1771&gt;=14400,K1771&gt;0,L1771&gt;0),1,0)</f>
        <v>1</v>
      </c>
      <c r="Q1771" s="53" t="n">
        <f aca="false">IF(P1771=1,F1771/E1771*MIN(L1771/K1771,1)*MIN(MAX(M1771/L1771,0),1),0)</f>
        <v>0.492986765686405</v>
      </c>
      <c r="R1771" s="55" t="n">
        <f aca="false">IF(F1771&gt;0,N1771/(F1771/3600),0)</f>
        <v>3.02181445512664</v>
      </c>
    </row>
    <row r="1772" customFormat="false" ht="15" hidden="false" customHeight="false" outlineLevel="0" collapsed="false">
      <c r="A1772" s="0" t="s">
        <v>261</v>
      </c>
      <c r="B1772" s="52" t="n">
        <v>44423</v>
      </c>
      <c r="C1772" s="0" t="n">
        <v>69428.521</v>
      </c>
      <c r="D1772" s="0" t="n">
        <v>30179.533</v>
      </c>
      <c r="E1772" s="0" t="n">
        <v>39248.988</v>
      </c>
      <c r="F1772" s="0" t="n">
        <v>15.121</v>
      </c>
      <c r="G1772" s="0" t="n">
        <v>0</v>
      </c>
      <c r="H1772" s="0" t="n">
        <v>15.121</v>
      </c>
      <c r="I1772" s="0" t="n">
        <v>0</v>
      </c>
      <c r="J1772" s="0" t="n">
        <v>39233.867</v>
      </c>
      <c r="K1772" s="0" t="n">
        <v>25.9409155555556</v>
      </c>
      <c r="L1772" s="0" t="n">
        <v>0</v>
      </c>
      <c r="M1772" s="0" t="n">
        <v>0</v>
      </c>
      <c r="N1772" s="0" t="n">
        <v>0</v>
      </c>
      <c r="O1772" s="54" t="n">
        <f aca="false">YEAR(B1772)</f>
        <v>2021</v>
      </c>
      <c r="P1772" s="54" t="n">
        <f aca="false">IF(AND(E1772&gt;=14400,K1772&gt;0,L1772&gt;0),1,0)</f>
        <v>0</v>
      </c>
      <c r="Q1772" s="53" t="n">
        <f aca="false">IF(P1772=1,F1772/E1772*MIN(L1772/K1772,1)*MIN(MAX(M1772/L1772,0),1),0)</f>
        <v>0</v>
      </c>
      <c r="R1772" s="55" t="n">
        <f aca="false">IF(F1772&gt;0,N1772/(F1772/3600),0)</f>
        <v>0</v>
      </c>
    </row>
    <row r="1773" customFormat="false" ht="15" hidden="false" customHeight="false" outlineLevel="0" collapsed="false">
      <c r="A1773" s="0" t="s">
        <v>261</v>
      </c>
      <c r="B1773" s="52" t="n">
        <v>44424</v>
      </c>
      <c r="C1773" s="0" t="n">
        <v>63452.844</v>
      </c>
      <c r="D1773" s="0" t="n">
        <v>1782.921</v>
      </c>
      <c r="E1773" s="0" t="n">
        <v>61669.923</v>
      </c>
      <c r="F1773" s="0" t="n">
        <v>52742.047</v>
      </c>
      <c r="G1773" s="0" t="n">
        <v>35151.798</v>
      </c>
      <c r="H1773" s="0" t="n">
        <v>17590.249</v>
      </c>
      <c r="I1773" s="0" t="n">
        <v>5428.23</v>
      </c>
      <c r="J1773" s="0" t="n">
        <v>3499.646</v>
      </c>
      <c r="K1773" s="0" t="n">
        <v>81071.0642283333</v>
      </c>
      <c r="L1773" s="0" t="n">
        <v>53706</v>
      </c>
      <c r="M1773" s="0" t="n">
        <v>53321</v>
      </c>
      <c r="N1773" s="0" t="n">
        <v>58</v>
      </c>
      <c r="O1773" s="54" t="n">
        <f aca="false">YEAR(B1773)</f>
        <v>2021</v>
      </c>
      <c r="P1773" s="54" t="n">
        <f aca="false">IF(AND(E1773&gt;=14400,K1773&gt;0,L1773&gt;0),1,0)</f>
        <v>1</v>
      </c>
      <c r="Q1773" s="53" t="n">
        <f aca="false">IF(P1773=1,F1773/E1773*MIN(L1773/K1773,1)*MIN(MAX(M1773/L1773,0),1),0)</f>
        <v>0.562491529563128</v>
      </c>
      <c r="R1773" s="55" t="n">
        <f aca="false">IF(F1773&gt;0,N1773/(F1773/3600),0)</f>
        <v>3.95889071199683</v>
      </c>
    </row>
    <row r="1774" customFormat="false" ht="15" hidden="false" customHeight="false" outlineLevel="0" collapsed="false">
      <c r="A1774" s="0" t="s">
        <v>261</v>
      </c>
      <c r="B1774" s="52" t="n">
        <v>44425</v>
      </c>
      <c r="C1774" s="0" t="n">
        <v>83147.322</v>
      </c>
      <c r="D1774" s="0" t="n">
        <v>15360.249</v>
      </c>
      <c r="E1774" s="0" t="n">
        <v>67787.073</v>
      </c>
      <c r="F1774" s="0" t="n">
        <v>58629.454</v>
      </c>
      <c r="G1774" s="0" t="n">
        <v>41733.996</v>
      </c>
      <c r="H1774" s="0" t="n">
        <v>16895.458</v>
      </c>
      <c r="I1774" s="0" t="n">
        <v>4807.317</v>
      </c>
      <c r="J1774" s="0" t="n">
        <v>4350.302</v>
      </c>
      <c r="K1774" s="0" t="n">
        <v>90005.29564</v>
      </c>
      <c r="L1774" s="0" t="n">
        <v>63820</v>
      </c>
      <c r="M1774" s="0" t="n">
        <v>63429</v>
      </c>
      <c r="N1774" s="0" t="n">
        <v>54</v>
      </c>
      <c r="O1774" s="54" t="n">
        <f aca="false">YEAR(B1774)</f>
        <v>2021</v>
      </c>
      <c r="P1774" s="54" t="n">
        <f aca="false">IF(AND(E1774&gt;=14400,K1774&gt;0,L1774&gt;0),1,0)</f>
        <v>1</v>
      </c>
      <c r="Q1774" s="53" t="n">
        <f aca="false">IF(P1774=1,F1774/E1774*MIN(L1774/K1774,1)*MIN(MAX(M1774/L1774,0),1),0)</f>
        <v>0.609521135614731</v>
      </c>
      <c r="R1774" s="55" t="n">
        <f aca="false">IF(F1774&gt;0,N1774/(F1774/3600),0)</f>
        <v>3.31573955984649</v>
      </c>
    </row>
    <row r="1775" customFormat="false" ht="15" hidden="false" customHeight="false" outlineLevel="0" collapsed="false">
      <c r="A1775" s="0" t="s">
        <v>261</v>
      </c>
      <c r="B1775" s="52" t="n">
        <v>44426</v>
      </c>
      <c r="C1775" s="0" t="n">
        <v>76741.875</v>
      </c>
      <c r="D1775" s="0" t="n">
        <v>15162.587</v>
      </c>
      <c r="E1775" s="0" t="n">
        <v>61579.288</v>
      </c>
      <c r="F1775" s="0" t="n">
        <v>1423.985</v>
      </c>
      <c r="G1775" s="0" t="n">
        <v>1172.316</v>
      </c>
      <c r="H1775" s="0" t="n">
        <v>251.669</v>
      </c>
      <c r="I1775" s="0" t="n">
        <v>199.249</v>
      </c>
      <c r="J1775" s="0" t="n">
        <v>59956.054</v>
      </c>
      <c r="K1775" s="0" t="n">
        <v>2185.816975</v>
      </c>
      <c r="L1775" s="0" t="n">
        <v>51193</v>
      </c>
      <c r="M1775" s="0" t="n">
        <v>50768</v>
      </c>
      <c r="N1775" s="0" t="n">
        <v>3</v>
      </c>
      <c r="O1775" s="54" t="n">
        <f aca="false">YEAR(B1775)</f>
        <v>2021</v>
      </c>
      <c r="P1775" s="54" t="n">
        <f aca="false">IF(AND(E1775&gt;=14400,K1775&gt;0,L1775&gt;0),1,0)</f>
        <v>1</v>
      </c>
      <c r="Q1775" s="53" t="n">
        <f aca="false">IF(P1775=1,F1775/E1775*MIN(L1775/K1775,1)*MIN(MAX(M1775/L1775,0),1),0)</f>
        <v>0.0229324378636762</v>
      </c>
      <c r="R1775" s="55" t="n">
        <f aca="false">IF(F1775&gt;0,N1775/(F1775/3600),0)</f>
        <v>7.5843495542439</v>
      </c>
    </row>
    <row r="1776" customFormat="false" ht="15" hidden="false" customHeight="false" outlineLevel="0" collapsed="false">
      <c r="A1776" s="0" t="s">
        <v>261</v>
      </c>
      <c r="B1776" s="52" t="n">
        <v>44427</v>
      </c>
      <c r="C1776" s="0" t="n">
        <v>77214.524</v>
      </c>
      <c r="D1776" s="0" t="n">
        <v>15164.553</v>
      </c>
      <c r="E1776" s="0" t="n">
        <v>62049.971</v>
      </c>
      <c r="F1776" s="0" t="n">
        <v>45828.868</v>
      </c>
      <c r="G1776" s="0" t="n">
        <v>31903.177</v>
      </c>
      <c r="H1776" s="0" t="n">
        <v>13925.691</v>
      </c>
      <c r="I1776" s="0" t="n">
        <v>4671.519</v>
      </c>
      <c r="J1776" s="0" t="n">
        <v>11549.584</v>
      </c>
      <c r="K1776" s="0" t="n">
        <v>70344.9155555556</v>
      </c>
      <c r="L1776" s="0" t="n">
        <v>48612</v>
      </c>
      <c r="M1776" s="0" t="n">
        <v>48264</v>
      </c>
      <c r="N1776" s="0" t="n">
        <v>56</v>
      </c>
      <c r="O1776" s="54" t="n">
        <f aca="false">YEAR(B1776)</f>
        <v>2021</v>
      </c>
      <c r="P1776" s="54" t="n">
        <f aca="false">IF(AND(E1776&gt;=14400,K1776&gt;0,L1776&gt;0),1,0)</f>
        <v>1</v>
      </c>
      <c r="Q1776" s="53" t="n">
        <f aca="false">IF(P1776=1,F1776/E1776*MIN(L1776/K1776,1)*MIN(MAX(M1776/L1776,0),1),0)</f>
        <v>0.506743453513938</v>
      </c>
      <c r="R1776" s="55" t="n">
        <f aca="false">IF(F1776&gt;0,N1776/(F1776/3600),0)</f>
        <v>4.39897402658953</v>
      </c>
    </row>
    <row r="1777" customFormat="false" ht="15" hidden="false" customHeight="false" outlineLevel="0" collapsed="false">
      <c r="A1777" s="0" t="s">
        <v>261</v>
      </c>
      <c r="B1777" s="52" t="n">
        <v>44428</v>
      </c>
      <c r="C1777" s="0" t="n">
        <v>75210.753</v>
      </c>
      <c r="D1777" s="0" t="n">
        <v>15672.094</v>
      </c>
      <c r="E1777" s="0" t="n">
        <v>59538.659</v>
      </c>
      <c r="F1777" s="0" t="n">
        <v>47485.709</v>
      </c>
      <c r="G1777" s="0" t="n">
        <v>32334.85</v>
      </c>
      <c r="H1777" s="0" t="n">
        <v>15150.859</v>
      </c>
      <c r="I1777" s="0" t="n">
        <v>7083.686</v>
      </c>
      <c r="J1777" s="0" t="n">
        <v>4969.264</v>
      </c>
      <c r="K1777" s="0" t="n">
        <v>76306.2077983333</v>
      </c>
      <c r="L1777" s="0" t="n">
        <v>52048</v>
      </c>
      <c r="M1777" s="0" t="n">
        <v>51964</v>
      </c>
      <c r="N1777" s="0" t="n">
        <v>39</v>
      </c>
      <c r="O1777" s="54" t="n">
        <f aca="false">YEAR(B1777)</f>
        <v>2021</v>
      </c>
      <c r="P1777" s="54" t="n">
        <f aca="false">IF(AND(E1777&gt;=14400,K1777&gt;0,L1777&gt;0),1,0)</f>
        <v>1</v>
      </c>
      <c r="Q1777" s="53" t="n">
        <f aca="false">IF(P1777=1,F1777/E1777*MIN(L1777/K1777,1)*MIN(MAX(M1777/L1777,0),1),0)</f>
        <v>0.54313348838866</v>
      </c>
      <c r="R1777" s="55" t="n">
        <f aca="false">IF(F1777&gt;0,N1777/(F1777/3600),0)</f>
        <v>2.9566790294739</v>
      </c>
    </row>
    <row r="1778" customFormat="false" ht="15" hidden="false" customHeight="false" outlineLevel="0" collapsed="false">
      <c r="A1778" s="0" t="s">
        <v>261</v>
      </c>
      <c r="B1778" s="52" t="n">
        <v>44429</v>
      </c>
      <c r="C1778" s="0" t="n">
        <v>77708.798</v>
      </c>
      <c r="D1778" s="0" t="n">
        <v>15751.608</v>
      </c>
      <c r="E1778" s="0" t="n">
        <v>61957.19</v>
      </c>
      <c r="F1778" s="0" t="n">
        <v>43187.587</v>
      </c>
      <c r="G1778" s="0" t="n">
        <v>23392.689</v>
      </c>
      <c r="H1778" s="0" t="n">
        <v>19794.898</v>
      </c>
      <c r="I1778" s="0" t="n">
        <v>3692.025</v>
      </c>
      <c r="J1778" s="0" t="n">
        <v>15077.578</v>
      </c>
      <c r="K1778" s="0" t="n">
        <v>66447.5505311111</v>
      </c>
      <c r="L1778" s="0" t="n">
        <v>35731</v>
      </c>
      <c r="M1778" s="0" t="n">
        <v>35319</v>
      </c>
      <c r="N1778" s="0" t="n">
        <v>56</v>
      </c>
      <c r="O1778" s="54" t="n">
        <f aca="false">YEAR(B1778)</f>
        <v>2021</v>
      </c>
      <c r="P1778" s="54" t="n">
        <f aca="false">IF(AND(E1778&gt;=14400,K1778&gt;0,L1778&gt;0),1,0)</f>
        <v>1</v>
      </c>
      <c r="Q1778" s="53" t="n">
        <f aca="false">IF(P1778=1,F1778/E1778*MIN(L1778/K1778,1)*MIN(MAX(M1778/L1778,0),1),0)</f>
        <v>0.370507198026069</v>
      </c>
      <c r="R1778" s="55" t="n">
        <f aca="false">IF(F1778&gt;0,N1778/(F1778/3600),0)</f>
        <v>4.66800796256573</v>
      </c>
    </row>
    <row r="1779" customFormat="false" ht="15" hidden="false" customHeight="false" outlineLevel="0" collapsed="false">
      <c r="A1779" s="0" t="s">
        <v>261</v>
      </c>
      <c r="B1779" s="52" t="n">
        <v>44430</v>
      </c>
      <c r="C1779" s="0" t="n">
        <v>900</v>
      </c>
      <c r="D1779" s="0" t="n">
        <v>0</v>
      </c>
      <c r="E1779" s="0" t="n">
        <v>900</v>
      </c>
      <c r="F1779" s="0" t="n">
        <v>0</v>
      </c>
      <c r="G1779" s="0" t="n">
        <v>0</v>
      </c>
      <c r="H1779" s="0" t="n">
        <v>0</v>
      </c>
      <c r="I1779" s="0" t="n">
        <v>0</v>
      </c>
      <c r="J1779" s="0" t="n">
        <v>900</v>
      </c>
      <c r="K1779" s="0" t="n">
        <v>0</v>
      </c>
      <c r="L1779" s="0" t="n">
        <v>0</v>
      </c>
      <c r="M1779" s="0" t="n">
        <v>0</v>
      </c>
      <c r="N1779" s="0" t="n">
        <v>0</v>
      </c>
      <c r="O1779" s="54" t="n">
        <f aca="false">YEAR(B1779)</f>
        <v>2021</v>
      </c>
      <c r="P1779" s="54" t="n">
        <f aca="false">IF(AND(E1779&gt;=14400,K1779&gt;0,L1779&gt;0),1,0)</f>
        <v>0</v>
      </c>
      <c r="Q1779" s="53" t="n">
        <f aca="false">IF(P1779=1,F1779/E1779*MIN(L1779/K1779,1)*MIN(MAX(M1779/L1779,0),1),0)</f>
        <v>0</v>
      </c>
      <c r="R1779" s="55" t="n">
        <f aca="false">IF(F1779&gt;0,N1779/(F1779/3600),0)</f>
        <v>0</v>
      </c>
    </row>
    <row r="1780" customFormat="false" ht="15" hidden="false" customHeight="false" outlineLevel="0" collapsed="false">
      <c r="A1780" s="0" t="s">
        <v>261</v>
      </c>
      <c r="B1780" s="52" t="n">
        <v>44431</v>
      </c>
      <c r="C1780" s="0" t="n">
        <v>72588.453</v>
      </c>
      <c r="D1780" s="0" t="n">
        <v>7509.267</v>
      </c>
      <c r="E1780" s="0" t="n">
        <v>65079.186</v>
      </c>
      <c r="F1780" s="0" t="n">
        <v>47213.87</v>
      </c>
      <c r="G1780" s="0" t="n">
        <v>14327.719</v>
      </c>
      <c r="H1780" s="0" t="n">
        <v>32886.151</v>
      </c>
      <c r="I1780" s="0" t="n">
        <v>3416.216</v>
      </c>
      <c r="J1780" s="0" t="n">
        <v>14449.1</v>
      </c>
      <c r="K1780" s="0" t="n">
        <v>68159.5349816667</v>
      </c>
      <c r="L1780" s="0" t="n">
        <v>19450</v>
      </c>
      <c r="M1780" s="0" t="n">
        <v>19095</v>
      </c>
      <c r="N1780" s="0" t="n">
        <v>47</v>
      </c>
      <c r="O1780" s="54" t="n">
        <f aca="false">YEAR(B1780)</f>
        <v>2021</v>
      </c>
      <c r="P1780" s="54" t="n">
        <f aca="false">IF(AND(E1780&gt;=14400,K1780&gt;0,L1780&gt;0),1,0)</f>
        <v>1</v>
      </c>
      <c r="Q1780" s="53" t="n">
        <f aca="false">IF(P1780=1,F1780/E1780*MIN(L1780/K1780,1)*MIN(MAX(M1780/L1780,0),1),0)</f>
        <v>0.203245309441018</v>
      </c>
      <c r="R1780" s="55" t="n">
        <f aca="false">IF(F1780&gt;0,N1780/(F1780/3600),0)</f>
        <v>3.5836926733606</v>
      </c>
    </row>
    <row r="1781" customFormat="false" ht="15" hidden="false" customHeight="false" outlineLevel="0" collapsed="false">
      <c r="A1781" s="0" t="s">
        <v>261</v>
      </c>
      <c r="B1781" s="52" t="n">
        <v>44432</v>
      </c>
      <c r="C1781" s="0" t="n">
        <v>81768.798</v>
      </c>
      <c r="D1781" s="0" t="n">
        <v>19448.979</v>
      </c>
      <c r="E1781" s="0" t="n">
        <v>62319.819</v>
      </c>
      <c r="F1781" s="0" t="n">
        <v>53163.645</v>
      </c>
      <c r="G1781" s="0" t="n">
        <v>35641.618</v>
      </c>
      <c r="H1781" s="0" t="n">
        <v>17522.027</v>
      </c>
      <c r="I1781" s="0" t="n">
        <v>1521.999</v>
      </c>
      <c r="J1781" s="0" t="n">
        <v>7634.175</v>
      </c>
      <c r="K1781" s="0" t="n">
        <v>72122.5570966667</v>
      </c>
      <c r="L1781" s="0" t="n">
        <v>47909</v>
      </c>
      <c r="M1781" s="0" t="n">
        <v>47519</v>
      </c>
      <c r="N1781" s="0" t="n">
        <v>26</v>
      </c>
      <c r="O1781" s="54" t="n">
        <f aca="false">YEAR(B1781)</f>
        <v>2021</v>
      </c>
      <c r="P1781" s="54" t="n">
        <f aca="false">IF(AND(E1781&gt;=14400,K1781&gt;0,L1781&gt;0),1,0)</f>
        <v>1</v>
      </c>
      <c r="Q1781" s="53" t="n">
        <f aca="false">IF(P1781=1,F1781/E1781*MIN(L1781/K1781,1)*MIN(MAX(M1781/L1781,0),1),0)</f>
        <v>0.562062670539357</v>
      </c>
      <c r="R1781" s="55" t="n">
        <f aca="false">IF(F1781&gt;0,N1781/(F1781/3600),0)</f>
        <v>1.76060162917723</v>
      </c>
    </row>
    <row r="1782" customFormat="false" ht="15" hidden="false" customHeight="false" outlineLevel="0" collapsed="false">
      <c r="A1782" s="0" t="s">
        <v>261</v>
      </c>
      <c r="B1782" s="52" t="n">
        <v>44433</v>
      </c>
      <c r="C1782" s="0" t="n">
        <v>40618.799</v>
      </c>
      <c r="D1782" s="0" t="n">
        <v>8945.847</v>
      </c>
      <c r="E1782" s="0" t="n">
        <v>31672.952</v>
      </c>
      <c r="F1782" s="0" t="n">
        <v>23910.204</v>
      </c>
      <c r="G1782" s="0" t="n">
        <v>20335.964</v>
      </c>
      <c r="H1782" s="0" t="n">
        <v>3574.24</v>
      </c>
      <c r="I1782" s="0" t="n">
        <v>673.166</v>
      </c>
      <c r="J1782" s="0" t="n">
        <v>7089.582</v>
      </c>
      <c r="K1782" s="0" t="n">
        <v>32469.5650011111</v>
      </c>
      <c r="L1782" s="0" t="n">
        <v>26247</v>
      </c>
      <c r="M1782" s="0" t="n">
        <v>26225</v>
      </c>
      <c r="N1782" s="0" t="n">
        <v>8</v>
      </c>
      <c r="O1782" s="54" t="n">
        <f aca="false">YEAR(B1782)</f>
        <v>2021</v>
      </c>
      <c r="P1782" s="54" t="n">
        <f aca="false">IF(AND(E1782&gt;=14400,K1782&gt;0,L1782&gt;0),1,0)</f>
        <v>1</v>
      </c>
      <c r="Q1782" s="53" t="n">
        <f aca="false">IF(P1782=1,F1782/E1782*MIN(L1782/K1782,1)*MIN(MAX(M1782/L1782,0),1),0)</f>
        <v>0.609724667287092</v>
      </c>
      <c r="R1782" s="55" t="n">
        <f aca="false">IF(F1782&gt;0,N1782/(F1782/3600),0)</f>
        <v>1.20450666167466</v>
      </c>
    </row>
    <row r="1783" customFormat="false" ht="15" hidden="false" customHeight="false" outlineLevel="0" collapsed="false">
      <c r="A1783" s="0" t="s">
        <v>261</v>
      </c>
      <c r="B1783" s="52" t="n">
        <v>44434</v>
      </c>
      <c r="C1783" s="0" t="n">
        <v>75096.254</v>
      </c>
      <c r="D1783" s="0" t="n">
        <v>14513.182</v>
      </c>
      <c r="E1783" s="0" t="n">
        <v>60583.072</v>
      </c>
      <c r="F1783" s="0" t="n">
        <v>53481.559</v>
      </c>
      <c r="G1783" s="0" t="n">
        <v>41958.519</v>
      </c>
      <c r="H1783" s="0" t="n">
        <v>11523.04</v>
      </c>
      <c r="I1783" s="0" t="n">
        <v>1711.66</v>
      </c>
      <c r="J1783" s="0" t="n">
        <v>5389.853</v>
      </c>
      <c r="K1783" s="0" t="n">
        <v>72657.5057038889</v>
      </c>
      <c r="L1783" s="0" t="n">
        <v>56642</v>
      </c>
      <c r="M1783" s="0" t="n">
        <v>56456</v>
      </c>
      <c r="N1783" s="0" t="n">
        <v>30</v>
      </c>
      <c r="O1783" s="54" t="n">
        <f aca="false">YEAR(B1783)</f>
        <v>2021</v>
      </c>
      <c r="P1783" s="54" t="n">
        <f aca="false">IF(AND(E1783&gt;=14400,K1783&gt;0,L1783&gt;0),1,0)</f>
        <v>1</v>
      </c>
      <c r="Q1783" s="53" t="n">
        <f aca="false">IF(P1783=1,F1783/E1783*MIN(L1783/K1783,1)*MIN(MAX(M1783/L1783,0),1),0)</f>
        <v>0.685934089440283</v>
      </c>
      <c r="R1783" s="55" t="n">
        <f aca="false">IF(F1783&gt;0,N1783/(F1783/3600),0)</f>
        <v>2.01938765472413</v>
      </c>
    </row>
    <row r="1784" customFormat="false" ht="15" hidden="false" customHeight="false" outlineLevel="0" collapsed="false">
      <c r="A1784" s="0" t="s">
        <v>261</v>
      </c>
      <c r="B1784" s="52" t="n">
        <v>44435</v>
      </c>
      <c r="C1784" s="0" t="n">
        <v>82305.406</v>
      </c>
      <c r="D1784" s="0" t="n">
        <v>16041.294</v>
      </c>
      <c r="E1784" s="0" t="n">
        <v>66264.112</v>
      </c>
      <c r="F1784" s="0" t="n">
        <v>56809.398</v>
      </c>
      <c r="G1784" s="0" t="n">
        <v>46057.28</v>
      </c>
      <c r="H1784" s="0" t="n">
        <v>10752.118</v>
      </c>
      <c r="I1784" s="0" t="n">
        <v>1034.345</v>
      </c>
      <c r="J1784" s="0" t="n">
        <v>8420.369</v>
      </c>
      <c r="K1784" s="0" t="n">
        <v>76945.1735133333</v>
      </c>
      <c r="L1784" s="0" t="n">
        <v>62274</v>
      </c>
      <c r="M1784" s="0" t="n">
        <v>62124</v>
      </c>
      <c r="N1784" s="0" t="n">
        <v>14</v>
      </c>
      <c r="O1784" s="54" t="n">
        <f aca="false">YEAR(B1784)</f>
        <v>2021</v>
      </c>
      <c r="P1784" s="54" t="n">
        <f aca="false">IF(AND(E1784&gt;=14400,K1784&gt;0,L1784&gt;0),1,0)</f>
        <v>1</v>
      </c>
      <c r="Q1784" s="53" t="n">
        <f aca="false">IF(P1784=1,F1784/E1784*MIN(L1784/K1784,1)*MIN(MAX(M1784/L1784,0),1),0)</f>
        <v>0.69218125259023</v>
      </c>
      <c r="R1784" s="55" t="n">
        <f aca="false">IF(F1784&gt;0,N1784/(F1784/3600),0)</f>
        <v>0.887177153329455</v>
      </c>
    </row>
    <row r="1785" customFormat="false" ht="15" hidden="false" customHeight="false" outlineLevel="0" collapsed="false">
      <c r="A1785" s="0" t="s">
        <v>261</v>
      </c>
      <c r="B1785" s="52" t="n">
        <v>44436</v>
      </c>
      <c r="C1785" s="0" t="n">
        <v>74157.285</v>
      </c>
      <c r="D1785" s="0" t="n">
        <v>3871.595</v>
      </c>
      <c r="E1785" s="0" t="n">
        <v>70285.69</v>
      </c>
      <c r="F1785" s="0" t="n">
        <v>63129.669</v>
      </c>
      <c r="G1785" s="0" t="n">
        <v>44851.473</v>
      </c>
      <c r="H1785" s="0" t="n">
        <v>18278.196</v>
      </c>
      <c r="I1785" s="0" t="n">
        <v>3144.292</v>
      </c>
      <c r="J1785" s="0" t="n">
        <v>4011.729</v>
      </c>
      <c r="K1785" s="0" t="n">
        <v>85898.2653872222</v>
      </c>
      <c r="L1785" s="0" t="n">
        <v>60449</v>
      </c>
      <c r="M1785" s="0" t="n">
        <v>60045</v>
      </c>
      <c r="N1785" s="0" t="n">
        <v>28</v>
      </c>
      <c r="O1785" s="54" t="n">
        <f aca="false">YEAR(B1785)</f>
        <v>2021</v>
      </c>
      <c r="P1785" s="54" t="n">
        <f aca="false">IF(AND(E1785&gt;=14400,K1785&gt;0,L1785&gt;0),1,0)</f>
        <v>1</v>
      </c>
      <c r="Q1785" s="53" t="n">
        <f aca="false">IF(P1785=1,F1785/E1785*MIN(L1785/K1785,1)*MIN(MAX(M1785/L1785,0),1),0)</f>
        <v>0.627854562965715</v>
      </c>
      <c r="R1785" s="55" t="n">
        <f aca="false">IF(F1785&gt;0,N1785/(F1785/3600),0)</f>
        <v>1.59671358327572</v>
      </c>
    </row>
    <row r="1786" customFormat="false" ht="15" hidden="false" customHeight="false" outlineLevel="0" collapsed="false">
      <c r="A1786" s="0" t="s">
        <v>261</v>
      </c>
      <c r="B1786" s="52" t="n">
        <v>44437</v>
      </c>
      <c r="C1786" s="0" t="n">
        <v>47342.915</v>
      </c>
      <c r="D1786" s="0" t="n">
        <v>933.038</v>
      </c>
      <c r="E1786" s="0" t="n">
        <v>46409.877</v>
      </c>
      <c r="F1786" s="0" t="n">
        <v>41515.314</v>
      </c>
      <c r="G1786" s="0" t="n">
        <v>29703.232</v>
      </c>
      <c r="H1786" s="0" t="n">
        <v>11812.082</v>
      </c>
      <c r="I1786" s="0" t="n">
        <v>1460.978</v>
      </c>
      <c r="J1786" s="0" t="n">
        <v>3433.585</v>
      </c>
      <c r="K1786" s="0" t="n">
        <v>59822.5610288889</v>
      </c>
      <c r="L1786" s="0" t="n">
        <v>42752</v>
      </c>
      <c r="M1786" s="0" t="n">
        <v>42589</v>
      </c>
      <c r="N1786" s="0" t="n">
        <v>43</v>
      </c>
      <c r="O1786" s="54" t="n">
        <f aca="false">YEAR(B1786)</f>
        <v>2021</v>
      </c>
      <c r="P1786" s="54" t="n">
        <f aca="false">IF(AND(E1786&gt;=14400,K1786&gt;0,L1786&gt;0),1,0)</f>
        <v>1</v>
      </c>
      <c r="Q1786" s="53" t="n">
        <f aca="false">IF(P1786=1,F1786/E1786*MIN(L1786/K1786,1)*MIN(MAX(M1786/L1786,0),1),0)</f>
        <v>0.636840025502092</v>
      </c>
      <c r="R1786" s="55" t="n">
        <f aca="false">IF(F1786&gt;0,N1786/(F1786/3600),0)</f>
        <v>3.72874453027141</v>
      </c>
    </row>
    <row r="1787" customFormat="false" ht="15" hidden="false" customHeight="false" outlineLevel="0" collapsed="false">
      <c r="A1787" s="0" t="s">
        <v>261</v>
      </c>
      <c r="B1787" s="52" t="n">
        <v>44438</v>
      </c>
      <c r="C1787" s="0" t="n">
        <v>75730.745</v>
      </c>
      <c r="D1787" s="0" t="n">
        <v>366.499</v>
      </c>
      <c r="E1787" s="0" t="n">
        <v>75364.246</v>
      </c>
      <c r="F1787" s="0" t="n">
        <v>43872.236</v>
      </c>
      <c r="G1787" s="0" t="n">
        <v>34572.723</v>
      </c>
      <c r="H1787" s="0" t="n">
        <v>9299.513</v>
      </c>
      <c r="I1787" s="0" t="n">
        <v>3033.932</v>
      </c>
      <c r="J1787" s="0" t="n">
        <v>28458.078</v>
      </c>
      <c r="K1787" s="0" t="n">
        <v>59387.5635116667</v>
      </c>
      <c r="L1787" s="0" t="n">
        <v>46262</v>
      </c>
      <c r="M1787" s="0" t="n">
        <v>46011</v>
      </c>
      <c r="N1787" s="0" t="n">
        <v>54</v>
      </c>
      <c r="O1787" s="54" t="n">
        <f aca="false">YEAR(B1787)</f>
        <v>2021</v>
      </c>
      <c r="P1787" s="54" t="n">
        <f aca="false">IF(AND(E1787&gt;=14400,K1787&gt;0,L1787&gt;0),1,0)</f>
        <v>1</v>
      </c>
      <c r="Q1787" s="53" t="n">
        <f aca="false">IF(P1787=1,F1787/E1787*MIN(L1787/K1787,1)*MIN(MAX(M1787/L1787,0),1),0)</f>
        <v>0.451014573371827</v>
      </c>
      <c r="R1787" s="55" t="n">
        <f aca="false">IF(F1787&gt;0,N1787/(F1787/3600),0)</f>
        <v>4.43104837419274</v>
      </c>
    </row>
    <row r="1788" customFormat="false" ht="15" hidden="false" customHeight="false" outlineLevel="0" collapsed="false">
      <c r="A1788" s="0" t="s">
        <v>261</v>
      </c>
      <c r="B1788" s="52" t="n">
        <v>44439</v>
      </c>
      <c r="C1788" s="0" t="n">
        <v>93008.657</v>
      </c>
      <c r="D1788" s="0" t="n">
        <v>28769.401</v>
      </c>
      <c r="E1788" s="0" t="n">
        <v>64239.256</v>
      </c>
      <c r="F1788" s="0" t="n">
        <v>48259.473</v>
      </c>
      <c r="G1788" s="0" t="n">
        <v>33367.162</v>
      </c>
      <c r="H1788" s="0" t="n">
        <v>14892.311</v>
      </c>
      <c r="I1788" s="0" t="n">
        <v>7834.666</v>
      </c>
      <c r="J1788" s="0" t="n">
        <v>8145.117</v>
      </c>
      <c r="K1788" s="0" t="n">
        <v>65112.3640908333</v>
      </c>
      <c r="L1788" s="0" t="n">
        <v>44521</v>
      </c>
      <c r="M1788" s="0" t="n">
        <v>44083</v>
      </c>
      <c r="N1788" s="0" t="n">
        <v>112</v>
      </c>
      <c r="O1788" s="54" t="n">
        <f aca="false">YEAR(B1788)</f>
        <v>2021</v>
      </c>
      <c r="P1788" s="54" t="n">
        <f aca="false">IF(AND(E1788&gt;=14400,K1788&gt;0,L1788&gt;0),1,0)</f>
        <v>1</v>
      </c>
      <c r="Q1788" s="53" t="n">
        <f aca="false">IF(P1788=1,F1788/E1788*MIN(L1788/K1788,1)*MIN(MAX(M1788/L1788,0),1),0)</f>
        <v>0.508615686964256</v>
      </c>
      <c r="R1788" s="55" t="n">
        <f aca="false">IF(F1788&gt;0,N1788/(F1788/3600),0)</f>
        <v>8.3548363654945</v>
      </c>
    </row>
    <row r="1789" customFormat="false" ht="15" hidden="false" customHeight="false" outlineLevel="0" collapsed="false">
      <c r="A1789" s="0" t="s">
        <v>261</v>
      </c>
      <c r="B1789" s="52" t="n">
        <v>44440</v>
      </c>
      <c r="C1789" s="0" t="n">
        <v>64419.033</v>
      </c>
      <c r="D1789" s="0" t="n">
        <v>1345.064</v>
      </c>
      <c r="E1789" s="0" t="n">
        <v>63073.969</v>
      </c>
      <c r="F1789" s="0" t="n">
        <v>41553.339</v>
      </c>
      <c r="G1789" s="0" t="n">
        <v>28111.337</v>
      </c>
      <c r="H1789" s="0" t="n">
        <v>13442.002</v>
      </c>
      <c r="I1789" s="0" t="n">
        <v>4822.165</v>
      </c>
      <c r="J1789" s="0" t="n">
        <v>16698.465</v>
      </c>
      <c r="K1789" s="0" t="n">
        <v>56272.845975</v>
      </c>
      <c r="L1789" s="0" t="n">
        <v>34937</v>
      </c>
      <c r="M1789" s="0" t="n">
        <v>34629</v>
      </c>
      <c r="N1789" s="0" t="n">
        <v>103</v>
      </c>
      <c r="O1789" s="54" t="n">
        <f aca="false">YEAR(B1789)</f>
        <v>2021</v>
      </c>
      <c r="P1789" s="54" t="n">
        <f aca="false">IF(AND(E1789&gt;=14400,K1789&gt;0,L1789&gt;0),1,0)</f>
        <v>1</v>
      </c>
      <c r="Q1789" s="53" t="n">
        <f aca="false">IF(P1789=1,F1789/E1789*MIN(L1789/K1789,1)*MIN(MAX(M1789/L1789,0),1),0)</f>
        <v>0.405412221891969</v>
      </c>
      <c r="R1789" s="55" t="n">
        <f aca="false">IF(F1789&gt;0,N1789/(F1789/3600),0)</f>
        <v>8.92347062651211</v>
      </c>
    </row>
    <row r="1790" customFormat="false" ht="15" hidden="false" customHeight="false" outlineLevel="0" collapsed="false">
      <c r="A1790" s="0" t="s">
        <v>261</v>
      </c>
      <c r="B1790" s="52" t="n">
        <v>44441</v>
      </c>
      <c r="C1790" s="0" t="n">
        <v>96787.224</v>
      </c>
      <c r="D1790" s="0" t="n">
        <v>36127.495</v>
      </c>
      <c r="E1790" s="0" t="n">
        <v>60659.729</v>
      </c>
      <c r="F1790" s="0" t="n">
        <v>52846.417</v>
      </c>
      <c r="G1790" s="0" t="n">
        <v>43750.039</v>
      </c>
      <c r="H1790" s="0" t="n">
        <v>9096.378</v>
      </c>
      <c r="I1790" s="0" t="n">
        <v>2237.493</v>
      </c>
      <c r="J1790" s="0" t="n">
        <v>5575.819</v>
      </c>
      <c r="K1790" s="0" t="n">
        <v>68728.4426144444</v>
      </c>
      <c r="L1790" s="0" t="n">
        <v>56609</v>
      </c>
      <c r="M1790" s="0" t="n">
        <v>56400</v>
      </c>
      <c r="N1790" s="0" t="n">
        <v>41</v>
      </c>
      <c r="O1790" s="54" t="n">
        <f aca="false">YEAR(B1790)</f>
        <v>2021</v>
      </c>
      <c r="P1790" s="54" t="n">
        <f aca="false">IF(AND(E1790&gt;=14400,K1790&gt;0,L1790&gt;0),1,0)</f>
        <v>1</v>
      </c>
      <c r="Q1790" s="53" t="n">
        <f aca="false">IF(P1790=1,F1790/E1790*MIN(L1790/K1790,1)*MIN(MAX(M1790/L1790,0),1),0)</f>
        <v>0.714920388489956</v>
      </c>
      <c r="R1790" s="55" t="n">
        <f aca="false">IF(F1790&gt;0,N1790/(F1790/3600),0)</f>
        <v>2.79299919235773</v>
      </c>
    </row>
    <row r="1791" customFormat="false" ht="15" hidden="false" customHeight="false" outlineLevel="0" collapsed="false">
      <c r="A1791" s="0" t="s">
        <v>261</v>
      </c>
      <c r="B1791" s="52" t="n">
        <v>44442</v>
      </c>
      <c r="C1791" s="0" t="n">
        <v>58169.113</v>
      </c>
      <c r="D1791" s="0" t="n">
        <v>167.27</v>
      </c>
      <c r="E1791" s="0" t="n">
        <v>58001.843</v>
      </c>
      <c r="F1791" s="0" t="n">
        <v>50767.404</v>
      </c>
      <c r="G1791" s="0" t="n">
        <v>39923.607</v>
      </c>
      <c r="H1791" s="0" t="n">
        <v>10843.797</v>
      </c>
      <c r="I1791" s="0" t="n">
        <v>2707.686</v>
      </c>
      <c r="J1791" s="0" t="n">
        <v>4526.753</v>
      </c>
      <c r="K1791" s="0" t="n">
        <v>66333.0315955556</v>
      </c>
      <c r="L1791" s="0" t="n">
        <v>51792</v>
      </c>
      <c r="M1791" s="0" t="n">
        <v>51589</v>
      </c>
      <c r="N1791" s="0" t="n">
        <v>44</v>
      </c>
      <c r="O1791" s="54" t="n">
        <f aca="false">YEAR(B1791)</f>
        <v>2021</v>
      </c>
      <c r="P1791" s="54" t="n">
        <f aca="false">IF(AND(E1791&gt;=14400,K1791&gt;0,L1791&gt;0),1,0)</f>
        <v>1</v>
      </c>
      <c r="Q1791" s="53" t="n">
        <f aca="false">IF(P1791=1,F1791/E1791*MIN(L1791/K1791,1)*MIN(MAX(M1791/L1791,0),1),0)</f>
        <v>0.680723002568933</v>
      </c>
      <c r="R1791" s="55" t="n">
        <f aca="false">IF(F1791&gt;0,N1791/(F1791/3600),0)</f>
        <v>3.12011226731231</v>
      </c>
    </row>
    <row r="1792" customFormat="false" ht="15" hidden="false" customHeight="false" outlineLevel="0" collapsed="false">
      <c r="A1792" s="0" t="s">
        <v>261</v>
      </c>
      <c r="B1792" s="52" t="n">
        <v>44443</v>
      </c>
      <c r="C1792" s="0" t="n">
        <v>73256.144</v>
      </c>
      <c r="D1792" s="0" t="n">
        <v>13260.603</v>
      </c>
      <c r="E1792" s="0" t="n">
        <v>59995.541</v>
      </c>
      <c r="F1792" s="0" t="n">
        <v>51461.809</v>
      </c>
      <c r="G1792" s="0" t="n">
        <v>34996.328</v>
      </c>
      <c r="H1792" s="0" t="n">
        <v>16465.481</v>
      </c>
      <c r="I1792" s="0" t="n">
        <v>2772.145</v>
      </c>
      <c r="J1792" s="0" t="n">
        <v>5761.587</v>
      </c>
      <c r="K1792" s="0" t="n">
        <v>65069.087175</v>
      </c>
      <c r="L1792" s="0" t="n">
        <v>43914</v>
      </c>
      <c r="M1792" s="0" t="n">
        <v>43630</v>
      </c>
      <c r="N1792" s="0" t="n">
        <v>55</v>
      </c>
      <c r="O1792" s="54" t="n">
        <f aca="false">YEAR(B1792)</f>
        <v>2021</v>
      </c>
      <c r="P1792" s="54" t="n">
        <f aca="false">IF(AND(E1792&gt;=14400,K1792&gt;0,L1792&gt;0),1,0)</f>
        <v>1</v>
      </c>
      <c r="Q1792" s="53" t="n">
        <f aca="false">IF(P1792=1,F1792/E1792*MIN(L1792/K1792,1)*MIN(MAX(M1792/L1792,0),1),0)</f>
        <v>0.575143973426074</v>
      </c>
      <c r="R1792" s="55" t="n">
        <f aca="false">IF(F1792&gt;0,N1792/(F1792/3600),0)</f>
        <v>3.8475134055237</v>
      </c>
    </row>
    <row r="1793" customFormat="false" ht="15" hidden="false" customHeight="false" outlineLevel="0" collapsed="false">
      <c r="A1793" s="0" t="s">
        <v>261</v>
      </c>
      <c r="B1793" s="52" t="n">
        <v>44444</v>
      </c>
      <c r="C1793" s="0" t="n">
        <v>1039.888</v>
      </c>
      <c r="D1793" s="0" t="n">
        <v>900</v>
      </c>
      <c r="E1793" s="0" t="n">
        <v>139.888</v>
      </c>
      <c r="F1793" s="0" t="n">
        <v>0</v>
      </c>
      <c r="G1793" s="0" t="n">
        <v>0</v>
      </c>
      <c r="H1793" s="0" t="n">
        <v>0</v>
      </c>
      <c r="I1793" s="0" t="n">
        <v>0</v>
      </c>
      <c r="J1793" s="0" t="n">
        <v>139.888</v>
      </c>
      <c r="K1793" s="0" t="n">
        <v>0</v>
      </c>
      <c r="L1793" s="0" t="n">
        <v>0</v>
      </c>
      <c r="M1793" s="0" t="n">
        <v>0</v>
      </c>
      <c r="N1793" s="0" t="n">
        <v>0</v>
      </c>
      <c r="O1793" s="54" t="n">
        <f aca="false">YEAR(B1793)</f>
        <v>2021</v>
      </c>
      <c r="P1793" s="54" t="n">
        <f aca="false">IF(AND(E1793&gt;=14400,K1793&gt;0,L1793&gt;0),1,0)</f>
        <v>0</v>
      </c>
      <c r="Q1793" s="53" t="n">
        <f aca="false">IF(P1793=1,F1793/E1793*MIN(L1793/K1793,1)*MIN(MAX(M1793/L1793,0),1),0)</f>
        <v>0</v>
      </c>
      <c r="R1793" s="55" t="n">
        <f aca="false">IF(F1793&gt;0,N1793/(F1793/3600),0)</f>
        <v>0</v>
      </c>
    </row>
    <row r="1794" customFormat="false" ht="15" hidden="false" customHeight="false" outlineLevel="0" collapsed="false">
      <c r="A1794" s="0" t="s">
        <v>261</v>
      </c>
      <c r="B1794" s="52" t="n">
        <v>44445</v>
      </c>
      <c r="C1794" s="0" t="n">
        <v>63906.496</v>
      </c>
      <c r="D1794" s="0" t="n">
        <v>1028.627</v>
      </c>
      <c r="E1794" s="0" t="n">
        <v>62877.869</v>
      </c>
      <c r="F1794" s="0" t="n">
        <v>59385.118</v>
      </c>
      <c r="G1794" s="0" t="n">
        <v>46166.61</v>
      </c>
      <c r="H1794" s="0" t="n">
        <v>13218.508</v>
      </c>
      <c r="I1794" s="0" t="n">
        <v>1972.296</v>
      </c>
      <c r="J1794" s="0" t="n">
        <v>1520.455</v>
      </c>
      <c r="K1794" s="0" t="n">
        <v>75259.6865122222</v>
      </c>
      <c r="L1794" s="0" t="n">
        <v>58213</v>
      </c>
      <c r="M1794" s="0" t="n">
        <v>58107</v>
      </c>
      <c r="N1794" s="0" t="n">
        <v>27</v>
      </c>
      <c r="O1794" s="54" t="n">
        <f aca="false">YEAR(B1794)</f>
        <v>2021</v>
      </c>
      <c r="P1794" s="54" t="n">
        <f aca="false">IF(AND(E1794&gt;=14400,K1794&gt;0,L1794&gt;0),1,0)</f>
        <v>1</v>
      </c>
      <c r="Q1794" s="53" t="n">
        <f aca="false">IF(P1794=1,F1794/E1794*MIN(L1794/K1794,1)*MIN(MAX(M1794/L1794,0),1),0)</f>
        <v>0.72919865361121</v>
      </c>
      <c r="R1794" s="55" t="n">
        <f aca="false">IF(F1794&gt;0,N1794/(F1794/3600),0)</f>
        <v>1.63677371155514</v>
      </c>
    </row>
    <row r="1795" customFormat="false" ht="15" hidden="false" customHeight="false" outlineLevel="0" collapsed="false">
      <c r="A1795" s="0" t="s">
        <v>261</v>
      </c>
      <c r="B1795" s="52" t="n">
        <v>44446</v>
      </c>
      <c r="C1795" s="0" t="n">
        <v>76520.167</v>
      </c>
      <c r="D1795" s="0" t="n">
        <v>15196.604</v>
      </c>
      <c r="E1795" s="0" t="n">
        <v>61323.563</v>
      </c>
      <c r="F1795" s="0" t="n">
        <v>54372.271</v>
      </c>
      <c r="G1795" s="0" t="n">
        <v>38998.079</v>
      </c>
      <c r="H1795" s="0" t="n">
        <v>15374.192</v>
      </c>
      <c r="I1795" s="0" t="n">
        <v>1050.726</v>
      </c>
      <c r="J1795" s="0" t="n">
        <v>5900.566</v>
      </c>
      <c r="K1795" s="0" t="n">
        <v>69259.4364716667</v>
      </c>
      <c r="L1795" s="0" t="n">
        <v>49128</v>
      </c>
      <c r="M1795" s="0" t="n">
        <v>49022</v>
      </c>
      <c r="N1795" s="0" t="n">
        <v>16</v>
      </c>
      <c r="O1795" s="54" t="n">
        <f aca="false">YEAR(B1795)</f>
        <v>2021</v>
      </c>
      <c r="P1795" s="54" t="n">
        <f aca="false">IF(AND(E1795&gt;=14400,K1795&gt;0,L1795&gt;0),1,0)</f>
        <v>1</v>
      </c>
      <c r="Q1795" s="53" t="n">
        <f aca="false">IF(P1795=1,F1795/E1795*MIN(L1795/K1795,1)*MIN(MAX(M1795/L1795,0),1),0)</f>
        <v>0.62756998565164</v>
      </c>
      <c r="R1795" s="55" t="n">
        <f aca="false">IF(F1795&gt;0,N1795/(F1795/3600),0)</f>
        <v>1.05936351269933</v>
      </c>
    </row>
    <row r="1796" customFormat="false" ht="15" hidden="false" customHeight="false" outlineLevel="0" collapsed="false">
      <c r="A1796" s="0" t="s">
        <v>261</v>
      </c>
      <c r="B1796" s="52" t="n">
        <v>44447</v>
      </c>
      <c r="C1796" s="0" t="n">
        <v>99893.409</v>
      </c>
      <c r="D1796" s="0" t="n">
        <v>42976.17</v>
      </c>
      <c r="E1796" s="0" t="n">
        <v>56917.239</v>
      </c>
      <c r="F1796" s="0" t="n">
        <v>53686.128</v>
      </c>
      <c r="G1796" s="0" t="n">
        <v>44996.901</v>
      </c>
      <c r="H1796" s="0" t="n">
        <v>8689.227</v>
      </c>
      <c r="I1796" s="0" t="n">
        <v>1620.469</v>
      </c>
      <c r="J1796" s="0" t="n">
        <v>1610.642</v>
      </c>
      <c r="K1796" s="0" t="n">
        <v>67853.3006666667</v>
      </c>
      <c r="L1796" s="0" t="n">
        <v>56736</v>
      </c>
      <c r="M1796" s="0" t="n">
        <v>56389</v>
      </c>
      <c r="N1796" s="0" t="n">
        <v>22</v>
      </c>
      <c r="O1796" s="54" t="n">
        <f aca="false">YEAR(B1796)</f>
        <v>2021</v>
      </c>
      <c r="P1796" s="54" t="n">
        <f aca="false">IF(AND(E1796&gt;=14400,K1796&gt;0,L1796&gt;0),1,0)</f>
        <v>1</v>
      </c>
      <c r="Q1796" s="53" t="n">
        <f aca="false">IF(P1796=1,F1796/E1796*MIN(L1796/K1796,1)*MIN(MAX(M1796/L1796,0),1),0)</f>
        <v>0.783865719970579</v>
      </c>
      <c r="R1796" s="55" t="n">
        <f aca="false">IF(F1796&gt;0,N1796/(F1796/3600),0)</f>
        <v>1.4752414254945</v>
      </c>
    </row>
    <row r="1797" customFormat="false" ht="15" hidden="false" customHeight="false" outlineLevel="0" collapsed="false">
      <c r="A1797" s="0" t="s">
        <v>261</v>
      </c>
      <c r="B1797" s="52" t="n">
        <v>44448</v>
      </c>
      <c r="C1797" s="0" t="n">
        <v>61630.158</v>
      </c>
      <c r="D1797" s="0" t="n">
        <v>900</v>
      </c>
      <c r="E1797" s="0" t="n">
        <v>60730.158</v>
      </c>
      <c r="F1797" s="0" t="n">
        <v>54324.073</v>
      </c>
      <c r="G1797" s="0" t="n">
        <v>35851.658</v>
      </c>
      <c r="H1797" s="0" t="n">
        <v>18472.415</v>
      </c>
      <c r="I1797" s="0" t="n">
        <v>997.729</v>
      </c>
      <c r="J1797" s="0" t="n">
        <v>5408.356</v>
      </c>
      <c r="K1797" s="0" t="n">
        <v>68659.5922638889</v>
      </c>
      <c r="L1797" s="0" t="n">
        <v>43756</v>
      </c>
      <c r="M1797" s="0" t="n">
        <v>43494</v>
      </c>
      <c r="N1797" s="0" t="n">
        <v>13</v>
      </c>
      <c r="O1797" s="54" t="n">
        <f aca="false">YEAR(B1797)</f>
        <v>2021</v>
      </c>
      <c r="P1797" s="54" t="n">
        <f aca="false">IF(AND(E1797&gt;=14400,K1797&gt;0,L1797&gt;0),1,0)</f>
        <v>1</v>
      </c>
      <c r="Q1797" s="53" t="n">
        <f aca="false">IF(P1797=1,F1797/E1797*MIN(L1797/K1797,1)*MIN(MAX(M1797/L1797,0),1),0)</f>
        <v>0.566651500640508</v>
      </c>
      <c r="R1797" s="55" t="n">
        <f aca="false">IF(F1797&gt;0,N1797/(F1797/3600),0)</f>
        <v>0.861496522913516</v>
      </c>
    </row>
    <row r="1798" customFormat="false" ht="15" hidden="false" customHeight="false" outlineLevel="0" collapsed="false">
      <c r="A1798" s="0" t="s">
        <v>261</v>
      </c>
      <c r="B1798" s="52" t="n">
        <v>44449</v>
      </c>
      <c r="C1798" s="0" t="n">
        <v>77121.476</v>
      </c>
      <c r="D1798" s="0" t="n">
        <v>18843.825</v>
      </c>
      <c r="E1798" s="0" t="n">
        <v>58277.651</v>
      </c>
      <c r="F1798" s="0" t="n">
        <v>51968.364</v>
      </c>
      <c r="G1798" s="0" t="n">
        <v>28655.857</v>
      </c>
      <c r="H1798" s="0" t="n">
        <v>23312.507</v>
      </c>
      <c r="I1798" s="0" t="n">
        <v>1546.769</v>
      </c>
      <c r="J1798" s="0" t="n">
        <v>4762.518</v>
      </c>
      <c r="K1798" s="0" t="n">
        <v>65682.2378333333</v>
      </c>
      <c r="L1798" s="0" t="n">
        <v>35340</v>
      </c>
      <c r="M1798" s="0" t="n">
        <v>34978</v>
      </c>
      <c r="N1798" s="0" t="n">
        <v>22</v>
      </c>
      <c r="O1798" s="54" t="n">
        <f aca="false">YEAR(B1798)</f>
        <v>2021</v>
      </c>
      <c r="P1798" s="54" t="n">
        <f aca="false">IF(AND(E1798&gt;=14400,K1798&gt;0,L1798&gt;0),1,0)</f>
        <v>1</v>
      </c>
      <c r="Q1798" s="53" t="n">
        <f aca="false">IF(P1798=1,F1798/E1798*MIN(L1798/K1798,1)*MIN(MAX(M1798/L1798,0),1),0)</f>
        <v>0.474880174887301</v>
      </c>
      <c r="R1798" s="55" t="n">
        <f aca="false">IF(F1798&gt;0,N1798/(F1798/3600),0)</f>
        <v>1.52400410372741</v>
      </c>
    </row>
    <row r="1799" customFormat="false" ht="15" hidden="false" customHeight="false" outlineLevel="0" collapsed="false">
      <c r="A1799" s="0" t="s">
        <v>261</v>
      </c>
      <c r="B1799" s="52" t="n">
        <v>44450</v>
      </c>
      <c r="C1799" s="0" t="n">
        <v>36037.934</v>
      </c>
      <c r="D1799" s="0" t="n">
        <v>35116.812</v>
      </c>
      <c r="E1799" s="0" t="n">
        <v>921.122</v>
      </c>
      <c r="F1799" s="0" t="n">
        <v>0</v>
      </c>
      <c r="G1799" s="0" t="n">
        <v>0</v>
      </c>
      <c r="H1799" s="0" t="n">
        <v>0</v>
      </c>
      <c r="I1799" s="0" t="n">
        <v>0</v>
      </c>
      <c r="J1799" s="0" t="n">
        <v>921.122</v>
      </c>
      <c r="K1799" s="0" t="n">
        <v>0</v>
      </c>
      <c r="L1799" s="0" t="n">
        <v>0</v>
      </c>
      <c r="M1799" s="0" t="n">
        <v>0</v>
      </c>
      <c r="N1799" s="0" t="n">
        <v>0</v>
      </c>
      <c r="O1799" s="54" t="n">
        <f aca="false">YEAR(B1799)</f>
        <v>2021</v>
      </c>
      <c r="P1799" s="54" t="n">
        <f aca="false">IF(AND(E1799&gt;=14400,K1799&gt;0,L1799&gt;0),1,0)</f>
        <v>0</v>
      </c>
      <c r="Q1799" s="53" t="n">
        <f aca="false">IF(P1799=1,F1799/E1799*MIN(L1799/K1799,1)*MIN(MAX(M1799/L1799,0),1),0)</f>
        <v>0</v>
      </c>
      <c r="R1799" s="55" t="n">
        <f aca="false">IF(F1799&gt;0,N1799/(F1799/3600),0)</f>
        <v>0</v>
      </c>
    </row>
    <row r="1800" customFormat="false" ht="15" hidden="false" customHeight="false" outlineLevel="0" collapsed="false">
      <c r="A1800" s="0" t="s">
        <v>261</v>
      </c>
      <c r="B1800" s="52" t="n">
        <v>44451</v>
      </c>
      <c r="C1800" s="0" t="n">
        <v>22502.653</v>
      </c>
      <c r="D1800" s="0" t="n">
        <v>8949.634</v>
      </c>
      <c r="E1800" s="0" t="n">
        <v>13553.019</v>
      </c>
      <c r="F1800" s="0" t="n">
        <v>4526.09</v>
      </c>
      <c r="G1800" s="0" t="n">
        <v>55.906</v>
      </c>
      <c r="H1800" s="0" t="n">
        <v>4470.184</v>
      </c>
      <c r="I1800" s="0" t="n">
        <v>0</v>
      </c>
      <c r="J1800" s="0" t="n">
        <v>9026.929</v>
      </c>
      <c r="K1800" s="0" t="n">
        <v>5095.97084222222</v>
      </c>
      <c r="L1800" s="0" t="n">
        <v>36</v>
      </c>
      <c r="M1800" s="0" t="n">
        <v>0</v>
      </c>
      <c r="N1800" s="0" t="n">
        <v>0</v>
      </c>
      <c r="O1800" s="54" t="n">
        <f aca="false">YEAR(B1800)</f>
        <v>2021</v>
      </c>
      <c r="P1800" s="54" t="n">
        <f aca="false">IF(AND(E1800&gt;=14400,K1800&gt;0,L1800&gt;0),1,0)</f>
        <v>0</v>
      </c>
      <c r="Q1800" s="53" t="n">
        <f aca="false">IF(P1800=1,F1800/E1800*MIN(L1800/K1800,1)*MIN(MAX(M1800/L1800,0),1),0)</f>
        <v>0</v>
      </c>
      <c r="R1800" s="55" t="n">
        <f aca="false">IF(F1800&gt;0,N1800/(F1800/3600),0)</f>
        <v>0</v>
      </c>
    </row>
    <row r="1801" customFormat="false" ht="15" hidden="false" customHeight="false" outlineLevel="0" collapsed="false">
      <c r="A1801" s="0" t="s">
        <v>261</v>
      </c>
      <c r="B1801" s="52" t="n">
        <v>44452</v>
      </c>
      <c r="C1801" s="0" t="n">
        <v>67235.071</v>
      </c>
      <c r="D1801" s="0" t="n">
        <v>231.112</v>
      </c>
      <c r="E1801" s="0" t="n">
        <v>67003.959</v>
      </c>
      <c r="F1801" s="0" t="n">
        <v>54057.123</v>
      </c>
      <c r="G1801" s="0" t="n">
        <v>30875.809</v>
      </c>
      <c r="H1801" s="0" t="n">
        <v>23181.314</v>
      </c>
      <c r="I1801" s="0" t="n">
        <v>3722.748</v>
      </c>
      <c r="J1801" s="0" t="n">
        <v>9224.088</v>
      </c>
      <c r="K1801" s="0" t="n">
        <v>85396.15152</v>
      </c>
      <c r="L1801" s="0" t="n">
        <v>48971</v>
      </c>
      <c r="M1801" s="0" t="n">
        <v>48293</v>
      </c>
      <c r="N1801" s="0" t="n">
        <v>59</v>
      </c>
      <c r="O1801" s="54" t="n">
        <f aca="false">YEAR(B1801)</f>
        <v>2021</v>
      </c>
      <c r="P1801" s="54" t="n">
        <f aca="false">IF(AND(E1801&gt;=14400,K1801&gt;0,L1801&gt;0),1,0)</f>
        <v>1</v>
      </c>
      <c r="Q1801" s="53" t="n">
        <f aca="false">IF(P1801=1,F1801/E1801*MIN(L1801/K1801,1)*MIN(MAX(M1801/L1801,0),1),0)</f>
        <v>0.456245243473885</v>
      </c>
      <c r="R1801" s="55" t="n">
        <f aca="false">IF(F1801&gt;0,N1801/(F1801/3600),0)</f>
        <v>3.92917691901583</v>
      </c>
    </row>
    <row r="1802" customFormat="false" ht="15" hidden="false" customHeight="false" outlineLevel="0" collapsed="false">
      <c r="A1802" s="0" t="s">
        <v>261</v>
      </c>
      <c r="B1802" s="52" t="n">
        <v>44453</v>
      </c>
      <c r="C1802" s="0" t="n">
        <v>89132.24</v>
      </c>
      <c r="D1802" s="0" t="n">
        <v>7774.297</v>
      </c>
      <c r="E1802" s="0" t="n">
        <v>81357.943</v>
      </c>
      <c r="F1802" s="0" t="n">
        <v>65780.886</v>
      </c>
      <c r="G1802" s="0" t="n">
        <v>36120.918</v>
      </c>
      <c r="H1802" s="0" t="n">
        <v>29659.968</v>
      </c>
      <c r="I1802" s="0" t="n">
        <v>7811.291</v>
      </c>
      <c r="J1802" s="0" t="n">
        <v>7765.766</v>
      </c>
      <c r="K1802" s="0" t="n">
        <v>103206.822774444</v>
      </c>
      <c r="L1802" s="0" t="n">
        <v>56376</v>
      </c>
      <c r="M1802" s="0" t="n">
        <v>55970</v>
      </c>
      <c r="N1802" s="0" t="n">
        <v>125</v>
      </c>
      <c r="O1802" s="54" t="n">
        <f aca="false">YEAR(B1802)</f>
        <v>2021</v>
      </c>
      <c r="P1802" s="54" t="n">
        <f aca="false">IF(AND(E1802&gt;=14400,K1802&gt;0,L1802&gt;0),1,0)</f>
        <v>1</v>
      </c>
      <c r="Q1802" s="53" t="n">
        <f aca="false">IF(P1802=1,F1802/E1802*MIN(L1802/K1802,1)*MIN(MAX(M1802/L1802,0),1),0)</f>
        <v>0.438476838225599</v>
      </c>
      <c r="R1802" s="55" t="n">
        <f aca="false">IF(F1802&gt;0,N1802/(F1802/3600),0)</f>
        <v>6.84089296091269</v>
      </c>
    </row>
    <row r="1803" customFormat="false" ht="15" hidden="false" customHeight="false" outlineLevel="0" collapsed="false">
      <c r="A1803" s="0" t="s">
        <v>261</v>
      </c>
      <c r="B1803" s="52" t="n">
        <v>44454</v>
      </c>
      <c r="C1803" s="0" t="n">
        <v>71836.147</v>
      </c>
      <c r="D1803" s="0" t="n">
        <v>12367.793</v>
      </c>
      <c r="E1803" s="0" t="n">
        <v>59468.354</v>
      </c>
      <c r="F1803" s="0" t="n">
        <v>49708.527</v>
      </c>
      <c r="G1803" s="0" t="n">
        <v>35938.605</v>
      </c>
      <c r="H1803" s="0" t="n">
        <v>13769.922</v>
      </c>
      <c r="I1803" s="0" t="n">
        <v>6069.929</v>
      </c>
      <c r="J1803" s="0" t="n">
        <v>3689.898</v>
      </c>
      <c r="K1803" s="0" t="n">
        <v>76072.990605</v>
      </c>
      <c r="L1803" s="0" t="n">
        <v>53909</v>
      </c>
      <c r="M1803" s="0" t="n">
        <v>53628</v>
      </c>
      <c r="N1803" s="0" t="n">
        <v>84</v>
      </c>
      <c r="O1803" s="54" t="n">
        <f aca="false">YEAR(B1803)</f>
        <v>2021</v>
      </c>
      <c r="P1803" s="54" t="n">
        <f aca="false">IF(AND(E1803&gt;=14400,K1803&gt;0,L1803&gt;0),1,0)</f>
        <v>1</v>
      </c>
      <c r="Q1803" s="53" t="n">
        <f aca="false">IF(P1803=1,F1803/E1803*MIN(L1803/K1803,1)*MIN(MAX(M1803/L1803,0),1),0)</f>
        <v>0.589258813537753</v>
      </c>
      <c r="R1803" s="55" t="n">
        <f aca="false">IF(F1803&gt;0,N1803/(F1803/3600),0)</f>
        <v>6.08346330600382</v>
      </c>
    </row>
    <row r="1804" customFormat="false" ht="15" hidden="false" customHeight="false" outlineLevel="0" collapsed="false">
      <c r="A1804" s="0" t="s">
        <v>261</v>
      </c>
      <c r="B1804" s="52" t="n">
        <v>44455</v>
      </c>
      <c r="C1804" s="0" t="n">
        <v>74421.239</v>
      </c>
      <c r="D1804" s="0" t="n">
        <v>10086.029</v>
      </c>
      <c r="E1804" s="0" t="n">
        <v>64335.21</v>
      </c>
      <c r="F1804" s="0" t="n">
        <v>49466.653</v>
      </c>
      <c r="G1804" s="0" t="n">
        <v>37861.272</v>
      </c>
      <c r="H1804" s="0" t="n">
        <v>11605.381</v>
      </c>
      <c r="I1804" s="0" t="n">
        <v>5404.483</v>
      </c>
      <c r="J1804" s="0" t="n">
        <v>9464.074</v>
      </c>
      <c r="K1804" s="0" t="n">
        <v>84160.2444533333</v>
      </c>
      <c r="L1804" s="0" t="n">
        <v>64841</v>
      </c>
      <c r="M1804" s="0" t="n">
        <v>64664</v>
      </c>
      <c r="N1804" s="0" t="n">
        <v>24</v>
      </c>
      <c r="O1804" s="54" t="n">
        <f aca="false">YEAR(B1804)</f>
        <v>2021</v>
      </c>
      <c r="P1804" s="54" t="n">
        <f aca="false">IF(AND(E1804&gt;=14400,K1804&gt;0,L1804&gt;0),1,0)</f>
        <v>1</v>
      </c>
      <c r="Q1804" s="53" t="n">
        <f aca="false">IF(P1804=1,F1804/E1804*MIN(L1804/K1804,1)*MIN(MAX(M1804/L1804,0),1),0)</f>
        <v>0.59077128907854</v>
      </c>
      <c r="R1804" s="55" t="n">
        <f aca="false">IF(F1804&gt;0,N1804/(F1804/3600),0)</f>
        <v>1.74663121032264</v>
      </c>
    </row>
    <row r="1805" customFormat="false" ht="15" hidden="false" customHeight="false" outlineLevel="0" collapsed="false">
      <c r="A1805" s="0" t="s">
        <v>261</v>
      </c>
      <c r="B1805" s="52" t="n">
        <v>44456</v>
      </c>
      <c r="C1805" s="0" t="n">
        <v>83756.104</v>
      </c>
      <c r="D1805" s="0" t="n">
        <v>10802.607</v>
      </c>
      <c r="E1805" s="0" t="n">
        <v>72953.497</v>
      </c>
      <c r="F1805" s="0" t="n">
        <v>50099.839</v>
      </c>
      <c r="G1805" s="0" t="n">
        <v>34105.111</v>
      </c>
      <c r="H1805" s="0" t="n">
        <v>15994.728</v>
      </c>
      <c r="I1805" s="0" t="n">
        <v>2894.928</v>
      </c>
      <c r="J1805" s="0" t="n">
        <v>19958.73</v>
      </c>
      <c r="K1805" s="0" t="n">
        <v>84285.200405</v>
      </c>
      <c r="L1805" s="0" t="n">
        <v>57167</v>
      </c>
      <c r="M1805" s="0" t="n">
        <v>56819</v>
      </c>
      <c r="N1805" s="0" t="n">
        <v>42</v>
      </c>
      <c r="O1805" s="54" t="n">
        <f aca="false">YEAR(B1805)</f>
        <v>2021</v>
      </c>
      <c r="P1805" s="54" t="n">
        <f aca="false">IF(AND(E1805&gt;=14400,K1805&gt;0,L1805&gt;0),1,0)</f>
        <v>1</v>
      </c>
      <c r="Q1805" s="53" t="n">
        <f aca="false">IF(P1805=1,F1805/E1805*MIN(L1805/K1805,1)*MIN(MAX(M1805/L1805,0),1),0)</f>
        <v>0.462948283262471</v>
      </c>
      <c r="R1805" s="55" t="n">
        <f aca="false">IF(F1805&gt;0,N1805/(F1805/3600),0)</f>
        <v>3.01797377033487</v>
      </c>
    </row>
    <row r="1806" customFormat="false" ht="15" hidden="false" customHeight="false" outlineLevel="0" collapsed="false">
      <c r="A1806" s="0" t="s">
        <v>261</v>
      </c>
      <c r="B1806" s="52" t="n">
        <v>44457</v>
      </c>
      <c r="C1806" s="0" t="n">
        <v>86214.245</v>
      </c>
      <c r="D1806" s="0" t="n">
        <v>13221.089</v>
      </c>
      <c r="E1806" s="0" t="n">
        <v>72993.156</v>
      </c>
      <c r="F1806" s="0" t="n">
        <v>51719.103</v>
      </c>
      <c r="G1806" s="0" t="n">
        <v>33495.197</v>
      </c>
      <c r="H1806" s="0" t="n">
        <v>18223.906</v>
      </c>
      <c r="I1806" s="0" t="n">
        <v>3182.868</v>
      </c>
      <c r="J1806" s="0" t="n">
        <v>18091.185</v>
      </c>
      <c r="K1806" s="0" t="n">
        <v>86971.7282055556</v>
      </c>
      <c r="L1806" s="0" t="n">
        <v>55883</v>
      </c>
      <c r="M1806" s="0" t="n">
        <v>55802</v>
      </c>
      <c r="N1806" s="0" t="n">
        <v>63</v>
      </c>
      <c r="O1806" s="54" t="n">
        <f aca="false">YEAR(B1806)</f>
        <v>2021</v>
      </c>
      <c r="P1806" s="54" t="n">
        <f aca="false">IF(AND(E1806&gt;=14400,K1806&gt;0,L1806&gt;0),1,0)</f>
        <v>1</v>
      </c>
      <c r="Q1806" s="53" t="n">
        <f aca="false">IF(P1806=1,F1806/E1806*MIN(L1806/K1806,1)*MIN(MAX(M1806/L1806,0),1),0)</f>
        <v>0.454611593789655</v>
      </c>
      <c r="R1806" s="55" t="n">
        <f aca="false">IF(F1806&gt;0,N1806/(F1806/3600),0)</f>
        <v>4.38522686675366</v>
      </c>
    </row>
    <row r="1807" customFormat="false" ht="15" hidden="false" customHeight="false" outlineLevel="0" collapsed="false">
      <c r="A1807" s="0" t="s">
        <v>261</v>
      </c>
      <c r="B1807" s="52" t="n">
        <v>44458</v>
      </c>
      <c r="C1807" s="0" t="n">
        <v>97220.813</v>
      </c>
      <c r="D1807" s="0" t="n">
        <v>26325.344</v>
      </c>
      <c r="E1807" s="0" t="n">
        <v>70895.469</v>
      </c>
      <c r="F1807" s="0" t="n">
        <v>47835.892</v>
      </c>
      <c r="G1807" s="0" t="n">
        <v>31618.774</v>
      </c>
      <c r="H1807" s="0" t="n">
        <v>16217.118</v>
      </c>
      <c r="I1807" s="0" t="n">
        <v>800.17</v>
      </c>
      <c r="J1807" s="0" t="n">
        <v>22259.407</v>
      </c>
      <c r="K1807" s="0" t="n">
        <v>78203.15668</v>
      </c>
      <c r="L1807" s="0" t="n">
        <v>51863</v>
      </c>
      <c r="M1807" s="0" t="n">
        <v>51736</v>
      </c>
      <c r="N1807" s="0" t="n">
        <v>20</v>
      </c>
      <c r="O1807" s="54" t="n">
        <f aca="false">YEAR(B1807)</f>
        <v>2021</v>
      </c>
      <c r="P1807" s="54" t="n">
        <f aca="false">IF(AND(E1807&gt;=14400,K1807&gt;0,L1807&gt;0),1,0)</f>
        <v>1</v>
      </c>
      <c r="Q1807" s="53" t="n">
        <f aca="false">IF(P1807=1,F1807/E1807*MIN(L1807/K1807,1)*MIN(MAX(M1807/L1807,0),1),0)</f>
        <v>0.446379211803993</v>
      </c>
      <c r="R1807" s="55" t="n">
        <f aca="false">IF(F1807&gt;0,N1807/(F1807/3600),0)</f>
        <v>1.50514596863794</v>
      </c>
    </row>
    <row r="1808" customFormat="false" ht="15" hidden="false" customHeight="false" outlineLevel="0" collapsed="false">
      <c r="A1808" s="0" t="s">
        <v>261</v>
      </c>
      <c r="B1808" s="52" t="n">
        <v>44459</v>
      </c>
      <c r="C1808" s="0" t="n">
        <v>86847.053</v>
      </c>
      <c r="D1808" s="0" t="n">
        <v>30413.305</v>
      </c>
      <c r="E1808" s="0" t="n">
        <v>56433.748</v>
      </c>
      <c r="F1808" s="0" t="n">
        <v>46188.27</v>
      </c>
      <c r="G1808" s="0" t="n">
        <v>23768.056</v>
      </c>
      <c r="H1808" s="0" t="n">
        <v>22420.214</v>
      </c>
      <c r="I1808" s="0" t="n">
        <v>2138.285</v>
      </c>
      <c r="J1808" s="0" t="n">
        <v>8107.193</v>
      </c>
      <c r="K1808" s="0" t="n">
        <v>72266.4193963889</v>
      </c>
      <c r="L1808" s="0" t="n">
        <v>36514</v>
      </c>
      <c r="M1808" s="0" t="n">
        <v>36077</v>
      </c>
      <c r="N1808" s="0" t="n">
        <v>41</v>
      </c>
      <c r="O1808" s="54" t="n">
        <f aca="false">YEAR(B1808)</f>
        <v>2021</v>
      </c>
      <c r="P1808" s="54" t="n">
        <f aca="false">IF(AND(E1808&gt;=14400,K1808&gt;0,L1808&gt;0),1,0)</f>
        <v>1</v>
      </c>
      <c r="Q1808" s="53" t="n">
        <f aca="false">IF(P1808=1,F1808/E1808*MIN(L1808/K1808,1)*MIN(MAX(M1808/L1808,0),1),0)</f>
        <v>0.408589009593146</v>
      </c>
      <c r="R1808" s="55" t="n">
        <f aca="false">IF(F1808&gt;0,N1808/(F1808/3600),0)</f>
        <v>3.19561654939663</v>
      </c>
    </row>
    <row r="1809" customFormat="false" ht="15" hidden="false" customHeight="false" outlineLevel="0" collapsed="false">
      <c r="A1809" s="0" t="s">
        <v>261</v>
      </c>
      <c r="B1809" s="52" t="n">
        <v>44460</v>
      </c>
      <c r="C1809" s="0" t="n">
        <v>84361.699</v>
      </c>
      <c r="D1809" s="0" t="n">
        <v>20794.947</v>
      </c>
      <c r="E1809" s="0" t="n">
        <v>63566.752</v>
      </c>
      <c r="F1809" s="0" t="n">
        <v>31703.681</v>
      </c>
      <c r="G1809" s="0" t="n">
        <v>24103.342</v>
      </c>
      <c r="H1809" s="0" t="n">
        <v>7600.339</v>
      </c>
      <c r="I1809" s="0" t="n">
        <v>4971.765</v>
      </c>
      <c r="J1809" s="0" t="n">
        <v>26891.306</v>
      </c>
      <c r="K1809" s="0" t="n">
        <v>51523.6975344445</v>
      </c>
      <c r="L1809" s="0" t="n">
        <v>54021</v>
      </c>
      <c r="M1809" s="0" t="n">
        <v>53458</v>
      </c>
      <c r="N1809" s="0" t="n">
        <v>14</v>
      </c>
      <c r="O1809" s="54" t="n">
        <f aca="false">YEAR(B1809)</f>
        <v>2021</v>
      </c>
      <c r="P1809" s="54" t="n">
        <f aca="false">IF(AND(E1809&gt;=14400,K1809&gt;0,L1809&gt;0),1,0)</f>
        <v>1</v>
      </c>
      <c r="Q1809" s="53" t="n">
        <f aca="false">IF(P1809=1,F1809/E1809*MIN(L1809/K1809,1)*MIN(MAX(M1809/L1809,0),1),0)</f>
        <v>0.493548408195652</v>
      </c>
      <c r="R1809" s="55" t="n">
        <f aca="false">IF(F1809&gt;0,N1809/(F1809/3600),0)</f>
        <v>1.58972076460144</v>
      </c>
    </row>
    <row r="1810" customFormat="false" ht="15" hidden="false" customHeight="false" outlineLevel="0" collapsed="false">
      <c r="A1810" s="0" t="s">
        <v>261</v>
      </c>
      <c r="B1810" s="52" t="n">
        <v>44461</v>
      </c>
      <c r="C1810" s="0" t="n">
        <v>77070.541</v>
      </c>
      <c r="D1810" s="0" t="n">
        <v>20288.764</v>
      </c>
      <c r="E1810" s="0" t="n">
        <v>56781.777</v>
      </c>
      <c r="F1810" s="0" t="n">
        <v>44294.931</v>
      </c>
      <c r="G1810" s="0" t="n">
        <v>29384.271</v>
      </c>
      <c r="H1810" s="0" t="n">
        <v>14910.66</v>
      </c>
      <c r="I1810" s="0" t="n">
        <v>2007.246</v>
      </c>
      <c r="J1810" s="0" t="n">
        <v>10479.6</v>
      </c>
      <c r="K1810" s="0" t="n">
        <v>71979.262875</v>
      </c>
      <c r="L1810" s="0" t="n">
        <v>47557</v>
      </c>
      <c r="M1810" s="0" t="n">
        <v>47122</v>
      </c>
      <c r="N1810" s="0" t="n">
        <v>23</v>
      </c>
      <c r="O1810" s="54" t="n">
        <f aca="false">YEAR(B1810)</f>
        <v>2021</v>
      </c>
      <c r="P1810" s="54" t="n">
        <f aca="false">IF(AND(E1810&gt;=14400,K1810&gt;0,L1810&gt;0),1,0)</f>
        <v>1</v>
      </c>
      <c r="Q1810" s="53" t="n">
        <f aca="false">IF(P1810=1,F1810/E1810*MIN(L1810/K1810,1)*MIN(MAX(M1810/L1810,0),1),0)</f>
        <v>0.510694722466221</v>
      </c>
      <c r="R1810" s="55" t="n">
        <f aca="false">IF(F1810&gt;0,N1810/(F1810/3600),0)</f>
        <v>1.8692883842623</v>
      </c>
    </row>
    <row r="1811" customFormat="false" ht="15" hidden="false" customHeight="false" outlineLevel="0" collapsed="false">
      <c r="A1811" s="0" t="s">
        <v>261</v>
      </c>
      <c r="B1811" s="52" t="n">
        <v>44462</v>
      </c>
      <c r="C1811" s="0" t="n">
        <v>69619.361</v>
      </c>
      <c r="D1811" s="0" t="n">
        <v>900</v>
      </c>
      <c r="E1811" s="0" t="n">
        <v>68719.361</v>
      </c>
      <c r="F1811" s="0" t="n">
        <v>51132.817</v>
      </c>
      <c r="G1811" s="0" t="n">
        <v>32029.302</v>
      </c>
      <c r="H1811" s="0" t="n">
        <v>19103.515</v>
      </c>
      <c r="I1811" s="0" t="n">
        <v>3031.47</v>
      </c>
      <c r="J1811" s="0" t="n">
        <v>14555.074</v>
      </c>
      <c r="K1811" s="0" t="n">
        <v>82921.556615</v>
      </c>
      <c r="L1811" s="0" t="n">
        <v>51878</v>
      </c>
      <c r="M1811" s="0" t="n">
        <v>51638</v>
      </c>
      <c r="N1811" s="0" t="n">
        <v>27</v>
      </c>
      <c r="O1811" s="54" t="n">
        <f aca="false">YEAR(B1811)</f>
        <v>2021</v>
      </c>
      <c r="P1811" s="54" t="n">
        <f aca="false">IF(AND(E1811&gt;=14400,K1811&gt;0,L1811&gt;0),1,0)</f>
        <v>1</v>
      </c>
      <c r="Q1811" s="53" t="n">
        <f aca="false">IF(P1811=1,F1811/E1811*MIN(L1811/K1811,1)*MIN(MAX(M1811/L1811,0),1),0)</f>
        <v>0.463364303848602</v>
      </c>
      <c r="R1811" s="55" t="n">
        <f aca="false">IF(F1811&gt;0,N1811/(F1811/3600),0)</f>
        <v>1.90093184187368</v>
      </c>
    </row>
    <row r="1812" customFormat="false" ht="15" hidden="false" customHeight="false" outlineLevel="0" collapsed="false">
      <c r="A1812" s="0" t="s">
        <v>261</v>
      </c>
      <c r="B1812" s="52" t="n">
        <v>44463</v>
      </c>
      <c r="C1812" s="0" t="n">
        <v>99872.198</v>
      </c>
      <c r="D1812" s="0" t="n">
        <v>35500.404</v>
      </c>
      <c r="E1812" s="0" t="n">
        <v>64371.794</v>
      </c>
      <c r="F1812" s="0" t="n">
        <v>52505.971</v>
      </c>
      <c r="G1812" s="0" t="n">
        <v>34224.589</v>
      </c>
      <c r="H1812" s="0" t="n">
        <v>18281.382</v>
      </c>
      <c r="I1812" s="0" t="n">
        <v>1757.923</v>
      </c>
      <c r="J1812" s="0" t="n">
        <v>10107.9</v>
      </c>
      <c r="K1812" s="0" t="n">
        <v>79987.2824572222</v>
      </c>
      <c r="L1812" s="0" t="n">
        <v>51998</v>
      </c>
      <c r="M1812" s="0" t="n">
        <v>51826</v>
      </c>
      <c r="N1812" s="0" t="n">
        <v>15</v>
      </c>
      <c r="O1812" s="54" t="n">
        <f aca="false">YEAR(B1812)</f>
        <v>2021</v>
      </c>
      <c r="P1812" s="54" t="n">
        <f aca="false">IF(AND(E1812&gt;=14400,K1812&gt;0,L1812&gt;0),1,0)</f>
        <v>1</v>
      </c>
      <c r="Q1812" s="53" t="n">
        <f aca="false">IF(P1812=1,F1812/E1812*MIN(L1812/K1812,1)*MIN(MAX(M1812/L1812,0),1),0)</f>
        <v>0.528493719038803</v>
      </c>
      <c r="R1812" s="55" t="n">
        <f aca="false">IF(F1812&gt;0,N1812/(F1812/3600),0)</f>
        <v>1.02845445901762</v>
      </c>
    </row>
    <row r="1813" customFormat="false" ht="15" hidden="false" customHeight="false" outlineLevel="0" collapsed="false">
      <c r="A1813" s="0" t="s">
        <v>261</v>
      </c>
      <c r="B1813" s="52" t="n">
        <v>44464</v>
      </c>
      <c r="C1813" s="0" t="n">
        <v>64579.759</v>
      </c>
      <c r="D1813" s="0" t="n">
        <v>7220.086</v>
      </c>
      <c r="E1813" s="0" t="n">
        <v>57359.673</v>
      </c>
      <c r="F1813" s="0" t="n">
        <v>52887.741</v>
      </c>
      <c r="G1813" s="0" t="n">
        <v>34558.136</v>
      </c>
      <c r="H1813" s="0" t="n">
        <v>18329.605</v>
      </c>
      <c r="I1813" s="0" t="n">
        <v>1647.488</v>
      </c>
      <c r="J1813" s="0" t="n">
        <v>2824.444</v>
      </c>
      <c r="K1813" s="0" t="n">
        <v>86906.6380161111</v>
      </c>
      <c r="L1813" s="0" t="n">
        <v>56602</v>
      </c>
      <c r="M1813" s="0" t="n">
        <v>56494</v>
      </c>
      <c r="N1813" s="0" t="n">
        <v>21</v>
      </c>
      <c r="O1813" s="54" t="n">
        <f aca="false">YEAR(B1813)</f>
        <v>2021</v>
      </c>
      <c r="P1813" s="54" t="n">
        <f aca="false">IF(AND(E1813&gt;=14400,K1813&gt;0,L1813&gt;0),1,0)</f>
        <v>1</v>
      </c>
      <c r="Q1813" s="53" t="n">
        <f aca="false">IF(P1813=1,F1813/E1813*MIN(L1813/K1813,1)*MIN(MAX(M1813/L1813,0),1),0)</f>
        <v>0.599373760743498</v>
      </c>
      <c r="R1813" s="55" t="n">
        <f aca="false">IF(F1813&gt;0,N1813/(F1813/3600),0)</f>
        <v>1.42944278901986</v>
      </c>
    </row>
    <row r="1814" customFormat="false" ht="15" hidden="false" customHeight="false" outlineLevel="0" collapsed="false">
      <c r="A1814" s="0" t="s">
        <v>261</v>
      </c>
      <c r="B1814" s="52" t="n">
        <v>44465</v>
      </c>
      <c r="C1814" s="0" t="n">
        <v>900</v>
      </c>
      <c r="D1814" s="0" t="n">
        <v>900</v>
      </c>
      <c r="E1814" s="0" t="n">
        <v>0</v>
      </c>
      <c r="F1814" s="0" t="n">
        <v>0</v>
      </c>
      <c r="G1814" s="0" t="n">
        <v>0</v>
      </c>
      <c r="H1814" s="0" t="n">
        <v>0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  <c r="O1814" s="54" t="n">
        <f aca="false">YEAR(B1814)</f>
        <v>2021</v>
      </c>
      <c r="P1814" s="54" t="n">
        <f aca="false">IF(AND(E1814&gt;=14400,K1814&gt;0,L1814&gt;0),1,0)</f>
        <v>0</v>
      </c>
      <c r="Q1814" s="53" t="n">
        <f aca="false">IF(P1814=1,F1814/E1814*MIN(L1814/K1814,1)*MIN(MAX(M1814/L1814,0),1),0)</f>
        <v>0</v>
      </c>
      <c r="R1814" s="55" t="n">
        <f aca="false">IF(F1814&gt;0,N1814/(F1814/3600),0)</f>
        <v>0</v>
      </c>
    </row>
    <row r="1815" customFormat="false" ht="15" hidden="false" customHeight="false" outlineLevel="0" collapsed="false">
      <c r="A1815" s="0" t="s">
        <v>261</v>
      </c>
      <c r="B1815" s="52" t="n">
        <v>44466</v>
      </c>
      <c r="C1815" s="0" t="n">
        <v>59543.147</v>
      </c>
      <c r="D1815" s="0" t="n">
        <v>923.251</v>
      </c>
      <c r="E1815" s="0" t="n">
        <v>58619.896</v>
      </c>
      <c r="F1815" s="0" t="n">
        <v>45921.303</v>
      </c>
      <c r="G1815" s="0" t="n">
        <v>29601.104</v>
      </c>
      <c r="H1815" s="0" t="n">
        <v>16320.199</v>
      </c>
      <c r="I1815" s="0" t="n">
        <v>4539.6</v>
      </c>
      <c r="J1815" s="0" t="n">
        <v>8158.993</v>
      </c>
      <c r="K1815" s="0" t="n">
        <v>74537.3544983333</v>
      </c>
      <c r="L1815" s="0" t="n">
        <v>47492</v>
      </c>
      <c r="M1815" s="0" t="n">
        <v>47428</v>
      </c>
      <c r="N1815" s="0" t="n">
        <v>21</v>
      </c>
      <c r="O1815" s="54" t="n">
        <f aca="false">YEAR(B1815)</f>
        <v>2021</v>
      </c>
      <c r="P1815" s="54" t="n">
        <f aca="false">IF(AND(E1815&gt;=14400,K1815&gt;0,L1815&gt;0),1,0)</f>
        <v>1</v>
      </c>
      <c r="Q1815" s="53" t="n">
        <f aca="false">IF(P1815=1,F1815/E1815*MIN(L1815/K1815,1)*MIN(MAX(M1815/L1815,0),1),0)</f>
        <v>0.498459635442401</v>
      </c>
      <c r="R1815" s="55" t="n">
        <f aca="false">IF(F1815&gt;0,N1815/(F1815/3600),0)</f>
        <v>1.6462947490841</v>
      </c>
    </row>
    <row r="1816" customFormat="false" ht="15" hidden="false" customHeight="false" outlineLevel="0" collapsed="false">
      <c r="A1816" s="0" t="s">
        <v>261</v>
      </c>
      <c r="B1816" s="52" t="n">
        <v>44467</v>
      </c>
      <c r="C1816" s="0" t="n">
        <v>76609.341</v>
      </c>
      <c r="D1816" s="0" t="n">
        <v>17727.963</v>
      </c>
      <c r="E1816" s="0" t="n">
        <v>58881.378</v>
      </c>
      <c r="F1816" s="0" t="n">
        <v>47053.435</v>
      </c>
      <c r="G1816" s="0" t="n">
        <v>23447.236</v>
      </c>
      <c r="H1816" s="0" t="n">
        <v>23606.199</v>
      </c>
      <c r="I1816" s="0" t="n">
        <v>2167.252</v>
      </c>
      <c r="J1816" s="0" t="n">
        <v>9660.691</v>
      </c>
      <c r="K1816" s="0" t="n">
        <v>77784.7916141667</v>
      </c>
      <c r="L1816" s="0" t="n">
        <v>38494</v>
      </c>
      <c r="M1816" s="0" t="n">
        <v>38222</v>
      </c>
      <c r="N1816" s="0" t="n">
        <v>22</v>
      </c>
      <c r="O1816" s="54" t="n">
        <f aca="false">YEAR(B1816)</f>
        <v>2021</v>
      </c>
      <c r="P1816" s="54" t="n">
        <f aca="false">IF(AND(E1816&gt;=14400,K1816&gt;0,L1816&gt;0),1,0)</f>
        <v>1</v>
      </c>
      <c r="Q1816" s="53" t="n">
        <f aca="false">IF(P1816=1,F1816/E1816*MIN(L1816/K1816,1)*MIN(MAX(M1816/L1816,0),1),0)</f>
        <v>0.39267394327687</v>
      </c>
      <c r="R1816" s="55" t="n">
        <f aca="false">IF(F1816&gt;0,N1816/(F1816/3600),0)</f>
        <v>1.68319273608824</v>
      </c>
    </row>
    <row r="1817" customFormat="false" ht="15" hidden="false" customHeight="false" outlineLevel="0" collapsed="false">
      <c r="A1817" s="0" t="s">
        <v>261</v>
      </c>
      <c r="B1817" s="52" t="n">
        <v>44468</v>
      </c>
      <c r="C1817" s="0" t="n">
        <v>76923.373</v>
      </c>
      <c r="D1817" s="0" t="n">
        <v>16193.231</v>
      </c>
      <c r="E1817" s="0" t="n">
        <v>60730.142</v>
      </c>
      <c r="F1817" s="0" t="n">
        <v>52889.257</v>
      </c>
      <c r="G1817" s="0" t="n">
        <v>33982.499</v>
      </c>
      <c r="H1817" s="0" t="n">
        <v>18906.758</v>
      </c>
      <c r="I1817" s="0" t="n">
        <v>2038.438</v>
      </c>
      <c r="J1817" s="0" t="n">
        <v>5802.447</v>
      </c>
      <c r="K1817" s="0" t="n">
        <v>88127.9902416667</v>
      </c>
      <c r="L1817" s="0" t="n">
        <v>56698</v>
      </c>
      <c r="M1817" s="0" t="n">
        <v>56041</v>
      </c>
      <c r="N1817" s="0" t="n">
        <v>44</v>
      </c>
      <c r="O1817" s="54" t="n">
        <f aca="false">YEAR(B1817)</f>
        <v>2021</v>
      </c>
      <c r="P1817" s="54" t="n">
        <f aca="false">IF(AND(E1817&gt;=14400,K1817&gt;0,L1817&gt;0),1,0)</f>
        <v>1</v>
      </c>
      <c r="Q1817" s="53" t="n">
        <f aca="false">IF(P1817=1,F1817/E1817*MIN(L1817/K1817,1)*MIN(MAX(M1817/L1817,0),1),0)</f>
        <v>0.553802841225333</v>
      </c>
      <c r="R1817" s="55" t="n">
        <f aca="false">IF(F1817&gt;0,N1817/(F1817/3600),0)</f>
        <v>2.99493713817912</v>
      </c>
    </row>
    <row r="1818" customFormat="false" ht="15" hidden="false" customHeight="false" outlineLevel="0" collapsed="false">
      <c r="A1818" s="0" t="s">
        <v>261</v>
      </c>
      <c r="B1818" s="52" t="n">
        <v>44469</v>
      </c>
      <c r="C1818" s="0" t="n">
        <v>77635.932</v>
      </c>
      <c r="D1818" s="0" t="n">
        <v>20253.452</v>
      </c>
      <c r="E1818" s="0" t="n">
        <v>57382.48</v>
      </c>
      <c r="F1818" s="0" t="n">
        <v>48847.237</v>
      </c>
      <c r="G1818" s="0" t="n">
        <v>27458.448</v>
      </c>
      <c r="H1818" s="0" t="n">
        <v>21388.789</v>
      </c>
      <c r="I1818" s="0" t="n">
        <v>2309.85</v>
      </c>
      <c r="J1818" s="0" t="n">
        <v>6225.393</v>
      </c>
      <c r="K1818" s="0" t="n">
        <v>77993.4093855556</v>
      </c>
      <c r="L1818" s="0" t="n">
        <v>43998</v>
      </c>
      <c r="M1818" s="0" t="n">
        <v>43646</v>
      </c>
      <c r="N1818" s="0" t="n">
        <v>18</v>
      </c>
      <c r="O1818" s="54" t="n">
        <f aca="false">YEAR(B1818)</f>
        <v>2021</v>
      </c>
      <c r="P1818" s="54" t="n">
        <f aca="false">IF(AND(E1818&gt;=14400,K1818&gt;0,L1818&gt;0),1,0)</f>
        <v>1</v>
      </c>
      <c r="Q1818" s="53" t="n">
        <f aca="false">IF(P1818=1,F1818/E1818*MIN(L1818/K1818,1)*MIN(MAX(M1818/L1818,0),1),0)</f>
        <v>0.476373102848469</v>
      </c>
      <c r="R1818" s="55" t="n">
        <f aca="false">IF(F1818&gt;0,N1818/(F1818/3600),0)</f>
        <v>1.32658475647251</v>
      </c>
    </row>
    <row r="1819" customFormat="false" ht="15" hidden="false" customHeight="false" outlineLevel="0" collapsed="false">
      <c r="A1819" s="0" t="s">
        <v>261</v>
      </c>
      <c r="B1819" s="52" t="n">
        <v>44470</v>
      </c>
      <c r="C1819" s="0" t="n">
        <v>99711.646</v>
      </c>
      <c r="D1819" s="0" t="n">
        <v>38940.773</v>
      </c>
      <c r="E1819" s="0" t="n">
        <v>60770.873</v>
      </c>
      <c r="F1819" s="0" t="n">
        <v>52207.985</v>
      </c>
      <c r="G1819" s="0" t="n">
        <v>33240.983</v>
      </c>
      <c r="H1819" s="0" t="n">
        <v>18967.002</v>
      </c>
      <c r="I1819" s="0" t="n">
        <v>1305.193</v>
      </c>
      <c r="J1819" s="0" t="n">
        <v>7257.695</v>
      </c>
      <c r="K1819" s="0" t="n">
        <v>84000.27058</v>
      </c>
      <c r="L1819" s="0" t="n">
        <v>53912</v>
      </c>
      <c r="M1819" s="0" t="n">
        <v>53722</v>
      </c>
      <c r="N1819" s="0" t="n">
        <v>11</v>
      </c>
      <c r="O1819" s="54" t="n">
        <f aca="false">YEAR(B1819)</f>
        <v>2021</v>
      </c>
      <c r="P1819" s="54" t="n">
        <f aca="false">IF(AND(E1819&gt;=14400,K1819&gt;0,L1819&gt;0),1,0)</f>
        <v>1</v>
      </c>
      <c r="Q1819" s="53" t="n">
        <f aca="false">IF(P1819=1,F1819/E1819*MIN(L1819/K1819,1)*MIN(MAX(M1819/L1819,0),1),0)</f>
        <v>0.549430727257366</v>
      </c>
      <c r="R1819" s="55" t="n">
        <f aca="false">IF(F1819&gt;0,N1819/(F1819/3600),0)</f>
        <v>0.758504661691119</v>
      </c>
    </row>
    <row r="1820" customFormat="false" ht="15" hidden="false" customHeight="false" outlineLevel="0" collapsed="false">
      <c r="A1820" s="0" t="s">
        <v>261</v>
      </c>
      <c r="B1820" s="52" t="n">
        <v>44471</v>
      </c>
      <c r="C1820" s="0" t="n">
        <v>64755.359</v>
      </c>
      <c r="D1820" s="0" t="n">
        <v>1027.46</v>
      </c>
      <c r="E1820" s="0" t="n">
        <v>63727.899</v>
      </c>
      <c r="F1820" s="0" t="n">
        <v>21440.618</v>
      </c>
      <c r="G1820" s="0" t="n">
        <v>15618.423</v>
      </c>
      <c r="H1820" s="0" t="n">
        <v>5822.195</v>
      </c>
      <c r="I1820" s="0" t="n">
        <v>1377.723</v>
      </c>
      <c r="J1820" s="0" t="n">
        <v>40909.558</v>
      </c>
      <c r="K1820" s="0" t="n">
        <v>34690.22401</v>
      </c>
      <c r="L1820" s="0" t="n">
        <v>54294</v>
      </c>
      <c r="M1820" s="0" t="n">
        <v>53817</v>
      </c>
      <c r="N1820" s="0" t="n">
        <v>6</v>
      </c>
      <c r="O1820" s="54" t="n">
        <f aca="false">YEAR(B1820)</f>
        <v>2021</v>
      </c>
      <c r="P1820" s="54" t="n">
        <f aca="false">IF(AND(E1820&gt;=14400,K1820&gt;0,L1820&gt;0),1,0)</f>
        <v>1</v>
      </c>
      <c r="Q1820" s="53" t="n">
        <f aca="false">IF(P1820=1,F1820/E1820*MIN(L1820/K1820,1)*MIN(MAX(M1820/L1820,0),1),0)</f>
        <v>0.333484262923565</v>
      </c>
      <c r="R1820" s="55" t="n">
        <f aca="false">IF(F1820&gt;0,N1820/(F1820/3600),0)</f>
        <v>1.00743364766818</v>
      </c>
    </row>
    <row r="1821" customFormat="false" ht="15" hidden="false" customHeight="false" outlineLevel="0" collapsed="false">
      <c r="A1821" s="0" t="s">
        <v>261</v>
      </c>
      <c r="B1821" s="52" t="n">
        <v>44472</v>
      </c>
      <c r="C1821" s="0" t="n">
        <v>900</v>
      </c>
      <c r="D1821" s="0" t="n">
        <v>0</v>
      </c>
      <c r="E1821" s="0" t="n">
        <v>900</v>
      </c>
      <c r="F1821" s="0" t="n">
        <v>0</v>
      </c>
      <c r="G1821" s="0" t="n">
        <v>0</v>
      </c>
      <c r="H1821" s="0" t="n">
        <v>0</v>
      </c>
      <c r="I1821" s="0" t="n">
        <v>0</v>
      </c>
      <c r="J1821" s="0" t="n">
        <v>900</v>
      </c>
      <c r="K1821" s="0" t="n">
        <v>0</v>
      </c>
      <c r="L1821" s="0" t="n">
        <v>0</v>
      </c>
      <c r="M1821" s="0" t="n">
        <v>0</v>
      </c>
      <c r="N1821" s="0" t="n">
        <v>0</v>
      </c>
      <c r="O1821" s="54" t="n">
        <f aca="false">YEAR(B1821)</f>
        <v>2021</v>
      </c>
      <c r="P1821" s="54" t="n">
        <f aca="false">IF(AND(E1821&gt;=14400,K1821&gt;0,L1821&gt;0),1,0)</f>
        <v>0</v>
      </c>
      <c r="Q1821" s="53" t="n">
        <f aca="false">IF(P1821=1,F1821/E1821*MIN(L1821/K1821,1)*MIN(MAX(M1821/L1821,0),1),0)</f>
        <v>0</v>
      </c>
      <c r="R1821" s="55" t="n">
        <f aca="false">IF(F1821&gt;0,N1821/(F1821/3600),0)</f>
        <v>0</v>
      </c>
    </row>
    <row r="1822" customFormat="false" ht="15" hidden="false" customHeight="false" outlineLevel="0" collapsed="false">
      <c r="A1822" s="0" t="s">
        <v>261</v>
      </c>
      <c r="B1822" s="52" t="n">
        <v>44473</v>
      </c>
      <c r="C1822" s="0" t="n">
        <v>76016.805</v>
      </c>
      <c r="D1822" s="0" t="n">
        <v>19238.956</v>
      </c>
      <c r="E1822" s="0" t="n">
        <v>56777.849</v>
      </c>
      <c r="F1822" s="0" t="n">
        <v>49167.019</v>
      </c>
      <c r="G1822" s="0" t="n">
        <v>32235.097</v>
      </c>
      <c r="H1822" s="0" t="n">
        <v>16931.922</v>
      </c>
      <c r="I1822" s="0" t="n">
        <v>2622.49</v>
      </c>
      <c r="J1822" s="0" t="n">
        <v>4988.34</v>
      </c>
      <c r="K1822" s="0" t="n">
        <v>80086.2491166667</v>
      </c>
      <c r="L1822" s="0" t="n">
        <v>52329</v>
      </c>
      <c r="M1822" s="0" t="n">
        <v>52016</v>
      </c>
      <c r="N1822" s="0" t="n">
        <v>30</v>
      </c>
      <c r="O1822" s="54" t="n">
        <f aca="false">YEAR(B1822)</f>
        <v>2021</v>
      </c>
      <c r="P1822" s="54" t="n">
        <f aca="false">IF(AND(E1822&gt;=14400,K1822&gt;0,L1822&gt;0),1,0)</f>
        <v>1</v>
      </c>
      <c r="Q1822" s="53" t="n">
        <f aca="false">IF(P1822=1,F1822/E1822*MIN(L1822/K1822,1)*MIN(MAX(M1822/L1822,0),1),0)</f>
        <v>0.562437074675216</v>
      </c>
      <c r="R1822" s="55" t="n">
        <f aca="false">IF(F1822&gt;0,N1822/(F1822/3600),0)</f>
        <v>2.19659442847247</v>
      </c>
    </row>
    <row r="1823" customFormat="false" ht="15" hidden="false" customHeight="false" outlineLevel="0" collapsed="false">
      <c r="A1823" s="0" t="s">
        <v>261</v>
      </c>
      <c r="B1823" s="52" t="n">
        <v>44474</v>
      </c>
      <c r="C1823" s="0" t="n">
        <v>64613.944</v>
      </c>
      <c r="D1823" s="0" t="n">
        <v>6051.573</v>
      </c>
      <c r="E1823" s="0" t="n">
        <v>58562.371</v>
      </c>
      <c r="F1823" s="0" t="n">
        <v>44931.758</v>
      </c>
      <c r="G1823" s="0" t="n">
        <v>25052.438</v>
      </c>
      <c r="H1823" s="0" t="n">
        <v>19879.32</v>
      </c>
      <c r="I1823" s="0" t="n">
        <v>1696.535</v>
      </c>
      <c r="J1823" s="0" t="n">
        <v>11934.078</v>
      </c>
      <c r="K1823" s="0" t="n">
        <v>72688.356</v>
      </c>
      <c r="L1823" s="0" t="n">
        <v>40400</v>
      </c>
      <c r="M1823" s="0" t="n">
        <v>40247</v>
      </c>
      <c r="N1823" s="0" t="n">
        <v>24</v>
      </c>
      <c r="O1823" s="54" t="n">
        <f aca="false">YEAR(B1823)</f>
        <v>2021</v>
      </c>
      <c r="P1823" s="54" t="n">
        <f aca="false">IF(AND(E1823&gt;=14400,K1823&gt;0,L1823&gt;0),1,0)</f>
        <v>1</v>
      </c>
      <c r="Q1823" s="53" t="n">
        <f aca="false">IF(P1823=1,F1823/E1823*MIN(L1823/K1823,1)*MIN(MAX(M1823/L1823,0),1),0)</f>
        <v>0.424818505522323</v>
      </c>
      <c r="R1823" s="55" t="n">
        <f aca="false">IF(F1823&gt;0,N1823/(F1823/3600),0)</f>
        <v>1.92291608087091</v>
      </c>
    </row>
    <row r="1824" customFormat="false" ht="15" hidden="false" customHeight="false" outlineLevel="0" collapsed="false">
      <c r="A1824" s="0" t="s">
        <v>261</v>
      </c>
      <c r="B1824" s="52" t="n">
        <v>44475</v>
      </c>
      <c r="C1824" s="0" t="n">
        <v>79694.166</v>
      </c>
      <c r="D1824" s="0" t="n">
        <v>8217.305</v>
      </c>
      <c r="E1824" s="0" t="n">
        <v>71476.861</v>
      </c>
      <c r="F1824" s="0" t="n">
        <v>49044.432</v>
      </c>
      <c r="G1824" s="0" t="n">
        <v>26416.57</v>
      </c>
      <c r="H1824" s="0" t="n">
        <v>22627.862</v>
      </c>
      <c r="I1824" s="0" t="n">
        <v>614.446</v>
      </c>
      <c r="J1824" s="0" t="n">
        <v>21817.983</v>
      </c>
      <c r="K1824" s="0" t="n">
        <v>79515.16539</v>
      </c>
      <c r="L1824" s="0" t="n">
        <v>42799</v>
      </c>
      <c r="M1824" s="0" t="n">
        <v>42757</v>
      </c>
      <c r="N1824" s="0" t="n">
        <v>15</v>
      </c>
      <c r="O1824" s="54" t="n">
        <f aca="false">YEAR(B1824)</f>
        <v>2021</v>
      </c>
      <c r="P1824" s="54" t="n">
        <f aca="false">IF(AND(E1824&gt;=14400,K1824&gt;0,L1824&gt;0),1,0)</f>
        <v>1</v>
      </c>
      <c r="Q1824" s="53" t="n">
        <f aca="false">IF(P1824=1,F1824/E1824*MIN(L1824/K1824,1)*MIN(MAX(M1824/L1824,0),1),0)</f>
        <v>0.368961878484276</v>
      </c>
      <c r="R1824" s="55" t="n">
        <f aca="false">IF(F1824&gt;0,N1824/(F1824/3600),0)</f>
        <v>1.10104241802617</v>
      </c>
    </row>
    <row r="1825" customFormat="false" ht="15" hidden="false" customHeight="false" outlineLevel="0" collapsed="false">
      <c r="A1825" s="0" t="s">
        <v>261</v>
      </c>
      <c r="B1825" s="52" t="n">
        <v>44476</v>
      </c>
      <c r="C1825" s="0" t="n">
        <v>77416.854</v>
      </c>
      <c r="D1825" s="0" t="n">
        <v>5124.128</v>
      </c>
      <c r="E1825" s="0" t="n">
        <v>72292.726</v>
      </c>
      <c r="F1825" s="0" t="n">
        <v>50193.997</v>
      </c>
      <c r="G1825" s="0" t="n">
        <v>28199.665</v>
      </c>
      <c r="H1825" s="0" t="n">
        <v>21994.332</v>
      </c>
      <c r="I1825" s="0" t="n">
        <v>5255.208</v>
      </c>
      <c r="J1825" s="0" t="n">
        <v>16843.521</v>
      </c>
      <c r="K1825" s="0" t="n">
        <v>81333.6281411111</v>
      </c>
      <c r="L1825" s="0" t="n">
        <v>45364</v>
      </c>
      <c r="M1825" s="0" t="n">
        <v>45024</v>
      </c>
      <c r="N1825" s="0" t="n">
        <v>86</v>
      </c>
      <c r="O1825" s="54" t="n">
        <f aca="false">YEAR(B1825)</f>
        <v>2021</v>
      </c>
      <c r="P1825" s="54" t="n">
        <f aca="false">IF(AND(E1825&gt;=14400,K1825&gt;0,L1825&gt;0),1,0)</f>
        <v>1</v>
      </c>
      <c r="Q1825" s="53" t="n">
        <f aca="false">IF(P1825=1,F1825/E1825*MIN(L1825/K1825,1)*MIN(MAX(M1825/L1825,0),1),0)</f>
        <v>0.384353737883661</v>
      </c>
      <c r="R1825" s="55" t="n">
        <f aca="false">IF(F1825&gt;0,N1825/(F1825/3600),0)</f>
        <v>6.16806826521506</v>
      </c>
    </row>
    <row r="1826" customFormat="false" ht="15" hidden="false" customHeight="false" outlineLevel="0" collapsed="false">
      <c r="A1826" s="0" t="s">
        <v>261</v>
      </c>
      <c r="B1826" s="52" t="n">
        <v>44477</v>
      </c>
      <c r="C1826" s="0" t="n">
        <v>73064.955</v>
      </c>
      <c r="D1826" s="0" t="n">
        <v>15966.239</v>
      </c>
      <c r="E1826" s="0" t="n">
        <v>57098.716</v>
      </c>
      <c r="F1826" s="0" t="n">
        <v>49550.797</v>
      </c>
      <c r="G1826" s="0" t="n">
        <v>31311.225</v>
      </c>
      <c r="H1826" s="0" t="n">
        <v>18239.572</v>
      </c>
      <c r="I1826" s="0" t="n">
        <v>4870.335</v>
      </c>
      <c r="J1826" s="0" t="n">
        <v>2677.584</v>
      </c>
      <c r="K1826" s="0" t="n">
        <v>80521.4357866667</v>
      </c>
      <c r="L1826" s="0" t="n">
        <v>50606</v>
      </c>
      <c r="M1826" s="0" t="n">
        <v>50298</v>
      </c>
      <c r="N1826" s="0" t="n">
        <v>57</v>
      </c>
      <c r="O1826" s="54" t="n">
        <f aca="false">YEAR(B1826)</f>
        <v>2021</v>
      </c>
      <c r="P1826" s="54" t="n">
        <f aca="false">IF(AND(E1826&gt;=14400,K1826&gt;0,L1826&gt;0),1,0)</f>
        <v>1</v>
      </c>
      <c r="Q1826" s="53" t="n">
        <f aca="false">IF(P1826=1,F1826/E1826*MIN(L1826/K1826,1)*MIN(MAX(M1826/L1826,0),1),0)</f>
        <v>0.542080154853925</v>
      </c>
      <c r="R1826" s="55" t="n">
        <f aca="false">IF(F1826&gt;0,N1826/(F1826/3600),0)</f>
        <v>4.14120483268917</v>
      </c>
    </row>
    <row r="1827" customFormat="false" ht="15" hidden="false" customHeight="false" outlineLevel="0" collapsed="false">
      <c r="A1827" s="0" t="s">
        <v>261</v>
      </c>
      <c r="B1827" s="52" t="n">
        <v>44478</v>
      </c>
      <c r="C1827" s="0" t="n">
        <v>81549.872</v>
      </c>
      <c r="D1827" s="0" t="n">
        <v>35231.818</v>
      </c>
      <c r="E1827" s="0" t="n">
        <v>46318.054</v>
      </c>
      <c r="F1827" s="0" t="n">
        <v>40643.022</v>
      </c>
      <c r="G1827" s="0" t="n">
        <v>27816.039</v>
      </c>
      <c r="H1827" s="0" t="n">
        <v>12826.983</v>
      </c>
      <c r="I1827" s="0" t="n">
        <v>2949.297</v>
      </c>
      <c r="J1827" s="0" t="n">
        <v>2725.735</v>
      </c>
      <c r="K1827" s="0" t="n">
        <v>65762.28735</v>
      </c>
      <c r="L1827" s="0" t="n">
        <v>45060</v>
      </c>
      <c r="M1827" s="0" t="n">
        <v>44952</v>
      </c>
      <c r="N1827" s="0" t="n">
        <v>39</v>
      </c>
      <c r="O1827" s="54" t="n">
        <f aca="false">YEAR(B1827)</f>
        <v>2021</v>
      </c>
      <c r="P1827" s="54" t="n">
        <f aca="false">IF(AND(E1827&gt;=14400,K1827&gt;0,L1827&gt;0),1,0)</f>
        <v>1</v>
      </c>
      <c r="Q1827" s="53" t="n">
        <f aca="false">IF(P1827=1,F1827/E1827*MIN(L1827/K1827,1)*MIN(MAX(M1827/L1827,0),1),0)</f>
        <v>0.599801843476539</v>
      </c>
      <c r="R1827" s="55" t="n">
        <f aca="false">IF(F1827&gt;0,N1827/(F1827/3600),0)</f>
        <v>3.45446753442694</v>
      </c>
    </row>
    <row r="1828" customFormat="false" ht="15" hidden="false" customHeight="false" outlineLevel="0" collapsed="false">
      <c r="A1828" s="0" t="s">
        <v>261</v>
      </c>
      <c r="B1828" s="52" t="n">
        <v>44479</v>
      </c>
      <c r="C1828" s="0" t="n">
        <v>37267.199</v>
      </c>
      <c r="D1828" s="0" t="n">
        <v>6438.771</v>
      </c>
      <c r="E1828" s="0" t="n">
        <v>30828.428</v>
      </c>
      <c r="F1828" s="0" t="n">
        <v>34.77</v>
      </c>
      <c r="G1828" s="0" t="n">
        <v>0</v>
      </c>
      <c r="H1828" s="0" t="n">
        <v>34.77</v>
      </c>
      <c r="I1828" s="0" t="n">
        <v>0</v>
      </c>
      <c r="J1828" s="0" t="n">
        <v>30793.658</v>
      </c>
      <c r="K1828" s="0" t="n">
        <v>56.50125</v>
      </c>
      <c r="L1828" s="0" t="n">
        <v>0</v>
      </c>
      <c r="M1828" s="0" t="n">
        <v>0</v>
      </c>
      <c r="N1828" s="0" t="n">
        <v>0</v>
      </c>
      <c r="O1828" s="54" t="n">
        <f aca="false">YEAR(B1828)</f>
        <v>2021</v>
      </c>
      <c r="P1828" s="54" t="n">
        <f aca="false">IF(AND(E1828&gt;=14400,K1828&gt;0,L1828&gt;0),1,0)</f>
        <v>0</v>
      </c>
      <c r="Q1828" s="53" t="n">
        <f aca="false">IF(P1828=1,F1828/E1828*MIN(L1828/K1828,1)*MIN(MAX(M1828/L1828,0),1),0)</f>
        <v>0</v>
      </c>
      <c r="R1828" s="55" t="n">
        <f aca="false">IF(F1828&gt;0,N1828/(F1828/3600),0)</f>
        <v>0</v>
      </c>
    </row>
    <row r="1829" customFormat="false" ht="15" hidden="false" customHeight="false" outlineLevel="0" collapsed="false">
      <c r="A1829" s="0" t="s">
        <v>261</v>
      </c>
      <c r="B1829" s="52" t="n">
        <v>44480</v>
      </c>
      <c r="C1829" s="0" t="n">
        <v>64518.007</v>
      </c>
      <c r="D1829" s="0" t="n">
        <v>1472.77</v>
      </c>
      <c r="E1829" s="0" t="n">
        <v>63045.237</v>
      </c>
      <c r="F1829" s="0" t="n">
        <v>29962.247</v>
      </c>
      <c r="G1829" s="0" t="n">
        <v>18702.796</v>
      </c>
      <c r="H1829" s="0" t="n">
        <v>11259.451</v>
      </c>
      <c r="I1829" s="0" t="n">
        <v>2432.533</v>
      </c>
      <c r="J1829" s="0" t="n">
        <v>30650.457</v>
      </c>
      <c r="K1829" s="0" t="n">
        <v>49315.8258444445</v>
      </c>
      <c r="L1829" s="0" t="n">
        <v>30735</v>
      </c>
      <c r="M1829" s="0" t="n">
        <v>30672</v>
      </c>
      <c r="N1829" s="0" t="n">
        <v>25</v>
      </c>
      <c r="O1829" s="54" t="n">
        <f aca="false">YEAR(B1829)</f>
        <v>2021</v>
      </c>
      <c r="P1829" s="54" t="n">
        <f aca="false">IF(AND(E1829&gt;=14400,K1829&gt;0,L1829&gt;0),1,0)</f>
        <v>1</v>
      </c>
      <c r="Q1829" s="53" t="n">
        <f aca="false">IF(P1829=1,F1829/E1829*MIN(L1829/K1829,1)*MIN(MAX(M1829/L1829,0),1),0)</f>
        <v>0.295581932040986</v>
      </c>
      <c r="R1829" s="55" t="n">
        <f aca="false">IF(F1829&gt;0,N1829/(F1829/3600),0)</f>
        <v>3.00378005694967</v>
      </c>
    </row>
    <row r="1830" customFormat="false" ht="15" hidden="false" customHeight="false" outlineLevel="0" collapsed="false">
      <c r="A1830" s="0" t="s">
        <v>261</v>
      </c>
      <c r="B1830" s="52" t="n">
        <v>44481</v>
      </c>
      <c r="C1830" s="0" t="n">
        <v>81924.808</v>
      </c>
      <c r="D1830" s="0" t="n">
        <v>17216.632</v>
      </c>
      <c r="E1830" s="0" t="n">
        <v>64708.176</v>
      </c>
      <c r="F1830" s="0" t="n">
        <v>56016.129</v>
      </c>
      <c r="G1830" s="0" t="n">
        <v>36831.328</v>
      </c>
      <c r="H1830" s="0" t="n">
        <v>19184.801</v>
      </c>
      <c r="I1830" s="0" t="n">
        <v>3805.309</v>
      </c>
      <c r="J1830" s="0" t="n">
        <v>4886.738</v>
      </c>
      <c r="K1830" s="0" t="n">
        <v>89449.4753472222</v>
      </c>
      <c r="L1830" s="0" t="n">
        <v>58546</v>
      </c>
      <c r="M1830" s="0" t="n">
        <v>58152</v>
      </c>
      <c r="N1830" s="0" t="n">
        <v>64</v>
      </c>
      <c r="O1830" s="54" t="n">
        <f aca="false">YEAR(B1830)</f>
        <v>2021</v>
      </c>
      <c r="P1830" s="54" t="n">
        <f aca="false">IF(AND(E1830&gt;=14400,K1830&gt;0,L1830&gt;0),1,0)</f>
        <v>1</v>
      </c>
      <c r="Q1830" s="53" t="n">
        <f aca="false">IF(P1830=1,F1830/E1830*MIN(L1830/K1830,1)*MIN(MAX(M1830/L1830,0),1),0)</f>
        <v>0.56278277129771</v>
      </c>
      <c r="R1830" s="55" t="n">
        <f aca="false">IF(F1830&gt;0,N1830/(F1830/3600),0)</f>
        <v>4.11310106772998</v>
      </c>
    </row>
    <row r="1831" customFormat="false" ht="15" hidden="false" customHeight="false" outlineLevel="0" collapsed="false">
      <c r="A1831" s="0" t="s">
        <v>261</v>
      </c>
      <c r="B1831" s="52" t="n">
        <v>44482</v>
      </c>
      <c r="C1831" s="0" t="n">
        <v>74477.391</v>
      </c>
      <c r="D1831" s="0" t="n">
        <v>13688.058</v>
      </c>
      <c r="E1831" s="0" t="n">
        <v>60789.333</v>
      </c>
      <c r="F1831" s="0" t="n">
        <v>48232.505</v>
      </c>
      <c r="G1831" s="0" t="n">
        <v>27120.453</v>
      </c>
      <c r="H1831" s="0" t="n">
        <v>21112.052</v>
      </c>
      <c r="I1831" s="0" t="n">
        <v>6742.52</v>
      </c>
      <c r="J1831" s="0" t="n">
        <v>5814.308</v>
      </c>
      <c r="K1831" s="0" t="n">
        <v>74234.538775</v>
      </c>
      <c r="L1831" s="0" t="n">
        <v>40116</v>
      </c>
      <c r="M1831" s="0" t="n">
        <v>39634</v>
      </c>
      <c r="N1831" s="0" t="n">
        <v>108</v>
      </c>
      <c r="O1831" s="54" t="n">
        <f aca="false">YEAR(B1831)</f>
        <v>2021</v>
      </c>
      <c r="P1831" s="54" t="n">
        <f aca="false">IF(AND(E1831&gt;=14400,K1831&gt;0,L1831&gt;0),1,0)</f>
        <v>1</v>
      </c>
      <c r="Q1831" s="53" t="n">
        <f aca="false">IF(P1831=1,F1831/E1831*MIN(L1831/K1831,1)*MIN(MAX(M1831/L1831,0),1),0)</f>
        <v>0.42361792664222</v>
      </c>
      <c r="R1831" s="55" t="n">
        <f aca="false">IF(F1831&gt;0,N1831/(F1831/3600),0)</f>
        <v>8.06095391479252</v>
      </c>
    </row>
    <row r="1832" customFormat="false" ht="15" hidden="false" customHeight="false" outlineLevel="0" collapsed="false">
      <c r="A1832" s="0" t="s">
        <v>261</v>
      </c>
      <c r="B1832" s="52" t="n">
        <v>44483</v>
      </c>
      <c r="C1832" s="0" t="n">
        <v>76710.461</v>
      </c>
      <c r="D1832" s="0" t="n">
        <v>14729.663</v>
      </c>
      <c r="E1832" s="0" t="n">
        <v>61980.798</v>
      </c>
      <c r="F1832" s="0" t="n">
        <v>51294.16</v>
      </c>
      <c r="G1832" s="0" t="n">
        <v>31181.656</v>
      </c>
      <c r="H1832" s="0" t="n">
        <v>20112.504</v>
      </c>
      <c r="I1832" s="0" t="n">
        <v>3746.084</v>
      </c>
      <c r="J1832" s="0" t="n">
        <v>6940.554</v>
      </c>
      <c r="K1832" s="0" t="n">
        <v>81943.8240166667</v>
      </c>
      <c r="L1832" s="0" t="n">
        <v>49707</v>
      </c>
      <c r="M1832" s="0" t="n">
        <v>49428</v>
      </c>
      <c r="N1832" s="0" t="n">
        <v>88</v>
      </c>
      <c r="O1832" s="54" t="n">
        <f aca="false">YEAR(B1832)</f>
        <v>2021</v>
      </c>
      <c r="P1832" s="54" t="n">
        <f aca="false">IF(AND(E1832&gt;=14400,K1832&gt;0,L1832&gt;0),1,0)</f>
        <v>1</v>
      </c>
      <c r="Q1832" s="53" t="n">
        <f aca="false">IF(P1832=1,F1832/E1832*MIN(L1832/K1832,1)*MIN(MAX(M1832/L1832,0),1),0)</f>
        <v>0.499191945864634</v>
      </c>
      <c r="R1832" s="55" t="n">
        <f aca="false">IF(F1832&gt;0,N1832/(F1832/3600),0)</f>
        <v>6.17614168942429</v>
      </c>
    </row>
    <row r="1833" customFormat="false" ht="15" hidden="false" customHeight="false" outlineLevel="0" collapsed="false">
      <c r="A1833" s="0" t="s">
        <v>261</v>
      </c>
      <c r="B1833" s="52" t="n">
        <v>44484</v>
      </c>
      <c r="C1833" s="0" t="n">
        <v>78792.956</v>
      </c>
      <c r="D1833" s="0" t="n">
        <v>13171.881</v>
      </c>
      <c r="E1833" s="0" t="n">
        <v>65621.075</v>
      </c>
      <c r="F1833" s="0" t="n">
        <v>49905.61</v>
      </c>
      <c r="G1833" s="0" t="n">
        <v>29377.94</v>
      </c>
      <c r="H1833" s="0" t="n">
        <v>20527.67</v>
      </c>
      <c r="I1833" s="0" t="n">
        <v>2259.151</v>
      </c>
      <c r="J1833" s="0" t="n">
        <v>13456.314</v>
      </c>
      <c r="K1833" s="0" t="n">
        <v>77138.3483277778</v>
      </c>
      <c r="L1833" s="0" t="n">
        <v>44845</v>
      </c>
      <c r="M1833" s="0" t="n">
        <v>44644</v>
      </c>
      <c r="N1833" s="0" t="n">
        <v>66</v>
      </c>
      <c r="O1833" s="54" t="n">
        <f aca="false">YEAR(B1833)</f>
        <v>2021</v>
      </c>
      <c r="P1833" s="54" t="n">
        <f aca="false">IF(AND(E1833&gt;=14400,K1833&gt;0,L1833&gt;0),1,0)</f>
        <v>1</v>
      </c>
      <c r="Q1833" s="53" t="n">
        <f aca="false">IF(P1833=1,F1833/E1833*MIN(L1833/K1833,1)*MIN(MAX(M1833/L1833,0),1),0)</f>
        <v>0.440148059543735</v>
      </c>
      <c r="R1833" s="55" t="n">
        <f aca="false">IF(F1833&gt;0,N1833/(F1833/3600),0)</f>
        <v>4.76098779275516</v>
      </c>
    </row>
    <row r="1834" customFormat="false" ht="15" hidden="false" customHeight="false" outlineLevel="0" collapsed="false">
      <c r="A1834" s="0" t="s">
        <v>261</v>
      </c>
      <c r="B1834" s="52" t="n">
        <v>44485</v>
      </c>
      <c r="C1834" s="0" t="n">
        <v>133170.962</v>
      </c>
      <c r="D1834" s="0" t="n">
        <v>74278.69</v>
      </c>
      <c r="E1834" s="0" t="n">
        <v>58892.272</v>
      </c>
      <c r="F1834" s="0" t="n">
        <v>45370.086</v>
      </c>
      <c r="G1834" s="0" t="n">
        <v>29327.244</v>
      </c>
      <c r="H1834" s="0" t="n">
        <v>16042.842</v>
      </c>
      <c r="I1834" s="0" t="n">
        <v>1965.187</v>
      </c>
      <c r="J1834" s="0" t="n">
        <v>11556.999</v>
      </c>
      <c r="K1834" s="0" t="n">
        <v>73077.07152</v>
      </c>
      <c r="L1834" s="0" t="n">
        <v>47453</v>
      </c>
      <c r="M1834" s="0" t="n">
        <v>47405</v>
      </c>
      <c r="N1834" s="0" t="n">
        <v>20</v>
      </c>
      <c r="O1834" s="54" t="n">
        <f aca="false">YEAR(B1834)</f>
        <v>2021</v>
      </c>
      <c r="P1834" s="54" t="n">
        <f aca="false">IF(AND(E1834&gt;=14400,K1834&gt;0,L1834&gt;0),1,0)</f>
        <v>1</v>
      </c>
      <c r="Q1834" s="53" t="n">
        <f aca="false">IF(P1834=1,F1834/E1834*MIN(L1834/K1834,1)*MIN(MAX(M1834/L1834,0),1),0)</f>
        <v>0.499751733184773</v>
      </c>
      <c r="R1834" s="55" t="n">
        <f aca="false">IF(F1834&gt;0,N1834/(F1834/3600),0)</f>
        <v>1.58694872211615</v>
      </c>
    </row>
    <row r="1835" customFormat="false" ht="15" hidden="false" customHeight="false" outlineLevel="0" collapsed="false">
      <c r="A1835" s="0" t="s">
        <v>261</v>
      </c>
      <c r="B1835" s="52" t="n">
        <v>44486</v>
      </c>
      <c r="C1835" s="0" t="n">
        <v>900</v>
      </c>
      <c r="D1835" s="0" t="n">
        <v>0</v>
      </c>
      <c r="E1835" s="0" t="n">
        <v>900</v>
      </c>
      <c r="F1835" s="0" t="n">
        <v>0</v>
      </c>
      <c r="G1835" s="0" t="n">
        <v>0</v>
      </c>
      <c r="H1835" s="0" t="n">
        <v>0</v>
      </c>
      <c r="I1835" s="0" t="n">
        <v>0</v>
      </c>
      <c r="J1835" s="0" t="n">
        <v>900</v>
      </c>
      <c r="K1835" s="0" t="n">
        <v>0</v>
      </c>
      <c r="L1835" s="0" t="n">
        <v>0</v>
      </c>
      <c r="M1835" s="0" t="n">
        <v>0</v>
      </c>
      <c r="N1835" s="0" t="n">
        <v>0</v>
      </c>
      <c r="O1835" s="54" t="n">
        <f aca="false">YEAR(B1835)</f>
        <v>2021</v>
      </c>
      <c r="P1835" s="54" t="n">
        <f aca="false">IF(AND(E1835&gt;=14400,K1835&gt;0,L1835&gt;0),1,0)</f>
        <v>0</v>
      </c>
      <c r="Q1835" s="53" t="n">
        <f aca="false">IF(P1835=1,F1835/E1835*MIN(L1835/K1835,1)*MIN(MAX(M1835/L1835,0),1),0)</f>
        <v>0</v>
      </c>
      <c r="R1835" s="55" t="n">
        <f aca="false">IF(F1835&gt;0,N1835/(F1835/3600),0)</f>
        <v>0</v>
      </c>
    </row>
    <row r="1836" customFormat="false" ht="15" hidden="false" customHeight="false" outlineLevel="0" collapsed="false">
      <c r="A1836" s="0" t="s">
        <v>261</v>
      </c>
      <c r="B1836" s="52" t="n">
        <v>44487</v>
      </c>
      <c r="C1836" s="0" t="n">
        <v>64770.959</v>
      </c>
      <c r="D1836" s="0" t="n">
        <v>912.962</v>
      </c>
      <c r="E1836" s="0" t="n">
        <v>63857.997</v>
      </c>
      <c r="F1836" s="0" t="n">
        <v>51248.55</v>
      </c>
      <c r="G1836" s="0" t="n">
        <v>33082.787</v>
      </c>
      <c r="H1836" s="0" t="n">
        <v>18165.763</v>
      </c>
      <c r="I1836" s="0" t="n">
        <v>2250.286</v>
      </c>
      <c r="J1836" s="0" t="n">
        <v>10359.161</v>
      </c>
      <c r="K1836" s="0" t="n">
        <v>82243.5958655556</v>
      </c>
      <c r="L1836" s="0" t="n">
        <v>53331</v>
      </c>
      <c r="M1836" s="0" t="n">
        <v>52997</v>
      </c>
      <c r="N1836" s="0" t="n">
        <v>21</v>
      </c>
      <c r="O1836" s="54" t="n">
        <f aca="false">YEAR(B1836)</f>
        <v>2021</v>
      </c>
      <c r="P1836" s="54" t="n">
        <f aca="false">IF(AND(E1836&gt;=14400,K1836&gt;0,L1836&gt;0),1,0)</f>
        <v>1</v>
      </c>
      <c r="Q1836" s="53" t="n">
        <f aca="false">IF(P1836=1,F1836/E1836*MIN(L1836/K1836,1)*MIN(MAX(M1836/L1836,0),1),0)</f>
        <v>0.51714875789267</v>
      </c>
      <c r="R1836" s="55" t="n">
        <f aca="false">IF(F1836&gt;0,N1836/(F1836/3600),0)</f>
        <v>1.47516368755799</v>
      </c>
    </row>
    <row r="1837" customFormat="false" ht="15" hidden="false" customHeight="false" outlineLevel="0" collapsed="false">
      <c r="A1837" s="0" t="s">
        <v>261</v>
      </c>
      <c r="B1837" s="52" t="n">
        <v>44488</v>
      </c>
      <c r="C1837" s="0" t="n">
        <v>78501.971</v>
      </c>
      <c r="D1837" s="0" t="n">
        <v>16418.492</v>
      </c>
      <c r="E1837" s="0" t="n">
        <v>62083.479</v>
      </c>
      <c r="F1837" s="0" t="n">
        <v>49501.617</v>
      </c>
      <c r="G1837" s="0" t="n">
        <v>32215.74</v>
      </c>
      <c r="H1837" s="0" t="n">
        <v>17285.877</v>
      </c>
      <c r="I1837" s="0" t="n">
        <v>2970.778</v>
      </c>
      <c r="J1837" s="0" t="n">
        <v>9611.084</v>
      </c>
      <c r="K1837" s="0" t="n">
        <v>72047.6506344445</v>
      </c>
      <c r="L1837" s="0" t="n">
        <v>47047</v>
      </c>
      <c r="M1837" s="0" t="n">
        <v>46568</v>
      </c>
      <c r="N1837" s="0" t="n">
        <v>40</v>
      </c>
      <c r="O1837" s="54" t="n">
        <f aca="false">YEAR(B1837)</f>
        <v>2021</v>
      </c>
      <c r="P1837" s="54" t="n">
        <f aca="false">IF(AND(E1837&gt;=14400,K1837&gt;0,L1837&gt;0),1,0)</f>
        <v>1</v>
      </c>
      <c r="Q1837" s="53" t="n">
        <f aca="false">IF(P1837=1,F1837/E1837*MIN(L1837/K1837,1)*MIN(MAX(M1837/L1837,0),1),0)</f>
        <v>0.515360468822242</v>
      </c>
      <c r="R1837" s="55" t="n">
        <f aca="false">IF(F1837&gt;0,N1837/(F1837/3600),0)</f>
        <v>2.9089958818921</v>
      </c>
    </row>
    <row r="1838" customFormat="false" ht="15" hidden="false" customHeight="false" outlineLevel="0" collapsed="false">
      <c r="A1838" s="0" t="s">
        <v>261</v>
      </c>
      <c r="B1838" s="52" t="n">
        <v>44489</v>
      </c>
      <c r="C1838" s="0" t="n">
        <v>89767.738</v>
      </c>
      <c r="D1838" s="0" t="n">
        <v>16726.067</v>
      </c>
      <c r="E1838" s="0" t="n">
        <v>73041.671</v>
      </c>
      <c r="F1838" s="0" t="n">
        <v>38469.499</v>
      </c>
      <c r="G1838" s="0" t="n">
        <v>13415.193</v>
      </c>
      <c r="H1838" s="0" t="n">
        <v>25054.306</v>
      </c>
      <c r="I1838" s="0" t="n">
        <v>5461.541</v>
      </c>
      <c r="J1838" s="0" t="n">
        <v>29110.631</v>
      </c>
      <c r="K1838" s="0" t="n">
        <v>58236.8491563889</v>
      </c>
      <c r="L1838" s="0" t="n">
        <v>20068</v>
      </c>
      <c r="M1838" s="0" t="n">
        <v>19690</v>
      </c>
      <c r="N1838" s="0" t="n">
        <v>38</v>
      </c>
      <c r="O1838" s="54" t="n">
        <f aca="false">YEAR(B1838)</f>
        <v>2021</v>
      </c>
      <c r="P1838" s="54" t="n">
        <f aca="false">IF(AND(E1838&gt;=14400,K1838&gt;0,L1838&gt;0),1,0)</f>
        <v>1</v>
      </c>
      <c r="Q1838" s="53" t="n">
        <f aca="false">IF(P1838=1,F1838/E1838*MIN(L1838/K1838,1)*MIN(MAX(M1838/L1838,0),1),0)</f>
        <v>0.178071196360709</v>
      </c>
      <c r="R1838" s="55" t="n">
        <f aca="false">IF(F1838&gt;0,N1838/(F1838/3600),0)</f>
        <v>3.55606398721231</v>
      </c>
    </row>
    <row r="1839" customFormat="false" ht="15" hidden="false" customHeight="false" outlineLevel="0" collapsed="false">
      <c r="A1839" s="0" t="s">
        <v>261</v>
      </c>
      <c r="B1839" s="52" t="n">
        <v>44490</v>
      </c>
      <c r="C1839" s="0" t="n">
        <v>75903.997</v>
      </c>
      <c r="D1839" s="0" t="n">
        <v>9693.775</v>
      </c>
      <c r="E1839" s="0" t="n">
        <v>66210.222</v>
      </c>
      <c r="F1839" s="0" t="n">
        <v>30433.802</v>
      </c>
      <c r="G1839" s="0" t="n">
        <v>18594.261</v>
      </c>
      <c r="H1839" s="0" t="n">
        <v>11839.541</v>
      </c>
      <c r="I1839" s="0" t="n">
        <v>33492.475</v>
      </c>
      <c r="J1839" s="0" t="n">
        <v>2283.945</v>
      </c>
      <c r="K1839" s="0" t="n">
        <v>45090.928285</v>
      </c>
      <c r="L1839" s="0" t="n">
        <v>61724</v>
      </c>
      <c r="M1839" s="0" t="n">
        <v>61353</v>
      </c>
      <c r="N1839" s="0" t="n">
        <v>57</v>
      </c>
      <c r="O1839" s="54" t="n">
        <f aca="false">YEAR(B1839)</f>
        <v>2021</v>
      </c>
      <c r="P1839" s="54" t="n">
        <f aca="false">IF(AND(E1839&gt;=14400,K1839&gt;0,L1839&gt;0),1,0)</f>
        <v>1</v>
      </c>
      <c r="Q1839" s="53" t="n">
        <f aca="false">IF(P1839=1,F1839/E1839*MIN(L1839/K1839,1)*MIN(MAX(M1839/L1839,0),1),0)</f>
        <v>0.456891320178171</v>
      </c>
      <c r="R1839" s="55" t="n">
        <f aca="false">IF(F1839&gt;0,N1839/(F1839/3600),0)</f>
        <v>6.74250295773101</v>
      </c>
    </row>
    <row r="1840" customFormat="false" ht="15" hidden="false" customHeight="false" outlineLevel="0" collapsed="false">
      <c r="A1840" s="0" t="s">
        <v>261</v>
      </c>
      <c r="B1840" s="52" t="n">
        <v>44491</v>
      </c>
      <c r="C1840" s="0" t="n">
        <v>73569.489</v>
      </c>
      <c r="D1840" s="0" t="n">
        <v>10907.151</v>
      </c>
      <c r="E1840" s="0" t="n">
        <v>62662.338</v>
      </c>
      <c r="F1840" s="0" t="n">
        <v>50328.536</v>
      </c>
      <c r="G1840" s="0" t="n">
        <v>35466.859</v>
      </c>
      <c r="H1840" s="0" t="n">
        <v>14861.677</v>
      </c>
      <c r="I1840" s="0" t="n">
        <v>3900.133</v>
      </c>
      <c r="J1840" s="0" t="n">
        <v>8433.669</v>
      </c>
      <c r="K1840" s="0" t="n">
        <v>80248.9408944444</v>
      </c>
      <c r="L1840" s="0" t="n">
        <v>56373</v>
      </c>
      <c r="M1840" s="0" t="n">
        <v>56100</v>
      </c>
      <c r="N1840" s="0" t="n">
        <v>55</v>
      </c>
      <c r="O1840" s="54" t="n">
        <f aca="false">YEAR(B1840)</f>
        <v>2021</v>
      </c>
      <c r="P1840" s="54" t="n">
        <f aca="false">IF(AND(E1840&gt;=14400,K1840&gt;0,L1840&gt;0),1,0)</f>
        <v>1</v>
      </c>
      <c r="Q1840" s="53" t="n">
        <f aca="false">IF(P1840=1,F1840/E1840*MIN(L1840/K1840,1)*MIN(MAX(M1840/L1840,0),1),0)</f>
        <v>0.561476073885472</v>
      </c>
      <c r="R1840" s="55" t="n">
        <f aca="false">IF(F1840&gt;0,N1840/(F1840/3600),0)</f>
        <v>3.93414980320508</v>
      </c>
    </row>
    <row r="1841" customFormat="false" ht="15" hidden="false" customHeight="false" outlineLevel="0" collapsed="false">
      <c r="A1841" s="0" t="s">
        <v>261</v>
      </c>
      <c r="B1841" s="52" t="n">
        <v>44492</v>
      </c>
      <c r="C1841" s="0" t="n">
        <v>74377.843</v>
      </c>
      <c r="D1841" s="0" t="n">
        <v>17742.811</v>
      </c>
      <c r="E1841" s="0" t="n">
        <v>56635.032</v>
      </c>
      <c r="F1841" s="0" t="n">
        <v>51602.785</v>
      </c>
      <c r="G1841" s="0" t="n">
        <v>36154.121</v>
      </c>
      <c r="H1841" s="0" t="n">
        <v>15448.664</v>
      </c>
      <c r="I1841" s="0" t="n">
        <v>2677.656</v>
      </c>
      <c r="J1841" s="0" t="n">
        <v>2354.591</v>
      </c>
      <c r="K1841" s="0" t="n">
        <v>81716.7331083333</v>
      </c>
      <c r="L1841" s="0" t="n">
        <v>56920</v>
      </c>
      <c r="M1841" s="0" t="n">
        <v>56668</v>
      </c>
      <c r="N1841" s="0" t="n">
        <v>42</v>
      </c>
      <c r="O1841" s="54" t="n">
        <f aca="false">YEAR(B1841)</f>
        <v>2021</v>
      </c>
      <c r="P1841" s="54" t="n">
        <f aca="false">IF(AND(E1841&gt;=14400,K1841&gt;0,L1841&gt;0),1,0)</f>
        <v>1</v>
      </c>
      <c r="Q1841" s="53" t="n">
        <f aca="false">IF(P1841=1,F1841/E1841*MIN(L1841/K1841,1)*MIN(MAX(M1841/L1841,0),1),0)</f>
        <v>0.631851295304712</v>
      </c>
      <c r="R1841" s="55" t="n">
        <f aca="false">IF(F1841&gt;0,N1841/(F1841/3600),0)</f>
        <v>2.93007441361934</v>
      </c>
    </row>
    <row r="1842" customFormat="false" ht="15" hidden="false" customHeight="false" outlineLevel="0" collapsed="false">
      <c r="A1842" s="0" t="s">
        <v>261</v>
      </c>
      <c r="B1842" s="52" t="n">
        <v>44493</v>
      </c>
      <c r="C1842" s="0" t="n">
        <v>41348.459</v>
      </c>
      <c r="D1842" s="0" t="n">
        <v>7881.113</v>
      </c>
      <c r="E1842" s="0" t="n">
        <v>33467.346</v>
      </c>
      <c r="F1842" s="0" t="n">
        <v>0</v>
      </c>
      <c r="G1842" s="0" t="n">
        <v>0</v>
      </c>
      <c r="H1842" s="0" t="n">
        <v>0</v>
      </c>
      <c r="I1842" s="0" t="n">
        <v>0</v>
      </c>
      <c r="J1842" s="0" t="n">
        <v>33467.346</v>
      </c>
      <c r="K1842" s="0" t="n">
        <v>0</v>
      </c>
      <c r="L1842" s="0" t="n">
        <v>0</v>
      </c>
      <c r="M1842" s="0" t="n">
        <v>0</v>
      </c>
      <c r="N1842" s="0" t="n">
        <v>0</v>
      </c>
      <c r="O1842" s="54" t="n">
        <f aca="false">YEAR(B1842)</f>
        <v>2021</v>
      </c>
      <c r="P1842" s="54" t="n">
        <f aca="false">IF(AND(E1842&gt;=14400,K1842&gt;0,L1842&gt;0),1,0)</f>
        <v>0</v>
      </c>
      <c r="Q1842" s="53" t="n">
        <f aca="false">IF(P1842=1,F1842/E1842*MIN(L1842/K1842,1)*MIN(MAX(M1842/L1842,0),1),0)</f>
        <v>0</v>
      </c>
      <c r="R1842" s="55" t="n">
        <f aca="false">IF(F1842&gt;0,N1842/(F1842/3600),0)</f>
        <v>0</v>
      </c>
    </row>
    <row r="1843" customFormat="false" ht="15" hidden="false" customHeight="false" outlineLevel="0" collapsed="false">
      <c r="A1843" s="0" t="s">
        <v>261</v>
      </c>
      <c r="B1843" s="52" t="n">
        <v>44494</v>
      </c>
      <c r="C1843" s="0" t="n">
        <v>64034.615</v>
      </c>
      <c r="D1843" s="0" t="n">
        <v>919.73</v>
      </c>
      <c r="E1843" s="0" t="n">
        <v>63114.885</v>
      </c>
      <c r="F1843" s="0" t="n">
        <v>50429.096</v>
      </c>
      <c r="G1843" s="0" t="n">
        <v>34423.155</v>
      </c>
      <c r="H1843" s="0" t="n">
        <v>16005.941</v>
      </c>
      <c r="I1843" s="0" t="n">
        <v>2957.397</v>
      </c>
      <c r="J1843" s="0" t="n">
        <v>9728.392</v>
      </c>
      <c r="K1843" s="0" t="n">
        <v>79832.4903994445</v>
      </c>
      <c r="L1843" s="0" t="n">
        <v>54862</v>
      </c>
      <c r="M1843" s="0" t="n">
        <v>54757</v>
      </c>
      <c r="N1843" s="0" t="n">
        <v>38</v>
      </c>
      <c r="O1843" s="54" t="n">
        <f aca="false">YEAR(B1843)</f>
        <v>2021</v>
      </c>
      <c r="P1843" s="54" t="n">
        <f aca="false">IF(AND(E1843&gt;=14400,K1843&gt;0,L1843&gt;0),1,0)</f>
        <v>1</v>
      </c>
      <c r="Q1843" s="53" t="n">
        <f aca="false">IF(P1843=1,F1843/E1843*MIN(L1843/K1843,1)*MIN(MAX(M1843/L1843,0),1),0)</f>
        <v>0.548036339052448</v>
      </c>
      <c r="R1843" s="55" t="n">
        <f aca="false">IF(F1843&gt;0,N1843/(F1843/3600),0)</f>
        <v>2.71271965692187</v>
      </c>
    </row>
    <row r="1844" customFormat="false" ht="15" hidden="false" customHeight="false" outlineLevel="0" collapsed="false">
      <c r="A1844" s="0" t="s">
        <v>261</v>
      </c>
      <c r="B1844" s="52" t="n">
        <v>44495</v>
      </c>
      <c r="C1844" s="0" t="n">
        <v>80020.005</v>
      </c>
      <c r="D1844" s="0" t="n">
        <v>5633.547</v>
      </c>
      <c r="E1844" s="0" t="n">
        <v>74386.458</v>
      </c>
      <c r="F1844" s="0" t="n">
        <v>52297.558</v>
      </c>
      <c r="G1844" s="0" t="n">
        <v>41684.197</v>
      </c>
      <c r="H1844" s="0" t="n">
        <v>10613.361</v>
      </c>
      <c r="I1844" s="0" t="n">
        <v>2047.856</v>
      </c>
      <c r="J1844" s="0" t="n">
        <v>20041.044</v>
      </c>
      <c r="K1844" s="0" t="n">
        <v>80843.13644</v>
      </c>
      <c r="L1844" s="0" t="n">
        <v>64253</v>
      </c>
      <c r="M1844" s="0" t="n">
        <v>63986</v>
      </c>
      <c r="N1844" s="0" t="n">
        <v>35</v>
      </c>
      <c r="O1844" s="54" t="n">
        <f aca="false">YEAR(B1844)</f>
        <v>2021</v>
      </c>
      <c r="P1844" s="54" t="n">
        <f aca="false">IF(AND(E1844&gt;=14400,K1844&gt;0,L1844&gt;0),1,0)</f>
        <v>1</v>
      </c>
      <c r="Q1844" s="53" t="n">
        <f aca="false">IF(P1844=1,F1844/E1844*MIN(L1844/K1844,1)*MIN(MAX(M1844/L1844,0),1),0)</f>
        <v>0.556454088680332</v>
      </c>
      <c r="R1844" s="55" t="n">
        <f aca="false">IF(F1844&gt;0,N1844/(F1844/3600),0)</f>
        <v>2.40929031523805</v>
      </c>
    </row>
    <row r="1845" customFormat="false" ht="15" hidden="false" customHeight="false" outlineLevel="0" collapsed="false">
      <c r="A1845" s="0" t="s">
        <v>261</v>
      </c>
      <c r="B1845" s="52" t="n">
        <v>44496</v>
      </c>
      <c r="C1845" s="0" t="n">
        <v>72749.514</v>
      </c>
      <c r="D1845" s="0" t="n">
        <v>10158.071</v>
      </c>
      <c r="E1845" s="0" t="n">
        <v>62591.443</v>
      </c>
      <c r="F1845" s="0" t="n">
        <v>48102.955</v>
      </c>
      <c r="G1845" s="0" t="n">
        <v>36943.539</v>
      </c>
      <c r="H1845" s="0" t="n">
        <v>11159.416</v>
      </c>
      <c r="I1845" s="0" t="n">
        <v>4539.637</v>
      </c>
      <c r="J1845" s="0" t="n">
        <v>9948.851</v>
      </c>
      <c r="K1845" s="0" t="n">
        <v>76849.0563844445</v>
      </c>
      <c r="L1845" s="0" t="n">
        <v>58937</v>
      </c>
      <c r="M1845" s="0" t="n">
        <v>58654</v>
      </c>
      <c r="N1845" s="0" t="n">
        <v>69</v>
      </c>
      <c r="O1845" s="54" t="n">
        <f aca="false">YEAR(B1845)</f>
        <v>2021</v>
      </c>
      <c r="P1845" s="54" t="n">
        <f aca="false">IF(AND(E1845&gt;=14400,K1845&gt;0,L1845&gt;0),1,0)</f>
        <v>1</v>
      </c>
      <c r="Q1845" s="53" t="n">
        <f aca="false">IF(P1845=1,F1845/E1845*MIN(L1845/K1845,1)*MIN(MAX(M1845/L1845,0),1),0)</f>
        <v>0.586564652213585</v>
      </c>
      <c r="R1845" s="55" t="n">
        <f aca="false">IF(F1845&gt;0,N1845/(F1845/3600),0)</f>
        <v>5.16392392109799</v>
      </c>
    </row>
    <row r="1846" customFormat="false" ht="15" hidden="false" customHeight="false" outlineLevel="0" collapsed="false">
      <c r="A1846" s="0" t="s">
        <v>261</v>
      </c>
      <c r="B1846" s="52" t="n">
        <v>44497</v>
      </c>
      <c r="C1846" s="0" t="n">
        <v>102367.753</v>
      </c>
      <c r="D1846" s="0" t="n">
        <v>21335.707</v>
      </c>
      <c r="E1846" s="0" t="n">
        <v>81032.046</v>
      </c>
      <c r="F1846" s="0" t="n">
        <v>50724.538</v>
      </c>
      <c r="G1846" s="0" t="n">
        <v>39006.237</v>
      </c>
      <c r="H1846" s="0" t="n">
        <v>11718.301</v>
      </c>
      <c r="I1846" s="0" t="n">
        <v>2948.976</v>
      </c>
      <c r="J1846" s="0" t="n">
        <v>27358.532</v>
      </c>
      <c r="K1846" s="0" t="n">
        <v>79243.229965</v>
      </c>
      <c r="L1846" s="0" t="n">
        <v>60549</v>
      </c>
      <c r="M1846" s="0" t="n">
        <v>60353</v>
      </c>
      <c r="N1846" s="0" t="n">
        <v>56</v>
      </c>
      <c r="O1846" s="54" t="n">
        <f aca="false">YEAR(B1846)</f>
        <v>2021</v>
      </c>
      <c r="P1846" s="54" t="n">
        <f aca="false">IF(AND(E1846&gt;=14400,K1846&gt;0,L1846&gt;0),1,0)</f>
        <v>1</v>
      </c>
      <c r="Q1846" s="53" t="n">
        <f aca="false">IF(P1846=1,F1846/E1846*MIN(L1846/K1846,1)*MIN(MAX(M1846/L1846,0),1),0)</f>
        <v>0.476757999793597</v>
      </c>
      <c r="R1846" s="55" t="n">
        <f aca="false">IF(F1846&gt;0,N1846/(F1846/3600),0)</f>
        <v>3.97440781027912</v>
      </c>
    </row>
    <row r="1847" customFormat="false" ht="15" hidden="false" customHeight="false" outlineLevel="0" collapsed="false">
      <c r="A1847" s="0" t="s">
        <v>261</v>
      </c>
      <c r="B1847" s="52" t="n">
        <v>44498</v>
      </c>
      <c r="C1847" s="0" t="n">
        <v>105272.59</v>
      </c>
      <c r="D1847" s="0" t="n">
        <v>1879.431</v>
      </c>
      <c r="E1847" s="0" t="n">
        <v>103393.159</v>
      </c>
      <c r="F1847" s="0" t="n">
        <v>42758.475</v>
      </c>
      <c r="G1847" s="0" t="n">
        <v>26114.358</v>
      </c>
      <c r="H1847" s="0" t="n">
        <v>16644.117</v>
      </c>
      <c r="I1847" s="0" t="n">
        <v>5788.553</v>
      </c>
      <c r="J1847" s="0" t="n">
        <v>54846.131</v>
      </c>
      <c r="K1847" s="0" t="n">
        <v>68335.1539272222</v>
      </c>
      <c r="L1847" s="0" t="n">
        <v>55070</v>
      </c>
      <c r="M1847" s="0" t="n">
        <v>54629</v>
      </c>
      <c r="N1847" s="0" t="n">
        <v>81</v>
      </c>
      <c r="O1847" s="54" t="n">
        <f aca="false">YEAR(B1847)</f>
        <v>2021</v>
      </c>
      <c r="P1847" s="54" t="n">
        <f aca="false">IF(AND(E1847&gt;=14400,K1847&gt;0,L1847&gt;0),1,0)</f>
        <v>1</v>
      </c>
      <c r="Q1847" s="53" t="n">
        <f aca="false">IF(P1847=1,F1847/E1847*MIN(L1847/K1847,1)*MIN(MAX(M1847/L1847,0),1),0)</f>
        <v>0.330605044970219</v>
      </c>
      <c r="R1847" s="55" t="n">
        <f aca="false">IF(F1847&gt;0,N1847/(F1847/3600),0)</f>
        <v>6.8197006558349</v>
      </c>
    </row>
    <row r="1848" customFormat="false" ht="15" hidden="false" customHeight="false" outlineLevel="0" collapsed="false">
      <c r="A1848" s="0" t="s">
        <v>261</v>
      </c>
      <c r="B1848" s="52" t="n">
        <v>44499</v>
      </c>
      <c r="C1848" s="0" t="n">
        <v>50505.764</v>
      </c>
      <c r="D1848" s="0" t="n">
        <v>900</v>
      </c>
      <c r="E1848" s="0" t="n">
        <v>49605.764</v>
      </c>
      <c r="F1848" s="0" t="n">
        <v>29604.502</v>
      </c>
      <c r="G1848" s="0" t="n">
        <v>24827.743</v>
      </c>
      <c r="H1848" s="0" t="n">
        <v>4776.759</v>
      </c>
      <c r="I1848" s="0" t="n">
        <v>3877.566</v>
      </c>
      <c r="J1848" s="0" t="n">
        <v>16123.696</v>
      </c>
      <c r="K1848" s="0" t="n">
        <v>45429.8342572222</v>
      </c>
      <c r="L1848" s="0" t="n">
        <v>37071</v>
      </c>
      <c r="M1848" s="0" t="n">
        <v>36940</v>
      </c>
      <c r="N1848" s="0" t="n">
        <v>119</v>
      </c>
      <c r="O1848" s="54" t="n">
        <f aca="false">YEAR(B1848)</f>
        <v>2021</v>
      </c>
      <c r="P1848" s="54" t="n">
        <f aca="false">IF(AND(E1848&gt;=14400,K1848&gt;0,L1848&gt;0),1,0)</f>
        <v>1</v>
      </c>
      <c r="Q1848" s="53" t="n">
        <f aca="false">IF(P1848=1,F1848/E1848*MIN(L1848/K1848,1)*MIN(MAX(M1848/L1848,0),1),0)</f>
        <v>0.485267667281084</v>
      </c>
      <c r="R1848" s="55" t="n">
        <f aca="false">IF(F1848&gt;0,N1848/(F1848/3600),0)</f>
        <v>14.4707720467651</v>
      </c>
    </row>
    <row r="1849" customFormat="false" ht="15" hidden="false" customHeight="false" outlineLevel="0" collapsed="false">
      <c r="A1849" s="0" t="s">
        <v>261</v>
      </c>
      <c r="B1849" s="52" t="n">
        <v>44500</v>
      </c>
      <c r="C1849" s="0" t="n">
        <v>49479.199</v>
      </c>
      <c r="D1849" s="0" t="n">
        <v>33300.145</v>
      </c>
      <c r="E1849" s="0" t="n">
        <v>16179.054</v>
      </c>
      <c r="F1849" s="0" t="n">
        <v>0</v>
      </c>
      <c r="G1849" s="0" t="n">
        <v>0</v>
      </c>
      <c r="H1849" s="0" t="n">
        <v>0</v>
      </c>
      <c r="I1849" s="0" t="n">
        <v>0</v>
      </c>
      <c r="J1849" s="0" t="n">
        <v>16179.054</v>
      </c>
      <c r="K1849" s="0" t="n">
        <v>0</v>
      </c>
      <c r="L1849" s="0" t="n">
        <v>0</v>
      </c>
      <c r="M1849" s="0" t="n">
        <v>0</v>
      </c>
      <c r="N1849" s="0" t="n">
        <v>0</v>
      </c>
      <c r="O1849" s="54" t="n">
        <f aca="false">YEAR(B1849)</f>
        <v>2021</v>
      </c>
      <c r="P1849" s="54" t="n">
        <f aca="false">IF(AND(E1849&gt;=14400,K1849&gt;0,L1849&gt;0),1,0)</f>
        <v>0</v>
      </c>
      <c r="Q1849" s="53" t="n">
        <f aca="false">IF(P1849=1,F1849/E1849*MIN(L1849/K1849,1)*MIN(MAX(M1849/L1849,0),1),0)</f>
        <v>0</v>
      </c>
      <c r="R1849" s="55" t="n">
        <f aca="false">IF(F1849&gt;0,N1849/(F1849/3600),0)</f>
        <v>0</v>
      </c>
    </row>
    <row r="1850" customFormat="false" ht="15" hidden="false" customHeight="false" outlineLevel="0" collapsed="false">
      <c r="A1850" s="0" t="s">
        <v>261</v>
      </c>
      <c r="B1850" s="52" t="n">
        <v>44501</v>
      </c>
      <c r="C1850" s="0" t="n">
        <v>63980.502</v>
      </c>
      <c r="D1850" s="0" t="n">
        <v>983.592</v>
      </c>
      <c r="E1850" s="0" t="n">
        <v>62996.91</v>
      </c>
      <c r="F1850" s="0" t="n">
        <v>37413.116</v>
      </c>
      <c r="G1850" s="0" t="n">
        <v>21123.866</v>
      </c>
      <c r="H1850" s="0" t="n">
        <v>16289.25</v>
      </c>
      <c r="I1850" s="0" t="n">
        <v>6293.848</v>
      </c>
      <c r="J1850" s="0" t="n">
        <v>19289.946</v>
      </c>
      <c r="K1850" s="0" t="n">
        <v>58197.7471377778</v>
      </c>
      <c r="L1850" s="0" t="n">
        <v>31763</v>
      </c>
      <c r="M1850" s="0" t="n">
        <v>31510</v>
      </c>
      <c r="N1850" s="0" t="n">
        <v>72</v>
      </c>
      <c r="O1850" s="54" t="n">
        <f aca="false">YEAR(B1850)</f>
        <v>2021</v>
      </c>
      <c r="P1850" s="54" t="n">
        <f aca="false">IF(AND(E1850&gt;=14400,K1850&gt;0,L1850&gt;0),1,0)</f>
        <v>1</v>
      </c>
      <c r="Q1850" s="53" t="n">
        <f aca="false">IF(P1850=1,F1850/E1850*MIN(L1850/K1850,1)*MIN(MAX(M1850/L1850,0),1),0)</f>
        <v>0.321548777377266</v>
      </c>
      <c r="R1850" s="55" t="n">
        <f aca="false">IF(F1850&gt;0,N1850/(F1850/3600),0)</f>
        <v>6.9280516490527</v>
      </c>
    </row>
    <row r="1851" customFormat="false" ht="15" hidden="false" customHeight="false" outlineLevel="0" collapsed="false">
      <c r="A1851" s="0" t="s">
        <v>261</v>
      </c>
      <c r="B1851" s="52" t="n">
        <v>44502</v>
      </c>
      <c r="C1851" s="0" t="n">
        <v>75494.678</v>
      </c>
      <c r="D1851" s="0" t="n">
        <v>5110.525</v>
      </c>
      <c r="E1851" s="0" t="n">
        <v>70384.153</v>
      </c>
      <c r="F1851" s="0" t="n">
        <v>43935.193</v>
      </c>
      <c r="G1851" s="0" t="n">
        <v>31297.198</v>
      </c>
      <c r="H1851" s="0" t="n">
        <v>12637.995</v>
      </c>
      <c r="I1851" s="0" t="n">
        <v>2720.606</v>
      </c>
      <c r="J1851" s="0" t="n">
        <v>23728.354</v>
      </c>
      <c r="K1851" s="0" t="n">
        <v>68283.4403841667</v>
      </c>
      <c r="L1851" s="0" t="n">
        <v>48333</v>
      </c>
      <c r="M1851" s="0" t="n">
        <v>47980</v>
      </c>
      <c r="N1851" s="0" t="n">
        <v>69</v>
      </c>
      <c r="O1851" s="54" t="n">
        <f aca="false">YEAR(B1851)</f>
        <v>2021</v>
      </c>
      <c r="P1851" s="54" t="n">
        <f aca="false">IF(AND(E1851&gt;=14400,K1851&gt;0,L1851&gt;0),1,0)</f>
        <v>1</v>
      </c>
      <c r="Q1851" s="53" t="n">
        <f aca="false">IF(P1851=1,F1851/E1851*MIN(L1851/K1851,1)*MIN(MAX(M1851/L1851,0),1),0)</f>
        <v>0.438614009432037</v>
      </c>
      <c r="R1851" s="55" t="n">
        <f aca="false">IF(F1851&gt;0,N1851/(F1851/3600),0)</f>
        <v>5.65378192375302</v>
      </c>
    </row>
    <row r="1852" customFormat="false" ht="15" hidden="false" customHeight="false" outlineLevel="0" collapsed="false">
      <c r="A1852" s="0" t="s">
        <v>261</v>
      </c>
      <c r="B1852" s="52" t="n">
        <v>44503</v>
      </c>
      <c r="C1852" s="0" t="n">
        <v>76138.706</v>
      </c>
      <c r="D1852" s="0" t="n">
        <v>15212.559</v>
      </c>
      <c r="E1852" s="0" t="n">
        <v>60926.147</v>
      </c>
      <c r="F1852" s="0" t="n">
        <v>46213.915</v>
      </c>
      <c r="G1852" s="0" t="n">
        <v>24043.866</v>
      </c>
      <c r="H1852" s="0" t="n">
        <v>22170.049</v>
      </c>
      <c r="I1852" s="0" t="n">
        <v>7911.083</v>
      </c>
      <c r="J1852" s="0" t="n">
        <v>6801.149</v>
      </c>
      <c r="K1852" s="0" t="n">
        <v>72562.3666111111</v>
      </c>
      <c r="L1852" s="0" t="n">
        <v>43230</v>
      </c>
      <c r="M1852" s="0" t="n">
        <v>42948</v>
      </c>
      <c r="N1852" s="0" t="n">
        <v>73</v>
      </c>
      <c r="O1852" s="54" t="n">
        <f aca="false">YEAR(B1852)</f>
        <v>2021</v>
      </c>
      <c r="P1852" s="54" t="n">
        <f aca="false">IF(AND(E1852&gt;=14400,K1852&gt;0,L1852&gt;0),1,0)</f>
        <v>1</v>
      </c>
      <c r="Q1852" s="53" t="n">
        <f aca="false">IF(P1852=1,F1852/E1852*MIN(L1852/K1852,1)*MIN(MAX(M1852/L1852,0),1),0)</f>
        <v>0.448952664008951</v>
      </c>
      <c r="R1852" s="55" t="n">
        <f aca="false">IF(F1852&gt;0,N1852/(F1852/3600),0)</f>
        <v>5.68659893886939</v>
      </c>
    </row>
    <row r="1853" customFormat="false" ht="15" hidden="false" customHeight="false" outlineLevel="0" collapsed="false">
      <c r="A1853" s="0" t="s">
        <v>261</v>
      </c>
      <c r="B1853" s="52" t="n">
        <v>44504</v>
      </c>
      <c r="C1853" s="0" t="n">
        <v>74564.349</v>
      </c>
      <c r="D1853" s="0" t="n">
        <v>13641.659</v>
      </c>
      <c r="E1853" s="0" t="n">
        <v>60922.69</v>
      </c>
      <c r="F1853" s="0" t="n">
        <v>50076.961</v>
      </c>
      <c r="G1853" s="0" t="n">
        <v>32244.467</v>
      </c>
      <c r="H1853" s="0" t="n">
        <v>17832.494</v>
      </c>
      <c r="I1853" s="0" t="n">
        <v>4255.231</v>
      </c>
      <c r="J1853" s="0" t="n">
        <v>6590.498</v>
      </c>
      <c r="K1853" s="0" t="n">
        <v>78505.2673227778</v>
      </c>
      <c r="L1853" s="0" t="n">
        <v>50318</v>
      </c>
      <c r="M1853" s="0" t="n">
        <v>49765</v>
      </c>
      <c r="N1853" s="0" t="n">
        <v>78</v>
      </c>
      <c r="O1853" s="54" t="n">
        <f aca="false">YEAR(B1853)</f>
        <v>2021</v>
      </c>
      <c r="P1853" s="54" t="n">
        <f aca="false">IF(AND(E1853&gt;=14400,K1853&gt;0,L1853&gt;0),1,0)</f>
        <v>1</v>
      </c>
      <c r="Q1853" s="53" t="n">
        <f aca="false">IF(P1853=1,F1853/E1853*MIN(L1853/K1853,1)*MIN(MAX(M1853/L1853,0),1),0)</f>
        <v>0.52105564548844</v>
      </c>
      <c r="R1853" s="55" t="n">
        <f aca="false">IF(F1853&gt;0,N1853/(F1853/3600),0)</f>
        <v>5.60736902544865</v>
      </c>
    </row>
    <row r="1854" customFormat="false" ht="15" hidden="false" customHeight="false" outlineLevel="0" collapsed="false">
      <c r="A1854" s="0" t="s">
        <v>261</v>
      </c>
      <c r="B1854" s="52" t="n">
        <v>44505</v>
      </c>
      <c r="C1854" s="0" t="n">
        <v>74587.865</v>
      </c>
      <c r="D1854" s="0" t="n">
        <v>5426.596</v>
      </c>
      <c r="E1854" s="0" t="n">
        <v>69161.269</v>
      </c>
      <c r="F1854" s="0" t="n">
        <v>39686.228</v>
      </c>
      <c r="G1854" s="0" t="n">
        <v>25239.478</v>
      </c>
      <c r="H1854" s="0" t="n">
        <v>14446.75</v>
      </c>
      <c r="I1854" s="0" t="n">
        <v>7526.338</v>
      </c>
      <c r="J1854" s="0" t="n">
        <v>21948.703</v>
      </c>
      <c r="K1854" s="0" t="n">
        <v>61037.67001</v>
      </c>
      <c r="L1854" s="0" t="n">
        <v>38322</v>
      </c>
      <c r="M1854" s="0" t="n">
        <v>38049</v>
      </c>
      <c r="N1854" s="0" t="n">
        <v>75</v>
      </c>
      <c r="O1854" s="54" t="n">
        <f aca="false">YEAR(B1854)</f>
        <v>2021</v>
      </c>
      <c r="P1854" s="54" t="n">
        <f aca="false">IF(AND(E1854&gt;=14400,K1854&gt;0,L1854&gt;0),1,0)</f>
        <v>1</v>
      </c>
      <c r="Q1854" s="53" t="n">
        <f aca="false">IF(P1854=1,F1854/E1854*MIN(L1854/K1854,1)*MIN(MAX(M1854/L1854,0),1),0)</f>
        <v>0.35770266025774</v>
      </c>
      <c r="R1854" s="55" t="n">
        <f aca="false">IF(F1854&gt;0,N1854/(F1854/3600),0)</f>
        <v>6.80336765691111</v>
      </c>
    </row>
    <row r="1855" customFormat="false" ht="15" hidden="false" customHeight="false" outlineLevel="0" collapsed="false">
      <c r="A1855" s="0" t="s">
        <v>261</v>
      </c>
      <c r="B1855" s="52" t="n">
        <v>44506</v>
      </c>
      <c r="C1855" s="0" t="n">
        <v>73498.208</v>
      </c>
      <c r="D1855" s="0" t="n">
        <v>13960.252</v>
      </c>
      <c r="E1855" s="0" t="n">
        <v>59537.956</v>
      </c>
      <c r="F1855" s="0" t="n">
        <v>45357.551</v>
      </c>
      <c r="G1855" s="0" t="n">
        <v>33567.595</v>
      </c>
      <c r="H1855" s="0" t="n">
        <v>11789.956</v>
      </c>
      <c r="I1855" s="0" t="n">
        <v>9332.462</v>
      </c>
      <c r="J1855" s="0" t="n">
        <v>4847.943</v>
      </c>
      <c r="K1855" s="0" t="n">
        <v>72949.7881244444</v>
      </c>
      <c r="L1855" s="0" t="n">
        <v>53796</v>
      </c>
      <c r="M1855" s="0" t="n">
        <v>53683</v>
      </c>
      <c r="N1855" s="0" t="n">
        <v>51</v>
      </c>
      <c r="O1855" s="54" t="n">
        <f aca="false">YEAR(B1855)</f>
        <v>2021</v>
      </c>
      <c r="P1855" s="54" t="n">
        <f aca="false">IF(AND(E1855&gt;=14400,K1855&gt;0,L1855&gt;0),1,0)</f>
        <v>1</v>
      </c>
      <c r="Q1855" s="53" t="n">
        <f aca="false">IF(P1855=1,F1855/E1855*MIN(L1855/K1855,1)*MIN(MAX(M1855/L1855,0),1),0)</f>
        <v>0.560619783948405</v>
      </c>
      <c r="R1855" s="55" t="n">
        <f aca="false">IF(F1855&gt;0,N1855/(F1855/3600),0)</f>
        <v>4.04783759158426</v>
      </c>
    </row>
    <row r="1856" customFormat="false" ht="15" hidden="false" customHeight="false" outlineLevel="0" collapsed="false">
      <c r="A1856" s="0" t="s">
        <v>261</v>
      </c>
      <c r="B1856" s="52" t="n">
        <v>44507</v>
      </c>
      <c r="C1856" s="0" t="n">
        <v>38522.449</v>
      </c>
      <c r="D1856" s="0" t="n">
        <v>6041.261</v>
      </c>
      <c r="E1856" s="0" t="n">
        <v>32481.188</v>
      </c>
      <c r="F1856" s="0" t="n">
        <v>0</v>
      </c>
      <c r="G1856" s="0" t="n">
        <v>0</v>
      </c>
      <c r="H1856" s="0" t="n">
        <v>0</v>
      </c>
      <c r="I1856" s="0" t="n">
        <v>0</v>
      </c>
      <c r="J1856" s="0" t="n">
        <v>32481.188</v>
      </c>
      <c r="K1856" s="0" t="n">
        <v>0</v>
      </c>
      <c r="L1856" s="0" t="n">
        <v>0</v>
      </c>
      <c r="M1856" s="0" t="n">
        <v>0</v>
      </c>
      <c r="N1856" s="0" t="n">
        <v>0</v>
      </c>
      <c r="O1856" s="54" t="n">
        <f aca="false">YEAR(B1856)</f>
        <v>2021</v>
      </c>
      <c r="P1856" s="54" t="n">
        <f aca="false">IF(AND(E1856&gt;=14400,K1856&gt;0,L1856&gt;0),1,0)</f>
        <v>0</v>
      </c>
      <c r="Q1856" s="53" t="n">
        <f aca="false">IF(P1856=1,F1856/E1856*MIN(L1856/K1856,1)*MIN(MAX(M1856/L1856,0),1),0)</f>
        <v>0</v>
      </c>
      <c r="R1856" s="55" t="n">
        <f aca="false">IF(F1856&gt;0,N1856/(F1856/3600),0)</f>
        <v>0</v>
      </c>
    </row>
    <row r="1857" customFormat="false" ht="15" hidden="false" customHeight="false" outlineLevel="0" collapsed="false">
      <c r="A1857" s="0" t="s">
        <v>261</v>
      </c>
      <c r="B1857" s="52" t="n">
        <v>44508</v>
      </c>
      <c r="C1857" s="0" t="n">
        <v>63919.977</v>
      </c>
      <c r="D1857" s="0" t="n">
        <v>1113.66</v>
      </c>
      <c r="E1857" s="0" t="n">
        <v>62806.317</v>
      </c>
      <c r="F1857" s="0" t="n">
        <v>47268.491</v>
      </c>
      <c r="G1857" s="0" t="n">
        <v>31550.263</v>
      </c>
      <c r="H1857" s="0" t="n">
        <v>15718.228</v>
      </c>
      <c r="I1857" s="0" t="n">
        <v>5768.531</v>
      </c>
      <c r="J1857" s="0" t="n">
        <v>9769.295</v>
      </c>
      <c r="K1857" s="0" t="n">
        <v>73713.5327727778</v>
      </c>
      <c r="L1857" s="0" t="n">
        <v>47822</v>
      </c>
      <c r="M1857" s="0" t="n">
        <v>47470</v>
      </c>
      <c r="N1857" s="0" t="n">
        <v>139</v>
      </c>
      <c r="O1857" s="54" t="n">
        <f aca="false">YEAR(B1857)</f>
        <v>2021</v>
      </c>
      <c r="P1857" s="54" t="n">
        <f aca="false">IF(AND(E1857&gt;=14400,K1857&gt;0,L1857&gt;0),1,0)</f>
        <v>1</v>
      </c>
      <c r="Q1857" s="53" t="n">
        <f aca="false">IF(P1857=1,F1857/E1857*MIN(L1857/K1857,1)*MIN(MAX(M1857/L1857,0),1),0)</f>
        <v>0.484663615108977</v>
      </c>
      <c r="R1857" s="55" t="n">
        <f aca="false">IF(F1857&gt;0,N1857/(F1857/3600),0)</f>
        <v>10.586333293356</v>
      </c>
    </row>
    <row r="1858" customFormat="false" ht="15" hidden="false" customHeight="false" outlineLevel="0" collapsed="false">
      <c r="A1858" s="0" t="s">
        <v>261</v>
      </c>
      <c r="B1858" s="52" t="n">
        <v>44509</v>
      </c>
      <c r="C1858" s="0" t="n">
        <v>81854.956</v>
      </c>
      <c r="D1858" s="0" t="n">
        <v>20585.431</v>
      </c>
      <c r="E1858" s="0" t="n">
        <v>61269.525</v>
      </c>
      <c r="F1858" s="0" t="n">
        <v>47393.514</v>
      </c>
      <c r="G1858" s="0" t="n">
        <v>30906.64</v>
      </c>
      <c r="H1858" s="0" t="n">
        <v>16486.874</v>
      </c>
      <c r="I1858" s="0" t="n">
        <v>5931.838</v>
      </c>
      <c r="J1858" s="0" t="n">
        <v>7944.173</v>
      </c>
      <c r="K1858" s="0" t="n">
        <v>73500.4317116667</v>
      </c>
      <c r="L1858" s="0" t="n">
        <v>46338</v>
      </c>
      <c r="M1858" s="0" t="n">
        <v>45115</v>
      </c>
      <c r="N1858" s="0" t="n">
        <v>130</v>
      </c>
      <c r="O1858" s="54" t="n">
        <f aca="false">YEAR(B1858)</f>
        <v>2021</v>
      </c>
      <c r="P1858" s="54" t="n">
        <f aca="false">IF(AND(E1858&gt;=14400,K1858&gt;0,L1858&gt;0),1,0)</f>
        <v>1</v>
      </c>
      <c r="Q1858" s="53" t="n">
        <f aca="false">IF(P1858=1,F1858/E1858*MIN(L1858/K1858,1)*MIN(MAX(M1858/L1858,0),1),0)</f>
        <v>0.474794269968548</v>
      </c>
      <c r="R1858" s="55" t="n">
        <f aca="false">IF(F1858&gt;0,N1858/(F1858/3600),0)</f>
        <v>9.87476893990178</v>
      </c>
    </row>
    <row r="1859" customFormat="false" ht="15" hidden="false" customHeight="false" outlineLevel="0" collapsed="false">
      <c r="A1859" s="0" t="s">
        <v>261</v>
      </c>
      <c r="B1859" s="52" t="n">
        <v>44510</v>
      </c>
      <c r="C1859" s="0" t="n">
        <v>82816.963</v>
      </c>
      <c r="D1859" s="0" t="n">
        <v>9510.486</v>
      </c>
      <c r="E1859" s="0" t="n">
        <v>73306.477</v>
      </c>
      <c r="F1859" s="0" t="n">
        <v>48830.472</v>
      </c>
      <c r="G1859" s="0" t="n">
        <v>34477.416</v>
      </c>
      <c r="H1859" s="0" t="n">
        <v>14353.056</v>
      </c>
      <c r="I1859" s="0" t="n">
        <v>4120.542</v>
      </c>
      <c r="J1859" s="0" t="n">
        <v>20355.463</v>
      </c>
      <c r="K1859" s="0" t="n">
        <v>77578.7622311111</v>
      </c>
      <c r="L1859" s="0" t="n">
        <v>54578</v>
      </c>
      <c r="M1859" s="0" t="n">
        <v>54392</v>
      </c>
      <c r="N1859" s="0" t="n">
        <v>86</v>
      </c>
      <c r="O1859" s="54" t="n">
        <f aca="false">YEAR(B1859)</f>
        <v>2021</v>
      </c>
      <c r="P1859" s="54" t="n">
        <f aca="false">IF(AND(E1859&gt;=14400,K1859&gt;0,L1859&gt;0),1,0)</f>
        <v>1</v>
      </c>
      <c r="Q1859" s="53" t="n">
        <f aca="false">IF(P1859=1,F1859/E1859*MIN(L1859/K1859,1)*MIN(MAX(M1859/L1859,0),1),0)</f>
        <v>0.46702567390439</v>
      </c>
      <c r="R1859" s="55" t="n">
        <f aca="false">IF(F1859&gt;0,N1859/(F1859/3600),0)</f>
        <v>6.34030324343373</v>
      </c>
    </row>
    <row r="1860" customFormat="false" ht="15" hidden="false" customHeight="false" outlineLevel="0" collapsed="false">
      <c r="A1860" s="0" t="s">
        <v>261</v>
      </c>
      <c r="B1860" s="52" t="n">
        <v>44511</v>
      </c>
      <c r="C1860" s="0" t="n">
        <v>77428.107</v>
      </c>
      <c r="D1860" s="0" t="n">
        <v>16549.765</v>
      </c>
      <c r="E1860" s="0" t="n">
        <v>60878.342</v>
      </c>
      <c r="F1860" s="0" t="n">
        <v>50832.196</v>
      </c>
      <c r="G1860" s="0" t="n">
        <v>30192.233</v>
      </c>
      <c r="H1860" s="0" t="n">
        <v>20639.963</v>
      </c>
      <c r="I1860" s="0" t="n">
        <v>3086.86</v>
      </c>
      <c r="J1860" s="0" t="n">
        <v>6959.286</v>
      </c>
      <c r="K1860" s="0" t="n">
        <v>81802.730765</v>
      </c>
      <c r="L1860" s="0" t="n">
        <v>47675</v>
      </c>
      <c r="M1860" s="0" t="n">
        <v>47490</v>
      </c>
      <c r="N1860" s="0" t="n">
        <v>85</v>
      </c>
      <c r="O1860" s="54" t="n">
        <f aca="false">YEAR(B1860)</f>
        <v>2021</v>
      </c>
      <c r="P1860" s="54" t="n">
        <f aca="false">IF(AND(E1860&gt;=14400,K1860&gt;0,L1860&gt;0),1,0)</f>
        <v>1</v>
      </c>
      <c r="Q1860" s="53" t="n">
        <f aca="false">IF(P1860=1,F1860/E1860*MIN(L1860/K1860,1)*MIN(MAX(M1860/L1860,0),1),0)</f>
        <v>0.484741747207541</v>
      </c>
      <c r="R1860" s="55" t="n">
        <f aca="false">IF(F1860&gt;0,N1860/(F1860/3600),0)</f>
        <v>6.01980681692367</v>
      </c>
    </row>
    <row r="1861" customFormat="false" ht="15" hidden="false" customHeight="false" outlineLevel="0" collapsed="false">
      <c r="A1861" s="0" t="s">
        <v>261</v>
      </c>
      <c r="B1861" s="52" t="n">
        <v>44512</v>
      </c>
      <c r="C1861" s="0" t="n">
        <v>81415.647</v>
      </c>
      <c r="D1861" s="0" t="n">
        <v>18094.372</v>
      </c>
      <c r="E1861" s="0" t="n">
        <v>63321.275</v>
      </c>
      <c r="F1861" s="0" t="n">
        <v>44956.717</v>
      </c>
      <c r="G1861" s="0" t="n">
        <v>29132.402</v>
      </c>
      <c r="H1861" s="0" t="n">
        <v>15824.315</v>
      </c>
      <c r="I1861" s="0" t="n">
        <v>5968.16</v>
      </c>
      <c r="J1861" s="0" t="n">
        <v>12396.398</v>
      </c>
      <c r="K1861" s="0" t="n">
        <v>70498.5848077778</v>
      </c>
      <c r="L1861" s="0" t="n">
        <v>45515</v>
      </c>
      <c r="M1861" s="0" t="n">
        <v>45200</v>
      </c>
      <c r="N1861" s="0" t="n">
        <v>62</v>
      </c>
      <c r="O1861" s="54" t="n">
        <f aca="false">YEAR(B1861)</f>
        <v>2021</v>
      </c>
      <c r="P1861" s="54" t="n">
        <f aca="false">IF(AND(E1861&gt;=14400,K1861&gt;0,L1861&gt;0),1,0)</f>
        <v>1</v>
      </c>
      <c r="Q1861" s="53" t="n">
        <f aca="false">IF(P1861=1,F1861/E1861*MIN(L1861/K1861,1)*MIN(MAX(M1861/L1861,0),1),0)</f>
        <v>0.455200755117577</v>
      </c>
      <c r="R1861" s="55" t="n">
        <f aca="false">IF(F1861&gt;0,N1861/(F1861/3600),0)</f>
        <v>4.96477534158021</v>
      </c>
    </row>
    <row r="1862" customFormat="false" ht="15" hidden="false" customHeight="false" outlineLevel="0" collapsed="false">
      <c r="A1862" s="0" t="s">
        <v>261</v>
      </c>
      <c r="B1862" s="52" t="n">
        <v>44513</v>
      </c>
      <c r="C1862" s="0" t="n">
        <v>79191.65</v>
      </c>
      <c r="D1862" s="0" t="n">
        <v>16350.202</v>
      </c>
      <c r="E1862" s="0" t="n">
        <v>62841.448</v>
      </c>
      <c r="F1862" s="0" t="n">
        <v>34525.221</v>
      </c>
      <c r="G1862" s="0" t="n">
        <v>24171.25</v>
      </c>
      <c r="H1862" s="0" t="n">
        <v>10353.971</v>
      </c>
      <c r="I1862" s="0" t="n">
        <v>8644.509</v>
      </c>
      <c r="J1862" s="0" t="n">
        <v>19671.718</v>
      </c>
      <c r="K1862" s="0" t="n">
        <v>54028.1505683333</v>
      </c>
      <c r="L1862" s="0" t="n">
        <v>37130</v>
      </c>
      <c r="M1862" s="0" t="n">
        <v>36876</v>
      </c>
      <c r="N1862" s="0" t="n">
        <v>166</v>
      </c>
      <c r="O1862" s="54" t="n">
        <f aca="false">YEAR(B1862)</f>
        <v>2021</v>
      </c>
      <c r="P1862" s="54" t="n">
        <f aca="false">IF(AND(E1862&gt;=14400,K1862&gt;0,L1862&gt;0),1,0)</f>
        <v>1</v>
      </c>
      <c r="Q1862" s="53" t="n">
        <f aca="false">IF(P1862=1,F1862/E1862*MIN(L1862/K1862,1)*MIN(MAX(M1862/L1862,0),1),0)</f>
        <v>0.374985080194129</v>
      </c>
      <c r="R1862" s="55" t="n">
        <f aca="false">IF(F1862&gt;0,N1862/(F1862/3600),0)</f>
        <v>17.3090854364118</v>
      </c>
    </row>
    <row r="1863" customFormat="false" ht="15" hidden="false" customHeight="false" outlineLevel="0" collapsed="false">
      <c r="A1863" s="0" t="s">
        <v>261</v>
      </c>
      <c r="B1863" s="52" t="n">
        <v>44514</v>
      </c>
      <c r="C1863" s="0" t="n">
        <v>64858.377</v>
      </c>
      <c r="D1863" s="0" t="n">
        <v>63873.097</v>
      </c>
      <c r="E1863" s="0" t="n">
        <v>985.28</v>
      </c>
      <c r="F1863" s="0" t="n">
        <v>0</v>
      </c>
      <c r="G1863" s="0" t="n">
        <v>0</v>
      </c>
      <c r="H1863" s="0" t="n">
        <v>0</v>
      </c>
      <c r="I1863" s="0" t="n">
        <v>0</v>
      </c>
      <c r="J1863" s="0" t="n">
        <v>985.28</v>
      </c>
      <c r="K1863" s="0" t="n">
        <v>0</v>
      </c>
      <c r="L1863" s="0" t="n">
        <v>0</v>
      </c>
      <c r="M1863" s="0" t="n">
        <v>0</v>
      </c>
      <c r="N1863" s="0" t="n">
        <v>0</v>
      </c>
      <c r="O1863" s="54" t="n">
        <f aca="false">YEAR(B1863)</f>
        <v>2021</v>
      </c>
      <c r="P1863" s="54" t="n">
        <f aca="false">IF(AND(E1863&gt;=14400,K1863&gt;0,L1863&gt;0),1,0)</f>
        <v>0</v>
      </c>
      <c r="Q1863" s="53" t="n">
        <f aca="false">IF(P1863=1,F1863/E1863*MIN(L1863/K1863,1)*MIN(MAX(M1863/L1863,0),1),0)</f>
        <v>0</v>
      </c>
      <c r="R1863" s="55" t="n">
        <f aca="false">IF(F1863&gt;0,N1863/(F1863/3600),0)</f>
        <v>0</v>
      </c>
    </row>
    <row r="1864" customFormat="false" ht="15" hidden="false" customHeight="false" outlineLevel="0" collapsed="false">
      <c r="A1864" s="0" t="s">
        <v>261</v>
      </c>
      <c r="B1864" s="52" t="n">
        <v>44515</v>
      </c>
      <c r="C1864" s="0" t="n">
        <v>56175.249</v>
      </c>
      <c r="D1864" s="0" t="n">
        <v>0</v>
      </c>
      <c r="E1864" s="0" t="n">
        <v>56175.249</v>
      </c>
      <c r="F1864" s="0" t="n">
        <v>49804.794</v>
      </c>
      <c r="G1864" s="0" t="n">
        <v>31173.085</v>
      </c>
      <c r="H1864" s="0" t="n">
        <v>18631.709</v>
      </c>
      <c r="I1864" s="0" t="n">
        <v>3974.195</v>
      </c>
      <c r="J1864" s="0" t="n">
        <v>2396.26</v>
      </c>
      <c r="K1864" s="0" t="n">
        <v>80128.4607605556</v>
      </c>
      <c r="L1864" s="0" t="n">
        <v>50309</v>
      </c>
      <c r="M1864" s="0" t="n">
        <v>49992</v>
      </c>
      <c r="N1864" s="0" t="n">
        <v>57</v>
      </c>
      <c r="O1864" s="54" t="n">
        <f aca="false">YEAR(B1864)</f>
        <v>2021</v>
      </c>
      <c r="P1864" s="54" t="n">
        <f aca="false">IF(AND(E1864&gt;=14400,K1864&gt;0,L1864&gt;0),1,0)</f>
        <v>1</v>
      </c>
      <c r="Q1864" s="53" t="n">
        <f aca="false">IF(P1864=1,F1864/E1864*MIN(L1864/K1864,1)*MIN(MAX(M1864/L1864,0),1),0)</f>
        <v>0.553146098436516</v>
      </c>
      <c r="R1864" s="55" t="n">
        <f aca="false">IF(F1864&gt;0,N1864/(F1864/3600),0)</f>
        <v>4.12008530745052</v>
      </c>
    </row>
    <row r="1865" customFormat="false" ht="15" hidden="false" customHeight="false" outlineLevel="0" collapsed="false">
      <c r="A1865" s="0" t="s">
        <v>261</v>
      </c>
      <c r="B1865" s="52" t="n">
        <v>44516</v>
      </c>
      <c r="C1865" s="0" t="n">
        <v>34607.326</v>
      </c>
      <c r="D1865" s="0" t="n">
        <v>900</v>
      </c>
      <c r="E1865" s="0" t="n">
        <v>33707.326</v>
      </c>
      <c r="F1865" s="0" t="n">
        <v>26307.843</v>
      </c>
      <c r="G1865" s="0" t="n">
        <v>17776.818</v>
      </c>
      <c r="H1865" s="0" t="n">
        <v>8531.025</v>
      </c>
      <c r="I1865" s="0" t="n">
        <v>1573.568</v>
      </c>
      <c r="J1865" s="0" t="n">
        <v>5825.915</v>
      </c>
      <c r="K1865" s="0" t="n">
        <v>42093.851835</v>
      </c>
      <c r="L1865" s="0" t="n">
        <v>28218</v>
      </c>
      <c r="M1865" s="0" t="n">
        <v>28118</v>
      </c>
      <c r="N1865" s="0" t="n">
        <v>22</v>
      </c>
      <c r="O1865" s="54" t="n">
        <f aca="false">YEAR(B1865)</f>
        <v>2021</v>
      </c>
      <c r="P1865" s="54" t="n">
        <f aca="false">IF(AND(E1865&gt;=14400,K1865&gt;0,L1865&gt;0),1,0)</f>
        <v>1</v>
      </c>
      <c r="Q1865" s="53" t="n">
        <f aca="false">IF(P1865=1,F1865/E1865*MIN(L1865/K1865,1)*MIN(MAX(M1865/L1865,0),1),0)</f>
        <v>0.521346783672356</v>
      </c>
      <c r="R1865" s="55" t="n">
        <f aca="false">IF(F1865&gt;0,N1865/(F1865/3600),0)</f>
        <v>3.01050907138225</v>
      </c>
    </row>
    <row r="1866" customFormat="false" ht="15" hidden="false" customHeight="false" outlineLevel="0" collapsed="false">
      <c r="A1866" s="0" t="s">
        <v>261</v>
      </c>
      <c r="B1866" s="52" t="n">
        <v>44517</v>
      </c>
      <c r="C1866" s="0" t="n">
        <v>72303.598</v>
      </c>
      <c r="D1866" s="0" t="n">
        <v>12212.194</v>
      </c>
      <c r="E1866" s="0" t="n">
        <v>60091.404</v>
      </c>
      <c r="F1866" s="0" t="n">
        <v>50943.411</v>
      </c>
      <c r="G1866" s="0" t="n">
        <v>41175.634</v>
      </c>
      <c r="H1866" s="0" t="n">
        <v>9767.777</v>
      </c>
      <c r="I1866" s="0" t="n">
        <v>3721.819</v>
      </c>
      <c r="J1866" s="0" t="n">
        <v>5426.174</v>
      </c>
      <c r="K1866" s="0" t="n">
        <v>80391.824235</v>
      </c>
      <c r="L1866" s="0" t="n">
        <v>64553</v>
      </c>
      <c r="M1866" s="0" t="n">
        <v>64135</v>
      </c>
      <c r="N1866" s="0" t="n">
        <v>74</v>
      </c>
      <c r="O1866" s="54" t="n">
        <f aca="false">YEAR(B1866)</f>
        <v>2021</v>
      </c>
      <c r="P1866" s="54" t="n">
        <f aca="false">IF(AND(E1866&gt;=14400,K1866&gt;0,L1866&gt;0),1,0)</f>
        <v>1</v>
      </c>
      <c r="Q1866" s="53" t="n">
        <f aca="false">IF(P1866=1,F1866/E1866*MIN(L1866/K1866,1)*MIN(MAX(M1866/L1866,0),1),0)</f>
        <v>0.676330362610735</v>
      </c>
      <c r="R1866" s="55" t="n">
        <f aca="false">IF(F1866&gt;0,N1866/(F1866/3600),0)</f>
        <v>5.22933181682711</v>
      </c>
    </row>
    <row r="1867" customFormat="false" ht="15" hidden="false" customHeight="false" outlineLevel="0" collapsed="false">
      <c r="A1867" s="0" t="s">
        <v>261</v>
      </c>
      <c r="B1867" s="52" t="n">
        <v>44518</v>
      </c>
      <c r="C1867" s="0" t="n">
        <v>79841.153</v>
      </c>
      <c r="D1867" s="0" t="n">
        <v>15563.508</v>
      </c>
      <c r="E1867" s="0" t="n">
        <v>64277.645</v>
      </c>
      <c r="F1867" s="0" t="n">
        <v>33148.623</v>
      </c>
      <c r="G1867" s="0" t="n">
        <v>18763.125</v>
      </c>
      <c r="H1867" s="0" t="n">
        <v>14385.498</v>
      </c>
      <c r="I1867" s="0" t="n">
        <v>7255.918</v>
      </c>
      <c r="J1867" s="0" t="n">
        <v>23873.104</v>
      </c>
      <c r="K1867" s="0" t="n">
        <v>51911.3507794444</v>
      </c>
      <c r="L1867" s="0" t="n">
        <v>29157</v>
      </c>
      <c r="M1867" s="0" t="n">
        <v>29036</v>
      </c>
      <c r="N1867" s="0" t="n">
        <v>61</v>
      </c>
      <c r="O1867" s="54" t="n">
        <f aca="false">YEAR(B1867)</f>
        <v>2021</v>
      </c>
      <c r="P1867" s="54" t="n">
        <f aca="false">IF(AND(E1867&gt;=14400,K1867&gt;0,L1867&gt;0),1,0)</f>
        <v>1</v>
      </c>
      <c r="Q1867" s="53" t="n">
        <f aca="false">IF(P1867=1,F1867/E1867*MIN(L1867/K1867,1)*MIN(MAX(M1867/L1867,0),1),0)</f>
        <v>0.288456276837062</v>
      </c>
      <c r="R1867" s="55" t="n">
        <f aca="false">IF(F1867&gt;0,N1867/(F1867/3600),0)</f>
        <v>6.62470956938392</v>
      </c>
    </row>
    <row r="1868" customFormat="false" ht="15" hidden="false" customHeight="false" outlineLevel="0" collapsed="false">
      <c r="A1868" s="0" t="s">
        <v>261</v>
      </c>
      <c r="B1868" s="52" t="n">
        <v>44519</v>
      </c>
      <c r="C1868" s="0" t="n">
        <v>86399.998</v>
      </c>
      <c r="D1868" s="0" t="n">
        <v>19825.437</v>
      </c>
      <c r="E1868" s="0" t="n">
        <v>66574.561</v>
      </c>
      <c r="F1868" s="0" t="n">
        <v>43860.758</v>
      </c>
      <c r="G1868" s="0" t="n">
        <v>32589.692</v>
      </c>
      <c r="H1868" s="0" t="n">
        <v>11271.066</v>
      </c>
      <c r="I1868" s="0" t="n">
        <v>6860.839</v>
      </c>
      <c r="J1868" s="0" t="n">
        <v>15852.964</v>
      </c>
      <c r="K1868" s="0" t="n">
        <v>70759.0637283333</v>
      </c>
      <c r="L1868" s="0" t="n">
        <v>52166</v>
      </c>
      <c r="M1868" s="0" t="n">
        <v>52009</v>
      </c>
      <c r="N1868" s="0" t="n">
        <v>98</v>
      </c>
      <c r="O1868" s="54" t="n">
        <f aca="false">YEAR(B1868)</f>
        <v>2021</v>
      </c>
      <c r="P1868" s="54" t="n">
        <f aca="false">IF(AND(E1868&gt;=14400,K1868&gt;0,L1868&gt;0),1,0)</f>
        <v>1</v>
      </c>
      <c r="Q1868" s="53" t="n">
        <f aca="false">IF(P1868=1,F1868/E1868*MIN(L1868/K1868,1)*MIN(MAX(M1868/L1868,0),1),0)</f>
        <v>0.484243998805256</v>
      </c>
      <c r="R1868" s="55" t="n">
        <f aca="false">IF(F1868&gt;0,N1868/(F1868/3600),0)</f>
        <v>8.04363663756107</v>
      </c>
    </row>
    <row r="1869" customFormat="false" ht="15" hidden="false" customHeight="false" outlineLevel="0" collapsed="false">
      <c r="A1869" s="0" t="s">
        <v>261</v>
      </c>
      <c r="B1869" s="52" t="n">
        <v>44520</v>
      </c>
      <c r="C1869" s="0" t="n">
        <v>73089.501</v>
      </c>
      <c r="D1869" s="0" t="n">
        <v>8700.473</v>
      </c>
      <c r="E1869" s="0" t="n">
        <v>64389.028</v>
      </c>
      <c r="F1869" s="0" t="n">
        <v>36835.972</v>
      </c>
      <c r="G1869" s="0" t="n">
        <v>25554.084</v>
      </c>
      <c r="H1869" s="0" t="n">
        <v>11281.888</v>
      </c>
      <c r="I1869" s="0" t="n">
        <v>7872.96</v>
      </c>
      <c r="J1869" s="0" t="n">
        <v>19680.096</v>
      </c>
      <c r="K1869" s="0" t="n">
        <v>57611.700625</v>
      </c>
      <c r="L1869" s="0" t="n">
        <v>39905</v>
      </c>
      <c r="M1869" s="0" t="n">
        <v>39674</v>
      </c>
      <c r="N1869" s="0" t="n">
        <v>52</v>
      </c>
      <c r="O1869" s="54" t="n">
        <f aca="false">YEAR(B1869)</f>
        <v>2021</v>
      </c>
      <c r="P1869" s="54" t="n">
        <f aca="false">IF(AND(E1869&gt;=14400,K1869&gt;0,L1869&gt;0),1,0)</f>
        <v>1</v>
      </c>
      <c r="Q1869" s="53" t="n">
        <f aca="false">IF(P1869=1,F1869/E1869*MIN(L1869/K1869,1)*MIN(MAX(M1869/L1869,0),1),0)</f>
        <v>0.39396311145784</v>
      </c>
      <c r="R1869" s="55" t="n">
        <f aca="false">IF(F1869&gt;0,N1869/(F1869/3600),0)</f>
        <v>5.08198887761127</v>
      </c>
    </row>
    <row r="1870" customFormat="false" ht="15" hidden="false" customHeight="false" outlineLevel="0" collapsed="false">
      <c r="A1870" s="0" t="s">
        <v>261</v>
      </c>
      <c r="B1870" s="52" t="n">
        <v>44521</v>
      </c>
      <c r="C1870" s="0" t="n">
        <v>73508.445</v>
      </c>
      <c r="D1870" s="0" t="n">
        <v>18730.503</v>
      </c>
      <c r="E1870" s="0" t="n">
        <v>54777.942</v>
      </c>
      <c r="F1870" s="0" t="n">
        <v>14.33</v>
      </c>
      <c r="G1870" s="0" t="n">
        <v>0</v>
      </c>
      <c r="H1870" s="0" t="n">
        <v>14.33</v>
      </c>
      <c r="I1870" s="0" t="n">
        <v>0</v>
      </c>
      <c r="J1870" s="0" t="n">
        <v>54763.612</v>
      </c>
      <c r="K1870" s="0" t="n">
        <v>24.5839111111111</v>
      </c>
      <c r="L1870" s="0" t="n">
        <v>0</v>
      </c>
      <c r="M1870" s="0" t="n">
        <v>0</v>
      </c>
      <c r="N1870" s="0" t="n">
        <v>0</v>
      </c>
      <c r="O1870" s="54" t="n">
        <f aca="false">YEAR(B1870)</f>
        <v>2021</v>
      </c>
      <c r="P1870" s="54" t="n">
        <f aca="false">IF(AND(E1870&gt;=14400,K1870&gt;0,L1870&gt;0),1,0)</f>
        <v>0</v>
      </c>
      <c r="Q1870" s="53" t="n">
        <f aca="false">IF(P1870=1,F1870/E1870*MIN(L1870/K1870,1)*MIN(MAX(M1870/L1870,0),1),0)</f>
        <v>0</v>
      </c>
      <c r="R1870" s="55" t="n">
        <f aca="false">IF(F1870&gt;0,N1870/(F1870/3600),0)</f>
        <v>0</v>
      </c>
    </row>
    <row r="1871" customFormat="false" ht="15" hidden="false" customHeight="false" outlineLevel="0" collapsed="false">
      <c r="A1871" s="0" t="s">
        <v>261</v>
      </c>
      <c r="B1871" s="52" t="n">
        <v>44522</v>
      </c>
      <c r="C1871" s="0" t="n">
        <v>66174.063</v>
      </c>
      <c r="D1871" s="0" t="n">
        <v>7081.25</v>
      </c>
      <c r="E1871" s="0" t="n">
        <v>59092.813</v>
      </c>
      <c r="F1871" s="0" t="n">
        <v>48012.51</v>
      </c>
      <c r="G1871" s="0" t="n">
        <v>26504.873</v>
      </c>
      <c r="H1871" s="0" t="n">
        <v>21507.637</v>
      </c>
      <c r="I1871" s="0" t="n">
        <v>7005.888</v>
      </c>
      <c r="J1871" s="0" t="n">
        <v>4074.415</v>
      </c>
      <c r="K1871" s="0" t="n">
        <v>76969.8623155556</v>
      </c>
      <c r="L1871" s="0" t="n">
        <v>41369</v>
      </c>
      <c r="M1871" s="0" t="n">
        <v>41004</v>
      </c>
      <c r="N1871" s="0" t="n">
        <v>58</v>
      </c>
      <c r="O1871" s="54" t="n">
        <f aca="false">YEAR(B1871)</f>
        <v>2021</v>
      </c>
      <c r="P1871" s="54" t="n">
        <f aca="false">IF(AND(E1871&gt;=14400,K1871&gt;0,L1871&gt;0),1,0)</f>
        <v>1</v>
      </c>
      <c r="Q1871" s="53" t="n">
        <f aca="false">IF(P1871=1,F1871/E1871*MIN(L1871/K1871,1)*MIN(MAX(M1871/L1871,0),1),0)</f>
        <v>0.432837880318742</v>
      </c>
      <c r="R1871" s="55" t="n">
        <f aca="false">IF(F1871&gt;0,N1871/(F1871/3600),0)</f>
        <v>4.34886657664846</v>
      </c>
    </row>
    <row r="1872" customFormat="false" ht="15" hidden="false" customHeight="false" outlineLevel="0" collapsed="false">
      <c r="A1872" s="0" t="s">
        <v>261</v>
      </c>
      <c r="B1872" s="52" t="n">
        <v>44523</v>
      </c>
      <c r="C1872" s="0" t="n">
        <v>57039.595</v>
      </c>
      <c r="D1872" s="0" t="n">
        <v>15237.309</v>
      </c>
      <c r="E1872" s="0" t="n">
        <v>41802.286</v>
      </c>
      <c r="F1872" s="0" t="n">
        <v>17531.863</v>
      </c>
      <c r="G1872" s="0" t="n">
        <v>10756.959</v>
      </c>
      <c r="H1872" s="0" t="n">
        <v>6774.904</v>
      </c>
      <c r="I1872" s="0" t="n">
        <v>165.012</v>
      </c>
      <c r="J1872" s="0" t="n">
        <v>24105.411</v>
      </c>
      <c r="K1872" s="0" t="n">
        <v>28147.3018144444</v>
      </c>
      <c r="L1872" s="0" t="n">
        <v>17331</v>
      </c>
      <c r="M1872" s="0" t="n">
        <v>17315</v>
      </c>
      <c r="N1872" s="0" t="n">
        <v>5</v>
      </c>
      <c r="O1872" s="54" t="n">
        <f aca="false">YEAR(B1872)</f>
        <v>2021</v>
      </c>
      <c r="P1872" s="54" t="n">
        <f aca="false">IF(AND(E1872&gt;=14400,K1872&gt;0,L1872&gt;0),1,0)</f>
        <v>1</v>
      </c>
      <c r="Q1872" s="53" t="n">
        <f aca="false">IF(P1872=1,F1872/E1872*MIN(L1872/K1872,1)*MIN(MAX(M1872/L1872,0),1),0)</f>
        <v>0.257996468887129</v>
      </c>
      <c r="R1872" s="55" t="n">
        <f aca="false">IF(F1872&gt;0,N1872/(F1872/3600),0)</f>
        <v>1.0267020681145</v>
      </c>
    </row>
    <row r="1873" customFormat="false" ht="15" hidden="false" customHeight="false" outlineLevel="0" collapsed="false">
      <c r="A1873" s="0" t="s">
        <v>261</v>
      </c>
      <c r="B1873" s="52" t="n">
        <v>44524</v>
      </c>
      <c r="C1873" s="0" t="n">
        <v>80810.894</v>
      </c>
      <c r="D1873" s="0" t="n">
        <v>20089.772</v>
      </c>
      <c r="E1873" s="0" t="n">
        <v>60721.122</v>
      </c>
      <c r="F1873" s="0" t="n">
        <v>53749.277</v>
      </c>
      <c r="G1873" s="0" t="n">
        <v>37507.981</v>
      </c>
      <c r="H1873" s="0" t="n">
        <v>16241.296</v>
      </c>
      <c r="I1873" s="0" t="n">
        <v>1752.608</v>
      </c>
      <c r="J1873" s="0" t="n">
        <v>5219.237</v>
      </c>
      <c r="K1873" s="0" t="n">
        <v>86009.6939155556</v>
      </c>
      <c r="L1873" s="0" t="n">
        <v>59468</v>
      </c>
      <c r="M1873" s="0" t="n">
        <v>58991</v>
      </c>
      <c r="N1873" s="0" t="n">
        <v>30</v>
      </c>
      <c r="O1873" s="54" t="n">
        <f aca="false">YEAR(B1873)</f>
        <v>2021</v>
      </c>
      <c r="P1873" s="54" t="n">
        <f aca="false">IF(AND(E1873&gt;=14400,K1873&gt;0,L1873&gt;0),1,0)</f>
        <v>1</v>
      </c>
      <c r="Q1873" s="53" t="n">
        <f aca="false">IF(P1873=1,F1873/E1873*MIN(L1873/K1873,1)*MIN(MAX(M1873/L1873,0),1),0)</f>
        <v>0.607115324290079</v>
      </c>
      <c r="R1873" s="55" t="n">
        <f aca="false">IF(F1873&gt;0,N1873/(F1873/3600),0)</f>
        <v>2.00932935339763</v>
      </c>
    </row>
    <row r="1874" customFormat="false" ht="15" hidden="false" customHeight="false" outlineLevel="0" collapsed="false">
      <c r="A1874" s="0" t="s">
        <v>261</v>
      </c>
      <c r="B1874" s="52" t="n">
        <v>44525</v>
      </c>
      <c r="C1874" s="0" t="n">
        <v>84239.724</v>
      </c>
      <c r="D1874" s="0" t="n">
        <v>16853.568</v>
      </c>
      <c r="E1874" s="0" t="n">
        <v>67386.156</v>
      </c>
      <c r="F1874" s="0" t="n">
        <v>49196.127</v>
      </c>
      <c r="G1874" s="0" t="n">
        <v>38610.928</v>
      </c>
      <c r="H1874" s="0" t="n">
        <v>10585.199</v>
      </c>
      <c r="I1874" s="0" t="n">
        <v>5181.538</v>
      </c>
      <c r="J1874" s="0" t="n">
        <v>13008.491</v>
      </c>
      <c r="K1874" s="0" t="n">
        <v>79814.0059266667</v>
      </c>
      <c r="L1874" s="0" t="n">
        <v>62208</v>
      </c>
      <c r="M1874" s="0" t="n">
        <v>61936</v>
      </c>
      <c r="N1874" s="0" t="n">
        <v>76</v>
      </c>
      <c r="O1874" s="54" t="n">
        <f aca="false">YEAR(B1874)</f>
        <v>2021</v>
      </c>
      <c r="P1874" s="54" t="n">
        <f aca="false">IF(AND(E1874&gt;=14400,K1874&gt;0,L1874&gt;0),1,0)</f>
        <v>1</v>
      </c>
      <c r="Q1874" s="53" t="n">
        <f aca="false">IF(P1874=1,F1874/E1874*MIN(L1874/K1874,1)*MIN(MAX(M1874/L1874,0),1),0)</f>
        <v>0.566531778759235</v>
      </c>
      <c r="R1874" s="55" t="n">
        <f aca="false">IF(F1874&gt;0,N1874/(F1874/3600),0)</f>
        <v>5.56141340150618</v>
      </c>
    </row>
    <row r="1875" customFormat="false" ht="15" hidden="false" customHeight="false" outlineLevel="0" collapsed="false">
      <c r="A1875" s="0" t="s">
        <v>261</v>
      </c>
      <c r="B1875" s="52" t="n">
        <v>44526</v>
      </c>
      <c r="C1875" s="0" t="n">
        <v>73694.048</v>
      </c>
      <c r="D1875" s="0" t="n">
        <v>10316.713</v>
      </c>
      <c r="E1875" s="0" t="n">
        <v>63377.335</v>
      </c>
      <c r="F1875" s="0" t="n">
        <v>48368.369</v>
      </c>
      <c r="G1875" s="0" t="n">
        <v>23746.891</v>
      </c>
      <c r="H1875" s="0" t="n">
        <v>24621.478</v>
      </c>
      <c r="I1875" s="0" t="n">
        <v>3437.792</v>
      </c>
      <c r="J1875" s="0" t="n">
        <v>11571.174</v>
      </c>
      <c r="K1875" s="0" t="n">
        <v>76314.3243605556</v>
      </c>
      <c r="L1875" s="0" t="n">
        <v>37575</v>
      </c>
      <c r="M1875" s="0" t="n">
        <v>37494</v>
      </c>
      <c r="N1875" s="0" t="n">
        <v>36</v>
      </c>
      <c r="O1875" s="54" t="n">
        <f aca="false">YEAR(B1875)</f>
        <v>2021</v>
      </c>
      <c r="P1875" s="54" t="n">
        <f aca="false">IF(AND(E1875&gt;=14400,K1875&gt;0,L1875&gt;0),1,0)</f>
        <v>1</v>
      </c>
      <c r="Q1875" s="53" t="n">
        <f aca="false">IF(P1875=1,F1875/E1875*MIN(L1875/K1875,1)*MIN(MAX(M1875/L1875,0),1),0)</f>
        <v>0.374958481084261</v>
      </c>
      <c r="R1875" s="55" t="n">
        <f aca="false">IF(F1875&gt;0,N1875/(F1875/3600),0)</f>
        <v>2.67943705110255</v>
      </c>
    </row>
    <row r="1876" customFormat="false" ht="15" hidden="false" customHeight="false" outlineLevel="0" collapsed="false">
      <c r="A1876" s="0" t="s">
        <v>261</v>
      </c>
      <c r="B1876" s="52" t="n">
        <v>44527</v>
      </c>
      <c r="C1876" s="0" t="n">
        <v>79597.181</v>
      </c>
      <c r="D1876" s="0" t="n">
        <v>20775.119</v>
      </c>
      <c r="E1876" s="0" t="n">
        <v>58822.062</v>
      </c>
      <c r="F1876" s="0" t="n">
        <v>51031.07</v>
      </c>
      <c r="G1876" s="0" t="n">
        <v>40217.731</v>
      </c>
      <c r="H1876" s="0" t="n">
        <v>10813.339</v>
      </c>
      <c r="I1876" s="0" t="n">
        <v>2914.025</v>
      </c>
      <c r="J1876" s="0" t="n">
        <v>4876.967</v>
      </c>
      <c r="K1876" s="0" t="n">
        <v>81780.8856472222</v>
      </c>
      <c r="L1876" s="0" t="n">
        <v>64269</v>
      </c>
      <c r="M1876" s="0" t="n">
        <v>64199</v>
      </c>
      <c r="N1876" s="0" t="n">
        <v>53</v>
      </c>
      <c r="O1876" s="54" t="n">
        <f aca="false">YEAR(B1876)</f>
        <v>2021</v>
      </c>
      <c r="P1876" s="54" t="n">
        <f aca="false">IF(AND(E1876&gt;=14400,K1876&gt;0,L1876&gt;0),1,0)</f>
        <v>1</v>
      </c>
      <c r="Q1876" s="53" t="n">
        <f aca="false">IF(P1876=1,F1876/E1876*MIN(L1876/K1876,1)*MIN(MAX(M1876/L1876,0),1),0)</f>
        <v>0.681037276831182</v>
      </c>
      <c r="R1876" s="55" t="n">
        <f aca="false">IF(F1876&gt;0,N1876/(F1876/3600),0)</f>
        <v>3.73889867486612</v>
      </c>
    </row>
    <row r="1877" customFormat="false" ht="15" hidden="false" customHeight="false" outlineLevel="0" collapsed="false">
      <c r="A1877" s="0" t="s">
        <v>261</v>
      </c>
      <c r="B1877" s="52" t="n">
        <v>44528</v>
      </c>
      <c r="C1877" s="0" t="n">
        <v>46284.312</v>
      </c>
      <c r="D1877" s="0" t="n">
        <v>900</v>
      </c>
      <c r="E1877" s="0" t="n">
        <v>45384.312</v>
      </c>
      <c r="F1877" s="0" t="n">
        <v>0</v>
      </c>
      <c r="G1877" s="0" t="n">
        <v>0</v>
      </c>
      <c r="H1877" s="0" t="n">
        <v>0</v>
      </c>
      <c r="I1877" s="0" t="n">
        <v>0</v>
      </c>
      <c r="J1877" s="0" t="n">
        <v>45384.312</v>
      </c>
      <c r="K1877" s="0" t="n">
        <v>0</v>
      </c>
      <c r="L1877" s="0" t="n">
        <v>0</v>
      </c>
      <c r="M1877" s="0" t="n">
        <v>0</v>
      </c>
      <c r="N1877" s="0" t="n">
        <v>0</v>
      </c>
      <c r="O1877" s="54" t="n">
        <f aca="false">YEAR(B1877)</f>
        <v>2021</v>
      </c>
      <c r="P1877" s="54" t="n">
        <f aca="false">IF(AND(E1877&gt;=14400,K1877&gt;0,L1877&gt;0),1,0)</f>
        <v>0</v>
      </c>
      <c r="Q1877" s="53" t="n">
        <f aca="false">IF(P1877=1,F1877/E1877*MIN(L1877/K1877,1)*MIN(MAX(M1877/L1877,0),1),0)</f>
        <v>0</v>
      </c>
      <c r="R1877" s="55" t="n">
        <f aca="false">IF(F1877&gt;0,N1877/(F1877/3600),0)</f>
        <v>0</v>
      </c>
    </row>
    <row r="1878" customFormat="false" ht="15" hidden="false" customHeight="false" outlineLevel="0" collapsed="false">
      <c r="A1878" s="0" t="s">
        <v>261</v>
      </c>
      <c r="B1878" s="52" t="n">
        <v>44529</v>
      </c>
      <c r="C1878" s="0" t="n">
        <v>54095.212</v>
      </c>
      <c r="D1878" s="0" t="n">
        <v>990.857</v>
      </c>
      <c r="E1878" s="0" t="n">
        <v>53104.355</v>
      </c>
      <c r="F1878" s="0" t="n">
        <v>47447.773</v>
      </c>
      <c r="G1878" s="0" t="n">
        <v>31655.958</v>
      </c>
      <c r="H1878" s="0" t="n">
        <v>15791.815</v>
      </c>
      <c r="I1878" s="0" t="n">
        <v>3036.609</v>
      </c>
      <c r="J1878" s="0" t="n">
        <v>2619.973</v>
      </c>
      <c r="K1878" s="0" t="n">
        <v>76059.9307077778</v>
      </c>
      <c r="L1878" s="0" t="n">
        <v>50464</v>
      </c>
      <c r="M1878" s="0" t="n">
        <v>50161</v>
      </c>
      <c r="N1878" s="0" t="n">
        <v>55</v>
      </c>
      <c r="O1878" s="54" t="n">
        <f aca="false">YEAR(B1878)</f>
        <v>2021</v>
      </c>
      <c r="P1878" s="54" t="n">
        <f aca="false">IF(AND(E1878&gt;=14400,K1878&gt;0,L1878&gt;0),1,0)</f>
        <v>1</v>
      </c>
      <c r="Q1878" s="53" t="n">
        <f aca="false">IF(P1878=1,F1878/E1878*MIN(L1878/K1878,1)*MIN(MAX(M1878/L1878,0),1),0)</f>
        <v>0.589245067059037</v>
      </c>
      <c r="R1878" s="55" t="n">
        <f aca="false">IF(F1878&gt;0,N1878/(F1878/3600),0)</f>
        <v>4.17300934229305</v>
      </c>
    </row>
    <row r="1879" customFormat="false" ht="15" hidden="false" customHeight="false" outlineLevel="0" collapsed="false">
      <c r="A1879" s="0" t="s">
        <v>261</v>
      </c>
      <c r="B1879" s="52" t="n">
        <v>44530</v>
      </c>
      <c r="C1879" s="0" t="n">
        <v>74120.947</v>
      </c>
      <c r="D1879" s="0" t="n">
        <v>11537.522</v>
      </c>
      <c r="E1879" s="0" t="n">
        <v>62583.425</v>
      </c>
      <c r="F1879" s="0" t="n">
        <v>40491.29</v>
      </c>
      <c r="G1879" s="0" t="n">
        <v>26851.898</v>
      </c>
      <c r="H1879" s="0" t="n">
        <v>13639.392</v>
      </c>
      <c r="I1879" s="0" t="n">
        <v>2670.789</v>
      </c>
      <c r="J1879" s="0" t="n">
        <v>19421.346</v>
      </c>
      <c r="K1879" s="0" t="n">
        <v>64374.8607416667</v>
      </c>
      <c r="L1879" s="0" t="n">
        <v>42716</v>
      </c>
      <c r="M1879" s="0" t="n">
        <v>42332</v>
      </c>
      <c r="N1879" s="0" t="n">
        <v>45</v>
      </c>
      <c r="O1879" s="54" t="n">
        <f aca="false">YEAR(B1879)</f>
        <v>2021</v>
      </c>
      <c r="P1879" s="54" t="n">
        <f aca="false">IF(AND(E1879&gt;=14400,K1879&gt;0,L1879&gt;0),1,0)</f>
        <v>1</v>
      </c>
      <c r="Q1879" s="53" t="n">
        <f aca="false">IF(P1879=1,F1879/E1879*MIN(L1879/K1879,1)*MIN(MAX(M1879/L1879,0),1),0)</f>
        <v>0.42545611577665</v>
      </c>
      <c r="R1879" s="55" t="n">
        <f aca="false">IF(F1879&gt;0,N1879/(F1879/3600),0)</f>
        <v>4.00086043195956</v>
      </c>
    </row>
    <row r="1880" customFormat="false" ht="15" hidden="false" customHeight="false" outlineLevel="0" collapsed="false">
      <c r="A1880" s="0" t="s">
        <v>261</v>
      </c>
      <c r="B1880" s="52" t="n">
        <v>44531</v>
      </c>
      <c r="C1880" s="0" t="n">
        <v>72480.914</v>
      </c>
      <c r="D1880" s="0" t="n">
        <v>17075.926</v>
      </c>
      <c r="E1880" s="0" t="n">
        <v>55404.988</v>
      </c>
      <c r="F1880" s="0" t="n">
        <v>45541.373</v>
      </c>
      <c r="G1880" s="0" t="n">
        <v>31328.109</v>
      </c>
      <c r="H1880" s="0" t="n">
        <v>14213.264</v>
      </c>
      <c r="I1880" s="0" t="n">
        <v>3703.524</v>
      </c>
      <c r="J1880" s="0" t="n">
        <v>6160.091</v>
      </c>
      <c r="K1880" s="0" t="n">
        <v>73044.1634605556</v>
      </c>
      <c r="L1880" s="0" t="n">
        <v>50191</v>
      </c>
      <c r="M1880" s="0" t="n">
        <v>49876</v>
      </c>
      <c r="N1880" s="0" t="n">
        <v>36</v>
      </c>
      <c r="O1880" s="54" t="n">
        <f aca="false">YEAR(B1880)</f>
        <v>2021</v>
      </c>
      <c r="P1880" s="54" t="n">
        <f aca="false">IF(AND(E1880&gt;=14400,K1880&gt;0,L1880&gt;0),1,0)</f>
        <v>1</v>
      </c>
      <c r="Q1880" s="53" t="n">
        <f aca="false">IF(P1880=1,F1880/E1880*MIN(L1880/K1880,1)*MIN(MAX(M1880/L1880,0),1),0)</f>
        <v>0.561259042722348</v>
      </c>
      <c r="R1880" s="55" t="n">
        <f aca="false">IF(F1880&gt;0,N1880/(F1880/3600),0)</f>
        <v>2.84576400452397</v>
      </c>
    </row>
    <row r="1881" customFormat="false" ht="15" hidden="false" customHeight="false" outlineLevel="0" collapsed="false">
      <c r="A1881" s="0" t="s">
        <v>261</v>
      </c>
      <c r="B1881" s="52" t="n">
        <v>44532</v>
      </c>
      <c r="C1881" s="0" t="n">
        <v>77159.45</v>
      </c>
      <c r="D1881" s="0" t="n">
        <v>20214.267</v>
      </c>
      <c r="E1881" s="0" t="n">
        <v>56945.183</v>
      </c>
      <c r="F1881" s="0" t="n">
        <v>46918.682</v>
      </c>
      <c r="G1881" s="0" t="n">
        <v>27667.802</v>
      </c>
      <c r="H1881" s="0" t="n">
        <v>19250.88</v>
      </c>
      <c r="I1881" s="0" t="n">
        <v>2487.455</v>
      </c>
      <c r="J1881" s="0" t="n">
        <v>7539.046</v>
      </c>
      <c r="K1881" s="0" t="n">
        <v>74940.7546633333</v>
      </c>
      <c r="L1881" s="0" t="n">
        <v>42894</v>
      </c>
      <c r="M1881" s="0" t="n">
        <v>42774</v>
      </c>
      <c r="N1881" s="0" t="n">
        <v>32</v>
      </c>
      <c r="O1881" s="54" t="n">
        <f aca="false">YEAR(B1881)</f>
        <v>2021</v>
      </c>
      <c r="P1881" s="54" t="n">
        <f aca="false">IF(AND(E1881&gt;=14400,K1881&gt;0,L1881&gt;0),1,0)</f>
        <v>1</v>
      </c>
      <c r="Q1881" s="53" t="n">
        <f aca="false">IF(P1881=1,F1881/E1881*MIN(L1881/K1881,1)*MIN(MAX(M1881/L1881,0),1),0)</f>
        <v>0.470273615744572</v>
      </c>
      <c r="R1881" s="55" t="n">
        <f aca="false">IF(F1881&gt;0,N1881/(F1881/3600),0)</f>
        <v>2.45531193736431</v>
      </c>
    </row>
    <row r="1882" customFormat="false" ht="15" hidden="false" customHeight="false" outlineLevel="0" collapsed="false">
      <c r="A1882" s="0" t="s">
        <v>261</v>
      </c>
      <c r="B1882" s="52" t="n">
        <v>44533</v>
      </c>
      <c r="C1882" s="0" t="n">
        <v>77316.603</v>
      </c>
      <c r="D1882" s="0" t="n">
        <v>16715.531</v>
      </c>
      <c r="E1882" s="0" t="n">
        <v>60601.072</v>
      </c>
      <c r="F1882" s="0" t="n">
        <v>38717.857</v>
      </c>
      <c r="G1882" s="0" t="n">
        <v>27185.566</v>
      </c>
      <c r="H1882" s="0" t="n">
        <v>11532.291</v>
      </c>
      <c r="I1882" s="0" t="n">
        <v>2267.199</v>
      </c>
      <c r="J1882" s="0" t="n">
        <v>19616.016</v>
      </c>
      <c r="K1882" s="0" t="n">
        <v>62210.9003205556</v>
      </c>
      <c r="L1882" s="0" t="n">
        <v>43705</v>
      </c>
      <c r="M1882" s="0" t="n">
        <v>43300</v>
      </c>
      <c r="N1882" s="0" t="n">
        <v>23</v>
      </c>
      <c r="O1882" s="54" t="n">
        <f aca="false">YEAR(B1882)</f>
        <v>2021</v>
      </c>
      <c r="P1882" s="54" t="n">
        <f aca="false">IF(AND(E1882&gt;=14400,K1882&gt;0,L1882&gt;0),1,0)</f>
        <v>1</v>
      </c>
      <c r="Q1882" s="53" t="n">
        <f aca="false">IF(P1882=1,F1882/E1882*MIN(L1882/K1882,1)*MIN(MAX(M1882/L1882,0),1),0)</f>
        <v>0.444684932879166</v>
      </c>
      <c r="R1882" s="55" t="n">
        <f aca="false">IF(F1882&gt;0,N1882/(F1882/3600),0)</f>
        <v>2.13854811230901</v>
      </c>
    </row>
    <row r="1883" customFormat="false" ht="15" hidden="false" customHeight="false" outlineLevel="0" collapsed="false">
      <c r="A1883" s="0" t="s">
        <v>261</v>
      </c>
      <c r="B1883" s="52" t="n">
        <v>44534</v>
      </c>
      <c r="C1883" s="0" t="n">
        <v>78503.979</v>
      </c>
      <c r="D1883" s="0" t="n">
        <v>18112.062</v>
      </c>
      <c r="E1883" s="0" t="n">
        <v>60391.917</v>
      </c>
      <c r="F1883" s="0" t="n">
        <v>51565.499</v>
      </c>
      <c r="G1883" s="0" t="n">
        <v>38076.65</v>
      </c>
      <c r="H1883" s="0" t="n">
        <v>13488.849</v>
      </c>
      <c r="I1883" s="0" t="n">
        <v>2685.619</v>
      </c>
      <c r="J1883" s="0" t="n">
        <v>6140.799</v>
      </c>
      <c r="K1883" s="0" t="n">
        <v>83755.0210683333</v>
      </c>
      <c r="L1883" s="0" t="n">
        <v>61439</v>
      </c>
      <c r="M1883" s="0" t="n">
        <v>60947</v>
      </c>
      <c r="N1883" s="0" t="n">
        <v>43</v>
      </c>
      <c r="O1883" s="54" t="n">
        <f aca="false">YEAR(B1883)</f>
        <v>2021</v>
      </c>
      <c r="P1883" s="54" t="n">
        <f aca="false">IF(AND(E1883&gt;=14400,K1883&gt;0,L1883&gt;0),1,0)</f>
        <v>1</v>
      </c>
      <c r="Q1883" s="53" t="n">
        <f aca="false">IF(P1883=1,F1883/E1883*MIN(L1883/K1883,1)*MIN(MAX(M1883/L1883,0),1),0)</f>
        <v>0.621329380318084</v>
      </c>
      <c r="R1883" s="55" t="n">
        <f aca="false">IF(F1883&gt;0,N1883/(F1883/3600),0)</f>
        <v>3.00200721416465</v>
      </c>
    </row>
    <row r="1884" customFormat="false" ht="15" hidden="false" customHeight="false" outlineLevel="0" collapsed="false">
      <c r="A1884" s="0" t="s">
        <v>261</v>
      </c>
      <c r="B1884" s="52" t="n">
        <v>44535</v>
      </c>
      <c r="C1884" s="0" t="n">
        <v>58141.246</v>
      </c>
      <c r="D1884" s="0" t="n">
        <v>56443.915</v>
      </c>
      <c r="E1884" s="0" t="n">
        <v>1697.331</v>
      </c>
      <c r="F1884" s="0" t="n">
        <v>0</v>
      </c>
      <c r="G1884" s="0" t="n">
        <v>0</v>
      </c>
      <c r="H1884" s="0" t="n">
        <v>0</v>
      </c>
      <c r="I1884" s="0" t="n">
        <v>0</v>
      </c>
      <c r="J1884" s="0" t="n">
        <v>1697.331</v>
      </c>
      <c r="K1884" s="0" t="n">
        <v>0</v>
      </c>
      <c r="L1884" s="0" t="n">
        <v>0</v>
      </c>
      <c r="M1884" s="0" t="n">
        <v>0</v>
      </c>
      <c r="N1884" s="0" t="n">
        <v>0</v>
      </c>
      <c r="O1884" s="54" t="n">
        <f aca="false">YEAR(B1884)</f>
        <v>2021</v>
      </c>
      <c r="P1884" s="54" t="n">
        <f aca="false">IF(AND(E1884&gt;=14400,K1884&gt;0,L1884&gt;0),1,0)</f>
        <v>0</v>
      </c>
      <c r="Q1884" s="53" t="n">
        <f aca="false">IF(P1884=1,F1884/E1884*MIN(L1884/K1884,1)*MIN(MAX(M1884/L1884,0),1),0)</f>
        <v>0</v>
      </c>
      <c r="R1884" s="55" t="n">
        <f aca="false">IF(F1884&gt;0,N1884/(F1884/3600),0)</f>
        <v>0</v>
      </c>
    </row>
    <row r="1885" customFormat="false" ht="15" hidden="false" customHeight="false" outlineLevel="0" collapsed="false">
      <c r="A1885" s="0" t="s">
        <v>261</v>
      </c>
      <c r="B1885" s="52" t="n">
        <v>44536</v>
      </c>
      <c r="C1885" s="0" t="n">
        <v>65463.782</v>
      </c>
      <c r="D1885" s="0" t="n">
        <v>5173.55</v>
      </c>
      <c r="E1885" s="0" t="n">
        <v>60290.232</v>
      </c>
      <c r="F1885" s="0" t="n">
        <v>49938.442</v>
      </c>
      <c r="G1885" s="0" t="n">
        <v>33412.587</v>
      </c>
      <c r="H1885" s="0" t="n">
        <v>16525.855</v>
      </c>
      <c r="I1885" s="0" t="n">
        <v>4316.898</v>
      </c>
      <c r="J1885" s="0" t="n">
        <v>6034.892</v>
      </c>
      <c r="K1885" s="0" t="n">
        <v>82785.1776494445</v>
      </c>
      <c r="L1885" s="0" t="n">
        <v>55478</v>
      </c>
      <c r="M1885" s="0" t="n">
        <v>55378</v>
      </c>
      <c r="N1885" s="0" t="n">
        <v>41</v>
      </c>
      <c r="O1885" s="54" t="n">
        <f aca="false">YEAR(B1885)</f>
        <v>2021</v>
      </c>
      <c r="P1885" s="54" t="n">
        <f aca="false">IF(AND(E1885&gt;=14400,K1885&gt;0,L1885&gt;0),1,0)</f>
        <v>1</v>
      </c>
      <c r="Q1885" s="53" t="n">
        <f aca="false">IF(P1885=1,F1885/E1885*MIN(L1885/K1885,1)*MIN(MAX(M1885/L1885,0),1),0)</f>
        <v>0.55408030817597</v>
      </c>
      <c r="R1885" s="55" t="n">
        <f aca="false">IF(F1885&gt;0,N1885/(F1885/3600),0)</f>
        <v>2.95563886434423</v>
      </c>
    </row>
    <row r="1886" customFormat="false" ht="15" hidden="false" customHeight="false" outlineLevel="0" collapsed="false">
      <c r="A1886" s="0" t="s">
        <v>261</v>
      </c>
      <c r="B1886" s="52" t="n">
        <v>44537</v>
      </c>
      <c r="C1886" s="0" t="n">
        <v>86105.839</v>
      </c>
      <c r="D1886" s="0" t="n">
        <v>8517.089</v>
      </c>
      <c r="E1886" s="0" t="n">
        <v>77588.75</v>
      </c>
      <c r="F1886" s="0" t="n">
        <v>50860.026</v>
      </c>
      <c r="G1886" s="0" t="n">
        <v>36634.111</v>
      </c>
      <c r="H1886" s="0" t="n">
        <v>14225.915</v>
      </c>
      <c r="I1886" s="0" t="n">
        <v>2220.508</v>
      </c>
      <c r="J1886" s="0" t="n">
        <v>24508.216</v>
      </c>
      <c r="K1886" s="0" t="n">
        <v>82237.0793477778</v>
      </c>
      <c r="L1886" s="0" t="n">
        <v>59306</v>
      </c>
      <c r="M1886" s="0" t="n">
        <v>59212</v>
      </c>
      <c r="N1886" s="0" t="n">
        <v>40</v>
      </c>
      <c r="O1886" s="54" t="n">
        <f aca="false">YEAR(B1886)</f>
        <v>2021</v>
      </c>
      <c r="P1886" s="54" t="n">
        <f aca="false">IF(AND(E1886&gt;=14400,K1886&gt;0,L1886&gt;0),1,0)</f>
        <v>1</v>
      </c>
      <c r="Q1886" s="53" t="n">
        <f aca="false">IF(P1886=1,F1886/E1886*MIN(L1886/K1886,1)*MIN(MAX(M1886/L1886,0),1),0)</f>
        <v>0.471975956407254</v>
      </c>
      <c r="R1886" s="55" t="n">
        <f aca="false">IF(F1886&gt;0,N1886/(F1886/3600),0)</f>
        <v>2.83130016488784</v>
      </c>
    </row>
    <row r="1887" customFormat="false" ht="15" hidden="false" customHeight="false" outlineLevel="0" collapsed="false">
      <c r="A1887" s="0" t="s">
        <v>261</v>
      </c>
      <c r="B1887" s="52" t="n">
        <v>44538</v>
      </c>
      <c r="C1887" s="0" t="n">
        <v>77070.68</v>
      </c>
      <c r="D1887" s="0" t="n">
        <v>3650.035</v>
      </c>
      <c r="E1887" s="0" t="n">
        <v>73420.645</v>
      </c>
      <c r="F1887" s="0" t="n">
        <v>49905.613</v>
      </c>
      <c r="G1887" s="0" t="n">
        <v>36797.068</v>
      </c>
      <c r="H1887" s="0" t="n">
        <v>13108.545</v>
      </c>
      <c r="I1887" s="0" t="n">
        <v>2858.671</v>
      </c>
      <c r="J1887" s="0" t="n">
        <v>20656.361</v>
      </c>
      <c r="K1887" s="0" t="n">
        <v>77995.6504566667</v>
      </c>
      <c r="L1887" s="0" t="n">
        <v>57334</v>
      </c>
      <c r="M1887" s="0" t="n">
        <v>57204</v>
      </c>
      <c r="N1887" s="0" t="n">
        <v>27</v>
      </c>
      <c r="O1887" s="54" t="n">
        <f aca="false">YEAR(B1887)</f>
        <v>2021</v>
      </c>
      <c r="P1887" s="54" t="n">
        <f aca="false">IF(AND(E1887&gt;=14400,K1887&gt;0,L1887&gt;0),1,0)</f>
        <v>1</v>
      </c>
      <c r="Q1887" s="53" t="n">
        <f aca="false">IF(P1887=1,F1887/E1887*MIN(L1887/K1887,1)*MIN(MAX(M1887/L1887,0),1),0)</f>
        <v>0.498525310550038</v>
      </c>
      <c r="R1887" s="55" t="n">
        <f aca="false">IF(F1887&gt;0,N1887/(F1887/3600),0)</f>
        <v>1.9476767072273</v>
      </c>
    </row>
    <row r="1888" customFormat="false" ht="15" hidden="false" customHeight="false" outlineLevel="0" collapsed="false">
      <c r="A1888" s="0" t="s">
        <v>261</v>
      </c>
      <c r="B1888" s="52" t="n">
        <v>44539</v>
      </c>
      <c r="C1888" s="0" t="n">
        <v>80062.982</v>
      </c>
      <c r="D1888" s="0" t="n">
        <v>20005.456</v>
      </c>
      <c r="E1888" s="0" t="n">
        <v>60057.526</v>
      </c>
      <c r="F1888" s="0" t="n">
        <v>49333.75</v>
      </c>
      <c r="G1888" s="0" t="n">
        <v>30594.485</v>
      </c>
      <c r="H1888" s="0" t="n">
        <v>18739.265</v>
      </c>
      <c r="I1888" s="0" t="n">
        <v>3645.896</v>
      </c>
      <c r="J1888" s="0" t="n">
        <v>7077.88</v>
      </c>
      <c r="K1888" s="0" t="n">
        <v>80140.7900794444</v>
      </c>
      <c r="L1888" s="0" t="n">
        <v>49807</v>
      </c>
      <c r="M1888" s="0" t="n">
        <v>49423</v>
      </c>
      <c r="N1888" s="0" t="n">
        <v>49</v>
      </c>
      <c r="O1888" s="54" t="n">
        <f aca="false">YEAR(B1888)</f>
        <v>2021</v>
      </c>
      <c r="P1888" s="54" t="n">
        <f aca="false">IF(AND(E1888&gt;=14400,K1888&gt;0,L1888&gt;0),1,0)</f>
        <v>1</v>
      </c>
      <c r="Q1888" s="53" t="n">
        <f aca="false">IF(P1888=1,F1888/E1888*MIN(L1888/K1888,1)*MIN(MAX(M1888/L1888,0),1),0)</f>
        <v>0.506584823424493</v>
      </c>
      <c r="R1888" s="55" t="n">
        <f aca="false">IF(F1888&gt;0,N1888/(F1888/3600),0)</f>
        <v>3.57564547596726</v>
      </c>
    </row>
    <row r="1889" customFormat="false" ht="15" hidden="false" customHeight="false" outlineLevel="0" collapsed="false">
      <c r="A1889" s="0" t="s">
        <v>261</v>
      </c>
      <c r="B1889" s="52" t="n">
        <v>44540</v>
      </c>
      <c r="C1889" s="0" t="n">
        <v>83737.996</v>
      </c>
      <c r="D1889" s="0" t="n">
        <v>11340.446</v>
      </c>
      <c r="E1889" s="0" t="n">
        <v>72397.55</v>
      </c>
      <c r="F1889" s="0" t="n">
        <v>46668.138</v>
      </c>
      <c r="G1889" s="0" t="n">
        <v>33014.257</v>
      </c>
      <c r="H1889" s="0" t="n">
        <v>13653.881</v>
      </c>
      <c r="I1889" s="0" t="n">
        <v>6444.698</v>
      </c>
      <c r="J1889" s="0" t="n">
        <v>19284.714</v>
      </c>
      <c r="K1889" s="0" t="n">
        <v>75421.80102</v>
      </c>
      <c r="L1889" s="0" t="n">
        <v>53217</v>
      </c>
      <c r="M1889" s="0" t="n">
        <v>52987</v>
      </c>
      <c r="N1889" s="0" t="n">
        <v>76</v>
      </c>
      <c r="O1889" s="54" t="n">
        <f aca="false">YEAR(B1889)</f>
        <v>2021</v>
      </c>
      <c r="P1889" s="54" t="n">
        <f aca="false">IF(AND(E1889&gt;=14400,K1889&gt;0,L1889&gt;0),1,0)</f>
        <v>1</v>
      </c>
      <c r="Q1889" s="53" t="n">
        <f aca="false">IF(P1889=1,F1889/E1889*MIN(L1889/K1889,1)*MIN(MAX(M1889/L1889,0),1),0)</f>
        <v>0.452865291266141</v>
      </c>
      <c r="R1889" s="55" t="n">
        <f aca="false">IF(F1889&gt;0,N1889/(F1889/3600),0)</f>
        <v>5.86267230117473</v>
      </c>
    </row>
    <row r="1890" customFormat="false" ht="15" hidden="false" customHeight="false" outlineLevel="0" collapsed="false">
      <c r="A1890" s="0" t="s">
        <v>261</v>
      </c>
      <c r="B1890" s="52" t="n">
        <v>44541</v>
      </c>
      <c r="C1890" s="0" t="n">
        <v>85989.026</v>
      </c>
      <c r="D1890" s="0" t="n">
        <v>11316.116</v>
      </c>
      <c r="E1890" s="0" t="n">
        <v>74672.91</v>
      </c>
      <c r="F1890" s="0" t="n">
        <v>46243.345</v>
      </c>
      <c r="G1890" s="0" t="n">
        <v>34024.527</v>
      </c>
      <c r="H1890" s="0" t="n">
        <v>12218.818</v>
      </c>
      <c r="I1890" s="0" t="n">
        <v>7012.899</v>
      </c>
      <c r="J1890" s="0" t="n">
        <v>21416.666</v>
      </c>
      <c r="K1890" s="0" t="n">
        <v>73588.28132</v>
      </c>
      <c r="L1890" s="0" t="n">
        <v>54020</v>
      </c>
      <c r="M1890" s="0" t="n">
        <v>53508</v>
      </c>
      <c r="N1890" s="0" t="n">
        <v>121</v>
      </c>
      <c r="O1890" s="54" t="n">
        <f aca="false">YEAR(B1890)</f>
        <v>2021</v>
      </c>
      <c r="P1890" s="54" t="n">
        <f aca="false">IF(AND(E1890&gt;=14400,K1890&gt;0,L1890&gt;0),1,0)</f>
        <v>1</v>
      </c>
      <c r="Q1890" s="53" t="n">
        <f aca="false">IF(P1890=1,F1890/E1890*MIN(L1890/K1890,1)*MIN(MAX(M1890/L1890,0),1),0)</f>
        <v>0.45029406562375</v>
      </c>
      <c r="R1890" s="55" t="n">
        <f aca="false">IF(F1890&gt;0,N1890/(F1890/3600),0)</f>
        <v>9.41973380169622</v>
      </c>
    </row>
    <row r="1891" customFormat="false" ht="15" hidden="false" customHeight="false" outlineLevel="0" collapsed="false">
      <c r="A1891" s="0" t="s">
        <v>261</v>
      </c>
      <c r="B1891" s="52" t="n">
        <v>44542</v>
      </c>
      <c r="C1891" s="0" t="n">
        <v>40719.315</v>
      </c>
      <c r="D1891" s="0" t="n">
        <v>900</v>
      </c>
      <c r="E1891" s="0" t="n">
        <v>39819.315</v>
      </c>
      <c r="F1891" s="0" t="n">
        <v>0</v>
      </c>
      <c r="G1891" s="0" t="n">
        <v>0</v>
      </c>
      <c r="H1891" s="0" t="n">
        <v>0</v>
      </c>
      <c r="I1891" s="0" t="n">
        <v>0</v>
      </c>
      <c r="J1891" s="0" t="n">
        <v>39819.315</v>
      </c>
      <c r="K1891" s="0" t="n">
        <v>0</v>
      </c>
      <c r="L1891" s="0" t="n">
        <v>0</v>
      </c>
      <c r="M1891" s="0" t="n">
        <v>0</v>
      </c>
      <c r="N1891" s="0" t="n">
        <v>0</v>
      </c>
      <c r="O1891" s="54" t="n">
        <f aca="false">YEAR(B1891)</f>
        <v>2021</v>
      </c>
      <c r="P1891" s="54" t="n">
        <f aca="false">IF(AND(E1891&gt;=14400,K1891&gt;0,L1891&gt;0),1,0)</f>
        <v>0</v>
      </c>
      <c r="Q1891" s="53" t="n">
        <f aca="false">IF(P1891=1,F1891/E1891*MIN(L1891/K1891,1)*MIN(MAX(M1891/L1891,0),1),0)</f>
        <v>0</v>
      </c>
      <c r="R1891" s="55" t="n">
        <f aca="false">IF(F1891&gt;0,N1891/(F1891/3600),0)</f>
        <v>0</v>
      </c>
    </row>
    <row r="1892" customFormat="false" ht="15" hidden="false" customHeight="false" outlineLevel="0" collapsed="false">
      <c r="A1892" s="0" t="s">
        <v>261</v>
      </c>
      <c r="B1892" s="52" t="n">
        <v>44543</v>
      </c>
      <c r="C1892" s="0" t="n">
        <v>62013.415</v>
      </c>
      <c r="D1892" s="0" t="n">
        <v>6007.421</v>
      </c>
      <c r="E1892" s="0" t="n">
        <v>56005.994</v>
      </c>
      <c r="F1892" s="0" t="n">
        <v>42819.364</v>
      </c>
      <c r="G1892" s="0" t="n">
        <v>23572.763</v>
      </c>
      <c r="H1892" s="0" t="n">
        <v>19246.601</v>
      </c>
      <c r="I1892" s="0" t="n">
        <v>11064.503</v>
      </c>
      <c r="J1892" s="0" t="n">
        <v>2122.127</v>
      </c>
      <c r="K1892" s="0" t="n">
        <v>65893.7377188889</v>
      </c>
      <c r="L1892" s="0" t="n">
        <v>35143</v>
      </c>
      <c r="M1892" s="0" t="n">
        <v>34705</v>
      </c>
      <c r="N1892" s="0" t="n">
        <v>218</v>
      </c>
      <c r="O1892" s="54" t="n">
        <f aca="false">YEAR(B1892)</f>
        <v>2021</v>
      </c>
      <c r="P1892" s="54" t="n">
        <f aca="false">IF(AND(E1892&gt;=14400,K1892&gt;0,L1892&gt;0),1,0)</f>
        <v>1</v>
      </c>
      <c r="Q1892" s="53" t="n">
        <f aca="false">IF(P1892=1,F1892/E1892*MIN(L1892/K1892,1)*MIN(MAX(M1892/L1892,0),1),0)</f>
        <v>0.402674018395733</v>
      </c>
      <c r="R1892" s="55" t="n">
        <f aca="false">IF(F1892&gt;0,N1892/(F1892/3600),0)</f>
        <v>18.3281563920473</v>
      </c>
    </row>
    <row r="1893" customFormat="false" ht="15" hidden="false" customHeight="false" outlineLevel="0" collapsed="false">
      <c r="A1893" s="0" t="s">
        <v>261</v>
      </c>
      <c r="B1893" s="52" t="n">
        <v>44544</v>
      </c>
      <c r="C1893" s="0" t="n">
        <v>75797.465</v>
      </c>
      <c r="D1893" s="0" t="n">
        <v>11843.469</v>
      </c>
      <c r="E1893" s="0" t="n">
        <v>63953.996</v>
      </c>
      <c r="F1893" s="0" t="n">
        <v>42870.333</v>
      </c>
      <c r="G1893" s="0" t="n">
        <v>34850.662</v>
      </c>
      <c r="H1893" s="0" t="n">
        <v>8019.671</v>
      </c>
      <c r="I1893" s="0" t="n">
        <v>3481.056</v>
      </c>
      <c r="J1893" s="0" t="n">
        <v>17602.607</v>
      </c>
      <c r="K1893" s="0" t="n">
        <v>66023.367015</v>
      </c>
      <c r="L1893" s="0" t="n">
        <v>53368</v>
      </c>
      <c r="M1893" s="0" t="n">
        <v>53161</v>
      </c>
      <c r="N1893" s="0" t="n">
        <v>40</v>
      </c>
      <c r="O1893" s="54" t="n">
        <f aca="false">YEAR(B1893)</f>
        <v>2021</v>
      </c>
      <c r="P1893" s="54" t="n">
        <f aca="false">IF(AND(E1893&gt;=14400,K1893&gt;0,L1893&gt;0),1,0)</f>
        <v>1</v>
      </c>
      <c r="Q1893" s="53" t="n">
        <f aca="false">IF(P1893=1,F1893/E1893*MIN(L1893/K1893,1)*MIN(MAX(M1893/L1893,0),1),0)</f>
        <v>0.539740049909487</v>
      </c>
      <c r="R1893" s="55" t="n">
        <f aca="false">IF(F1893&gt;0,N1893/(F1893/3600),0)</f>
        <v>3.35896621096925</v>
      </c>
    </row>
    <row r="1894" customFormat="false" ht="15" hidden="false" customHeight="false" outlineLevel="0" collapsed="false">
      <c r="A1894" s="0" t="s">
        <v>261</v>
      </c>
      <c r="B1894" s="52" t="n">
        <v>44545</v>
      </c>
      <c r="C1894" s="0" t="n">
        <v>78677.992</v>
      </c>
      <c r="D1894" s="0" t="n">
        <v>10553.776</v>
      </c>
      <c r="E1894" s="0" t="n">
        <v>68124.216</v>
      </c>
      <c r="F1894" s="0" t="n">
        <v>47499.749</v>
      </c>
      <c r="G1894" s="0" t="n">
        <v>32964.993</v>
      </c>
      <c r="H1894" s="0" t="n">
        <v>14534.756</v>
      </c>
      <c r="I1894" s="0" t="n">
        <v>6671.725</v>
      </c>
      <c r="J1894" s="0" t="n">
        <v>13952.742</v>
      </c>
      <c r="K1894" s="0" t="n">
        <v>73310.6132436111</v>
      </c>
      <c r="L1894" s="0" t="n">
        <v>49577</v>
      </c>
      <c r="M1894" s="0" t="n">
        <v>49304</v>
      </c>
      <c r="N1894" s="0" t="n">
        <v>127</v>
      </c>
      <c r="O1894" s="54" t="n">
        <f aca="false">YEAR(B1894)</f>
        <v>2021</v>
      </c>
      <c r="P1894" s="54" t="n">
        <f aca="false">IF(AND(E1894&gt;=14400,K1894&gt;0,L1894&gt;0),1,0)</f>
        <v>1</v>
      </c>
      <c r="Q1894" s="53" t="n">
        <f aca="false">IF(P1894=1,F1894/E1894*MIN(L1894/K1894,1)*MIN(MAX(M1894/L1894,0),1),0)</f>
        <v>0.468926849245244</v>
      </c>
      <c r="R1894" s="55" t="n">
        <f aca="false">IF(F1894&gt;0,N1894/(F1894/3600),0)</f>
        <v>9.6253140200804</v>
      </c>
    </row>
    <row r="1895" customFormat="false" ht="15" hidden="false" customHeight="false" outlineLevel="0" collapsed="false">
      <c r="A1895" s="0" t="s">
        <v>261</v>
      </c>
      <c r="B1895" s="52" t="n">
        <v>44546</v>
      </c>
      <c r="C1895" s="0" t="n">
        <v>76394.905</v>
      </c>
      <c r="D1895" s="0" t="n">
        <v>8485.151</v>
      </c>
      <c r="E1895" s="0" t="n">
        <v>67909.754</v>
      </c>
      <c r="F1895" s="0" t="n">
        <v>39962.933</v>
      </c>
      <c r="G1895" s="0" t="n">
        <v>24802.89</v>
      </c>
      <c r="H1895" s="0" t="n">
        <v>15160.043</v>
      </c>
      <c r="I1895" s="0" t="n">
        <v>11310.257</v>
      </c>
      <c r="J1895" s="0" t="n">
        <v>16636.564</v>
      </c>
      <c r="K1895" s="0" t="n">
        <v>61819.8055877778</v>
      </c>
      <c r="L1895" s="0" t="n">
        <v>37295</v>
      </c>
      <c r="M1895" s="0" t="n">
        <v>36878</v>
      </c>
      <c r="N1895" s="0" t="n">
        <v>156</v>
      </c>
      <c r="O1895" s="54" t="n">
        <f aca="false">YEAR(B1895)</f>
        <v>2021</v>
      </c>
      <c r="P1895" s="54" t="n">
        <f aca="false">IF(AND(E1895&gt;=14400,K1895&gt;0,L1895&gt;0),1,0)</f>
        <v>1</v>
      </c>
      <c r="Q1895" s="53" t="n">
        <f aca="false">IF(P1895=1,F1895/E1895*MIN(L1895/K1895,1)*MIN(MAX(M1895/L1895,0),1),0)</f>
        <v>0.351046722514724</v>
      </c>
      <c r="R1895" s="55" t="n">
        <f aca="false">IF(F1895&gt;0,N1895/(F1895/3600),0)</f>
        <v>14.0530225847037</v>
      </c>
    </row>
    <row r="1896" customFormat="false" ht="15" hidden="false" customHeight="false" outlineLevel="0" collapsed="false">
      <c r="A1896" s="0" t="s">
        <v>261</v>
      </c>
      <c r="B1896" s="52" t="n">
        <v>44547</v>
      </c>
      <c r="C1896" s="0" t="n">
        <v>59855.885</v>
      </c>
      <c r="D1896" s="0" t="n">
        <v>2934.302</v>
      </c>
      <c r="E1896" s="0" t="n">
        <v>56921.583</v>
      </c>
      <c r="F1896" s="0" t="n">
        <v>50107.302</v>
      </c>
      <c r="G1896" s="0" t="n">
        <v>35170.691</v>
      </c>
      <c r="H1896" s="0" t="n">
        <v>14936.611</v>
      </c>
      <c r="I1896" s="0" t="n">
        <v>4032.747</v>
      </c>
      <c r="J1896" s="0" t="n">
        <v>2781.534</v>
      </c>
      <c r="K1896" s="0" t="n">
        <v>80119.4698361111</v>
      </c>
      <c r="L1896" s="0" t="n">
        <v>56215</v>
      </c>
      <c r="M1896" s="0" t="n">
        <v>55970</v>
      </c>
      <c r="N1896" s="0" t="n">
        <v>89</v>
      </c>
      <c r="O1896" s="54" t="n">
        <f aca="false">YEAR(B1896)</f>
        <v>2021</v>
      </c>
      <c r="P1896" s="54" t="n">
        <f aca="false">IF(AND(E1896&gt;=14400,K1896&gt;0,L1896&gt;0),1,0)</f>
        <v>1</v>
      </c>
      <c r="Q1896" s="53" t="n">
        <f aca="false">IF(P1896=1,F1896/E1896*MIN(L1896/K1896,1)*MIN(MAX(M1896/L1896,0),1),0)</f>
        <v>0.614952101115573</v>
      </c>
      <c r="R1896" s="55" t="n">
        <f aca="false">IF(F1896&gt;0,N1896/(F1896/3600),0)</f>
        <v>6.39427762444683</v>
      </c>
    </row>
    <row r="1897" customFormat="false" ht="15" hidden="false" customHeight="false" outlineLevel="0" collapsed="false">
      <c r="A1897" s="0" t="s">
        <v>261</v>
      </c>
      <c r="B1897" s="52" t="n">
        <v>44548</v>
      </c>
      <c r="C1897" s="0" t="n">
        <v>65353.044</v>
      </c>
      <c r="D1897" s="0" t="n">
        <v>9176.361</v>
      </c>
      <c r="E1897" s="0" t="n">
        <v>56176.683</v>
      </c>
      <c r="F1897" s="0" t="n">
        <v>49179.092</v>
      </c>
      <c r="G1897" s="0" t="n">
        <v>36501.135</v>
      </c>
      <c r="H1897" s="0" t="n">
        <v>12677.957</v>
      </c>
      <c r="I1897" s="0" t="n">
        <v>2250.971</v>
      </c>
      <c r="J1897" s="0" t="n">
        <v>4746.62</v>
      </c>
      <c r="K1897" s="0" t="n">
        <v>75286.9977183333</v>
      </c>
      <c r="L1897" s="0" t="n">
        <v>55443</v>
      </c>
      <c r="M1897" s="0" t="n">
        <v>55261</v>
      </c>
      <c r="N1897" s="0" t="n">
        <v>31</v>
      </c>
      <c r="O1897" s="54" t="n">
        <f aca="false">YEAR(B1897)</f>
        <v>2021</v>
      </c>
      <c r="P1897" s="54" t="n">
        <f aca="false">IF(AND(E1897&gt;=14400,K1897&gt;0,L1897&gt;0),1,0)</f>
        <v>1</v>
      </c>
      <c r="Q1897" s="53" t="n">
        <f aca="false">IF(P1897=1,F1897/E1897*MIN(L1897/K1897,1)*MIN(MAX(M1897/L1897,0),1),0)</f>
        <v>0.642574037768671</v>
      </c>
      <c r="R1897" s="55" t="n">
        <f aca="false">IF(F1897&gt;0,N1897/(F1897/3600),0)</f>
        <v>2.2692570249162</v>
      </c>
    </row>
    <row r="1898" customFormat="false" ht="15" hidden="false" customHeight="false" outlineLevel="0" collapsed="false">
      <c r="A1898" s="0" t="s">
        <v>261</v>
      </c>
      <c r="B1898" s="52" t="n">
        <v>44549</v>
      </c>
      <c r="C1898" s="0" t="n">
        <v>53320.576</v>
      </c>
      <c r="D1898" s="0" t="n">
        <v>900</v>
      </c>
      <c r="E1898" s="0" t="n">
        <v>52420.576</v>
      </c>
      <c r="F1898" s="0" t="n">
        <v>0</v>
      </c>
      <c r="G1898" s="0" t="n">
        <v>0</v>
      </c>
      <c r="H1898" s="0" t="n">
        <v>0</v>
      </c>
      <c r="I1898" s="0" t="n">
        <v>0</v>
      </c>
      <c r="J1898" s="0" t="n">
        <v>52420.576</v>
      </c>
      <c r="K1898" s="0" t="n">
        <v>0</v>
      </c>
      <c r="L1898" s="0" t="n">
        <v>0</v>
      </c>
      <c r="M1898" s="0" t="n">
        <v>0</v>
      </c>
      <c r="N1898" s="0" t="n">
        <v>0</v>
      </c>
      <c r="O1898" s="54" t="n">
        <f aca="false">YEAR(B1898)</f>
        <v>2021</v>
      </c>
      <c r="P1898" s="54" t="n">
        <f aca="false">IF(AND(E1898&gt;=14400,K1898&gt;0,L1898&gt;0),1,0)</f>
        <v>0</v>
      </c>
      <c r="Q1898" s="53" t="n">
        <f aca="false">IF(P1898=1,F1898/E1898*MIN(L1898/K1898,1)*MIN(MAX(M1898/L1898,0),1),0)</f>
        <v>0</v>
      </c>
      <c r="R1898" s="55" t="n">
        <f aca="false">IF(F1898&gt;0,N1898/(F1898/3600),0)</f>
        <v>0</v>
      </c>
    </row>
    <row r="1899" customFormat="false" ht="15" hidden="false" customHeight="false" outlineLevel="0" collapsed="false">
      <c r="A1899" s="0" t="s">
        <v>261</v>
      </c>
      <c r="B1899" s="52" t="n">
        <v>44550</v>
      </c>
      <c r="C1899" s="0" t="n">
        <v>57791.453</v>
      </c>
      <c r="D1899" s="0" t="n">
        <v>130.881</v>
      </c>
      <c r="E1899" s="0" t="n">
        <v>57660.572</v>
      </c>
      <c r="F1899" s="0" t="n">
        <v>49913.842</v>
      </c>
      <c r="G1899" s="0" t="n">
        <v>22538.562</v>
      </c>
      <c r="H1899" s="0" t="n">
        <v>27375.28</v>
      </c>
      <c r="I1899" s="0" t="n">
        <v>4705.808</v>
      </c>
      <c r="J1899" s="0" t="n">
        <v>3040.922</v>
      </c>
      <c r="K1899" s="0" t="n">
        <v>76789.3842333333</v>
      </c>
      <c r="L1899" s="0" t="n">
        <v>34381</v>
      </c>
      <c r="M1899" s="0" t="n">
        <v>34075</v>
      </c>
      <c r="N1899" s="0" t="n">
        <v>84</v>
      </c>
      <c r="O1899" s="54" t="n">
        <f aca="false">YEAR(B1899)</f>
        <v>2021</v>
      </c>
      <c r="P1899" s="54" t="n">
        <f aca="false">IF(AND(E1899&gt;=14400,K1899&gt;0,L1899&gt;0),1,0)</f>
        <v>1</v>
      </c>
      <c r="Q1899" s="53" t="n">
        <f aca="false">IF(P1899=1,F1899/E1899*MIN(L1899/K1899,1)*MIN(MAX(M1899/L1899,0),1),0)</f>
        <v>0.384128679297562</v>
      </c>
      <c r="R1899" s="55" t="n">
        <f aca="false">IF(F1899&gt;0,N1899/(F1899/3600),0)</f>
        <v>6.05843966088605</v>
      </c>
    </row>
    <row r="1900" customFormat="false" ht="15" hidden="false" customHeight="false" outlineLevel="0" collapsed="false">
      <c r="A1900" s="0" t="s">
        <v>261</v>
      </c>
      <c r="B1900" s="52" t="n">
        <v>44551</v>
      </c>
      <c r="C1900" s="0" t="n">
        <v>83764.591</v>
      </c>
      <c r="D1900" s="0" t="n">
        <v>21770.644</v>
      </c>
      <c r="E1900" s="0" t="n">
        <v>61993.947</v>
      </c>
      <c r="F1900" s="0" t="n">
        <v>26814.206</v>
      </c>
      <c r="G1900" s="0" t="n">
        <v>14773.553</v>
      </c>
      <c r="H1900" s="0" t="n">
        <v>12040.653</v>
      </c>
      <c r="I1900" s="0" t="n">
        <v>439.083</v>
      </c>
      <c r="J1900" s="0" t="n">
        <v>34740.658</v>
      </c>
      <c r="K1900" s="0" t="n">
        <v>41839.92154</v>
      </c>
      <c r="L1900" s="0" t="n">
        <v>23375</v>
      </c>
      <c r="M1900" s="0" t="n">
        <v>23348</v>
      </c>
      <c r="N1900" s="0" t="n">
        <v>6</v>
      </c>
      <c r="O1900" s="54" t="n">
        <f aca="false">YEAR(B1900)</f>
        <v>2021</v>
      </c>
      <c r="P1900" s="54" t="n">
        <f aca="false">IF(AND(E1900&gt;=14400,K1900&gt;0,L1900&gt;0),1,0)</f>
        <v>1</v>
      </c>
      <c r="Q1900" s="53" t="n">
        <f aca="false">IF(P1900=1,F1900/E1900*MIN(L1900/K1900,1)*MIN(MAX(M1900/L1900,0),1),0)</f>
        <v>0.241365101780141</v>
      </c>
      <c r="R1900" s="55" t="n">
        <f aca="false">IF(F1900&gt;0,N1900/(F1900/3600),0)</f>
        <v>0.805543151268399</v>
      </c>
    </row>
    <row r="1901" customFormat="false" ht="15" hidden="false" customHeight="false" outlineLevel="0" collapsed="false">
      <c r="A1901" s="0" t="s">
        <v>261</v>
      </c>
      <c r="B1901" s="52" t="n">
        <v>44552</v>
      </c>
      <c r="C1901" s="0" t="n">
        <v>70027.203</v>
      </c>
      <c r="D1901" s="0" t="n">
        <v>14502.265</v>
      </c>
      <c r="E1901" s="0" t="n">
        <v>55524.938</v>
      </c>
      <c r="F1901" s="0" t="n">
        <v>49275.991</v>
      </c>
      <c r="G1901" s="0" t="n">
        <v>32245.056</v>
      </c>
      <c r="H1901" s="0" t="n">
        <v>17030.935</v>
      </c>
      <c r="I1901" s="0" t="n">
        <v>3356.953</v>
      </c>
      <c r="J1901" s="0" t="n">
        <v>2891.994</v>
      </c>
      <c r="K1901" s="0" t="n">
        <v>75789.4377516667</v>
      </c>
      <c r="L1901" s="0" t="n">
        <v>49433</v>
      </c>
      <c r="M1901" s="0" t="n">
        <v>49289</v>
      </c>
      <c r="N1901" s="0" t="n">
        <v>23</v>
      </c>
      <c r="O1901" s="54" t="n">
        <f aca="false">YEAR(B1901)</f>
        <v>2021</v>
      </c>
      <c r="P1901" s="54" t="n">
        <f aca="false">IF(AND(E1901&gt;=14400,K1901&gt;0,L1901&gt;0),1,0)</f>
        <v>1</v>
      </c>
      <c r="Q1901" s="53" t="n">
        <f aca="false">IF(P1901=1,F1901/E1901*MIN(L1901/K1901,1)*MIN(MAX(M1901/L1901,0),1),0)</f>
        <v>0.577149876107581</v>
      </c>
      <c r="R1901" s="55" t="n">
        <f aca="false">IF(F1901&gt;0,N1901/(F1901/3600),0)</f>
        <v>1.68033150261757</v>
      </c>
    </row>
    <row r="1902" customFormat="false" ht="15" hidden="false" customHeight="false" outlineLevel="0" collapsed="false">
      <c r="A1902" s="0" t="s">
        <v>261</v>
      </c>
      <c r="B1902" s="52" t="n">
        <v>44553</v>
      </c>
      <c r="C1902" s="0" t="n">
        <v>80827.47</v>
      </c>
      <c r="D1902" s="0" t="n">
        <v>19744.205</v>
      </c>
      <c r="E1902" s="0" t="n">
        <v>61083.265</v>
      </c>
      <c r="F1902" s="0" t="n">
        <v>43027.13</v>
      </c>
      <c r="G1902" s="0" t="n">
        <v>28726.749</v>
      </c>
      <c r="H1902" s="0" t="n">
        <v>14300.381</v>
      </c>
      <c r="I1902" s="0" t="n">
        <v>4457.805</v>
      </c>
      <c r="J1902" s="0" t="n">
        <v>13598.33</v>
      </c>
      <c r="K1902" s="0" t="n">
        <v>66929.3927163889</v>
      </c>
      <c r="L1902" s="0" t="n">
        <v>44477</v>
      </c>
      <c r="M1902" s="0" t="n">
        <v>43947</v>
      </c>
      <c r="N1902" s="0" t="n">
        <v>86</v>
      </c>
      <c r="O1902" s="54" t="n">
        <f aca="false">YEAR(B1902)</f>
        <v>2021</v>
      </c>
      <c r="P1902" s="54" t="n">
        <f aca="false">IF(AND(E1902&gt;=14400,K1902&gt;0,L1902&gt;0),1,0)</f>
        <v>1</v>
      </c>
      <c r="Q1902" s="53" t="n">
        <f aca="false">IF(P1902=1,F1902/E1902*MIN(L1902/K1902,1)*MIN(MAX(M1902/L1902,0),1),0)</f>
        <v>0.462522096166444</v>
      </c>
      <c r="R1902" s="55" t="n">
        <f aca="false">IF(F1902&gt;0,N1902/(F1902/3600),0)</f>
        <v>7.1954601666437</v>
      </c>
    </row>
    <row r="1903" customFormat="false" ht="15" hidden="false" customHeight="false" outlineLevel="0" collapsed="false">
      <c r="A1903" s="0" t="s">
        <v>261</v>
      </c>
      <c r="B1903" s="52" t="n">
        <v>44554</v>
      </c>
      <c r="C1903" s="0" t="n">
        <v>74365.172</v>
      </c>
      <c r="D1903" s="0" t="n">
        <v>8259.352</v>
      </c>
      <c r="E1903" s="0" t="n">
        <v>66105.82</v>
      </c>
      <c r="F1903" s="0" t="n">
        <v>40265.261</v>
      </c>
      <c r="G1903" s="0" t="n">
        <v>24803.1</v>
      </c>
      <c r="H1903" s="0" t="n">
        <v>15462.161</v>
      </c>
      <c r="I1903" s="0" t="n">
        <v>2204.45</v>
      </c>
      <c r="J1903" s="0" t="n">
        <v>23636.109</v>
      </c>
      <c r="K1903" s="0" t="n">
        <v>59490.0854688889</v>
      </c>
      <c r="L1903" s="0" t="n">
        <v>36146</v>
      </c>
      <c r="M1903" s="0" t="n">
        <v>35942</v>
      </c>
      <c r="N1903" s="0" t="n">
        <v>40</v>
      </c>
      <c r="O1903" s="54" t="n">
        <f aca="false">YEAR(B1903)</f>
        <v>2021</v>
      </c>
      <c r="P1903" s="54" t="n">
        <f aca="false">IF(AND(E1903&gt;=14400,K1903&gt;0,L1903&gt;0),1,0)</f>
        <v>1</v>
      </c>
      <c r="Q1903" s="53" t="n">
        <f aca="false">IF(P1903=1,F1903/E1903*MIN(L1903/K1903,1)*MIN(MAX(M1903/L1903,0),1),0)</f>
        <v>0.368000550867212</v>
      </c>
      <c r="R1903" s="55" t="n">
        <f aca="false">IF(F1903&gt;0,N1903/(F1903/3600),0)</f>
        <v>3.57628378467483</v>
      </c>
    </row>
    <row r="1904" customFormat="false" ht="15" hidden="false" customHeight="false" outlineLevel="0" collapsed="false">
      <c r="A1904" s="0" t="s">
        <v>261</v>
      </c>
      <c r="B1904" s="52" t="n">
        <v>44555</v>
      </c>
      <c r="C1904" s="0" t="n">
        <v>57552.951</v>
      </c>
      <c r="D1904" s="0" t="n">
        <v>0</v>
      </c>
      <c r="E1904" s="0" t="n">
        <v>57552.951</v>
      </c>
      <c r="F1904" s="0" t="n">
        <v>8885.829</v>
      </c>
      <c r="G1904" s="0" t="n">
        <v>5738.688</v>
      </c>
      <c r="H1904" s="0" t="n">
        <v>3147.141</v>
      </c>
      <c r="I1904" s="0" t="n">
        <v>1487.337</v>
      </c>
      <c r="J1904" s="0" t="n">
        <v>47179.785</v>
      </c>
      <c r="K1904" s="0" t="n">
        <v>13931.5977494444</v>
      </c>
      <c r="L1904" s="0" t="n">
        <v>59890</v>
      </c>
      <c r="M1904" s="0" t="n">
        <v>59343</v>
      </c>
      <c r="N1904" s="0" t="n">
        <v>12</v>
      </c>
      <c r="O1904" s="54" t="n">
        <f aca="false">YEAR(B1904)</f>
        <v>2021</v>
      </c>
      <c r="P1904" s="54" t="n">
        <f aca="false">IF(AND(E1904&gt;=14400,K1904&gt;0,L1904&gt;0),1,0)</f>
        <v>1</v>
      </c>
      <c r="Q1904" s="53" t="n">
        <f aca="false">IF(P1904=1,F1904/E1904*MIN(L1904/K1904,1)*MIN(MAX(M1904/L1904,0),1),0)</f>
        <v>0.152983833433851</v>
      </c>
      <c r="R1904" s="55" t="n">
        <f aca="false">IF(F1904&gt;0,N1904/(F1904/3600),0)</f>
        <v>4.86167357035568</v>
      </c>
    </row>
    <row r="1905" customFormat="false" ht="15" hidden="false" customHeight="false" outlineLevel="0" collapsed="false">
      <c r="A1905" s="0" t="s">
        <v>261</v>
      </c>
      <c r="B1905" s="52" t="n">
        <v>44556</v>
      </c>
      <c r="C1905" s="0" t="n">
        <v>49024.348</v>
      </c>
      <c r="D1905" s="0" t="n">
        <v>12001.008</v>
      </c>
      <c r="E1905" s="0" t="n">
        <v>37023.34</v>
      </c>
      <c r="F1905" s="0" t="n">
        <v>4.803</v>
      </c>
      <c r="G1905" s="0" t="n">
        <v>0</v>
      </c>
      <c r="H1905" s="0" t="n">
        <v>4.803</v>
      </c>
      <c r="I1905" s="0" t="n">
        <v>0</v>
      </c>
      <c r="J1905" s="0" t="n">
        <v>37018.537</v>
      </c>
      <c r="K1905" s="0" t="n">
        <v>7.372605</v>
      </c>
      <c r="L1905" s="0" t="n">
        <v>0</v>
      </c>
      <c r="M1905" s="0" t="n">
        <v>0</v>
      </c>
      <c r="N1905" s="0" t="n">
        <v>0</v>
      </c>
      <c r="O1905" s="54" t="n">
        <f aca="false">YEAR(B1905)</f>
        <v>2021</v>
      </c>
      <c r="P1905" s="54" t="n">
        <f aca="false">IF(AND(E1905&gt;=14400,K1905&gt;0,L1905&gt;0),1,0)</f>
        <v>0</v>
      </c>
      <c r="Q1905" s="53" t="n">
        <f aca="false">IF(P1905=1,F1905/E1905*MIN(L1905/K1905,1)*MIN(MAX(M1905/L1905,0),1),0)</f>
        <v>0</v>
      </c>
      <c r="R1905" s="55" t="n">
        <f aca="false">IF(F1905&gt;0,N1905/(F1905/3600),0)</f>
        <v>0</v>
      </c>
    </row>
    <row r="1906" customFormat="false" ht="15" hidden="false" customHeight="false" outlineLevel="0" collapsed="false">
      <c r="A1906" s="0" t="s">
        <v>261</v>
      </c>
      <c r="B1906" s="52" t="n">
        <v>44557</v>
      </c>
      <c r="C1906" s="0" t="n">
        <v>60638.101</v>
      </c>
      <c r="D1906" s="0" t="n">
        <v>900</v>
      </c>
      <c r="E1906" s="0" t="n">
        <v>59738.101</v>
      </c>
      <c r="F1906" s="0" t="n">
        <v>53316.946</v>
      </c>
      <c r="G1906" s="0" t="n">
        <v>36744.985</v>
      </c>
      <c r="H1906" s="0" t="n">
        <v>16571.961</v>
      </c>
      <c r="I1906" s="0" t="n">
        <v>4084.839</v>
      </c>
      <c r="J1906" s="0" t="n">
        <v>2336.316</v>
      </c>
      <c r="K1906" s="0" t="n">
        <v>81841.51211</v>
      </c>
      <c r="L1906" s="0" t="n">
        <v>55922</v>
      </c>
      <c r="M1906" s="0" t="n">
        <v>55637</v>
      </c>
      <c r="N1906" s="0" t="n">
        <v>61</v>
      </c>
      <c r="O1906" s="54" t="n">
        <f aca="false">YEAR(B1906)</f>
        <v>2021</v>
      </c>
      <c r="P1906" s="54" t="n">
        <f aca="false">IF(AND(E1906&gt;=14400,K1906&gt;0,L1906&gt;0),1,0)</f>
        <v>1</v>
      </c>
      <c r="Q1906" s="53" t="n">
        <f aca="false">IF(P1906=1,F1906/E1906*MIN(L1906/K1906,1)*MIN(MAX(M1906/L1906,0),1),0)</f>
        <v>0.606741794585389</v>
      </c>
      <c r="R1906" s="55" t="n">
        <f aca="false">IF(F1906&gt;0,N1906/(F1906/3600),0)</f>
        <v>4.11876554219741</v>
      </c>
    </row>
    <row r="1907" customFormat="false" ht="15" hidden="false" customHeight="false" outlineLevel="0" collapsed="false">
      <c r="A1907" s="0" t="s">
        <v>261</v>
      </c>
      <c r="B1907" s="52" t="n">
        <v>44558</v>
      </c>
      <c r="C1907" s="0" t="n">
        <v>73099.08</v>
      </c>
      <c r="D1907" s="0" t="n">
        <v>14367.321</v>
      </c>
      <c r="E1907" s="0" t="n">
        <v>58731.759</v>
      </c>
      <c r="F1907" s="0" t="n">
        <v>54808.651</v>
      </c>
      <c r="G1907" s="0" t="n">
        <v>43042.955</v>
      </c>
      <c r="H1907" s="0" t="n">
        <v>11765.696</v>
      </c>
      <c r="I1907" s="0" t="n">
        <v>1405.627</v>
      </c>
      <c r="J1907" s="0" t="n">
        <v>2517.481</v>
      </c>
      <c r="K1907" s="0" t="n">
        <v>84131.279285</v>
      </c>
      <c r="L1907" s="0" t="n">
        <v>65855</v>
      </c>
      <c r="M1907" s="0" t="n">
        <v>65749</v>
      </c>
      <c r="N1907" s="0" t="n">
        <v>22</v>
      </c>
      <c r="O1907" s="54" t="n">
        <f aca="false">YEAR(B1907)</f>
        <v>2021</v>
      </c>
      <c r="P1907" s="54" t="n">
        <f aca="false">IF(AND(E1907&gt;=14400,K1907&gt;0,L1907&gt;0),1,0)</f>
        <v>1</v>
      </c>
      <c r="Q1907" s="53" t="n">
        <f aca="false">IF(P1907=1,F1907/E1907*MIN(L1907/K1907,1)*MIN(MAX(M1907/L1907,0),1),0)</f>
        <v>0.729302603650954</v>
      </c>
      <c r="R1907" s="55" t="n">
        <f aca="false">IF(F1907&gt;0,N1907/(F1907/3600),0)</f>
        <v>1.44502735526185</v>
      </c>
    </row>
    <row r="1908" customFormat="false" ht="15" hidden="false" customHeight="false" outlineLevel="0" collapsed="false">
      <c r="A1908" s="0" t="s">
        <v>261</v>
      </c>
      <c r="B1908" s="52" t="n">
        <v>44559</v>
      </c>
      <c r="C1908" s="0" t="n">
        <v>80392.663</v>
      </c>
      <c r="D1908" s="0" t="n">
        <v>15264.67</v>
      </c>
      <c r="E1908" s="0" t="n">
        <v>65127.993</v>
      </c>
      <c r="F1908" s="0" t="n">
        <v>50757.615</v>
      </c>
      <c r="G1908" s="0" t="n">
        <v>35500.484</v>
      </c>
      <c r="H1908" s="0" t="n">
        <v>15257.131</v>
      </c>
      <c r="I1908" s="0" t="n">
        <v>3397.889</v>
      </c>
      <c r="J1908" s="0" t="n">
        <v>10972.489</v>
      </c>
      <c r="K1908" s="0" t="n">
        <v>78020.4458072222</v>
      </c>
      <c r="L1908" s="0" t="n">
        <v>54263</v>
      </c>
      <c r="M1908" s="0" t="n">
        <v>54015</v>
      </c>
      <c r="N1908" s="0" t="n">
        <v>43</v>
      </c>
      <c r="O1908" s="54" t="n">
        <f aca="false">YEAR(B1908)</f>
        <v>2021</v>
      </c>
      <c r="P1908" s="54" t="n">
        <f aca="false">IF(AND(E1908&gt;=14400,K1908&gt;0,L1908&gt;0),1,0)</f>
        <v>1</v>
      </c>
      <c r="Q1908" s="53" t="n">
        <f aca="false">IF(P1908=1,F1908/E1908*MIN(L1908/K1908,1)*MIN(MAX(M1908/L1908,0),1),0)</f>
        <v>0.539559651018663</v>
      </c>
      <c r="R1908" s="55" t="n">
        <f aca="false">IF(F1908&gt;0,N1908/(F1908/3600),0)</f>
        <v>3.04978868687979</v>
      </c>
    </row>
    <row r="1909" customFormat="false" ht="15" hidden="false" customHeight="false" outlineLevel="0" collapsed="false">
      <c r="A1909" s="0" t="s">
        <v>261</v>
      </c>
      <c r="B1909" s="52" t="n">
        <v>44560</v>
      </c>
      <c r="C1909" s="0" t="n">
        <v>86289.978</v>
      </c>
      <c r="D1909" s="0" t="n">
        <v>19741.716</v>
      </c>
      <c r="E1909" s="0" t="n">
        <v>66548.262</v>
      </c>
      <c r="F1909" s="0" t="n">
        <v>51423.15</v>
      </c>
      <c r="G1909" s="0" t="n">
        <v>38649.785</v>
      </c>
      <c r="H1909" s="0" t="n">
        <v>12773.365</v>
      </c>
      <c r="I1909" s="0" t="n">
        <v>3313.497</v>
      </c>
      <c r="J1909" s="0" t="n">
        <v>11811.615</v>
      </c>
      <c r="K1909" s="0" t="n">
        <v>78614.6201394445</v>
      </c>
      <c r="L1909" s="0" t="n">
        <v>58872</v>
      </c>
      <c r="M1909" s="0" t="n">
        <v>58439</v>
      </c>
      <c r="N1909" s="0" t="n">
        <v>43</v>
      </c>
      <c r="O1909" s="54" t="n">
        <f aca="false">YEAR(B1909)</f>
        <v>2021</v>
      </c>
      <c r="P1909" s="54" t="n">
        <f aca="false">IF(AND(E1909&gt;=14400,K1909&gt;0,L1909&gt;0),1,0)</f>
        <v>1</v>
      </c>
      <c r="Q1909" s="53" t="n">
        <f aca="false">IF(P1909=1,F1909/E1909*MIN(L1909/K1909,1)*MIN(MAX(M1909/L1909,0),1),0)</f>
        <v>0.574409235730901</v>
      </c>
      <c r="R1909" s="55" t="n">
        <f aca="false">IF(F1909&gt;0,N1909/(F1909/3600),0)</f>
        <v>3.01031733761934</v>
      </c>
    </row>
    <row r="1910" customFormat="false" ht="15" hidden="false" customHeight="false" outlineLevel="0" collapsed="false">
      <c r="A1910" s="0" t="s">
        <v>261</v>
      </c>
      <c r="B1910" s="52" t="n">
        <v>44561</v>
      </c>
      <c r="C1910" s="0" t="n">
        <v>77492.215</v>
      </c>
      <c r="D1910" s="0" t="n">
        <v>21007.955</v>
      </c>
      <c r="E1910" s="0" t="n">
        <v>56484.26</v>
      </c>
      <c r="F1910" s="0" t="n">
        <v>34504.87</v>
      </c>
      <c r="G1910" s="0" t="n">
        <v>10061.91</v>
      </c>
      <c r="H1910" s="0" t="n">
        <v>24442.96</v>
      </c>
      <c r="I1910" s="0" t="n">
        <v>5697.762</v>
      </c>
      <c r="J1910" s="0" t="n">
        <v>16281.628</v>
      </c>
      <c r="K1910" s="0" t="n">
        <v>53174.9258111111</v>
      </c>
      <c r="L1910" s="0" t="n">
        <v>15082</v>
      </c>
      <c r="M1910" s="0" t="n">
        <v>14908</v>
      </c>
      <c r="N1910" s="0" t="n">
        <v>68</v>
      </c>
      <c r="O1910" s="54" t="n">
        <f aca="false">YEAR(B1910)</f>
        <v>2021</v>
      </c>
      <c r="P1910" s="54" t="n">
        <f aca="false">IF(AND(E1910&gt;=14400,K1910&gt;0,L1910&gt;0),1,0)</f>
        <v>1</v>
      </c>
      <c r="Q1910" s="53" t="n">
        <f aca="false">IF(P1910=1,F1910/E1910*MIN(L1910/K1910,1)*MIN(MAX(M1910/L1910,0),1),0)</f>
        <v>0.171263747779263</v>
      </c>
      <c r="R1910" s="55" t="n">
        <f aca="false">IF(F1910&gt;0,N1910/(F1910/3600),0)</f>
        <v>7.09465069713348</v>
      </c>
    </row>
    <row r="1911" customFormat="false" ht="15" hidden="false" customHeight="false" outlineLevel="0" collapsed="false">
      <c r="A1911" s="0" t="s">
        <v>261</v>
      </c>
      <c r="B1911" s="52" t="n">
        <v>44562</v>
      </c>
      <c r="C1911" s="0" t="n">
        <v>42770.877</v>
      </c>
      <c r="D1911" s="0" t="n">
        <v>0</v>
      </c>
      <c r="E1911" s="0" t="n">
        <v>42770.877</v>
      </c>
      <c r="F1911" s="0" t="n">
        <v>35951.334</v>
      </c>
      <c r="G1911" s="0" t="n">
        <v>15583.662</v>
      </c>
      <c r="H1911" s="0" t="n">
        <v>20367.672</v>
      </c>
      <c r="I1911" s="0" t="n">
        <v>5445.038</v>
      </c>
      <c r="J1911" s="0" t="n">
        <v>1374.505</v>
      </c>
      <c r="K1911" s="0" t="n">
        <v>55833.6679166667</v>
      </c>
      <c r="L1911" s="0" t="n">
        <v>24083</v>
      </c>
      <c r="M1911" s="0" t="n">
        <v>23826</v>
      </c>
      <c r="N1911" s="0" t="n">
        <v>86</v>
      </c>
      <c r="O1911" s="54" t="n">
        <f aca="false">YEAR(B1911)</f>
        <v>2022</v>
      </c>
      <c r="P1911" s="54" t="n">
        <f aca="false">IF(AND(E1911&gt;=14400,K1911&gt;0,L1911&gt;0),1,0)</f>
        <v>1</v>
      </c>
      <c r="Q1911" s="53" t="n">
        <f aca="false">IF(P1911=1,F1911/E1911*MIN(L1911/K1911,1)*MIN(MAX(M1911/L1911,0),1),0)</f>
        <v>0.35869211737469</v>
      </c>
      <c r="R1911" s="55" t="n">
        <f aca="false">IF(F1911&gt;0,N1911/(F1911/3600),0)</f>
        <v>8.61164150403988</v>
      </c>
    </row>
    <row r="1912" customFormat="false" ht="15" hidden="false" customHeight="false" outlineLevel="0" collapsed="false">
      <c r="A1912" s="0" t="s">
        <v>262</v>
      </c>
      <c r="B1912" s="52" t="n">
        <v>43841</v>
      </c>
      <c r="C1912" s="0" t="n">
        <v>12988.4</v>
      </c>
      <c r="D1912" s="0" t="n">
        <v>1542.834</v>
      </c>
      <c r="E1912" s="0" t="n">
        <v>11445.566</v>
      </c>
      <c r="F1912" s="0" t="n">
        <v>77.76</v>
      </c>
      <c r="G1912" s="0" t="n">
        <v>0</v>
      </c>
      <c r="H1912" s="0" t="n">
        <v>77.76</v>
      </c>
      <c r="I1912" s="0" t="n">
        <v>0</v>
      </c>
      <c r="J1912" s="0" t="n">
        <v>11367.806</v>
      </c>
      <c r="K1912" s="0" t="n">
        <v>131.976</v>
      </c>
      <c r="L1912" s="0" t="n">
        <v>0</v>
      </c>
      <c r="M1912" s="0" t="n">
        <v>0</v>
      </c>
      <c r="N1912" s="0" t="n">
        <v>0</v>
      </c>
      <c r="O1912" s="54" t="n">
        <f aca="false">YEAR(B1912)</f>
        <v>2020</v>
      </c>
      <c r="P1912" s="54" t="n">
        <f aca="false">IF(AND(E1912&gt;=14400,K1912&gt;0,L1912&gt;0),1,0)</f>
        <v>0</v>
      </c>
      <c r="Q1912" s="53" t="n">
        <f aca="false">IF(P1912=1,F1912/E1912*MIN(L1912/K1912,1)*MIN(MAX(M1912/L1912,0),1),0)</f>
        <v>0</v>
      </c>
      <c r="R1912" s="55" t="n">
        <f aca="false">IF(F1912&gt;0,N1912/(F1912/3600),0)</f>
        <v>0</v>
      </c>
    </row>
    <row r="1913" customFormat="false" ht="15" hidden="false" customHeight="false" outlineLevel="0" collapsed="false">
      <c r="A1913" s="0" t="s">
        <v>262</v>
      </c>
      <c r="B1913" s="52" t="n">
        <v>43850</v>
      </c>
      <c r="C1913" s="0" t="n">
        <v>78242.02</v>
      </c>
      <c r="D1913" s="0" t="n">
        <v>15535.407</v>
      </c>
      <c r="E1913" s="0" t="n">
        <v>62706.613</v>
      </c>
      <c r="F1913" s="0" t="n">
        <v>44963.687</v>
      </c>
      <c r="G1913" s="0" t="n">
        <v>37286.967</v>
      </c>
      <c r="H1913" s="0" t="n">
        <v>7676.72</v>
      </c>
      <c r="I1913" s="0" t="n">
        <v>5049.097</v>
      </c>
      <c r="J1913" s="0" t="n">
        <v>12693.829</v>
      </c>
      <c r="K1913" s="0" t="n">
        <v>77583.2252833333</v>
      </c>
      <c r="L1913" s="0" t="n">
        <v>65210</v>
      </c>
      <c r="M1913" s="0" t="n">
        <v>65061</v>
      </c>
      <c r="N1913" s="0" t="n">
        <v>49</v>
      </c>
      <c r="O1913" s="54" t="n">
        <f aca="false">YEAR(B1913)</f>
        <v>2020</v>
      </c>
      <c r="P1913" s="54" t="n">
        <f aca="false">IF(AND(E1913&gt;=14400,K1913&gt;0,L1913&gt;0),1,0)</f>
        <v>1</v>
      </c>
      <c r="Q1913" s="53" t="n">
        <f aca="false">IF(P1913=1,F1913/E1913*MIN(L1913/K1913,1)*MIN(MAX(M1913/L1913,0),1),0)</f>
        <v>0.601314222944472</v>
      </c>
      <c r="R1913" s="55" t="n">
        <f aca="false">IF(F1913&gt;0,N1913/(F1913/3600),0)</f>
        <v>3.92316582045418</v>
      </c>
    </row>
    <row r="1914" customFormat="false" ht="15" hidden="false" customHeight="false" outlineLevel="0" collapsed="false">
      <c r="A1914" s="0" t="s">
        <v>262</v>
      </c>
      <c r="B1914" s="52" t="n">
        <v>43851</v>
      </c>
      <c r="C1914" s="0" t="n">
        <v>110818.632</v>
      </c>
      <c r="D1914" s="0" t="n">
        <v>7049.582</v>
      </c>
      <c r="E1914" s="0" t="n">
        <v>103769.05</v>
      </c>
      <c r="F1914" s="0" t="n">
        <v>56879.588</v>
      </c>
      <c r="G1914" s="0" t="n">
        <v>44614.131</v>
      </c>
      <c r="H1914" s="0" t="n">
        <v>12265.457</v>
      </c>
      <c r="I1914" s="0" t="n">
        <v>2873.936</v>
      </c>
      <c r="J1914" s="0" t="n">
        <v>44015.526</v>
      </c>
      <c r="K1914" s="0" t="n">
        <v>92933.0247636111</v>
      </c>
      <c r="L1914" s="0" t="n">
        <v>75992</v>
      </c>
      <c r="M1914" s="0" t="n">
        <v>75741</v>
      </c>
      <c r="N1914" s="0" t="n">
        <v>38</v>
      </c>
      <c r="O1914" s="54" t="n">
        <f aca="false">YEAR(B1914)</f>
        <v>2020</v>
      </c>
      <c r="P1914" s="54" t="n">
        <f aca="false">IF(AND(E1914&gt;=14400,K1914&gt;0,L1914&gt;0),1,0)</f>
        <v>1</v>
      </c>
      <c r="Q1914" s="53" t="n">
        <f aca="false">IF(P1914=1,F1914/E1914*MIN(L1914/K1914,1)*MIN(MAX(M1914/L1914,0),1),0)</f>
        <v>0.446734572179351</v>
      </c>
      <c r="R1914" s="55" t="n">
        <f aca="false">IF(F1914&gt;0,N1914/(F1914/3600),0)</f>
        <v>2.4050807119067</v>
      </c>
    </row>
    <row r="1915" customFormat="false" ht="15" hidden="false" customHeight="false" outlineLevel="0" collapsed="false">
      <c r="A1915" s="0" t="s">
        <v>262</v>
      </c>
      <c r="B1915" s="52" t="n">
        <v>43852</v>
      </c>
      <c r="C1915" s="0" t="n">
        <v>47453.814</v>
      </c>
      <c r="D1915" s="0" t="n">
        <v>6536.026</v>
      </c>
      <c r="E1915" s="0" t="n">
        <v>40917.788</v>
      </c>
      <c r="F1915" s="0" t="n">
        <v>28595.627</v>
      </c>
      <c r="G1915" s="0" t="n">
        <v>21580.58</v>
      </c>
      <c r="H1915" s="0" t="n">
        <v>7015.047</v>
      </c>
      <c r="I1915" s="0" t="n">
        <v>702.761</v>
      </c>
      <c r="J1915" s="0" t="n">
        <v>11619.4</v>
      </c>
      <c r="K1915" s="0" t="n">
        <v>47000.2302291667</v>
      </c>
      <c r="L1915" s="0" t="n">
        <v>38425</v>
      </c>
      <c r="M1915" s="0" t="n">
        <v>38389</v>
      </c>
      <c r="N1915" s="0" t="n">
        <v>15</v>
      </c>
      <c r="O1915" s="54" t="n">
        <f aca="false">YEAR(B1915)</f>
        <v>2020</v>
      </c>
      <c r="P1915" s="54" t="n">
        <f aca="false">IF(AND(E1915&gt;=14400,K1915&gt;0,L1915&gt;0),1,0)</f>
        <v>1</v>
      </c>
      <c r="Q1915" s="53" t="n">
        <f aca="false">IF(P1915=1,F1915/E1915*MIN(L1915/K1915,1)*MIN(MAX(M1915/L1915,0),1),0)</f>
        <v>0.570813570658863</v>
      </c>
      <c r="R1915" s="55" t="n">
        <f aca="false">IF(F1915&gt;0,N1915/(F1915/3600),0)</f>
        <v>1.88840062852967</v>
      </c>
    </row>
    <row r="1916" customFormat="false" ht="15" hidden="false" customHeight="false" outlineLevel="0" collapsed="false">
      <c r="A1916" s="0" t="s">
        <v>262</v>
      </c>
      <c r="B1916" s="52" t="n">
        <v>43853</v>
      </c>
      <c r="C1916" s="0" t="n">
        <v>102458.734</v>
      </c>
      <c r="D1916" s="0" t="n">
        <v>17499.203</v>
      </c>
      <c r="E1916" s="0" t="n">
        <v>84959.531</v>
      </c>
      <c r="F1916" s="0" t="n">
        <v>70067.4</v>
      </c>
      <c r="G1916" s="0" t="n">
        <v>58759.278</v>
      </c>
      <c r="H1916" s="0" t="n">
        <v>11308.122</v>
      </c>
      <c r="I1916" s="0" t="n">
        <v>2861.798</v>
      </c>
      <c r="J1916" s="0" t="n">
        <v>12030.333</v>
      </c>
      <c r="K1916" s="0" t="n">
        <v>119631.871383611</v>
      </c>
      <c r="L1916" s="0" t="n">
        <v>106687</v>
      </c>
      <c r="M1916" s="0" t="n">
        <v>106518</v>
      </c>
      <c r="N1916" s="0" t="n">
        <v>52</v>
      </c>
      <c r="O1916" s="54" t="n">
        <f aca="false">YEAR(B1916)</f>
        <v>2020</v>
      </c>
      <c r="P1916" s="54" t="n">
        <f aca="false">IF(AND(E1916&gt;=14400,K1916&gt;0,L1916&gt;0),1,0)</f>
        <v>1</v>
      </c>
      <c r="Q1916" s="53" t="n">
        <f aca="false">IF(P1916=1,F1916/E1916*MIN(L1916/K1916,1)*MIN(MAX(M1916/L1916,0),1),0)</f>
        <v>0.73431094778202</v>
      </c>
      <c r="R1916" s="55" t="n">
        <f aca="false">IF(F1916&gt;0,N1916/(F1916/3600),0)</f>
        <v>2.67171323611266</v>
      </c>
    </row>
    <row r="1917" customFormat="false" ht="15" hidden="false" customHeight="false" outlineLevel="0" collapsed="false">
      <c r="A1917" s="0" t="s">
        <v>262</v>
      </c>
      <c r="B1917" s="52" t="n">
        <v>43854</v>
      </c>
      <c r="C1917" s="0" t="n">
        <v>64284.848</v>
      </c>
      <c r="D1917" s="0" t="n">
        <v>19158.529</v>
      </c>
      <c r="E1917" s="0" t="n">
        <v>45126.319</v>
      </c>
      <c r="F1917" s="0" t="n">
        <v>28765.503</v>
      </c>
      <c r="G1917" s="0" t="n">
        <v>25038.106</v>
      </c>
      <c r="H1917" s="0" t="n">
        <v>3727.397</v>
      </c>
      <c r="I1917" s="0" t="n">
        <v>1741.794</v>
      </c>
      <c r="J1917" s="0" t="n">
        <v>14619.022</v>
      </c>
      <c r="K1917" s="0" t="n">
        <v>49666.5271433333</v>
      </c>
      <c r="L1917" s="0" t="n">
        <v>42456</v>
      </c>
      <c r="M1917" s="0" t="n">
        <v>42448</v>
      </c>
      <c r="N1917" s="0" t="n">
        <v>17</v>
      </c>
      <c r="O1917" s="54" t="n">
        <f aca="false">YEAR(B1917)</f>
        <v>2020</v>
      </c>
      <c r="P1917" s="54" t="n">
        <f aca="false">IF(AND(E1917&gt;=14400,K1917&gt;0,L1917&gt;0),1,0)</f>
        <v>1</v>
      </c>
      <c r="Q1917" s="53" t="n">
        <f aca="false">IF(P1917=1,F1917/E1917*MIN(L1917/K1917,1)*MIN(MAX(M1917/L1917,0),1),0)</f>
        <v>0.544797997325323</v>
      </c>
      <c r="R1917" s="55" t="n">
        <f aca="false">IF(F1917&gt;0,N1917/(F1917/3600),0)</f>
        <v>2.12754840407275</v>
      </c>
    </row>
    <row r="1918" customFormat="false" ht="15" hidden="false" customHeight="false" outlineLevel="0" collapsed="false">
      <c r="A1918" s="0" t="s">
        <v>262</v>
      </c>
      <c r="B1918" s="52" t="n">
        <v>43855</v>
      </c>
      <c r="C1918" s="0" t="n">
        <v>118925.329</v>
      </c>
      <c r="D1918" s="0" t="n">
        <v>14064.373</v>
      </c>
      <c r="E1918" s="0" t="n">
        <v>104860.956</v>
      </c>
      <c r="F1918" s="0" t="n">
        <v>50899.201</v>
      </c>
      <c r="G1918" s="0" t="n">
        <v>47007.89</v>
      </c>
      <c r="H1918" s="0" t="n">
        <v>3891.311</v>
      </c>
      <c r="I1918" s="0" t="n">
        <v>3497.034</v>
      </c>
      <c r="J1918" s="0" t="n">
        <v>50464.721</v>
      </c>
      <c r="K1918" s="0" t="n">
        <v>74197.1109994444</v>
      </c>
      <c r="L1918" s="0" t="n">
        <v>73394</v>
      </c>
      <c r="M1918" s="0" t="n">
        <v>73175</v>
      </c>
      <c r="N1918" s="0" t="n">
        <v>58</v>
      </c>
      <c r="O1918" s="54" t="n">
        <f aca="false">YEAR(B1918)</f>
        <v>2020</v>
      </c>
      <c r="P1918" s="54" t="n">
        <f aca="false">IF(AND(E1918&gt;=14400,K1918&gt;0,L1918&gt;0),1,0)</f>
        <v>1</v>
      </c>
      <c r="Q1918" s="53" t="n">
        <f aca="false">IF(P1918=1,F1918/E1918*MIN(L1918/K1918,1)*MIN(MAX(M1918/L1918,0),1),0)</f>
        <v>0.478710427650236</v>
      </c>
      <c r="R1918" s="55" t="n">
        <f aca="false">IF(F1918&gt;0,N1918/(F1918/3600),0)</f>
        <v>4.10222549465953</v>
      </c>
    </row>
    <row r="1919" customFormat="false" ht="15" hidden="false" customHeight="false" outlineLevel="0" collapsed="false">
      <c r="A1919" s="0" t="s">
        <v>262</v>
      </c>
      <c r="B1919" s="52" t="n">
        <v>43856</v>
      </c>
      <c r="C1919" s="0" t="n">
        <v>44938.964</v>
      </c>
      <c r="D1919" s="0" t="n">
        <v>9821.429</v>
      </c>
      <c r="E1919" s="0" t="n">
        <v>35117.535</v>
      </c>
      <c r="F1919" s="0" t="n">
        <v>12801.615</v>
      </c>
      <c r="G1919" s="0" t="n">
        <v>7009.505</v>
      </c>
      <c r="H1919" s="0" t="n">
        <v>5792.11</v>
      </c>
      <c r="I1919" s="0" t="n">
        <v>1536.835</v>
      </c>
      <c r="J1919" s="0" t="n">
        <v>20779.085</v>
      </c>
      <c r="K1919" s="0" t="n">
        <v>19448.3100427778</v>
      </c>
      <c r="L1919" s="0" t="n">
        <v>10930</v>
      </c>
      <c r="M1919" s="0" t="n">
        <v>10922</v>
      </c>
      <c r="N1919" s="0" t="n">
        <v>5</v>
      </c>
      <c r="O1919" s="54" t="n">
        <f aca="false">YEAR(B1919)</f>
        <v>2020</v>
      </c>
      <c r="P1919" s="54" t="n">
        <f aca="false">IF(AND(E1919&gt;=14400,K1919&gt;0,L1919&gt;0),1,0)</f>
        <v>1</v>
      </c>
      <c r="Q1919" s="53" t="n">
        <f aca="false">IF(P1919=1,F1919/E1919*MIN(L1919/K1919,1)*MIN(MAX(M1919/L1919,0),1),0)</f>
        <v>0.204720362006053</v>
      </c>
      <c r="R1919" s="55" t="n">
        <f aca="false">IF(F1919&gt;0,N1919/(F1919/3600),0)</f>
        <v>1.40607259318453</v>
      </c>
    </row>
    <row r="1920" customFormat="false" ht="15" hidden="false" customHeight="false" outlineLevel="0" collapsed="false">
      <c r="A1920" s="0" t="s">
        <v>262</v>
      </c>
      <c r="B1920" s="52" t="n">
        <v>43857</v>
      </c>
      <c r="C1920" s="0" t="n">
        <v>86703.58</v>
      </c>
      <c r="D1920" s="0" t="n">
        <v>17064.762</v>
      </c>
      <c r="E1920" s="0" t="n">
        <v>69638.818</v>
      </c>
      <c r="F1920" s="0" t="n">
        <v>55526.804</v>
      </c>
      <c r="G1920" s="0" t="n">
        <v>47533.642</v>
      </c>
      <c r="H1920" s="0" t="n">
        <v>7993.162</v>
      </c>
      <c r="I1920" s="0" t="n">
        <v>2523.857</v>
      </c>
      <c r="J1920" s="0" t="n">
        <v>11588.157</v>
      </c>
      <c r="K1920" s="0" t="n">
        <v>89846.5516355556</v>
      </c>
      <c r="L1920" s="0" t="n">
        <v>77239</v>
      </c>
      <c r="M1920" s="0" t="n">
        <v>76952</v>
      </c>
      <c r="N1920" s="0" t="n">
        <v>47</v>
      </c>
      <c r="O1920" s="54" t="n">
        <f aca="false">YEAR(B1920)</f>
        <v>2020</v>
      </c>
      <c r="P1920" s="54" t="n">
        <f aca="false">IF(AND(E1920&gt;=14400,K1920&gt;0,L1920&gt;0),1,0)</f>
        <v>1</v>
      </c>
      <c r="Q1920" s="53" t="n">
        <f aca="false">IF(P1920=1,F1920/E1920*MIN(L1920/K1920,1)*MIN(MAX(M1920/L1920,0),1),0)</f>
        <v>0.682919925856924</v>
      </c>
      <c r="R1920" s="55" t="n">
        <f aca="false">IF(F1920&gt;0,N1920/(F1920/3600),0)</f>
        <v>3.04717699941816</v>
      </c>
    </row>
    <row r="1921" customFormat="false" ht="15" hidden="false" customHeight="false" outlineLevel="0" collapsed="false">
      <c r="A1921" s="0" t="s">
        <v>262</v>
      </c>
      <c r="B1921" s="52" t="n">
        <v>43858</v>
      </c>
      <c r="C1921" s="0" t="n">
        <v>77656.195</v>
      </c>
      <c r="D1921" s="0" t="n">
        <v>26345.563</v>
      </c>
      <c r="E1921" s="0" t="n">
        <v>51310.632</v>
      </c>
      <c r="F1921" s="0" t="n">
        <v>24255.486</v>
      </c>
      <c r="G1921" s="0" t="n">
        <v>5839.13</v>
      </c>
      <c r="H1921" s="0" t="n">
        <v>18416.356</v>
      </c>
      <c r="I1921" s="0" t="n">
        <v>2296.109</v>
      </c>
      <c r="J1921" s="0" t="n">
        <v>24759.037</v>
      </c>
      <c r="K1921" s="0" t="n">
        <v>32526.2902630556</v>
      </c>
      <c r="L1921" s="0" t="n">
        <v>9934</v>
      </c>
      <c r="M1921" s="0" t="n">
        <v>9887</v>
      </c>
      <c r="N1921" s="0" t="n">
        <v>17</v>
      </c>
      <c r="O1921" s="54" t="n">
        <f aca="false">YEAR(B1921)</f>
        <v>2020</v>
      </c>
      <c r="P1921" s="54" t="n">
        <f aca="false">IF(AND(E1921&gt;=14400,K1921&gt;0,L1921&gt;0),1,0)</f>
        <v>1</v>
      </c>
      <c r="Q1921" s="53" t="n">
        <f aca="false">IF(P1921=1,F1921/E1921*MIN(L1921/K1921,1)*MIN(MAX(M1921/L1921,0),1),0)</f>
        <v>0.143692009316809</v>
      </c>
      <c r="R1921" s="55" t="n">
        <f aca="false">IF(F1921&gt;0,N1921/(F1921/3600),0)</f>
        <v>2.52314053818588</v>
      </c>
    </row>
    <row r="1922" customFormat="false" ht="15" hidden="false" customHeight="false" outlineLevel="0" collapsed="false">
      <c r="A1922" s="0" t="s">
        <v>262</v>
      </c>
      <c r="B1922" s="52" t="n">
        <v>43859</v>
      </c>
      <c r="C1922" s="0" t="n">
        <v>91348.063</v>
      </c>
      <c r="D1922" s="0" t="n">
        <v>8557.388</v>
      </c>
      <c r="E1922" s="0" t="n">
        <v>82790.675</v>
      </c>
      <c r="F1922" s="0" t="n">
        <v>65834.792</v>
      </c>
      <c r="G1922" s="0" t="n">
        <v>56475.856</v>
      </c>
      <c r="H1922" s="0" t="n">
        <v>9358.936</v>
      </c>
      <c r="I1922" s="0" t="n">
        <v>4257.281</v>
      </c>
      <c r="J1922" s="0" t="n">
        <v>12698.602</v>
      </c>
      <c r="K1922" s="0" t="n">
        <v>106059.4547975</v>
      </c>
      <c r="L1922" s="0" t="n">
        <v>94594</v>
      </c>
      <c r="M1922" s="0" t="n">
        <v>94542</v>
      </c>
      <c r="N1922" s="0" t="n">
        <v>62</v>
      </c>
      <c r="O1922" s="54" t="n">
        <f aca="false">YEAR(B1922)</f>
        <v>2020</v>
      </c>
      <c r="P1922" s="54" t="n">
        <f aca="false">IF(AND(E1922&gt;=14400,K1922&gt;0,L1922&gt;0),1,0)</f>
        <v>1</v>
      </c>
      <c r="Q1922" s="53" t="n">
        <f aca="false">IF(P1922=1,F1922/E1922*MIN(L1922/K1922,1)*MIN(MAX(M1922/L1922,0),1),0)</f>
        <v>0.708841995395087</v>
      </c>
      <c r="R1922" s="55" t="n">
        <f aca="false">IF(F1922&gt;0,N1922/(F1922/3600),0)</f>
        <v>3.39030462798455</v>
      </c>
    </row>
    <row r="1923" customFormat="false" ht="15" hidden="false" customHeight="false" outlineLevel="0" collapsed="false">
      <c r="A1923" s="0" t="s">
        <v>262</v>
      </c>
      <c r="B1923" s="52" t="n">
        <v>43860</v>
      </c>
      <c r="C1923" s="0" t="n">
        <v>80770.827</v>
      </c>
      <c r="D1923" s="0" t="n">
        <v>5091.345</v>
      </c>
      <c r="E1923" s="0" t="n">
        <v>75679.482</v>
      </c>
      <c r="F1923" s="0" t="n">
        <v>64840.177</v>
      </c>
      <c r="G1923" s="0" t="n">
        <v>54643.339</v>
      </c>
      <c r="H1923" s="0" t="n">
        <v>10196.838</v>
      </c>
      <c r="I1923" s="0" t="n">
        <v>7491.348</v>
      </c>
      <c r="J1923" s="0" t="n">
        <v>3347.957</v>
      </c>
      <c r="K1923" s="0" t="n">
        <v>90610.6477647222</v>
      </c>
      <c r="L1923" s="0" t="n">
        <v>80036</v>
      </c>
      <c r="M1923" s="0" t="n">
        <v>80016</v>
      </c>
      <c r="N1923" s="0" t="n">
        <v>100</v>
      </c>
      <c r="O1923" s="54" t="n">
        <f aca="false">YEAR(B1923)</f>
        <v>2020</v>
      </c>
      <c r="P1923" s="54" t="n">
        <f aca="false">IF(AND(E1923&gt;=14400,K1923&gt;0,L1923&gt;0),1,0)</f>
        <v>1</v>
      </c>
      <c r="Q1923" s="53" t="n">
        <f aca="false">IF(P1923=1,F1923/E1923*MIN(L1923/K1923,1)*MIN(MAX(M1923/L1923,0),1),0)</f>
        <v>0.756595306725084</v>
      </c>
      <c r="R1923" s="55" t="n">
        <f aca="false">IF(F1923&gt;0,N1923/(F1923/3600),0)</f>
        <v>5.55211315971577</v>
      </c>
    </row>
    <row r="1924" customFormat="false" ht="15" hidden="false" customHeight="false" outlineLevel="0" collapsed="false">
      <c r="A1924" s="0" t="s">
        <v>262</v>
      </c>
      <c r="B1924" s="52" t="n">
        <v>43861</v>
      </c>
      <c r="C1924" s="0" t="n">
        <v>86510.952</v>
      </c>
      <c r="D1924" s="0" t="n">
        <v>16004.145</v>
      </c>
      <c r="E1924" s="0" t="n">
        <v>70506.807</v>
      </c>
      <c r="F1924" s="0" t="n">
        <v>52498.885</v>
      </c>
      <c r="G1924" s="0" t="n">
        <v>44801.063</v>
      </c>
      <c r="H1924" s="0" t="n">
        <v>7697.822</v>
      </c>
      <c r="I1924" s="0" t="n">
        <v>7361.123</v>
      </c>
      <c r="J1924" s="0" t="n">
        <v>10646.799</v>
      </c>
      <c r="K1924" s="0" t="n">
        <v>87428.3978088889</v>
      </c>
      <c r="L1924" s="0" t="n">
        <v>76201</v>
      </c>
      <c r="M1924" s="0" t="n">
        <v>75999</v>
      </c>
      <c r="N1924" s="0" t="n">
        <v>78</v>
      </c>
      <c r="O1924" s="54" t="n">
        <f aca="false">YEAR(B1924)</f>
        <v>2020</v>
      </c>
      <c r="P1924" s="54" t="n">
        <f aca="false">IF(AND(E1924&gt;=14400,K1924&gt;0,L1924&gt;0),1,0)</f>
        <v>1</v>
      </c>
      <c r="Q1924" s="53" t="n">
        <f aca="false">IF(P1924=1,F1924/E1924*MIN(L1924/K1924,1)*MIN(MAX(M1924/L1924,0),1),0)</f>
        <v>0.647253474430869</v>
      </c>
      <c r="R1924" s="55" t="n">
        <f aca="false">IF(F1924&gt;0,N1924/(F1924/3600),0)</f>
        <v>5.34868502445338</v>
      </c>
    </row>
    <row r="1925" customFormat="false" ht="15" hidden="false" customHeight="false" outlineLevel="0" collapsed="false">
      <c r="A1925" s="0" t="s">
        <v>262</v>
      </c>
      <c r="B1925" s="52" t="n">
        <v>43862</v>
      </c>
      <c r="C1925" s="0" t="n">
        <v>103819.307</v>
      </c>
      <c r="D1925" s="0" t="n">
        <v>3837.551</v>
      </c>
      <c r="E1925" s="0" t="n">
        <v>99981.756</v>
      </c>
      <c r="F1925" s="0" t="n">
        <v>19873.535</v>
      </c>
      <c r="G1925" s="0" t="n">
        <v>13514.004</v>
      </c>
      <c r="H1925" s="0" t="n">
        <v>6359.531</v>
      </c>
      <c r="I1925" s="0" t="n">
        <v>730.431</v>
      </c>
      <c r="J1925" s="0" t="n">
        <v>79377.79</v>
      </c>
      <c r="K1925" s="0" t="n">
        <v>31896.7196905556</v>
      </c>
      <c r="L1925" s="0" t="n">
        <v>22756</v>
      </c>
      <c r="M1925" s="0" t="n">
        <v>22503</v>
      </c>
      <c r="N1925" s="0" t="n">
        <v>15</v>
      </c>
      <c r="O1925" s="54" t="n">
        <f aca="false">YEAR(B1925)</f>
        <v>2020</v>
      </c>
      <c r="P1925" s="54" t="n">
        <f aca="false">IF(AND(E1925&gt;=14400,K1925&gt;0,L1925&gt;0),1,0)</f>
        <v>1</v>
      </c>
      <c r="Q1925" s="53" t="n">
        <f aca="false">IF(P1925=1,F1925/E1925*MIN(L1925/K1925,1)*MIN(MAX(M1925/L1925,0),1),0)</f>
        <v>0.140232527696695</v>
      </c>
      <c r="R1925" s="55" t="n">
        <f aca="false">IF(F1925&gt;0,N1925/(F1925/3600),0)</f>
        <v>2.71718141739756</v>
      </c>
    </row>
    <row r="1926" customFormat="false" ht="15" hidden="false" customHeight="false" outlineLevel="0" collapsed="false">
      <c r="A1926" s="0" t="s">
        <v>262</v>
      </c>
      <c r="B1926" s="52" t="n">
        <v>43863</v>
      </c>
      <c r="C1926" s="0" t="n">
        <v>48244.795</v>
      </c>
      <c r="D1926" s="0" t="n">
        <v>9658.215</v>
      </c>
      <c r="E1926" s="0" t="n">
        <v>38586.58</v>
      </c>
      <c r="F1926" s="0" t="n">
        <v>27324.922</v>
      </c>
      <c r="G1926" s="0" t="n">
        <v>20836.971</v>
      </c>
      <c r="H1926" s="0" t="n">
        <v>6487.951</v>
      </c>
      <c r="I1926" s="0" t="n">
        <v>996.251</v>
      </c>
      <c r="J1926" s="0" t="n">
        <v>10265.407</v>
      </c>
      <c r="K1926" s="0" t="n">
        <v>35972.0206347222</v>
      </c>
      <c r="L1926" s="0" t="n">
        <v>36740</v>
      </c>
      <c r="M1926" s="0" t="n">
        <v>36727</v>
      </c>
      <c r="N1926" s="0" t="n">
        <v>28</v>
      </c>
      <c r="O1926" s="54" t="n">
        <f aca="false">YEAR(B1926)</f>
        <v>2020</v>
      </c>
      <c r="P1926" s="54" t="n">
        <f aca="false">IF(AND(E1926&gt;=14400,K1926&gt;0,L1926&gt;0),1,0)</f>
        <v>1</v>
      </c>
      <c r="Q1926" s="53" t="n">
        <f aca="false">IF(P1926=1,F1926/E1926*MIN(L1926/K1926,1)*MIN(MAX(M1926/L1926,0),1),0)</f>
        <v>0.707895164854945</v>
      </c>
      <c r="R1926" s="55" t="n">
        <f aca="false">IF(F1926&gt;0,N1926/(F1926/3600),0)</f>
        <v>3.68894008187837</v>
      </c>
    </row>
    <row r="1927" customFormat="false" ht="15" hidden="false" customHeight="false" outlineLevel="0" collapsed="false">
      <c r="A1927" s="0" t="s">
        <v>262</v>
      </c>
      <c r="B1927" s="52" t="n">
        <v>43864</v>
      </c>
      <c r="C1927" s="0" t="n">
        <v>87476.576</v>
      </c>
      <c r="D1927" s="0" t="n">
        <v>15453.448</v>
      </c>
      <c r="E1927" s="0" t="n">
        <v>72023.128</v>
      </c>
      <c r="F1927" s="0" t="n">
        <v>51096.889</v>
      </c>
      <c r="G1927" s="0" t="n">
        <v>35144.975</v>
      </c>
      <c r="H1927" s="0" t="n">
        <v>15951.914</v>
      </c>
      <c r="I1927" s="0" t="n">
        <v>2087.132</v>
      </c>
      <c r="J1927" s="0" t="n">
        <v>18839.107</v>
      </c>
      <c r="K1927" s="0" t="n">
        <v>85431.486155</v>
      </c>
      <c r="L1927" s="0" t="n">
        <v>62506</v>
      </c>
      <c r="M1927" s="0" t="n">
        <v>62127</v>
      </c>
      <c r="N1927" s="0" t="n">
        <v>30</v>
      </c>
      <c r="O1927" s="54" t="n">
        <f aca="false">YEAR(B1927)</f>
        <v>2020</v>
      </c>
      <c r="P1927" s="54" t="n">
        <f aca="false">IF(AND(E1927&gt;=14400,K1927&gt;0,L1927&gt;0),1,0)</f>
        <v>1</v>
      </c>
      <c r="Q1927" s="53" t="n">
        <f aca="false">IF(P1927=1,F1927/E1927*MIN(L1927/K1927,1)*MIN(MAX(M1927/L1927,0),1),0)</f>
        <v>0.515923014645823</v>
      </c>
      <c r="R1927" s="55" t="n">
        <f aca="false">IF(F1927&gt;0,N1927/(F1927/3600),0)</f>
        <v>2.11363161463705</v>
      </c>
    </row>
    <row r="1928" customFormat="false" ht="15" hidden="false" customHeight="false" outlineLevel="0" collapsed="false">
      <c r="A1928" s="0" t="s">
        <v>262</v>
      </c>
      <c r="B1928" s="52" t="n">
        <v>43865</v>
      </c>
      <c r="C1928" s="0" t="n">
        <v>85363.684</v>
      </c>
      <c r="D1928" s="0" t="n">
        <v>10983.96</v>
      </c>
      <c r="E1928" s="0" t="n">
        <v>74379.724</v>
      </c>
      <c r="F1928" s="0" t="n">
        <v>59548.588</v>
      </c>
      <c r="G1928" s="0" t="n">
        <v>50929.136</v>
      </c>
      <c r="H1928" s="0" t="n">
        <v>8619.452</v>
      </c>
      <c r="I1928" s="0" t="n">
        <v>2965.059</v>
      </c>
      <c r="J1928" s="0" t="n">
        <v>11866.077</v>
      </c>
      <c r="K1928" s="0" t="n">
        <v>83092.9007333333</v>
      </c>
      <c r="L1928" s="0" t="n">
        <v>75067</v>
      </c>
      <c r="M1928" s="0" t="n">
        <v>74937</v>
      </c>
      <c r="N1928" s="0" t="n">
        <v>43</v>
      </c>
      <c r="O1928" s="54" t="n">
        <f aca="false">YEAR(B1928)</f>
        <v>2020</v>
      </c>
      <c r="P1928" s="54" t="n">
        <f aca="false">IF(AND(E1928&gt;=14400,K1928&gt;0,L1928&gt;0),1,0)</f>
        <v>1</v>
      </c>
      <c r="Q1928" s="53" t="n">
        <f aca="false">IF(P1928=1,F1928/E1928*MIN(L1928/K1928,1)*MIN(MAX(M1928/L1928,0),1),0)</f>
        <v>0.722020100297006</v>
      </c>
      <c r="R1928" s="55" t="n">
        <f aca="false">IF(F1928&gt;0,N1928/(F1928/3600),0)</f>
        <v>2.59955786021324</v>
      </c>
    </row>
    <row r="1929" customFormat="false" ht="15" hidden="false" customHeight="false" outlineLevel="0" collapsed="false">
      <c r="A1929" s="0" t="s">
        <v>262</v>
      </c>
      <c r="B1929" s="52" t="n">
        <v>43866</v>
      </c>
      <c r="C1929" s="0" t="n">
        <v>78151.147</v>
      </c>
      <c r="D1929" s="0" t="n">
        <v>4120.867</v>
      </c>
      <c r="E1929" s="0" t="n">
        <v>74030.28</v>
      </c>
      <c r="F1929" s="0" t="n">
        <v>61108.664</v>
      </c>
      <c r="G1929" s="0" t="n">
        <v>49380.09</v>
      </c>
      <c r="H1929" s="0" t="n">
        <v>11728.574</v>
      </c>
      <c r="I1929" s="0" t="n">
        <v>2723.302</v>
      </c>
      <c r="J1929" s="0" t="n">
        <v>10198.314</v>
      </c>
      <c r="K1929" s="0" t="n">
        <v>72487.5220438889</v>
      </c>
      <c r="L1929" s="0" t="n">
        <v>55263</v>
      </c>
      <c r="M1929" s="0" t="n">
        <v>55203</v>
      </c>
      <c r="N1929" s="0" t="n">
        <v>34</v>
      </c>
      <c r="O1929" s="54" t="n">
        <f aca="false">YEAR(B1929)</f>
        <v>2020</v>
      </c>
      <c r="P1929" s="54" t="n">
        <f aca="false">IF(AND(E1929&gt;=14400,K1929&gt;0,L1929&gt;0),1,0)</f>
        <v>1</v>
      </c>
      <c r="Q1929" s="53" t="n">
        <f aca="false">IF(P1929=1,F1929/E1929*MIN(L1929/K1929,1)*MIN(MAX(M1929/L1929,0),1),0)</f>
        <v>0.628626700161134</v>
      </c>
      <c r="R1929" s="55" t="n">
        <f aca="false">IF(F1929&gt;0,N1929/(F1929/3600),0)</f>
        <v>2.00298929788418</v>
      </c>
    </row>
    <row r="1930" customFormat="false" ht="15" hidden="false" customHeight="false" outlineLevel="0" collapsed="false">
      <c r="A1930" s="0" t="s">
        <v>262</v>
      </c>
      <c r="B1930" s="52" t="n">
        <v>43867</v>
      </c>
      <c r="C1930" s="0" t="n">
        <v>83418.828</v>
      </c>
      <c r="D1930" s="0" t="n">
        <v>15217.905</v>
      </c>
      <c r="E1930" s="0" t="n">
        <v>68200.923</v>
      </c>
      <c r="F1930" s="0" t="n">
        <v>54616.846</v>
      </c>
      <c r="G1930" s="0" t="n">
        <v>41601.399</v>
      </c>
      <c r="H1930" s="0" t="n">
        <v>13015.447</v>
      </c>
      <c r="I1930" s="0" t="n">
        <v>6479.747</v>
      </c>
      <c r="J1930" s="0" t="n">
        <v>7104.33</v>
      </c>
      <c r="K1930" s="0" t="n">
        <v>88482.2496986111</v>
      </c>
      <c r="L1930" s="0" t="n">
        <v>71373</v>
      </c>
      <c r="M1930" s="0" t="n">
        <v>71093</v>
      </c>
      <c r="N1930" s="0" t="n">
        <v>72</v>
      </c>
      <c r="O1930" s="54" t="n">
        <f aca="false">YEAR(B1930)</f>
        <v>2020</v>
      </c>
      <c r="P1930" s="54" t="n">
        <f aca="false">IF(AND(E1930&gt;=14400,K1930&gt;0,L1930&gt;0),1,0)</f>
        <v>1</v>
      </c>
      <c r="Q1930" s="53" t="n">
        <f aca="false">IF(P1930=1,F1930/E1930*MIN(L1930/K1930,1)*MIN(MAX(M1930/L1930,0),1),0)</f>
        <v>0.64343850942504</v>
      </c>
      <c r="R1930" s="55" t="n">
        <f aca="false">IF(F1930&gt;0,N1930/(F1930/3600),0)</f>
        <v>4.74578850635205</v>
      </c>
    </row>
    <row r="1931" customFormat="false" ht="15" hidden="false" customHeight="false" outlineLevel="0" collapsed="false">
      <c r="A1931" s="0" t="s">
        <v>262</v>
      </c>
      <c r="B1931" s="52" t="n">
        <v>43868</v>
      </c>
      <c r="C1931" s="0" t="n">
        <v>90278.208</v>
      </c>
      <c r="D1931" s="0" t="n">
        <v>15886.161</v>
      </c>
      <c r="E1931" s="0" t="n">
        <v>74392.047</v>
      </c>
      <c r="F1931" s="0" t="n">
        <v>45616.513</v>
      </c>
      <c r="G1931" s="0" t="n">
        <v>29693.091</v>
      </c>
      <c r="H1931" s="0" t="n">
        <v>15923.422</v>
      </c>
      <c r="I1931" s="0" t="n">
        <v>11535.5</v>
      </c>
      <c r="J1931" s="0" t="n">
        <v>17240.034</v>
      </c>
      <c r="K1931" s="0" t="n">
        <v>76414.3749344445</v>
      </c>
      <c r="L1931" s="0" t="n">
        <v>51232</v>
      </c>
      <c r="M1931" s="0" t="n">
        <v>50730</v>
      </c>
      <c r="N1931" s="0" t="n">
        <v>88</v>
      </c>
      <c r="O1931" s="54" t="n">
        <f aca="false">YEAR(B1931)</f>
        <v>2020</v>
      </c>
      <c r="P1931" s="54" t="n">
        <f aca="false">IF(AND(E1931&gt;=14400,K1931&gt;0,L1931&gt;0),1,0)</f>
        <v>1</v>
      </c>
      <c r="Q1931" s="53" t="n">
        <f aca="false">IF(P1931=1,F1931/E1931*MIN(L1931/K1931,1)*MIN(MAX(M1931/L1931,0),1),0)</f>
        <v>0.407085255179457</v>
      </c>
      <c r="R1931" s="55" t="n">
        <f aca="false">IF(F1931&gt;0,N1931/(F1931/3600),0)</f>
        <v>6.94485350074873</v>
      </c>
    </row>
    <row r="1932" customFormat="false" ht="15" hidden="false" customHeight="false" outlineLevel="0" collapsed="false">
      <c r="A1932" s="0" t="s">
        <v>262</v>
      </c>
      <c r="B1932" s="52" t="n">
        <v>43869</v>
      </c>
      <c r="C1932" s="0" t="n">
        <v>82671.287</v>
      </c>
      <c r="D1932" s="0" t="n">
        <v>70.29</v>
      </c>
      <c r="E1932" s="0" t="n">
        <v>82600.997</v>
      </c>
      <c r="F1932" s="0" t="n">
        <v>74440.223</v>
      </c>
      <c r="G1932" s="0" t="n">
        <v>64182.956</v>
      </c>
      <c r="H1932" s="0" t="n">
        <v>10257.267</v>
      </c>
      <c r="I1932" s="0" t="n">
        <v>4737.374</v>
      </c>
      <c r="J1932" s="0" t="n">
        <v>3423.4</v>
      </c>
      <c r="K1932" s="0" t="n">
        <v>125513.860772222</v>
      </c>
      <c r="L1932" s="0" t="n">
        <v>113803</v>
      </c>
      <c r="M1932" s="0" t="n">
        <v>113421</v>
      </c>
      <c r="N1932" s="0" t="n">
        <v>91</v>
      </c>
      <c r="O1932" s="54" t="n">
        <f aca="false">YEAR(B1932)</f>
        <v>2020</v>
      </c>
      <c r="P1932" s="54" t="n">
        <f aca="false">IF(AND(E1932&gt;=14400,K1932&gt;0,L1932&gt;0),1,0)</f>
        <v>1</v>
      </c>
      <c r="Q1932" s="53" t="n">
        <f aca="false">IF(P1932=1,F1932/E1932*MIN(L1932/K1932,1)*MIN(MAX(M1932/L1932,0),1),0)</f>
        <v>0.814374487239135</v>
      </c>
      <c r="R1932" s="55" t="n">
        <f aca="false">IF(F1932&gt;0,N1932/(F1932/3600),0)</f>
        <v>4.40084656919956</v>
      </c>
    </row>
    <row r="1933" customFormat="false" ht="15" hidden="false" customHeight="false" outlineLevel="0" collapsed="false">
      <c r="A1933" s="0" t="s">
        <v>262</v>
      </c>
      <c r="B1933" s="52" t="n">
        <v>43870</v>
      </c>
      <c r="C1933" s="0" t="n">
        <v>70550.955</v>
      </c>
      <c r="D1933" s="0" t="n">
        <v>14294.655</v>
      </c>
      <c r="E1933" s="0" t="n">
        <v>56256.3</v>
      </c>
      <c r="F1933" s="0" t="n">
        <v>25559.74</v>
      </c>
      <c r="G1933" s="0" t="n">
        <v>22335.097</v>
      </c>
      <c r="H1933" s="0" t="n">
        <v>3224.643</v>
      </c>
      <c r="I1933" s="0" t="n">
        <v>2908.771</v>
      </c>
      <c r="J1933" s="0" t="n">
        <v>27787.789</v>
      </c>
      <c r="K1933" s="0" t="n">
        <v>44971.4523438889</v>
      </c>
      <c r="L1933" s="0" t="n">
        <v>39603</v>
      </c>
      <c r="M1933" s="0" t="n">
        <v>39560</v>
      </c>
      <c r="N1933" s="0" t="n">
        <v>51</v>
      </c>
      <c r="O1933" s="54" t="n">
        <f aca="false">YEAR(B1933)</f>
        <v>2020</v>
      </c>
      <c r="P1933" s="54" t="n">
        <f aca="false">IF(AND(E1933&gt;=14400,K1933&gt;0,L1933&gt;0),1,0)</f>
        <v>1</v>
      </c>
      <c r="Q1933" s="53" t="n">
        <f aca="false">IF(P1933=1,F1933/E1933*MIN(L1933/K1933,1)*MIN(MAX(M1933/L1933,0),1),0)</f>
        <v>0.399672839876769</v>
      </c>
      <c r="R1933" s="55" t="n">
        <f aca="false">IF(F1933&gt;0,N1933/(F1933/3600),0)</f>
        <v>7.18317165980562</v>
      </c>
    </row>
    <row r="1934" customFormat="false" ht="15" hidden="false" customHeight="false" outlineLevel="0" collapsed="false">
      <c r="A1934" s="0" t="s">
        <v>262</v>
      </c>
      <c r="B1934" s="52" t="n">
        <v>43871</v>
      </c>
      <c r="C1934" s="0" t="n">
        <v>89292.712</v>
      </c>
      <c r="D1934" s="0" t="n">
        <v>15915.873</v>
      </c>
      <c r="E1934" s="0" t="n">
        <v>73376.839</v>
      </c>
      <c r="F1934" s="0" t="n">
        <v>59395.144</v>
      </c>
      <c r="G1934" s="0" t="n">
        <v>47843.34</v>
      </c>
      <c r="H1934" s="0" t="n">
        <v>11551.804</v>
      </c>
      <c r="I1934" s="0" t="n">
        <v>3331.044</v>
      </c>
      <c r="J1934" s="0" t="n">
        <v>10650.651</v>
      </c>
      <c r="K1934" s="0" t="n">
        <v>97295.9550688889</v>
      </c>
      <c r="L1934" s="0" t="n">
        <v>79696</v>
      </c>
      <c r="M1934" s="0" t="n">
        <v>79604</v>
      </c>
      <c r="N1934" s="0" t="n">
        <v>61</v>
      </c>
      <c r="O1934" s="54" t="n">
        <f aca="false">YEAR(B1934)</f>
        <v>2020</v>
      </c>
      <c r="P1934" s="54" t="n">
        <f aca="false">IF(AND(E1934&gt;=14400,K1934&gt;0,L1934&gt;0),1,0)</f>
        <v>1</v>
      </c>
      <c r="Q1934" s="53" t="n">
        <f aca="false">IF(P1934=1,F1934/E1934*MIN(L1934/K1934,1)*MIN(MAX(M1934/L1934,0),1),0)</f>
        <v>0.662265369949878</v>
      </c>
      <c r="R1934" s="55" t="n">
        <f aca="false">IF(F1934&gt;0,N1934/(F1934/3600),0)</f>
        <v>3.69727195206396</v>
      </c>
    </row>
    <row r="1935" customFormat="false" ht="15" hidden="false" customHeight="false" outlineLevel="0" collapsed="false">
      <c r="A1935" s="0" t="s">
        <v>262</v>
      </c>
      <c r="B1935" s="52" t="n">
        <v>43872</v>
      </c>
      <c r="C1935" s="0" t="n">
        <v>81258.982</v>
      </c>
      <c r="D1935" s="0" t="n">
        <v>15112.54</v>
      </c>
      <c r="E1935" s="0" t="n">
        <v>66146.442</v>
      </c>
      <c r="F1935" s="0" t="n">
        <v>53464.406</v>
      </c>
      <c r="G1935" s="0" t="n">
        <v>47875.304</v>
      </c>
      <c r="H1935" s="0" t="n">
        <v>5589.102</v>
      </c>
      <c r="I1935" s="0" t="n">
        <v>2827.261</v>
      </c>
      <c r="J1935" s="0" t="n">
        <v>9854.775</v>
      </c>
      <c r="K1935" s="0" t="n">
        <v>89123.7843</v>
      </c>
      <c r="L1935" s="0" t="n">
        <v>81951</v>
      </c>
      <c r="M1935" s="0" t="n">
        <v>81873</v>
      </c>
      <c r="N1935" s="0" t="n">
        <v>41</v>
      </c>
      <c r="O1935" s="54" t="n">
        <f aca="false">YEAR(B1935)</f>
        <v>2020</v>
      </c>
      <c r="P1935" s="54" t="n">
        <f aca="false">IF(AND(E1935&gt;=14400,K1935&gt;0,L1935&gt;0),1,0)</f>
        <v>1</v>
      </c>
      <c r="Q1935" s="53" t="n">
        <f aca="false">IF(P1935=1,F1935/E1935*MIN(L1935/K1935,1)*MIN(MAX(M1935/L1935,0),1),0)</f>
        <v>0.742515190251024</v>
      </c>
      <c r="R1935" s="55" t="n">
        <f aca="false">IF(F1935&gt;0,N1935/(F1935/3600),0)</f>
        <v>2.76071523173754</v>
      </c>
    </row>
    <row r="1936" customFormat="false" ht="15" hidden="false" customHeight="false" outlineLevel="0" collapsed="false">
      <c r="A1936" s="0" t="s">
        <v>262</v>
      </c>
      <c r="B1936" s="52" t="n">
        <v>43873</v>
      </c>
      <c r="C1936" s="0" t="n">
        <v>92059.04</v>
      </c>
      <c r="D1936" s="0" t="n">
        <v>10365.94</v>
      </c>
      <c r="E1936" s="0" t="n">
        <v>81693.1</v>
      </c>
      <c r="F1936" s="0" t="n">
        <v>67643.848</v>
      </c>
      <c r="G1936" s="0" t="n">
        <v>56411.196</v>
      </c>
      <c r="H1936" s="0" t="n">
        <v>11232.652</v>
      </c>
      <c r="I1936" s="0" t="n">
        <v>3767.441</v>
      </c>
      <c r="J1936" s="0" t="n">
        <v>10281.811</v>
      </c>
      <c r="K1936" s="0" t="n">
        <v>104513.232910556</v>
      </c>
      <c r="L1936" s="0" t="n">
        <v>91675</v>
      </c>
      <c r="M1936" s="0" t="n">
        <v>91528</v>
      </c>
      <c r="N1936" s="0" t="n">
        <v>79</v>
      </c>
      <c r="O1936" s="54" t="n">
        <f aca="false">YEAR(B1936)</f>
        <v>2020</v>
      </c>
      <c r="P1936" s="54" t="n">
        <f aca="false">IF(AND(E1936&gt;=14400,K1936&gt;0,L1936&gt;0),1,0)</f>
        <v>1</v>
      </c>
      <c r="Q1936" s="53" t="n">
        <f aca="false">IF(P1936=1,F1936/E1936*MIN(L1936/K1936,1)*MIN(MAX(M1936/L1936,0),1),0)</f>
        <v>0.725146272822236</v>
      </c>
      <c r="R1936" s="55" t="n">
        <f aca="false">IF(F1936&gt;0,N1936/(F1936/3600),0)</f>
        <v>4.20437347088829</v>
      </c>
    </row>
    <row r="1937" customFormat="false" ht="15" hidden="false" customHeight="false" outlineLevel="0" collapsed="false">
      <c r="A1937" s="0" t="s">
        <v>262</v>
      </c>
      <c r="B1937" s="52" t="n">
        <v>43874</v>
      </c>
      <c r="C1937" s="0" t="n">
        <v>81305.044</v>
      </c>
      <c r="D1937" s="0" t="n">
        <v>6127.399</v>
      </c>
      <c r="E1937" s="0" t="n">
        <v>75177.645</v>
      </c>
      <c r="F1937" s="0" t="n">
        <v>60005.901</v>
      </c>
      <c r="G1937" s="0" t="n">
        <v>52170.351</v>
      </c>
      <c r="H1937" s="0" t="n">
        <v>7835.55</v>
      </c>
      <c r="I1937" s="0" t="n">
        <v>3878.254</v>
      </c>
      <c r="J1937" s="0" t="n">
        <v>11293.49</v>
      </c>
      <c r="K1937" s="0" t="n">
        <v>65271.1616872222</v>
      </c>
      <c r="L1937" s="0" t="n">
        <v>57729</v>
      </c>
      <c r="M1937" s="0" t="n">
        <v>57652</v>
      </c>
      <c r="N1937" s="0" t="n">
        <v>67</v>
      </c>
      <c r="O1937" s="54" t="n">
        <f aca="false">YEAR(B1937)</f>
        <v>2020</v>
      </c>
      <c r="P1937" s="54" t="n">
        <f aca="false">IF(AND(E1937&gt;=14400,K1937&gt;0,L1937&gt;0),1,0)</f>
        <v>1</v>
      </c>
      <c r="Q1937" s="53" t="n">
        <f aca="false">IF(P1937=1,F1937/E1937*MIN(L1937/K1937,1)*MIN(MAX(M1937/L1937,0),1),0)</f>
        <v>0.705014874446331</v>
      </c>
      <c r="R1937" s="55" t="n">
        <f aca="false">IF(F1937&gt;0,N1937/(F1937/3600),0)</f>
        <v>4.01960467188052</v>
      </c>
    </row>
    <row r="1938" customFormat="false" ht="15" hidden="false" customHeight="false" outlineLevel="0" collapsed="false">
      <c r="A1938" s="0" t="s">
        <v>262</v>
      </c>
      <c r="B1938" s="52" t="n">
        <v>43875</v>
      </c>
      <c r="C1938" s="0" t="n">
        <v>85864.012</v>
      </c>
      <c r="D1938" s="0" t="n">
        <v>17340.682</v>
      </c>
      <c r="E1938" s="0" t="n">
        <v>68523.33</v>
      </c>
      <c r="F1938" s="0" t="n">
        <v>55181.956</v>
      </c>
      <c r="G1938" s="0" t="n">
        <v>49761.038</v>
      </c>
      <c r="H1938" s="0" t="n">
        <v>5420.918</v>
      </c>
      <c r="I1938" s="0" t="n">
        <v>6721.412</v>
      </c>
      <c r="J1938" s="0" t="n">
        <v>6619.962</v>
      </c>
      <c r="K1938" s="0" t="n">
        <v>97966.07644</v>
      </c>
      <c r="L1938" s="0" t="n">
        <v>89212</v>
      </c>
      <c r="M1938" s="0" t="n">
        <v>88908</v>
      </c>
      <c r="N1938" s="0" t="n">
        <v>102</v>
      </c>
      <c r="O1938" s="54" t="n">
        <f aca="false">YEAR(B1938)</f>
        <v>2020</v>
      </c>
      <c r="P1938" s="54" t="n">
        <f aca="false">IF(AND(E1938&gt;=14400,K1938&gt;0,L1938&gt;0),1,0)</f>
        <v>1</v>
      </c>
      <c r="Q1938" s="53" t="n">
        <f aca="false">IF(P1938=1,F1938/E1938*MIN(L1938/K1938,1)*MIN(MAX(M1938/L1938,0),1),0)</f>
        <v>0.730842436080516</v>
      </c>
      <c r="R1938" s="55" t="n">
        <f aca="false">IF(F1938&gt;0,N1938/(F1938/3600),0)</f>
        <v>6.65434911368492</v>
      </c>
    </row>
    <row r="1939" customFormat="false" ht="15" hidden="false" customHeight="false" outlineLevel="0" collapsed="false">
      <c r="A1939" s="0" t="s">
        <v>262</v>
      </c>
      <c r="B1939" s="52" t="n">
        <v>43876</v>
      </c>
      <c r="C1939" s="0" t="n">
        <v>120196.996</v>
      </c>
      <c r="D1939" s="0" t="n">
        <v>8745.013</v>
      </c>
      <c r="E1939" s="0" t="n">
        <v>111451.983</v>
      </c>
      <c r="F1939" s="0" t="n">
        <v>31100.564</v>
      </c>
      <c r="G1939" s="0" t="n">
        <v>24388.114</v>
      </c>
      <c r="H1939" s="0" t="n">
        <v>6712.45</v>
      </c>
      <c r="I1939" s="0" t="n">
        <v>2763.459</v>
      </c>
      <c r="J1939" s="0" t="n">
        <v>77587.96</v>
      </c>
      <c r="K1939" s="0" t="n">
        <v>53239.4104113889</v>
      </c>
      <c r="L1939" s="0" t="n">
        <v>41804</v>
      </c>
      <c r="M1939" s="0" t="n">
        <v>41668</v>
      </c>
      <c r="N1939" s="0" t="n">
        <v>46</v>
      </c>
      <c r="O1939" s="54" t="n">
        <f aca="false">YEAR(B1939)</f>
        <v>2020</v>
      </c>
      <c r="P1939" s="54" t="n">
        <f aca="false">IF(AND(E1939&gt;=14400,K1939&gt;0,L1939&gt;0),1,0)</f>
        <v>1</v>
      </c>
      <c r="Q1939" s="53" t="n">
        <f aca="false">IF(P1939=1,F1939/E1939*MIN(L1939/K1939,1)*MIN(MAX(M1939/L1939,0),1),0)</f>
        <v>0.21839861657087</v>
      </c>
      <c r="R1939" s="55" t="n">
        <f aca="false">IF(F1939&gt;0,N1939/(F1939/3600),0)</f>
        <v>5.32466227943648</v>
      </c>
    </row>
    <row r="1940" customFormat="false" ht="15" hidden="false" customHeight="false" outlineLevel="0" collapsed="false">
      <c r="A1940" s="0" t="s">
        <v>262</v>
      </c>
      <c r="B1940" s="52" t="n">
        <v>43877</v>
      </c>
      <c r="C1940" s="0" t="n">
        <v>48287.613</v>
      </c>
      <c r="D1940" s="0" t="n">
        <v>5928.054</v>
      </c>
      <c r="E1940" s="0" t="n">
        <v>42359.559</v>
      </c>
      <c r="F1940" s="0" t="n">
        <v>24291.231</v>
      </c>
      <c r="G1940" s="0" t="n">
        <v>21253.964</v>
      </c>
      <c r="H1940" s="0" t="n">
        <v>3037.267</v>
      </c>
      <c r="I1940" s="0" t="n">
        <v>2088.065</v>
      </c>
      <c r="J1940" s="0" t="n">
        <v>15980.263</v>
      </c>
      <c r="K1940" s="0" t="n">
        <v>40042.7964355556</v>
      </c>
      <c r="L1940" s="0" t="n">
        <v>36137</v>
      </c>
      <c r="M1940" s="0" t="n">
        <v>36113</v>
      </c>
      <c r="N1940" s="0" t="n">
        <v>26</v>
      </c>
      <c r="O1940" s="54" t="n">
        <f aca="false">YEAR(B1940)</f>
        <v>2020</v>
      </c>
      <c r="P1940" s="54" t="n">
        <f aca="false">IF(AND(E1940&gt;=14400,K1940&gt;0,L1940&gt;0),1,0)</f>
        <v>1</v>
      </c>
      <c r="Q1940" s="53" t="n">
        <f aca="false">IF(P1940=1,F1940/E1940*MIN(L1940/K1940,1)*MIN(MAX(M1940/L1940,0),1),0)</f>
        <v>0.517174689603263</v>
      </c>
      <c r="R1940" s="55" t="n">
        <f aca="false">IF(F1940&gt;0,N1940/(F1940/3600),0)</f>
        <v>3.85324234906004</v>
      </c>
    </row>
    <row r="1941" customFormat="false" ht="15" hidden="false" customHeight="false" outlineLevel="0" collapsed="false">
      <c r="A1941" s="0" t="s">
        <v>262</v>
      </c>
      <c r="B1941" s="52" t="n">
        <v>43878</v>
      </c>
      <c r="C1941" s="0" t="n">
        <v>88799.526</v>
      </c>
      <c r="D1941" s="0" t="n">
        <v>30421.81</v>
      </c>
      <c r="E1941" s="0" t="n">
        <v>58377.716</v>
      </c>
      <c r="F1941" s="0" t="n">
        <v>35883.802</v>
      </c>
      <c r="G1941" s="0" t="n">
        <v>32687.879</v>
      </c>
      <c r="H1941" s="0" t="n">
        <v>3195.923</v>
      </c>
      <c r="I1941" s="0" t="n">
        <v>3704.331</v>
      </c>
      <c r="J1941" s="0" t="n">
        <v>18789.583</v>
      </c>
      <c r="K1941" s="0" t="n">
        <v>64167.6732847222</v>
      </c>
      <c r="L1941" s="0" t="n">
        <v>63328</v>
      </c>
      <c r="M1941" s="0" t="n">
        <v>63236</v>
      </c>
      <c r="N1941" s="0" t="n">
        <v>45</v>
      </c>
      <c r="O1941" s="54" t="n">
        <f aca="false">YEAR(B1941)</f>
        <v>2020</v>
      </c>
      <c r="P1941" s="54" t="n">
        <f aca="false">IF(AND(E1941&gt;=14400,K1941&gt;0,L1941&gt;0),1,0)</f>
        <v>1</v>
      </c>
      <c r="Q1941" s="53" t="n">
        <f aca="false">IF(P1941=1,F1941/E1941*MIN(L1941/K1941,1)*MIN(MAX(M1941/L1941,0),1),0)</f>
        <v>0.605758408024413</v>
      </c>
      <c r="R1941" s="55" t="n">
        <f aca="false">IF(F1941&gt;0,N1941/(F1941/3600),0)</f>
        <v>4.51457178366997</v>
      </c>
    </row>
    <row r="1942" customFormat="false" ht="15" hidden="false" customHeight="false" outlineLevel="0" collapsed="false">
      <c r="A1942" s="0" t="s">
        <v>262</v>
      </c>
      <c r="B1942" s="52" t="n">
        <v>43879</v>
      </c>
      <c r="C1942" s="0" t="n">
        <v>82799.657</v>
      </c>
      <c r="D1942" s="0" t="n">
        <v>337.171</v>
      </c>
      <c r="E1942" s="0" t="n">
        <v>82462.486</v>
      </c>
      <c r="F1942" s="0" t="n">
        <v>65082.501</v>
      </c>
      <c r="G1942" s="0" t="n">
        <v>55769.434</v>
      </c>
      <c r="H1942" s="0" t="n">
        <v>9313.067</v>
      </c>
      <c r="I1942" s="0" t="n">
        <v>4367.499</v>
      </c>
      <c r="J1942" s="0" t="n">
        <v>13012.486</v>
      </c>
      <c r="K1942" s="0" t="n">
        <v>111645.138324722</v>
      </c>
      <c r="L1942" s="0" t="n">
        <v>96889</v>
      </c>
      <c r="M1942" s="0" t="n">
        <v>96659</v>
      </c>
      <c r="N1942" s="0" t="n">
        <v>63</v>
      </c>
      <c r="O1942" s="54" t="n">
        <f aca="false">YEAR(B1942)</f>
        <v>2020</v>
      </c>
      <c r="P1942" s="54" t="n">
        <f aca="false">IF(AND(E1942&gt;=14400,K1942&gt;0,L1942&gt;0),1,0)</f>
        <v>1</v>
      </c>
      <c r="Q1942" s="53" t="n">
        <f aca="false">IF(P1942=1,F1942/E1942*MIN(L1942/K1942,1)*MIN(MAX(M1942/L1942,0),1),0)</f>
        <v>0.68329822412745</v>
      </c>
      <c r="R1942" s="55" t="n">
        <f aca="false">IF(F1942&gt;0,N1942/(F1942/3600),0)</f>
        <v>3.48480769047274</v>
      </c>
    </row>
    <row r="1943" customFormat="false" ht="15" hidden="false" customHeight="false" outlineLevel="0" collapsed="false">
      <c r="A1943" s="0" t="s">
        <v>262</v>
      </c>
      <c r="B1943" s="52" t="n">
        <v>43880</v>
      </c>
      <c r="C1943" s="0" t="n">
        <v>85610.722</v>
      </c>
      <c r="D1943" s="0" t="n">
        <v>17158.339</v>
      </c>
      <c r="E1943" s="0" t="n">
        <v>68452.383</v>
      </c>
      <c r="F1943" s="0" t="n">
        <v>56304.955</v>
      </c>
      <c r="G1943" s="0" t="n">
        <v>51299.429</v>
      </c>
      <c r="H1943" s="0" t="n">
        <v>5005.526</v>
      </c>
      <c r="I1943" s="0" t="n">
        <v>2462.382</v>
      </c>
      <c r="J1943" s="0" t="n">
        <v>9685.046</v>
      </c>
      <c r="K1943" s="0" t="n">
        <v>100245.788092778</v>
      </c>
      <c r="L1943" s="0" t="n">
        <v>91820</v>
      </c>
      <c r="M1943" s="0" t="n">
        <v>91738</v>
      </c>
      <c r="N1943" s="0" t="n">
        <v>35</v>
      </c>
      <c r="O1943" s="54" t="n">
        <f aca="false">YEAR(B1943)</f>
        <v>2020</v>
      </c>
      <c r="P1943" s="54" t="n">
        <f aca="false">IF(AND(E1943&gt;=14400,K1943&gt;0,L1943&gt;0),1,0)</f>
        <v>1</v>
      </c>
      <c r="Q1943" s="53" t="n">
        <f aca="false">IF(P1943=1,F1943/E1943*MIN(L1943/K1943,1)*MIN(MAX(M1943/L1943,0),1),0)</f>
        <v>0.752733383688224</v>
      </c>
      <c r="R1943" s="55" t="n">
        <f aca="false">IF(F1943&gt;0,N1943/(F1943/3600),0)</f>
        <v>2.23781370573869</v>
      </c>
    </row>
    <row r="1944" customFormat="false" ht="15" hidden="false" customHeight="false" outlineLevel="0" collapsed="false">
      <c r="A1944" s="0" t="s">
        <v>262</v>
      </c>
      <c r="B1944" s="52" t="n">
        <v>43881</v>
      </c>
      <c r="C1944" s="0" t="n">
        <v>77706.093</v>
      </c>
      <c r="D1944" s="0" t="n">
        <v>7259.002</v>
      </c>
      <c r="E1944" s="0" t="n">
        <v>70447.091</v>
      </c>
      <c r="F1944" s="0" t="n">
        <v>39907.77</v>
      </c>
      <c r="G1944" s="0" t="n">
        <v>29693.224</v>
      </c>
      <c r="H1944" s="0" t="n">
        <v>10214.546</v>
      </c>
      <c r="I1944" s="0" t="n">
        <v>348.45</v>
      </c>
      <c r="J1944" s="0" t="n">
        <v>30190.871</v>
      </c>
      <c r="K1944" s="0" t="n">
        <v>57113.5086922222</v>
      </c>
      <c r="L1944" s="0" t="n">
        <v>50417</v>
      </c>
      <c r="M1944" s="0" t="n">
        <v>50337</v>
      </c>
      <c r="N1944" s="0" t="n">
        <v>8</v>
      </c>
      <c r="O1944" s="54" t="n">
        <f aca="false">YEAR(B1944)</f>
        <v>2020</v>
      </c>
      <c r="P1944" s="54" t="n">
        <f aca="false">IF(AND(E1944&gt;=14400,K1944&gt;0,L1944&gt;0),1,0)</f>
        <v>1</v>
      </c>
      <c r="Q1944" s="53" t="n">
        <f aca="false">IF(P1944=1,F1944/E1944*MIN(L1944/K1944,1)*MIN(MAX(M1944/L1944,0),1),0)</f>
        <v>0.49927852177654</v>
      </c>
      <c r="R1944" s="55" t="n">
        <f aca="false">IF(F1944&gt;0,N1944/(F1944/3600),0)</f>
        <v>0.721663976714309</v>
      </c>
    </row>
    <row r="1945" customFormat="false" ht="15" hidden="false" customHeight="false" outlineLevel="0" collapsed="false">
      <c r="A1945" s="0" t="s">
        <v>262</v>
      </c>
      <c r="B1945" s="52" t="n">
        <v>43882</v>
      </c>
      <c r="C1945" s="0" t="n">
        <v>78491.046</v>
      </c>
      <c r="D1945" s="0" t="n">
        <v>6844.886</v>
      </c>
      <c r="E1945" s="0" t="n">
        <v>71646.16</v>
      </c>
      <c r="F1945" s="0" t="n">
        <v>56069.271</v>
      </c>
      <c r="G1945" s="0" t="n">
        <v>46505.501</v>
      </c>
      <c r="H1945" s="0" t="n">
        <v>9563.77</v>
      </c>
      <c r="I1945" s="0" t="n">
        <v>2292.519</v>
      </c>
      <c r="J1945" s="0" t="n">
        <v>13284.37</v>
      </c>
      <c r="K1945" s="0" t="n">
        <v>93550.4579791667</v>
      </c>
      <c r="L1945" s="0" t="n">
        <v>81957</v>
      </c>
      <c r="M1945" s="0" t="n">
        <v>81925</v>
      </c>
      <c r="N1945" s="0" t="n">
        <v>30</v>
      </c>
      <c r="O1945" s="54" t="n">
        <f aca="false">YEAR(B1945)</f>
        <v>2020</v>
      </c>
      <c r="P1945" s="54" t="n">
        <f aca="false">IF(AND(E1945&gt;=14400,K1945&gt;0,L1945&gt;0),1,0)</f>
        <v>1</v>
      </c>
      <c r="Q1945" s="53" t="n">
        <f aca="false">IF(P1945=1,F1945/E1945*MIN(L1945/K1945,1)*MIN(MAX(M1945/L1945,0),1),0)</f>
        <v>0.685334386598253</v>
      </c>
      <c r="R1945" s="55" t="n">
        <f aca="false">IF(F1945&gt;0,N1945/(F1945/3600),0)</f>
        <v>1.92618876746231</v>
      </c>
    </row>
    <row r="1946" customFormat="false" ht="15" hidden="false" customHeight="false" outlineLevel="0" collapsed="false">
      <c r="A1946" s="0" t="s">
        <v>262</v>
      </c>
      <c r="B1946" s="52" t="n">
        <v>43883</v>
      </c>
      <c r="C1946" s="0" t="n">
        <v>103294.231</v>
      </c>
      <c r="D1946" s="0" t="n">
        <v>8869.117</v>
      </c>
      <c r="E1946" s="0" t="n">
        <v>94425.114</v>
      </c>
      <c r="F1946" s="0" t="n">
        <v>48840.909</v>
      </c>
      <c r="G1946" s="0" t="n">
        <v>45607.317</v>
      </c>
      <c r="H1946" s="0" t="n">
        <v>3233.592</v>
      </c>
      <c r="I1946" s="0" t="n">
        <v>4771.753</v>
      </c>
      <c r="J1946" s="0" t="n">
        <v>40812.452</v>
      </c>
      <c r="K1946" s="0" t="n">
        <v>76038.7597888889</v>
      </c>
      <c r="L1946" s="0" t="n">
        <v>71101</v>
      </c>
      <c r="M1946" s="0" t="n">
        <v>71033</v>
      </c>
      <c r="N1946" s="0" t="n">
        <v>47</v>
      </c>
      <c r="O1946" s="54" t="n">
        <f aca="false">YEAR(B1946)</f>
        <v>2020</v>
      </c>
      <c r="P1946" s="54" t="n">
        <f aca="false">IF(AND(E1946&gt;=14400,K1946&gt;0,L1946&gt;0),1,0)</f>
        <v>1</v>
      </c>
      <c r="Q1946" s="53" t="n">
        <f aca="false">IF(P1946=1,F1946/E1946*MIN(L1946/K1946,1)*MIN(MAX(M1946/L1946,0),1),0)</f>
        <v>0.483193799427963</v>
      </c>
      <c r="R1946" s="55" t="n">
        <f aca="false">IF(F1946&gt;0,N1946/(F1946/3600),0)</f>
        <v>3.46430898736958</v>
      </c>
    </row>
    <row r="1947" customFormat="false" ht="15" hidden="false" customHeight="false" outlineLevel="0" collapsed="false">
      <c r="A1947" s="0" t="s">
        <v>262</v>
      </c>
      <c r="B1947" s="52" t="n">
        <v>43884</v>
      </c>
      <c r="C1947" s="0" t="n">
        <v>61544.541</v>
      </c>
      <c r="D1947" s="0" t="n">
        <v>6379.709</v>
      </c>
      <c r="E1947" s="0" t="n">
        <v>55164.832</v>
      </c>
      <c r="F1947" s="0" t="n">
        <v>19992.999</v>
      </c>
      <c r="G1947" s="0" t="n">
        <v>2859.918</v>
      </c>
      <c r="H1947" s="0" t="n">
        <v>17133.081</v>
      </c>
      <c r="I1947" s="0" t="n">
        <v>222.46</v>
      </c>
      <c r="J1947" s="0" t="n">
        <v>34949.373</v>
      </c>
      <c r="K1947" s="0" t="n">
        <v>31121.1981666667</v>
      </c>
      <c r="L1947" s="0" t="n">
        <v>4443</v>
      </c>
      <c r="M1947" s="0" t="n">
        <v>4133</v>
      </c>
      <c r="N1947" s="0" t="n">
        <v>6</v>
      </c>
      <c r="O1947" s="54" t="n">
        <f aca="false">YEAR(B1947)</f>
        <v>2020</v>
      </c>
      <c r="P1947" s="54" t="n">
        <f aca="false">IF(AND(E1947&gt;=14400,K1947&gt;0,L1947&gt;0),1,0)</f>
        <v>1</v>
      </c>
      <c r="Q1947" s="53" t="n">
        <f aca="false">IF(P1947=1,F1947/E1947*MIN(L1947/K1947,1)*MIN(MAX(M1947/L1947,0),1),0)</f>
        <v>0.0481309840087482</v>
      </c>
      <c r="R1947" s="55" t="n">
        <f aca="false">IF(F1947&gt;0,N1947/(F1947/3600),0)</f>
        <v>1.08037818638414</v>
      </c>
    </row>
    <row r="1948" customFormat="false" ht="15" hidden="false" customHeight="false" outlineLevel="0" collapsed="false">
      <c r="A1948" s="0" t="s">
        <v>262</v>
      </c>
      <c r="B1948" s="52" t="n">
        <v>43885</v>
      </c>
      <c r="C1948" s="0" t="n">
        <v>76884.009</v>
      </c>
      <c r="D1948" s="0" t="n">
        <v>4370.668</v>
      </c>
      <c r="E1948" s="0" t="n">
        <v>72513.341</v>
      </c>
      <c r="F1948" s="0" t="n">
        <v>54114.082</v>
      </c>
      <c r="G1948" s="0" t="n">
        <v>46913.762</v>
      </c>
      <c r="H1948" s="0" t="n">
        <v>7200.32</v>
      </c>
      <c r="I1948" s="0" t="n">
        <v>2875.636</v>
      </c>
      <c r="J1948" s="0" t="n">
        <v>15523.623</v>
      </c>
      <c r="K1948" s="0" t="n">
        <v>87228.7460822222</v>
      </c>
      <c r="L1948" s="0" t="n">
        <v>77840</v>
      </c>
      <c r="M1948" s="0" t="n">
        <v>77540</v>
      </c>
      <c r="N1948" s="0" t="n">
        <v>57</v>
      </c>
      <c r="O1948" s="54" t="n">
        <f aca="false">YEAR(B1948)</f>
        <v>2020</v>
      </c>
      <c r="P1948" s="54" t="n">
        <f aca="false">IF(AND(E1948&gt;=14400,K1948&gt;0,L1948&gt;0),1,0)</f>
        <v>1</v>
      </c>
      <c r="Q1948" s="53" t="n">
        <f aca="false">IF(P1948=1,F1948/E1948*MIN(L1948/K1948,1)*MIN(MAX(M1948/L1948,0),1),0)</f>
        <v>0.663374154585704</v>
      </c>
      <c r="R1948" s="55" t="n">
        <f aca="false">IF(F1948&gt;0,N1948/(F1948/3600),0)</f>
        <v>3.79198893182739</v>
      </c>
    </row>
    <row r="1949" customFormat="false" ht="15" hidden="false" customHeight="false" outlineLevel="0" collapsed="false">
      <c r="A1949" s="0" t="s">
        <v>262</v>
      </c>
      <c r="B1949" s="52" t="n">
        <v>43886</v>
      </c>
      <c r="C1949" s="0" t="n">
        <v>83299.241</v>
      </c>
      <c r="D1949" s="0" t="n">
        <v>10157.928</v>
      </c>
      <c r="E1949" s="0" t="n">
        <v>73141.313</v>
      </c>
      <c r="F1949" s="0" t="n">
        <v>53109.452</v>
      </c>
      <c r="G1949" s="0" t="n">
        <v>42257.04</v>
      </c>
      <c r="H1949" s="0" t="n">
        <v>10852.412</v>
      </c>
      <c r="I1949" s="0" t="n">
        <v>2348.061</v>
      </c>
      <c r="J1949" s="0" t="n">
        <v>17683.8</v>
      </c>
      <c r="K1949" s="0" t="n">
        <v>86940.8513122222</v>
      </c>
      <c r="L1949" s="0" t="n">
        <v>72826</v>
      </c>
      <c r="M1949" s="0" t="n">
        <v>72734</v>
      </c>
      <c r="N1949" s="0" t="n">
        <v>27</v>
      </c>
      <c r="O1949" s="54" t="n">
        <f aca="false">YEAR(B1949)</f>
        <v>2020</v>
      </c>
      <c r="P1949" s="54" t="n">
        <f aca="false">IF(AND(E1949&gt;=14400,K1949&gt;0,L1949&gt;0),1,0)</f>
        <v>1</v>
      </c>
      <c r="Q1949" s="53" t="n">
        <f aca="false">IF(P1949=1,F1949/E1949*MIN(L1949/K1949,1)*MIN(MAX(M1949/L1949,0),1),0)</f>
        <v>0.607466945995487</v>
      </c>
      <c r="R1949" s="55" t="n">
        <f aca="false">IF(F1949&gt;0,N1949/(F1949/3600),0)</f>
        <v>1.83018269516319</v>
      </c>
    </row>
    <row r="1950" customFormat="false" ht="15" hidden="false" customHeight="false" outlineLevel="0" collapsed="false">
      <c r="A1950" s="0" t="s">
        <v>262</v>
      </c>
      <c r="B1950" s="52" t="n">
        <v>43887</v>
      </c>
      <c r="C1950" s="0" t="n">
        <v>30255.492</v>
      </c>
      <c r="D1950" s="0" t="n">
        <v>7903.51</v>
      </c>
      <c r="E1950" s="0" t="n">
        <v>22351.982</v>
      </c>
      <c r="F1950" s="0" t="n">
        <v>5834.945</v>
      </c>
      <c r="G1950" s="0" t="n">
        <v>4657.376</v>
      </c>
      <c r="H1950" s="0" t="n">
        <v>1177.569</v>
      </c>
      <c r="I1950" s="0" t="n">
        <v>13.711</v>
      </c>
      <c r="J1950" s="0" t="n">
        <v>16503.326</v>
      </c>
      <c r="K1950" s="0" t="n">
        <v>9539.65085833333</v>
      </c>
      <c r="L1950" s="0" t="n">
        <v>7634</v>
      </c>
      <c r="M1950" s="0" t="n">
        <v>7570</v>
      </c>
      <c r="N1950" s="0" t="n">
        <v>2</v>
      </c>
      <c r="O1950" s="54" t="n">
        <f aca="false">YEAR(B1950)</f>
        <v>2020</v>
      </c>
      <c r="P1950" s="54" t="n">
        <f aca="false">IF(AND(E1950&gt;=14400,K1950&gt;0,L1950&gt;0),1,0)</f>
        <v>1</v>
      </c>
      <c r="Q1950" s="53" t="n">
        <f aca="false">IF(P1950=1,F1950/E1950*MIN(L1950/K1950,1)*MIN(MAX(M1950/L1950,0),1),0)</f>
        <v>0.207149613329021</v>
      </c>
      <c r="R1950" s="55" t="n">
        <f aca="false">IF(F1950&gt;0,N1950/(F1950/3600),0)</f>
        <v>1.2339447929672</v>
      </c>
    </row>
    <row r="1951" customFormat="false" ht="15" hidden="false" customHeight="false" outlineLevel="0" collapsed="false">
      <c r="A1951" s="0" t="s">
        <v>262</v>
      </c>
      <c r="B1951" s="52" t="n">
        <v>43888</v>
      </c>
      <c r="C1951" s="0" t="n">
        <v>88737.883</v>
      </c>
      <c r="D1951" s="0" t="n">
        <v>1604.149</v>
      </c>
      <c r="E1951" s="0" t="n">
        <v>87133.734</v>
      </c>
      <c r="F1951" s="0" t="n">
        <v>3367.053</v>
      </c>
      <c r="G1951" s="0" t="n">
        <v>37.871</v>
      </c>
      <c r="H1951" s="0" t="n">
        <v>3329.182</v>
      </c>
      <c r="I1951" s="0" t="n">
        <v>34.129</v>
      </c>
      <c r="J1951" s="0" t="n">
        <v>83732.552</v>
      </c>
      <c r="K1951" s="0" t="n">
        <v>4030.26451388889</v>
      </c>
      <c r="L1951" s="0" t="n">
        <v>37</v>
      </c>
      <c r="M1951" s="0" t="n">
        <v>0</v>
      </c>
      <c r="N1951" s="0" t="n">
        <v>1</v>
      </c>
      <c r="O1951" s="54" t="n">
        <f aca="false">YEAR(B1951)</f>
        <v>2020</v>
      </c>
      <c r="P1951" s="54" t="n">
        <f aca="false">IF(AND(E1951&gt;=14400,K1951&gt;0,L1951&gt;0),1,0)</f>
        <v>1</v>
      </c>
      <c r="Q1951" s="53" t="n">
        <f aca="false">IF(P1951=1,F1951/E1951*MIN(L1951/K1951,1)*MIN(MAX(M1951/L1951,0),1),0)</f>
        <v>0</v>
      </c>
      <c r="R1951" s="55" t="n">
        <f aca="false">IF(F1951&gt;0,N1951/(F1951/3600),0)</f>
        <v>1.06918423915513</v>
      </c>
    </row>
    <row r="1952" customFormat="false" ht="15" hidden="false" customHeight="false" outlineLevel="0" collapsed="false">
      <c r="A1952" s="0" t="s">
        <v>262</v>
      </c>
      <c r="B1952" s="52" t="n">
        <v>43889</v>
      </c>
      <c r="C1952" s="0" t="n">
        <v>53684.199</v>
      </c>
      <c r="D1952" s="0" t="n">
        <v>17341.263</v>
      </c>
      <c r="E1952" s="0" t="n">
        <v>36342.936</v>
      </c>
      <c r="F1952" s="0" t="n">
        <v>332.688</v>
      </c>
      <c r="G1952" s="0" t="n">
        <v>11.059</v>
      </c>
      <c r="H1952" s="0" t="n">
        <v>321.629</v>
      </c>
      <c r="I1952" s="0" t="n">
        <v>0</v>
      </c>
      <c r="J1952" s="0" t="n">
        <v>36010.248</v>
      </c>
      <c r="K1952" s="0" t="n">
        <v>0</v>
      </c>
      <c r="L1952" s="0" t="n">
        <v>3</v>
      </c>
      <c r="M1952" s="0" t="n">
        <v>0</v>
      </c>
      <c r="N1952" s="0" t="n">
        <v>0</v>
      </c>
      <c r="O1952" s="54" t="n">
        <f aca="false">YEAR(B1952)</f>
        <v>2020</v>
      </c>
      <c r="P1952" s="54" t="n">
        <f aca="false">IF(AND(E1952&gt;=14400,K1952&gt;0,L1952&gt;0),1,0)</f>
        <v>0</v>
      </c>
      <c r="Q1952" s="53" t="n">
        <f aca="false">IF(P1952=1,F1952/E1952*MIN(L1952/K1952,1)*MIN(MAX(M1952/L1952,0),1),0)</f>
        <v>0</v>
      </c>
      <c r="R1952" s="55" t="n">
        <f aca="false">IF(F1952&gt;0,N1952/(F1952/3600),0)</f>
        <v>0</v>
      </c>
    </row>
    <row r="1953" customFormat="false" ht="15" hidden="false" customHeight="false" outlineLevel="0" collapsed="false">
      <c r="A1953" s="0" t="s">
        <v>262</v>
      </c>
      <c r="B1953" s="52" t="n">
        <v>43890</v>
      </c>
      <c r="C1953" s="0" t="n">
        <v>80000.273</v>
      </c>
      <c r="D1953" s="0" t="n">
        <v>13615.413</v>
      </c>
      <c r="E1953" s="0" t="n">
        <v>66384.86</v>
      </c>
      <c r="F1953" s="0" t="n">
        <v>38041.89</v>
      </c>
      <c r="G1953" s="0" t="n">
        <v>31536.077</v>
      </c>
      <c r="H1953" s="0" t="n">
        <v>6505.813</v>
      </c>
      <c r="I1953" s="0" t="n">
        <v>2136.416</v>
      </c>
      <c r="J1953" s="0" t="n">
        <v>26206.554</v>
      </c>
      <c r="K1953" s="0" t="n">
        <v>65652.3941941667</v>
      </c>
      <c r="L1953" s="0" t="n">
        <v>55721</v>
      </c>
      <c r="M1953" s="0" t="n">
        <v>55662</v>
      </c>
      <c r="N1953" s="0" t="n">
        <v>49</v>
      </c>
      <c r="O1953" s="54" t="n">
        <f aca="false">YEAR(B1953)</f>
        <v>2020</v>
      </c>
      <c r="P1953" s="54" t="n">
        <f aca="false">IF(AND(E1953&gt;=14400,K1953&gt;0,L1953&gt;0),1,0)</f>
        <v>1</v>
      </c>
      <c r="Q1953" s="53" t="n">
        <f aca="false">IF(P1953=1,F1953/E1953*MIN(L1953/K1953,1)*MIN(MAX(M1953/L1953,0),1),0)</f>
        <v>0.48584896319543</v>
      </c>
      <c r="R1953" s="55" t="n">
        <f aca="false">IF(F1953&gt;0,N1953/(F1953/3600),0)</f>
        <v>4.63699358785802</v>
      </c>
    </row>
    <row r="1954" customFormat="false" ht="15" hidden="false" customHeight="false" outlineLevel="0" collapsed="false">
      <c r="A1954" s="0" t="s">
        <v>262</v>
      </c>
      <c r="B1954" s="52" t="n">
        <v>43891</v>
      </c>
      <c r="C1954" s="0" t="n">
        <v>76945.703</v>
      </c>
      <c r="D1954" s="0" t="n">
        <v>6729.2</v>
      </c>
      <c r="E1954" s="0" t="n">
        <v>70216.503</v>
      </c>
      <c r="F1954" s="0" t="n">
        <v>52941.604</v>
      </c>
      <c r="G1954" s="0" t="n">
        <v>45850.455</v>
      </c>
      <c r="H1954" s="0" t="n">
        <v>7091.149</v>
      </c>
      <c r="I1954" s="0" t="n">
        <v>1668.786</v>
      </c>
      <c r="J1954" s="0" t="n">
        <v>15606.113</v>
      </c>
      <c r="K1954" s="0" t="n">
        <v>91507.8476666667</v>
      </c>
      <c r="L1954" s="0" t="n">
        <v>81126</v>
      </c>
      <c r="M1954" s="0" t="n">
        <v>80992</v>
      </c>
      <c r="N1954" s="0" t="n">
        <v>37</v>
      </c>
      <c r="O1954" s="54" t="n">
        <f aca="false">YEAR(B1954)</f>
        <v>2020</v>
      </c>
      <c r="P1954" s="54" t="n">
        <f aca="false">IF(AND(E1954&gt;=14400,K1954&gt;0,L1954&gt;0),1,0)</f>
        <v>1</v>
      </c>
      <c r="Q1954" s="53" t="n">
        <f aca="false">IF(P1954=1,F1954/E1954*MIN(L1954/K1954,1)*MIN(MAX(M1954/L1954,0),1),0)</f>
        <v>0.667331586659168</v>
      </c>
      <c r="R1954" s="55" t="n">
        <f aca="false">IF(F1954&gt;0,N1954/(F1954/3600),0)</f>
        <v>2.5159796820663</v>
      </c>
    </row>
    <row r="1955" customFormat="false" ht="15" hidden="false" customHeight="false" outlineLevel="0" collapsed="false">
      <c r="A1955" s="0" t="s">
        <v>262</v>
      </c>
      <c r="B1955" s="52" t="n">
        <v>43892</v>
      </c>
      <c r="C1955" s="0" t="n">
        <v>85832.337</v>
      </c>
      <c r="D1955" s="0" t="n">
        <v>17485.264</v>
      </c>
      <c r="E1955" s="0" t="n">
        <v>68347.073</v>
      </c>
      <c r="F1955" s="0" t="n">
        <v>56270.509</v>
      </c>
      <c r="G1955" s="0" t="n">
        <v>50451.724</v>
      </c>
      <c r="H1955" s="0" t="n">
        <v>5818.785</v>
      </c>
      <c r="I1955" s="0" t="n">
        <v>3314.621</v>
      </c>
      <c r="J1955" s="0" t="n">
        <v>8761.943</v>
      </c>
      <c r="K1955" s="0" t="n">
        <v>95883.6264883333</v>
      </c>
      <c r="L1955" s="0" t="n">
        <v>84439</v>
      </c>
      <c r="M1955" s="0" t="n">
        <v>84369</v>
      </c>
      <c r="N1955" s="0" t="n">
        <v>41</v>
      </c>
      <c r="O1955" s="54" t="n">
        <f aca="false">YEAR(B1955)</f>
        <v>2020</v>
      </c>
      <c r="P1955" s="54" t="n">
        <f aca="false">IF(AND(E1955&gt;=14400,K1955&gt;0,L1955&gt;0),1,0)</f>
        <v>1</v>
      </c>
      <c r="Q1955" s="53" t="n">
        <f aca="false">IF(P1955=1,F1955/E1955*MIN(L1955/K1955,1)*MIN(MAX(M1955/L1955,0),1),0)</f>
        <v>0.724434914749178</v>
      </c>
      <c r="R1955" s="55" t="n">
        <f aca="false">IF(F1955&gt;0,N1955/(F1955/3600),0)</f>
        <v>2.62304362663576</v>
      </c>
    </row>
    <row r="1956" customFormat="false" ht="15" hidden="false" customHeight="false" outlineLevel="0" collapsed="false">
      <c r="A1956" s="0" t="s">
        <v>262</v>
      </c>
      <c r="B1956" s="52" t="n">
        <v>43893</v>
      </c>
      <c r="C1956" s="0" t="n">
        <v>18503.635</v>
      </c>
      <c r="D1956" s="0" t="n">
        <v>0</v>
      </c>
      <c r="E1956" s="0" t="n">
        <v>18503.635</v>
      </c>
      <c r="F1956" s="0" t="n">
        <v>16782.247</v>
      </c>
      <c r="G1956" s="0" t="n">
        <v>15812.7</v>
      </c>
      <c r="H1956" s="0" t="n">
        <v>969.547</v>
      </c>
      <c r="I1956" s="0" t="n">
        <v>1573.397</v>
      </c>
      <c r="J1956" s="0" t="n">
        <v>147.991</v>
      </c>
      <c r="K1956" s="0" t="n">
        <v>29944.7988916667</v>
      </c>
      <c r="L1956" s="0" t="n">
        <v>26552</v>
      </c>
      <c r="M1956" s="0" t="n">
        <v>26546</v>
      </c>
      <c r="N1956" s="0" t="n">
        <v>18</v>
      </c>
      <c r="O1956" s="54" t="n">
        <f aca="false">YEAR(B1956)</f>
        <v>2020</v>
      </c>
      <c r="P1956" s="54" t="n">
        <f aca="false">IF(AND(E1956&gt;=14400,K1956&gt;0,L1956&gt;0),1,0)</f>
        <v>1</v>
      </c>
      <c r="Q1956" s="53" t="n">
        <f aca="false">IF(P1956=1,F1956/E1956*MIN(L1956/K1956,1)*MIN(MAX(M1956/L1956,0),1),0)</f>
        <v>0.804027207383837</v>
      </c>
      <c r="R1956" s="55" t="n">
        <f aca="false">IF(F1956&gt;0,N1956/(F1956/3600),0)</f>
        <v>3.86122311273335</v>
      </c>
    </row>
    <row r="1957" customFormat="false" ht="15" hidden="false" customHeight="false" outlineLevel="0" collapsed="false">
      <c r="A1957" s="0" t="s">
        <v>262</v>
      </c>
      <c r="B1957" s="52" t="n">
        <v>43896</v>
      </c>
      <c r="C1957" s="0" t="n">
        <v>79281.156</v>
      </c>
      <c r="D1957" s="0" t="n">
        <v>17241.957</v>
      </c>
      <c r="E1957" s="0" t="n">
        <v>62039.199</v>
      </c>
      <c r="F1957" s="0" t="n">
        <v>42512.179</v>
      </c>
      <c r="G1957" s="0" t="n">
        <v>36091.277</v>
      </c>
      <c r="H1957" s="0" t="n">
        <v>6420.902</v>
      </c>
      <c r="I1957" s="0" t="n">
        <v>1890.968</v>
      </c>
      <c r="J1957" s="0" t="n">
        <v>17636.052</v>
      </c>
      <c r="K1957" s="0" t="n">
        <v>65165.5960191667</v>
      </c>
      <c r="L1957" s="0" t="n">
        <v>62918</v>
      </c>
      <c r="M1957" s="0" t="n">
        <v>62833</v>
      </c>
      <c r="N1957" s="0" t="n">
        <v>22</v>
      </c>
      <c r="O1957" s="54" t="n">
        <f aca="false">YEAR(B1957)</f>
        <v>2020</v>
      </c>
      <c r="P1957" s="54" t="n">
        <f aca="false">IF(AND(E1957&gt;=14400,K1957&gt;0,L1957&gt;0),1,0)</f>
        <v>1</v>
      </c>
      <c r="Q1957" s="53" t="n">
        <f aca="false">IF(P1957=1,F1957/E1957*MIN(L1957/K1957,1)*MIN(MAX(M1957/L1957,0),1),0)</f>
        <v>0.660718714095706</v>
      </c>
      <c r="R1957" s="55" t="n">
        <f aca="false">IF(F1957&gt;0,N1957/(F1957/3600),0)</f>
        <v>1.86299554299487</v>
      </c>
    </row>
    <row r="1958" customFormat="false" ht="15" hidden="false" customHeight="false" outlineLevel="0" collapsed="false">
      <c r="A1958" s="0" t="s">
        <v>262</v>
      </c>
      <c r="B1958" s="52" t="n">
        <v>43897</v>
      </c>
      <c r="C1958" s="0" t="n">
        <v>86365.688</v>
      </c>
      <c r="D1958" s="0" t="n">
        <v>7971.424</v>
      </c>
      <c r="E1958" s="0" t="n">
        <v>78394.264</v>
      </c>
      <c r="F1958" s="0" t="n">
        <v>66773.337</v>
      </c>
      <c r="G1958" s="0" t="n">
        <v>59772.85</v>
      </c>
      <c r="H1958" s="0" t="n">
        <v>7000.487</v>
      </c>
      <c r="I1958" s="0" t="n">
        <v>3292.915</v>
      </c>
      <c r="J1958" s="0" t="n">
        <v>8328.012</v>
      </c>
      <c r="K1958" s="0" t="n">
        <v>117140.347837778</v>
      </c>
      <c r="L1958" s="0" t="n">
        <v>104364</v>
      </c>
      <c r="M1958" s="0" t="n">
        <v>104168</v>
      </c>
      <c r="N1958" s="0" t="n">
        <v>43</v>
      </c>
      <c r="O1958" s="54" t="n">
        <f aca="false">YEAR(B1958)</f>
        <v>2020</v>
      </c>
      <c r="P1958" s="54" t="n">
        <f aca="false">IF(AND(E1958&gt;=14400,K1958&gt;0,L1958&gt;0),1,0)</f>
        <v>1</v>
      </c>
      <c r="Q1958" s="53" t="n">
        <f aca="false">IF(P1958=1,F1958/E1958*MIN(L1958/K1958,1)*MIN(MAX(M1958/L1958,0),1),0)</f>
        <v>0.757437163958831</v>
      </c>
      <c r="R1958" s="55" t="n">
        <f aca="false">IF(F1958&gt;0,N1958/(F1958/3600),0)</f>
        <v>2.31829060752198</v>
      </c>
    </row>
    <row r="1959" customFormat="false" ht="15" hidden="false" customHeight="false" outlineLevel="0" collapsed="false">
      <c r="A1959" s="0" t="s">
        <v>262</v>
      </c>
      <c r="B1959" s="52" t="n">
        <v>43898</v>
      </c>
      <c r="C1959" s="0" t="n">
        <v>78975.201</v>
      </c>
      <c r="D1959" s="0" t="n">
        <v>20143.91</v>
      </c>
      <c r="E1959" s="0" t="n">
        <v>58831.291</v>
      </c>
      <c r="F1959" s="0" t="n">
        <v>27977.995</v>
      </c>
      <c r="G1959" s="0" t="n">
        <v>22662.602</v>
      </c>
      <c r="H1959" s="0" t="n">
        <v>5315.393</v>
      </c>
      <c r="I1959" s="0" t="n">
        <v>905.74</v>
      </c>
      <c r="J1959" s="0" t="n">
        <v>29947.556</v>
      </c>
      <c r="K1959" s="0" t="n">
        <v>47897.4370511111</v>
      </c>
      <c r="L1959" s="0" t="n">
        <v>39802</v>
      </c>
      <c r="M1959" s="0" t="n">
        <v>39755</v>
      </c>
      <c r="N1959" s="0" t="n">
        <v>13</v>
      </c>
      <c r="O1959" s="54" t="n">
        <f aca="false">YEAR(B1959)</f>
        <v>2020</v>
      </c>
      <c r="P1959" s="54" t="n">
        <f aca="false">IF(AND(E1959&gt;=14400,K1959&gt;0,L1959&gt;0),1,0)</f>
        <v>1</v>
      </c>
      <c r="Q1959" s="53" t="n">
        <f aca="false">IF(P1959=1,F1959/E1959*MIN(L1959/K1959,1)*MIN(MAX(M1959/L1959,0),1),0)</f>
        <v>0.394718691082912</v>
      </c>
      <c r="R1959" s="55" t="n">
        <f aca="false">IF(F1959&gt;0,N1959/(F1959/3600),0)</f>
        <v>1.6727431683364</v>
      </c>
    </row>
    <row r="1960" customFormat="false" ht="15" hidden="false" customHeight="false" outlineLevel="0" collapsed="false">
      <c r="A1960" s="0" t="s">
        <v>262</v>
      </c>
      <c r="B1960" s="52" t="n">
        <v>43899</v>
      </c>
      <c r="C1960" s="0" t="n">
        <v>90124.989</v>
      </c>
      <c r="D1960" s="0" t="n">
        <v>23933.676</v>
      </c>
      <c r="E1960" s="0" t="n">
        <v>66191.313</v>
      </c>
      <c r="F1960" s="0" t="n">
        <v>46149.006</v>
      </c>
      <c r="G1960" s="0" t="n">
        <v>37232.362</v>
      </c>
      <c r="H1960" s="0" t="n">
        <v>8916.644</v>
      </c>
      <c r="I1960" s="0" t="n">
        <v>3997.862</v>
      </c>
      <c r="J1960" s="0" t="n">
        <v>16044.445</v>
      </c>
      <c r="K1960" s="0" t="n">
        <v>75797.1595963889</v>
      </c>
      <c r="L1960" s="0" t="n">
        <v>64363</v>
      </c>
      <c r="M1960" s="0" t="n">
        <v>64325</v>
      </c>
      <c r="N1960" s="0" t="n">
        <v>35</v>
      </c>
      <c r="O1960" s="54" t="n">
        <f aca="false">YEAR(B1960)</f>
        <v>2020</v>
      </c>
      <c r="P1960" s="54" t="n">
        <f aca="false">IF(AND(E1960&gt;=14400,K1960&gt;0,L1960&gt;0),1,0)</f>
        <v>1</v>
      </c>
      <c r="Q1960" s="53" t="n">
        <f aca="false">IF(P1960=1,F1960/E1960*MIN(L1960/K1960,1)*MIN(MAX(M1960/L1960,0),1),0)</f>
        <v>0.591681811038242</v>
      </c>
      <c r="R1960" s="55" t="n">
        <f aca="false">IF(F1960&gt;0,N1960/(F1960/3600),0)</f>
        <v>2.73028632512692</v>
      </c>
    </row>
    <row r="1961" customFormat="false" ht="15" hidden="false" customHeight="false" outlineLevel="0" collapsed="false">
      <c r="A1961" s="0" t="s">
        <v>262</v>
      </c>
      <c r="B1961" s="52" t="n">
        <v>43900</v>
      </c>
      <c r="C1961" s="0" t="n">
        <v>80266.788</v>
      </c>
      <c r="D1961" s="0" t="n">
        <v>6130.278</v>
      </c>
      <c r="E1961" s="0" t="n">
        <v>74136.51</v>
      </c>
      <c r="F1961" s="0" t="n">
        <v>57706.777</v>
      </c>
      <c r="G1961" s="0" t="n">
        <v>42836.708</v>
      </c>
      <c r="H1961" s="0" t="n">
        <v>14870.069</v>
      </c>
      <c r="I1961" s="0" t="n">
        <v>2481.858</v>
      </c>
      <c r="J1961" s="0" t="n">
        <v>13947.875</v>
      </c>
      <c r="K1961" s="0" t="n">
        <v>96546.9567208333</v>
      </c>
      <c r="L1961" s="0" t="n">
        <v>75274</v>
      </c>
      <c r="M1961" s="0" t="n">
        <v>75055</v>
      </c>
      <c r="N1961" s="0" t="n">
        <v>32</v>
      </c>
      <c r="O1961" s="54" t="n">
        <f aca="false">YEAR(B1961)</f>
        <v>2020</v>
      </c>
      <c r="P1961" s="54" t="n">
        <f aca="false">IF(AND(E1961&gt;=14400,K1961&gt;0,L1961&gt;0),1,0)</f>
        <v>1</v>
      </c>
      <c r="Q1961" s="53" t="n">
        <f aca="false">IF(P1961=1,F1961/E1961*MIN(L1961/K1961,1)*MIN(MAX(M1961/L1961,0),1),0)</f>
        <v>0.605111939209903</v>
      </c>
      <c r="R1961" s="55" t="n">
        <f aca="false">IF(F1961&gt;0,N1961/(F1961/3600),0)</f>
        <v>1.99629932546744</v>
      </c>
    </row>
    <row r="1962" customFormat="false" ht="15" hidden="false" customHeight="false" outlineLevel="0" collapsed="false">
      <c r="A1962" s="0" t="s">
        <v>262</v>
      </c>
      <c r="B1962" s="52" t="n">
        <v>43901</v>
      </c>
      <c r="C1962" s="0" t="n">
        <v>86396.446</v>
      </c>
      <c r="D1962" s="0" t="n">
        <v>14523.523</v>
      </c>
      <c r="E1962" s="0" t="n">
        <v>71872.923</v>
      </c>
      <c r="F1962" s="0" t="n">
        <v>50741.996</v>
      </c>
      <c r="G1962" s="0" t="n">
        <v>34061.26</v>
      </c>
      <c r="H1962" s="0" t="n">
        <v>16680.736</v>
      </c>
      <c r="I1962" s="0" t="n">
        <v>1394.234</v>
      </c>
      <c r="J1962" s="0" t="n">
        <v>19736.693</v>
      </c>
      <c r="K1962" s="0" t="n">
        <v>79823.3087930556</v>
      </c>
      <c r="L1962" s="0" t="n">
        <v>57318</v>
      </c>
      <c r="M1962" s="0" t="n">
        <v>56868</v>
      </c>
      <c r="N1962" s="0" t="n">
        <v>27</v>
      </c>
      <c r="O1962" s="54" t="n">
        <f aca="false">YEAR(B1962)</f>
        <v>2020</v>
      </c>
      <c r="P1962" s="54" t="n">
        <f aca="false">IF(AND(E1962&gt;=14400,K1962&gt;0,L1962&gt;0),1,0)</f>
        <v>1</v>
      </c>
      <c r="Q1962" s="53" t="n">
        <f aca="false">IF(P1962=1,F1962/E1962*MIN(L1962/K1962,1)*MIN(MAX(M1962/L1962,0),1),0)</f>
        <v>0.502968130728873</v>
      </c>
      <c r="R1962" s="55" t="n">
        <f aca="false">IF(F1962&gt;0,N1962/(F1962/3600),0)</f>
        <v>1.91557304919578</v>
      </c>
    </row>
    <row r="1963" customFormat="false" ht="15" hidden="false" customHeight="false" outlineLevel="0" collapsed="false">
      <c r="A1963" s="0" t="s">
        <v>262</v>
      </c>
      <c r="B1963" s="52" t="n">
        <v>43902</v>
      </c>
      <c r="C1963" s="0" t="n">
        <v>77468.199</v>
      </c>
      <c r="D1963" s="0" t="n">
        <v>7602.512</v>
      </c>
      <c r="E1963" s="0" t="n">
        <v>69865.687</v>
      </c>
      <c r="F1963" s="0" t="n">
        <v>47643.458</v>
      </c>
      <c r="G1963" s="0" t="n">
        <v>30781.299</v>
      </c>
      <c r="H1963" s="0" t="n">
        <v>16862.159</v>
      </c>
      <c r="I1963" s="0" t="n">
        <v>1719.113</v>
      </c>
      <c r="J1963" s="0" t="n">
        <v>20503.116</v>
      </c>
      <c r="K1963" s="0" t="n">
        <v>80104.2360030556</v>
      </c>
      <c r="L1963" s="0" t="n">
        <v>53684</v>
      </c>
      <c r="M1963" s="0" t="n">
        <v>53281</v>
      </c>
      <c r="N1963" s="0" t="n">
        <v>32</v>
      </c>
      <c r="O1963" s="54" t="n">
        <f aca="false">YEAR(B1963)</f>
        <v>2020</v>
      </c>
      <c r="P1963" s="54" t="n">
        <f aca="false">IF(AND(E1963&gt;=14400,K1963&gt;0,L1963&gt;0),1,0)</f>
        <v>1</v>
      </c>
      <c r="Q1963" s="53" t="n">
        <f aca="false">IF(P1963=1,F1963/E1963*MIN(L1963/K1963,1)*MIN(MAX(M1963/L1963,0),1),0)</f>
        <v>0.453582432849982</v>
      </c>
      <c r="R1963" s="55" t="n">
        <f aca="false">IF(F1963&gt;0,N1963/(F1963/3600),0)</f>
        <v>2.41796050991933</v>
      </c>
    </row>
    <row r="1964" customFormat="false" ht="15" hidden="false" customHeight="false" outlineLevel="0" collapsed="false">
      <c r="A1964" s="0" t="s">
        <v>262</v>
      </c>
      <c r="B1964" s="52" t="n">
        <v>43903</v>
      </c>
      <c r="C1964" s="0" t="n">
        <v>85404.903</v>
      </c>
      <c r="D1964" s="0" t="n">
        <v>12989.823</v>
      </c>
      <c r="E1964" s="0" t="n">
        <v>72415.08</v>
      </c>
      <c r="F1964" s="0" t="n">
        <v>50260.999</v>
      </c>
      <c r="G1964" s="0" t="n">
        <v>30215.471</v>
      </c>
      <c r="H1964" s="0" t="n">
        <v>20045.528</v>
      </c>
      <c r="I1964" s="0" t="n">
        <v>3593.294</v>
      </c>
      <c r="J1964" s="0" t="n">
        <v>18560.787</v>
      </c>
      <c r="K1964" s="0" t="n">
        <v>84125.4369644445</v>
      </c>
      <c r="L1964" s="0" t="n">
        <v>52131</v>
      </c>
      <c r="M1964" s="0" t="n">
        <v>51465</v>
      </c>
      <c r="N1964" s="0" t="n">
        <v>43</v>
      </c>
      <c r="O1964" s="54" t="n">
        <f aca="false">YEAR(B1964)</f>
        <v>2020</v>
      </c>
      <c r="P1964" s="54" t="n">
        <f aca="false">IF(AND(E1964&gt;=14400,K1964&gt;0,L1964&gt;0),1,0)</f>
        <v>1</v>
      </c>
      <c r="Q1964" s="53" t="n">
        <f aca="false">IF(P1964=1,F1964/E1964*MIN(L1964/K1964,1)*MIN(MAX(M1964/L1964,0),1),0)</f>
        <v>0.424606605161078</v>
      </c>
      <c r="R1964" s="55" t="n">
        <f aca="false">IF(F1964&gt;0,N1964/(F1964/3600),0)</f>
        <v>3.07992286424709</v>
      </c>
    </row>
    <row r="1965" customFormat="false" ht="15" hidden="false" customHeight="false" outlineLevel="0" collapsed="false">
      <c r="A1965" s="0" t="s">
        <v>262</v>
      </c>
      <c r="B1965" s="52" t="n">
        <v>43904</v>
      </c>
      <c r="C1965" s="0" t="n">
        <v>85487.578</v>
      </c>
      <c r="D1965" s="0" t="n">
        <v>15567.503</v>
      </c>
      <c r="E1965" s="0" t="n">
        <v>69920.075</v>
      </c>
      <c r="F1965" s="0" t="n">
        <v>46945.668</v>
      </c>
      <c r="G1965" s="0" t="n">
        <v>39544.323</v>
      </c>
      <c r="H1965" s="0" t="n">
        <v>7401.345</v>
      </c>
      <c r="I1965" s="0" t="n">
        <v>3882.127</v>
      </c>
      <c r="J1965" s="0" t="n">
        <v>19092.28</v>
      </c>
      <c r="K1965" s="0" t="n">
        <v>77643.2267766667</v>
      </c>
      <c r="L1965" s="0" t="n">
        <v>66680</v>
      </c>
      <c r="M1965" s="0" t="n">
        <v>66521</v>
      </c>
      <c r="N1965" s="0" t="n">
        <v>40</v>
      </c>
      <c r="O1965" s="54" t="n">
        <f aca="false">YEAR(B1965)</f>
        <v>2020</v>
      </c>
      <c r="P1965" s="54" t="n">
        <f aca="false">IF(AND(E1965&gt;=14400,K1965&gt;0,L1965&gt;0),1,0)</f>
        <v>1</v>
      </c>
      <c r="Q1965" s="53" t="n">
        <f aca="false">IF(P1965=1,F1965/E1965*MIN(L1965/K1965,1)*MIN(MAX(M1965/L1965,0),1),0)</f>
        <v>0.575239673313417</v>
      </c>
      <c r="R1965" s="55" t="n">
        <f aca="false">IF(F1965&gt;0,N1965/(F1965/3600),0)</f>
        <v>3.06737567351262</v>
      </c>
    </row>
    <row r="1966" customFormat="false" ht="15" hidden="false" customHeight="false" outlineLevel="0" collapsed="false">
      <c r="A1966" s="0" t="s">
        <v>262</v>
      </c>
      <c r="B1966" s="52" t="n">
        <v>43905</v>
      </c>
      <c r="C1966" s="0" t="n">
        <v>84138.695</v>
      </c>
      <c r="D1966" s="0" t="n">
        <v>6503.522</v>
      </c>
      <c r="E1966" s="0" t="n">
        <v>77635.173</v>
      </c>
      <c r="F1966" s="0" t="n">
        <v>25399.432</v>
      </c>
      <c r="G1966" s="0" t="n">
        <v>22694.378</v>
      </c>
      <c r="H1966" s="0" t="n">
        <v>2705.054</v>
      </c>
      <c r="I1966" s="0" t="n">
        <v>344.428</v>
      </c>
      <c r="J1966" s="0" t="n">
        <v>51891.313</v>
      </c>
      <c r="K1966" s="0" t="n">
        <v>42613.1810388889</v>
      </c>
      <c r="L1966" s="0" t="n">
        <v>38237</v>
      </c>
      <c r="M1966" s="0" t="n">
        <v>38163</v>
      </c>
      <c r="N1966" s="0" t="n">
        <v>17</v>
      </c>
      <c r="O1966" s="54" t="n">
        <f aca="false">YEAR(B1966)</f>
        <v>2020</v>
      </c>
      <c r="P1966" s="54" t="n">
        <f aca="false">IF(AND(E1966&gt;=14400,K1966&gt;0,L1966&gt;0),1,0)</f>
        <v>1</v>
      </c>
      <c r="Q1966" s="53" t="n">
        <f aca="false">IF(P1966=1,F1966/E1966*MIN(L1966/K1966,1)*MIN(MAX(M1966/L1966,0),1),0)</f>
        <v>0.292997578978797</v>
      </c>
      <c r="R1966" s="55" t="n">
        <f aca="false">IF(F1966&gt;0,N1966/(F1966/3600),0)</f>
        <v>2.40950270069031</v>
      </c>
    </row>
    <row r="1967" customFormat="false" ht="15" hidden="false" customHeight="false" outlineLevel="0" collapsed="false">
      <c r="A1967" s="0" t="s">
        <v>262</v>
      </c>
      <c r="B1967" s="52" t="n">
        <v>43906</v>
      </c>
      <c r="C1967" s="0" t="n">
        <v>85404.635</v>
      </c>
      <c r="D1967" s="0" t="n">
        <v>19394.453</v>
      </c>
      <c r="E1967" s="0" t="n">
        <v>66010.182</v>
      </c>
      <c r="F1967" s="0" t="n">
        <v>44015.795</v>
      </c>
      <c r="G1967" s="0" t="n">
        <v>35404.495</v>
      </c>
      <c r="H1967" s="0" t="n">
        <v>8611.3</v>
      </c>
      <c r="I1967" s="0" t="n">
        <v>4984.97</v>
      </c>
      <c r="J1967" s="0" t="n">
        <v>17009.417</v>
      </c>
      <c r="K1967" s="0" t="n">
        <v>72095.0311252778</v>
      </c>
      <c r="L1967" s="0" t="n">
        <v>60890</v>
      </c>
      <c r="M1967" s="0" t="n">
        <v>60491</v>
      </c>
      <c r="N1967" s="0" t="n">
        <v>54</v>
      </c>
      <c r="O1967" s="54" t="n">
        <f aca="false">YEAR(B1967)</f>
        <v>2020</v>
      </c>
      <c r="P1967" s="54" t="n">
        <f aca="false">IF(AND(E1967&gt;=14400,K1967&gt;0,L1967&gt;0),1,0)</f>
        <v>1</v>
      </c>
      <c r="Q1967" s="53" t="n">
        <f aca="false">IF(P1967=1,F1967/E1967*MIN(L1967/K1967,1)*MIN(MAX(M1967/L1967,0),1),0)</f>
        <v>0.559478047499953</v>
      </c>
      <c r="R1967" s="55" t="n">
        <f aca="false">IF(F1967&gt;0,N1967/(F1967/3600),0)</f>
        <v>4.4165963604656</v>
      </c>
    </row>
    <row r="1968" customFormat="false" ht="15" hidden="false" customHeight="false" outlineLevel="0" collapsed="false">
      <c r="A1968" s="0" t="s">
        <v>262</v>
      </c>
      <c r="B1968" s="52" t="n">
        <v>43907</v>
      </c>
      <c r="C1968" s="0" t="n">
        <v>85079.149</v>
      </c>
      <c r="D1968" s="0" t="n">
        <v>5491.056</v>
      </c>
      <c r="E1968" s="0" t="n">
        <v>79588.093</v>
      </c>
      <c r="F1968" s="0" t="n">
        <v>61266.807</v>
      </c>
      <c r="G1968" s="0" t="n">
        <v>49449.143</v>
      </c>
      <c r="H1968" s="0" t="n">
        <v>11817.664</v>
      </c>
      <c r="I1968" s="0" t="n">
        <v>2456.513</v>
      </c>
      <c r="J1968" s="0" t="n">
        <v>15864.773</v>
      </c>
      <c r="K1968" s="0" t="n">
        <v>96567.0812269444</v>
      </c>
      <c r="L1968" s="0" t="n">
        <v>82602</v>
      </c>
      <c r="M1968" s="0" t="n">
        <v>82252</v>
      </c>
      <c r="N1968" s="0" t="n">
        <v>51</v>
      </c>
      <c r="O1968" s="54" t="n">
        <f aca="false">YEAR(B1968)</f>
        <v>2020</v>
      </c>
      <c r="P1968" s="54" t="n">
        <f aca="false">IF(AND(E1968&gt;=14400,K1968&gt;0,L1968&gt;0),1,0)</f>
        <v>1</v>
      </c>
      <c r="Q1968" s="53" t="n">
        <f aca="false">IF(P1968=1,F1968/E1968*MIN(L1968/K1968,1)*MIN(MAX(M1968/L1968,0),1),0)</f>
        <v>0.655683885470954</v>
      </c>
      <c r="R1968" s="55" t="n">
        <f aca="false">IF(F1968&gt;0,N1968/(F1968/3600),0)</f>
        <v>2.99672871804793</v>
      </c>
    </row>
    <row r="1969" customFormat="false" ht="15" hidden="false" customHeight="false" outlineLevel="0" collapsed="false">
      <c r="A1969" s="0" t="s">
        <v>262</v>
      </c>
      <c r="B1969" s="52" t="n">
        <v>43908</v>
      </c>
      <c r="C1969" s="0" t="n">
        <v>87453.451</v>
      </c>
      <c r="D1969" s="0" t="n">
        <v>14424.733</v>
      </c>
      <c r="E1969" s="0" t="n">
        <v>73028.718</v>
      </c>
      <c r="F1969" s="0" t="n">
        <v>62002.203</v>
      </c>
      <c r="G1969" s="0" t="n">
        <v>52539.468</v>
      </c>
      <c r="H1969" s="0" t="n">
        <v>9462.735</v>
      </c>
      <c r="I1969" s="0" t="n">
        <v>2394.299</v>
      </c>
      <c r="J1969" s="0" t="n">
        <v>8632.216</v>
      </c>
      <c r="K1969" s="0" t="n">
        <v>103056.386048056</v>
      </c>
      <c r="L1969" s="0" t="n">
        <v>89959</v>
      </c>
      <c r="M1969" s="0" t="n">
        <v>89808</v>
      </c>
      <c r="N1969" s="0" t="n">
        <v>39</v>
      </c>
      <c r="O1969" s="54" t="n">
        <f aca="false">YEAR(B1969)</f>
        <v>2020</v>
      </c>
      <c r="P1969" s="54" t="n">
        <f aca="false">IF(AND(E1969&gt;=14400,K1969&gt;0,L1969&gt;0),1,0)</f>
        <v>1</v>
      </c>
      <c r="Q1969" s="53" t="n">
        <f aca="false">IF(P1969=1,F1969/E1969*MIN(L1969/K1969,1)*MIN(MAX(M1969/L1969,0),1),0)</f>
        <v>0.739866834780493</v>
      </c>
      <c r="R1969" s="55" t="n">
        <f aca="false">IF(F1969&gt;0,N1969/(F1969/3600),0)</f>
        <v>2.26443566851971</v>
      </c>
    </row>
    <row r="1970" customFormat="false" ht="15" hidden="false" customHeight="false" outlineLevel="0" collapsed="false">
      <c r="A1970" s="0" t="s">
        <v>262</v>
      </c>
      <c r="B1970" s="52" t="n">
        <v>43909</v>
      </c>
      <c r="C1970" s="0" t="n">
        <v>84132.495</v>
      </c>
      <c r="D1970" s="0" t="n">
        <v>17275.327</v>
      </c>
      <c r="E1970" s="0" t="n">
        <v>66857.168</v>
      </c>
      <c r="F1970" s="0" t="n">
        <v>51507.067</v>
      </c>
      <c r="G1970" s="0" t="n">
        <v>42393.69</v>
      </c>
      <c r="H1970" s="0" t="n">
        <v>9113.377</v>
      </c>
      <c r="I1970" s="0" t="n">
        <v>2914.334</v>
      </c>
      <c r="J1970" s="0" t="n">
        <v>12435.767</v>
      </c>
      <c r="K1970" s="0" t="n">
        <v>87376.0460288889</v>
      </c>
      <c r="L1970" s="0" t="n">
        <v>73771</v>
      </c>
      <c r="M1970" s="0" t="n">
        <v>73524</v>
      </c>
      <c r="N1970" s="0" t="n">
        <v>48</v>
      </c>
      <c r="O1970" s="54" t="n">
        <f aca="false">YEAR(B1970)</f>
        <v>2020</v>
      </c>
      <c r="P1970" s="54" t="n">
        <f aca="false">IF(AND(E1970&gt;=14400,K1970&gt;0,L1970&gt;0),1,0)</f>
        <v>1</v>
      </c>
      <c r="Q1970" s="53" t="n">
        <f aca="false">IF(P1970=1,F1970/E1970*MIN(L1970/K1970,1)*MIN(MAX(M1970/L1970,0),1),0)</f>
        <v>0.648269489618065</v>
      </c>
      <c r="R1970" s="55" t="n">
        <f aca="false">IF(F1970&gt;0,N1970/(F1970/3600),0)</f>
        <v>3.35487943819437</v>
      </c>
    </row>
    <row r="1971" customFormat="false" ht="15" hidden="false" customHeight="false" outlineLevel="0" collapsed="false">
      <c r="A1971" s="0" t="s">
        <v>262</v>
      </c>
      <c r="B1971" s="52" t="n">
        <v>43910</v>
      </c>
      <c r="C1971" s="0" t="n">
        <v>86006.527</v>
      </c>
      <c r="D1971" s="0" t="n">
        <v>15541.459</v>
      </c>
      <c r="E1971" s="0" t="n">
        <v>70465.068</v>
      </c>
      <c r="F1971" s="0" t="n">
        <v>40064.67</v>
      </c>
      <c r="G1971" s="0" t="n">
        <v>25087.246</v>
      </c>
      <c r="H1971" s="0" t="n">
        <v>14977.424</v>
      </c>
      <c r="I1971" s="0" t="n">
        <v>4428.317</v>
      </c>
      <c r="J1971" s="0" t="n">
        <v>25972.081</v>
      </c>
      <c r="K1971" s="0" t="n">
        <v>69807.6371661111</v>
      </c>
      <c r="L1971" s="0" t="n">
        <v>44603</v>
      </c>
      <c r="M1971" s="0" t="n">
        <v>44295</v>
      </c>
      <c r="N1971" s="0" t="n">
        <v>55</v>
      </c>
      <c r="O1971" s="54" t="n">
        <f aca="false">YEAR(B1971)</f>
        <v>2020</v>
      </c>
      <c r="P1971" s="54" t="n">
        <f aca="false">IF(AND(E1971&gt;=14400,K1971&gt;0,L1971&gt;0),1,0)</f>
        <v>1</v>
      </c>
      <c r="Q1971" s="53" t="n">
        <f aca="false">IF(P1971=1,F1971/E1971*MIN(L1971/K1971,1)*MIN(MAX(M1971/L1971,0),1),0)</f>
        <v>0.360777514492645</v>
      </c>
      <c r="R1971" s="55" t="n">
        <f aca="false">IF(F1971&gt;0,N1971/(F1971/3600),0)</f>
        <v>4.94201000532389</v>
      </c>
    </row>
    <row r="1972" customFormat="false" ht="15" hidden="false" customHeight="false" outlineLevel="0" collapsed="false">
      <c r="A1972" s="0" t="s">
        <v>262</v>
      </c>
      <c r="B1972" s="52" t="n">
        <v>43911</v>
      </c>
      <c r="C1972" s="0" t="n">
        <v>86157.319</v>
      </c>
      <c r="D1972" s="0" t="n">
        <v>1031.08</v>
      </c>
      <c r="E1972" s="0" t="n">
        <v>85126.239</v>
      </c>
      <c r="F1972" s="0" t="n">
        <v>70364.703</v>
      </c>
      <c r="G1972" s="0" t="n">
        <v>62728.428</v>
      </c>
      <c r="H1972" s="0" t="n">
        <v>7636.275</v>
      </c>
      <c r="I1972" s="0" t="n">
        <v>3283.541</v>
      </c>
      <c r="J1972" s="0" t="n">
        <v>11477.995</v>
      </c>
      <c r="K1972" s="0" t="n">
        <v>113859.755021389</v>
      </c>
      <c r="L1972" s="0" t="n">
        <v>109081</v>
      </c>
      <c r="M1972" s="0" t="n">
        <v>108880</v>
      </c>
      <c r="N1972" s="0" t="n">
        <v>47</v>
      </c>
      <c r="O1972" s="54" t="n">
        <f aca="false">YEAR(B1972)</f>
        <v>2020</v>
      </c>
      <c r="P1972" s="54" t="n">
        <f aca="false">IF(AND(E1972&gt;=14400,K1972&gt;0,L1972&gt;0),1,0)</f>
        <v>1</v>
      </c>
      <c r="Q1972" s="53" t="n">
        <f aca="false">IF(P1972=1,F1972/E1972*MIN(L1972/K1972,1)*MIN(MAX(M1972/L1972,0),1),0)</f>
        <v>0.790440674326988</v>
      </c>
      <c r="R1972" s="55" t="n">
        <f aca="false">IF(F1972&gt;0,N1972/(F1972/3600),0)</f>
        <v>2.40461471144133</v>
      </c>
    </row>
    <row r="1973" customFormat="false" ht="15" hidden="false" customHeight="false" outlineLevel="0" collapsed="false">
      <c r="A1973" s="0" t="s">
        <v>262</v>
      </c>
      <c r="B1973" s="52" t="n">
        <v>43912</v>
      </c>
      <c r="C1973" s="0" t="n">
        <v>84428.585</v>
      </c>
      <c r="D1973" s="0" t="n">
        <v>28639.193</v>
      </c>
      <c r="E1973" s="0" t="n">
        <v>55789.392</v>
      </c>
      <c r="F1973" s="0" t="n">
        <v>23192.774</v>
      </c>
      <c r="G1973" s="0" t="n">
        <v>18759.788</v>
      </c>
      <c r="H1973" s="0" t="n">
        <v>4432.986</v>
      </c>
      <c r="I1973" s="0" t="n">
        <v>291.261</v>
      </c>
      <c r="J1973" s="0" t="n">
        <v>32305.357</v>
      </c>
      <c r="K1973" s="0" t="n">
        <v>38969.7766733333</v>
      </c>
      <c r="L1973" s="0" t="n">
        <v>33441</v>
      </c>
      <c r="M1973" s="0" t="n">
        <v>33427</v>
      </c>
      <c r="N1973" s="0" t="n">
        <v>7</v>
      </c>
      <c r="O1973" s="54" t="n">
        <f aca="false">YEAR(B1973)</f>
        <v>2020</v>
      </c>
      <c r="P1973" s="54" t="n">
        <f aca="false">IF(AND(E1973&gt;=14400,K1973&gt;0,L1973&gt;0),1,0)</f>
        <v>1</v>
      </c>
      <c r="Q1973" s="53" t="n">
        <f aca="false">IF(P1973=1,F1973/E1973*MIN(L1973/K1973,1)*MIN(MAX(M1973/L1973,0),1),0)</f>
        <v>0.356591143041194</v>
      </c>
      <c r="R1973" s="55" t="n">
        <f aca="false">IF(F1973&gt;0,N1973/(F1973/3600),0)</f>
        <v>1.08654531795119</v>
      </c>
    </row>
    <row r="1974" customFormat="false" ht="15" hidden="false" customHeight="false" outlineLevel="0" collapsed="false">
      <c r="A1974" s="0" t="s">
        <v>262</v>
      </c>
      <c r="B1974" s="52" t="n">
        <v>43913</v>
      </c>
      <c r="C1974" s="0" t="n">
        <v>76977.955</v>
      </c>
      <c r="D1974" s="0" t="n">
        <v>6645.88</v>
      </c>
      <c r="E1974" s="0" t="n">
        <v>70332.075</v>
      </c>
      <c r="F1974" s="0" t="n">
        <v>53596.694</v>
      </c>
      <c r="G1974" s="0" t="n">
        <v>47194.608</v>
      </c>
      <c r="H1974" s="0" t="n">
        <v>6402.086</v>
      </c>
      <c r="I1974" s="0" t="n">
        <v>528.05</v>
      </c>
      <c r="J1974" s="0" t="n">
        <v>16207.331</v>
      </c>
      <c r="K1974" s="0" t="n">
        <v>91445.3357680556</v>
      </c>
      <c r="L1974" s="0" t="n">
        <v>84572</v>
      </c>
      <c r="M1974" s="0" t="n">
        <v>84261</v>
      </c>
      <c r="N1974" s="0" t="n">
        <v>15</v>
      </c>
      <c r="O1974" s="54" t="n">
        <f aca="false">YEAR(B1974)</f>
        <v>2020</v>
      </c>
      <c r="P1974" s="54" t="n">
        <f aca="false">IF(AND(E1974&gt;=14400,K1974&gt;0,L1974&gt;0),1,0)</f>
        <v>1</v>
      </c>
      <c r="Q1974" s="53" t="n">
        <f aca="false">IF(P1974=1,F1974/E1974*MIN(L1974/K1974,1)*MIN(MAX(M1974/L1974,0),1),0)</f>
        <v>0.702181885383675</v>
      </c>
      <c r="R1974" s="55" t="n">
        <f aca="false">IF(F1974&gt;0,N1974/(F1974/3600),0)</f>
        <v>1.00752482979641</v>
      </c>
    </row>
    <row r="1975" customFormat="false" ht="15" hidden="false" customHeight="false" outlineLevel="0" collapsed="false">
      <c r="A1975" s="0" t="s">
        <v>262</v>
      </c>
      <c r="B1975" s="52" t="n">
        <v>43914</v>
      </c>
      <c r="C1975" s="0" t="n">
        <v>87892.033</v>
      </c>
      <c r="D1975" s="0" t="n">
        <v>15941.568</v>
      </c>
      <c r="E1975" s="0" t="n">
        <v>71950.465</v>
      </c>
      <c r="F1975" s="0" t="n">
        <v>55963.783</v>
      </c>
      <c r="G1975" s="0" t="n">
        <v>46600.484</v>
      </c>
      <c r="H1975" s="0" t="n">
        <v>9363.299</v>
      </c>
      <c r="I1975" s="0" t="n">
        <v>936.218</v>
      </c>
      <c r="J1975" s="0" t="n">
        <v>15050.464</v>
      </c>
      <c r="K1975" s="0" t="n">
        <v>93234.3300619445</v>
      </c>
      <c r="L1975" s="0" t="n">
        <v>81060</v>
      </c>
      <c r="M1975" s="0" t="n">
        <v>80903</v>
      </c>
      <c r="N1975" s="0" t="n">
        <v>28</v>
      </c>
      <c r="O1975" s="54" t="n">
        <f aca="false">YEAR(B1975)</f>
        <v>2020</v>
      </c>
      <c r="P1975" s="54" t="n">
        <f aca="false">IF(AND(E1975&gt;=14400,K1975&gt;0,L1975&gt;0),1,0)</f>
        <v>1</v>
      </c>
      <c r="Q1975" s="53" t="n">
        <f aca="false">IF(P1975=1,F1975/E1975*MIN(L1975/K1975,1)*MIN(MAX(M1975/L1975,0),1),0)</f>
        <v>0.674935436212482</v>
      </c>
      <c r="R1975" s="55" t="n">
        <f aca="false">IF(F1975&gt;0,N1975/(F1975/3600),0)</f>
        <v>1.8011648712168</v>
      </c>
    </row>
    <row r="1976" customFormat="false" ht="15" hidden="false" customHeight="false" outlineLevel="0" collapsed="false">
      <c r="A1976" s="0" t="s">
        <v>262</v>
      </c>
      <c r="B1976" s="52" t="n">
        <v>43915</v>
      </c>
      <c r="C1976" s="0" t="n">
        <v>84754.094</v>
      </c>
      <c r="D1976" s="0" t="n">
        <v>10847.262</v>
      </c>
      <c r="E1976" s="0" t="n">
        <v>73906.832</v>
      </c>
      <c r="F1976" s="0" t="n">
        <v>50906.965</v>
      </c>
      <c r="G1976" s="0" t="n">
        <v>44916.847</v>
      </c>
      <c r="H1976" s="0" t="n">
        <v>5990.118</v>
      </c>
      <c r="I1976" s="0" t="n">
        <v>990.45</v>
      </c>
      <c r="J1976" s="0" t="n">
        <v>22009.417</v>
      </c>
      <c r="K1976" s="0" t="n">
        <v>87856.6409155555</v>
      </c>
      <c r="L1976" s="0" t="n">
        <v>80378</v>
      </c>
      <c r="M1976" s="0" t="n">
        <v>80074</v>
      </c>
      <c r="N1976" s="0" t="n">
        <v>20</v>
      </c>
      <c r="O1976" s="54" t="n">
        <f aca="false">YEAR(B1976)</f>
        <v>2020</v>
      </c>
      <c r="P1976" s="54" t="n">
        <f aca="false">IF(AND(E1976&gt;=14400,K1976&gt;0,L1976&gt;0),1,0)</f>
        <v>1</v>
      </c>
      <c r="Q1976" s="53" t="n">
        <f aca="false">IF(P1976=1,F1976/E1976*MIN(L1976/K1976,1)*MIN(MAX(M1976/L1976,0),1),0)</f>
        <v>0.627782995836791</v>
      </c>
      <c r="R1976" s="55" t="n">
        <f aca="false">IF(F1976&gt;0,N1976/(F1976/3600),0)</f>
        <v>1.41434477580818</v>
      </c>
    </row>
    <row r="1977" customFormat="false" ht="15" hidden="false" customHeight="false" outlineLevel="0" collapsed="false">
      <c r="A1977" s="0" t="s">
        <v>262</v>
      </c>
      <c r="B1977" s="52" t="n">
        <v>43916</v>
      </c>
      <c r="C1977" s="0" t="n">
        <v>109572.493</v>
      </c>
      <c r="D1977" s="0" t="n">
        <v>18311.893</v>
      </c>
      <c r="E1977" s="0" t="n">
        <v>91260.6</v>
      </c>
      <c r="F1977" s="0" t="n">
        <v>812.18</v>
      </c>
      <c r="G1977" s="0" t="n">
        <v>533.539</v>
      </c>
      <c r="H1977" s="0" t="n">
        <v>278.641</v>
      </c>
      <c r="I1977" s="0" t="n">
        <v>0</v>
      </c>
      <c r="J1977" s="0" t="n">
        <v>90448.42</v>
      </c>
      <c r="K1977" s="0" t="n">
        <v>1466.43611111111</v>
      </c>
      <c r="L1977" s="0" t="n">
        <v>1002</v>
      </c>
      <c r="M1977" s="0" t="n">
        <v>998</v>
      </c>
      <c r="N1977" s="0" t="n">
        <v>0</v>
      </c>
      <c r="O1977" s="54" t="n">
        <f aca="false">YEAR(B1977)</f>
        <v>2020</v>
      </c>
      <c r="P1977" s="54" t="n">
        <f aca="false">IF(AND(E1977&gt;=14400,K1977&gt;0,L1977&gt;0),1,0)</f>
        <v>1</v>
      </c>
      <c r="Q1977" s="53" t="n">
        <f aca="false">IF(P1977=1,F1977/E1977*MIN(L1977/K1977,1)*MIN(MAX(M1977/L1977,0),1),0)</f>
        <v>0.00605670422436913</v>
      </c>
      <c r="R1977" s="55" t="n">
        <f aca="false">IF(F1977&gt;0,N1977/(F1977/3600),0)</f>
        <v>0</v>
      </c>
    </row>
    <row r="1978" customFormat="false" ht="15" hidden="false" customHeight="false" outlineLevel="0" collapsed="false">
      <c r="A1978" s="0" t="s">
        <v>262</v>
      </c>
      <c r="B1978" s="52" t="n">
        <v>43917</v>
      </c>
      <c r="C1978" s="0" t="n">
        <v>46355.64</v>
      </c>
      <c r="D1978" s="0" t="n">
        <v>0</v>
      </c>
      <c r="E1978" s="0" t="n">
        <v>46355.64</v>
      </c>
      <c r="F1978" s="0" t="n">
        <v>7980.201</v>
      </c>
      <c r="G1978" s="0" t="n">
        <v>0</v>
      </c>
      <c r="H1978" s="0" t="n">
        <v>7980.201</v>
      </c>
      <c r="I1978" s="0" t="n">
        <v>0</v>
      </c>
      <c r="J1978" s="0" t="n">
        <v>38375.439</v>
      </c>
      <c r="K1978" s="0" t="n">
        <v>14408.69625</v>
      </c>
      <c r="L1978" s="0" t="n">
        <v>0</v>
      </c>
      <c r="M1978" s="0" t="n">
        <v>0</v>
      </c>
      <c r="N1978" s="0" t="n">
        <v>0</v>
      </c>
      <c r="O1978" s="54" t="n">
        <f aca="false">YEAR(B1978)</f>
        <v>2020</v>
      </c>
      <c r="P1978" s="54" t="n">
        <f aca="false">IF(AND(E1978&gt;=14400,K1978&gt;0,L1978&gt;0),1,0)</f>
        <v>0</v>
      </c>
      <c r="Q1978" s="53" t="n">
        <f aca="false">IF(P1978=1,F1978/E1978*MIN(L1978/K1978,1)*MIN(MAX(M1978/L1978,0),1),0)</f>
        <v>0</v>
      </c>
      <c r="R1978" s="55" t="n">
        <f aca="false">IF(F1978&gt;0,N1978/(F1978/3600),0)</f>
        <v>0</v>
      </c>
    </row>
    <row r="1979" customFormat="false" ht="15" hidden="false" customHeight="false" outlineLevel="0" collapsed="false">
      <c r="A1979" s="0" t="s">
        <v>262</v>
      </c>
      <c r="B1979" s="52" t="n">
        <v>43918</v>
      </c>
      <c r="C1979" s="0" t="n">
        <v>33476.199</v>
      </c>
      <c r="D1979" s="0" t="n">
        <v>26.09</v>
      </c>
      <c r="E1979" s="0" t="n">
        <v>33450.109</v>
      </c>
      <c r="F1979" s="0" t="n">
        <v>3025.56</v>
      </c>
      <c r="G1979" s="0" t="n">
        <v>0</v>
      </c>
      <c r="H1979" s="0" t="n">
        <v>3025.56</v>
      </c>
      <c r="I1979" s="0" t="n">
        <v>0</v>
      </c>
      <c r="J1979" s="0" t="n">
        <v>30424.549</v>
      </c>
      <c r="K1979" s="0" t="n">
        <v>3292.01888888889</v>
      </c>
      <c r="L1979" s="0" t="n">
        <v>0</v>
      </c>
      <c r="M1979" s="0" t="n">
        <v>0</v>
      </c>
      <c r="N1979" s="0" t="n">
        <v>0</v>
      </c>
      <c r="O1979" s="54" t="n">
        <f aca="false">YEAR(B1979)</f>
        <v>2020</v>
      </c>
      <c r="P1979" s="54" t="n">
        <f aca="false">IF(AND(E1979&gt;=14400,K1979&gt;0,L1979&gt;0),1,0)</f>
        <v>0</v>
      </c>
      <c r="Q1979" s="53" t="n">
        <f aca="false">IF(P1979=1,F1979/E1979*MIN(L1979/K1979,1)*MIN(MAX(M1979/L1979,0),1),0)</f>
        <v>0</v>
      </c>
      <c r="R1979" s="55" t="n">
        <f aca="false">IF(F1979&gt;0,N1979/(F1979/3600),0)</f>
        <v>0</v>
      </c>
    </row>
    <row r="1980" customFormat="false" ht="15" hidden="false" customHeight="false" outlineLevel="0" collapsed="false">
      <c r="A1980" s="0" t="s">
        <v>262</v>
      </c>
      <c r="B1980" s="52" t="n">
        <v>43919</v>
      </c>
      <c r="C1980" s="0" t="n">
        <v>84210.345</v>
      </c>
      <c r="D1980" s="0" t="n">
        <v>22498.773</v>
      </c>
      <c r="E1980" s="0" t="n">
        <v>61711.572</v>
      </c>
      <c r="F1980" s="0" t="n">
        <v>40341.942</v>
      </c>
      <c r="G1980" s="0" t="n">
        <v>19697.257</v>
      </c>
      <c r="H1980" s="0" t="n">
        <v>20644.685</v>
      </c>
      <c r="I1980" s="0" t="n">
        <v>3429.321</v>
      </c>
      <c r="J1980" s="0" t="n">
        <v>17940.309</v>
      </c>
      <c r="K1980" s="0" t="n">
        <v>59365.8077213889</v>
      </c>
      <c r="L1980" s="0" t="n">
        <v>31798</v>
      </c>
      <c r="M1980" s="0" t="n">
        <v>31387</v>
      </c>
      <c r="N1980" s="0" t="n">
        <v>34</v>
      </c>
      <c r="O1980" s="54" t="n">
        <f aca="false">YEAR(B1980)</f>
        <v>2020</v>
      </c>
      <c r="P1980" s="54" t="n">
        <f aca="false">IF(AND(E1980&gt;=14400,K1980&gt;0,L1980&gt;0),1,0)</f>
        <v>1</v>
      </c>
      <c r="Q1980" s="53" t="n">
        <f aca="false">IF(P1980=1,F1980/E1980*MIN(L1980/K1980,1)*MIN(MAX(M1980/L1980,0),1),0)</f>
        <v>0.345623781424933</v>
      </c>
      <c r="R1980" s="55" t="n">
        <f aca="false">IF(F1980&gt;0,N1980/(F1980/3600),0)</f>
        <v>3.03406315937889</v>
      </c>
    </row>
    <row r="1981" customFormat="false" ht="15" hidden="false" customHeight="false" outlineLevel="0" collapsed="false">
      <c r="A1981" s="0" t="s">
        <v>262</v>
      </c>
      <c r="B1981" s="52" t="n">
        <v>43920</v>
      </c>
      <c r="C1981" s="0" t="n">
        <v>66552.717</v>
      </c>
      <c r="D1981" s="0" t="n">
        <v>11226.999</v>
      </c>
      <c r="E1981" s="0" t="n">
        <v>55325.718</v>
      </c>
      <c r="F1981" s="0" t="n">
        <v>18111.116</v>
      </c>
      <c r="G1981" s="0" t="n">
        <v>14531.594</v>
      </c>
      <c r="H1981" s="0" t="n">
        <v>3579.522</v>
      </c>
      <c r="I1981" s="0" t="n">
        <v>1020.12</v>
      </c>
      <c r="J1981" s="0" t="n">
        <v>36194.482</v>
      </c>
      <c r="K1981" s="0" t="n">
        <v>30894.3558738889</v>
      </c>
      <c r="L1981" s="0" t="n">
        <v>25077</v>
      </c>
      <c r="M1981" s="0" t="n">
        <v>24937</v>
      </c>
      <c r="N1981" s="0" t="n">
        <v>24</v>
      </c>
      <c r="O1981" s="54" t="n">
        <f aca="false">YEAR(B1981)</f>
        <v>2020</v>
      </c>
      <c r="P1981" s="54" t="n">
        <f aca="false">IF(AND(E1981&gt;=14400,K1981&gt;0,L1981&gt;0),1,0)</f>
        <v>1</v>
      </c>
      <c r="Q1981" s="53" t="n">
        <f aca="false">IF(P1981=1,F1981/E1981*MIN(L1981/K1981,1)*MIN(MAX(M1981/L1981,0),1),0)</f>
        <v>0.26423066258523</v>
      </c>
      <c r="R1981" s="55" t="n">
        <f aca="false">IF(F1981&gt;0,N1981/(F1981/3600),0)</f>
        <v>4.7705508594832</v>
      </c>
    </row>
    <row r="1982" customFormat="false" ht="15" hidden="false" customHeight="false" outlineLevel="0" collapsed="false">
      <c r="A1982" s="0" t="s">
        <v>262</v>
      </c>
      <c r="B1982" s="52" t="n">
        <v>43921</v>
      </c>
      <c r="C1982" s="0" t="n">
        <v>900</v>
      </c>
      <c r="D1982" s="0" t="n">
        <v>0</v>
      </c>
      <c r="E1982" s="0" t="n">
        <v>900</v>
      </c>
      <c r="F1982" s="0" t="n">
        <v>0</v>
      </c>
      <c r="G1982" s="0" t="n">
        <v>0</v>
      </c>
      <c r="H1982" s="0" t="n">
        <v>0</v>
      </c>
      <c r="I1982" s="0" t="n">
        <v>0</v>
      </c>
      <c r="J1982" s="0" t="n">
        <v>900</v>
      </c>
      <c r="K1982" s="0" t="n">
        <v>0</v>
      </c>
      <c r="L1982" s="0" t="n">
        <v>0</v>
      </c>
      <c r="M1982" s="0" t="n">
        <v>0</v>
      </c>
      <c r="N1982" s="0" t="n">
        <v>0</v>
      </c>
      <c r="O1982" s="54" t="n">
        <f aca="false">YEAR(B1982)</f>
        <v>2020</v>
      </c>
      <c r="P1982" s="54" t="n">
        <f aca="false">IF(AND(E1982&gt;=14400,K1982&gt;0,L1982&gt;0),1,0)</f>
        <v>0</v>
      </c>
      <c r="Q1982" s="53" t="n">
        <f aca="false">IF(P1982=1,F1982/E1982*MIN(L1982/K1982,1)*MIN(MAX(M1982/L1982,0),1),0)</f>
        <v>0</v>
      </c>
      <c r="R1982" s="55" t="n">
        <f aca="false">IF(F1982&gt;0,N1982/(F1982/3600),0)</f>
        <v>0</v>
      </c>
    </row>
    <row r="1983" customFormat="false" ht="15" hidden="false" customHeight="false" outlineLevel="0" collapsed="false">
      <c r="A1983" s="0" t="s">
        <v>262</v>
      </c>
      <c r="B1983" s="52" t="n">
        <v>43923</v>
      </c>
      <c r="C1983" s="0" t="n">
        <v>37928.977</v>
      </c>
      <c r="D1983" s="0" t="n">
        <v>8792.313</v>
      </c>
      <c r="E1983" s="0" t="n">
        <v>29136.664</v>
      </c>
      <c r="F1983" s="0" t="n">
        <v>4825.369</v>
      </c>
      <c r="G1983" s="0" t="n">
        <v>0</v>
      </c>
      <c r="H1983" s="0" t="n">
        <v>4825.369</v>
      </c>
      <c r="I1983" s="0" t="n">
        <v>0</v>
      </c>
      <c r="J1983" s="0" t="n">
        <v>24311.295</v>
      </c>
      <c r="K1983" s="0" t="n">
        <v>8712.47180555556</v>
      </c>
      <c r="L1983" s="0" t="n">
        <v>0</v>
      </c>
      <c r="M1983" s="0" t="n">
        <v>0</v>
      </c>
      <c r="N1983" s="0" t="n">
        <v>0</v>
      </c>
      <c r="O1983" s="54" t="n">
        <f aca="false">YEAR(B1983)</f>
        <v>2020</v>
      </c>
      <c r="P1983" s="54" t="n">
        <f aca="false">IF(AND(E1983&gt;=14400,K1983&gt;0,L1983&gt;0),1,0)</f>
        <v>0</v>
      </c>
      <c r="Q1983" s="53" t="n">
        <f aca="false">IF(P1983=1,F1983/E1983*MIN(L1983/K1983,1)*MIN(MAX(M1983/L1983,0),1),0)</f>
        <v>0</v>
      </c>
      <c r="R1983" s="55" t="n">
        <f aca="false">IF(F1983&gt;0,N1983/(F1983/3600),0)</f>
        <v>0</v>
      </c>
    </row>
    <row r="1984" customFormat="false" ht="15" hidden="false" customHeight="false" outlineLevel="0" collapsed="false">
      <c r="A1984" s="0" t="s">
        <v>262</v>
      </c>
      <c r="B1984" s="52" t="n">
        <v>43924</v>
      </c>
      <c r="C1984" s="0" t="n">
        <v>36635.112</v>
      </c>
      <c r="D1984" s="0" t="n">
        <v>198.68</v>
      </c>
      <c r="E1984" s="0" t="n">
        <v>36436.432</v>
      </c>
      <c r="F1984" s="0" t="n">
        <v>28430.951</v>
      </c>
      <c r="G1984" s="0" t="n">
        <v>195.838</v>
      </c>
      <c r="H1984" s="0" t="n">
        <v>28235.113</v>
      </c>
      <c r="I1984" s="0" t="n">
        <v>35.321</v>
      </c>
      <c r="J1984" s="0" t="n">
        <v>7970.16</v>
      </c>
      <c r="K1984" s="0" t="n">
        <v>38554.5318888889</v>
      </c>
      <c r="L1984" s="0" t="n">
        <v>116</v>
      </c>
      <c r="M1984" s="0" t="n">
        <v>0</v>
      </c>
      <c r="N1984" s="0" t="n">
        <v>1</v>
      </c>
      <c r="O1984" s="54" t="n">
        <f aca="false">YEAR(B1984)</f>
        <v>2020</v>
      </c>
      <c r="P1984" s="54" t="n">
        <f aca="false">IF(AND(E1984&gt;=14400,K1984&gt;0,L1984&gt;0),1,0)</f>
        <v>1</v>
      </c>
      <c r="Q1984" s="53" t="n">
        <f aca="false">IF(P1984=1,F1984/E1984*MIN(L1984/K1984,1)*MIN(MAX(M1984/L1984,0),1),0)</f>
        <v>0</v>
      </c>
      <c r="R1984" s="55" t="n">
        <f aca="false">IF(F1984&gt;0,N1984/(F1984/3600),0)</f>
        <v>0.126622567074876</v>
      </c>
    </row>
    <row r="1985" customFormat="false" ht="15" hidden="false" customHeight="false" outlineLevel="0" collapsed="false">
      <c r="A1985" s="0" t="s">
        <v>262</v>
      </c>
      <c r="B1985" s="52" t="n">
        <v>43925</v>
      </c>
      <c r="C1985" s="0" t="n">
        <v>43488.881</v>
      </c>
      <c r="D1985" s="0" t="n">
        <v>8678.782</v>
      </c>
      <c r="E1985" s="0" t="n">
        <v>34810.099</v>
      </c>
      <c r="F1985" s="0" t="n">
        <v>2201.11</v>
      </c>
      <c r="G1985" s="0" t="n">
        <v>32.7</v>
      </c>
      <c r="H1985" s="0" t="n">
        <v>2168.41</v>
      </c>
      <c r="I1985" s="0" t="n">
        <v>0</v>
      </c>
      <c r="J1985" s="0" t="n">
        <v>32608.989</v>
      </c>
      <c r="K1985" s="0" t="n">
        <v>3332.6165</v>
      </c>
      <c r="L1985" s="0" t="n">
        <v>28</v>
      </c>
      <c r="M1985" s="0" t="n">
        <v>0</v>
      </c>
      <c r="N1985" s="0" t="n">
        <v>0</v>
      </c>
      <c r="O1985" s="54" t="n">
        <f aca="false">YEAR(B1985)</f>
        <v>2020</v>
      </c>
      <c r="P1985" s="54" t="n">
        <f aca="false">IF(AND(E1985&gt;=14400,K1985&gt;0,L1985&gt;0),1,0)</f>
        <v>1</v>
      </c>
      <c r="Q1985" s="53" t="n">
        <f aca="false">IF(P1985=1,F1985/E1985*MIN(L1985/K1985,1)*MIN(MAX(M1985/L1985,0),1),0)</f>
        <v>0</v>
      </c>
      <c r="R1985" s="55" t="n">
        <f aca="false">IF(F1985&gt;0,N1985/(F1985/3600),0)</f>
        <v>0</v>
      </c>
    </row>
    <row r="1986" customFormat="false" ht="15" hidden="false" customHeight="false" outlineLevel="0" collapsed="false">
      <c r="A1986" s="0" t="s">
        <v>262</v>
      </c>
      <c r="B1986" s="52" t="n">
        <v>43926</v>
      </c>
      <c r="C1986" s="0" t="n">
        <v>12613.054</v>
      </c>
      <c r="D1986" s="0" t="n">
        <v>1254.173</v>
      </c>
      <c r="E1986" s="0" t="n">
        <v>11358.881</v>
      </c>
      <c r="F1986" s="0" t="n">
        <v>2972.18</v>
      </c>
      <c r="G1986" s="0" t="n">
        <v>0</v>
      </c>
      <c r="H1986" s="0" t="n">
        <v>2972.18</v>
      </c>
      <c r="I1986" s="0" t="n">
        <v>44.05</v>
      </c>
      <c r="J1986" s="0" t="n">
        <v>8342.651</v>
      </c>
      <c r="K1986" s="0" t="n">
        <v>4564.17550694444</v>
      </c>
      <c r="L1986" s="0" t="n">
        <v>5</v>
      </c>
      <c r="M1986" s="0" t="n">
        <v>0</v>
      </c>
      <c r="N1986" s="0" t="n">
        <v>1</v>
      </c>
      <c r="O1986" s="54" t="n">
        <f aca="false">YEAR(B1986)</f>
        <v>2020</v>
      </c>
      <c r="P1986" s="54" t="n">
        <f aca="false">IF(AND(E1986&gt;=14400,K1986&gt;0,L1986&gt;0),1,0)</f>
        <v>0</v>
      </c>
      <c r="Q1986" s="53" t="n">
        <f aca="false">IF(P1986=1,F1986/E1986*MIN(L1986/K1986,1)*MIN(MAX(M1986/L1986,0),1),0)</f>
        <v>0</v>
      </c>
      <c r="R1986" s="55" t="n">
        <f aca="false">IF(F1986&gt;0,N1986/(F1986/3600),0)</f>
        <v>1.21123215955965</v>
      </c>
    </row>
    <row r="1987" customFormat="false" ht="15" hidden="false" customHeight="false" outlineLevel="0" collapsed="false">
      <c r="A1987" s="0" t="s">
        <v>262</v>
      </c>
      <c r="B1987" s="52" t="n">
        <v>43927</v>
      </c>
      <c r="C1987" s="0" t="n">
        <v>3799.711</v>
      </c>
      <c r="D1987" s="0" t="n">
        <v>0</v>
      </c>
      <c r="E1987" s="0" t="n">
        <v>3799.711</v>
      </c>
      <c r="F1987" s="0" t="n">
        <v>50.3</v>
      </c>
      <c r="G1987" s="0" t="n">
        <v>0</v>
      </c>
      <c r="H1987" s="0" t="n">
        <v>50.3</v>
      </c>
      <c r="I1987" s="0" t="n">
        <v>0</v>
      </c>
      <c r="J1987" s="0" t="n">
        <v>3749.411</v>
      </c>
      <c r="K1987" s="0" t="n">
        <v>77.2105</v>
      </c>
      <c r="L1987" s="0" t="n">
        <v>0</v>
      </c>
      <c r="M1987" s="0" t="n">
        <v>0</v>
      </c>
      <c r="N1987" s="0" t="n">
        <v>0</v>
      </c>
      <c r="O1987" s="54" t="n">
        <f aca="false">YEAR(B1987)</f>
        <v>2020</v>
      </c>
      <c r="P1987" s="54" t="n">
        <f aca="false">IF(AND(E1987&gt;=14400,K1987&gt;0,L1987&gt;0),1,0)</f>
        <v>0</v>
      </c>
      <c r="Q1987" s="53" t="n">
        <f aca="false">IF(P1987=1,F1987/E1987*MIN(L1987/K1987,1)*MIN(MAX(M1987/L1987,0),1),0)</f>
        <v>0</v>
      </c>
      <c r="R1987" s="55" t="n">
        <f aca="false">IF(F1987&gt;0,N1987/(F1987/3600),0)</f>
        <v>0</v>
      </c>
    </row>
    <row r="1988" customFormat="false" ht="15" hidden="false" customHeight="false" outlineLevel="0" collapsed="false">
      <c r="A1988" s="0" t="s">
        <v>262</v>
      </c>
      <c r="B1988" s="52" t="n">
        <v>43928</v>
      </c>
      <c r="C1988" s="0" t="n">
        <v>23085.765</v>
      </c>
      <c r="D1988" s="0" t="n">
        <v>12286.439</v>
      </c>
      <c r="E1988" s="0" t="n">
        <v>10799.326</v>
      </c>
      <c r="F1988" s="0" t="n">
        <v>3645.51</v>
      </c>
      <c r="G1988" s="0" t="n">
        <v>21.759</v>
      </c>
      <c r="H1988" s="0" t="n">
        <v>3623.751</v>
      </c>
      <c r="I1988" s="0" t="n">
        <v>0</v>
      </c>
      <c r="J1988" s="0" t="n">
        <v>7153.816</v>
      </c>
      <c r="K1988" s="0" t="n">
        <v>5188.720975</v>
      </c>
      <c r="L1988" s="0" t="n">
        <v>12</v>
      </c>
      <c r="M1988" s="0" t="n">
        <v>0</v>
      </c>
      <c r="N1988" s="0" t="n">
        <v>0</v>
      </c>
      <c r="O1988" s="54" t="n">
        <f aca="false">YEAR(B1988)</f>
        <v>2020</v>
      </c>
      <c r="P1988" s="54" t="n">
        <f aca="false">IF(AND(E1988&gt;=14400,K1988&gt;0,L1988&gt;0),1,0)</f>
        <v>0</v>
      </c>
      <c r="Q1988" s="53" t="n">
        <f aca="false">IF(P1988=1,F1988/E1988*MIN(L1988/K1988,1)*MIN(MAX(M1988/L1988,0),1),0)</f>
        <v>0</v>
      </c>
      <c r="R1988" s="55" t="n">
        <f aca="false">IF(F1988&gt;0,N1988/(F1988/3600),0)</f>
        <v>0</v>
      </c>
    </row>
    <row r="1989" customFormat="false" ht="15" hidden="false" customHeight="false" outlineLevel="0" collapsed="false">
      <c r="A1989" s="0" t="s">
        <v>262</v>
      </c>
      <c r="B1989" s="52" t="n">
        <v>43929</v>
      </c>
      <c r="C1989" s="0" t="n">
        <v>6132.546</v>
      </c>
      <c r="D1989" s="0" t="n">
        <v>6004.816</v>
      </c>
      <c r="E1989" s="0" t="n">
        <v>127.73</v>
      </c>
      <c r="F1989" s="0" t="n">
        <v>14.64</v>
      </c>
      <c r="G1989" s="0" t="n">
        <v>0</v>
      </c>
      <c r="H1989" s="0" t="n">
        <v>14.64</v>
      </c>
      <c r="I1989" s="0" t="n">
        <v>0</v>
      </c>
      <c r="J1989" s="0" t="n">
        <v>113.09</v>
      </c>
      <c r="K1989" s="0" t="n">
        <v>26.4333333333333</v>
      </c>
      <c r="L1989" s="0" t="n">
        <v>0</v>
      </c>
      <c r="M1989" s="0" t="n">
        <v>0</v>
      </c>
      <c r="N1989" s="0" t="n">
        <v>0</v>
      </c>
      <c r="O1989" s="54" t="n">
        <f aca="false">YEAR(B1989)</f>
        <v>2020</v>
      </c>
      <c r="P1989" s="54" t="n">
        <f aca="false">IF(AND(E1989&gt;=14400,K1989&gt;0,L1989&gt;0),1,0)</f>
        <v>0</v>
      </c>
      <c r="Q1989" s="53" t="n">
        <f aca="false">IF(P1989=1,F1989/E1989*MIN(L1989/K1989,1)*MIN(MAX(M1989/L1989,0),1),0)</f>
        <v>0</v>
      </c>
      <c r="R1989" s="55" t="n">
        <f aca="false">IF(F1989&gt;0,N1989/(F1989/3600),0)</f>
        <v>0</v>
      </c>
    </row>
    <row r="1990" customFormat="false" ht="15" hidden="false" customHeight="false" outlineLevel="0" collapsed="false">
      <c r="A1990" s="0" t="s">
        <v>262</v>
      </c>
      <c r="B1990" s="52" t="n">
        <v>43930</v>
      </c>
      <c r="C1990" s="0" t="n">
        <v>68422.215</v>
      </c>
      <c r="D1990" s="0" t="n">
        <v>3019.791</v>
      </c>
      <c r="E1990" s="0" t="n">
        <v>65402.424</v>
      </c>
      <c r="F1990" s="0" t="n">
        <v>2172.747</v>
      </c>
      <c r="G1990" s="0" t="n">
        <v>4.729</v>
      </c>
      <c r="H1990" s="0" t="n">
        <v>2168.018</v>
      </c>
      <c r="I1990" s="0" t="n">
        <v>0</v>
      </c>
      <c r="J1990" s="0" t="n">
        <v>63229.677</v>
      </c>
      <c r="K1990" s="0" t="n">
        <v>3923.01541666667</v>
      </c>
      <c r="L1990" s="0" t="n">
        <v>2</v>
      </c>
      <c r="M1990" s="0" t="n">
        <v>0</v>
      </c>
      <c r="N1990" s="0" t="n">
        <v>0</v>
      </c>
      <c r="O1990" s="54" t="n">
        <f aca="false">YEAR(B1990)</f>
        <v>2020</v>
      </c>
      <c r="P1990" s="54" t="n">
        <f aca="false">IF(AND(E1990&gt;=14400,K1990&gt;0,L1990&gt;0),1,0)</f>
        <v>1</v>
      </c>
      <c r="Q1990" s="53" t="n">
        <f aca="false">IF(P1990=1,F1990/E1990*MIN(L1990/K1990,1)*MIN(MAX(M1990/L1990,0),1),0)</f>
        <v>0</v>
      </c>
      <c r="R1990" s="55" t="n">
        <f aca="false">IF(F1990&gt;0,N1990/(F1990/3600),0)</f>
        <v>0</v>
      </c>
    </row>
    <row r="1991" customFormat="false" ht="15" hidden="false" customHeight="false" outlineLevel="0" collapsed="false">
      <c r="A1991" s="0" t="s">
        <v>262</v>
      </c>
      <c r="B1991" s="52" t="n">
        <v>43931</v>
      </c>
      <c r="C1991" s="0" t="n">
        <v>16002.028</v>
      </c>
      <c r="D1991" s="0" t="n">
        <v>11346.561</v>
      </c>
      <c r="E1991" s="0" t="n">
        <v>4655.467</v>
      </c>
      <c r="F1991" s="0" t="n">
        <v>31.33</v>
      </c>
      <c r="G1991" s="0" t="n">
        <v>0</v>
      </c>
      <c r="H1991" s="0" t="n">
        <v>31.33</v>
      </c>
      <c r="I1991" s="0" t="n">
        <v>0</v>
      </c>
      <c r="J1991" s="0" t="n">
        <v>4624.137</v>
      </c>
      <c r="K1991" s="0" t="n">
        <v>56.5680555555556</v>
      </c>
      <c r="L1991" s="0" t="n">
        <v>0</v>
      </c>
      <c r="M1991" s="0" t="n">
        <v>0</v>
      </c>
      <c r="N1991" s="0" t="n">
        <v>0</v>
      </c>
      <c r="O1991" s="54" t="n">
        <f aca="false">YEAR(B1991)</f>
        <v>2020</v>
      </c>
      <c r="P1991" s="54" t="n">
        <f aca="false">IF(AND(E1991&gt;=14400,K1991&gt;0,L1991&gt;0),1,0)</f>
        <v>0</v>
      </c>
      <c r="Q1991" s="53" t="n">
        <f aca="false">IF(P1991=1,F1991/E1991*MIN(L1991/K1991,1)*MIN(MAX(M1991/L1991,0),1),0)</f>
        <v>0</v>
      </c>
      <c r="R1991" s="55" t="n">
        <f aca="false">IF(F1991&gt;0,N1991/(F1991/3600),0)</f>
        <v>0</v>
      </c>
    </row>
    <row r="1992" customFormat="false" ht="15" hidden="false" customHeight="false" outlineLevel="0" collapsed="false">
      <c r="A1992" s="0" t="s">
        <v>262</v>
      </c>
      <c r="B1992" s="52" t="n">
        <v>43934</v>
      </c>
      <c r="C1992" s="0" t="n">
        <v>26214.082</v>
      </c>
      <c r="D1992" s="0" t="n">
        <v>23038.565</v>
      </c>
      <c r="E1992" s="0" t="n">
        <v>3175.517</v>
      </c>
      <c r="F1992" s="0" t="n">
        <v>17.32</v>
      </c>
      <c r="G1992" s="0" t="n">
        <v>0</v>
      </c>
      <c r="H1992" s="0" t="n">
        <v>17.32</v>
      </c>
      <c r="I1992" s="0" t="n">
        <v>0</v>
      </c>
      <c r="J1992" s="0" t="n">
        <v>3158.197</v>
      </c>
      <c r="K1992" s="0" t="n">
        <v>31.2722222222222</v>
      </c>
      <c r="L1992" s="0" t="n">
        <v>0</v>
      </c>
      <c r="M1992" s="0" t="n">
        <v>0</v>
      </c>
      <c r="N1992" s="0" t="n">
        <v>0</v>
      </c>
      <c r="O1992" s="54" t="n">
        <f aca="false">YEAR(B1992)</f>
        <v>2020</v>
      </c>
      <c r="P1992" s="54" t="n">
        <f aca="false">IF(AND(E1992&gt;=14400,K1992&gt;0,L1992&gt;0),1,0)</f>
        <v>0</v>
      </c>
      <c r="Q1992" s="53" t="n">
        <f aca="false">IF(P1992=1,F1992/E1992*MIN(L1992/K1992,1)*MIN(MAX(M1992/L1992,0),1),0)</f>
        <v>0</v>
      </c>
      <c r="R1992" s="55" t="n">
        <f aca="false">IF(F1992&gt;0,N1992/(F1992/3600),0)</f>
        <v>0</v>
      </c>
    </row>
    <row r="1993" customFormat="false" ht="15" hidden="false" customHeight="false" outlineLevel="0" collapsed="false">
      <c r="A1993" s="0" t="s">
        <v>262</v>
      </c>
      <c r="B1993" s="52" t="n">
        <v>43935</v>
      </c>
      <c r="C1993" s="0" t="n">
        <v>22698.11</v>
      </c>
      <c r="D1993" s="0" t="n">
        <v>12639.961</v>
      </c>
      <c r="E1993" s="0" t="n">
        <v>10058.149</v>
      </c>
      <c r="F1993" s="0" t="n">
        <v>403.14</v>
      </c>
      <c r="G1993" s="0" t="n">
        <v>0</v>
      </c>
      <c r="H1993" s="0" t="n">
        <v>403.14</v>
      </c>
      <c r="I1993" s="0" t="n">
        <v>0</v>
      </c>
      <c r="J1993" s="0" t="n">
        <v>9655.009</v>
      </c>
      <c r="K1993" s="0" t="n">
        <v>727.891666666667</v>
      </c>
      <c r="L1993" s="0" t="n">
        <v>0</v>
      </c>
      <c r="M1993" s="0" t="n">
        <v>0</v>
      </c>
      <c r="N1993" s="0" t="n">
        <v>0</v>
      </c>
      <c r="O1993" s="54" t="n">
        <f aca="false">YEAR(B1993)</f>
        <v>2020</v>
      </c>
      <c r="P1993" s="54" t="n">
        <f aca="false">IF(AND(E1993&gt;=14400,K1993&gt;0,L1993&gt;0),1,0)</f>
        <v>0</v>
      </c>
      <c r="Q1993" s="53" t="n">
        <f aca="false">IF(P1993=1,F1993/E1993*MIN(L1993/K1993,1)*MIN(MAX(M1993/L1993,0),1),0)</f>
        <v>0</v>
      </c>
      <c r="R1993" s="55" t="n">
        <f aca="false">IF(F1993&gt;0,N1993/(F1993/3600),0)</f>
        <v>0</v>
      </c>
    </row>
    <row r="1994" customFormat="false" ht="15" hidden="false" customHeight="false" outlineLevel="0" collapsed="false">
      <c r="A1994" s="0" t="s">
        <v>262</v>
      </c>
      <c r="B1994" s="52" t="n">
        <v>43937</v>
      </c>
      <c r="C1994" s="0" t="n">
        <v>53381.209</v>
      </c>
      <c r="D1994" s="0" t="n">
        <v>18771.47</v>
      </c>
      <c r="E1994" s="0" t="n">
        <v>34609.739</v>
      </c>
      <c r="F1994" s="0" t="n">
        <v>0</v>
      </c>
      <c r="G1994" s="0" t="n">
        <v>0</v>
      </c>
      <c r="H1994" s="0" t="n">
        <v>0</v>
      </c>
      <c r="I1994" s="0" t="n">
        <v>0</v>
      </c>
      <c r="J1994" s="0" t="n">
        <v>34609.739</v>
      </c>
      <c r="K1994" s="0" t="n">
        <v>0</v>
      </c>
      <c r="L1994" s="0" t="n">
        <v>0</v>
      </c>
      <c r="M1994" s="0" t="n">
        <v>0</v>
      </c>
      <c r="N1994" s="0" t="n">
        <v>0</v>
      </c>
      <c r="O1994" s="54" t="n">
        <f aca="false">YEAR(B1994)</f>
        <v>2020</v>
      </c>
      <c r="P1994" s="54" t="n">
        <f aca="false">IF(AND(E1994&gt;=14400,K1994&gt;0,L1994&gt;0),1,0)</f>
        <v>0</v>
      </c>
      <c r="Q1994" s="53" t="n">
        <f aca="false">IF(P1994=1,F1994/E1994*MIN(L1994/K1994,1)*MIN(MAX(M1994/L1994,0),1),0)</f>
        <v>0</v>
      </c>
      <c r="R1994" s="55" t="n">
        <f aca="false">IF(F1994&gt;0,N1994/(F1994/3600),0)</f>
        <v>0</v>
      </c>
    </row>
    <row r="1995" customFormat="false" ht="15" hidden="false" customHeight="false" outlineLevel="0" collapsed="false">
      <c r="A1995" s="0" t="s">
        <v>262</v>
      </c>
      <c r="B1995" s="52" t="n">
        <v>43938</v>
      </c>
      <c r="C1995" s="0" t="n">
        <v>5938.697</v>
      </c>
      <c r="D1995" s="0" t="n">
        <v>3507.157</v>
      </c>
      <c r="E1995" s="0" t="n">
        <v>2431.54</v>
      </c>
      <c r="F1995" s="0" t="n">
        <v>0</v>
      </c>
      <c r="G1995" s="0" t="n">
        <v>0</v>
      </c>
      <c r="H1995" s="0" t="n">
        <v>0</v>
      </c>
      <c r="I1995" s="0" t="n">
        <v>0</v>
      </c>
      <c r="J1995" s="0" t="n">
        <v>2431.54</v>
      </c>
      <c r="K1995" s="0" t="n">
        <v>0</v>
      </c>
      <c r="L1995" s="0" t="n">
        <v>0</v>
      </c>
      <c r="M1995" s="0" t="n">
        <v>0</v>
      </c>
      <c r="N1995" s="0" t="n">
        <v>0</v>
      </c>
      <c r="O1995" s="54" t="n">
        <f aca="false">YEAR(B1995)</f>
        <v>2020</v>
      </c>
      <c r="P1995" s="54" t="n">
        <f aca="false">IF(AND(E1995&gt;=14400,K1995&gt;0,L1995&gt;0),1,0)</f>
        <v>0</v>
      </c>
      <c r="Q1995" s="53" t="n">
        <f aca="false">IF(P1995=1,F1995/E1995*MIN(L1995/K1995,1)*MIN(MAX(M1995/L1995,0),1),0)</f>
        <v>0</v>
      </c>
      <c r="R1995" s="55" t="n">
        <f aca="false">IF(F1995&gt;0,N1995/(F1995/3600),0)</f>
        <v>0</v>
      </c>
    </row>
    <row r="1996" customFormat="false" ht="15" hidden="false" customHeight="false" outlineLevel="0" collapsed="false">
      <c r="A1996" s="0" t="s">
        <v>262</v>
      </c>
      <c r="B1996" s="52" t="n">
        <v>43939</v>
      </c>
      <c r="C1996" s="0" t="n">
        <v>83810.14</v>
      </c>
      <c r="D1996" s="0" t="n">
        <v>28685.897</v>
      </c>
      <c r="E1996" s="0" t="n">
        <v>55124.243</v>
      </c>
      <c r="F1996" s="0" t="n">
        <v>18718.693</v>
      </c>
      <c r="G1996" s="0" t="n">
        <v>1004.763</v>
      </c>
      <c r="H1996" s="0" t="n">
        <v>17713.93</v>
      </c>
      <c r="I1996" s="0" t="n">
        <v>523.07</v>
      </c>
      <c r="J1996" s="0" t="n">
        <v>35882.48</v>
      </c>
      <c r="K1996" s="0" t="n">
        <v>24440.3740202778</v>
      </c>
      <c r="L1996" s="0" t="n">
        <v>1054</v>
      </c>
      <c r="M1996" s="0" t="n">
        <v>234</v>
      </c>
      <c r="N1996" s="0" t="n">
        <v>10</v>
      </c>
      <c r="O1996" s="54" t="n">
        <f aca="false">YEAR(B1996)</f>
        <v>2020</v>
      </c>
      <c r="P1996" s="54" t="n">
        <f aca="false">IF(AND(E1996&gt;=14400,K1996&gt;0,L1996&gt;0),1,0)</f>
        <v>1</v>
      </c>
      <c r="Q1996" s="53" t="n">
        <f aca="false">IF(P1996=1,F1996/E1996*MIN(L1996/K1996,1)*MIN(MAX(M1996/L1996,0),1),0)</f>
        <v>0.00325117908700599</v>
      </c>
      <c r="R1996" s="55" t="n">
        <f aca="false">IF(F1996&gt;0,N1996/(F1996/3600),0)</f>
        <v>1.92321119855964</v>
      </c>
    </row>
    <row r="1997" customFormat="false" ht="15" hidden="false" customHeight="false" outlineLevel="0" collapsed="false">
      <c r="A1997" s="0" t="s">
        <v>262</v>
      </c>
      <c r="B1997" s="52" t="n">
        <v>43940</v>
      </c>
      <c r="C1997" s="0" t="n">
        <v>77085.03</v>
      </c>
      <c r="D1997" s="0" t="n">
        <v>18169.478</v>
      </c>
      <c r="E1997" s="0" t="n">
        <v>58915.552</v>
      </c>
      <c r="F1997" s="0" t="n">
        <v>30400.431</v>
      </c>
      <c r="G1997" s="0" t="n">
        <v>14607.691</v>
      </c>
      <c r="H1997" s="0" t="n">
        <v>15792.74</v>
      </c>
      <c r="I1997" s="0" t="n">
        <v>4009.087</v>
      </c>
      <c r="J1997" s="0" t="n">
        <v>24506.034</v>
      </c>
      <c r="K1997" s="0" t="n">
        <v>42812.5842755556</v>
      </c>
      <c r="L1997" s="0" t="n">
        <v>22051</v>
      </c>
      <c r="M1997" s="0" t="n">
        <v>21620</v>
      </c>
      <c r="N1997" s="0" t="n">
        <v>37</v>
      </c>
      <c r="O1997" s="54" t="n">
        <f aca="false">YEAR(B1997)</f>
        <v>2020</v>
      </c>
      <c r="P1997" s="54" t="n">
        <f aca="false">IF(AND(E1997&gt;=14400,K1997&gt;0,L1997&gt;0),1,0)</f>
        <v>1</v>
      </c>
      <c r="Q1997" s="53" t="n">
        <f aca="false">IF(P1997=1,F1997/E1997*MIN(L1997/K1997,1)*MIN(MAX(M1997/L1997,0),1),0)</f>
        <v>0.260575773507217</v>
      </c>
      <c r="R1997" s="55" t="n">
        <f aca="false">IF(F1997&gt;0,N1997/(F1997/3600),0)</f>
        <v>4.38151682783708</v>
      </c>
    </row>
    <row r="1998" customFormat="false" ht="15" hidden="false" customHeight="false" outlineLevel="0" collapsed="false">
      <c r="A1998" s="0" t="s">
        <v>262</v>
      </c>
      <c r="B1998" s="52" t="n">
        <v>43941</v>
      </c>
      <c r="C1998" s="0" t="n">
        <v>75450.538</v>
      </c>
      <c r="D1998" s="0" t="n">
        <v>18776.311</v>
      </c>
      <c r="E1998" s="0" t="n">
        <v>56674.227</v>
      </c>
      <c r="F1998" s="0" t="n">
        <v>34660.935</v>
      </c>
      <c r="G1998" s="0" t="n">
        <v>23461.847</v>
      </c>
      <c r="H1998" s="0" t="n">
        <v>11199.088</v>
      </c>
      <c r="I1998" s="0" t="n">
        <v>1669.939</v>
      </c>
      <c r="J1998" s="0" t="n">
        <v>20343.353</v>
      </c>
      <c r="K1998" s="0" t="n">
        <v>54907.5161291667</v>
      </c>
      <c r="L1998" s="0" t="n">
        <v>37592</v>
      </c>
      <c r="M1998" s="0" t="n">
        <v>37414</v>
      </c>
      <c r="N1998" s="0" t="n">
        <v>38</v>
      </c>
      <c r="O1998" s="54" t="n">
        <f aca="false">YEAR(B1998)</f>
        <v>2020</v>
      </c>
      <c r="P1998" s="54" t="n">
        <f aca="false">IF(AND(E1998&gt;=14400,K1998&gt;0,L1998&gt;0),1,0)</f>
        <v>1</v>
      </c>
      <c r="Q1998" s="53" t="n">
        <f aca="false">IF(P1998=1,F1998/E1998*MIN(L1998/K1998,1)*MIN(MAX(M1998/L1998,0),1),0)</f>
        <v>0.416732155753384</v>
      </c>
      <c r="R1998" s="55" t="n">
        <f aca="false">IF(F1998&gt;0,N1998/(F1998/3600),0)</f>
        <v>3.94680639746158</v>
      </c>
    </row>
    <row r="1999" customFormat="false" ht="15" hidden="false" customHeight="false" outlineLevel="0" collapsed="false">
      <c r="A1999" s="0" t="s">
        <v>262</v>
      </c>
      <c r="B1999" s="52" t="n">
        <v>43943</v>
      </c>
      <c r="C1999" s="0" t="n">
        <v>33018.367</v>
      </c>
      <c r="D1999" s="0" t="n">
        <v>0</v>
      </c>
      <c r="E1999" s="0" t="n">
        <v>33018.367</v>
      </c>
      <c r="F1999" s="0" t="n">
        <v>289.111</v>
      </c>
      <c r="G1999" s="0" t="n">
        <v>0</v>
      </c>
      <c r="H1999" s="0" t="n">
        <v>289.111</v>
      </c>
      <c r="I1999" s="0" t="n">
        <v>0</v>
      </c>
      <c r="J1999" s="0" t="n">
        <v>32729.256</v>
      </c>
      <c r="K1999" s="0" t="n">
        <v>208.802388888889</v>
      </c>
      <c r="L1999" s="0" t="n">
        <v>0</v>
      </c>
      <c r="M1999" s="0" t="n">
        <v>0</v>
      </c>
      <c r="N1999" s="0" t="n">
        <v>0</v>
      </c>
      <c r="O1999" s="54" t="n">
        <f aca="false">YEAR(B1999)</f>
        <v>2020</v>
      </c>
      <c r="P1999" s="54" t="n">
        <f aca="false">IF(AND(E1999&gt;=14400,K1999&gt;0,L1999&gt;0),1,0)</f>
        <v>0</v>
      </c>
      <c r="Q1999" s="53" t="n">
        <f aca="false">IF(P1999=1,F1999/E1999*MIN(L1999/K1999,1)*MIN(MAX(M1999/L1999,0),1),0)</f>
        <v>0</v>
      </c>
      <c r="R1999" s="55" t="n">
        <f aca="false">IF(F1999&gt;0,N1999/(F1999/3600),0)</f>
        <v>0</v>
      </c>
    </row>
    <row r="2000" customFormat="false" ht="15" hidden="false" customHeight="false" outlineLevel="0" collapsed="false">
      <c r="A2000" s="0" t="s">
        <v>262</v>
      </c>
      <c r="B2000" s="52" t="n">
        <v>43944</v>
      </c>
      <c r="C2000" s="0" t="n">
        <v>46006.562</v>
      </c>
      <c r="D2000" s="0" t="n">
        <v>12082.71</v>
      </c>
      <c r="E2000" s="0" t="n">
        <v>33923.852</v>
      </c>
      <c r="F2000" s="0" t="n">
        <v>0</v>
      </c>
      <c r="G2000" s="0" t="n">
        <v>0</v>
      </c>
      <c r="H2000" s="0" t="n">
        <v>0</v>
      </c>
      <c r="I2000" s="0" t="n">
        <v>0</v>
      </c>
      <c r="J2000" s="0" t="n">
        <v>33923.852</v>
      </c>
      <c r="K2000" s="0" t="n">
        <v>0</v>
      </c>
      <c r="L2000" s="0" t="n">
        <v>0</v>
      </c>
      <c r="M2000" s="0" t="n">
        <v>0</v>
      </c>
      <c r="N2000" s="0" t="n">
        <v>0</v>
      </c>
      <c r="O2000" s="54" t="n">
        <f aca="false">YEAR(B2000)</f>
        <v>2020</v>
      </c>
      <c r="P2000" s="54" t="n">
        <f aca="false">IF(AND(E2000&gt;=14400,K2000&gt;0,L2000&gt;0),1,0)</f>
        <v>0</v>
      </c>
      <c r="Q2000" s="53" t="n">
        <f aca="false">IF(P2000=1,F2000/E2000*MIN(L2000/K2000,1)*MIN(MAX(M2000/L2000,0),1),0)</f>
        <v>0</v>
      </c>
      <c r="R2000" s="55" t="n">
        <f aca="false">IF(F2000&gt;0,N2000/(F2000/3600),0)</f>
        <v>0</v>
      </c>
    </row>
    <row r="2001" customFormat="false" ht="15" hidden="false" customHeight="false" outlineLevel="0" collapsed="false">
      <c r="A2001" s="0" t="s">
        <v>262</v>
      </c>
      <c r="B2001" s="52" t="n">
        <v>43945</v>
      </c>
      <c r="C2001" s="0" t="n">
        <v>90638.258</v>
      </c>
      <c r="D2001" s="0" t="n">
        <v>17531.577</v>
      </c>
      <c r="E2001" s="0" t="n">
        <v>73106.681</v>
      </c>
      <c r="F2001" s="0" t="n">
        <v>7139.101</v>
      </c>
      <c r="G2001" s="0" t="n">
        <v>49.46</v>
      </c>
      <c r="H2001" s="0" t="n">
        <v>7089.641</v>
      </c>
      <c r="I2001" s="0" t="n">
        <v>0</v>
      </c>
      <c r="J2001" s="0" t="n">
        <v>65967.58</v>
      </c>
      <c r="K2001" s="0" t="n">
        <v>9634.72358333333</v>
      </c>
      <c r="L2001" s="0" t="n">
        <v>69</v>
      </c>
      <c r="M2001" s="0" t="n">
        <v>60</v>
      </c>
      <c r="N2001" s="0" t="n">
        <v>0</v>
      </c>
      <c r="O2001" s="54" t="n">
        <f aca="false">YEAR(B2001)</f>
        <v>2020</v>
      </c>
      <c r="P2001" s="54" t="n">
        <f aca="false">IF(AND(E2001&gt;=14400,K2001&gt;0,L2001&gt;0),1,0)</f>
        <v>1</v>
      </c>
      <c r="Q2001" s="53" t="n">
        <f aca="false">IF(P2001=1,F2001/E2001*MIN(L2001/K2001,1)*MIN(MAX(M2001/L2001,0),1),0)</f>
        <v>0.000608132830115293</v>
      </c>
      <c r="R2001" s="55" t="n">
        <f aca="false">IF(F2001&gt;0,N2001/(F2001/3600),0)</f>
        <v>0</v>
      </c>
    </row>
    <row r="2002" customFormat="false" ht="15" hidden="false" customHeight="false" outlineLevel="0" collapsed="false">
      <c r="A2002" s="0" t="s">
        <v>262</v>
      </c>
      <c r="B2002" s="52" t="n">
        <v>43946</v>
      </c>
      <c r="C2002" s="0" t="n">
        <v>80723.718</v>
      </c>
      <c r="D2002" s="0" t="n">
        <v>10806.757</v>
      </c>
      <c r="E2002" s="0" t="n">
        <v>69916.961</v>
      </c>
      <c r="F2002" s="0" t="n">
        <v>50705.508</v>
      </c>
      <c r="G2002" s="0" t="n">
        <v>34290.123</v>
      </c>
      <c r="H2002" s="0" t="n">
        <v>16415.385</v>
      </c>
      <c r="I2002" s="0" t="n">
        <v>7385.184</v>
      </c>
      <c r="J2002" s="0" t="n">
        <v>11826.269</v>
      </c>
      <c r="K2002" s="0" t="n">
        <v>81576.0278338889</v>
      </c>
      <c r="L2002" s="0" t="n">
        <v>56273</v>
      </c>
      <c r="M2002" s="0" t="n">
        <v>55770</v>
      </c>
      <c r="N2002" s="0" t="n">
        <v>118</v>
      </c>
      <c r="O2002" s="54" t="n">
        <f aca="false">YEAR(B2002)</f>
        <v>2020</v>
      </c>
      <c r="P2002" s="54" t="n">
        <f aca="false">IF(AND(E2002&gt;=14400,K2002&gt;0,L2002&gt;0),1,0)</f>
        <v>1</v>
      </c>
      <c r="Q2002" s="53" t="n">
        <f aca="false">IF(P2002=1,F2002/E2002*MIN(L2002/K2002,1)*MIN(MAX(M2002/L2002,0),1),0)</f>
        <v>0.495804752178723</v>
      </c>
      <c r="R2002" s="55" t="n">
        <f aca="false">IF(F2002&gt;0,N2002/(F2002/3600),0)</f>
        <v>8.37778806988779</v>
      </c>
    </row>
    <row r="2003" customFormat="false" ht="15" hidden="false" customHeight="false" outlineLevel="0" collapsed="false">
      <c r="A2003" s="0" t="s">
        <v>262</v>
      </c>
      <c r="B2003" s="52" t="n">
        <v>43947</v>
      </c>
      <c r="C2003" s="0" t="n">
        <v>84487.512</v>
      </c>
      <c r="D2003" s="0" t="n">
        <v>17592.145</v>
      </c>
      <c r="E2003" s="0" t="n">
        <v>66895.367</v>
      </c>
      <c r="F2003" s="0" t="n">
        <v>45459.599</v>
      </c>
      <c r="G2003" s="0" t="n">
        <v>36769.308</v>
      </c>
      <c r="H2003" s="0" t="n">
        <v>8690.291</v>
      </c>
      <c r="I2003" s="0" t="n">
        <v>4659.228</v>
      </c>
      <c r="J2003" s="0" t="n">
        <v>16776.54</v>
      </c>
      <c r="K2003" s="0" t="n">
        <v>74788.6880866667</v>
      </c>
      <c r="L2003" s="0" t="n">
        <v>61146</v>
      </c>
      <c r="M2003" s="0" t="n">
        <v>60709</v>
      </c>
      <c r="N2003" s="0" t="n">
        <v>98</v>
      </c>
      <c r="O2003" s="54" t="n">
        <f aca="false">YEAR(B2003)</f>
        <v>2020</v>
      </c>
      <c r="P2003" s="54" t="n">
        <f aca="false">IF(AND(E2003&gt;=14400,K2003&gt;0,L2003&gt;0),1,0)</f>
        <v>1</v>
      </c>
      <c r="Q2003" s="53" t="n">
        <f aca="false">IF(P2003=1,F2003/E2003*MIN(L2003/K2003,1)*MIN(MAX(M2003/L2003,0),1),0)</f>
        <v>0.551628535494871</v>
      </c>
      <c r="R2003" s="55" t="n">
        <f aca="false">IF(F2003&gt;0,N2003/(F2003/3600),0)</f>
        <v>7.76073717676216</v>
      </c>
    </row>
    <row r="2004" customFormat="false" ht="15" hidden="false" customHeight="false" outlineLevel="0" collapsed="false">
      <c r="A2004" s="0" t="s">
        <v>262</v>
      </c>
      <c r="B2004" s="52" t="n">
        <v>43948</v>
      </c>
      <c r="C2004" s="0" t="n">
        <v>96140.595</v>
      </c>
      <c r="D2004" s="0" t="n">
        <v>19408.665</v>
      </c>
      <c r="E2004" s="0" t="n">
        <v>76731.93</v>
      </c>
      <c r="F2004" s="0" t="n">
        <v>41803.453</v>
      </c>
      <c r="G2004" s="0" t="n">
        <v>33707.036</v>
      </c>
      <c r="H2004" s="0" t="n">
        <v>8096.417</v>
      </c>
      <c r="I2004" s="0" t="n">
        <v>2397.6</v>
      </c>
      <c r="J2004" s="0" t="n">
        <v>32530.877</v>
      </c>
      <c r="K2004" s="0" t="n">
        <v>71578.0136847222</v>
      </c>
      <c r="L2004" s="0" t="n">
        <v>59023</v>
      </c>
      <c r="M2004" s="0" t="n">
        <v>58599</v>
      </c>
      <c r="N2004" s="0" t="n">
        <v>48</v>
      </c>
      <c r="O2004" s="54" t="n">
        <f aca="false">YEAR(B2004)</f>
        <v>2020</v>
      </c>
      <c r="P2004" s="54" t="n">
        <f aca="false">IF(AND(E2004&gt;=14400,K2004&gt;0,L2004&gt;0),1,0)</f>
        <v>1</v>
      </c>
      <c r="Q2004" s="53" t="n">
        <f aca="false">IF(P2004=1,F2004/E2004*MIN(L2004/K2004,1)*MIN(MAX(M2004/L2004,0),1),0)</f>
        <v>0.446012054629371</v>
      </c>
      <c r="R2004" s="55" t="n">
        <f aca="false">IF(F2004&gt;0,N2004/(F2004/3600),0)</f>
        <v>4.13362982239769</v>
      </c>
    </row>
    <row r="2005" customFormat="false" ht="15" hidden="false" customHeight="false" outlineLevel="0" collapsed="false">
      <c r="A2005" s="0" t="s">
        <v>262</v>
      </c>
      <c r="B2005" s="52" t="n">
        <v>43949</v>
      </c>
      <c r="C2005" s="0" t="n">
        <v>42249.483</v>
      </c>
      <c r="D2005" s="0" t="n">
        <v>2424.833</v>
      </c>
      <c r="E2005" s="0" t="n">
        <v>39824.65</v>
      </c>
      <c r="F2005" s="0" t="n">
        <v>49.13</v>
      </c>
      <c r="G2005" s="0" t="n">
        <v>0</v>
      </c>
      <c r="H2005" s="0" t="n">
        <v>49.13</v>
      </c>
      <c r="I2005" s="0" t="n">
        <v>0</v>
      </c>
      <c r="J2005" s="0" t="n">
        <v>39775.52</v>
      </c>
      <c r="K2005" s="0" t="n">
        <v>79.83625</v>
      </c>
      <c r="L2005" s="0" t="n">
        <v>0</v>
      </c>
      <c r="M2005" s="0" t="n">
        <v>0</v>
      </c>
      <c r="N2005" s="0" t="n">
        <v>0</v>
      </c>
      <c r="O2005" s="54" t="n">
        <f aca="false">YEAR(B2005)</f>
        <v>2020</v>
      </c>
      <c r="P2005" s="54" t="n">
        <f aca="false">IF(AND(E2005&gt;=14400,K2005&gt;0,L2005&gt;0),1,0)</f>
        <v>0</v>
      </c>
      <c r="Q2005" s="53" t="n">
        <f aca="false">IF(P2005=1,F2005/E2005*MIN(L2005/K2005,1)*MIN(MAX(M2005/L2005,0),1),0)</f>
        <v>0</v>
      </c>
      <c r="R2005" s="55" t="n">
        <f aca="false">IF(F2005&gt;0,N2005/(F2005/3600),0)</f>
        <v>0</v>
      </c>
    </row>
    <row r="2006" customFormat="false" ht="15" hidden="false" customHeight="false" outlineLevel="0" collapsed="false">
      <c r="A2006" s="0" t="s">
        <v>262</v>
      </c>
      <c r="B2006" s="52" t="n">
        <v>43950</v>
      </c>
      <c r="C2006" s="0" t="n">
        <v>1388.1</v>
      </c>
      <c r="D2006" s="0" t="n">
        <v>488.1</v>
      </c>
      <c r="E2006" s="0" t="n">
        <v>900</v>
      </c>
      <c r="F2006" s="0" t="n">
        <v>0</v>
      </c>
      <c r="G2006" s="0" t="n">
        <v>0</v>
      </c>
      <c r="H2006" s="0" t="n">
        <v>0</v>
      </c>
      <c r="I2006" s="0" t="n">
        <v>0</v>
      </c>
      <c r="J2006" s="0" t="n">
        <v>900</v>
      </c>
      <c r="K2006" s="0" t="n">
        <v>0</v>
      </c>
      <c r="L2006" s="0" t="n">
        <v>0</v>
      </c>
      <c r="M2006" s="0" t="n">
        <v>0</v>
      </c>
      <c r="N2006" s="0" t="n">
        <v>0</v>
      </c>
      <c r="O2006" s="54" t="n">
        <f aca="false">YEAR(B2006)</f>
        <v>2020</v>
      </c>
      <c r="P2006" s="54" t="n">
        <f aca="false">IF(AND(E2006&gt;=14400,K2006&gt;0,L2006&gt;0),1,0)</f>
        <v>0</v>
      </c>
      <c r="Q2006" s="53" t="n">
        <f aca="false">IF(P2006=1,F2006/E2006*MIN(L2006/K2006,1)*MIN(MAX(M2006/L2006,0),1),0)</f>
        <v>0</v>
      </c>
      <c r="R2006" s="55" t="n">
        <f aca="false">IF(F2006&gt;0,N2006/(F2006/3600),0)</f>
        <v>0</v>
      </c>
    </row>
    <row r="2007" customFormat="false" ht="15" hidden="false" customHeight="false" outlineLevel="0" collapsed="false">
      <c r="A2007" s="0" t="s">
        <v>262</v>
      </c>
      <c r="B2007" s="52" t="n">
        <v>43951</v>
      </c>
      <c r="C2007" s="0" t="n">
        <v>53153.049</v>
      </c>
      <c r="D2007" s="0" t="n">
        <v>26942.143</v>
      </c>
      <c r="E2007" s="0" t="n">
        <v>26210.906</v>
      </c>
      <c r="F2007" s="0" t="n">
        <v>0</v>
      </c>
      <c r="G2007" s="0" t="n">
        <v>0</v>
      </c>
      <c r="H2007" s="0" t="n">
        <v>0</v>
      </c>
      <c r="I2007" s="0" t="n">
        <v>0</v>
      </c>
      <c r="J2007" s="0" t="n">
        <v>26210.906</v>
      </c>
      <c r="K2007" s="0" t="n">
        <v>0</v>
      </c>
      <c r="L2007" s="0" t="n">
        <v>0</v>
      </c>
      <c r="M2007" s="0" t="n">
        <v>0</v>
      </c>
      <c r="N2007" s="0" t="n">
        <v>0</v>
      </c>
      <c r="O2007" s="54" t="n">
        <f aca="false">YEAR(B2007)</f>
        <v>2020</v>
      </c>
      <c r="P2007" s="54" t="n">
        <f aca="false">IF(AND(E2007&gt;=14400,K2007&gt;0,L2007&gt;0),1,0)</f>
        <v>0</v>
      </c>
      <c r="Q2007" s="53" t="n">
        <f aca="false">IF(P2007=1,F2007/E2007*MIN(L2007/K2007,1)*MIN(MAX(M2007/L2007,0),1),0)</f>
        <v>0</v>
      </c>
      <c r="R2007" s="55" t="n">
        <f aca="false">IF(F2007&gt;0,N2007/(F2007/3600),0)</f>
        <v>0</v>
      </c>
    </row>
    <row r="2008" customFormat="false" ht="15" hidden="false" customHeight="false" outlineLevel="0" collapsed="false">
      <c r="A2008" s="0" t="s">
        <v>262</v>
      </c>
      <c r="B2008" s="52" t="n">
        <v>43952</v>
      </c>
      <c r="C2008" s="0" t="n">
        <v>90860.601</v>
      </c>
      <c r="D2008" s="0" t="n">
        <v>14959.997</v>
      </c>
      <c r="E2008" s="0" t="n">
        <v>75900.604</v>
      </c>
      <c r="F2008" s="0" t="n">
        <v>58266.36</v>
      </c>
      <c r="G2008" s="0" t="n">
        <v>50504.052</v>
      </c>
      <c r="H2008" s="0" t="n">
        <v>7762.308</v>
      </c>
      <c r="I2008" s="0" t="n">
        <v>2624.256</v>
      </c>
      <c r="J2008" s="0" t="n">
        <v>15009.988</v>
      </c>
      <c r="K2008" s="0" t="n">
        <v>96213.1601930556</v>
      </c>
      <c r="L2008" s="0" t="n">
        <v>87639</v>
      </c>
      <c r="M2008" s="0" t="n">
        <v>87287</v>
      </c>
      <c r="N2008" s="0" t="n">
        <v>39</v>
      </c>
      <c r="O2008" s="54" t="n">
        <f aca="false">YEAR(B2008)</f>
        <v>2020</v>
      </c>
      <c r="P2008" s="54" t="n">
        <f aca="false">IF(AND(E2008&gt;=14400,K2008&gt;0,L2008&gt;0),1,0)</f>
        <v>1</v>
      </c>
      <c r="Q2008" s="53" t="n">
        <f aca="false">IF(P2008=1,F2008/E2008*MIN(L2008/K2008,1)*MIN(MAX(M2008/L2008,0),1),0)</f>
        <v>0.696446473409154</v>
      </c>
      <c r="R2008" s="55" t="n">
        <f aca="false">IF(F2008&gt;0,N2008/(F2008/3600),0)</f>
        <v>2.40962366621152</v>
      </c>
    </row>
    <row r="2009" customFormat="false" ht="15" hidden="false" customHeight="false" outlineLevel="0" collapsed="false">
      <c r="A2009" s="0" t="s">
        <v>262</v>
      </c>
      <c r="B2009" s="52" t="n">
        <v>43953</v>
      </c>
      <c r="C2009" s="0" t="n">
        <v>78219.114</v>
      </c>
      <c r="D2009" s="0" t="n">
        <v>9548.179</v>
      </c>
      <c r="E2009" s="0" t="n">
        <v>68670.935</v>
      </c>
      <c r="F2009" s="0" t="n">
        <v>55920.559</v>
      </c>
      <c r="G2009" s="0" t="n">
        <v>43144.049</v>
      </c>
      <c r="H2009" s="0" t="n">
        <v>12776.51</v>
      </c>
      <c r="I2009" s="0" t="n">
        <v>3460.964</v>
      </c>
      <c r="J2009" s="0" t="n">
        <v>9289.412</v>
      </c>
      <c r="K2009" s="0" t="n">
        <v>94112.9694272222</v>
      </c>
      <c r="L2009" s="0" t="n">
        <v>72195</v>
      </c>
      <c r="M2009" s="0" t="n">
        <v>71674</v>
      </c>
      <c r="N2009" s="0" t="n">
        <v>75</v>
      </c>
      <c r="O2009" s="54" t="n">
        <f aca="false">YEAR(B2009)</f>
        <v>2020</v>
      </c>
      <c r="P2009" s="54" t="n">
        <f aca="false">IF(AND(E2009&gt;=14400,K2009&gt;0,L2009&gt;0),1,0)</f>
        <v>1</v>
      </c>
      <c r="Q2009" s="53" t="n">
        <f aca="false">IF(P2009=1,F2009/E2009*MIN(L2009/K2009,1)*MIN(MAX(M2009/L2009,0),1),0)</f>
        <v>0.620169936494157</v>
      </c>
      <c r="R2009" s="55" t="n">
        <f aca="false">IF(F2009&gt;0,N2009/(F2009/3600),0)</f>
        <v>4.82827791474688</v>
      </c>
    </row>
    <row r="2010" customFormat="false" ht="15" hidden="false" customHeight="false" outlineLevel="0" collapsed="false">
      <c r="A2010" s="0" t="s">
        <v>262</v>
      </c>
      <c r="B2010" s="52" t="n">
        <v>43954</v>
      </c>
      <c r="C2010" s="0" t="n">
        <v>77665.806</v>
      </c>
      <c r="D2010" s="0" t="n">
        <v>10424.529</v>
      </c>
      <c r="E2010" s="0" t="n">
        <v>67241.277</v>
      </c>
      <c r="F2010" s="0" t="n">
        <v>30620.646</v>
      </c>
      <c r="G2010" s="0" t="n">
        <v>19137.766</v>
      </c>
      <c r="H2010" s="0" t="n">
        <v>11482.88</v>
      </c>
      <c r="I2010" s="0" t="n">
        <v>3699.181</v>
      </c>
      <c r="J2010" s="0" t="n">
        <v>32921.45</v>
      </c>
      <c r="K2010" s="0" t="n">
        <v>45451.9139288889</v>
      </c>
      <c r="L2010" s="0" t="n">
        <v>27531</v>
      </c>
      <c r="M2010" s="0" t="n">
        <v>27435</v>
      </c>
      <c r="N2010" s="0" t="n">
        <v>60</v>
      </c>
      <c r="O2010" s="54" t="n">
        <f aca="false">YEAR(B2010)</f>
        <v>2020</v>
      </c>
      <c r="P2010" s="54" t="n">
        <f aca="false">IF(AND(E2010&gt;=14400,K2010&gt;0,L2010&gt;0),1,0)</f>
        <v>1</v>
      </c>
      <c r="Q2010" s="53" t="n">
        <f aca="false">IF(P2010=1,F2010/E2010*MIN(L2010/K2010,1)*MIN(MAX(M2010/L2010,0),1),0)</f>
        <v>0.274872432001097</v>
      </c>
      <c r="R2010" s="55" t="n">
        <f aca="false">IF(F2010&gt;0,N2010/(F2010/3600),0)</f>
        <v>7.05406411086167</v>
      </c>
    </row>
    <row r="2011" customFormat="false" ht="15" hidden="false" customHeight="false" outlineLevel="0" collapsed="false">
      <c r="A2011" s="0" t="s">
        <v>262</v>
      </c>
      <c r="B2011" s="52" t="n">
        <v>43955</v>
      </c>
      <c r="C2011" s="0" t="n">
        <v>85311.846</v>
      </c>
      <c r="D2011" s="0" t="n">
        <v>16583.195</v>
      </c>
      <c r="E2011" s="0" t="n">
        <v>68728.651</v>
      </c>
      <c r="F2011" s="0" t="n">
        <v>57674.2</v>
      </c>
      <c r="G2011" s="0" t="n">
        <v>48599.019</v>
      </c>
      <c r="H2011" s="0" t="n">
        <v>9075.181</v>
      </c>
      <c r="I2011" s="0" t="n">
        <v>1117.002</v>
      </c>
      <c r="J2011" s="0" t="n">
        <v>9937.449</v>
      </c>
      <c r="K2011" s="0" t="n">
        <v>100167.598967778</v>
      </c>
      <c r="L2011" s="0" t="n">
        <v>85800</v>
      </c>
      <c r="M2011" s="0" t="n">
        <v>85366</v>
      </c>
      <c r="N2011" s="0" t="n">
        <v>15</v>
      </c>
      <c r="O2011" s="54" t="n">
        <f aca="false">YEAR(B2011)</f>
        <v>2020</v>
      </c>
      <c r="P2011" s="54" t="n">
        <f aca="false">IF(AND(E2011&gt;=14400,K2011&gt;0,L2011&gt;0),1,0)</f>
        <v>1</v>
      </c>
      <c r="Q2011" s="53" t="n">
        <f aca="false">IF(P2011=1,F2011/E2011*MIN(L2011/K2011,1)*MIN(MAX(M2011/L2011,0),1),0)</f>
        <v>0.715157055775533</v>
      </c>
      <c r="R2011" s="55" t="n">
        <f aca="false">IF(F2011&gt;0,N2011/(F2011/3600),0)</f>
        <v>0.936293871436448</v>
      </c>
    </row>
    <row r="2012" customFormat="false" ht="15" hidden="false" customHeight="false" outlineLevel="0" collapsed="false">
      <c r="A2012" s="0" t="s">
        <v>262</v>
      </c>
      <c r="B2012" s="52" t="n">
        <v>43956</v>
      </c>
      <c r="C2012" s="0" t="n">
        <v>86301.327</v>
      </c>
      <c r="D2012" s="0" t="n">
        <v>18990.986</v>
      </c>
      <c r="E2012" s="0" t="n">
        <v>67310.341</v>
      </c>
      <c r="F2012" s="0" t="n">
        <v>52902.703</v>
      </c>
      <c r="G2012" s="0" t="n">
        <v>42416.8</v>
      </c>
      <c r="H2012" s="0" t="n">
        <v>10485.903</v>
      </c>
      <c r="I2012" s="0" t="n">
        <v>2112.654</v>
      </c>
      <c r="J2012" s="0" t="n">
        <v>12294.984</v>
      </c>
      <c r="K2012" s="0" t="n">
        <v>78196.4711297222</v>
      </c>
      <c r="L2012" s="0" t="n">
        <v>70153</v>
      </c>
      <c r="M2012" s="0" t="n">
        <v>69793</v>
      </c>
      <c r="N2012" s="0" t="n">
        <v>40</v>
      </c>
      <c r="O2012" s="54" t="n">
        <f aca="false">YEAR(B2012)</f>
        <v>2020</v>
      </c>
      <c r="P2012" s="54" t="n">
        <f aca="false">IF(AND(E2012&gt;=14400,K2012&gt;0,L2012&gt;0),1,0)</f>
        <v>1</v>
      </c>
      <c r="Q2012" s="53" t="n">
        <f aca="false">IF(P2012=1,F2012/E2012*MIN(L2012/K2012,1)*MIN(MAX(M2012/L2012,0),1),0)</f>
        <v>0.701488868108774</v>
      </c>
      <c r="R2012" s="55" t="n">
        <f aca="false">IF(F2012&gt;0,N2012/(F2012/3600),0)</f>
        <v>2.72197811896303</v>
      </c>
    </row>
    <row r="2013" customFormat="false" ht="15" hidden="false" customHeight="false" outlineLevel="0" collapsed="false">
      <c r="A2013" s="0" t="s">
        <v>262</v>
      </c>
      <c r="B2013" s="52" t="n">
        <v>43957</v>
      </c>
      <c r="C2013" s="0" t="n">
        <v>78707.214</v>
      </c>
      <c r="D2013" s="0" t="n">
        <v>15701.559</v>
      </c>
      <c r="E2013" s="0" t="n">
        <v>63005.655</v>
      </c>
      <c r="F2013" s="0" t="n">
        <v>14488.45</v>
      </c>
      <c r="G2013" s="0" t="n">
        <v>2626.822</v>
      </c>
      <c r="H2013" s="0" t="n">
        <v>11861.628</v>
      </c>
      <c r="I2013" s="0" t="n">
        <v>1211.899</v>
      </c>
      <c r="J2013" s="0" t="n">
        <v>47305.306</v>
      </c>
      <c r="K2013" s="0" t="n">
        <v>16339.7191877778</v>
      </c>
      <c r="L2013" s="0" t="n">
        <v>2093</v>
      </c>
      <c r="M2013" s="0" t="n">
        <v>1929</v>
      </c>
      <c r="N2013" s="0" t="n">
        <v>3</v>
      </c>
      <c r="O2013" s="54" t="n">
        <f aca="false">YEAR(B2013)</f>
        <v>2020</v>
      </c>
      <c r="P2013" s="54" t="n">
        <f aca="false">IF(AND(E2013&gt;=14400,K2013&gt;0,L2013&gt;0),1,0)</f>
        <v>1</v>
      </c>
      <c r="Q2013" s="53" t="n">
        <f aca="false">IF(P2013=1,F2013/E2013*MIN(L2013/K2013,1)*MIN(MAX(M2013/L2013,0),1),0)</f>
        <v>0.0271475120562537</v>
      </c>
      <c r="R2013" s="55" t="n">
        <f aca="false">IF(F2013&gt;0,N2013/(F2013/3600),0)</f>
        <v>0.745421352870735</v>
      </c>
    </row>
    <row r="2014" customFormat="false" ht="15" hidden="false" customHeight="false" outlineLevel="0" collapsed="false">
      <c r="A2014" s="0" t="s">
        <v>262</v>
      </c>
      <c r="B2014" s="52" t="n">
        <v>43958</v>
      </c>
      <c r="C2014" s="0" t="n">
        <v>76572.322</v>
      </c>
      <c r="D2014" s="0" t="n">
        <v>24401.154</v>
      </c>
      <c r="E2014" s="0" t="n">
        <v>52171.168</v>
      </c>
      <c r="F2014" s="0" t="n">
        <v>25591.929</v>
      </c>
      <c r="G2014" s="0" t="n">
        <v>11991.515</v>
      </c>
      <c r="H2014" s="0" t="n">
        <v>13600.414</v>
      </c>
      <c r="I2014" s="0" t="n">
        <v>1053.747</v>
      </c>
      <c r="J2014" s="0" t="n">
        <v>25525.492</v>
      </c>
      <c r="K2014" s="0" t="n">
        <v>38604.0537733333</v>
      </c>
      <c r="L2014" s="0" t="n">
        <v>19511</v>
      </c>
      <c r="M2014" s="0" t="n">
        <v>19212</v>
      </c>
      <c r="N2014" s="0" t="n">
        <v>27</v>
      </c>
      <c r="O2014" s="54" t="n">
        <f aca="false">YEAR(B2014)</f>
        <v>2020</v>
      </c>
      <c r="P2014" s="54" t="n">
        <f aca="false">IF(AND(E2014&gt;=14400,K2014&gt;0,L2014&gt;0),1,0)</f>
        <v>1</v>
      </c>
      <c r="Q2014" s="53" t="n">
        <f aca="false">IF(P2014=1,F2014/E2014*MIN(L2014/K2014,1)*MIN(MAX(M2014/L2014,0),1),0)</f>
        <v>0.244124928179945</v>
      </c>
      <c r="R2014" s="55" t="n">
        <f aca="false">IF(F2014&gt;0,N2014/(F2014/3600),0)</f>
        <v>3.79807243135131</v>
      </c>
    </row>
    <row r="2015" customFormat="false" ht="15" hidden="false" customHeight="false" outlineLevel="0" collapsed="false">
      <c r="A2015" s="0" t="s">
        <v>262</v>
      </c>
      <c r="B2015" s="52" t="n">
        <v>43959</v>
      </c>
      <c r="C2015" s="0" t="n">
        <v>87521.77</v>
      </c>
      <c r="D2015" s="0" t="n">
        <v>17108.568</v>
      </c>
      <c r="E2015" s="0" t="n">
        <v>70413.202</v>
      </c>
      <c r="F2015" s="0" t="n">
        <v>51375.948</v>
      </c>
      <c r="G2015" s="0" t="n">
        <v>48010.462</v>
      </c>
      <c r="H2015" s="0" t="n">
        <v>3365.486</v>
      </c>
      <c r="I2015" s="0" t="n">
        <v>2187.396</v>
      </c>
      <c r="J2015" s="0" t="n">
        <v>16849.858</v>
      </c>
      <c r="K2015" s="0" t="n">
        <v>90970.1092094445</v>
      </c>
      <c r="L2015" s="0" t="n">
        <v>85477</v>
      </c>
      <c r="M2015" s="0" t="n">
        <v>84551</v>
      </c>
      <c r="N2015" s="0" t="n">
        <v>42</v>
      </c>
      <c r="O2015" s="54" t="n">
        <f aca="false">YEAR(B2015)</f>
        <v>2020</v>
      </c>
      <c r="P2015" s="54" t="n">
        <f aca="false">IF(AND(E2015&gt;=14400,K2015&gt;0,L2015&gt;0),1,0)</f>
        <v>1</v>
      </c>
      <c r="Q2015" s="53" t="n">
        <f aca="false">IF(P2015=1,F2015/E2015*MIN(L2015/K2015,1)*MIN(MAX(M2015/L2015,0),1),0)</f>
        <v>0.67815003258201</v>
      </c>
      <c r="R2015" s="55" t="n">
        <f aca="false">IF(F2015&gt;0,N2015/(F2015/3600),0)</f>
        <v>2.94301138735192</v>
      </c>
    </row>
    <row r="2016" customFormat="false" ht="15" hidden="false" customHeight="false" outlineLevel="0" collapsed="false">
      <c r="A2016" s="0" t="s">
        <v>262</v>
      </c>
      <c r="B2016" s="52" t="n">
        <v>43960</v>
      </c>
      <c r="C2016" s="0" t="n">
        <v>87490.233</v>
      </c>
      <c r="D2016" s="0" t="n">
        <v>12157.734</v>
      </c>
      <c r="E2016" s="0" t="n">
        <v>75332.499</v>
      </c>
      <c r="F2016" s="0" t="n">
        <v>60528.903</v>
      </c>
      <c r="G2016" s="0" t="n">
        <v>54925.423</v>
      </c>
      <c r="H2016" s="0" t="n">
        <v>5603.48</v>
      </c>
      <c r="I2016" s="0" t="n">
        <v>4967.171</v>
      </c>
      <c r="J2016" s="0" t="n">
        <v>9836.425</v>
      </c>
      <c r="K2016" s="0" t="n">
        <v>101712.936157778</v>
      </c>
      <c r="L2016" s="0" t="n">
        <v>95549</v>
      </c>
      <c r="M2016" s="0" t="n">
        <v>95395</v>
      </c>
      <c r="N2016" s="0" t="n">
        <v>132</v>
      </c>
      <c r="O2016" s="54" t="n">
        <f aca="false">YEAR(B2016)</f>
        <v>2020</v>
      </c>
      <c r="P2016" s="54" t="n">
        <f aca="false">IF(AND(E2016&gt;=14400,K2016&gt;0,L2016&gt;0),1,0)</f>
        <v>1</v>
      </c>
      <c r="Q2016" s="53" t="n">
        <f aca="false">IF(P2016=1,F2016/E2016*MIN(L2016/K2016,1)*MIN(MAX(M2016/L2016,0),1),0)</f>
        <v>0.753580842914175</v>
      </c>
      <c r="R2016" s="55" t="n">
        <f aca="false">IF(F2016&gt;0,N2016/(F2016/3600),0)</f>
        <v>7.85079485085002</v>
      </c>
    </row>
    <row r="2017" customFormat="false" ht="15" hidden="false" customHeight="false" outlineLevel="0" collapsed="false">
      <c r="A2017" s="0" t="s">
        <v>262</v>
      </c>
      <c r="B2017" s="52" t="n">
        <v>43961</v>
      </c>
      <c r="C2017" s="0" t="n">
        <v>83811.716</v>
      </c>
      <c r="D2017" s="0" t="n">
        <v>18474.394</v>
      </c>
      <c r="E2017" s="0" t="n">
        <v>65337.322</v>
      </c>
      <c r="F2017" s="0" t="n">
        <v>48171.061</v>
      </c>
      <c r="G2017" s="0" t="n">
        <v>31199.538</v>
      </c>
      <c r="H2017" s="0" t="n">
        <v>16971.523</v>
      </c>
      <c r="I2017" s="0" t="n">
        <v>2498.568</v>
      </c>
      <c r="J2017" s="0" t="n">
        <v>14667.693</v>
      </c>
      <c r="K2017" s="0" t="n">
        <v>77876.017355</v>
      </c>
      <c r="L2017" s="0" t="n">
        <v>49114</v>
      </c>
      <c r="M2017" s="0" t="n">
        <v>48856</v>
      </c>
      <c r="N2017" s="0" t="n">
        <v>28</v>
      </c>
      <c r="O2017" s="54" t="n">
        <f aca="false">YEAR(B2017)</f>
        <v>2020</v>
      </c>
      <c r="P2017" s="54" t="n">
        <f aca="false">IF(AND(E2017&gt;=14400,K2017&gt;0,L2017&gt;0),1,0)</f>
        <v>1</v>
      </c>
      <c r="Q2017" s="53" t="n">
        <f aca="false">IF(P2017=1,F2017/E2017*MIN(L2017/K2017,1)*MIN(MAX(M2017/L2017,0),1),0)</f>
        <v>0.462529093930509</v>
      </c>
      <c r="R2017" s="55" t="n">
        <f aca="false">IF(F2017&gt;0,N2017/(F2017/3600),0)</f>
        <v>2.09254265750966</v>
      </c>
    </row>
    <row r="2018" customFormat="false" ht="15" hidden="false" customHeight="false" outlineLevel="0" collapsed="false">
      <c r="A2018" s="0" t="s">
        <v>262</v>
      </c>
      <c r="B2018" s="52" t="n">
        <v>43962</v>
      </c>
      <c r="C2018" s="0" t="n">
        <v>77912.48</v>
      </c>
      <c r="D2018" s="0" t="n">
        <v>16282.233</v>
      </c>
      <c r="E2018" s="0" t="n">
        <v>61630.247</v>
      </c>
      <c r="F2018" s="0" t="n">
        <v>36616.452</v>
      </c>
      <c r="G2018" s="0" t="n">
        <v>27250.873</v>
      </c>
      <c r="H2018" s="0" t="n">
        <v>9365.579</v>
      </c>
      <c r="I2018" s="0" t="n">
        <v>1242.018</v>
      </c>
      <c r="J2018" s="0" t="n">
        <v>23771.777</v>
      </c>
      <c r="K2018" s="0" t="n">
        <v>62420.9094677778</v>
      </c>
      <c r="L2018" s="0" t="n">
        <v>46651</v>
      </c>
      <c r="M2018" s="0" t="n">
        <v>46338</v>
      </c>
      <c r="N2018" s="0" t="n">
        <v>20</v>
      </c>
      <c r="O2018" s="54" t="n">
        <f aca="false">YEAR(B2018)</f>
        <v>2020</v>
      </c>
      <c r="P2018" s="54" t="n">
        <f aca="false">IF(AND(E2018&gt;=14400,K2018&gt;0,L2018&gt;0),1,0)</f>
        <v>1</v>
      </c>
      <c r="Q2018" s="53" t="n">
        <f aca="false">IF(P2018=1,F2018/E2018*MIN(L2018/K2018,1)*MIN(MAX(M2018/L2018,0),1),0)</f>
        <v>0.441051745711463</v>
      </c>
      <c r="R2018" s="55" t="n">
        <f aca="false">IF(F2018&gt;0,N2018/(F2018/3600),0)</f>
        <v>1.96632923364612</v>
      </c>
    </row>
    <row r="2019" customFormat="false" ht="15" hidden="false" customHeight="false" outlineLevel="0" collapsed="false">
      <c r="A2019" s="0" t="s">
        <v>262</v>
      </c>
      <c r="B2019" s="52" t="n">
        <v>43963</v>
      </c>
      <c r="C2019" s="0" t="n">
        <v>86286.618</v>
      </c>
      <c r="D2019" s="0" t="n">
        <v>17194.505</v>
      </c>
      <c r="E2019" s="0" t="n">
        <v>69092.113</v>
      </c>
      <c r="F2019" s="0" t="n">
        <v>50794.243</v>
      </c>
      <c r="G2019" s="0" t="n">
        <v>40624.61</v>
      </c>
      <c r="H2019" s="0" t="n">
        <v>10169.633</v>
      </c>
      <c r="I2019" s="0" t="n">
        <v>1336.273</v>
      </c>
      <c r="J2019" s="0" t="n">
        <v>16961.597</v>
      </c>
      <c r="K2019" s="0" t="n">
        <v>83155.2524791667</v>
      </c>
      <c r="L2019" s="0" t="n">
        <v>69866</v>
      </c>
      <c r="M2019" s="0" t="n">
        <v>69117</v>
      </c>
      <c r="N2019" s="0" t="n">
        <v>31</v>
      </c>
      <c r="O2019" s="54" t="n">
        <f aca="false">YEAR(B2019)</f>
        <v>2020</v>
      </c>
      <c r="P2019" s="54" t="n">
        <f aca="false">IF(AND(E2019&gt;=14400,K2019&gt;0,L2019&gt;0),1,0)</f>
        <v>1</v>
      </c>
      <c r="Q2019" s="53" t="n">
        <f aca="false">IF(P2019=1,F2019/E2019*MIN(L2019/K2019,1)*MIN(MAX(M2019/L2019,0),1),0)</f>
        <v>0.611056278308121</v>
      </c>
      <c r="R2019" s="55" t="n">
        <f aca="false">IF(F2019&gt;0,N2019/(F2019/3600),0)</f>
        <v>2.19709938388096</v>
      </c>
    </row>
    <row r="2020" customFormat="false" ht="15" hidden="false" customHeight="false" outlineLevel="0" collapsed="false">
      <c r="A2020" s="0" t="s">
        <v>262</v>
      </c>
      <c r="B2020" s="52" t="n">
        <v>43964</v>
      </c>
      <c r="C2020" s="0" t="n">
        <v>77898.692</v>
      </c>
      <c r="D2020" s="0" t="n">
        <v>6856.566</v>
      </c>
      <c r="E2020" s="0" t="n">
        <v>71042.126</v>
      </c>
      <c r="F2020" s="0" t="n">
        <v>40879.415</v>
      </c>
      <c r="G2020" s="0" t="n">
        <v>30000.567</v>
      </c>
      <c r="H2020" s="0" t="n">
        <v>10878.848</v>
      </c>
      <c r="I2020" s="0" t="n">
        <v>2521.369</v>
      </c>
      <c r="J2020" s="0" t="n">
        <v>27641.342</v>
      </c>
      <c r="K2020" s="0" t="n">
        <v>68525.9373916667</v>
      </c>
      <c r="L2020" s="0" t="n">
        <v>52818</v>
      </c>
      <c r="M2020" s="0" t="n">
        <v>52694</v>
      </c>
      <c r="N2020" s="0" t="n">
        <v>27</v>
      </c>
      <c r="O2020" s="54" t="n">
        <f aca="false">YEAR(B2020)</f>
        <v>2020</v>
      </c>
      <c r="P2020" s="54" t="n">
        <f aca="false">IF(AND(E2020&gt;=14400,K2020&gt;0,L2020&gt;0),1,0)</f>
        <v>1</v>
      </c>
      <c r="Q2020" s="53" t="n">
        <f aca="false">IF(P2020=1,F2020/E2020*MIN(L2020/K2020,1)*MIN(MAX(M2020/L2020,0),1),0)</f>
        <v>0.44248128288208</v>
      </c>
      <c r="R2020" s="55" t="n">
        <f aca="false">IF(F2020&gt;0,N2020/(F2020/3600),0)</f>
        <v>2.3777248280094</v>
      </c>
    </row>
    <row r="2021" customFormat="false" ht="15" hidden="false" customHeight="false" outlineLevel="0" collapsed="false">
      <c r="A2021" s="0" t="s">
        <v>262</v>
      </c>
      <c r="B2021" s="52" t="n">
        <v>43965</v>
      </c>
      <c r="C2021" s="0" t="n">
        <v>86385.1</v>
      </c>
      <c r="D2021" s="0" t="n">
        <v>13178.456</v>
      </c>
      <c r="E2021" s="0" t="n">
        <v>73206.644</v>
      </c>
      <c r="F2021" s="0" t="n">
        <v>28821.05</v>
      </c>
      <c r="G2021" s="0" t="n">
        <v>25894.534</v>
      </c>
      <c r="H2021" s="0" t="n">
        <v>2926.516</v>
      </c>
      <c r="I2021" s="0" t="n">
        <v>657.97</v>
      </c>
      <c r="J2021" s="0" t="n">
        <v>43727.624</v>
      </c>
      <c r="K2021" s="0" t="n">
        <v>50269.0647694445</v>
      </c>
      <c r="L2021" s="0" t="n">
        <v>45525</v>
      </c>
      <c r="M2021" s="0" t="n">
        <v>45354</v>
      </c>
      <c r="N2021" s="0" t="n">
        <v>20</v>
      </c>
      <c r="O2021" s="54" t="n">
        <f aca="false">YEAR(B2021)</f>
        <v>2020</v>
      </c>
      <c r="P2021" s="54" t="n">
        <f aca="false">IF(AND(E2021&gt;=14400,K2021&gt;0,L2021&gt;0),1,0)</f>
        <v>1</v>
      </c>
      <c r="Q2021" s="53" t="n">
        <f aca="false">IF(P2021=1,F2021/E2021*MIN(L2021/K2021,1)*MIN(MAX(M2021/L2021,0),1),0)</f>
        <v>0.355200927458295</v>
      </c>
      <c r="R2021" s="55" t="n">
        <f aca="false">IF(F2021&gt;0,N2021/(F2021/3600),0)</f>
        <v>2.49817407762729</v>
      </c>
    </row>
    <row r="2022" customFormat="false" ht="15" hidden="false" customHeight="false" outlineLevel="0" collapsed="false">
      <c r="A2022" s="0" t="s">
        <v>262</v>
      </c>
      <c r="B2022" s="52" t="n">
        <v>43966</v>
      </c>
      <c r="C2022" s="0" t="n">
        <v>92077.7</v>
      </c>
      <c r="D2022" s="0" t="n">
        <v>14225.568</v>
      </c>
      <c r="E2022" s="0" t="n">
        <v>77852.132</v>
      </c>
      <c r="F2022" s="0" t="n">
        <v>56695.864</v>
      </c>
      <c r="G2022" s="0" t="n">
        <v>37797.176</v>
      </c>
      <c r="H2022" s="0" t="n">
        <v>18898.688</v>
      </c>
      <c r="I2022" s="0" t="n">
        <v>4343.177</v>
      </c>
      <c r="J2022" s="0" t="n">
        <v>16813.091</v>
      </c>
      <c r="K2022" s="0" t="n">
        <v>87487.9476411111</v>
      </c>
      <c r="L2022" s="0" t="n">
        <v>60975</v>
      </c>
      <c r="M2022" s="0" t="n">
        <v>60265</v>
      </c>
      <c r="N2022" s="0" t="n">
        <v>53</v>
      </c>
      <c r="O2022" s="54" t="n">
        <f aca="false">YEAR(B2022)</f>
        <v>2020</v>
      </c>
      <c r="P2022" s="54" t="n">
        <f aca="false">IF(AND(E2022&gt;=14400,K2022&gt;0,L2022&gt;0),1,0)</f>
        <v>1</v>
      </c>
      <c r="Q2022" s="53" t="n">
        <f aca="false">IF(P2022=1,F2022/E2022*MIN(L2022/K2022,1)*MIN(MAX(M2022/L2022,0),1),0)</f>
        <v>0.501646515481949</v>
      </c>
      <c r="R2022" s="55" t="n">
        <f aca="false">IF(F2022&gt;0,N2022/(F2022/3600),0)</f>
        <v>3.36532484979857</v>
      </c>
    </row>
    <row r="2023" customFormat="false" ht="15" hidden="false" customHeight="false" outlineLevel="0" collapsed="false">
      <c r="A2023" s="0" t="s">
        <v>262</v>
      </c>
      <c r="B2023" s="52" t="n">
        <v>43967</v>
      </c>
      <c r="C2023" s="0" t="n">
        <v>77210.868</v>
      </c>
      <c r="D2023" s="0" t="n">
        <v>5334.712</v>
      </c>
      <c r="E2023" s="0" t="n">
        <v>71876.156</v>
      </c>
      <c r="F2023" s="0" t="n">
        <v>57957.071</v>
      </c>
      <c r="G2023" s="0" t="n">
        <v>40164.128</v>
      </c>
      <c r="H2023" s="0" t="n">
        <v>17792.943</v>
      </c>
      <c r="I2023" s="0" t="n">
        <v>3815.328</v>
      </c>
      <c r="J2023" s="0" t="n">
        <v>10103.757</v>
      </c>
      <c r="K2023" s="0" t="n">
        <v>82981.9341222222</v>
      </c>
      <c r="L2023" s="0" t="n">
        <v>64283</v>
      </c>
      <c r="M2023" s="0" t="n">
        <v>63265</v>
      </c>
      <c r="N2023" s="0" t="n">
        <v>78</v>
      </c>
      <c r="O2023" s="54" t="n">
        <f aca="false">YEAR(B2023)</f>
        <v>2020</v>
      </c>
      <c r="P2023" s="54" t="n">
        <f aca="false">IF(AND(E2023&gt;=14400,K2023&gt;0,L2023&gt;0),1,0)</f>
        <v>1</v>
      </c>
      <c r="Q2023" s="53" t="n">
        <f aca="false">IF(P2023=1,F2023/E2023*MIN(L2023/K2023,1)*MIN(MAX(M2023/L2023,0),1),0)</f>
        <v>0.614754258669332</v>
      </c>
      <c r="R2023" s="55" t="n">
        <f aca="false">IF(F2023&gt;0,N2023/(F2023/3600),0)</f>
        <v>4.8449653364988</v>
      </c>
    </row>
    <row r="2024" customFormat="false" ht="15" hidden="false" customHeight="false" outlineLevel="0" collapsed="false">
      <c r="A2024" s="0" t="s">
        <v>262</v>
      </c>
      <c r="B2024" s="52" t="n">
        <v>43968</v>
      </c>
      <c r="C2024" s="0" t="n">
        <v>85564.64</v>
      </c>
      <c r="D2024" s="0" t="n">
        <v>17134.436</v>
      </c>
      <c r="E2024" s="0" t="n">
        <v>68430.204</v>
      </c>
      <c r="F2024" s="0" t="n">
        <v>40737.074</v>
      </c>
      <c r="G2024" s="0" t="n">
        <v>28189.108</v>
      </c>
      <c r="H2024" s="0" t="n">
        <v>12547.966</v>
      </c>
      <c r="I2024" s="0" t="n">
        <v>3849.964</v>
      </c>
      <c r="J2024" s="0" t="n">
        <v>23843.166</v>
      </c>
      <c r="K2024" s="0" t="n">
        <v>65236.0156130556</v>
      </c>
      <c r="L2024" s="0" t="n">
        <v>48112</v>
      </c>
      <c r="M2024" s="0" t="n">
        <v>47766</v>
      </c>
      <c r="N2024" s="0" t="n">
        <v>55</v>
      </c>
      <c r="O2024" s="54" t="n">
        <f aca="false">YEAR(B2024)</f>
        <v>2020</v>
      </c>
      <c r="P2024" s="54" t="n">
        <f aca="false">IF(AND(E2024&gt;=14400,K2024&gt;0,L2024&gt;0),1,0)</f>
        <v>1</v>
      </c>
      <c r="Q2024" s="53" t="n">
        <f aca="false">IF(P2024=1,F2024/E2024*MIN(L2024/K2024,1)*MIN(MAX(M2024/L2024,0),1),0)</f>
        <v>0.435886525122912</v>
      </c>
      <c r="R2024" s="55" t="n">
        <f aca="false">IF(F2024&gt;0,N2024/(F2024/3600),0)</f>
        <v>4.8604374482075</v>
      </c>
    </row>
    <row r="2025" customFormat="false" ht="15" hidden="false" customHeight="false" outlineLevel="0" collapsed="false">
      <c r="A2025" s="0" t="s">
        <v>262</v>
      </c>
      <c r="B2025" s="52" t="n">
        <v>43969</v>
      </c>
      <c r="C2025" s="0" t="n">
        <v>92123.884</v>
      </c>
      <c r="D2025" s="0" t="n">
        <v>11732.464</v>
      </c>
      <c r="E2025" s="0" t="n">
        <v>80391.42</v>
      </c>
      <c r="F2025" s="0" t="n">
        <v>51198.84</v>
      </c>
      <c r="G2025" s="0" t="n">
        <v>35259.547</v>
      </c>
      <c r="H2025" s="0" t="n">
        <v>15939.293</v>
      </c>
      <c r="I2025" s="0" t="n">
        <v>3872.354</v>
      </c>
      <c r="J2025" s="0" t="n">
        <v>25320.226</v>
      </c>
      <c r="K2025" s="0" t="n">
        <v>84118.4671441667</v>
      </c>
      <c r="L2025" s="0" t="n">
        <v>60228</v>
      </c>
      <c r="M2025" s="0" t="n">
        <v>59438</v>
      </c>
      <c r="N2025" s="0" t="n">
        <v>50</v>
      </c>
      <c r="O2025" s="54" t="n">
        <f aca="false">YEAR(B2025)</f>
        <v>2020</v>
      </c>
      <c r="P2025" s="54" t="n">
        <f aca="false">IF(AND(E2025&gt;=14400,K2025&gt;0,L2025&gt;0),1,0)</f>
        <v>1</v>
      </c>
      <c r="Q2025" s="53" t="n">
        <f aca="false">IF(P2025=1,F2025/E2025*MIN(L2025/K2025,1)*MIN(MAX(M2025/L2025,0),1),0)</f>
        <v>0.450011133918734</v>
      </c>
      <c r="R2025" s="55" t="n">
        <f aca="false">IF(F2025&gt;0,N2025/(F2025/3600),0)</f>
        <v>3.51570465268354</v>
      </c>
    </row>
    <row r="2026" customFormat="false" ht="15" hidden="false" customHeight="false" outlineLevel="0" collapsed="false">
      <c r="A2026" s="0" t="s">
        <v>262</v>
      </c>
      <c r="B2026" s="52" t="n">
        <v>43970</v>
      </c>
      <c r="C2026" s="0" t="n">
        <v>74451.651</v>
      </c>
      <c r="D2026" s="0" t="n">
        <v>9304.264</v>
      </c>
      <c r="E2026" s="0" t="n">
        <v>65147.387</v>
      </c>
      <c r="F2026" s="0" t="n">
        <v>41741.91</v>
      </c>
      <c r="G2026" s="0" t="n">
        <v>34668.323</v>
      </c>
      <c r="H2026" s="0" t="n">
        <v>7073.587</v>
      </c>
      <c r="I2026" s="0" t="n">
        <v>1392.521</v>
      </c>
      <c r="J2026" s="0" t="n">
        <v>22012.956</v>
      </c>
      <c r="K2026" s="0" t="n">
        <v>68505.462</v>
      </c>
      <c r="L2026" s="0" t="n">
        <v>61316</v>
      </c>
      <c r="M2026" s="0" t="n">
        <v>61009</v>
      </c>
      <c r="N2026" s="0" t="n">
        <v>45</v>
      </c>
      <c r="O2026" s="54" t="n">
        <f aca="false">YEAR(B2026)</f>
        <v>2020</v>
      </c>
      <c r="P2026" s="54" t="n">
        <f aca="false">IF(AND(E2026&gt;=14400,K2026&gt;0,L2026&gt;0),1,0)</f>
        <v>1</v>
      </c>
      <c r="Q2026" s="53" t="n">
        <f aca="false">IF(P2026=1,F2026/E2026*MIN(L2026/K2026,1)*MIN(MAX(M2026/L2026,0),1),0)</f>
        <v>0.570616102504563</v>
      </c>
      <c r="R2026" s="55" t="n">
        <f aca="false">IF(F2026&gt;0,N2026/(F2026/3600),0)</f>
        <v>3.88099155021895</v>
      </c>
    </row>
    <row r="2027" customFormat="false" ht="15" hidden="false" customHeight="false" outlineLevel="0" collapsed="false">
      <c r="A2027" s="0" t="s">
        <v>262</v>
      </c>
      <c r="B2027" s="52" t="n">
        <v>43971</v>
      </c>
      <c r="C2027" s="0" t="n">
        <v>28097.225</v>
      </c>
      <c r="D2027" s="0" t="n">
        <v>13800.658</v>
      </c>
      <c r="E2027" s="0" t="n">
        <v>14296.567</v>
      </c>
      <c r="F2027" s="0" t="n">
        <v>9224.745</v>
      </c>
      <c r="G2027" s="0" t="n">
        <v>8269.244</v>
      </c>
      <c r="H2027" s="0" t="n">
        <v>955.501</v>
      </c>
      <c r="I2027" s="0" t="n">
        <v>0</v>
      </c>
      <c r="J2027" s="0" t="n">
        <v>5071.822</v>
      </c>
      <c r="K2027" s="0" t="n">
        <v>16655.7895833333</v>
      </c>
      <c r="L2027" s="0" t="n">
        <v>14988</v>
      </c>
      <c r="M2027" s="0" t="n">
        <v>14964</v>
      </c>
      <c r="N2027" s="0" t="n">
        <v>0</v>
      </c>
      <c r="O2027" s="54" t="n">
        <f aca="false">YEAR(B2027)</f>
        <v>2020</v>
      </c>
      <c r="P2027" s="54" t="n">
        <f aca="false">IF(AND(E2027&gt;=14400,K2027&gt;0,L2027&gt;0),1,0)</f>
        <v>0</v>
      </c>
      <c r="Q2027" s="53" t="n">
        <f aca="false">IF(P2027=1,F2027/E2027*MIN(L2027/K2027,1)*MIN(MAX(M2027/L2027,0),1),0)</f>
        <v>0</v>
      </c>
      <c r="R2027" s="55" t="n">
        <f aca="false">IF(F2027&gt;0,N2027/(F2027/3600),0)</f>
        <v>0</v>
      </c>
    </row>
    <row r="2028" customFormat="false" ht="15" hidden="false" customHeight="false" outlineLevel="0" collapsed="false">
      <c r="A2028" s="0" t="s">
        <v>262</v>
      </c>
      <c r="B2028" s="52" t="n">
        <v>43972</v>
      </c>
      <c r="C2028" s="0" t="n">
        <v>65895.498</v>
      </c>
      <c r="D2028" s="0" t="n">
        <v>13947.549</v>
      </c>
      <c r="E2028" s="0" t="n">
        <v>51947.949</v>
      </c>
      <c r="F2028" s="0" t="n">
        <v>0</v>
      </c>
      <c r="G2028" s="0" t="n">
        <v>0</v>
      </c>
      <c r="H2028" s="0" t="n">
        <v>0</v>
      </c>
      <c r="I2028" s="0" t="n">
        <v>0</v>
      </c>
      <c r="J2028" s="0" t="n">
        <v>51947.949</v>
      </c>
      <c r="K2028" s="0" t="n">
        <v>0</v>
      </c>
      <c r="L2028" s="0" t="n">
        <v>0</v>
      </c>
      <c r="M2028" s="0" t="n">
        <v>0</v>
      </c>
      <c r="N2028" s="0" t="n">
        <v>0</v>
      </c>
      <c r="O2028" s="54" t="n">
        <f aca="false">YEAR(B2028)</f>
        <v>2020</v>
      </c>
      <c r="P2028" s="54" t="n">
        <f aca="false">IF(AND(E2028&gt;=14400,K2028&gt;0,L2028&gt;0),1,0)</f>
        <v>0</v>
      </c>
      <c r="Q2028" s="53" t="n">
        <f aca="false">IF(P2028=1,F2028/E2028*MIN(L2028/K2028,1)*MIN(MAX(M2028/L2028,0),1),0)</f>
        <v>0</v>
      </c>
      <c r="R2028" s="55" t="n">
        <f aca="false">IF(F2028&gt;0,N2028/(F2028/3600),0)</f>
        <v>0</v>
      </c>
    </row>
    <row r="2029" customFormat="false" ht="15" hidden="false" customHeight="false" outlineLevel="0" collapsed="false">
      <c r="A2029" s="0" t="s">
        <v>262</v>
      </c>
      <c r="B2029" s="52" t="n">
        <v>43973</v>
      </c>
      <c r="C2029" s="0" t="n">
        <v>87274.602</v>
      </c>
      <c r="D2029" s="0" t="n">
        <v>10372.084</v>
      </c>
      <c r="E2029" s="0" t="n">
        <v>76902.518</v>
      </c>
      <c r="F2029" s="0" t="n">
        <v>4926.73</v>
      </c>
      <c r="G2029" s="0" t="n">
        <v>0</v>
      </c>
      <c r="H2029" s="0" t="n">
        <v>4926.73</v>
      </c>
      <c r="I2029" s="0" t="n">
        <v>0</v>
      </c>
      <c r="J2029" s="0" t="n">
        <v>71975.788</v>
      </c>
      <c r="K2029" s="0" t="n">
        <v>8895.48472222222</v>
      </c>
      <c r="L2029" s="0" t="n">
        <v>0</v>
      </c>
      <c r="M2029" s="0" t="n">
        <v>0</v>
      </c>
      <c r="N2029" s="0" t="n">
        <v>0</v>
      </c>
      <c r="O2029" s="54" t="n">
        <f aca="false">YEAR(B2029)</f>
        <v>2020</v>
      </c>
      <c r="P2029" s="54" t="n">
        <f aca="false">IF(AND(E2029&gt;=14400,K2029&gt;0,L2029&gt;0),1,0)</f>
        <v>0</v>
      </c>
      <c r="Q2029" s="53" t="n">
        <f aca="false">IF(P2029=1,F2029/E2029*MIN(L2029/K2029,1)*MIN(MAX(M2029/L2029,0),1),0)</f>
        <v>0</v>
      </c>
      <c r="R2029" s="55" t="n">
        <f aca="false">IF(F2029&gt;0,N2029/(F2029/3600),0)</f>
        <v>0</v>
      </c>
    </row>
    <row r="2030" customFormat="false" ht="15" hidden="false" customHeight="false" outlineLevel="0" collapsed="false">
      <c r="A2030" s="0" t="s">
        <v>262</v>
      </c>
      <c r="B2030" s="52" t="n">
        <v>43974</v>
      </c>
      <c r="C2030" s="0" t="n">
        <v>53893.316</v>
      </c>
      <c r="D2030" s="0" t="n">
        <v>23899.168</v>
      </c>
      <c r="E2030" s="0" t="n">
        <v>29994.148</v>
      </c>
      <c r="F2030" s="0" t="n">
        <v>0</v>
      </c>
      <c r="G2030" s="0" t="n">
        <v>0</v>
      </c>
      <c r="H2030" s="0" t="n">
        <v>0</v>
      </c>
      <c r="I2030" s="0" t="n">
        <v>0</v>
      </c>
      <c r="J2030" s="0" t="n">
        <v>29994.148</v>
      </c>
      <c r="K2030" s="0" t="n">
        <v>0</v>
      </c>
      <c r="L2030" s="0" t="n">
        <v>0</v>
      </c>
      <c r="M2030" s="0" t="n">
        <v>0</v>
      </c>
      <c r="N2030" s="0" t="n">
        <v>0</v>
      </c>
      <c r="O2030" s="54" t="n">
        <f aca="false">YEAR(B2030)</f>
        <v>2020</v>
      </c>
      <c r="P2030" s="54" t="n">
        <f aca="false">IF(AND(E2030&gt;=14400,K2030&gt;0,L2030&gt;0),1,0)</f>
        <v>0</v>
      </c>
      <c r="Q2030" s="53" t="n">
        <f aca="false">IF(P2030=1,F2030/E2030*MIN(L2030/K2030,1)*MIN(MAX(M2030/L2030,0),1),0)</f>
        <v>0</v>
      </c>
      <c r="R2030" s="55" t="n">
        <f aca="false">IF(F2030&gt;0,N2030/(F2030/3600),0)</f>
        <v>0</v>
      </c>
    </row>
    <row r="2031" customFormat="false" ht="15" hidden="false" customHeight="false" outlineLevel="0" collapsed="false">
      <c r="A2031" s="0" t="s">
        <v>262</v>
      </c>
      <c r="B2031" s="52" t="n">
        <v>43975</v>
      </c>
      <c r="C2031" s="0" t="n">
        <v>81885.077</v>
      </c>
      <c r="D2031" s="0" t="n">
        <v>18484.405</v>
      </c>
      <c r="E2031" s="0" t="n">
        <v>63400.672</v>
      </c>
      <c r="F2031" s="0" t="n">
        <v>45509.239</v>
      </c>
      <c r="G2031" s="0" t="n">
        <v>37829.2</v>
      </c>
      <c r="H2031" s="0" t="n">
        <v>7680.039</v>
      </c>
      <c r="I2031" s="0" t="n">
        <v>4319.444</v>
      </c>
      <c r="J2031" s="0" t="n">
        <v>13571.989</v>
      </c>
      <c r="K2031" s="0" t="n">
        <v>78712.4806111111</v>
      </c>
      <c r="L2031" s="0" t="n">
        <v>67002</v>
      </c>
      <c r="M2031" s="0" t="n">
        <v>66906</v>
      </c>
      <c r="N2031" s="0" t="n">
        <v>49</v>
      </c>
      <c r="O2031" s="54" t="n">
        <f aca="false">YEAR(B2031)</f>
        <v>2020</v>
      </c>
      <c r="P2031" s="54" t="n">
        <f aca="false">IF(AND(E2031&gt;=14400,K2031&gt;0,L2031&gt;0),1,0)</f>
        <v>1</v>
      </c>
      <c r="Q2031" s="53" t="n">
        <f aca="false">IF(P2031=1,F2031/E2031*MIN(L2031/K2031,1)*MIN(MAX(M2031/L2031,0),1),0)</f>
        <v>0.610136742596862</v>
      </c>
      <c r="R2031" s="55" t="n">
        <f aca="false">IF(F2031&gt;0,N2031/(F2031/3600),0)</f>
        <v>3.87613600833888</v>
      </c>
    </row>
    <row r="2032" customFormat="false" ht="15" hidden="false" customHeight="false" outlineLevel="0" collapsed="false">
      <c r="A2032" s="0" t="s">
        <v>262</v>
      </c>
      <c r="B2032" s="52" t="n">
        <v>43976</v>
      </c>
      <c r="C2032" s="0" t="n">
        <v>50659.597</v>
      </c>
      <c r="D2032" s="0" t="n">
        <v>9269.468</v>
      </c>
      <c r="E2032" s="0" t="n">
        <v>41390.129</v>
      </c>
      <c r="F2032" s="0" t="n">
        <v>32594.123</v>
      </c>
      <c r="G2032" s="0" t="n">
        <v>29878.085</v>
      </c>
      <c r="H2032" s="0" t="n">
        <v>2716.038</v>
      </c>
      <c r="I2032" s="0" t="n">
        <v>1530.611</v>
      </c>
      <c r="J2032" s="0" t="n">
        <v>7265.395</v>
      </c>
      <c r="K2032" s="0" t="n">
        <v>56201.6488066667</v>
      </c>
      <c r="L2032" s="0" t="n">
        <v>52709</v>
      </c>
      <c r="M2032" s="0" t="n">
        <v>52634</v>
      </c>
      <c r="N2032" s="0" t="n">
        <v>54</v>
      </c>
      <c r="O2032" s="54" t="n">
        <f aca="false">YEAR(B2032)</f>
        <v>2020</v>
      </c>
      <c r="P2032" s="54" t="n">
        <f aca="false">IF(AND(E2032&gt;=14400,K2032&gt;0,L2032&gt;0),1,0)</f>
        <v>1</v>
      </c>
      <c r="Q2032" s="53" t="n">
        <f aca="false">IF(P2032=1,F2032/E2032*MIN(L2032/K2032,1)*MIN(MAX(M2032/L2032,0),1),0)</f>
        <v>0.737496289245935</v>
      </c>
      <c r="R2032" s="55" t="n">
        <f aca="false">IF(F2032&gt;0,N2032/(F2032/3600),0)</f>
        <v>5.96426539839713</v>
      </c>
    </row>
    <row r="2033" customFormat="false" ht="15" hidden="false" customHeight="false" outlineLevel="0" collapsed="false">
      <c r="A2033" s="0" t="s">
        <v>262</v>
      </c>
      <c r="B2033" s="52" t="n">
        <v>43977</v>
      </c>
      <c r="C2033" s="0" t="n">
        <v>40094.614</v>
      </c>
      <c r="D2033" s="0" t="n">
        <v>10280.682</v>
      </c>
      <c r="E2033" s="0" t="n">
        <v>29813.932</v>
      </c>
      <c r="F2033" s="0" t="n">
        <v>0</v>
      </c>
      <c r="G2033" s="0" t="n">
        <v>0</v>
      </c>
      <c r="H2033" s="0" t="n">
        <v>0</v>
      </c>
      <c r="I2033" s="0" t="n">
        <v>0</v>
      </c>
      <c r="J2033" s="0" t="n">
        <v>29813.932</v>
      </c>
      <c r="K2033" s="0" t="n">
        <v>0</v>
      </c>
      <c r="L2033" s="0" t="n">
        <v>0</v>
      </c>
      <c r="M2033" s="0" t="n">
        <v>0</v>
      </c>
      <c r="N2033" s="0" t="n">
        <v>0</v>
      </c>
      <c r="O2033" s="54" t="n">
        <f aca="false">YEAR(B2033)</f>
        <v>2020</v>
      </c>
      <c r="P2033" s="54" t="n">
        <f aca="false">IF(AND(E2033&gt;=14400,K2033&gt;0,L2033&gt;0),1,0)</f>
        <v>0</v>
      </c>
      <c r="Q2033" s="53" t="n">
        <f aca="false">IF(P2033=1,F2033/E2033*MIN(L2033/K2033,1)*MIN(MAX(M2033/L2033,0),1),0)</f>
        <v>0</v>
      </c>
      <c r="R2033" s="55" t="n">
        <f aca="false">IF(F2033&gt;0,N2033/(F2033/3600),0)</f>
        <v>0</v>
      </c>
    </row>
    <row r="2034" customFormat="false" ht="15" hidden="false" customHeight="false" outlineLevel="0" collapsed="false">
      <c r="A2034" s="0" t="s">
        <v>262</v>
      </c>
      <c r="B2034" s="52" t="n">
        <v>43978</v>
      </c>
      <c r="C2034" s="0" t="n">
        <v>76924.842</v>
      </c>
      <c r="D2034" s="0" t="n">
        <v>2206.4</v>
      </c>
      <c r="E2034" s="0" t="n">
        <v>74718.442</v>
      </c>
      <c r="F2034" s="0" t="n">
        <v>59595.913</v>
      </c>
      <c r="G2034" s="0" t="n">
        <v>49518.301</v>
      </c>
      <c r="H2034" s="0" t="n">
        <v>10077.612</v>
      </c>
      <c r="I2034" s="0" t="n">
        <v>2194.692</v>
      </c>
      <c r="J2034" s="0" t="n">
        <v>12927.837</v>
      </c>
      <c r="K2034" s="0" t="n">
        <v>97952.3589466667</v>
      </c>
      <c r="L2034" s="0" t="n">
        <v>85815</v>
      </c>
      <c r="M2034" s="0" t="n">
        <v>85769</v>
      </c>
      <c r="N2034" s="0" t="n">
        <v>80</v>
      </c>
      <c r="O2034" s="54" t="n">
        <f aca="false">YEAR(B2034)</f>
        <v>2020</v>
      </c>
      <c r="P2034" s="54" t="n">
        <f aca="false">IF(AND(E2034&gt;=14400,K2034&gt;0,L2034&gt;0),1,0)</f>
        <v>1</v>
      </c>
      <c r="Q2034" s="53" t="n">
        <f aca="false">IF(P2034=1,F2034/E2034*MIN(L2034/K2034,1)*MIN(MAX(M2034/L2034,0),1),0)</f>
        <v>0.698399817298337</v>
      </c>
      <c r="R2034" s="55" t="n">
        <f aca="false">IF(F2034&gt;0,N2034/(F2034/3600),0)</f>
        <v>4.83254615127719</v>
      </c>
    </row>
    <row r="2035" customFormat="false" ht="15" hidden="false" customHeight="false" outlineLevel="0" collapsed="false">
      <c r="A2035" s="0" t="s">
        <v>262</v>
      </c>
      <c r="B2035" s="52" t="n">
        <v>43979</v>
      </c>
      <c r="C2035" s="0" t="n">
        <v>88098.967</v>
      </c>
      <c r="D2035" s="0" t="n">
        <v>16261.578</v>
      </c>
      <c r="E2035" s="0" t="n">
        <v>71837.389</v>
      </c>
      <c r="F2035" s="0" t="n">
        <v>50439.07</v>
      </c>
      <c r="G2035" s="0" t="n">
        <v>45163.272</v>
      </c>
      <c r="H2035" s="0" t="n">
        <v>5275.798</v>
      </c>
      <c r="I2035" s="0" t="n">
        <v>3555.285</v>
      </c>
      <c r="J2035" s="0" t="n">
        <v>17843.034</v>
      </c>
      <c r="K2035" s="0" t="n">
        <v>86453.5043225</v>
      </c>
      <c r="L2035" s="0" t="n">
        <v>79565</v>
      </c>
      <c r="M2035" s="0" t="n">
        <v>79476</v>
      </c>
      <c r="N2035" s="0" t="n">
        <v>95</v>
      </c>
      <c r="O2035" s="54" t="n">
        <f aca="false">YEAR(B2035)</f>
        <v>2020</v>
      </c>
      <c r="P2035" s="54" t="n">
        <f aca="false">IF(AND(E2035&gt;=14400,K2035&gt;0,L2035&gt;0),1,0)</f>
        <v>1</v>
      </c>
      <c r="Q2035" s="53" t="n">
        <f aca="false">IF(P2035=1,F2035/E2035*MIN(L2035/K2035,1)*MIN(MAX(M2035/L2035,0),1),0)</f>
        <v>0.645460887337689</v>
      </c>
      <c r="R2035" s="55" t="n">
        <f aca="false">IF(F2035&gt;0,N2035/(F2035/3600),0)</f>
        <v>6.78045808536914</v>
      </c>
    </row>
    <row r="2036" customFormat="false" ht="15" hidden="false" customHeight="false" outlineLevel="0" collapsed="false">
      <c r="A2036" s="0" t="s">
        <v>262</v>
      </c>
      <c r="B2036" s="52" t="n">
        <v>43980</v>
      </c>
      <c r="C2036" s="0" t="n">
        <v>85570.176</v>
      </c>
      <c r="D2036" s="0" t="n">
        <v>15493.377</v>
      </c>
      <c r="E2036" s="0" t="n">
        <v>70076.799</v>
      </c>
      <c r="F2036" s="0" t="n">
        <v>50589.982</v>
      </c>
      <c r="G2036" s="0" t="n">
        <v>40938.572</v>
      </c>
      <c r="H2036" s="0" t="n">
        <v>9651.41</v>
      </c>
      <c r="I2036" s="0" t="n">
        <v>2856.785</v>
      </c>
      <c r="J2036" s="0" t="n">
        <v>16630.032</v>
      </c>
      <c r="K2036" s="0" t="n">
        <v>85210.9149755556</v>
      </c>
      <c r="L2036" s="0" t="n">
        <v>71048</v>
      </c>
      <c r="M2036" s="0" t="n">
        <v>71026</v>
      </c>
      <c r="N2036" s="0" t="n">
        <v>40</v>
      </c>
      <c r="O2036" s="54" t="n">
        <f aca="false">YEAR(B2036)</f>
        <v>2020</v>
      </c>
      <c r="P2036" s="54" t="n">
        <f aca="false">IF(AND(E2036&gt;=14400,K2036&gt;0,L2036&gt;0),1,0)</f>
        <v>1</v>
      </c>
      <c r="Q2036" s="53" t="n">
        <f aca="false">IF(P2036=1,F2036/E2036*MIN(L2036/K2036,1)*MIN(MAX(M2036/L2036,0),1),0)</f>
        <v>0.601744871381883</v>
      </c>
      <c r="R2036" s="55" t="n">
        <f aca="false">IF(F2036&gt;0,N2036/(F2036/3600),0)</f>
        <v>2.84641334721171</v>
      </c>
    </row>
    <row r="2037" customFormat="false" ht="15" hidden="false" customHeight="false" outlineLevel="0" collapsed="false">
      <c r="A2037" s="0" t="s">
        <v>262</v>
      </c>
      <c r="B2037" s="52" t="n">
        <v>43981</v>
      </c>
      <c r="C2037" s="0" t="n">
        <v>81317.5</v>
      </c>
      <c r="D2037" s="0" t="n">
        <v>11669.419</v>
      </c>
      <c r="E2037" s="0" t="n">
        <v>69648.081</v>
      </c>
      <c r="F2037" s="0" t="n">
        <v>58997.404</v>
      </c>
      <c r="G2037" s="0" t="n">
        <v>50267.517</v>
      </c>
      <c r="H2037" s="0" t="n">
        <v>8729.887</v>
      </c>
      <c r="I2037" s="0" t="n">
        <v>2104.152</v>
      </c>
      <c r="J2037" s="0" t="n">
        <v>8546.525</v>
      </c>
      <c r="K2037" s="0" t="n">
        <v>97880.7152638889</v>
      </c>
      <c r="L2037" s="0" t="n">
        <v>88610</v>
      </c>
      <c r="M2037" s="0" t="n">
        <v>88531</v>
      </c>
      <c r="N2037" s="0" t="n">
        <v>48</v>
      </c>
      <c r="O2037" s="54" t="n">
        <f aca="false">YEAR(B2037)</f>
        <v>2020</v>
      </c>
      <c r="P2037" s="54" t="n">
        <f aca="false">IF(AND(E2037&gt;=14400,K2037&gt;0,L2037&gt;0),1,0)</f>
        <v>1</v>
      </c>
      <c r="Q2037" s="53" t="n">
        <f aca="false">IF(P2037=1,F2037/E2037*MIN(L2037/K2037,1)*MIN(MAX(M2037/L2037,0),1),0)</f>
        <v>0.766164425325678</v>
      </c>
      <c r="R2037" s="55" t="n">
        <f aca="false">IF(F2037&gt;0,N2037/(F2037/3600),0)</f>
        <v>2.92894243278908</v>
      </c>
    </row>
    <row r="2038" customFormat="false" ht="15" hidden="false" customHeight="false" outlineLevel="0" collapsed="false">
      <c r="A2038" s="0" t="s">
        <v>262</v>
      </c>
      <c r="B2038" s="52" t="n">
        <v>43982</v>
      </c>
      <c r="C2038" s="0" t="n">
        <v>86466.031</v>
      </c>
      <c r="D2038" s="0" t="n">
        <v>27923.077</v>
      </c>
      <c r="E2038" s="0" t="n">
        <v>58542.954</v>
      </c>
      <c r="F2038" s="0" t="n">
        <v>30727.367</v>
      </c>
      <c r="G2038" s="0" t="n">
        <v>23352.386</v>
      </c>
      <c r="H2038" s="0" t="n">
        <v>7374.981</v>
      </c>
      <c r="I2038" s="0" t="n">
        <v>3643.037</v>
      </c>
      <c r="J2038" s="0" t="n">
        <v>24172.55</v>
      </c>
      <c r="K2038" s="0" t="n">
        <v>50054.4811113889</v>
      </c>
      <c r="L2038" s="0" t="n">
        <v>39029</v>
      </c>
      <c r="M2038" s="0" t="n">
        <v>39000</v>
      </c>
      <c r="N2038" s="0" t="n">
        <v>64</v>
      </c>
      <c r="O2038" s="54" t="n">
        <f aca="false">YEAR(B2038)</f>
        <v>2020</v>
      </c>
      <c r="P2038" s="54" t="n">
        <f aca="false">IF(AND(E2038&gt;=14400,K2038&gt;0,L2038&gt;0),1,0)</f>
        <v>1</v>
      </c>
      <c r="Q2038" s="53" t="n">
        <f aca="false">IF(P2038=1,F2038/E2038*MIN(L2038/K2038,1)*MIN(MAX(M2038/L2038,0),1),0)</f>
        <v>0.408952020625253</v>
      </c>
      <c r="R2038" s="55" t="n">
        <f aca="false">IF(F2038&gt;0,N2038/(F2038/3600),0)</f>
        <v>7.49820184723279</v>
      </c>
    </row>
    <row r="2039" customFormat="false" ht="15" hidden="false" customHeight="false" outlineLevel="0" collapsed="false">
      <c r="A2039" s="0" t="s">
        <v>262</v>
      </c>
      <c r="B2039" s="52" t="n">
        <v>43983</v>
      </c>
      <c r="C2039" s="0" t="n">
        <v>104940.101</v>
      </c>
      <c r="D2039" s="0" t="n">
        <v>12293.946</v>
      </c>
      <c r="E2039" s="0" t="n">
        <v>92646.155</v>
      </c>
      <c r="F2039" s="0" t="n">
        <v>53507.71</v>
      </c>
      <c r="G2039" s="0" t="n">
        <v>47251.456</v>
      </c>
      <c r="H2039" s="0" t="n">
        <v>6256.254</v>
      </c>
      <c r="I2039" s="0" t="n">
        <v>2666.235</v>
      </c>
      <c r="J2039" s="0" t="n">
        <v>36472.21</v>
      </c>
      <c r="K2039" s="0" t="n">
        <v>92883.51389</v>
      </c>
      <c r="L2039" s="0" t="n">
        <v>83698</v>
      </c>
      <c r="M2039" s="0" t="n">
        <v>83529</v>
      </c>
      <c r="N2039" s="0" t="n">
        <v>67</v>
      </c>
      <c r="O2039" s="54" t="n">
        <f aca="false">YEAR(B2039)</f>
        <v>2020</v>
      </c>
      <c r="P2039" s="54" t="n">
        <f aca="false">IF(AND(E2039&gt;=14400,K2039&gt;0,L2039&gt;0),1,0)</f>
        <v>1</v>
      </c>
      <c r="Q2039" s="53" t="n">
        <f aca="false">IF(P2039=1,F2039/E2039*MIN(L2039/K2039,1)*MIN(MAX(M2039/L2039,0),1),0)</f>
        <v>0.519382855677015</v>
      </c>
      <c r="R2039" s="55" t="n">
        <f aca="false">IF(F2039&gt;0,N2039/(F2039/3600),0)</f>
        <v>4.50776159174071</v>
      </c>
    </row>
    <row r="2040" customFormat="false" ht="15" hidden="false" customHeight="false" outlineLevel="0" collapsed="false">
      <c r="A2040" s="0" t="s">
        <v>262</v>
      </c>
      <c r="B2040" s="52" t="n">
        <v>43984</v>
      </c>
      <c r="C2040" s="0" t="n">
        <v>73324.399</v>
      </c>
      <c r="D2040" s="0" t="n">
        <v>24628.847</v>
      </c>
      <c r="E2040" s="0" t="n">
        <v>48695.552</v>
      </c>
      <c r="F2040" s="0" t="n">
        <v>38848.206</v>
      </c>
      <c r="G2040" s="0" t="n">
        <v>30234.003</v>
      </c>
      <c r="H2040" s="0" t="n">
        <v>8614.203</v>
      </c>
      <c r="I2040" s="0" t="n">
        <v>2960.581</v>
      </c>
      <c r="J2040" s="0" t="n">
        <v>6886.765</v>
      </c>
      <c r="K2040" s="0" t="n">
        <v>61262.3323905556</v>
      </c>
      <c r="L2040" s="0" t="n">
        <v>49766</v>
      </c>
      <c r="M2040" s="0" t="n">
        <v>49703</v>
      </c>
      <c r="N2040" s="0" t="n">
        <v>60</v>
      </c>
      <c r="O2040" s="54" t="n">
        <f aca="false">YEAR(B2040)</f>
        <v>2020</v>
      </c>
      <c r="P2040" s="54" t="n">
        <f aca="false">IF(AND(E2040&gt;=14400,K2040&gt;0,L2040&gt;0),1,0)</f>
        <v>1</v>
      </c>
      <c r="Q2040" s="53" t="n">
        <f aca="false">IF(P2040=1,F2040/E2040*MIN(L2040/K2040,1)*MIN(MAX(M2040/L2040,0),1),0)</f>
        <v>0.647248049463985</v>
      </c>
      <c r="R2040" s="55" t="n">
        <f aca="false">IF(F2040&gt;0,N2040/(F2040/3600),0)</f>
        <v>5.56010231206043</v>
      </c>
    </row>
    <row r="2041" customFormat="false" ht="15" hidden="false" customHeight="false" outlineLevel="0" collapsed="false">
      <c r="A2041" s="0" t="s">
        <v>262</v>
      </c>
      <c r="B2041" s="52" t="n">
        <v>43985</v>
      </c>
      <c r="C2041" s="0" t="n">
        <v>83384.98</v>
      </c>
      <c r="D2041" s="0" t="n">
        <v>24617.222</v>
      </c>
      <c r="E2041" s="0" t="n">
        <v>58767.758</v>
      </c>
      <c r="F2041" s="0" t="n">
        <v>34108.807</v>
      </c>
      <c r="G2041" s="0" t="n">
        <v>18992.756</v>
      </c>
      <c r="H2041" s="0" t="n">
        <v>15116.051</v>
      </c>
      <c r="I2041" s="0" t="n">
        <v>2752.14</v>
      </c>
      <c r="J2041" s="0" t="n">
        <v>21906.811</v>
      </c>
      <c r="K2041" s="0" t="n">
        <v>48518.1026494444</v>
      </c>
      <c r="L2041" s="0" t="n">
        <v>28641</v>
      </c>
      <c r="M2041" s="0" t="n">
        <v>28428</v>
      </c>
      <c r="N2041" s="0" t="n">
        <v>52</v>
      </c>
      <c r="O2041" s="54" t="n">
        <f aca="false">YEAR(B2041)</f>
        <v>2020</v>
      </c>
      <c r="P2041" s="54" t="n">
        <f aca="false">IF(AND(E2041&gt;=14400,K2041&gt;0,L2041&gt;0),1,0)</f>
        <v>1</v>
      </c>
      <c r="Q2041" s="53" t="n">
        <f aca="false">IF(P2041=1,F2041/E2041*MIN(L2041/K2041,1)*MIN(MAX(M2041/L2041,0),1),0)</f>
        <v>0.340071239871784</v>
      </c>
      <c r="R2041" s="55" t="n">
        <f aca="false">IF(F2041&gt;0,N2041/(F2041/3600),0)</f>
        <v>5.48831860346215</v>
      </c>
    </row>
    <row r="2042" customFormat="false" ht="15" hidden="false" customHeight="false" outlineLevel="0" collapsed="false">
      <c r="A2042" s="0" t="s">
        <v>262</v>
      </c>
      <c r="B2042" s="52" t="n">
        <v>43986</v>
      </c>
      <c r="C2042" s="0" t="n">
        <v>91663.255</v>
      </c>
      <c r="D2042" s="0" t="n">
        <v>17773.469</v>
      </c>
      <c r="E2042" s="0" t="n">
        <v>73889.786</v>
      </c>
      <c r="F2042" s="0" t="n">
        <v>63090.069</v>
      </c>
      <c r="G2042" s="0" t="n">
        <v>55595.718</v>
      </c>
      <c r="H2042" s="0" t="n">
        <v>7494.351</v>
      </c>
      <c r="I2042" s="0" t="n">
        <v>1773.407</v>
      </c>
      <c r="J2042" s="0" t="n">
        <v>9026.31</v>
      </c>
      <c r="K2042" s="0" t="n">
        <v>104881.900435556</v>
      </c>
      <c r="L2042" s="0" t="n">
        <v>97778</v>
      </c>
      <c r="M2042" s="0" t="n">
        <v>97696</v>
      </c>
      <c r="N2042" s="0" t="n">
        <v>64</v>
      </c>
      <c r="O2042" s="54" t="n">
        <f aca="false">YEAR(B2042)</f>
        <v>2020</v>
      </c>
      <c r="P2042" s="54" t="n">
        <f aca="false">IF(AND(E2042&gt;=14400,K2042&gt;0,L2042&gt;0),1,0)</f>
        <v>1</v>
      </c>
      <c r="Q2042" s="53" t="n">
        <f aca="false">IF(P2042=1,F2042/E2042*MIN(L2042/K2042,1)*MIN(MAX(M2042/L2042,0),1),0)</f>
        <v>0.795340005903505</v>
      </c>
      <c r="R2042" s="55" t="n">
        <f aca="false">IF(F2042&gt;0,N2042/(F2042/3600),0)</f>
        <v>3.65192182623861</v>
      </c>
    </row>
    <row r="2043" customFormat="false" ht="15" hidden="false" customHeight="false" outlineLevel="0" collapsed="false">
      <c r="A2043" s="0" t="s">
        <v>262</v>
      </c>
      <c r="B2043" s="52" t="n">
        <v>43987</v>
      </c>
      <c r="C2043" s="0" t="n">
        <v>20809.232</v>
      </c>
      <c r="D2043" s="0" t="n">
        <v>11254.359</v>
      </c>
      <c r="E2043" s="0" t="n">
        <v>9554.873</v>
      </c>
      <c r="F2043" s="0" t="n">
        <v>0</v>
      </c>
      <c r="G2043" s="0" t="n">
        <v>0</v>
      </c>
      <c r="H2043" s="0" t="n">
        <v>0</v>
      </c>
      <c r="I2043" s="0" t="n">
        <v>0</v>
      </c>
      <c r="J2043" s="0" t="n">
        <v>9554.873</v>
      </c>
      <c r="K2043" s="0" t="n">
        <v>0</v>
      </c>
      <c r="L2043" s="0" t="n">
        <v>0</v>
      </c>
      <c r="M2043" s="0" t="n">
        <v>0</v>
      </c>
      <c r="N2043" s="0" t="n">
        <v>0</v>
      </c>
      <c r="O2043" s="54" t="n">
        <f aca="false">YEAR(B2043)</f>
        <v>2020</v>
      </c>
      <c r="P2043" s="54" t="n">
        <f aca="false">IF(AND(E2043&gt;=14400,K2043&gt;0,L2043&gt;0),1,0)</f>
        <v>0</v>
      </c>
      <c r="Q2043" s="53" t="n">
        <f aca="false">IF(P2043=1,F2043/E2043*MIN(L2043/K2043,1)*MIN(MAX(M2043/L2043,0),1),0)</f>
        <v>0</v>
      </c>
      <c r="R2043" s="55" t="n">
        <f aca="false">IF(F2043&gt;0,N2043/(F2043/3600),0)</f>
        <v>0</v>
      </c>
    </row>
    <row r="2044" customFormat="false" ht="15" hidden="false" customHeight="false" outlineLevel="0" collapsed="false">
      <c r="A2044" s="0" t="s">
        <v>262</v>
      </c>
      <c r="B2044" s="52" t="n">
        <v>43988</v>
      </c>
      <c r="C2044" s="0" t="n">
        <v>79876.388</v>
      </c>
      <c r="D2044" s="0" t="n">
        <v>15906.867</v>
      </c>
      <c r="E2044" s="0" t="n">
        <v>63969.521</v>
      </c>
      <c r="F2044" s="0" t="n">
        <v>47802.512</v>
      </c>
      <c r="G2044" s="0" t="n">
        <v>37457.055</v>
      </c>
      <c r="H2044" s="0" t="n">
        <v>10345.457</v>
      </c>
      <c r="I2044" s="0" t="n">
        <v>2270.637</v>
      </c>
      <c r="J2044" s="0" t="n">
        <v>13896.372</v>
      </c>
      <c r="K2044" s="0" t="n">
        <v>79385.8929530556</v>
      </c>
      <c r="L2044" s="0" t="n">
        <v>65166</v>
      </c>
      <c r="M2044" s="0" t="n">
        <v>65074</v>
      </c>
      <c r="N2044" s="0" t="n">
        <v>46</v>
      </c>
      <c r="O2044" s="54" t="n">
        <f aca="false">YEAR(B2044)</f>
        <v>2020</v>
      </c>
      <c r="P2044" s="54" t="n">
        <f aca="false">IF(AND(E2044&gt;=14400,K2044&gt;0,L2044&gt;0),1,0)</f>
        <v>1</v>
      </c>
      <c r="Q2044" s="53" t="n">
        <f aca="false">IF(P2044=1,F2044/E2044*MIN(L2044/K2044,1)*MIN(MAX(M2044/L2044,0),1),0)</f>
        <v>0.612550345562559</v>
      </c>
      <c r="R2044" s="55" t="n">
        <f aca="false">IF(F2044&gt;0,N2044/(F2044/3600),0)</f>
        <v>3.4642530919714</v>
      </c>
    </row>
    <row r="2045" customFormat="false" ht="15" hidden="false" customHeight="false" outlineLevel="0" collapsed="false">
      <c r="A2045" s="0" t="s">
        <v>262</v>
      </c>
      <c r="B2045" s="52" t="n">
        <v>43989</v>
      </c>
      <c r="C2045" s="0" t="n">
        <v>78811.177</v>
      </c>
      <c r="D2045" s="0" t="n">
        <v>6050.792</v>
      </c>
      <c r="E2045" s="0" t="n">
        <v>72760.385</v>
      </c>
      <c r="F2045" s="0" t="n">
        <v>45426.008</v>
      </c>
      <c r="G2045" s="0" t="n">
        <v>35105.714</v>
      </c>
      <c r="H2045" s="0" t="n">
        <v>10320.294</v>
      </c>
      <c r="I2045" s="0" t="n">
        <v>1465.22</v>
      </c>
      <c r="J2045" s="0" t="n">
        <v>25869.157</v>
      </c>
      <c r="K2045" s="0" t="n">
        <v>73356.6998483333</v>
      </c>
      <c r="L2045" s="0" t="n">
        <v>61076</v>
      </c>
      <c r="M2045" s="0" t="n">
        <v>60878</v>
      </c>
      <c r="N2045" s="0" t="n">
        <v>57</v>
      </c>
      <c r="O2045" s="54" t="n">
        <f aca="false">YEAR(B2045)</f>
        <v>2020</v>
      </c>
      <c r="P2045" s="54" t="n">
        <f aca="false">IF(AND(E2045&gt;=14400,K2045&gt;0,L2045&gt;0),1,0)</f>
        <v>1</v>
      </c>
      <c r="Q2045" s="53" t="n">
        <f aca="false">IF(P2045=1,F2045/E2045*MIN(L2045/K2045,1)*MIN(MAX(M2045/L2045,0),1),0)</f>
        <v>0.518119783970502</v>
      </c>
      <c r="R2045" s="55" t="n">
        <f aca="false">IF(F2045&gt;0,N2045/(F2045/3600),0)</f>
        <v>4.51723602919279</v>
      </c>
    </row>
    <row r="2046" customFormat="false" ht="15" hidden="false" customHeight="false" outlineLevel="0" collapsed="false">
      <c r="A2046" s="0" t="s">
        <v>262</v>
      </c>
      <c r="B2046" s="52" t="n">
        <v>43990</v>
      </c>
      <c r="C2046" s="0" t="n">
        <v>87197.662</v>
      </c>
      <c r="D2046" s="0" t="n">
        <v>15705.211</v>
      </c>
      <c r="E2046" s="0" t="n">
        <v>71492.451</v>
      </c>
      <c r="F2046" s="0" t="n">
        <v>54944.426</v>
      </c>
      <c r="G2046" s="0" t="n">
        <v>51309.021</v>
      </c>
      <c r="H2046" s="0" t="n">
        <v>3635.405</v>
      </c>
      <c r="I2046" s="0" t="n">
        <v>4264.943</v>
      </c>
      <c r="J2046" s="0" t="n">
        <v>12283.082</v>
      </c>
      <c r="K2046" s="0" t="n">
        <v>95330.4791755556</v>
      </c>
      <c r="L2046" s="0" t="n">
        <v>91626</v>
      </c>
      <c r="M2046" s="0" t="n">
        <v>91304</v>
      </c>
      <c r="N2046" s="0" t="n">
        <v>64</v>
      </c>
      <c r="O2046" s="54" t="n">
        <f aca="false">YEAR(B2046)</f>
        <v>2020</v>
      </c>
      <c r="P2046" s="54" t="n">
        <f aca="false">IF(AND(E2046&gt;=14400,K2046&gt;0,L2046&gt;0),1,0)</f>
        <v>1</v>
      </c>
      <c r="Q2046" s="53" t="n">
        <f aca="false">IF(P2046=1,F2046/E2046*MIN(L2046/K2046,1)*MIN(MAX(M2046/L2046,0),1),0)</f>
        <v>0.73607400840768</v>
      </c>
      <c r="R2046" s="55" t="n">
        <f aca="false">IF(F2046&gt;0,N2046/(F2046/3600),0)</f>
        <v>4.19332800018695</v>
      </c>
    </row>
    <row r="2047" customFormat="false" ht="15" hidden="false" customHeight="false" outlineLevel="0" collapsed="false">
      <c r="A2047" s="0" t="s">
        <v>262</v>
      </c>
      <c r="B2047" s="52" t="n">
        <v>43991</v>
      </c>
      <c r="C2047" s="0" t="n">
        <v>85736.295</v>
      </c>
      <c r="D2047" s="0" t="n">
        <v>34.11</v>
      </c>
      <c r="E2047" s="0" t="n">
        <v>85702.185</v>
      </c>
      <c r="F2047" s="0" t="n">
        <v>76361.139</v>
      </c>
      <c r="G2047" s="0" t="n">
        <v>64365.379</v>
      </c>
      <c r="H2047" s="0" t="n">
        <v>11995.76</v>
      </c>
      <c r="I2047" s="0" t="n">
        <v>4020.942</v>
      </c>
      <c r="J2047" s="0" t="n">
        <v>5320.104</v>
      </c>
      <c r="K2047" s="0" t="n">
        <v>124154.344361667</v>
      </c>
      <c r="L2047" s="0" t="n">
        <v>109928</v>
      </c>
      <c r="M2047" s="0" t="n">
        <v>109477</v>
      </c>
      <c r="N2047" s="0" t="n">
        <v>98</v>
      </c>
      <c r="O2047" s="54" t="n">
        <f aca="false">YEAR(B2047)</f>
        <v>2020</v>
      </c>
      <c r="P2047" s="54" t="n">
        <f aca="false">IF(AND(E2047&gt;=14400,K2047&gt;0,L2047&gt;0),1,0)</f>
        <v>1</v>
      </c>
      <c r="Q2047" s="53" t="n">
        <f aca="false">IF(P2047=1,F2047/E2047*MIN(L2047/K2047,1)*MIN(MAX(M2047/L2047,0),1),0)</f>
        <v>0.785672351612023</v>
      </c>
      <c r="R2047" s="55" t="n">
        <f aca="false">IF(F2047&gt;0,N2047/(F2047/3600),0)</f>
        <v>4.62015109544136</v>
      </c>
    </row>
    <row r="2048" customFormat="false" ht="15" hidden="false" customHeight="false" outlineLevel="0" collapsed="false">
      <c r="A2048" s="0" t="s">
        <v>262</v>
      </c>
      <c r="B2048" s="52" t="n">
        <v>43992</v>
      </c>
      <c r="C2048" s="0" t="n">
        <v>86012.811</v>
      </c>
      <c r="D2048" s="0" t="n">
        <v>28200.839</v>
      </c>
      <c r="E2048" s="0" t="n">
        <v>57811.972</v>
      </c>
      <c r="F2048" s="0" t="n">
        <v>35145.075</v>
      </c>
      <c r="G2048" s="0" t="n">
        <v>30277.649</v>
      </c>
      <c r="H2048" s="0" t="n">
        <v>4867.426</v>
      </c>
      <c r="I2048" s="0" t="n">
        <v>1469.531</v>
      </c>
      <c r="J2048" s="0" t="n">
        <v>21197.366</v>
      </c>
      <c r="K2048" s="0" t="n">
        <v>58058.4000233333</v>
      </c>
      <c r="L2048" s="0" t="n">
        <v>52064</v>
      </c>
      <c r="M2048" s="0" t="n">
        <v>51969</v>
      </c>
      <c r="N2048" s="0" t="n">
        <v>37</v>
      </c>
      <c r="O2048" s="54" t="n">
        <f aca="false">YEAR(B2048)</f>
        <v>2020</v>
      </c>
      <c r="P2048" s="54" t="n">
        <f aca="false">IF(AND(E2048&gt;=14400,K2048&gt;0,L2048&gt;0),1,0)</f>
        <v>1</v>
      </c>
      <c r="Q2048" s="53" t="n">
        <f aca="false">IF(P2048=1,F2048/E2048*MIN(L2048/K2048,1)*MIN(MAX(M2048/L2048,0),1),0)</f>
        <v>0.544159214316395</v>
      </c>
      <c r="R2048" s="55" t="n">
        <f aca="false">IF(F2048&gt;0,N2048/(F2048/3600),0)</f>
        <v>3.79000471616578</v>
      </c>
    </row>
    <row r="2049" customFormat="false" ht="15" hidden="false" customHeight="false" outlineLevel="0" collapsed="false">
      <c r="A2049" s="0" t="s">
        <v>262</v>
      </c>
      <c r="B2049" s="52" t="n">
        <v>43993</v>
      </c>
      <c r="C2049" s="0" t="n">
        <v>84840.615</v>
      </c>
      <c r="D2049" s="0" t="n">
        <v>5143.968</v>
      </c>
      <c r="E2049" s="0" t="n">
        <v>79696.647</v>
      </c>
      <c r="F2049" s="0" t="n">
        <v>56649.87</v>
      </c>
      <c r="G2049" s="0" t="n">
        <v>44927.997</v>
      </c>
      <c r="H2049" s="0" t="n">
        <v>11721.873</v>
      </c>
      <c r="I2049" s="0" t="n">
        <v>5721.388</v>
      </c>
      <c r="J2049" s="0" t="n">
        <v>17325.389</v>
      </c>
      <c r="K2049" s="0" t="n">
        <v>91010.3652713889</v>
      </c>
      <c r="L2049" s="0" t="n">
        <v>79348</v>
      </c>
      <c r="M2049" s="0" t="n">
        <v>79022</v>
      </c>
      <c r="N2049" s="0" t="n">
        <v>87</v>
      </c>
      <c r="O2049" s="54" t="n">
        <f aca="false">YEAR(B2049)</f>
        <v>2020</v>
      </c>
      <c r="P2049" s="54" t="n">
        <f aca="false">IF(AND(E2049&gt;=14400,K2049&gt;0,L2049&gt;0),1,0)</f>
        <v>1</v>
      </c>
      <c r="Q2049" s="53" t="n">
        <f aca="false">IF(P2049=1,F2049/E2049*MIN(L2049/K2049,1)*MIN(MAX(M2049/L2049,0),1),0)</f>
        <v>0.617185944740846</v>
      </c>
      <c r="R2049" s="55" t="n">
        <f aca="false">IF(F2049&gt;0,N2049/(F2049/3600),0)</f>
        <v>5.52869759453993</v>
      </c>
    </row>
    <row r="2050" customFormat="false" ht="15" hidden="false" customHeight="false" outlineLevel="0" collapsed="false">
      <c r="A2050" s="0" t="s">
        <v>262</v>
      </c>
      <c r="B2050" s="52" t="n">
        <v>43994</v>
      </c>
      <c r="C2050" s="0" t="n">
        <v>86615.604</v>
      </c>
      <c r="D2050" s="0" t="n">
        <v>16393.221</v>
      </c>
      <c r="E2050" s="0" t="n">
        <v>70222.383</v>
      </c>
      <c r="F2050" s="0" t="n">
        <v>60739.457</v>
      </c>
      <c r="G2050" s="0" t="n">
        <v>48235.466</v>
      </c>
      <c r="H2050" s="0" t="n">
        <v>12503.991</v>
      </c>
      <c r="I2050" s="0" t="n">
        <v>2797.329</v>
      </c>
      <c r="J2050" s="0" t="n">
        <v>6685.597</v>
      </c>
      <c r="K2050" s="0" t="n">
        <v>97961.8513988889</v>
      </c>
      <c r="L2050" s="0" t="n">
        <v>83394</v>
      </c>
      <c r="M2050" s="0" t="n">
        <v>83024</v>
      </c>
      <c r="N2050" s="0" t="n">
        <v>86</v>
      </c>
      <c r="O2050" s="54" t="n">
        <f aca="false">YEAR(B2050)</f>
        <v>2020</v>
      </c>
      <c r="P2050" s="54" t="n">
        <f aca="false">IF(AND(E2050&gt;=14400,K2050&gt;0,L2050&gt;0),1,0)</f>
        <v>1</v>
      </c>
      <c r="Q2050" s="53" t="n">
        <f aca="false">IF(P2050=1,F2050/E2050*MIN(L2050/K2050,1)*MIN(MAX(M2050/L2050,0),1),0)</f>
        <v>0.733064200230793</v>
      </c>
      <c r="R2050" s="55" t="n">
        <f aca="false">IF(F2050&gt;0,N2050/(F2050/3600),0)</f>
        <v>5.09718089840678</v>
      </c>
    </row>
    <row r="2051" customFormat="false" ht="15" hidden="false" customHeight="false" outlineLevel="0" collapsed="false">
      <c r="A2051" s="0" t="s">
        <v>262</v>
      </c>
      <c r="B2051" s="52" t="n">
        <v>43995</v>
      </c>
      <c r="C2051" s="0" t="n">
        <v>84295.308</v>
      </c>
      <c r="D2051" s="0" t="n">
        <v>17237.3</v>
      </c>
      <c r="E2051" s="0" t="n">
        <v>67058.008</v>
      </c>
      <c r="F2051" s="0" t="n">
        <v>40945.29</v>
      </c>
      <c r="G2051" s="0" t="n">
        <v>28417.947</v>
      </c>
      <c r="H2051" s="0" t="n">
        <v>12527.343</v>
      </c>
      <c r="I2051" s="0" t="n">
        <v>3426.669</v>
      </c>
      <c r="J2051" s="0" t="n">
        <v>22686.049</v>
      </c>
      <c r="K2051" s="0" t="n">
        <v>64735.5471730556</v>
      </c>
      <c r="L2051" s="0" t="n">
        <v>47649</v>
      </c>
      <c r="M2051" s="0" t="n">
        <v>47519</v>
      </c>
      <c r="N2051" s="0" t="n">
        <v>41</v>
      </c>
      <c r="O2051" s="54" t="n">
        <f aca="false">YEAR(B2051)</f>
        <v>2020</v>
      </c>
      <c r="P2051" s="54" t="n">
        <f aca="false">IF(AND(E2051&gt;=14400,K2051&gt;0,L2051&gt;0),1,0)</f>
        <v>1</v>
      </c>
      <c r="Q2051" s="53" t="n">
        <f aca="false">IF(P2051=1,F2051/E2051*MIN(L2051/K2051,1)*MIN(MAX(M2051/L2051,0),1),0)</f>
        <v>0.448206109997807</v>
      </c>
      <c r="R2051" s="55" t="n">
        <f aca="false">IF(F2051&gt;0,N2051/(F2051/3600),0)</f>
        <v>3.60481022359348</v>
      </c>
    </row>
    <row r="2052" customFormat="false" ht="15" hidden="false" customHeight="false" outlineLevel="0" collapsed="false">
      <c r="A2052" s="0" t="s">
        <v>262</v>
      </c>
      <c r="B2052" s="52" t="n">
        <v>43996</v>
      </c>
      <c r="C2052" s="0" t="n">
        <v>86960.179</v>
      </c>
      <c r="D2052" s="0" t="n">
        <v>16229.111</v>
      </c>
      <c r="E2052" s="0" t="n">
        <v>70731.068</v>
      </c>
      <c r="F2052" s="0" t="n">
        <v>53942.14</v>
      </c>
      <c r="G2052" s="0" t="n">
        <v>38421.226</v>
      </c>
      <c r="H2052" s="0" t="n">
        <v>15520.914</v>
      </c>
      <c r="I2052" s="0" t="n">
        <v>5227.779</v>
      </c>
      <c r="J2052" s="0" t="n">
        <v>11561.149</v>
      </c>
      <c r="K2052" s="0" t="n">
        <v>91700.6587266667</v>
      </c>
      <c r="L2052" s="0" t="n">
        <v>68230</v>
      </c>
      <c r="M2052" s="0" t="n">
        <v>68089</v>
      </c>
      <c r="N2052" s="0" t="n">
        <v>83</v>
      </c>
      <c r="O2052" s="54" t="n">
        <f aca="false">YEAR(B2052)</f>
        <v>2020</v>
      </c>
      <c r="P2052" s="54" t="n">
        <f aca="false">IF(AND(E2052&gt;=14400,K2052&gt;0,L2052&gt;0),1,0)</f>
        <v>1</v>
      </c>
      <c r="Q2052" s="53" t="n">
        <f aca="false">IF(P2052=1,F2052/E2052*MIN(L2052/K2052,1)*MIN(MAX(M2052/L2052,0),1),0)</f>
        <v>0.566268569013076</v>
      </c>
      <c r="R2052" s="55" t="n">
        <f aca="false">IF(F2052&gt;0,N2052/(F2052/3600),0)</f>
        <v>5.53926855701313</v>
      </c>
    </row>
    <row r="2053" customFormat="false" ht="15" hidden="false" customHeight="false" outlineLevel="0" collapsed="false">
      <c r="A2053" s="0" t="s">
        <v>262</v>
      </c>
      <c r="B2053" s="52" t="n">
        <v>43997</v>
      </c>
      <c r="C2053" s="0" t="n">
        <v>75763.346</v>
      </c>
      <c r="D2053" s="0" t="n">
        <v>6499.516</v>
      </c>
      <c r="E2053" s="0" t="n">
        <v>69263.83</v>
      </c>
      <c r="F2053" s="0" t="n">
        <v>53668.737</v>
      </c>
      <c r="G2053" s="0" t="n">
        <v>41314.712</v>
      </c>
      <c r="H2053" s="0" t="n">
        <v>12354.025</v>
      </c>
      <c r="I2053" s="0" t="n">
        <v>3329.263</v>
      </c>
      <c r="J2053" s="0" t="n">
        <v>12265.83</v>
      </c>
      <c r="K2053" s="0" t="n">
        <v>88574.9873211111</v>
      </c>
      <c r="L2053" s="0" t="n">
        <v>73356</v>
      </c>
      <c r="M2053" s="0" t="n">
        <v>73278</v>
      </c>
      <c r="N2053" s="0" t="n">
        <v>66</v>
      </c>
      <c r="O2053" s="54" t="n">
        <f aca="false">YEAR(B2053)</f>
        <v>2020</v>
      </c>
      <c r="P2053" s="54" t="n">
        <f aca="false">IF(AND(E2053&gt;=14400,K2053&gt;0,L2053&gt;0),1,0)</f>
        <v>1</v>
      </c>
      <c r="Q2053" s="53" t="n">
        <f aca="false">IF(P2053=1,F2053/E2053*MIN(L2053/K2053,1)*MIN(MAX(M2053/L2053,0),1),0)</f>
        <v>0.641028562803293</v>
      </c>
      <c r="R2053" s="55" t="n">
        <f aca="false">IF(F2053&gt;0,N2053/(F2053/3600),0)</f>
        <v>4.42715840322458</v>
      </c>
    </row>
    <row r="2054" customFormat="false" ht="15" hidden="false" customHeight="false" outlineLevel="0" collapsed="false">
      <c r="A2054" s="0" t="s">
        <v>262</v>
      </c>
      <c r="B2054" s="52" t="n">
        <v>43998</v>
      </c>
      <c r="C2054" s="0" t="n">
        <v>87278.355</v>
      </c>
      <c r="D2054" s="0" t="n">
        <v>19923.609</v>
      </c>
      <c r="E2054" s="0" t="n">
        <v>67354.746</v>
      </c>
      <c r="F2054" s="0" t="n">
        <v>38934.745</v>
      </c>
      <c r="G2054" s="0" t="n">
        <v>32629.004</v>
      </c>
      <c r="H2054" s="0" t="n">
        <v>6305.741</v>
      </c>
      <c r="I2054" s="0" t="n">
        <v>2097.047</v>
      </c>
      <c r="J2054" s="0" t="n">
        <v>26322.954</v>
      </c>
      <c r="K2054" s="0" t="n">
        <v>63333.7772597222</v>
      </c>
      <c r="L2054" s="0" t="n">
        <v>58080</v>
      </c>
      <c r="M2054" s="0" t="n">
        <v>58039</v>
      </c>
      <c r="N2054" s="0" t="n">
        <v>63</v>
      </c>
      <c r="O2054" s="54" t="n">
        <f aca="false">YEAR(B2054)</f>
        <v>2020</v>
      </c>
      <c r="P2054" s="54" t="n">
        <f aca="false">IF(AND(E2054&gt;=14400,K2054&gt;0,L2054&gt;0),1,0)</f>
        <v>1</v>
      </c>
      <c r="Q2054" s="53" t="n">
        <f aca="false">IF(P2054=1,F2054/E2054*MIN(L2054/K2054,1)*MIN(MAX(M2054/L2054,0),1),0)</f>
        <v>0.529728894610011</v>
      </c>
      <c r="R2054" s="55" t="n">
        <f aca="false">IF(F2054&gt;0,N2054/(F2054/3600),0)</f>
        <v>5.82513125487274</v>
      </c>
    </row>
    <row r="2055" customFormat="false" ht="15" hidden="false" customHeight="false" outlineLevel="0" collapsed="false">
      <c r="A2055" s="0" t="s">
        <v>262</v>
      </c>
      <c r="B2055" s="52" t="n">
        <v>43999</v>
      </c>
      <c r="C2055" s="0" t="n">
        <v>76719.747</v>
      </c>
      <c r="D2055" s="0" t="n">
        <v>6890.35</v>
      </c>
      <c r="E2055" s="0" t="n">
        <v>69829.397</v>
      </c>
      <c r="F2055" s="0" t="n">
        <v>41526.336</v>
      </c>
      <c r="G2055" s="0" t="n">
        <v>36441.321</v>
      </c>
      <c r="H2055" s="0" t="n">
        <v>5085.015</v>
      </c>
      <c r="I2055" s="0" t="n">
        <v>1106.89</v>
      </c>
      <c r="J2055" s="0" t="n">
        <v>27196.171</v>
      </c>
      <c r="K2055" s="0" t="n">
        <v>65405.0211419445</v>
      </c>
      <c r="L2055" s="0" t="n">
        <v>64916</v>
      </c>
      <c r="M2055" s="0" t="n">
        <v>64895</v>
      </c>
      <c r="N2055" s="0" t="n">
        <v>37</v>
      </c>
      <c r="O2055" s="54" t="n">
        <f aca="false">YEAR(B2055)</f>
        <v>2020</v>
      </c>
      <c r="P2055" s="54" t="n">
        <f aca="false">IF(AND(E2055&gt;=14400,K2055&gt;0,L2055&gt;0),1,0)</f>
        <v>1</v>
      </c>
      <c r="Q2055" s="53" t="n">
        <f aca="false">IF(P2055=1,F2055/E2055*MIN(L2055/K2055,1)*MIN(MAX(M2055/L2055,0),1),0)</f>
        <v>0.590045453370177</v>
      </c>
      <c r="R2055" s="55" t="n">
        <f aca="false">IF(F2055&gt;0,N2055/(F2055/3600),0)</f>
        <v>3.20760300162287</v>
      </c>
    </row>
    <row r="2056" customFormat="false" ht="15" hidden="false" customHeight="false" outlineLevel="0" collapsed="false">
      <c r="A2056" s="0" t="s">
        <v>262</v>
      </c>
      <c r="B2056" s="52" t="n">
        <v>44000</v>
      </c>
      <c r="C2056" s="0" t="n">
        <v>87563.5</v>
      </c>
      <c r="D2056" s="0" t="n">
        <v>16762.022</v>
      </c>
      <c r="E2056" s="0" t="n">
        <v>70801.478</v>
      </c>
      <c r="F2056" s="0" t="n">
        <v>54480.613</v>
      </c>
      <c r="G2056" s="0" t="n">
        <v>50256.375</v>
      </c>
      <c r="H2056" s="0" t="n">
        <v>4224.238</v>
      </c>
      <c r="I2056" s="0" t="n">
        <v>1554.648</v>
      </c>
      <c r="J2056" s="0" t="n">
        <v>14766.217</v>
      </c>
      <c r="K2056" s="0" t="n">
        <v>84045.9669944445</v>
      </c>
      <c r="L2056" s="0" t="n">
        <v>89967</v>
      </c>
      <c r="M2056" s="0" t="n">
        <v>89958</v>
      </c>
      <c r="N2056" s="0" t="n">
        <v>52</v>
      </c>
      <c r="O2056" s="54" t="n">
        <f aca="false">YEAR(B2056)</f>
        <v>2020</v>
      </c>
      <c r="P2056" s="54" t="n">
        <f aca="false">IF(AND(E2056&gt;=14400,K2056&gt;0,L2056&gt;0),1,0)</f>
        <v>1</v>
      </c>
      <c r="Q2056" s="53" t="n">
        <f aca="false">IF(P2056=1,F2056/E2056*MIN(L2056/K2056,1)*MIN(MAX(M2056/L2056,0),1),0)</f>
        <v>0.769407143454615</v>
      </c>
      <c r="R2056" s="55" t="n">
        <f aca="false">IF(F2056&gt;0,N2056/(F2056/3600),0)</f>
        <v>3.43608468575785</v>
      </c>
    </row>
    <row r="2057" customFormat="false" ht="15" hidden="false" customHeight="false" outlineLevel="0" collapsed="false">
      <c r="A2057" s="0" t="s">
        <v>262</v>
      </c>
      <c r="B2057" s="52" t="n">
        <v>44001</v>
      </c>
      <c r="C2057" s="0" t="n">
        <v>77061.966</v>
      </c>
      <c r="D2057" s="0" t="n">
        <v>16792.401</v>
      </c>
      <c r="E2057" s="0" t="n">
        <v>60269.565</v>
      </c>
      <c r="F2057" s="0" t="n">
        <v>45266.122</v>
      </c>
      <c r="G2057" s="0" t="n">
        <v>34676.946</v>
      </c>
      <c r="H2057" s="0" t="n">
        <v>10589.176</v>
      </c>
      <c r="I2057" s="0" t="n">
        <v>3128.093</v>
      </c>
      <c r="J2057" s="0" t="n">
        <v>11875.35</v>
      </c>
      <c r="K2057" s="0" t="n">
        <v>73414.0420455556</v>
      </c>
      <c r="L2057" s="0" t="n">
        <v>60137</v>
      </c>
      <c r="M2057" s="0" t="n">
        <v>60026</v>
      </c>
      <c r="N2057" s="0" t="n">
        <v>45</v>
      </c>
      <c r="O2057" s="54" t="n">
        <f aca="false">YEAR(B2057)</f>
        <v>2020</v>
      </c>
      <c r="P2057" s="54" t="n">
        <f aca="false">IF(AND(E2057&gt;=14400,K2057&gt;0,L2057&gt;0),1,0)</f>
        <v>1</v>
      </c>
      <c r="Q2057" s="53" t="n">
        <f aca="false">IF(P2057=1,F2057/E2057*MIN(L2057/K2057,1)*MIN(MAX(M2057/L2057,0),1),0)</f>
        <v>0.61409491375643</v>
      </c>
      <c r="R2057" s="55" t="n">
        <f aca="false">IF(F2057&gt;0,N2057/(F2057/3600),0)</f>
        <v>3.57883540366016</v>
      </c>
    </row>
    <row r="2058" customFormat="false" ht="15" hidden="false" customHeight="false" outlineLevel="0" collapsed="false">
      <c r="A2058" s="0" t="s">
        <v>262</v>
      </c>
      <c r="B2058" s="52" t="n">
        <v>44002</v>
      </c>
      <c r="C2058" s="0" t="n">
        <v>116900.583</v>
      </c>
      <c r="D2058" s="0" t="n">
        <v>14188.539</v>
      </c>
      <c r="E2058" s="0" t="n">
        <v>102712.044</v>
      </c>
      <c r="F2058" s="0" t="n">
        <v>19364.008</v>
      </c>
      <c r="G2058" s="0" t="n">
        <v>16558.276</v>
      </c>
      <c r="H2058" s="0" t="n">
        <v>2805.732</v>
      </c>
      <c r="I2058" s="0" t="n">
        <v>4245.234</v>
      </c>
      <c r="J2058" s="0" t="n">
        <v>79102.802</v>
      </c>
      <c r="K2058" s="0" t="n">
        <v>33722.479375</v>
      </c>
      <c r="L2058" s="0" t="n">
        <v>29873</v>
      </c>
      <c r="M2058" s="0" t="n">
        <v>29715</v>
      </c>
      <c r="N2058" s="0" t="n">
        <v>34</v>
      </c>
      <c r="O2058" s="54" t="n">
        <f aca="false">YEAR(B2058)</f>
        <v>2020</v>
      </c>
      <c r="P2058" s="54" t="n">
        <f aca="false">IF(AND(E2058&gt;=14400,K2058&gt;0,L2058&gt;0),1,0)</f>
        <v>1</v>
      </c>
      <c r="Q2058" s="53" t="n">
        <f aca="false">IF(P2058=1,F2058/E2058*MIN(L2058/K2058,1)*MIN(MAX(M2058/L2058,0),1),0)</f>
        <v>0.166123135018037</v>
      </c>
      <c r="R2058" s="55" t="n">
        <f aca="false">IF(F2058&gt;0,N2058/(F2058/3600),0)</f>
        <v>6.32100544474057</v>
      </c>
    </row>
    <row r="2059" customFormat="false" ht="15" hidden="false" customHeight="false" outlineLevel="0" collapsed="false">
      <c r="A2059" s="0" t="s">
        <v>262</v>
      </c>
      <c r="B2059" s="52" t="n">
        <v>44003</v>
      </c>
      <c r="C2059" s="0" t="n">
        <v>42742.458</v>
      </c>
      <c r="D2059" s="0" t="n">
        <v>6969.532</v>
      </c>
      <c r="E2059" s="0" t="n">
        <v>35772.926</v>
      </c>
      <c r="F2059" s="0" t="n">
        <v>15647.212</v>
      </c>
      <c r="G2059" s="0" t="n">
        <v>10211.019</v>
      </c>
      <c r="H2059" s="0" t="n">
        <v>5436.193</v>
      </c>
      <c r="I2059" s="0" t="n">
        <v>482.743</v>
      </c>
      <c r="J2059" s="0" t="n">
        <v>19642.971</v>
      </c>
      <c r="K2059" s="0" t="n">
        <v>22851.8998386111</v>
      </c>
      <c r="L2059" s="0" t="n">
        <v>15833</v>
      </c>
      <c r="M2059" s="0" t="n">
        <v>15819</v>
      </c>
      <c r="N2059" s="0" t="n">
        <v>14</v>
      </c>
      <c r="O2059" s="54" t="n">
        <f aca="false">YEAR(B2059)</f>
        <v>2020</v>
      </c>
      <c r="P2059" s="54" t="n">
        <f aca="false">IF(AND(E2059&gt;=14400,K2059&gt;0,L2059&gt;0),1,0)</f>
        <v>1</v>
      </c>
      <c r="Q2059" s="53" t="n">
        <f aca="false">IF(P2059=1,F2059/E2059*MIN(L2059/K2059,1)*MIN(MAX(M2059/L2059,0),1),0)</f>
        <v>0.302788388649302</v>
      </c>
      <c r="R2059" s="55" t="n">
        <f aca="false">IF(F2059&gt;0,N2059/(F2059/3600),0)</f>
        <v>3.22102109947766</v>
      </c>
    </row>
    <row r="2060" customFormat="false" ht="15" hidden="false" customHeight="false" outlineLevel="0" collapsed="false">
      <c r="A2060" s="0" t="s">
        <v>262</v>
      </c>
      <c r="B2060" s="52" t="n">
        <v>44004</v>
      </c>
      <c r="C2060" s="0" t="n">
        <v>86519.138</v>
      </c>
      <c r="D2060" s="0" t="n">
        <v>17335.891</v>
      </c>
      <c r="E2060" s="0" t="n">
        <v>69183.247</v>
      </c>
      <c r="F2060" s="0" t="n">
        <v>48554.376</v>
      </c>
      <c r="G2060" s="0" t="n">
        <v>44526.985</v>
      </c>
      <c r="H2060" s="0" t="n">
        <v>4027.391</v>
      </c>
      <c r="I2060" s="0" t="n">
        <v>3335.394</v>
      </c>
      <c r="J2060" s="0" t="n">
        <v>17293.477</v>
      </c>
      <c r="K2060" s="0" t="n">
        <v>84931.6899397222</v>
      </c>
      <c r="L2060" s="0" t="n">
        <v>77933</v>
      </c>
      <c r="M2060" s="0" t="n">
        <v>77869</v>
      </c>
      <c r="N2060" s="0" t="n">
        <v>46</v>
      </c>
      <c r="O2060" s="54" t="n">
        <f aca="false">YEAR(B2060)</f>
        <v>2020</v>
      </c>
      <c r="P2060" s="54" t="n">
        <f aca="false">IF(AND(E2060&gt;=14400,K2060&gt;0,L2060&gt;0),1,0)</f>
        <v>1</v>
      </c>
      <c r="Q2060" s="53" t="n">
        <f aca="false">IF(P2060=1,F2060/E2060*MIN(L2060/K2060,1)*MIN(MAX(M2060/L2060,0),1),0)</f>
        <v>0.643461056900793</v>
      </c>
      <c r="R2060" s="55" t="n">
        <f aca="false">IF(F2060&gt;0,N2060/(F2060/3600),0)</f>
        <v>3.41060916939804</v>
      </c>
    </row>
    <row r="2061" customFormat="false" ht="15" hidden="false" customHeight="false" outlineLevel="0" collapsed="false">
      <c r="A2061" s="0" t="s">
        <v>262</v>
      </c>
      <c r="B2061" s="52" t="n">
        <v>44005</v>
      </c>
      <c r="C2061" s="0" t="n">
        <v>82175.608</v>
      </c>
      <c r="D2061" s="0" t="n">
        <v>2451.67</v>
      </c>
      <c r="E2061" s="0" t="n">
        <v>79723.938</v>
      </c>
      <c r="F2061" s="0" t="n">
        <v>70975.63</v>
      </c>
      <c r="G2061" s="0" t="n">
        <v>44443.282</v>
      </c>
      <c r="H2061" s="0" t="n">
        <v>26532.348</v>
      </c>
      <c r="I2061" s="0" t="n">
        <v>3246.976</v>
      </c>
      <c r="J2061" s="0" t="n">
        <v>5501.332</v>
      </c>
      <c r="K2061" s="0" t="n">
        <v>120122.967666111</v>
      </c>
      <c r="L2061" s="0" t="n">
        <v>76688</v>
      </c>
      <c r="M2061" s="0" t="n">
        <v>76596</v>
      </c>
      <c r="N2061" s="0" t="n">
        <v>45</v>
      </c>
      <c r="O2061" s="54" t="n">
        <f aca="false">YEAR(B2061)</f>
        <v>2020</v>
      </c>
      <c r="P2061" s="54" t="n">
        <f aca="false">IF(AND(E2061&gt;=14400,K2061&gt;0,L2061&gt;0),1,0)</f>
        <v>1</v>
      </c>
      <c r="Q2061" s="53" t="n">
        <f aca="false">IF(P2061=1,F2061/E2061*MIN(L2061/K2061,1)*MIN(MAX(M2061/L2061,0),1),0)</f>
        <v>0.567676022493195</v>
      </c>
      <c r="R2061" s="55" t="n">
        <f aca="false">IF(F2061&gt;0,N2061/(F2061/3600),0)</f>
        <v>2.28247357578932</v>
      </c>
    </row>
    <row r="2062" customFormat="false" ht="15" hidden="false" customHeight="false" outlineLevel="0" collapsed="false">
      <c r="A2062" s="0" t="s">
        <v>262</v>
      </c>
      <c r="B2062" s="52" t="n">
        <v>44006</v>
      </c>
      <c r="C2062" s="0" t="n">
        <v>86946.52</v>
      </c>
      <c r="D2062" s="0" t="n">
        <v>29841.643</v>
      </c>
      <c r="E2062" s="0" t="n">
        <v>57104.877</v>
      </c>
      <c r="F2062" s="0" t="n">
        <v>42681.592</v>
      </c>
      <c r="G2062" s="0" t="n">
        <v>32742.11</v>
      </c>
      <c r="H2062" s="0" t="n">
        <v>9939.482</v>
      </c>
      <c r="I2062" s="0" t="n">
        <v>680.488</v>
      </c>
      <c r="J2062" s="0" t="n">
        <v>13742.797</v>
      </c>
      <c r="K2062" s="0" t="n">
        <v>68552.7915913889</v>
      </c>
      <c r="L2062" s="0" t="n">
        <v>54326</v>
      </c>
      <c r="M2062" s="0" t="n">
        <v>54306</v>
      </c>
      <c r="N2062" s="0" t="n">
        <v>20</v>
      </c>
      <c r="O2062" s="54" t="n">
        <f aca="false">YEAR(B2062)</f>
        <v>2020</v>
      </c>
      <c r="P2062" s="54" t="n">
        <f aca="false">IF(AND(E2062&gt;=14400,K2062&gt;0,L2062&gt;0),1,0)</f>
        <v>1</v>
      </c>
      <c r="Q2062" s="53" t="n">
        <f aca="false">IF(P2062=1,F2062/E2062*MIN(L2062/K2062,1)*MIN(MAX(M2062/L2062,0),1),0)</f>
        <v>0.592093209192308</v>
      </c>
      <c r="R2062" s="55" t="n">
        <f aca="false">IF(F2062&gt;0,N2062/(F2062/3600),0)</f>
        <v>1.68690989783137</v>
      </c>
    </row>
    <row r="2063" customFormat="false" ht="15" hidden="false" customHeight="false" outlineLevel="0" collapsed="false">
      <c r="A2063" s="0" t="s">
        <v>262</v>
      </c>
      <c r="B2063" s="52" t="n">
        <v>44007</v>
      </c>
      <c r="C2063" s="0" t="n">
        <v>86158.784</v>
      </c>
      <c r="D2063" s="0" t="n">
        <v>15357.779</v>
      </c>
      <c r="E2063" s="0" t="n">
        <v>70801.005</v>
      </c>
      <c r="F2063" s="0" t="n">
        <v>49279.473</v>
      </c>
      <c r="G2063" s="0" t="n">
        <v>44906.522</v>
      </c>
      <c r="H2063" s="0" t="n">
        <v>4372.951</v>
      </c>
      <c r="I2063" s="0" t="n">
        <v>2488.713</v>
      </c>
      <c r="J2063" s="0" t="n">
        <v>19032.819</v>
      </c>
      <c r="K2063" s="0" t="n">
        <v>81451.0816825</v>
      </c>
      <c r="L2063" s="0" t="n">
        <v>77356</v>
      </c>
      <c r="M2063" s="0" t="n">
        <v>77337</v>
      </c>
      <c r="N2063" s="0" t="n">
        <v>60</v>
      </c>
      <c r="O2063" s="54" t="n">
        <f aca="false">YEAR(B2063)</f>
        <v>2020</v>
      </c>
      <c r="P2063" s="54" t="n">
        <f aca="false">IF(AND(E2063&gt;=14400,K2063&gt;0,L2063&gt;0),1,0)</f>
        <v>1</v>
      </c>
      <c r="Q2063" s="53" t="n">
        <f aca="false">IF(P2063=1,F2063/E2063*MIN(L2063/K2063,1)*MIN(MAX(M2063/L2063,0),1),0)</f>
        <v>0.660871612673381</v>
      </c>
      <c r="R2063" s="55" t="n">
        <f aca="false">IF(F2063&gt;0,N2063/(F2063/3600),0)</f>
        <v>4.38316375664163</v>
      </c>
    </row>
    <row r="2064" customFormat="false" ht="15" hidden="false" customHeight="false" outlineLevel="0" collapsed="false">
      <c r="A2064" s="0" t="s">
        <v>262</v>
      </c>
      <c r="B2064" s="52" t="n">
        <v>44008</v>
      </c>
      <c r="C2064" s="0" t="n">
        <v>90068.77</v>
      </c>
      <c r="D2064" s="0" t="n">
        <v>3110.734</v>
      </c>
      <c r="E2064" s="0" t="n">
        <v>86958.036</v>
      </c>
      <c r="F2064" s="0" t="n">
        <v>55631.709</v>
      </c>
      <c r="G2064" s="0" t="n">
        <v>40002.916</v>
      </c>
      <c r="H2064" s="0" t="n">
        <v>15628.793</v>
      </c>
      <c r="I2064" s="0" t="n">
        <v>6898.517</v>
      </c>
      <c r="J2064" s="0" t="n">
        <v>24427.81</v>
      </c>
      <c r="K2064" s="0" t="n">
        <v>95265.9553477778</v>
      </c>
      <c r="L2064" s="0" t="n">
        <v>68142</v>
      </c>
      <c r="M2064" s="0" t="n">
        <v>68028</v>
      </c>
      <c r="N2064" s="0" t="n">
        <v>91</v>
      </c>
      <c r="O2064" s="54" t="n">
        <f aca="false">YEAR(B2064)</f>
        <v>2020</v>
      </c>
      <c r="P2064" s="54" t="n">
        <f aca="false">IF(AND(E2064&gt;=14400,K2064&gt;0,L2064&gt;0),1,0)</f>
        <v>1</v>
      </c>
      <c r="Q2064" s="53" t="n">
        <f aca="false">IF(P2064=1,F2064/E2064*MIN(L2064/K2064,1)*MIN(MAX(M2064/L2064,0),1),0)</f>
        <v>0.456838456215332</v>
      </c>
      <c r="R2064" s="55" t="n">
        <f aca="false">IF(F2064&gt;0,N2064/(F2064/3600),0)</f>
        <v>5.88872795549028</v>
      </c>
    </row>
    <row r="2065" customFormat="false" ht="15" hidden="false" customHeight="false" outlineLevel="0" collapsed="false">
      <c r="A2065" s="0" t="s">
        <v>262</v>
      </c>
      <c r="B2065" s="52" t="n">
        <v>44009</v>
      </c>
      <c r="C2065" s="0" t="n">
        <v>104144.05</v>
      </c>
      <c r="D2065" s="0" t="n">
        <v>12084.67</v>
      </c>
      <c r="E2065" s="0" t="n">
        <v>92059.38</v>
      </c>
      <c r="F2065" s="0" t="n">
        <v>0</v>
      </c>
      <c r="G2065" s="0" t="n">
        <v>0</v>
      </c>
      <c r="H2065" s="0" t="n">
        <v>0</v>
      </c>
      <c r="I2065" s="0" t="n">
        <v>0</v>
      </c>
      <c r="J2065" s="0" t="n">
        <v>92059.38</v>
      </c>
      <c r="K2065" s="0" t="n">
        <v>0</v>
      </c>
      <c r="L2065" s="0" t="n">
        <v>0</v>
      </c>
      <c r="M2065" s="0" t="n">
        <v>0</v>
      </c>
      <c r="N2065" s="0" t="n">
        <v>0</v>
      </c>
      <c r="O2065" s="54" t="n">
        <f aca="false">YEAR(B2065)</f>
        <v>2020</v>
      </c>
      <c r="P2065" s="54" t="n">
        <f aca="false">IF(AND(E2065&gt;=14400,K2065&gt;0,L2065&gt;0),1,0)</f>
        <v>0</v>
      </c>
      <c r="Q2065" s="53" t="n">
        <f aca="false">IF(P2065=1,F2065/E2065*MIN(L2065/K2065,1)*MIN(MAX(M2065/L2065,0),1),0)</f>
        <v>0</v>
      </c>
      <c r="R2065" s="55" t="n">
        <f aca="false">IF(F2065&gt;0,N2065/(F2065/3600),0)</f>
        <v>0</v>
      </c>
    </row>
    <row r="2066" customFormat="false" ht="15" hidden="false" customHeight="false" outlineLevel="0" collapsed="false">
      <c r="A2066" s="0" t="s">
        <v>262</v>
      </c>
      <c r="B2066" s="52" t="n">
        <v>44010</v>
      </c>
      <c r="C2066" s="0" t="n">
        <v>44774.24</v>
      </c>
      <c r="D2066" s="0" t="n">
        <v>6477.564</v>
      </c>
      <c r="E2066" s="0" t="n">
        <v>38296.676</v>
      </c>
      <c r="F2066" s="0" t="n">
        <v>25671.9</v>
      </c>
      <c r="G2066" s="0" t="n">
        <v>19499.503</v>
      </c>
      <c r="H2066" s="0" t="n">
        <v>6172.397</v>
      </c>
      <c r="I2066" s="0" t="n">
        <v>2047.098</v>
      </c>
      <c r="J2066" s="0" t="n">
        <v>10577.678</v>
      </c>
      <c r="K2066" s="0" t="n">
        <v>41335.2090352778</v>
      </c>
      <c r="L2066" s="0" t="n">
        <v>33987</v>
      </c>
      <c r="M2066" s="0" t="n">
        <v>33973</v>
      </c>
      <c r="N2066" s="0" t="n">
        <v>32</v>
      </c>
      <c r="O2066" s="54" t="n">
        <f aca="false">YEAR(B2066)</f>
        <v>2020</v>
      </c>
      <c r="P2066" s="54" t="n">
        <f aca="false">IF(AND(E2066&gt;=14400,K2066&gt;0,L2066&gt;0),1,0)</f>
        <v>1</v>
      </c>
      <c r="Q2066" s="53" t="n">
        <f aca="false">IF(P2066=1,F2066/E2066*MIN(L2066/K2066,1)*MIN(MAX(M2066/L2066,0),1),0)</f>
        <v>0.550948103822304</v>
      </c>
      <c r="R2066" s="55" t="n">
        <f aca="false">IF(F2066&gt;0,N2066/(F2066/3600),0)</f>
        <v>4.4873967256027</v>
      </c>
    </row>
    <row r="2067" customFormat="false" ht="15" hidden="false" customHeight="false" outlineLevel="0" collapsed="false">
      <c r="A2067" s="0" t="s">
        <v>262</v>
      </c>
      <c r="B2067" s="52" t="n">
        <v>44011</v>
      </c>
      <c r="C2067" s="0" t="n">
        <v>86150.958</v>
      </c>
      <c r="D2067" s="0" t="n">
        <v>13884.54</v>
      </c>
      <c r="E2067" s="0" t="n">
        <v>72266.418</v>
      </c>
      <c r="F2067" s="0" t="n">
        <v>56435.433</v>
      </c>
      <c r="G2067" s="0" t="n">
        <v>50320.211</v>
      </c>
      <c r="H2067" s="0" t="n">
        <v>6115.222</v>
      </c>
      <c r="I2067" s="0" t="n">
        <v>4163.465</v>
      </c>
      <c r="J2067" s="0" t="n">
        <v>11667.52</v>
      </c>
      <c r="K2067" s="0" t="n">
        <v>93790.6727436111</v>
      </c>
      <c r="L2067" s="0" t="n">
        <v>88284</v>
      </c>
      <c r="M2067" s="0" t="n">
        <v>88224</v>
      </c>
      <c r="N2067" s="0" t="n">
        <v>75</v>
      </c>
      <c r="O2067" s="54" t="n">
        <f aca="false">YEAR(B2067)</f>
        <v>2020</v>
      </c>
      <c r="P2067" s="54" t="n">
        <f aca="false">IF(AND(E2067&gt;=14400,K2067&gt;0,L2067&gt;0),1,0)</f>
        <v>1</v>
      </c>
      <c r="Q2067" s="53" t="n">
        <f aca="false">IF(P2067=1,F2067/E2067*MIN(L2067/K2067,1)*MIN(MAX(M2067/L2067,0),1),0)</f>
        <v>0.734585626267343</v>
      </c>
      <c r="R2067" s="55" t="n">
        <f aca="false">IF(F2067&gt;0,N2067/(F2067/3600),0)</f>
        <v>4.78422837652366</v>
      </c>
    </row>
    <row r="2068" customFormat="false" ht="15" hidden="false" customHeight="false" outlineLevel="0" collapsed="false">
      <c r="A2068" s="0" t="s">
        <v>262</v>
      </c>
      <c r="B2068" s="52" t="n">
        <v>44012</v>
      </c>
      <c r="C2068" s="0" t="n">
        <v>79499.347</v>
      </c>
      <c r="D2068" s="0" t="n">
        <v>7178.21</v>
      </c>
      <c r="E2068" s="0" t="n">
        <v>72321.137</v>
      </c>
      <c r="F2068" s="0" t="n">
        <v>56261.865</v>
      </c>
      <c r="G2068" s="0" t="n">
        <v>45925.099</v>
      </c>
      <c r="H2068" s="0" t="n">
        <v>10336.766</v>
      </c>
      <c r="I2068" s="0" t="n">
        <v>2019.562</v>
      </c>
      <c r="J2068" s="0" t="n">
        <v>14039.71</v>
      </c>
      <c r="K2068" s="0" t="n">
        <v>92548.8919433333</v>
      </c>
      <c r="L2068" s="0" t="n">
        <v>79864</v>
      </c>
      <c r="M2068" s="0" t="n">
        <v>79836</v>
      </c>
      <c r="N2068" s="0" t="n">
        <v>62</v>
      </c>
      <c r="O2068" s="54" t="n">
        <f aca="false">YEAR(B2068)</f>
        <v>2020</v>
      </c>
      <c r="P2068" s="54" t="n">
        <f aca="false">IF(AND(E2068&gt;=14400,K2068&gt;0,L2068&gt;0),1,0)</f>
        <v>1</v>
      </c>
      <c r="Q2068" s="53" t="n">
        <f aca="false">IF(P2068=1,F2068/E2068*MIN(L2068/K2068,1)*MIN(MAX(M2068/L2068,0),1),0)</f>
        <v>0.671083290059232</v>
      </c>
      <c r="R2068" s="55" t="n">
        <f aca="false">IF(F2068&gt;0,N2068/(F2068/3600),0)</f>
        <v>3.96716319304381</v>
      </c>
    </row>
    <row r="2069" customFormat="false" ht="15" hidden="false" customHeight="false" outlineLevel="0" collapsed="false">
      <c r="A2069" s="0" t="s">
        <v>262</v>
      </c>
      <c r="B2069" s="52" t="n">
        <v>44013</v>
      </c>
      <c r="C2069" s="0" t="n">
        <v>84187.221</v>
      </c>
      <c r="D2069" s="0" t="n">
        <v>14242.456</v>
      </c>
      <c r="E2069" s="0" t="n">
        <v>69944.765</v>
      </c>
      <c r="F2069" s="0" t="n">
        <v>52279.595</v>
      </c>
      <c r="G2069" s="0" t="n">
        <v>44739.523</v>
      </c>
      <c r="H2069" s="0" t="n">
        <v>7540.072</v>
      </c>
      <c r="I2069" s="0" t="n">
        <v>2384.631</v>
      </c>
      <c r="J2069" s="0" t="n">
        <v>15280.539</v>
      </c>
      <c r="K2069" s="0" t="n">
        <v>88157.5547372222</v>
      </c>
      <c r="L2069" s="0" t="n">
        <v>79853</v>
      </c>
      <c r="M2069" s="0" t="n">
        <v>79558</v>
      </c>
      <c r="N2069" s="0" t="n">
        <v>59</v>
      </c>
      <c r="O2069" s="54" t="n">
        <f aca="false">YEAR(B2069)</f>
        <v>2020</v>
      </c>
      <c r="P2069" s="54" t="n">
        <f aca="false">IF(AND(E2069&gt;=14400,K2069&gt;0,L2069&gt;0),1,0)</f>
        <v>1</v>
      </c>
      <c r="Q2069" s="53" t="n">
        <f aca="false">IF(P2069=1,F2069/E2069*MIN(L2069/K2069,1)*MIN(MAX(M2069/L2069,0),1),0)</f>
        <v>0.67453007878957</v>
      </c>
      <c r="R2069" s="55" t="n">
        <f aca="false">IF(F2069&gt;0,N2069/(F2069/3600),0)</f>
        <v>4.06277057043001</v>
      </c>
    </row>
    <row r="2070" customFormat="false" ht="15" hidden="false" customHeight="false" outlineLevel="0" collapsed="false">
      <c r="A2070" s="0" t="s">
        <v>262</v>
      </c>
      <c r="B2070" s="52" t="n">
        <v>44014</v>
      </c>
      <c r="C2070" s="0" t="n">
        <v>87609.018</v>
      </c>
      <c r="D2070" s="0" t="n">
        <v>16584.38</v>
      </c>
      <c r="E2070" s="0" t="n">
        <v>71024.638</v>
      </c>
      <c r="F2070" s="0" t="n">
        <v>47028.08</v>
      </c>
      <c r="G2070" s="0" t="n">
        <v>36617.18</v>
      </c>
      <c r="H2070" s="0" t="n">
        <v>10410.9</v>
      </c>
      <c r="I2070" s="0" t="n">
        <v>1934.437</v>
      </c>
      <c r="J2070" s="0" t="n">
        <v>22062.121</v>
      </c>
      <c r="K2070" s="0" t="n">
        <v>75695.5361727778</v>
      </c>
      <c r="L2070" s="0" t="n">
        <v>60552</v>
      </c>
      <c r="M2070" s="0" t="n">
        <v>60502</v>
      </c>
      <c r="N2070" s="0" t="n">
        <v>50</v>
      </c>
      <c r="O2070" s="54" t="n">
        <f aca="false">YEAR(B2070)</f>
        <v>2020</v>
      </c>
      <c r="P2070" s="54" t="n">
        <f aca="false">IF(AND(E2070&gt;=14400,K2070&gt;0,L2070&gt;0),1,0)</f>
        <v>1</v>
      </c>
      <c r="Q2070" s="53" t="n">
        <f aca="false">IF(P2070=1,F2070/E2070*MIN(L2070/K2070,1)*MIN(MAX(M2070/L2070,0),1),0)</f>
        <v>0.529233931751605</v>
      </c>
      <c r="R2070" s="55" t="n">
        <f aca="false">IF(F2070&gt;0,N2070/(F2070/3600),0)</f>
        <v>3.82750050608062</v>
      </c>
    </row>
    <row r="2071" customFormat="false" ht="15" hidden="false" customHeight="false" outlineLevel="0" collapsed="false">
      <c r="A2071" s="0" t="s">
        <v>262</v>
      </c>
      <c r="B2071" s="52" t="n">
        <v>44015</v>
      </c>
      <c r="C2071" s="0" t="n">
        <v>74069.19</v>
      </c>
      <c r="D2071" s="0" t="n">
        <v>5686.77</v>
      </c>
      <c r="E2071" s="0" t="n">
        <v>68382.42</v>
      </c>
      <c r="F2071" s="0" t="n">
        <v>58708.904</v>
      </c>
      <c r="G2071" s="0" t="n">
        <v>53860.254</v>
      </c>
      <c r="H2071" s="0" t="n">
        <v>4848.65</v>
      </c>
      <c r="I2071" s="0" t="n">
        <v>2093.243</v>
      </c>
      <c r="J2071" s="0" t="n">
        <v>7580.273</v>
      </c>
      <c r="K2071" s="0" t="n">
        <v>99335.9173791667</v>
      </c>
      <c r="L2071" s="0" t="n">
        <v>95576</v>
      </c>
      <c r="M2071" s="0" t="n">
        <v>95550</v>
      </c>
      <c r="N2071" s="0" t="n">
        <v>48</v>
      </c>
      <c r="O2071" s="54" t="n">
        <f aca="false">YEAR(B2071)</f>
        <v>2020</v>
      </c>
      <c r="P2071" s="54" t="n">
        <f aca="false">IF(AND(E2071&gt;=14400,K2071&gt;0,L2071&gt;0),1,0)</f>
        <v>1</v>
      </c>
      <c r="Q2071" s="53" t="n">
        <f aca="false">IF(P2071=1,F2071/E2071*MIN(L2071/K2071,1)*MIN(MAX(M2071/L2071,0),1),0)</f>
        <v>0.825817137721014</v>
      </c>
      <c r="R2071" s="55" t="n">
        <f aca="false">IF(F2071&gt;0,N2071/(F2071/3600),0)</f>
        <v>2.94333547769858</v>
      </c>
    </row>
    <row r="2072" customFormat="false" ht="15" hidden="false" customHeight="false" outlineLevel="0" collapsed="false">
      <c r="A2072" s="0" t="s">
        <v>262</v>
      </c>
      <c r="B2072" s="52" t="n">
        <v>44016</v>
      </c>
      <c r="C2072" s="0" t="n">
        <v>82764.768</v>
      </c>
      <c r="D2072" s="0" t="n">
        <v>14653.31</v>
      </c>
      <c r="E2072" s="0" t="n">
        <v>68111.458</v>
      </c>
      <c r="F2072" s="0" t="n">
        <v>44806.448</v>
      </c>
      <c r="G2072" s="0" t="n">
        <v>40164.961</v>
      </c>
      <c r="H2072" s="0" t="n">
        <v>4641.487</v>
      </c>
      <c r="I2072" s="0" t="n">
        <v>4459.367</v>
      </c>
      <c r="J2072" s="0" t="n">
        <v>18845.643</v>
      </c>
      <c r="K2072" s="0" t="n">
        <v>76872.0364844444</v>
      </c>
      <c r="L2072" s="0" t="n">
        <v>71277</v>
      </c>
      <c r="M2072" s="0" t="n">
        <v>71255</v>
      </c>
      <c r="N2072" s="0" t="n">
        <v>50</v>
      </c>
      <c r="O2072" s="54" t="n">
        <f aca="false">YEAR(B2072)</f>
        <v>2020</v>
      </c>
      <c r="P2072" s="54" t="n">
        <f aca="false">IF(AND(E2072&gt;=14400,K2072&gt;0,L2072&gt;0),1,0)</f>
        <v>1</v>
      </c>
      <c r="Q2072" s="53" t="n">
        <f aca="false">IF(P2072=1,F2072/E2072*MIN(L2072/K2072,1)*MIN(MAX(M2072/L2072,0),1),0)</f>
        <v>0.609771746808626</v>
      </c>
      <c r="R2072" s="55" t="n">
        <f aca="false">IF(F2072&gt;0,N2072/(F2072/3600),0)</f>
        <v>4.01727894163804</v>
      </c>
    </row>
    <row r="2073" customFormat="false" ht="15" hidden="false" customHeight="false" outlineLevel="0" collapsed="false">
      <c r="A2073" s="0" t="s">
        <v>262</v>
      </c>
      <c r="B2073" s="52" t="n">
        <v>44018</v>
      </c>
      <c r="C2073" s="0" t="n">
        <v>59196.81</v>
      </c>
      <c r="D2073" s="0" t="n">
        <v>6725.559</v>
      </c>
      <c r="E2073" s="0" t="n">
        <v>52471.251</v>
      </c>
      <c r="F2073" s="0" t="n">
        <v>0</v>
      </c>
      <c r="G2073" s="0" t="n">
        <v>0</v>
      </c>
      <c r="H2073" s="0" t="n">
        <v>0</v>
      </c>
      <c r="I2073" s="0" t="n">
        <v>0</v>
      </c>
      <c r="J2073" s="0" t="n">
        <v>52471.251</v>
      </c>
      <c r="K2073" s="0" t="n">
        <v>0</v>
      </c>
      <c r="L2073" s="0" t="n">
        <v>0</v>
      </c>
      <c r="M2073" s="0" t="n">
        <v>0</v>
      </c>
      <c r="N2073" s="0" t="n">
        <v>0</v>
      </c>
      <c r="O2073" s="54" t="n">
        <f aca="false">YEAR(B2073)</f>
        <v>2020</v>
      </c>
      <c r="P2073" s="54" t="n">
        <f aca="false">IF(AND(E2073&gt;=14400,K2073&gt;0,L2073&gt;0),1,0)</f>
        <v>0</v>
      </c>
      <c r="Q2073" s="53" t="n">
        <f aca="false">IF(P2073=1,F2073/E2073*MIN(L2073/K2073,1)*MIN(MAX(M2073/L2073,0),1),0)</f>
        <v>0</v>
      </c>
      <c r="R2073" s="55" t="n">
        <f aca="false">IF(F2073&gt;0,N2073/(F2073/3600),0)</f>
        <v>0</v>
      </c>
    </row>
    <row r="2074" customFormat="false" ht="15" hidden="false" customHeight="false" outlineLevel="0" collapsed="false">
      <c r="A2074" s="0" t="s">
        <v>262</v>
      </c>
      <c r="B2074" s="52" t="n">
        <v>44019</v>
      </c>
      <c r="C2074" s="0" t="n">
        <v>13969.74</v>
      </c>
      <c r="D2074" s="0" t="n">
        <v>13061.819</v>
      </c>
      <c r="E2074" s="0" t="n">
        <v>907.921</v>
      </c>
      <c r="F2074" s="0" t="n">
        <v>0</v>
      </c>
      <c r="G2074" s="0" t="n">
        <v>0</v>
      </c>
      <c r="H2074" s="0" t="n">
        <v>0</v>
      </c>
      <c r="I2074" s="0" t="n">
        <v>0</v>
      </c>
      <c r="J2074" s="0" t="n">
        <v>907.921</v>
      </c>
      <c r="K2074" s="0" t="n">
        <v>0</v>
      </c>
      <c r="L2074" s="0" t="n">
        <v>0</v>
      </c>
      <c r="M2074" s="0" t="n">
        <v>0</v>
      </c>
      <c r="N2074" s="0" t="n">
        <v>0</v>
      </c>
      <c r="O2074" s="54" t="n">
        <f aca="false">YEAR(B2074)</f>
        <v>2020</v>
      </c>
      <c r="P2074" s="54" t="n">
        <f aca="false">IF(AND(E2074&gt;=14400,K2074&gt;0,L2074&gt;0),1,0)</f>
        <v>0</v>
      </c>
      <c r="Q2074" s="53" t="n">
        <f aca="false">IF(P2074=1,F2074/E2074*MIN(L2074/K2074,1)*MIN(MAX(M2074/L2074,0),1),0)</f>
        <v>0</v>
      </c>
      <c r="R2074" s="55" t="n">
        <f aca="false">IF(F2074&gt;0,N2074/(F2074/3600),0)</f>
        <v>0</v>
      </c>
    </row>
    <row r="2075" customFormat="false" ht="15" hidden="false" customHeight="false" outlineLevel="0" collapsed="false">
      <c r="A2075" s="0" t="s">
        <v>262</v>
      </c>
      <c r="B2075" s="52" t="n">
        <v>44020</v>
      </c>
      <c r="C2075" s="0" t="n">
        <v>32660.91</v>
      </c>
      <c r="D2075" s="0" t="n">
        <v>10516.079</v>
      </c>
      <c r="E2075" s="0" t="n">
        <v>22144.831</v>
      </c>
      <c r="F2075" s="0" t="n">
        <v>48.501</v>
      </c>
      <c r="G2075" s="0" t="n">
        <v>0</v>
      </c>
      <c r="H2075" s="0" t="n">
        <v>48.501</v>
      </c>
      <c r="I2075" s="0" t="n">
        <v>0</v>
      </c>
      <c r="J2075" s="0" t="n">
        <v>22096.33</v>
      </c>
      <c r="K2075" s="0" t="n">
        <v>70.057</v>
      </c>
      <c r="L2075" s="0" t="n">
        <v>0</v>
      </c>
      <c r="M2075" s="0" t="n">
        <v>0</v>
      </c>
      <c r="N2075" s="0" t="n">
        <v>0</v>
      </c>
      <c r="O2075" s="54" t="n">
        <f aca="false">YEAR(B2075)</f>
        <v>2020</v>
      </c>
      <c r="P2075" s="54" t="n">
        <f aca="false">IF(AND(E2075&gt;=14400,K2075&gt;0,L2075&gt;0),1,0)</f>
        <v>0</v>
      </c>
      <c r="Q2075" s="53" t="n">
        <f aca="false">IF(P2075=1,F2075/E2075*MIN(L2075/K2075,1)*MIN(MAX(M2075/L2075,0),1),0)</f>
        <v>0</v>
      </c>
      <c r="R2075" s="55" t="n">
        <f aca="false">IF(F2075&gt;0,N2075/(F2075/3600),0)</f>
        <v>0</v>
      </c>
    </row>
    <row r="2076" customFormat="false" ht="15" hidden="false" customHeight="false" outlineLevel="0" collapsed="false">
      <c r="A2076" s="0" t="s">
        <v>262</v>
      </c>
      <c r="B2076" s="52" t="n">
        <v>44021</v>
      </c>
      <c r="C2076" s="0" t="n">
        <v>29626.53</v>
      </c>
      <c r="D2076" s="0" t="n">
        <v>12398.18</v>
      </c>
      <c r="E2076" s="0" t="n">
        <v>17228.35</v>
      </c>
      <c r="F2076" s="0" t="n">
        <v>0</v>
      </c>
      <c r="G2076" s="0" t="n">
        <v>0</v>
      </c>
      <c r="H2076" s="0" t="n">
        <v>0</v>
      </c>
      <c r="I2076" s="0" t="n">
        <v>0</v>
      </c>
      <c r="J2076" s="0" t="n">
        <v>17228.35</v>
      </c>
      <c r="K2076" s="0" t="n">
        <v>0</v>
      </c>
      <c r="L2076" s="0" t="n">
        <v>0</v>
      </c>
      <c r="M2076" s="0" t="n">
        <v>0</v>
      </c>
      <c r="N2076" s="0" t="n">
        <v>0</v>
      </c>
      <c r="O2076" s="54" t="n">
        <f aca="false">YEAR(B2076)</f>
        <v>2020</v>
      </c>
      <c r="P2076" s="54" t="n">
        <f aca="false">IF(AND(E2076&gt;=14400,K2076&gt;0,L2076&gt;0),1,0)</f>
        <v>0</v>
      </c>
      <c r="Q2076" s="53" t="n">
        <f aca="false">IF(P2076=1,F2076/E2076*MIN(L2076/K2076,1)*MIN(MAX(M2076/L2076,0),1),0)</f>
        <v>0</v>
      </c>
      <c r="R2076" s="55" t="n">
        <f aca="false">IF(F2076&gt;0,N2076/(F2076/3600),0)</f>
        <v>0</v>
      </c>
    </row>
    <row r="2077" customFormat="false" ht="15" hidden="false" customHeight="false" outlineLevel="0" collapsed="false">
      <c r="A2077" s="0" t="s">
        <v>262</v>
      </c>
      <c r="B2077" s="52" t="n">
        <v>44022</v>
      </c>
      <c r="C2077" s="0" t="n">
        <v>74712.836</v>
      </c>
      <c r="D2077" s="0" t="n">
        <v>16822.25</v>
      </c>
      <c r="E2077" s="0" t="n">
        <v>57890.586</v>
      </c>
      <c r="F2077" s="0" t="n">
        <v>36165.965</v>
      </c>
      <c r="G2077" s="0" t="n">
        <v>27852.42</v>
      </c>
      <c r="H2077" s="0" t="n">
        <v>8313.545</v>
      </c>
      <c r="I2077" s="0" t="n">
        <v>2046.78</v>
      </c>
      <c r="J2077" s="0" t="n">
        <v>19677.841</v>
      </c>
      <c r="K2077" s="0" t="n">
        <v>61254.0362008333</v>
      </c>
      <c r="L2077" s="0" t="n">
        <v>48892</v>
      </c>
      <c r="M2077" s="0" t="n">
        <v>48748</v>
      </c>
      <c r="N2077" s="0" t="n">
        <v>56</v>
      </c>
      <c r="O2077" s="54" t="n">
        <f aca="false">YEAR(B2077)</f>
        <v>2020</v>
      </c>
      <c r="P2077" s="54" t="n">
        <f aca="false">IF(AND(E2077&gt;=14400,K2077&gt;0,L2077&gt;0),1,0)</f>
        <v>1</v>
      </c>
      <c r="Q2077" s="53" t="n">
        <f aca="false">IF(P2077=1,F2077/E2077*MIN(L2077/K2077,1)*MIN(MAX(M2077/L2077,0),1),0)</f>
        <v>0.497180633648185</v>
      </c>
      <c r="R2077" s="55" t="n">
        <f aca="false">IF(F2077&gt;0,N2077/(F2077/3600),0)</f>
        <v>5.57430169497759</v>
      </c>
    </row>
    <row r="2078" customFormat="false" ht="15" hidden="false" customHeight="false" outlineLevel="0" collapsed="false">
      <c r="A2078" s="0" t="s">
        <v>262</v>
      </c>
      <c r="B2078" s="52" t="n">
        <v>44023</v>
      </c>
      <c r="C2078" s="0" t="n">
        <v>86225.008</v>
      </c>
      <c r="D2078" s="0" t="n">
        <v>17200.401</v>
      </c>
      <c r="E2078" s="0" t="n">
        <v>69024.607</v>
      </c>
      <c r="F2078" s="0" t="n">
        <v>54484.486</v>
      </c>
      <c r="G2078" s="0" t="n">
        <v>44530.534</v>
      </c>
      <c r="H2078" s="0" t="n">
        <v>9953.952</v>
      </c>
      <c r="I2078" s="0" t="n">
        <v>6488.971</v>
      </c>
      <c r="J2078" s="0" t="n">
        <v>8051.15</v>
      </c>
      <c r="K2078" s="0" t="n">
        <v>92793.3842663889</v>
      </c>
      <c r="L2078" s="0" t="n">
        <v>78448</v>
      </c>
      <c r="M2078" s="0" t="n">
        <v>78408</v>
      </c>
      <c r="N2078" s="0" t="n">
        <v>84</v>
      </c>
      <c r="O2078" s="54" t="n">
        <f aca="false">YEAR(B2078)</f>
        <v>2020</v>
      </c>
      <c r="P2078" s="54" t="n">
        <f aca="false">IF(AND(E2078&gt;=14400,K2078&gt;0,L2078&gt;0),1,0)</f>
        <v>1</v>
      </c>
      <c r="Q2078" s="53" t="n">
        <f aca="false">IF(P2078=1,F2078/E2078*MIN(L2078/K2078,1)*MIN(MAX(M2078/L2078,0),1),0)</f>
        <v>0.666979180186669</v>
      </c>
      <c r="R2078" s="55" t="n">
        <f aca="false">IF(F2078&gt;0,N2078/(F2078/3600),0)</f>
        <v>5.55020377727341</v>
      </c>
    </row>
    <row r="2079" customFormat="false" ht="15" hidden="false" customHeight="false" outlineLevel="0" collapsed="false">
      <c r="A2079" s="0" t="s">
        <v>262</v>
      </c>
      <c r="B2079" s="52" t="n">
        <v>44024</v>
      </c>
      <c r="C2079" s="0" t="n">
        <v>87598.778</v>
      </c>
      <c r="D2079" s="0" t="n">
        <v>16590.791</v>
      </c>
      <c r="E2079" s="0" t="n">
        <v>71007.987</v>
      </c>
      <c r="F2079" s="0" t="n">
        <v>58180.803</v>
      </c>
      <c r="G2079" s="0" t="n">
        <v>51645.738</v>
      </c>
      <c r="H2079" s="0" t="n">
        <v>6535.065</v>
      </c>
      <c r="I2079" s="0" t="n">
        <v>5349.134</v>
      </c>
      <c r="J2079" s="0" t="n">
        <v>7478.05</v>
      </c>
      <c r="K2079" s="0" t="n">
        <v>94498.1580713889</v>
      </c>
      <c r="L2079" s="0" t="n">
        <v>90964</v>
      </c>
      <c r="M2079" s="0" t="n">
        <v>90829</v>
      </c>
      <c r="N2079" s="0" t="n">
        <v>77</v>
      </c>
      <c r="O2079" s="54" t="n">
        <f aca="false">YEAR(B2079)</f>
        <v>2020</v>
      </c>
      <c r="P2079" s="54" t="n">
        <f aca="false">IF(AND(E2079&gt;=14400,K2079&gt;0,L2079&gt;0),1,0)</f>
        <v>1</v>
      </c>
      <c r="Q2079" s="53" t="n">
        <f aca="false">IF(P2079=1,F2079/E2079*MIN(L2079/K2079,1)*MIN(MAX(M2079/L2079,0),1),0)</f>
        <v>0.787541954746344</v>
      </c>
      <c r="R2079" s="55" t="n">
        <f aca="false">IF(F2079&gt;0,N2079/(F2079/3600),0)</f>
        <v>4.76445813234994</v>
      </c>
    </row>
    <row r="2080" customFormat="false" ht="15" hidden="false" customHeight="false" outlineLevel="0" collapsed="false">
      <c r="A2080" s="0" t="s">
        <v>262</v>
      </c>
      <c r="B2080" s="52" t="n">
        <v>44025</v>
      </c>
      <c r="C2080" s="0" t="n">
        <v>94853.755</v>
      </c>
      <c r="D2080" s="0" t="n">
        <v>14929.831</v>
      </c>
      <c r="E2080" s="0" t="n">
        <v>79923.924</v>
      </c>
      <c r="F2080" s="0" t="n">
        <v>70448.714</v>
      </c>
      <c r="G2080" s="0" t="n">
        <v>58668.371</v>
      </c>
      <c r="H2080" s="0" t="n">
        <v>11780.343</v>
      </c>
      <c r="I2080" s="0" t="n">
        <v>1909.609</v>
      </c>
      <c r="J2080" s="0" t="n">
        <v>7565.601</v>
      </c>
      <c r="K2080" s="0" t="n">
        <v>118163.603648056</v>
      </c>
      <c r="L2080" s="0" t="n">
        <v>101313</v>
      </c>
      <c r="M2080" s="0" t="n">
        <v>101177</v>
      </c>
      <c r="N2080" s="0" t="n">
        <v>39</v>
      </c>
      <c r="O2080" s="54" t="n">
        <f aca="false">YEAR(B2080)</f>
        <v>2020</v>
      </c>
      <c r="P2080" s="54" t="n">
        <f aca="false">IF(AND(E2080&gt;=14400,K2080&gt;0,L2080&gt;0),1,0)</f>
        <v>1</v>
      </c>
      <c r="Q2080" s="53" t="n">
        <f aca="false">IF(P2080=1,F2080/E2080*MIN(L2080/K2080,1)*MIN(MAX(M2080/L2080,0),1),0)</f>
        <v>0.754734742701009</v>
      </c>
      <c r="R2080" s="55" t="n">
        <f aca="false">IF(F2080&gt;0,N2080/(F2080/3600),0)</f>
        <v>1.99293914719295</v>
      </c>
    </row>
    <row r="2081" customFormat="false" ht="15" hidden="false" customHeight="false" outlineLevel="0" collapsed="false">
      <c r="A2081" s="0" t="s">
        <v>262</v>
      </c>
      <c r="B2081" s="52" t="n">
        <v>44026</v>
      </c>
      <c r="C2081" s="0" t="n">
        <v>74021.007</v>
      </c>
      <c r="D2081" s="0" t="n">
        <v>5268.06</v>
      </c>
      <c r="E2081" s="0" t="n">
        <v>68752.947</v>
      </c>
      <c r="F2081" s="0" t="n">
        <v>62455.736</v>
      </c>
      <c r="G2081" s="0" t="n">
        <v>56674.747</v>
      </c>
      <c r="H2081" s="0" t="n">
        <v>5780.989</v>
      </c>
      <c r="I2081" s="0" t="n">
        <v>3026.861</v>
      </c>
      <c r="J2081" s="0" t="n">
        <v>3270.35</v>
      </c>
      <c r="K2081" s="0" t="n">
        <v>107108.21702</v>
      </c>
      <c r="L2081" s="0" t="n">
        <v>99395</v>
      </c>
      <c r="M2081" s="0" t="n">
        <v>99242</v>
      </c>
      <c r="N2081" s="0" t="n">
        <v>60</v>
      </c>
      <c r="O2081" s="54" t="n">
        <f aca="false">YEAR(B2081)</f>
        <v>2020</v>
      </c>
      <c r="P2081" s="54" t="n">
        <f aca="false">IF(AND(E2081&gt;=14400,K2081&gt;0,L2081&gt;0),1,0)</f>
        <v>1</v>
      </c>
      <c r="Q2081" s="53" t="n">
        <f aca="false">IF(P2081=1,F2081/E2081*MIN(L2081/K2081,1)*MIN(MAX(M2081/L2081,0),1),0)</f>
        <v>0.841693028996616</v>
      </c>
      <c r="R2081" s="55" t="n">
        <f aca="false">IF(F2081&gt;0,N2081/(F2081/3600),0)</f>
        <v>3.4584493568373</v>
      </c>
    </row>
    <row r="2082" customFormat="false" ht="15" hidden="false" customHeight="false" outlineLevel="0" collapsed="false">
      <c r="A2082" s="0" t="s">
        <v>262</v>
      </c>
      <c r="B2082" s="52" t="n">
        <v>44027</v>
      </c>
      <c r="C2082" s="0" t="n">
        <v>85155.855</v>
      </c>
      <c r="D2082" s="0" t="n">
        <v>19101.95</v>
      </c>
      <c r="E2082" s="0" t="n">
        <v>66053.905</v>
      </c>
      <c r="F2082" s="0" t="n">
        <v>48004.363</v>
      </c>
      <c r="G2082" s="0" t="n">
        <v>43337.167</v>
      </c>
      <c r="H2082" s="0" t="n">
        <v>4667.196</v>
      </c>
      <c r="I2082" s="0" t="n">
        <v>2146.535</v>
      </c>
      <c r="J2082" s="0" t="n">
        <v>15903.007</v>
      </c>
      <c r="K2082" s="0" t="n">
        <v>82092.3987261111</v>
      </c>
      <c r="L2082" s="0" t="n">
        <v>75878</v>
      </c>
      <c r="M2082" s="0" t="n">
        <v>75718</v>
      </c>
      <c r="N2082" s="0" t="n">
        <v>73</v>
      </c>
      <c r="O2082" s="54" t="n">
        <f aca="false">YEAR(B2082)</f>
        <v>2020</v>
      </c>
      <c r="P2082" s="54" t="n">
        <f aca="false">IF(AND(E2082&gt;=14400,K2082&gt;0,L2082&gt;0),1,0)</f>
        <v>1</v>
      </c>
      <c r="Q2082" s="53" t="n">
        <f aca="false">IF(P2082=1,F2082/E2082*MIN(L2082/K2082,1)*MIN(MAX(M2082/L2082,0),1),0)</f>
        <v>0.670314172572703</v>
      </c>
      <c r="R2082" s="55" t="n">
        <f aca="false">IF(F2082&gt;0,N2082/(F2082/3600),0)</f>
        <v>5.47450239054313</v>
      </c>
    </row>
    <row r="2083" customFormat="false" ht="15" hidden="false" customHeight="false" outlineLevel="0" collapsed="false">
      <c r="A2083" s="0" t="s">
        <v>262</v>
      </c>
      <c r="B2083" s="52" t="n">
        <v>44028</v>
      </c>
      <c r="C2083" s="0" t="n">
        <v>85870.069</v>
      </c>
      <c r="D2083" s="0" t="n">
        <v>20405.83</v>
      </c>
      <c r="E2083" s="0" t="n">
        <v>65464.239</v>
      </c>
      <c r="F2083" s="0" t="n">
        <v>43439.096</v>
      </c>
      <c r="G2083" s="0" t="n">
        <v>34932.568</v>
      </c>
      <c r="H2083" s="0" t="n">
        <v>8506.528</v>
      </c>
      <c r="I2083" s="0" t="n">
        <v>2520.245</v>
      </c>
      <c r="J2083" s="0" t="n">
        <v>19504.898</v>
      </c>
      <c r="K2083" s="0" t="n">
        <v>72479.101515</v>
      </c>
      <c r="L2083" s="0" t="n">
        <v>58201</v>
      </c>
      <c r="M2083" s="0" t="n">
        <v>58051</v>
      </c>
      <c r="N2083" s="0" t="n">
        <v>31</v>
      </c>
      <c r="O2083" s="54" t="n">
        <f aca="false">YEAR(B2083)</f>
        <v>2020</v>
      </c>
      <c r="P2083" s="54" t="n">
        <f aca="false">IF(AND(E2083&gt;=14400,K2083&gt;0,L2083&gt;0),1,0)</f>
        <v>1</v>
      </c>
      <c r="Q2083" s="53" t="n">
        <f aca="false">IF(P2083=1,F2083/E2083*MIN(L2083/K2083,1)*MIN(MAX(M2083/L2083,0),1),0)</f>
        <v>0.531463642072159</v>
      </c>
      <c r="R2083" s="55" t="n">
        <f aca="false">IF(F2083&gt;0,N2083/(F2083/3600),0)</f>
        <v>2.56911423755227</v>
      </c>
    </row>
    <row r="2084" customFormat="false" ht="15" hidden="false" customHeight="false" outlineLevel="0" collapsed="false">
      <c r="A2084" s="0" t="s">
        <v>262</v>
      </c>
      <c r="B2084" s="52" t="n">
        <v>44029</v>
      </c>
      <c r="C2084" s="0" t="n">
        <v>79830.259</v>
      </c>
      <c r="D2084" s="0" t="n">
        <v>3787.019</v>
      </c>
      <c r="E2084" s="0" t="n">
        <v>76043.24</v>
      </c>
      <c r="F2084" s="0" t="n">
        <v>26701.459</v>
      </c>
      <c r="G2084" s="0" t="n">
        <v>19212.837</v>
      </c>
      <c r="H2084" s="0" t="n">
        <v>7488.622</v>
      </c>
      <c r="I2084" s="0" t="n">
        <v>1419.764</v>
      </c>
      <c r="J2084" s="0" t="n">
        <v>47922.017</v>
      </c>
      <c r="K2084" s="0" t="n">
        <v>42507.7844783333</v>
      </c>
      <c r="L2084" s="0" t="n">
        <v>33680</v>
      </c>
      <c r="M2084" s="0" t="n">
        <v>33649</v>
      </c>
      <c r="N2084" s="0" t="n">
        <v>21</v>
      </c>
      <c r="O2084" s="54" t="n">
        <f aca="false">YEAR(B2084)</f>
        <v>2020</v>
      </c>
      <c r="P2084" s="54" t="n">
        <f aca="false">IF(AND(E2084&gt;=14400,K2084&gt;0,L2084&gt;0),1,0)</f>
        <v>1</v>
      </c>
      <c r="Q2084" s="53" t="n">
        <f aca="false">IF(P2084=1,F2084/E2084*MIN(L2084/K2084,1)*MIN(MAX(M2084/L2084,0),1),0)</f>
        <v>0.27795729195778</v>
      </c>
      <c r="R2084" s="55" t="n">
        <f aca="false">IF(F2084&gt;0,N2084/(F2084/3600),0)</f>
        <v>2.83130595972303</v>
      </c>
    </row>
    <row r="2085" customFormat="false" ht="15" hidden="false" customHeight="false" outlineLevel="0" collapsed="false">
      <c r="A2085" s="0" t="s">
        <v>262</v>
      </c>
      <c r="B2085" s="52" t="n">
        <v>44030</v>
      </c>
      <c r="C2085" s="0" t="n">
        <v>82240.983</v>
      </c>
      <c r="D2085" s="0" t="n">
        <v>17963.098</v>
      </c>
      <c r="E2085" s="0" t="n">
        <v>64277.885</v>
      </c>
      <c r="F2085" s="0" t="n">
        <v>53572.974</v>
      </c>
      <c r="G2085" s="0" t="n">
        <v>46008.405</v>
      </c>
      <c r="H2085" s="0" t="n">
        <v>7564.569</v>
      </c>
      <c r="I2085" s="0" t="n">
        <v>4952.787</v>
      </c>
      <c r="J2085" s="0" t="n">
        <v>5752.124</v>
      </c>
      <c r="K2085" s="0" t="n">
        <v>87164.6809191667</v>
      </c>
      <c r="L2085" s="0" t="n">
        <v>79849</v>
      </c>
      <c r="M2085" s="0" t="n">
        <v>79567</v>
      </c>
      <c r="N2085" s="0" t="n">
        <v>88</v>
      </c>
      <c r="O2085" s="54" t="n">
        <f aca="false">YEAR(B2085)</f>
        <v>2020</v>
      </c>
      <c r="P2085" s="54" t="n">
        <f aca="false">IF(AND(E2085&gt;=14400,K2085&gt;0,L2085&gt;0),1,0)</f>
        <v>1</v>
      </c>
      <c r="Q2085" s="53" t="n">
        <f aca="false">IF(P2085=1,F2085/E2085*MIN(L2085/K2085,1)*MIN(MAX(M2085/L2085,0),1),0)</f>
        <v>0.760810708592728</v>
      </c>
      <c r="R2085" s="55" t="n">
        <f aca="false">IF(F2085&gt;0,N2085/(F2085/3600),0)</f>
        <v>5.9134294093884</v>
      </c>
    </row>
    <row r="2086" customFormat="false" ht="15" hidden="false" customHeight="false" outlineLevel="0" collapsed="false">
      <c r="A2086" s="0" t="s">
        <v>262</v>
      </c>
      <c r="B2086" s="52" t="n">
        <v>44031</v>
      </c>
      <c r="C2086" s="0" t="n">
        <v>30890.23</v>
      </c>
      <c r="D2086" s="0" t="n">
        <v>12179.865</v>
      </c>
      <c r="E2086" s="0" t="n">
        <v>18710.365</v>
      </c>
      <c r="F2086" s="0" t="n">
        <v>12613.3</v>
      </c>
      <c r="G2086" s="0" t="n">
        <v>11513.48</v>
      </c>
      <c r="H2086" s="0" t="n">
        <v>1099.82</v>
      </c>
      <c r="I2086" s="0" t="n">
        <v>334.719</v>
      </c>
      <c r="J2086" s="0" t="n">
        <v>5762.346</v>
      </c>
      <c r="K2086" s="0" t="n">
        <v>19665.822975</v>
      </c>
      <c r="L2086" s="0" t="n">
        <v>20541</v>
      </c>
      <c r="M2086" s="0" t="n">
        <v>20538</v>
      </c>
      <c r="N2086" s="0" t="n">
        <v>14</v>
      </c>
      <c r="O2086" s="54" t="n">
        <f aca="false">YEAR(B2086)</f>
        <v>2020</v>
      </c>
      <c r="P2086" s="54" t="n">
        <f aca="false">IF(AND(E2086&gt;=14400,K2086&gt;0,L2086&gt;0),1,0)</f>
        <v>1</v>
      </c>
      <c r="Q2086" s="53" t="n">
        <f aca="false">IF(P2086=1,F2086/E2086*MIN(L2086/K2086,1)*MIN(MAX(M2086/L2086,0),1),0)</f>
        <v>0.674035906597675</v>
      </c>
      <c r="R2086" s="55" t="n">
        <f aca="false">IF(F2086&gt;0,N2086/(F2086/3600),0)</f>
        <v>3.99578222986847</v>
      </c>
    </row>
    <row r="2087" customFormat="false" ht="15" hidden="false" customHeight="false" outlineLevel="0" collapsed="false">
      <c r="A2087" s="0" t="s">
        <v>262</v>
      </c>
      <c r="B2087" s="52" t="n">
        <v>44032</v>
      </c>
      <c r="C2087" s="0" t="n">
        <v>19999.75</v>
      </c>
      <c r="D2087" s="0" t="n">
        <v>13167.22</v>
      </c>
      <c r="E2087" s="0" t="n">
        <v>6832.53</v>
      </c>
      <c r="F2087" s="0" t="n">
        <v>0</v>
      </c>
      <c r="G2087" s="0" t="n">
        <v>0</v>
      </c>
      <c r="H2087" s="0" t="n">
        <v>0</v>
      </c>
      <c r="I2087" s="0" t="n">
        <v>0</v>
      </c>
      <c r="J2087" s="0" t="n">
        <v>6832.53</v>
      </c>
      <c r="K2087" s="0" t="n">
        <v>0</v>
      </c>
      <c r="L2087" s="0" t="n">
        <v>0</v>
      </c>
      <c r="M2087" s="0" t="n">
        <v>0</v>
      </c>
      <c r="N2087" s="0" t="n">
        <v>0</v>
      </c>
      <c r="O2087" s="54" t="n">
        <f aca="false">YEAR(B2087)</f>
        <v>2020</v>
      </c>
      <c r="P2087" s="54" t="n">
        <f aca="false">IF(AND(E2087&gt;=14400,K2087&gt;0,L2087&gt;0),1,0)</f>
        <v>0</v>
      </c>
      <c r="Q2087" s="53" t="n">
        <f aca="false">IF(P2087=1,F2087/E2087*MIN(L2087/K2087,1)*MIN(MAX(M2087/L2087,0),1),0)</f>
        <v>0</v>
      </c>
      <c r="R2087" s="55" t="n">
        <f aca="false">IF(F2087&gt;0,N2087/(F2087/3600),0)</f>
        <v>0</v>
      </c>
    </row>
    <row r="2088" customFormat="false" ht="15" hidden="false" customHeight="false" outlineLevel="0" collapsed="false">
      <c r="A2088" s="0" t="s">
        <v>262</v>
      </c>
      <c r="B2088" s="52" t="n">
        <v>44033</v>
      </c>
      <c r="C2088" s="0" t="n">
        <v>9042.48</v>
      </c>
      <c r="D2088" s="0" t="n">
        <v>8991.36</v>
      </c>
      <c r="E2088" s="0" t="n">
        <v>51.12</v>
      </c>
      <c r="F2088" s="0" t="n">
        <v>0</v>
      </c>
      <c r="G2088" s="0" t="n">
        <v>0</v>
      </c>
      <c r="H2088" s="0" t="n">
        <v>0</v>
      </c>
      <c r="I2088" s="0" t="n">
        <v>0</v>
      </c>
      <c r="J2088" s="0" t="n">
        <v>51.12</v>
      </c>
      <c r="K2088" s="0" t="n">
        <v>0</v>
      </c>
      <c r="L2088" s="0" t="n">
        <v>0</v>
      </c>
      <c r="M2088" s="0" t="n">
        <v>0</v>
      </c>
      <c r="N2088" s="0" t="n">
        <v>0</v>
      </c>
      <c r="O2088" s="54" t="n">
        <f aca="false">YEAR(B2088)</f>
        <v>2020</v>
      </c>
      <c r="P2088" s="54" t="n">
        <f aca="false">IF(AND(E2088&gt;=14400,K2088&gt;0,L2088&gt;0),1,0)</f>
        <v>0</v>
      </c>
      <c r="Q2088" s="53" t="n">
        <f aca="false">IF(P2088=1,F2088/E2088*MIN(L2088/K2088,1)*MIN(MAX(M2088/L2088,0),1),0)</f>
        <v>0</v>
      </c>
      <c r="R2088" s="55" t="n">
        <f aca="false">IF(F2088&gt;0,N2088/(F2088/3600),0)</f>
        <v>0</v>
      </c>
    </row>
    <row r="2089" customFormat="false" ht="15" hidden="false" customHeight="false" outlineLevel="0" collapsed="false">
      <c r="A2089" s="0" t="s">
        <v>262</v>
      </c>
      <c r="B2089" s="52" t="n">
        <v>44034</v>
      </c>
      <c r="C2089" s="0" t="n">
        <v>57277.541</v>
      </c>
      <c r="D2089" s="0" t="n">
        <v>18722.421</v>
      </c>
      <c r="E2089" s="0" t="n">
        <v>38555.12</v>
      </c>
      <c r="F2089" s="0" t="n">
        <v>1692.466</v>
      </c>
      <c r="G2089" s="0" t="n">
        <v>52.039</v>
      </c>
      <c r="H2089" s="0" t="n">
        <v>1640.427</v>
      </c>
      <c r="I2089" s="0" t="n">
        <v>0</v>
      </c>
      <c r="J2089" s="0" t="n">
        <v>36862.654</v>
      </c>
      <c r="K2089" s="0" t="n">
        <v>2288.91283444444</v>
      </c>
      <c r="L2089" s="0" t="n">
        <v>84</v>
      </c>
      <c r="M2089" s="0" t="n">
        <v>70</v>
      </c>
      <c r="N2089" s="0" t="n">
        <v>0</v>
      </c>
      <c r="O2089" s="54" t="n">
        <f aca="false">YEAR(B2089)</f>
        <v>2020</v>
      </c>
      <c r="P2089" s="54" t="n">
        <f aca="false">IF(AND(E2089&gt;=14400,K2089&gt;0,L2089&gt;0),1,0)</f>
        <v>1</v>
      </c>
      <c r="Q2089" s="53" t="n">
        <f aca="false">IF(P2089=1,F2089/E2089*MIN(L2089/K2089,1)*MIN(MAX(M2089/L2089,0),1),0)</f>
        <v>0.0013424764606137</v>
      </c>
      <c r="R2089" s="55" t="n">
        <f aca="false">IF(F2089&gt;0,N2089/(F2089/3600),0)</f>
        <v>0</v>
      </c>
    </row>
    <row r="2090" customFormat="false" ht="15" hidden="false" customHeight="false" outlineLevel="0" collapsed="false">
      <c r="A2090" s="0" t="s">
        <v>262</v>
      </c>
      <c r="B2090" s="52" t="n">
        <v>44035</v>
      </c>
      <c r="C2090" s="0" t="n">
        <v>57320.698</v>
      </c>
      <c r="D2090" s="0" t="n">
        <v>9770.619</v>
      </c>
      <c r="E2090" s="0" t="n">
        <v>47550.079</v>
      </c>
      <c r="F2090" s="0" t="n">
        <v>0</v>
      </c>
      <c r="G2090" s="0" t="n">
        <v>0</v>
      </c>
      <c r="H2090" s="0" t="n">
        <v>0</v>
      </c>
      <c r="I2090" s="0" t="n">
        <v>0</v>
      </c>
      <c r="J2090" s="0" t="n">
        <v>47550.079</v>
      </c>
      <c r="K2090" s="0" t="n">
        <v>0</v>
      </c>
      <c r="L2090" s="0" t="n">
        <v>0</v>
      </c>
      <c r="M2090" s="0" t="n">
        <v>0</v>
      </c>
      <c r="N2090" s="0" t="n">
        <v>0</v>
      </c>
      <c r="O2090" s="54" t="n">
        <f aca="false">YEAR(B2090)</f>
        <v>2020</v>
      </c>
      <c r="P2090" s="54" t="n">
        <f aca="false">IF(AND(E2090&gt;=14400,K2090&gt;0,L2090&gt;0),1,0)</f>
        <v>0</v>
      </c>
      <c r="Q2090" s="53" t="n">
        <f aca="false">IF(P2090=1,F2090/E2090*MIN(L2090/K2090,1)*MIN(MAX(M2090/L2090,0),1),0)</f>
        <v>0</v>
      </c>
      <c r="R2090" s="55" t="n">
        <f aca="false">IF(F2090&gt;0,N2090/(F2090/3600),0)</f>
        <v>0</v>
      </c>
    </row>
    <row r="2091" customFormat="false" ht="15" hidden="false" customHeight="false" outlineLevel="0" collapsed="false">
      <c r="A2091" s="0" t="s">
        <v>262</v>
      </c>
      <c r="B2091" s="52" t="n">
        <v>44036</v>
      </c>
      <c r="C2091" s="0" t="n">
        <v>85660.027</v>
      </c>
      <c r="D2091" s="0" t="n">
        <v>5640.518</v>
      </c>
      <c r="E2091" s="0" t="n">
        <v>80019.509</v>
      </c>
      <c r="F2091" s="0" t="n">
        <v>67723.137</v>
      </c>
      <c r="G2091" s="0" t="n">
        <v>52500.065</v>
      </c>
      <c r="H2091" s="0" t="n">
        <v>15223.072</v>
      </c>
      <c r="I2091" s="0" t="n">
        <v>4776.614</v>
      </c>
      <c r="J2091" s="0" t="n">
        <v>7519.758</v>
      </c>
      <c r="K2091" s="0" t="n">
        <v>115430.272909722</v>
      </c>
      <c r="L2091" s="0" t="n">
        <v>91946</v>
      </c>
      <c r="M2091" s="0" t="n">
        <v>91909</v>
      </c>
      <c r="N2091" s="0" t="n">
        <v>62</v>
      </c>
      <c r="O2091" s="54" t="n">
        <f aca="false">YEAR(B2091)</f>
        <v>2020</v>
      </c>
      <c r="P2091" s="54" t="n">
        <f aca="false">IF(AND(E2091&gt;=14400,K2091&gt;0,L2091&gt;0),1,0)</f>
        <v>1</v>
      </c>
      <c r="Q2091" s="53" t="n">
        <f aca="false">IF(P2091=1,F2091/E2091*MIN(L2091/K2091,1)*MIN(MAX(M2091/L2091,0),1),0)</f>
        <v>0.673875245454608</v>
      </c>
      <c r="R2091" s="55" t="n">
        <f aca="false">IF(F2091&gt;0,N2091/(F2091/3600),0)</f>
        <v>3.29577172421886</v>
      </c>
    </row>
    <row r="2092" customFormat="false" ht="15" hidden="false" customHeight="false" outlineLevel="0" collapsed="false">
      <c r="A2092" s="0" t="s">
        <v>262</v>
      </c>
      <c r="B2092" s="52" t="n">
        <v>44037</v>
      </c>
      <c r="C2092" s="0" t="n">
        <v>87451.409</v>
      </c>
      <c r="D2092" s="0" t="n">
        <v>16077.722</v>
      </c>
      <c r="E2092" s="0" t="n">
        <v>71373.687</v>
      </c>
      <c r="F2092" s="0" t="n">
        <v>60907.731</v>
      </c>
      <c r="G2092" s="0" t="n">
        <v>53027.438</v>
      </c>
      <c r="H2092" s="0" t="n">
        <v>7880.293</v>
      </c>
      <c r="I2092" s="0" t="n">
        <v>1658.811</v>
      </c>
      <c r="J2092" s="0" t="n">
        <v>8807.145</v>
      </c>
      <c r="K2092" s="0" t="n">
        <v>101194.232165556</v>
      </c>
      <c r="L2092" s="0" t="n">
        <v>92423</v>
      </c>
      <c r="M2092" s="0" t="n">
        <v>92381</v>
      </c>
      <c r="N2092" s="0" t="n">
        <v>47</v>
      </c>
      <c r="O2092" s="54" t="n">
        <f aca="false">YEAR(B2092)</f>
        <v>2020</v>
      </c>
      <c r="P2092" s="54" t="n">
        <f aca="false">IF(AND(E2092&gt;=14400,K2092&gt;0,L2092&gt;0),1,0)</f>
        <v>1</v>
      </c>
      <c r="Q2092" s="53" t="n">
        <f aca="false">IF(P2092=1,F2092/E2092*MIN(L2092/K2092,1)*MIN(MAX(M2092/L2092,0),1),0)</f>
        <v>0.779042567711864</v>
      </c>
      <c r="R2092" s="55" t="n">
        <f aca="false">IF(F2092&gt;0,N2092/(F2092/3600),0)</f>
        <v>2.7779724711794</v>
      </c>
    </row>
    <row r="2093" customFormat="false" ht="15" hidden="false" customHeight="false" outlineLevel="0" collapsed="false">
      <c r="A2093" s="0" t="s">
        <v>262</v>
      </c>
      <c r="B2093" s="52" t="n">
        <v>44038</v>
      </c>
      <c r="C2093" s="0" t="n">
        <v>85618.926</v>
      </c>
      <c r="D2093" s="0" t="n">
        <v>22672.869</v>
      </c>
      <c r="E2093" s="0" t="n">
        <v>62946.057</v>
      </c>
      <c r="F2093" s="0" t="n">
        <v>48145.493</v>
      </c>
      <c r="G2093" s="0" t="n">
        <v>38211.578</v>
      </c>
      <c r="H2093" s="0" t="n">
        <v>9933.915</v>
      </c>
      <c r="I2093" s="0" t="n">
        <v>1276.482</v>
      </c>
      <c r="J2093" s="0" t="n">
        <v>13524.082</v>
      </c>
      <c r="K2093" s="0" t="n">
        <v>79888.1990894445</v>
      </c>
      <c r="L2093" s="0" t="n">
        <v>67643</v>
      </c>
      <c r="M2093" s="0" t="n">
        <v>67501</v>
      </c>
      <c r="N2093" s="0" t="n">
        <v>28</v>
      </c>
      <c r="O2093" s="54" t="n">
        <f aca="false">YEAR(B2093)</f>
        <v>2020</v>
      </c>
      <c r="P2093" s="54" t="n">
        <f aca="false">IF(AND(E2093&gt;=14400,K2093&gt;0,L2093&gt;0),1,0)</f>
        <v>1</v>
      </c>
      <c r="Q2093" s="53" t="n">
        <f aca="false">IF(P2093=1,F2093/E2093*MIN(L2093/K2093,1)*MIN(MAX(M2093/L2093,0),1),0)</f>
        <v>0.646271022147384</v>
      </c>
      <c r="R2093" s="55" t="n">
        <f aca="false">IF(F2093&gt;0,N2093/(F2093/3600),0)</f>
        <v>2.09365391688896</v>
      </c>
    </row>
    <row r="2094" customFormat="false" ht="15" hidden="false" customHeight="false" outlineLevel="0" collapsed="false">
      <c r="A2094" s="0" t="s">
        <v>262</v>
      </c>
      <c r="B2094" s="52" t="n">
        <v>44039</v>
      </c>
      <c r="C2094" s="0" t="n">
        <v>86123.619</v>
      </c>
      <c r="D2094" s="0" t="n">
        <v>20771.188</v>
      </c>
      <c r="E2094" s="0" t="n">
        <v>65352.431</v>
      </c>
      <c r="F2094" s="0" t="n">
        <v>43692.297</v>
      </c>
      <c r="G2094" s="0" t="n">
        <v>34551.677</v>
      </c>
      <c r="H2094" s="0" t="n">
        <v>9140.62</v>
      </c>
      <c r="I2094" s="0" t="n">
        <v>1872.855</v>
      </c>
      <c r="J2094" s="0" t="n">
        <v>19787.279</v>
      </c>
      <c r="K2094" s="0" t="n">
        <v>73473.3407213889</v>
      </c>
      <c r="L2094" s="0" t="n">
        <v>61228</v>
      </c>
      <c r="M2094" s="0" t="n">
        <v>61127</v>
      </c>
      <c r="N2094" s="0" t="n">
        <v>29</v>
      </c>
      <c r="O2094" s="54" t="n">
        <f aca="false">YEAR(B2094)</f>
        <v>2020</v>
      </c>
      <c r="P2094" s="54" t="n">
        <f aca="false">IF(AND(E2094&gt;=14400,K2094&gt;0,L2094&gt;0),1,0)</f>
        <v>1</v>
      </c>
      <c r="Q2094" s="53" t="n">
        <f aca="false">IF(P2094=1,F2094/E2094*MIN(L2094/K2094,1)*MIN(MAX(M2094/L2094,0),1),0)</f>
        <v>0.55621977470646</v>
      </c>
      <c r="R2094" s="55" t="n">
        <f aca="false">IF(F2094&gt;0,N2094/(F2094/3600),0)</f>
        <v>2.38943720445734</v>
      </c>
    </row>
    <row r="2095" customFormat="false" ht="15" hidden="false" customHeight="false" outlineLevel="0" collapsed="false">
      <c r="A2095" s="0" t="s">
        <v>262</v>
      </c>
      <c r="B2095" s="52" t="n">
        <v>44040</v>
      </c>
      <c r="C2095" s="0" t="n">
        <v>76899.806</v>
      </c>
      <c r="D2095" s="0" t="n">
        <v>7902.533</v>
      </c>
      <c r="E2095" s="0" t="n">
        <v>68997.273</v>
      </c>
      <c r="F2095" s="0" t="n">
        <v>47728.472</v>
      </c>
      <c r="G2095" s="0" t="n">
        <v>42030.092</v>
      </c>
      <c r="H2095" s="0" t="n">
        <v>5698.38</v>
      </c>
      <c r="I2095" s="0" t="n">
        <v>4239.737</v>
      </c>
      <c r="J2095" s="0" t="n">
        <v>17029.064</v>
      </c>
      <c r="K2095" s="0" t="n">
        <v>81820.0988827778</v>
      </c>
      <c r="L2095" s="0" t="n">
        <v>74844</v>
      </c>
      <c r="M2095" s="0" t="n">
        <v>74762</v>
      </c>
      <c r="N2095" s="0" t="n">
        <v>56</v>
      </c>
      <c r="O2095" s="54" t="n">
        <f aca="false">YEAR(B2095)</f>
        <v>2020</v>
      </c>
      <c r="P2095" s="54" t="n">
        <f aca="false">IF(AND(E2095&gt;=14400,K2095&gt;0,L2095&gt;0),1,0)</f>
        <v>1</v>
      </c>
      <c r="Q2095" s="53" t="n">
        <f aca="false">IF(P2095=1,F2095/E2095*MIN(L2095/K2095,1)*MIN(MAX(M2095/L2095,0),1),0)</f>
        <v>0.632071946751414</v>
      </c>
      <c r="R2095" s="55" t="n">
        <f aca="false">IF(F2095&gt;0,N2095/(F2095/3600),0)</f>
        <v>4.2238938636041</v>
      </c>
    </row>
    <row r="2096" customFormat="false" ht="15" hidden="false" customHeight="false" outlineLevel="0" collapsed="false">
      <c r="A2096" s="0" t="s">
        <v>262</v>
      </c>
      <c r="B2096" s="52" t="n">
        <v>44041</v>
      </c>
      <c r="C2096" s="0" t="n">
        <v>79114.489</v>
      </c>
      <c r="D2096" s="0" t="n">
        <v>17144.712</v>
      </c>
      <c r="E2096" s="0" t="n">
        <v>61969.777</v>
      </c>
      <c r="F2096" s="0" t="n">
        <v>31206.508</v>
      </c>
      <c r="G2096" s="0" t="n">
        <v>26968.208</v>
      </c>
      <c r="H2096" s="0" t="n">
        <v>4238.3</v>
      </c>
      <c r="I2096" s="0" t="n">
        <v>1006.133</v>
      </c>
      <c r="J2096" s="0" t="n">
        <v>29757.136</v>
      </c>
      <c r="K2096" s="0" t="n">
        <v>54529.1221702778</v>
      </c>
      <c r="L2096" s="0" t="n">
        <v>48160</v>
      </c>
      <c r="M2096" s="0" t="n">
        <v>48101</v>
      </c>
      <c r="N2096" s="0" t="n">
        <v>23</v>
      </c>
      <c r="O2096" s="54" t="n">
        <f aca="false">YEAR(B2096)</f>
        <v>2020</v>
      </c>
      <c r="P2096" s="54" t="n">
        <f aca="false">IF(AND(E2096&gt;=14400,K2096&gt;0,L2096&gt;0),1,0)</f>
        <v>1</v>
      </c>
      <c r="Q2096" s="53" t="n">
        <f aca="false">IF(P2096=1,F2096/E2096*MIN(L2096/K2096,1)*MIN(MAX(M2096/L2096,0),1),0)</f>
        <v>0.44421256574772</v>
      </c>
      <c r="R2096" s="55" t="n">
        <f aca="false">IF(F2096&gt;0,N2096/(F2096/3600),0)</f>
        <v>2.65329270420132</v>
      </c>
    </row>
    <row r="2097" customFormat="false" ht="15" hidden="false" customHeight="false" outlineLevel="0" collapsed="false">
      <c r="A2097" s="0" t="s">
        <v>262</v>
      </c>
      <c r="B2097" s="52" t="n">
        <v>44042</v>
      </c>
      <c r="C2097" s="0" t="n">
        <v>117605.655</v>
      </c>
      <c r="D2097" s="0" t="n">
        <v>13426.69</v>
      </c>
      <c r="E2097" s="0" t="n">
        <v>104178.965</v>
      </c>
      <c r="F2097" s="0" t="n">
        <v>40109.578</v>
      </c>
      <c r="G2097" s="0" t="n">
        <v>33547.987</v>
      </c>
      <c r="H2097" s="0" t="n">
        <v>6561.591</v>
      </c>
      <c r="I2097" s="0" t="n">
        <v>5973.92</v>
      </c>
      <c r="J2097" s="0" t="n">
        <v>58095.467</v>
      </c>
      <c r="K2097" s="0" t="n">
        <v>67901.3467630556</v>
      </c>
      <c r="L2097" s="0" t="n">
        <v>59776</v>
      </c>
      <c r="M2097" s="0" t="n">
        <v>59638</v>
      </c>
      <c r="N2097" s="0" t="n">
        <v>57</v>
      </c>
      <c r="O2097" s="54" t="n">
        <f aca="false">YEAR(B2097)</f>
        <v>2020</v>
      </c>
      <c r="P2097" s="54" t="n">
        <f aca="false">IF(AND(E2097&gt;=14400,K2097&gt;0,L2097&gt;0),1,0)</f>
        <v>1</v>
      </c>
      <c r="Q2097" s="53" t="n">
        <f aca="false">IF(P2097=1,F2097/E2097*MIN(L2097/K2097,1)*MIN(MAX(M2097/L2097,0),1),0)</f>
        <v>0.338152604441217</v>
      </c>
      <c r="R2097" s="55" t="n">
        <f aca="false">IF(F2097&gt;0,N2097/(F2097/3600),0)</f>
        <v>5.11598501485107</v>
      </c>
    </row>
    <row r="2098" customFormat="false" ht="15" hidden="false" customHeight="false" outlineLevel="0" collapsed="false">
      <c r="A2098" s="0" t="s">
        <v>262</v>
      </c>
      <c r="B2098" s="52" t="n">
        <v>44043</v>
      </c>
      <c r="C2098" s="0" t="n">
        <v>49683.398</v>
      </c>
      <c r="D2098" s="0" t="n">
        <v>7305.353</v>
      </c>
      <c r="E2098" s="0" t="n">
        <v>42378.045</v>
      </c>
      <c r="F2098" s="0" t="n">
        <v>26884.13</v>
      </c>
      <c r="G2098" s="0" t="n">
        <v>20396.4</v>
      </c>
      <c r="H2098" s="0" t="n">
        <v>6487.73</v>
      </c>
      <c r="I2098" s="0" t="n">
        <v>1810.828</v>
      </c>
      <c r="J2098" s="0" t="n">
        <v>13683.087</v>
      </c>
      <c r="K2098" s="0" t="n">
        <v>45176.9893983333</v>
      </c>
      <c r="L2098" s="0" t="n">
        <v>36052</v>
      </c>
      <c r="M2098" s="0" t="n">
        <v>35969</v>
      </c>
      <c r="N2098" s="0" t="n">
        <v>33</v>
      </c>
      <c r="O2098" s="54" t="n">
        <f aca="false">YEAR(B2098)</f>
        <v>2020</v>
      </c>
      <c r="P2098" s="54" t="n">
        <f aca="false">IF(AND(E2098&gt;=14400,K2098&gt;0,L2098&gt;0),1,0)</f>
        <v>1</v>
      </c>
      <c r="Q2098" s="53" t="n">
        <f aca="false">IF(P2098=1,F2098/E2098*MIN(L2098/K2098,1)*MIN(MAX(M2098/L2098,0),1),0)</f>
        <v>0.505086948859783</v>
      </c>
      <c r="R2098" s="55" t="n">
        <f aca="false">IF(F2098&gt;0,N2098/(F2098/3600),0)</f>
        <v>4.4189639017517</v>
      </c>
    </row>
    <row r="2099" customFormat="false" ht="15" hidden="false" customHeight="false" outlineLevel="0" collapsed="false">
      <c r="A2099" s="0" t="s">
        <v>262</v>
      </c>
      <c r="B2099" s="52" t="n">
        <v>44044</v>
      </c>
      <c r="C2099" s="0" t="n">
        <v>85955.667</v>
      </c>
      <c r="D2099" s="0" t="n">
        <v>2587.95</v>
      </c>
      <c r="E2099" s="0" t="n">
        <v>83367.717</v>
      </c>
      <c r="F2099" s="0" t="n">
        <v>25937.588</v>
      </c>
      <c r="G2099" s="0" t="n">
        <v>24189.157</v>
      </c>
      <c r="H2099" s="0" t="n">
        <v>1748.431</v>
      </c>
      <c r="I2099" s="0" t="n">
        <v>1535.198</v>
      </c>
      <c r="J2099" s="0" t="n">
        <v>55894.931</v>
      </c>
      <c r="K2099" s="0" t="n">
        <v>45154.8378125</v>
      </c>
      <c r="L2099" s="0" t="n">
        <v>43485</v>
      </c>
      <c r="M2099" s="0" t="n">
        <v>43316</v>
      </c>
      <c r="N2099" s="0" t="n">
        <v>31</v>
      </c>
      <c r="O2099" s="54" t="n">
        <f aca="false">YEAR(B2099)</f>
        <v>2020</v>
      </c>
      <c r="P2099" s="54" t="n">
        <f aca="false">IF(AND(E2099&gt;=14400,K2099&gt;0,L2099&gt;0),1,0)</f>
        <v>1</v>
      </c>
      <c r="Q2099" s="53" t="n">
        <f aca="false">IF(P2099=1,F2099/E2099*MIN(L2099/K2099,1)*MIN(MAX(M2099/L2099,0),1),0)</f>
        <v>0.298452854655658</v>
      </c>
      <c r="R2099" s="55" t="n">
        <f aca="false">IF(F2099&gt;0,N2099/(F2099/3600),0)</f>
        <v>4.30263600455062</v>
      </c>
    </row>
    <row r="2100" customFormat="false" ht="15" hidden="false" customHeight="false" outlineLevel="0" collapsed="false">
      <c r="A2100" s="0" t="s">
        <v>262</v>
      </c>
      <c r="B2100" s="52" t="n">
        <v>44045</v>
      </c>
      <c r="C2100" s="0" t="n">
        <v>86727.426</v>
      </c>
      <c r="D2100" s="0" t="n">
        <v>25716.548</v>
      </c>
      <c r="E2100" s="0" t="n">
        <v>61010.878</v>
      </c>
      <c r="F2100" s="0" t="n">
        <v>33783.962</v>
      </c>
      <c r="G2100" s="0" t="n">
        <v>25685.024</v>
      </c>
      <c r="H2100" s="0" t="n">
        <v>8098.938</v>
      </c>
      <c r="I2100" s="0" t="n">
        <v>6200.742</v>
      </c>
      <c r="J2100" s="0" t="n">
        <v>21026.174</v>
      </c>
      <c r="K2100" s="0" t="n">
        <v>58404.1612011111</v>
      </c>
      <c r="L2100" s="0" t="n">
        <v>45959</v>
      </c>
      <c r="M2100" s="0" t="n">
        <v>45925</v>
      </c>
      <c r="N2100" s="0" t="n">
        <v>64</v>
      </c>
      <c r="O2100" s="54" t="n">
        <f aca="false">YEAR(B2100)</f>
        <v>2020</v>
      </c>
      <c r="P2100" s="54" t="n">
        <f aca="false">IF(AND(E2100&gt;=14400,K2100&gt;0,L2100&gt;0),1,0)</f>
        <v>1</v>
      </c>
      <c r="Q2100" s="53" t="n">
        <f aca="false">IF(P2100=1,F2100/E2100*MIN(L2100/K2100,1)*MIN(MAX(M2100/L2100,0),1),0)</f>
        <v>0.435420306326933</v>
      </c>
      <c r="R2100" s="55" t="n">
        <f aca="false">IF(F2100&gt;0,N2100/(F2100/3600),0)</f>
        <v>6.81980402416981</v>
      </c>
    </row>
    <row r="2101" customFormat="false" ht="15" hidden="false" customHeight="false" outlineLevel="0" collapsed="false">
      <c r="A2101" s="0" t="s">
        <v>262</v>
      </c>
      <c r="B2101" s="52" t="n">
        <v>44046</v>
      </c>
      <c r="C2101" s="0" t="n">
        <v>93363.819</v>
      </c>
      <c r="D2101" s="0" t="n">
        <v>13837.307</v>
      </c>
      <c r="E2101" s="0" t="n">
        <v>79526.512</v>
      </c>
      <c r="F2101" s="0" t="n">
        <v>30113.475</v>
      </c>
      <c r="G2101" s="0" t="n">
        <v>24625.364</v>
      </c>
      <c r="H2101" s="0" t="n">
        <v>5488.111</v>
      </c>
      <c r="I2101" s="0" t="n">
        <v>1706.365</v>
      </c>
      <c r="J2101" s="0" t="n">
        <v>47706.672</v>
      </c>
      <c r="K2101" s="0" t="n">
        <v>52146.7272613889</v>
      </c>
      <c r="L2101" s="0" t="n">
        <v>42529</v>
      </c>
      <c r="M2101" s="0" t="n">
        <v>42441</v>
      </c>
      <c r="N2101" s="0" t="n">
        <v>30</v>
      </c>
      <c r="O2101" s="54" t="n">
        <f aca="false">YEAR(B2101)</f>
        <v>2020</v>
      </c>
      <c r="P2101" s="54" t="n">
        <f aca="false">IF(AND(E2101&gt;=14400,K2101&gt;0,L2101&gt;0),1,0)</f>
        <v>1</v>
      </c>
      <c r="Q2101" s="53" t="n">
        <f aca="false">IF(P2101=1,F2101/E2101*MIN(L2101/K2101,1)*MIN(MAX(M2101/L2101,0),1),0)</f>
        <v>0.308182157175954</v>
      </c>
      <c r="R2101" s="55" t="n">
        <f aca="false">IF(F2101&gt;0,N2101/(F2101/3600),0)</f>
        <v>3.58643431221405</v>
      </c>
    </row>
    <row r="2102" customFormat="false" ht="15" hidden="false" customHeight="false" outlineLevel="0" collapsed="false">
      <c r="A2102" s="0" t="s">
        <v>262</v>
      </c>
      <c r="B2102" s="52" t="n">
        <v>44047</v>
      </c>
      <c r="C2102" s="0" t="n">
        <v>43053.847</v>
      </c>
      <c r="D2102" s="0" t="n">
        <v>2143.39</v>
      </c>
      <c r="E2102" s="0" t="n">
        <v>40910.457</v>
      </c>
      <c r="F2102" s="0" t="n">
        <v>6917.819</v>
      </c>
      <c r="G2102" s="0" t="n">
        <v>23.736</v>
      </c>
      <c r="H2102" s="0" t="n">
        <v>6894.083</v>
      </c>
      <c r="I2102" s="0" t="n">
        <v>0</v>
      </c>
      <c r="J2102" s="0" t="n">
        <v>33992.638</v>
      </c>
      <c r="K2102" s="0" t="n">
        <v>10618.852165</v>
      </c>
      <c r="L2102" s="0" t="n">
        <v>8</v>
      </c>
      <c r="M2102" s="0" t="n">
        <v>0</v>
      </c>
      <c r="N2102" s="0" t="n">
        <v>0</v>
      </c>
      <c r="O2102" s="54" t="n">
        <f aca="false">YEAR(B2102)</f>
        <v>2020</v>
      </c>
      <c r="P2102" s="54" t="n">
        <f aca="false">IF(AND(E2102&gt;=14400,K2102&gt;0,L2102&gt;0),1,0)</f>
        <v>1</v>
      </c>
      <c r="Q2102" s="53" t="n">
        <f aca="false">IF(P2102=1,F2102/E2102*MIN(L2102/K2102,1)*MIN(MAX(M2102/L2102,0),1),0)</f>
        <v>0</v>
      </c>
      <c r="R2102" s="55" t="n">
        <f aca="false">IF(F2102&gt;0,N2102/(F2102/3600),0)</f>
        <v>0</v>
      </c>
    </row>
    <row r="2103" customFormat="false" ht="15" hidden="false" customHeight="false" outlineLevel="0" collapsed="false">
      <c r="A2103" s="0" t="s">
        <v>262</v>
      </c>
      <c r="B2103" s="52" t="n">
        <v>44048</v>
      </c>
      <c r="C2103" s="0" t="n">
        <v>54977.01</v>
      </c>
      <c r="D2103" s="0" t="n">
        <v>9076.71</v>
      </c>
      <c r="E2103" s="0" t="n">
        <v>45900.3</v>
      </c>
      <c r="F2103" s="0" t="n">
        <v>5350.478</v>
      </c>
      <c r="G2103" s="0" t="n">
        <v>19.16</v>
      </c>
      <c r="H2103" s="0" t="n">
        <v>5331.318</v>
      </c>
      <c r="I2103" s="0" t="n">
        <v>0</v>
      </c>
      <c r="J2103" s="0" t="n">
        <v>40549.822</v>
      </c>
      <c r="K2103" s="0" t="n">
        <v>8971.81089666667</v>
      </c>
      <c r="L2103" s="0" t="n">
        <v>21</v>
      </c>
      <c r="M2103" s="0" t="n">
        <v>12</v>
      </c>
      <c r="N2103" s="0" t="n">
        <v>0</v>
      </c>
      <c r="O2103" s="54" t="n">
        <f aca="false">YEAR(B2103)</f>
        <v>2020</v>
      </c>
      <c r="P2103" s="54" t="n">
        <f aca="false">IF(AND(E2103&gt;=14400,K2103&gt;0,L2103&gt;0),1,0)</f>
        <v>1</v>
      </c>
      <c r="Q2103" s="53" t="n">
        <f aca="false">IF(P2103=1,F2103/E2103*MIN(L2103/K2103,1)*MIN(MAX(M2103/L2103,0),1),0)</f>
        <v>0.000155911515673762</v>
      </c>
      <c r="R2103" s="55" t="n">
        <f aca="false">IF(F2103&gt;0,N2103/(F2103/3600),0)</f>
        <v>0</v>
      </c>
    </row>
    <row r="2104" customFormat="false" ht="15" hidden="false" customHeight="false" outlineLevel="0" collapsed="false">
      <c r="A2104" s="0" t="s">
        <v>262</v>
      </c>
      <c r="B2104" s="52" t="n">
        <v>44049</v>
      </c>
      <c r="C2104" s="0" t="n">
        <v>56847.149</v>
      </c>
      <c r="D2104" s="0" t="n">
        <v>16801.48</v>
      </c>
      <c r="E2104" s="0" t="n">
        <v>40045.669</v>
      </c>
      <c r="F2104" s="0" t="n">
        <v>24538.988</v>
      </c>
      <c r="G2104" s="0" t="n">
        <v>17168.12</v>
      </c>
      <c r="H2104" s="0" t="n">
        <v>7370.868</v>
      </c>
      <c r="I2104" s="0" t="n">
        <v>1739.289</v>
      </c>
      <c r="J2104" s="0" t="n">
        <v>13767.392</v>
      </c>
      <c r="K2104" s="0" t="n">
        <v>41367.2644888889</v>
      </c>
      <c r="L2104" s="0" t="n">
        <v>30564</v>
      </c>
      <c r="M2104" s="0" t="n">
        <v>30422</v>
      </c>
      <c r="N2104" s="0" t="n">
        <v>17</v>
      </c>
      <c r="O2104" s="54" t="n">
        <f aca="false">YEAR(B2104)</f>
        <v>2020</v>
      </c>
      <c r="P2104" s="54" t="n">
        <f aca="false">IF(AND(E2104&gt;=14400,K2104&gt;0,L2104&gt;0),1,0)</f>
        <v>1</v>
      </c>
      <c r="Q2104" s="53" t="n">
        <f aca="false">IF(P2104=1,F2104/E2104*MIN(L2104/K2104,1)*MIN(MAX(M2104/L2104,0),1),0)</f>
        <v>0.450642402754899</v>
      </c>
      <c r="R2104" s="55" t="n">
        <f aca="false">IF(F2104&gt;0,N2104/(F2104/3600),0)</f>
        <v>2.49399037971737</v>
      </c>
    </row>
    <row r="2105" customFormat="false" ht="15" hidden="false" customHeight="false" outlineLevel="0" collapsed="false">
      <c r="A2105" s="0" t="s">
        <v>262</v>
      </c>
      <c r="B2105" s="52" t="n">
        <v>44050</v>
      </c>
      <c r="C2105" s="0" t="n">
        <v>82348.369</v>
      </c>
      <c r="D2105" s="0" t="n">
        <v>17076.57</v>
      </c>
      <c r="E2105" s="0" t="n">
        <v>65271.799</v>
      </c>
      <c r="F2105" s="0" t="n">
        <v>53377.596</v>
      </c>
      <c r="G2105" s="0" t="n">
        <v>42866.46</v>
      </c>
      <c r="H2105" s="0" t="n">
        <v>10511.136</v>
      </c>
      <c r="I2105" s="0" t="n">
        <v>2993.29</v>
      </c>
      <c r="J2105" s="0" t="n">
        <v>8900.913</v>
      </c>
      <c r="K2105" s="0" t="n">
        <v>80689.7352625</v>
      </c>
      <c r="L2105" s="0" t="n">
        <v>72548</v>
      </c>
      <c r="M2105" s="0" t="n">
        <v>72298</v>
      </c>
      <c r="N2105" s="0" t="n">
        <v>34</v>
      </c>
      <c r="O2105" s="54" t="n">
        <f aca="false">YEAR(B2105)</f>
        <v>2020</v>
      </c>
      <c r="P2105" s="54" t="n">
        <f aca="false">IF(AND(E2105&gt;=14400,K2105&gt;0,L2105&gt;0),1,0)</f>
        <v>1</v>
      </c>
      <c r="Q2105" s="53" t="n">
        <f aca="false">IF(P2105=1,F2105/E2105*MIN(L2105/K2105,1)*MIN(MAX(M2105/L2105,0),1),0)</f>
        <v>0.732725693173079</v>
      </c>
      <c r="R2105" s="55" t="n">
        <f aca="false">IF(F2105&gt;0,N2105/(F2105/3600),0)</f>
        <v>2.29309690155398</v>
      </c>
    </row>
    <row r="2106" customFormat="false" ht="15" hidden="false" customHeight="false" outlineLevel="0" collapsed="false">
      <c r="A2106" s="0" t="s">
        <v>262</v>
      </c>
      <c r="B2106" s="52" t="n">
        <v>44051</v>
      </c>
      <c r="C2106" s="0" t="n">
        <v>91524.215</v>
      </c>
      <c r="D2106" s="0" t="n">
        <v>11889.42</v>
      </c>
      <c r="E2106" s="0" t="n">
        <v>79634.795</v>
      </c>
      <c r="F2106" s="0" t="n">
        <v>61180.357</v>
      </c>
      <c r="G2106" s="0" t="n">
        <v>56369.283</v>
      </c>
      <c r="H2106" s="0" t="n">
        <v>4811.074</v>
      </c>
      <c r="I2106" s="0" t="n">
        <v>2590.162</v>
      </c>
      <c r="J2106" s="0" t="n">
        <v>15864.276</v>
      </c>
      <c r="K2106" s="0" t="n">
        <v>98099.9904533333</v>
      </c>
      <c r="L2106" s="0" t="n">
        <v>95873</v>
      </c>
      <c r="M2106" s="0" t="n">
        <v>95301</v>
      </c>
      <c r="N2106" s="0" t="n">
        <v>48</v>
      </c>
      <c r="O2106" s="54" t="n">
        <f aca="false">YEAR(B2106)</f>
        <v>2020</v>
      </c>
      <c r="P2106" s="54" t="n">
        <f aca="false">IF(AND(E2106&gt;=14400,K2106&gt;0,L2106&gt;0),1,0)</f>
        <v>1</v>
      </c>
      <c r="Q2106" s="53" t="n">
        <f aca="false">IF(P2106=1,F2106/E2106*MIN(L2106/K2106,1)*MIN(MAX(M2106/L2106,0),1),0)</f>
        <v>0.746341572205426</v>
      </c>
      <c r="R2106" s="55" t="n">
        <f aca="false">IF(F2106&gt;0,N2106/(F2106/3600),0)</f>
        <v>2.82443595417398</v>
      </c>
    </row>
    <row r="2107" customFormat="false" ht="15" hidden="false" customHeight="false" outlineLevel="0" collapsed="false">
      <c r="A2107" s="0" t="s">
        <v>262</v>
      </c>
      <c r="B2107" s="52" t="n">
        <v>44052</v>
      </c>
      <c r="C2107" s="0" t="n">
        <v>76913.458</v>
      </c>
      <c r="D2107" s="0" t="n">
        <v>5534.59</v>
      </c>
      <c r="E2107" s="0" t="n">
        <v>71378.868</v>
      </c>
      <c r="F2107" s="0" t="n">
        <v>47190.011</v>
      </c>
      <c r="G2107" s="0" t="n">
        <v>42671.32</v>
      </c>
      <c r="H2107" s="0" t="n">
        <v>4518.691</v>
      </c>
      <c r="I2107" s="0" t="n">
        <v>3625.878</v>
      </c>
      <c r="J2107" s="0" t="n">
        <v>20562.979</v>
      </c>
      <c r="K2107" s="0" t="n">
        <v>77142.2929333333</v>
      </c>
      <c r="L2107" s="0" t="n">
        <v>72481</v>
      </c>
      <c r="M2107" s="0" t="n">
        <v>72446</v>
      </c>
      <c r="N2107" s="0" t="n">
        <v>69</v>
      </c>
      <c r="O2107" s="54" t="n">
        <f aca="false">YEAR(B2107)</f>
        <v>2020</v>
      </c>
      <c r="P2107" s="54" t="n">
        <f aca="false">IF(AND(E2107&gt;=14400,K2107&gt;0,L2107&gt;0),1,0)</f>
        <v>1</v>
      </c>
      <c r="Q2107" s="53" t="n">
        <f aca="false">IF(P2107=1,F2107/E2107*MIN(L2107/K2107,1)*MIN(MAX(M2107/L2107,0),1),0)</f>
        <v>0.620872308726462</v>
      </c>
      <c r="R2107" s="55" t="n">
        <f aca="false">IF(F2107&gt;0,N2107/(F2107/3600),0)</f>
        <v>5.26382585500987</v>
      </c>
    </row>
    <row r="2108" customFormat="false" ht="15" hidden="false" customHeight="false" outlineLevel="0" collapsed="false">
      <c r="A2108" s="0" t="s">
        <v>262</v>
      </c>
      <c r="B2108" s="52" t="n">
        <v>44053</v>
      </c>
      <c r="C2108" s="0" t="n">
        <v>86765.727</v>
      </c>
      <c r="D2108" s="0" t="n">
        <v>18305.54</v>
      </c>
      <c r="E2108" s="0" t="n">
        <v>68460.187</v>
      </c>
      <c r="F2108" s="0" t="n">
        <v>54147.254</v>
      </c>
      <c r="G2108" s="0" t="n">
        <v>49115.637</v>
      </c>
      <c r="H2108" s="0" t="n">
        <v>5031.617</v>
      </c>
      <c r="I2108" s="0" t="n">
        <v>1909.689</v>
      </c>
      <c r="J2108" s="0" t="n">
        <v>12403.244</v>
      </c>
      <c r="K2108" s="0" t="n">
        <v>94135.0045722222</v>
      </c>
      <c r="L2108" s="0" t="n">
        <v>86237</v>
      </c>
      <c r="M2108" s="0" t="n">
        <v>86154</v>
      </c>
      <c r="N2108" s="0" t="n">
        <v>42</v>
      </c>
      <c r="O2108" s="54" t="n">
        <f aca="false">YEAR(B2108)</f>
        <v>2020</v>
      </c>
      <c r="P2108" s="54" t="n">
        <f aca="false">IF(AND(E2108&gt;=14400,K2108&gt;0,L2108&gt;0),1,0)</f>
        <v>1</v>
      </c>
      <c r="Q2108" s="53" t="n">
        <f aca="false">IF(P2108=1,F2108/E2108*MIN(L2108/K2108,1)*MIN(MAX(M2108/L2108,0),1),0)</f>
        <v>0.723873459437611</v>
      </c>
      <c r="R2108" s="55" t="n">
        <f aca="false">IF(F2108&gt;0,N2108/(F2108/3600),0)</f>
        <v>2.7923853719341</v>
      </c>
    </row>
    <row r="2109" customFormat="false" ht="15" hidden="false" customHeight="false" outlineLevel="0" collapsed="false">
      <c r="A2109" s="0" t="s">
        <v>262</v>
      </c>
      <c r="B2109" s="52" t="n">
        <v>44054</v>
      </c>
      <c r="C2109" s="0" t="n">
        <v>85910.407</v>
      </c>
      <c r="D2109" s="0" t="n">
        <v>17302.17</v>
      </c>
      <c r="E2109" s="0" t="n">
        <v>68608.237</v>
      </c>
      <c r="F2109" s="0" t="n">
        <v>55560.527</v>
      </c>
      <c r="G2109" s="0" t="n">
        <v>41975.173</v>
      </c>
      <c r="H2109" s="0" t="n">
        <v>13585.354</v>
      </c>
      <c r="I2109" s="0" t="n">
        <v>2596.63</v>
      </c>
      <c r="J2109" s="0" t="n">
        <v>10451.08</v>
      </c>
      <c r="K2109" s="0" t="n">
        <v>93763.2776597222</v>
      </c>
      <c r="L2109" s="0" t="n">
        <v>73686</v>
      </c>
      <c r="M2109" s="0" t="n">
        <v>73407</v>
      </c>
      <c r="N2109" s="0" t="n">
        <v>40</v>
      </c>
      <c r="O2109" s="54" t="n">
        <f aca="false">YEAR(B2109)</f>
        <v>2020</v>
      </c>
      <c r="P2109" s="54" t="n">
        <f aca="false">IF(AND(E2109&gt;=14400,K2109&gt;0,L2109&gt;0),1,0)</f>
        <v>1</v>
      </c>
      <c r="Q2109" s="53" t="n">
        <f aca="false">IF(P2109=1,F2109/E2109*MIN(L2109/K2109,1)*MIN(MAX(M2109/L2109,0),1),0)</f>
        <v>0.634008079078861</v>
      </c>
      <c r="R2109" s="55" t="n">
        <f aca="false">IF(F2109&gt;0,N2109/(F2109/3600),0)</f>
        <v>2.59176807304222</v>
      </c>
    </row>
    <row r="2110" customFormat="false" ht="15" hidden="false" customHeight="false" outlineLevel="0" collapsed="false">
      <c r="A2110" s="0" t="s">
        <v>262</v>
      </c>
      <c r="B2110" s="52" t="n">
        <v>44055</v>
      </c>
      <c r="C2110" s="0" t="n">
        <v>86254.415</v>
      </c>
      <c r="D2110" s="0" t="n">
        <v>28155.251</v>
      </c>
      <c r="E2110" s="0" t="n">
        <v>58099.164</v>
      </c>
      <c r="F2110" s="0" t="n">
        <v>24627.121</v>
      </c>
      <c r="G2110" s="0" t="n">
        <v>20606.755</v>
      </c>
      <c r="H2110" s="0" t="n">
        <v>4020.366</v>
      </c>
      <c r="I2110" s="0" t="n">
        <v>2746.878</v>
      </c>
      <c r="J2110" s="0" t="n">
        <v>30725.165</v>
      </c>
      <c r="K2110" s="0" t="n">
        <v>40128.6624369445</v>
      </c>
      <c r="L2110" s="0" t="n">
        <v>33342</v>
      </c>
      <c r="M2110" s="0" t="n">
        <v>33314</v>
      </c>
      <c r="N2110" s="0" t="n">
        <v>15</v>
      </c>
      <c r="O2110" s="54" t="n">
        <f aca="false">YEAR(B2110)</f>
        <v>2020</v>
      </c>
      <c r="P2110" s="54" t="n">
        <f aca="false">IF(AND(E2110&gt;=14400,K2110&gt;0,L2110&gt;0),1,0)</f>
        <v>1</v>
      </c>
      <c r="Q2110" s="53" t="n">
        <f aca="false">IF(P2110=1,F2110/E2110*MIN(L2110/K2110,1)*MIN(MAX(M2110/L2110,0),1),0)</f>
        <v>0.351897238052072</v>
      </c>
      <c r="R2110" s="55" t="n">
        <f aca="false">IF(F2110&gt;0,N2110/(F2110/3600),0)</f>
        <v>2.19270453903239</v>
      </c>
    </row>
    <row r="2111" customFormat="false" ht="15" hidden="false" customHeight="false" outlineLevel="0" collapsed="false">
      <c r="A2111" s="0" t="s">
        <v>262</v>
      </c>
      <c r="B2111" s="52" t="n">
        <v>44056</v>
      </c>
      <c r="C2111" s="0" t="n">
        <v>86780.35</v>
      </c>
      <c r="D2111" s="0" t="n">
        <v>72.899</v>
      </c>
      <c r="E2111" s="0" t="n">
        <v>86707.451</v>
      </c>
      <c r="F2111" s="0" t="n">
        <v>70831.475</v>
      </c>
      <c r="G2111" s="0" t="n">
        <v>52779.779</v>
      </c>
      <c r="H2111" s="0" t="n">
        <v>18051.696</v>
      </c>
      <c r="I2111" s="0" t="n">
        <v>1252.182</v>
      </c>
      <c r="J2111" s="0" t="n">
        <v>14623.794</v>
      </c>
      <c r="K2111" s="0" t="n">
        <v>107685.441032222</v>
      </c>
      <c r="L2111" s="0" t="n">
        <v>90642</v>
      </c>
      <c r="M2111" s="0" t="n">
        <v>90338</v>
      </c>
      <c r="N2111" s="0" t="n">
        <v>31</v>
      </c>
      <c r="O2111" s="54" t="n">
        <f aca="false">YEAR(B2111)</f>
        <v>2020</v>
      </c>
      <c r="P2111" s="54" t="n">
        <f aca="false">IF(AND(E2111&gt;=14400,K2111&gt;0,L2111&gt;0),1,0)</f>
        <v>1</v>
      </c>
      <c r="Q2111" s="53" t="n">
        <f aca="false">IF(P2111=1,F2111/E2111*MIN(L2111/K2111,1)*MIN(MAX(M2111/L2111,0),1),0)</f>
        <v>0.685304126519009</v>
      </c>
      <c r="R2111" s="55" t="n">
        <f aca="false">IF(F2111&gt;0,N2111/(F2111/3600),0)</f>
        <v>1.57557074732667</v>
      </c>
    </row>
    <row r="2112" customFormat="false" ht="15" hidden="false" customHeight="false" outlineLevel="0" collapsed="false">
      <c r="A2112" s="0" t="s">
        <v>262</v>
      </c>
      <c r="B2112" s="52" t="n">
        <v>44057</v>
      </c>
      <c r="C2112" s="0" t="n">
        <v>84483.327</v>
      </c>
      <c r="D2112" s="0" t="n">
        <v>15647.269</v>
      </c>
      <c r="E2112" s="0" t="n">
        <v>68836.058</v>
      </c>
      <c r="F2112" s="0" t="n">
        <v>57955.47</v>
      </c>
      <c r="G2112" s="0" t="n">
        <v>50090.269</v>
      </c>
      <c r="H2112" s="0" t="n">
        <v>7865.201</v>
      </c>
      <c r="I2112" s="0" t="n">
        <v>2730.07</v>
      </c>
      <c r="J2112" s="0" t="n">
        <v>8150.518</v>
      </c>
      <c r="K2112" s="0" t="n">
        <v>97784.2364955556</v>
      </c>
      <c r="L2112" s="0" t="n">
        <v>85526</v>
      </c>
      <c r="M2112" s="0" t="n">
        <v>85471</v>
      </c>
      <c r="N2112" s="0" t="n">
        <v>39</v>
      </c>
      <c r="O2112" s="54" t="n">
        <f aca="false">YEAR(B2112)</f>
        <v>2020</v>
      </c>
      <c r="P2112" s="54" t="n">
        <f aca="false">IF(AND(E2112&gt;=14400,K2112&gt;0,L2112&gt;0),1,0)</f>
        <v>1</v>
      </c>
      <c r="Q2112" s="53" t="n">
        <f aca="false">IF(P2112=1,F2112/E2112*MIN(L2112/K2112,1)*MIN(MAX(M2112/L2112,0),1),0)</f>
        <v>0.735916222146129</v>
      </c>
      <c r="R2112" s="55" t="n">
        <f aca="false">IF(F2112&gt;0,N2112/(F2112/3600),0)</f>
        <v>2.42254958850304</v>
      </c>
    </row>
    <row r="2113" customFormat="false" ht="15" hidden="false" customHeight="false" outlineLevel="0" collapsed="false">
      <c r="A2113" s="0" t="s">
        <v>262</v>
      </c>
      <c r="B2113" s="52" t="n">
        <v>44058</v>
      </c>
      <c r="C2113" s="0" t="n">
        <v>88612.907</v>
      </c>
      <c r="D2113" s="0" t="n">
        <v>28686.94</v>
      </c>
      <c r="E2113" s="0" t="n">
        <v>59925.967</v>
      </c>
      <c r="F2113" s="0" t="n">
        <v>38921.883</v>
      </c>
      <c r="G2113" s="0" t="n">
        <v>26795.409</v>
      </c>
      <c r="H2113" s="0" t="n">
        <v>12126.474</v>
      </c>
      <c r="I2113" s="0" t="n">
        <v>1240.405</v>
      </c>
      <c r="J2113" s="0" t="n">
        <v>19763.679</v>
      </c>
      <c r="K2113" s="0" t="n">
        <v>61237.7919730556</v>
      </c>
      <c r="L2113" s="0" t="n">
        <v>46143</v>
      </c>
      <c r="M2113" s="0" t="n">
        <v>46078</v>
      </c>
      <c r="N2113" s="0" t="n">
        <v>32</v>
      </c>
      <c r="O2113" s="54" t="n">
        <f aca="false">YEAR(B2113)</f>
        <v>2020</v>
      </c>
      <c r="P2113" s="54" t="n">
        <f aca="false">IF(AND(E2113&gt;=14400,K2113&gt;0,L2113&gt;0),1,0)</f>
        <v>1</v>
      </c>
      <c r="Q2113" s="53" t="n">
        <f aca="false">IF(P2113=1,F2113/E2113*MIN(L2113/K2113,1)*MIN(MAX(M2113/L2113,0),1),0)</f>
        <v>0.488711872111328</v>
      </c>
      <c r="R2113" s="55" t="n">
        <f aca="false">IF(F2113&gt;0,N2113/(F2113/3600),0)</f>
        <v>2.95977458233457</v>
      </c>
    </row>
    <row r="2114" customFormat="false" ht="15" hidden="false" customHeight="false" outlineLevel="0" collapsed="false">
      <c r="A2114" s="0" t="s">
        <v>262</v>
      </c>
      <c r="B2114" s="52" t="n">
        <v>44059</v>
      </c>
      <c r="C2114" s="0" t="n">
        <v>83100.447</v>
      </c>
      <c r="D2114" s="0" t="n">
        <v>16860.593</v>
      </c>
      <c r="E2114" s="0" t="n">
        <v>66239.854</v>
      </c>
      <c r="F2114" s="0" t="n">
        <v>46083.946</v>
      </c>
      <c r="G2114" s="0" t="n">
        <v>36196.787</v>
      </c>
      <c r="H2114" s="0" t="n">
        <v>9887.159</v>
      </c>
      <c r="I2114" s="0" t="n">
        <v>2835.251</v>
      </c>
      <c r="J2114" s="0" t="n">
        <v>17320.657</v>
      </c>
      <c r="K2114" s="0" t="n">
        <v>78347.5078083333</v>
      </c>
      <c r="L2114" s="0" t="n">
        <v>64610</v>
      </c>
      <c r="M2114" s="0" t="n">
        <v>64533</v>
      </c>
      <c r="N2114" s="0" t="n">
        <v>42</v>
      </c>
      <c r="O2114" s="54" t="n">
        <f aca="false">YEAR(B2114)</f>
        <v>2020</v>
      </c>
      <c r="P2114" s="54" t="n">
        <f aca="false">IF(AND(E2114&gt;=14400,K2114&gt;0,L2114&gt;0),1,0)</f>
        <v>1</v>
      </c>
      <c r="Q2114" s="53" t="n">
        <f aca="false">IF(P2114=1,F2114/E2114*MIN(L2114/K2114,1)*MIN(MAX(M2114/L2114,0),1),0)</f>
        <v>0.57304266930111</v>
      </c>
      <c r="R2114" s="55" t="n">
        <f aca="false">IF(F2114&gt;0,N2114/(F2114/3600),0)</f>
        <v>3.28096903854544</v>
      </c>
    </row>
    <row r="2115" customFormat="false" ht="15" hidden="false" customHeight="false" outlineLevel="0" collapsed="false">
      <c r="A2115" s="0" t="s">
        <v>262</v>
      </c>
      <c r="B2115" s="52" t="n">
        <v>44060</v>
      </c>
      <c r="C2115" s="0" t="n">
        <v>83715.158</v>
      </c>
      <c r="D2115" s="0" t="n">
        <v>18599.544</v>
      </c>
      <c r="E2115" s="0" t="n">
        <v>65115.614</v>
      </c>
      <c r="F2115" s="0" t="n">
        <v>53875.628</v>
      </c>
      <c r="G2115" s="0" t="n">
        <v>45190.822</v>
      </c>
      <c r="H2115" s="0" t="n">
        <v>8684.806</v>
      </c>
      <c r="I2115" s="0" t="n">
        <v>2520.491</v>
      </c>
      <c r="J2115" s="0" t="n">
        <v>8719.495</v>
      </c>
      <c r="K2115" s="0" t="n">
        <v>91101.5411611111</v>
      </c>
      <c r="L2115" s="0" t="n">
        <v>78307</v>
      </c>
      <c r="M2115" s="0" t="n">
        <v>78222</v>
      </c>
      <c r="N2115" s="0" t="n">
        <v>31</v>
      </c>
      <c r="O2115" s="54" t="n">
        <f aca="false">YEAR(B2115)</f>
        <v>2020</v>
      </c>
      <c r="P2115" s="54" t="n">
        <f aca="false">IF(AND(E2115&gt;=14400,K2115&gt;0,L2115&gt;0),1,0)</f>
        <v>1</v>
      </c>
      <c r="Q2115" s="53" t="n">
        <f aca="false">IF(P2115=1,F2115/E2115*MIN(L2115/K2115,1)*MIN(MAX(M2115/L2115,0),1),0)</f>
        <v>0.710412177757311</v>
      </c>
      <c r="R2115" s="55" t="n">
        <f aca="false">IF(F2115&gt;0,N2115/(F2115/3600),0)</f>
        <v>2.07143757099221</v>
      </c>
    </row>
    <row r="2116" customFormat="false" ht="15" hidden="false" customHeight="false" outlineLevel="0" collapsed="false">
      <c r="A2116" s="0" t="s">
        <v>262</v>
      </c>
      <c r="B2116" s="52" t="n">
        <v>44061</v>
      </c>
      <c r="C2116" s="0" t="n">
        <v>78903.856</v>
      </c>
      <c r="D2116" s="0" t="n">
        <v>8115.711</v>
      </c>
      <c r="E2116" s="0" t="n">
        <v>70788.145</v>
      </c>
      <c r="F2116" s="0" t="n">
        <v>59289.326</v>
      </c>
      <c r="G2116" s="0" t="n">
        <v>53184.07</v>
      </c>
      <c r="H2116" s="0" t="n">
        <v>6105.256</v>
      </c>
      <c r="I2116" s="0" t="n">
        <v>2140.679</v>
      </c>
      <c r="J2116" s="0" t="n">
        <v>9358.14</v>
      </c>
      <c r="K2116" s="0" t="n">
        <v>105587.952468889</v>
      </c>
      <c r="L2116" s="0" t="n">
        <v>95553</v>
      </c>
      <c r="M2116" s="0" t="n">
        <v>95437</v>
      </c>
      <c r="N2116" s="0" t="n">
        <v>41</v>
      </c>
      <c r="O2116" s="54" t="n">
        <f aca="false">YEAR(B2116)</f>
        <v>2020</v>
      </c>
      <c r="P2116" s="54" t="n">
        <f aca="false">IF(AND(E2116&gt;=14400,K2116&gt;0,L2116&gt;0),1,0)</f>
        <v>1</v>
      </c>
      <c r="Q2116" s="53" t="n">
        <f aca="false">IF(P2116=1,F2116/E2116*MIN(L2116/K2116,1)*MIN(MAX(M2116/L2116,0),1),0)</f>
        <v>0.757039242238672</v>
      </c>
      <c r="R2116" s="55" t="n">
        <f aca="false">IF(F2116&gt;0,N2116/(F2116/3600),0)</f>
        <v>2.48948689347556</v>
      </c>
    </row>
    <row r="2117" customFormat="false" ht="15" hidden="false" customHeight="false" outlineLevel="0" collapsed="false">
      <c r="A2117" s="0" t="s">
        <v>262</v>
      </c>
      <c r="B2117" s="52" t="n">
        <v>44062</v>
      </c>
      <c r="C2117" s="0" t="n">
        <v>81774.228</v>
      </c>
      <c r="D2117" s="0" t="n">
        <v>8556.07</v>
      </c>
      <c r="E2117" s="0" t="n">
        <v>73218.158</v>
      </c>
      <c r="F2117" s="0" t="n">
        <v>53795.757</v>
      </c>
      <c r="G2117" s="0" t="n">
        <v>46576.808</v>
      </c>
      <c r="H2117" s="0" t="n">
        <v>7218.949</v>
      </c>
      <c r="I2117" s="0" t="n">
        <v>1885.321</v>
      </c>
      <c r="J2117" s="0" t="n">
        <v>17537.08</v>
      </c>
      <c r="K2117" s="0" t="n">
        <v>91386.4620069445</v>
      </c>
      <c r="L2117" s="0" t="n">
        <v>83357</v>
      </c>
      <c r="M2117" s="0" t="n">
        <v>83247</v>
      </c>
      <c r="N2117" s="0" t="n">
        <v>39</v>
      </c>
      <c r="O2117" s="54" t="n">
        <f aca="false">YEAR(B2117)</f>
        <v>2020</v>
      </c>
      <c r="P2117" s="54" t="n">
        <f aca="false">IF(AND(E2117&gt;=14400,K2117&gt;0,L2117&gt;0),1,0)</f>
        <v>1</v>
      </c>
      <c r="Q2117" s="53" t="n">
        <f aca="false">IF(P2117=1,F2117/E2117*MIN(L2117/K2117,1)*MIN(MAX(M2117/L2117,0),1),0)</f>
        <v>0.669292489973448</v>
      </c>
      <c r="R2117" s="55" t="n">
        <f aca="false">IF(F2117&gt;0,N2117/(F2117/3600),0)</f>
        <v>2.60987125806223</v>
      </c>
    </row>
    <row r="2118" customFormat="false" ht="15" hidden="false" customHeight="false" outlineLevel="0" collapsed="false">
      <c r="A2118" s="0" t="s">
        <v>262</v>
      </c>
      <c r="B2118" s="52" t="n">
        <v>44063</v>
      </c>
      <c r="C2118" s="0" t="n">
        <v>84887.268</v>
      </c>
      <c r="D2118" s="0" t="n">
        <v>14892.89</v>
      </c>
      <c r="E2118" s="0" t="n">
        <v>69994.378</v>
      </c>
      <c r="F2118" s="0" t="n">
        <v>45069.48</v>
      </c>
      <c r="G2118" s="0" t="n">
        <v>36452.82</v>
      </c>
      <c r="H2118" s="0" t="n">
        <v>8616.66</v>
      </c>
      <c r="I2118" s="0" t="n">
        <v>2097.847</v>
      </c>
      <c r="J2118" s="0" t="n">
        <v>22827.051</v>
      </c>
      <c r="K2118" s="0" t="n">
        <v>77220.4100416667</v>
      </c>
      <c r="L2118" s="0" t="n">
        <v>64689</v>
      </c>
      <c r="M2118" s="0" t="n">
        <v>64527</v>
      </c>
      <c r="N2118" s="0" t="n">
        <v>23</v>
      </c>
      <c r="O2118" s="54" t="n">
        <f aca="false">YEAR(B2118)</f>
        <v>2020</v>
      </c>
      <c r="P2118" s="54" t="n">
        <f aca="false">IF(AND(E2118&gt;=14400,K2118&gt;0,L2118&gt;0),1,0)</f>
        <v>1</v>
      </c>
      <c r="Q2118" s="53" t="n">
        <f aca="false">IF(P2118=1,F2118/E2118*MIN(L2118/K2118,1)*MIN(MAX(M2118/L2118,0),1),0)</f>
        <v>0.538057587000128</v>
      </c>
      <c r="R2118" s="55" t="n">
        <f aca="false">IF(F2118&gt;0,N2118/(F2118/3600),0)</f>
        <v>1.83716341968001</v>
      </c>
    </row>
    <row r="2119" customFormat="false" ht="15" hidden="false" customHeight="false" outlineLevel="0" collapsed="false">
      <c r="A2119" s="0" t="s">
        <v>262</v>
      </c>
      <c r="B2119" s="52" t="n">
        <v>44064</v>
      </c>
      <c r="C2119" s="0" t="n">
        <v>81093.075</v>
      </c>
      <c r="D2119" s="0" t="n">
        <v>14762.802</v>
      </c>
      <c r="E2119" s="0" t="n">
        <v>66330.273</v>
      </c>
      <c r="F2119" s="0" t="n">
        <v>48370.078</v>
      </c>
      <c r="G2119" s="0" t="n">
        <v>39285.71</v>
      </c>
      <c r="H2119" s="0" t="n">
        <v>9084.368</v>
      </c>
      <c r="I2119" s="0" t="n">
        <v>1987.579</v>
      </c>
      <c r="J2119" s="0" t="n">
        <v>15972.616</v>
      </c>
      <c r="K2119" s="0" t="n">
        <v>85245.6413236111</v>
      </c>
      <c r="L2119" s="0" t="n">
        <v>68707</v>
      </c>
      <c r="M2119" s="0" t="n">
        <v>68654</v>
      </c>
      <c r="N2119" s="0" t="n">
        <v>28</v>
      </c>
      <c r="O2119" s="54" t="n">
        <f aca="false">YEAR(B2119)</f>
        <v>2020</v>
      </c>
      <c r="P2119" s="54" t="n">
        <f aca="false">IF(AND(E2119&gt;=14400,K2119&gt;0,L2119&gt;0),1,0)</f>
        <v>1</v>
      </c>
      <c r="Q2119" s="53" t="n">
        <f aca="false">IF(P2119=1,F2119/E2119*MIN(L2119/K2119,1)*MIN(MAX(M2119/L2119,0),1),0)</f>
        <v>0.587298195195619</v>
      </c>
      <c r="R2119" s="55" t="n">
        <f aca="false">IF(F2119&gt;0,N2119/(F2119/3600),0)</f>
        <v>2.08393296368056</v>
      </c>
    </row>
    <row r="2120" customFormat="false" ht="15" hidden="false" customHeight="false" outlineLevel="0" collapsed="false">
      <c r="A2120" s="0" t="s">
        <v>262</v>
      </c>
      <c r="B2120" s="52" t="n">
        <v>44065</v>
      </c>
      <c r="C2120" s="0" t="n">
        <v>88596.347</v>
      </c>
      <c r="D2120" s="0" t="n">
        <v>6564.03</v>
      </c>
      <c r="E2120" s="0" t="n">
        <v>82032.317</v>
      </c>
      <c r="F2120" s="0" t="n">
        <v>41334.44</v>
      </c>
      <c r="G2120" s="0" t="n">
        <v>35213.621</v>
      </c>
      <c r="H2120" s="0" t="n">
        <v>6120.819</v>
      </c>
      <c r="I2120" s="0" t="n">
        <v>2291.498</v>
      </c>
      <c r="J2120" s="0" t="n">
        <v>38406.379</v>
      </c>
      <c r="K2120" s="0" t="n">
        <v>65938.8287416667</v>
      </c>
      <c r="L2120" s="0" t="n">
        <v>59573</v>
      </c>
      <c r="M2120" s="0" t="n">
        <v>59471</v>
      </c>
      <c r="N2120" s="0" t="n">
        <v>28</v>
      </c>
      <c r="O2120" s="54" t="n">
        <f aca="false">YEAR(B2120)</f>
        <v>2020</v>
      </c>
      <c r="P2120" s="54" t="n">
        <f aca="false">IF(AND(E2120&gt;=14400,K2120&gt;0,L2120&gt;0),1,0)</f>
        <v>1</v>
      </c>
      <c r="Q2120" s="53" t="n">
        <f aca="false">IF(P2120=1,F2120/E2120*MIN(L2120/K2120,1)*MIN(MAX(M2120/L2120,0),1),0)</f>
        <v>0.454455216019914</v>
      </c>
      <c r="R2120" s="55" t="n">
        <f aca="false">IF(F2120&gt;0,N2120/(F2120/3600),0)</f>
        <v>2.4386443846826</v>
      </c>
    </row>
    <row r="2121" customFormat="false" ht="15" hidden="false" customHeight="false" outlineLevel="0" collapsed="false">
      <c r="A2121" s="0" t="s">
        <v>262</v>
      </c>
      <c r="B2121" s="52" t="n">
        <v>44066</v>
      </c>
      <c r="C2121" s="0" t="n">
        <v>78733.697</v>
      </c>
      <c r="D2121" s="0" t="n">
        <v>11759.722</v>
      </c>
      <c r="E2121" s="0" t="n">
        <v>66973.975</v>
      </c>
      <c r="F2121" s="0" t="n">
        <v>46530.534</v>
      </c>
      <c r="G2121" s="0" t="n">
        <v>42324.748</v>
      </c>
      <c r="H2121" s="0" t="n">
        <v>4205.786</v>
      </c>
      <c r="I2121" s="0" t="n">
        <v>791.96</v>
      </c>
      <c r="J2121" s="0" t="n">
        <v>19651.481</v>
      </c>
      <c r="K2121" s="0" t="n">
        <v>79949.3366388889</v>
      </c>
      <c r="L2121" s="0" t="n">
        <v>72677</v>
      </c>
      <c r="M2121" s="0" t="n">
        <v>72573</v>
      </c>
      <c r="N2121" s="0" t="n">
        <v>12</v>
      </c>
      <c r="O2121" s="54" t="n">
        <f aca="false">YEAR(B2121)</f>
        <v>2020</v>
      </c>
      <c r="P2121" s="54" t="n">
        <f aca="false">IF(AND(E2121&gt;=14400,K2121&gt;0,L2121&gt;0),1,0)</f>
        <v>1</v>
      </c>
      <c r="Q2121" s="53" t="n">
        <f aca="false">IF(P2121=1,F2121/E2121*MIN(L2121/K2121,1)*MIN(MAX(M2121/L2121,0),1),0)</f>
        <v>0.630655478100062</v>
      </c>
      <c r="R2121" s="55" t="n">
        <f aca="false">IF(F2121&gt;0,N2121/(F2121/3600),0)</f>
        <v>0.928422613847501</v>
      </c>
    </row>
    <row r="2122" customFormat="false" ht="15" hidden="false" customHeight="false" outlineLevel="0" collapsed="false">
      <c r="A2122" s="0" t="s">
        <v>262</v>
      </c>
      <c r="B2122" s="52" t="n">
        <v>44067</v>
      </c>
      <c r="C2122" s="0" t="n">
        <v>102722.897</v>
      </c>
      <c r="D2122" s="0" t="n">
        <v>15708.76</v>
      </c>
      <c r="E2122" s="0" t="n">
        <v>87014.137</v>
      </c>
      <c r="F2122" s="0" t="n">
        <v>72979.193</v>
      </c>
      <c r="G2122" s="0" t="n">
        <v>64041.936</v>
      </c>
      <c r="H2122" s="0" t="n">
        <v>8937.257</v>
      </c>
      <c r="I2122" s="0" t="n">
        <v>2470.123</v>
      </c>
      <c r="J2122" s="0" t="n">
        <v>11564.821</v>
      </c>
      <c r="K2122" s="0" t="n">
        <v>119306.022206389</v>
      </c>
      <c r="L2122" s="0" t="n">
        <v>112916</v>
      </c>
      <c r="M2122" s="0" t="n">
        <v>112832</v>
      </c>
      <c r="N2122" s="0" t="n">
        <v>39</v>
      </c>
      <c r="O2122" s="54" t="n">
        <f aca="false">YEAR(B2122)</f>
        <v>2020</v>
      </c>
      <c r="P2122" s="54" t="n">
        <f aca="false">IF(AND(E2122&gt;=14400,K2122&gt;0,L2122&gt;0),1,0)</f>
        <v>1</v>
      </c>
      <c r="Q2122" s="53" t="n">
        <f aca="false">IF(P2122=1,F2122/E2122*MIN(L2122/K2122,1)*MIN(MAX(M2122/L2122,0),1),0)</f>
        <v>0.793193523692321</v>
      </c>
      <c r="R2122" s="55" t="n">
        <f aca="false">IF(F2122&gt;0,N2122/(F2122/3600),0)</f>
        <v>1.92383601720562</v>
      </c>
    </row>
    <row r="2123" customFormat="false" ht="15" hidden="false" customHeight="false" outlineLevel="0" collapsed="false">
      <c r="A2123" s="0" t="s">
        <v>262</v>
      </c>
      <c r="B2123" s="52" t="n">
        <v>44068</v>
      </c>
      <c r="C2123" s="0" t="n">
        <v>71965.507</v>
      </c>
      <c r="D2123" s="0" t="n">
        <v>22439.411</v>
      </c>
      <c r="E2123" s="0" t="n">
        <v>49526.096</v>
      </c>
      <c r="F2123" s="0" t="n">
        <v>23036.657</v>
      </c>
      <c r="G2123" s="0" t="n">
        <v>9109.958</v>
      </c>
      <c r="H2123" s="0" t="n">
        <v>13926.699</v>
      </c>
      <c r="I2123" s="0" t="n">
        <v>1667.759</v>
      </c>
      <c r="J2123" s="0" t="n">
        <v>24821.68</v>
      </c>
      <c r="K2123" s="0" t="n">
        <v>39234.75987</v>
      </c>
      <c r="L2123" s="0" t="n">
        <v>15744</v>
      </c>
      <c r="M2123" s="0" t="n">
        <v>15555</v>
      </c>
      <c r="N2123" s="0" t="n">
        <v>20</v>
      </c>
      <c r="O2123" s="54" t="n">
        <f aca="false">YEAR(B2123)</f>
        <v>2020</v>
      </c>
      <c r="P2123" s="54" t="n">
        <f aca="false">IF(AND(E2123&gt;=14400,K2123&gt;0,L2123&gt;0),1,0)</f>
        <v>1</v>
      </c>
      <c r="Q2123" s="53" t="n">
        <f aca="false">IF(P2123=1,F2123/E2123*MIN(L2123/K2123,1)*MIN(MAX(M2123/L2123,0),1),0)</f>
        <v>0.184409961591452</v>
      </c>
      <c r="R2123" s="55" t="n">
        <f aca="false">IF(F2123&gt;0,N2123/(F2123/3600),0)</f>
        <v>3.12545348919333</v>
      </c>
    </row>
    <row r="2124" customFormat="false" ht="15" hidden="false" customHeight="false" outlineLevel="0" collapsed="false">
      <c r="A2124" s="0" t="s">
        <v>262</v>
      </c>
      <c r="B2124" s="52" t="n">
        <v>44069</v>
      </c>
      <c r="C2124" s="0" t="n">
        <v>85418.295</v>
      </c>
      <c r="D2124" s="0" t="n">
        <v>12394.873</v>
      </c>
      <c r="E2124" s="0" t="n">
        <v>73023.422</v>
      </c>
      <c r="F2124" s="0" t="n">
        <v>46615.755</v>
      </c>
      <c r="G2124" s="0" t="n">
        <v>35964.194</v>
      </c>
      <c r="H2124" s="0" t="n">
        <v>10651.561</v>
      </c>
      <c r="I2124" s="0" t="n">
        <v>617.28</v>
      </c>
      <c r="J2124" s="0" t="n">
        <v>25790.387</v>
      </c>
      <c r="K2124" s="0" t="n">
        <v>79794.1072122222</v>
      </c>
      <c r="L2124" s="0" t="n">
        <v>64101</v>
      </c>
      <c r="M2124" s="0" t="n">
        <v>63967</v>
      </c>
      <c r="N2124" s="0" t="n">
        <v>10</v>
      </c>
      <c r="O2124" s="54" t="n">
        <f aca="false">YEAR(B2124)</f>
        <v>2020</v>
      </c>
      <c r="P2124" s="54" t="n">
        <f aca="false">IF(AND(E2124&gt;=14400,K2124&gt;0,L2124&gt;0),1,0)</f>
        <v>1</v>
      </c>
      <c r="Q2124" s="53" t="n">
        <f aca="false">IF(P2124=1,F2124/E2124*MIN(L2124/K2124,1)*MIN(MAX(M2124/L2124,0),1),0)</f>
        <v>0.511747470767751</v>
      </c>
      <c r="R2124" s="55" t="n">
        <f aca="false">IF(F2124&gt;0,N2124/(F2124/3600),0)</f>
        <v>0.772271091608406</v>
      </c>
    </row>
    <row r="2125" customFormat="false" ht="15" hidden="false" customHeight="false" outlineLevel="0" collapsed="false">
      <c r="A2125" s="0" t="s">
        <v>262</v>
      </c>
      <c r="B2125" s="52" t="n">
        <v>44070</v>
      </c>
      <c r="C2125" s="0" t="n">
        <v>83063.698</v>
      </c>
      <c r="D2125" s="0" t="n">
        <v>18060.84</v>
      </c>
      <c r="E2125" s="0" t="n">
        <v>65002.858</v>
      </c>
      <c r="F2125" s="0" t="n">
        <v>43865.537</v>
      </c>
      <c r="G2125" s="0" t="n">
        <v>36425.527</v>
      </c>
      <c r="H2125" s="0" t="n">
        <v>7440.01</v>
      </c>
      <c r="I2125" s="0" t="n">
        <v>951.072</v>
      </c>
      <c r="J2125" s="0" t="n">
        <v>20186.249</v>
      </c>
      <c r="K2125" s="0" t="n">
        <v>70936.5526013889</v>
      </c>
      <c r="L2125" s="0" t="n">
        <v>60871</v>
      </c>
      <c r="M2125" s="0" t="n">
        <v>60660</v>
      </c>
      <c r="N2125" s="0" t="n">
        <v>12</v>
      </c>
      <c r="O2125" s="54" t="n">
        <f aca="false">YEAR(B2125)</f>
        <v>2020</v>
      </c>
      <c r="P2125" s="54" t="n">
        <f aca="false">IF(AND(E2125&gt;=14400,K2125&gt;0,L2125&gt;0),1,0)</f>
        <v>1</v>
      </c>
      <c r="Q2125" s="53" t="n">
        <f aca="false">IF(P2125=1,F2125/E2125*MIN(L2125/K2125,1)*MIN(MAX(M2125/L2125,0),1),0)</f>
        <v>0.577063128406516</v>
      </c>
      <c r="R2125" s="55" t="n">
        <f aca="false">IF(F2125&gt;0,N2125/(F2125/3600),0)</f>
        <v>0.984827793171665</v>
      </c>
    </row>
    <row r="2126" customFormat="false" ht="15" hidden="false" customHeight="false" outlineLevel="0" collapsed="false">
      <c r="A2126" s="0" t="s">
        <v>262</v>
      </c>
      <c r="B2126" s="52" t="n">
        <v>44071</v>
      </c>
      <c r="C2126" s="0" t="n">
        <v>80871.318</v>
      </c>
      <c r="D2126" s="0" t="n">
        <v>12918.319</v>
      </c>
      <c r="E2126" s="0" t="n">
        <v>67952.999</v>
      </c>
      <c r="F2126" s="0" t="n">
        <v>52853.544</v>
      </c>
      <c r="G2126" s="0" t="n">
        <v>41935.583</v>
      </c>
      <c r="H2126" s="0" t="n">
        <v>10917.961</v>
      </c>
      <c r="I2126" s="0" t="n">
        <v>1308.762</v>
      </c>
      <c r="J2126" s="0" t="n">
        <v>13790.693</v>
      </c>
      <c r="K2126" s="0" t="n">
        <v>81041.0546375</v>
      </c>
      <c r="L2126" s="0" t="n">
        <v>70304</v>
      </c>
      <c r="M2126" s="0" t="n">
        <v>70198</v>
      </c>
      <c r="N2126" s="0" t="n">
        <v>26</v>
      </c>
      <c r="O2126" s="54" t="n">
        <f aca="false">YEAR(B2126)</f>
        <v>2020</v>
      </c>
      <c r="P2126" s="54" t="n">
        <f aca="false">IF(AND(E2126&gt;=14400,K2126&gt;0,L2126&gt;0),1,0)</f>
        <v>1</v>
      </c>
      <c r="Q2126" s="53" t="n">
        <f aca="false">IF(P2126=1,F2126/E2126*MIN(L2126/K2126,1)*MIN(MAX(M2126/L2126,0),1),0)</f>
        <v>0.673728842205708</v>
      </c>
      <c r="R2126" s="55" t="n">
        <f aca="false">IF(F2126&gt;0,N2126/(F2126/3600),0)</f>
        <v>1.77093138730678</v>
      </c>
    </row>
    <row r="2127" customFormat="false" ht="15" hidden="false" customHeight="false" outlineLevel="0" collapsed="false">
      <c r="A2127" s="0" t="s">
        <v>262</v>
      </c>
      <c r="B2127" s="52" t="n">
        <v>44072</v>
      </c>
      <c r="C2127" s="0" t="n">
        <v>88173.428</v>
      </c>
      <c r="D2127" s="0" t="n">
        <v>9558.756</v>
      </c>
      <c r="E2127" s="0" t="n">
        <v>78614.672</v>
      </c>
      <c r="F2127" s="0" t="n">
        <v>43430.892</v>
      </c>
      <c r="G2127" s="0" t="n">
        <v>37226.44</v>
      </c>
      <c r="H2127" s="0" t="n">
        <v>6204.452</v>
      </c>
      <c r="I2127" s="0" t="n">
        <v>3879.099</v>
      </c>
      <c r="J2127" s="0" t="n">
        <v>31304.681</v>
      </c>
      <c r="K2127" s="0" t="n">
        <v>74819.6796061111</v>
      </c>
      <c r="L2127" s="0" t="n">
        <v>63702</v>
      </c>
      <c r="M2127" s="0" t="n">
        <v>63639</v>
      </c>
      <c r="N2127" s="0" t="n">
        <v>34</v>
      </c>
      <c r="O2127" s="54" t="n">
        <f aca="false">YEAR(B2127)</f>
        <v>2020</v>
      </c>
      <c r="P2127" s="54" t="n">
        <f aca="false">IF(AND(E2127&gt;=14400,K2127&gt;0,L2127&gt;0),1,0)</f>
        <v>1</v>
      </c>
      <c r="Q2127" s="53" t="n">
        <f aca="false">IF(P2127=1,F2127/E2127*MIN(L2127/K2127,1)*MIN(MAX(M2127/L2127,0),1),0)</f>
        <v>0.469896970361823</v>
      </c>
      <c r="R2127" s="55" t="n">
        <f aca="false">IF(F2127&gt;0,N2127/(F2127/3600),0)</f>
        <v>2.81827046057447</v>
      </c>
    </row>
    <row r="2128" customFormat="false" ht="15" hidden="false" customHeight="false" outlineLevel="0" collapsed="false">
      <c r="A2128" s="0" t="s">
        <v>262</v>
      </c>
      <c r="B2128" s="52" t="n">
        <v>44073</v>
      </c>
      <c r="C2128" s="0" t="n">
        <v>82214.768</v>
      </c>
      <c r="D2128" s="0" t="n">
        <v>17726.74</v>
      </c>
      <c r="E2128" s="0" t="n">
        <v>64488.028</v>
      </c>
      <c r="F2128" s="0" t="n">
        <v>54492.782</v>
      </c>
      <c r="G2128" s="0" t="n">
        <v>49457.11</v>
      </c>
      <c r="H2128" s="0" t="n">
        <v>5035.672</v>
      </c>
      <c r="I2128" s="0" t="n">
        <v>1573.369</v>
      </c>
      <c r="J2128" s="0" t="n">
        <v>8421.877</v>
      </c>
      <c r="K2128" s="0" t="n">
        <v>93387.5010661111</v>
      </c>
      <c r="L2128" s="0" t="n">
        <v>84758</v>
      </c>
      <c r="M2128" s="0" t="n">
        <v>84646</v>
      </c>
      <c r="N2128" s="0" t="n">
        <v>24</v>
      </c>
      <c r="O2128" s="54" t="n">
        <f aca="false">YEAR(B2128)</f>
        <v>2020</v>
      </c>
      <c r="P2128" s="54" t="n">
        <f aca="false">IF(AND(E2128&gt;=14400,K2128&gt;0,L2128&gt;0),1,0)</f>
        <v>1</v>
      </c>
      <c r="Q2128" s="53" t="n">
        <f aca="false">IF(P2128=1,F2128/E2128*MIN(L2128/K2128,1)*MIN(MAX(M2128/L2128,0),1),0)</f>
        <v>0.765909699247238</v>
      </c>
      <c r="R2128" s="55" t="n">
        <f aca="false">IF(F2128&gt;0,N2128/(F2128/3600),0)</f>
        <v>1.58553108923674</v>
      </c>
    </row>
    <row r="2129" customFormat="false" ht="15" hidden="false" customHeight="false" outlineLevel="0" collapsed="false">
      <c r="A2129" s="0" t="s">
        <v>262</v>
      </c>
      <c r="B2129" s="52" t="n">
        <v>44074</v>
      </c>
      <c r="C2129" s="0" t="n">
        <v>87768.039</v>
      </c>
      <c r="D2129" s="0" t="n">
        <v>12316.84</v>
      </c>
      <c r="E2129" s="0" t="n">
        <v>75451.199</v>
      </c>
      <c r="F2129" s="0" t="n">
        <v>60024.415</v>
      </c>
      <c r="G2129" s="0" t="n">
        <v>48695.661</v>
      </c>
      <c r="H2129" s="0" t="n">
        <v>11328.754</v>
      </c>
      <c r="I2129" s="0" t="n">
        <v>1381.01</v>
      </c>
      <c r="J2129" s="0" t="n">
        <v>14045.774</v>
      </c>
      <c r="K2129" s="0" t="n">
        <v>97700.7077416667</v>
      </c>
      <c r="L2129" s="0" t="n">
        <v>82585</v>
      </c>
      <c r="M2129" s="0" t="n">
        <v>82565</v>
      </c>
      <c r="N2129" s="0" t="n">
        <v>12</v>
      </c>
      <c r="O2129" s="54" t="n">
        <f aca="false">YEAR(B2129)</f>
        <v>2020</v>
      </c>
      <c r="P2129" s="54" t="n">
        <f aca="false">IF(AND(E2129&gt;=14400,K2129&gt;0,L2129&gt;0),1,0)</f>
        <v>1</v>
      </c>
      <c r="Q2129" s="53" t="n">
        <f aca="false">IF(P2129=1,F2129/E2129*MIN(L2129/K2129,1)*MIN(MAX(M2129/L2129,0),1),0)</f>
        <v>0.672295285905766</v>
      </c>
      <c r="R2129" s="55" t="n">
        <f aca="false">IF(F2129&gt;0,N2129/(F2129/3600),0)</f>
        <v>0.719707139169953</v>
      </c>
    </row>
    <row r="2130" customFormat="false" ht="15" hidden="false" customHeight="false" outlineLevel="0" collapsed="false">
      <c r="A2130" s="0" t="s">
        <v>262</v>
      </c>
      <c r="B2130" s="52" t="n">
        <v>44075</v>
      </c>
      <c r="C2130" s="0" t="n">
        <v>82277.037</v>
      </c>
      <c r="D2130" s="0" t="n">
        <v>15579.289</v>
      </c>
      <c r="E2130" s="0" t="n">
        <v>66697.748</v>
      </c>
      <c r="F2130" s="0" t="n">
        <v>57231.795</v>
      </c>
      <c r="G2130" s="0" t="n">
        <v>48827.403</v>
      </c>
      <c r="H2130" s="0" t="n">
        <v>8404.392</v>
      </c>
      <c r="I2130" s="0" t="n">
        <v>4143.349</v>
      </c>
      <c r="J2130" s="0" t="n">
        <v>5322.604</v>
      </c>
      <c r="K2130" s="0" t="n">
        <v>99057.7306583333</v>
      </c>
      <c r="L2130" s="0" t="n">
        <v>87105</v>
      </c>
      <c r="M2130" s="0" t="n">
        <v>87077</v>
      </c>
      <c r="N2130" s="0" t="n">
        <v>33</v>
      </c>
      <c r="O2130" s="54" t="n">
        <f aca="false">YEAR(B2130)</f>
        <v>2020</v>
      </c>
      <c r="P2130" s="54" t="n">
        <f aca="false">IF(AND(E2130&gt;=14400,K2130&gt;0,L2130&gt;0),1,0)</f>
        <v>1</v>
      </c>
      <c r="Q2130" s="53" t="n">
        <f aca="false">IF(P2130=1,F2130/E2130*MIN(L2130/K2130,1)*MIN(MAX(M2130/L2130,0),1),0)</f>
        <v>0.754295089554798</v>
      </c>
      <c r="R2130" s="55" t="n">
        <f aca="false">IF(F2130&gt;0,N2130/(F2130/3600),0)</f>
        <v>2.07576924679717</v>
      </c>
    </row>
    <row r="2131" customFormat="false" ht="15" hidden="false" customHeight="false" outlineLevel="0" collapsed="false">
      <c r="A2131" s="0" t="s">
        <v>262</v>
      </c>
      <c r="B2131" s="52" t="n">
        <v>44076</v>
      </c>
      <c r="C2131" s="0" t="n">
        <v>86951.273</v>
      </c>
      <c r="D2131" s="0" t="n">
        <v>15885.97</v>
      </c>
      <c r="E2131" s="0" t="n">
        <v>71065.303</v>
      </c>
      <c r="F2131" s="0" t="n">
        <v>61152.771</v>
      </c>
      <c r="G2131" s="0" t="n">
        <v>49724.849</v>
      </c>
      <c r="H2131" s="0" t="n">
        <v>11427.922</v>
      </c>
      <c r="I2131" s="0" t="n">
        <v>2053.83</v>
      </c>
      <c r="J2131" s="0" t="n">
        <v>7858.702</v>
      </c>
      <c r="K2131" s="0" t="n">
        <v>106576.721707778</v>
      </c>
      <c r="L2131" s="0" t="n">
        <v>89240</v>
      </c>
      <c r="M2131" s="0" t="n">
        <v>88808</v>
      </c>
      <c r="N2131" s="0" t="n">
        <v>35</v>
      </c>
      <c r="O2131" s="54" t="n">
        <f aca="false">YEAR(B2131)</f>
        <v>2020</v>
      </c>
      <c r="P2131" s="54" t="n">
        <f aca="false">IF(AND(E2131&gt;=14400,K2131&gt;0,L2131&gt;0),1,0)</f>
        <v>1</v>
      </c>
      <c r="Q2131" s="53" t="n">
        <f aca="false">IF(P2131=1,F2131/E2131*MIN(L2131/K2131,1)*MIN(MAX(M2131/L2131,0),1),0)</f>
        <v>0.717048053530971</v>
      </c>
      <c r="R2131" s="55" t="n">
        <f aca="false">IF(F2131&gt;0,N2131/(F2131/3600),0)</f>
        <v>2.0604135828939</v>
      </c>
    </row>
    <row r="2132" customFormat="false" ht="15" hidden="false" customHeight="false" outlineLevel="0" collapsed="false">
      <c r="A2132" s="0" t="s">
        <v>262</v>
      </c>
      <c r="B2132" s="52" t="n">
        <v>44077</v>
      </c>
      <c r="C2132" s="0" t="n">
        <v>87685.16</v>
      </c>
      <c r="D2132" s="0" t="n">
        <v>15590.16</v>
      </c>
      <c r="E2132" s="0" t="n">
        <v>72095</v>
      </c>
      <c r="F2132" s="0" t="n">
        <v>53751.106</v>
      </c>
      <c r="G2132" s="0" t="n">
        <v>44587.052</v>
      </c>
      <c r="H2132" s="0" t="n">
        <v>9164.054</v>
      </c>
      <c r="I2132" s="0" t="n">
        <v>2687.189</v>
      </c>
      <c r="J2132" s="0" t="n">
        <v>15656.705</v>
      </c>
      <c r="K2132" s="0" t="n">
        <v>90447.4749972222</v>
      </c>
      <c r="L2132" s="0" t="n">
        <v>78097</v>
      </c>
      <c r="M2132" s="0" t="n">
        <v>77981</v>
      </c>
      <c r="N2132" s="0" t="n">
        <v>28</v>
      </c>
      <c r="O2132" s="54" t="n">
        <f aca="false">YEAR(B2132)</f>
        <v>2020</v>
      </c>
      <c r="P2132" s="54" t="n">
        <f aca="false">IF(AND(E2132&gt;=14400,K2132&gt;0,L2132&gt;0),1,0)</f>
        <v>1</v>
      </c>
      <c r="Q2132" s="53" t="n">
        <f aca="false">IF(P2132=1,F2132/E2132*MIN(L2132/K2132,1)*MIN(MAX(M2132/L2132,0),1),0)</f>
        <v>0.642798140207689</v>
      </c>
      <c r="R2132" s="55" t="n">
        <f aca="false">IF(F2132&gt;0,N2132/(F2132/3600),0)</f>
        <v>1.87531024943003</v>
      </c>
    </row>
    <row r="2133" customFormat="false" ht="15" hidden="false" customHeight="false" outlineLevel="0" collapsed="false">
      <c r="A2133" s="0" t="s">
        <v>262</v>
      </c>
      <c r="B2133" s="52" t="n">
        <v>44078</v>
      </c>
      <c r="C2133" s="0" t="n">
        <v>84629.459</v>
      </c>
      <c r="D2133" s="0" t="n">
        <v>14827.339</v>
      </c>
      <c r="E2133" s="0" t="n">
        <v>69802.12</v>
      </c>
      <c r="F2133" s="0" t="n">
        <v>57344.188</v>
      </c>
      <c r="G2133" s="0" t="n">
        <v>49638.394</v>
      </c>
      <c r="H2133" s="0" t="n">
        <v>7705.794</v>
      </c>
      <c r="I2133" s="0" t="n">
        <v>1061.277</v>
      </c>
      <c r="J2133" s="0" t="n">
        <v>11396.655</v>
      </c>
      <c r="K2133" s="0" t="n">
        <v>94017.2745111111</v>
      </c>
      <c r="L2133" s="0" t="n">
        <v>88756</v>
      </c>
      <c r="M2133" s="0" t="n">
        <v>88561</v>
      </c>
      <c r="N2133" s="0" t="n">
        <v>11</v>
      </c>
      <c r="O2133" s="54" t="n">
        <f aca="false">YEAR(B2133)</f>
        <v>2020</v>
      </c>
      <c r="P2133" s="54" t="n">
        <f aca="false">IF(AND(E2133&gt;=14400,K2133&gt;0,L2133&gt;0),1,0)</f>
        <v>1</v>
      </c>
      <c r="Q2133" s="53" t="n">
        <f aca="false">IF(P2133=1,F2133/E2133*MIN(L2133/K2133,1)*MIN(MAX(M2133/L2133,0),1),0)</f>
        <v>0.773847972489081</v>
      </c>
      <c r="R2133" s="55" t="n">
        <f aca="false">IF(F2133&gt;0,N2133/(F2133/3600),0)</f>
        <v>0.69056693243263</v>
      </c>
    </row>
    <row r="2134" customFormat="false" ht="15" hidden="false" customHeight="false" outlineLevel="0" collapsed="false">
      <c r="A2134" s="0" t="s">
        <v>262</v>
      </c>
      <c r="B2134" s="52" t="n">
        <v>44079</v>
      </c>
      <c r="C2134" s="0" t="n">
        <v>89553.918</v>
      </c>
      <c r="D2134" s="0" t="n">
        <v>10742.839</v>
      </c>
      <c r="E2134" s="0" t="n">
        <v>78811.079</v>
      </c>
      <c r="F2134" s="0" t="n">
        <v>32256.879</v>
      </c>
      <c r="G2134" s="0" t="n">
        <v>28826.547</v>
      </c>
      <c r="H2134" s="0" t="n">
        <v>3430.332</v>
      </c>
      <c r="I2134" s="0" t="n">
        <v>406.38</v>
      </c>
      <c r="J2134" s="0" t="n">
        <v>46147.82</v>
      </c>
      <c r="K2134" s="0" t="n">
        <v>56915.99952</v>
      </c>
      <c r="L2134" s="0" t="n">
        <v>51765</v>
      </c>
      <c r="M2134" s="0" t="n">
        <v>51667</v>
      </c>
      <c r="N2134" s="0" t="n">
        <v>6</v>
      </c>
      <c r="O2134" s="54" t="n">
        <f aca="false">YEAR(B2134)</f>
        <v>2020</v>
      </c>
      <c r="P2134" s="54" t="n">
        <f aca="false">IF(AND(E2134&gt;=14400,K2134&gt;0,L2134&gt;0),1,0)</f>
        <v>1</v>
      </c>
      <c r="Q2134" s="53" t="n">
        <f aca="false">IF(P2134=1,F2134/E2134*MIN(L2134/K2134,1)*MIN(MAX(M2134/L2134,0),1),0)</f>
        <v>0.371547163362491</v>
      </c>
      <c r="R2134" s="55" t="n">
        <f aca="false">IF(F2134&gt;0,N2134/(F2134/3600),0)</f>
        <v>0.669624609374019</v>
      </c>
    </row>
    <row r="2135" customFormat="false" ht="15" hidden="false" customHeight="false" outlineLevel="0" collapsed="false">
      <c r="A2135" s="0" t="s">
        <v>262</v>
      </c>
      <c r="B2135" s="52" t="n">
        <v>44080</v>
      </c>
      <c r="C2135" s="0" t="n">
        <v>79644.81</v>
      </c>
      <c r="D2135" s="0" t="n">
        <v>17799.99</v>
      </c>
      <c r="E2135" s="0" t="n">
        <v>61844.82</v>
      </c>
      <c r="F2135" s="0" t="n">
        <v>51902.39</v>
      </c>
      <c r="G2135" s="0" t="n">
        <v>44222.156</v>
      </c>
      <c r="H2135" s="0" t="n">
        <v>7680.234</v>
      </c>
      <c r="I2135" s="0" t="n">
        <v>1003.834</v>
      </c>
      <c r="J2135" s="0" t="n">
        <v>8938.596</v>
      </c>
      <c r="K2135" s="0" t="n">
        <v>91474.3221027778</v>
      </c>
      <c r="L2135" s="0" t="n">
        <v>77481</v>
      </c>
      <c r="M2135" s="0" t="n">
        <v>77471</v>
      </c>
      <c r="N2135" s="0" t="n">
        <v>12</v>
      </c>
      <c r="O2135" s="54" t="n">
        <f aca="false">YEAR(B2135)</f>
        <v>2020</v>
      </c>
      <c r="P2135" s="54" t="n">
        <f aca="false">IF(AND(E2135&gt;=14400,K2135&gt;0,L2135&gt;0),1,0)</f>
        <v>1</v>
      </c>
      <c r="Q2135" s="53" t="n">
        <f aca="false">IF(P2135=1,F2135/E2135*MIN(L2135/K2135,1)*MIN(MAX(M2135/L2135,0),1),0)</f>
        <v>0.710761653539096</v>
      </c>
      <c r="R2135" s="55" t="n">
        <f aca="false">IF(F2135&gt;0,N2135/(F2135/3600),0)</f>
        <v>0.832331613245556</v>
      </c>
    </row>
    <row r="2136" customFormat="false" ht="15" hidden="false" customHeight="false" outlineLevel="0" collapsed="false">
      <c r="A2136" s="0" t="s">
        <v>262</v>
      </c>
      <c r="B2136" s="52" t="n">
        <v>44081</v>
      </c>
      <c r="C2136" s="0" t="n">
        <v>83329.228</v>
      </c>
      <c r="D2136" s="0" t="n">
        <v>17029.718</v>
      </c>
      <c r="E2136" s="0" t="n">
        <v>66299.51</v>
      </c>
      <c r="F2136" s="0" t="n">
        <v>53751.094</v>
      </c>
      <c r="G2136" s="0" t="n">
        <v>49334.889</v>
      </c>
      <c r="H2136" s="0" t="n">
        <v>4416.205</v>
      </c>
      <c r="I2136" s="0" t="n">
        <v>1906.481</v>
      </c>
      <c r="J2136" s="0" t="n">
        <v>10641.935</v>
      </c>
      <c r="K2136" s="0" t="n">
        <v>92318.9243236111</v>
      </c>
      <c r="L2136" s="0" t="n">
        <v>85710</v>
      </c>
      <c r="M2136" s="0" t="n">
        <v>85443</v>
      </c>
      <c r="N2136" s="0" t="n">
        <v>31</v>
      </c>
      <c r="O2136" s="54" t="n">
        <f aca="false">YEAR(B2136)</f>
        <v>2020</v>
      </c>
      <c r="P2136" s="54" t="n">
        <f aca="false">IF(AND(E2136&gt;=14400,K2136&gt;0,L2136&gt;0),1,0)</f>
        <v>1</v>
      </c>
      <c r="Q2136" s="53" t="n">
        <f aca="false">IF(P2136=1,F2136/E2136*MIN(L2136/K2136,1)*MIN(MAX(M2136/L2136,0),1),0)</f>
        <v>0.750348022292842</v>
      </c>
      <c r="R2136" s="55" t="n">
        <f aca="false">IF(F2136&gt;0,N2136/(F2136/3600),0)</f>
        <v>2.07623681110565</v>
      </c>
    </row>
    <row r="2137" customFormat="false" ht="15" hidden="false" customHeight="false" outlineLevel="0" collapsed="false">
      <c r="A2137" s="0" t="s">
        <v>262</v>
      </c>
      <c r="B2137" s="52" t="n">
        <v>44082</v>
      </c>
      <c r="C2137" s="0" t="n">
        <v>42606.659</v>
      </c>
      <c r="D2137" s="0" t="n">
        <v>7104.81</v>
      </c>
      <c r="E2137" s="0" t="n">
        <v>35501.849</v>
      </c>
      <c r="F2137" s="0" t="n">
        <v>18854.522</v>
      </c>
      <c r="G2137" s="0" t="n">
        <v>13288.676</v>
      </c>
      <c r="H2137" s="0" t="n">
        <v>5565.846</v>
      </c>
      <c r="I2137" s="0" t="n">
        <v>667.189</v>
      </c>
      <c r="J2137" s="0" t="n">
        <v>15980.138</v>
      </c>
      <c r="K2137" s="0" t="n">
        <v>30236.0415422222</v>
      </c>
      <c r="L2137" s="0" t="n">
        <v>22098</v>
      </c>
      <c r="M2137" s="0" t="n">
        <v>22036</v>
      </c>
      <c r="N2137" s="0" t="n">
        <v>12</v>
      </c>
      <c r="O2137" s="54" t="n">
        <f aca="false">YEAR(B2137)</f>
        <v>2020</v>
      </c>
      <c r="P2137" s="54" t="n">
        <f aca="false">IF(AND(E2137&gt;=14400,K2137&gt;0,L2137&gt;0),1,0)</f>
        <v>1</v>
      </c>
      <c r="Q2137" s="53" t="n">
        <f aca="false">IF(P2137=1,F2137/E2137*MIN(L2137/K2137,1)*MIN(MAX(M2137/L2137,0),1),0)</f>
        <v>0.387054734800637</v>
      </c>
      <c r="R2137" s="55" t="n">
        <f aca="false">IF(F2137&gt;0,N2137/(F2137/3600),0)</f>
        <v>2.29122753682114</v>
      </c>
    </row>
    <row r="2138" customFormat="false" ht="15" hidden="false" customHeight="false" outlineLevel="0" collapsed="false">
      <c r="A2138" s="0" t="s">
        <v>262</v>
      </c>
      <c r="B2138" s="52" t="n">
        <v>44083</v>
      </c>
      <c r="C2138" s="0" t="n">
        <v>4289.89</v>
      </c>
      <c r="D2138" s="0" t="n">
        <v>1211.49</v>
      </c>
      <c r="E2138" s="0" t="n">
        <v>3078.4</v>
      </c>
      <c r="F2138" s="0" t="n">
        <v>0</v>
      </c>
      <c r="G2138" s="0" t="n">
        <v>0</v>
      </c>
      <c r="H2138" s="0" t="n">
        <v>0</v>
      </c>
      <c r="I2138" s="0" t="n">
        <v>0</v>
      </c>
      <c r="J2138" s="0" t="n">
        <v>3078.4</v>
      </c>
      <c r="K2138" s="0" t="n">
        <v>0</v>
      </c>
      <c r="L2138" s="0" t="n">
        <v>0</v>
      </c>
      <c r="M2138" s="0" t="n">
        <v>0</v>
      </c>
      <c r="N2138" s="0" t="n">
        <v>0</v>
      </c>
      <c r="O2138" s="54" t="n">
        <f aca="false">YEAR(B2138)</f>
        <v>2020</v>
      </c>
      <c r="P2138" s="54" t="n">
        <f aca="false">IF(AND(E2138&gt;=14400,K2138&gt;0,L2138&gt;0),1,0)</f>
        <v>0</v>
      </c>
      <c r="Q2138" s="53" t="n">
        <f aca="false">IF(P2138=1,F2138/E2138*MIN(L2138/K2138,1)*MIN(MAX(M2138/L2138,0),1),0)</f>
        <v>0</v>
      </c>
      <c r="R2138" s="55" t="n">
        <f aca="false">IF(F2138&gt;0,N2138/(F2138/3600),0)</f>
        <v>0</v>
      </c>
    </row>
    <row r="2139" customFormat="false" ht="15" hidden="false" customHeight="false" outlineLevel="0" collapsed="false">
      <c r="A2139" s="0" t="s">
        <v>262</v>
      </c>
      <c r="B2139" s="52" t="n">
        <v>44084</v>
      </c>
      <c r="C2139" s="0" t="n">
        <v>27306.094</v>
      </c>
      <c r="D2139" s="0" t="n">
        <v>10211.15</v>
      </c>
      <c r="E2139" s="0" t="n">
        <v>17094.944</v>
      </c>
      <c r="F2139" s="0" t="n">
        <v>0</v>
      </c>
      <c r="G2139" s="0" t="n">
        <v>0</v>
      </c>
      <c r="H2139" s="0" t="n">
        <v>0</v>
      </c>
      <c r="I2139" s="0" t="n">
        <v>0</v>
      </c>
      <c r="J2139" s="0" t="n">
        <v>17094.944</v>
      </c>
      <c r="K2139" s="0" t="n">
        <v>0</v>
      </c>
      <c r="L2139" s="0" t="n">
        <v>0</v>
      </c>
      <c r="M2139" s="0" t="n">
        <v>0</v>
      </c>
      <c r="N2139" s="0" t="n">
        <v>0</v>
      </c>
      <c r="O2139" s="54" t="n">
        <f aca="false">YEAR(B2139)</f>
        <v>2020</v>
      </c>
      <c r="P2139" s="54" t="n">
        <f aca="false">IF(AND(E2139&gt;=14400,K2139&gt;0,L2139&gt;0),1,0)</f>
        <v>0</v>
      </c>
      <c r="Q2139" s="53" t="n">
        <f aca="false">IF(P2139=1,F2139/E2139*MIN(L2139/K2139,1)*MIN(MAX(M2139/L2139,0),1),0)</f>
        <v>0</v>
      </c>
      <c r="R2139" s="55" t="n">
        <f aca="false">IF(F2139&gt;0,N2139/(F2139/3600),0)</f>
        <v>0</v>
      </c>
    </row>
    <row r="2140" customFormat="false" ht="15" hidden="false" customHeight="false" outlineLevel="0" collapsed="false">
      <c r="A2140" s="0" t="s">
        <v>262</v>
      </c>
      <c r="B2140" s="52" t="n">
        <v>44085</v>
      </c>
      <c r="C2140" s="0" t="n">
        <v>2426.516</v>
      </c>
      <c r="D2140" s="0" t="n">
        <v>840.676</v>
      </c>
      <c r="E2140" s="0" t="n">
        <v>1585.84</v>
      </c>
      <c r="F2140" s="0" t="n">
        <v>0</v>
      </c>
      <c r="G2140" s="0" t="n">
        <v>0</v>
      </c>
      <c r="H2140" s="0" t="n">
        <v>0</v>
      </c>
      <c r="I2140" s="0" t="n">
        <v>0</v>
      </c>
      <c r="J2140" s="0" t="n">
        <v>1585.84</v>
      </c>
      <c r="K2140" s="0" t="n">
        <v>0</v>
      </c>
      <c r="L2140" s="0" t="n">
        <v>0</v>
      </c>
      <c r="M2140" s="0" t="n">
        <v>0</v>
      </c>
      <c r="N2140" s="0" t="n">
        <v>0</v>
      </c>
      <c r="O2140" s="54" t="n">
        <f aca="false">YEAR(B2140)</f>
        <v>2020</v>
      </c>
      <c r="P2140" s="54" t="n">
        <f aca="false">IF(AND(E2140&gt;=14400,K2140&gt;0,L2140&gt;0),1,0)</f>
        <v>0</v>
      </c>
      <c r="Q2140" s="53" t="n">
        <f aca="false">IF(P2140=1,F2140/E2140*MIN(L2140/K2140,1)*MIN(MAX(M2140/L2140,0),1),0)</f>
        <v>0</v>
      </c>
      <c r="R2140" s="55" t="n">
        <f aca="false">IF(F2140&gt;0,N2140/(F2140/3600),0)</f>
        <v>0</v>
      </c>
    </row>
    <row r="2141" customFormat="false" ht="15" hidden="false" customHeight="false" outlineLevel="0" collapsed="false">
      <c r="A2141" s="0" t="s">
        <v>262</v>
      </c>
      <c r="B2141" s="52" t="n">
        <v>44086</v>
      </c>
      <c r="C2141" s="0" t="n">
        <v>25363.389</v>
      </c>
      <c r="D2141" s="0" t="n">
        <v>23367.21</v>
      </c>
      <c r="E2141" s="0" t="n">
        <v>1996.179</v>
      </c>
      <c r="F2141" s="0" t="n">
        <v>0</v>
      </c>
      <c r="G2141" s="0" t="n">
        <v>0</v>
      </c>
      <c r="H2141" s="0" t="n">
        <v>0</v>
      </c>
      <c r="I2141" s="0" t="n">
        <v>0</v>
      </c>
      <c r="J2141" s="0" t="n">
        <v>1996.179</v>
      </c>
      <c r="K2141" s="0" t="n">
        <v>0</v>
      </c>
      <c r="L2141" s="0" t="n">
        <v>0</v>
      </c>
      <c r="M2141" s="0" t="n">
        <v>0</v>
      </c>
      <c r="N2141" s="0" t="n">
        <v>0</v>
      </c>
      <c r="O2141" s="54" t="n">
        <f aca="false">YEAR(B2141)</f>
        <v>2020</v>
      </c>
      <c r="P2141" s="54" t="n">
        <f aca="false">IF(AND(E2141&gt;=14400,K2141&gt;0,L2141&gt;0),1,0)</f>
        <v>0</v>
      </c>
      <c r="Q2141" s="53" t="n">
        <f aca="false">IF(P2141=1,F2141/E2141*MIN(L2141/K2141,1)*MIN(MAX(M2141/L2141,0),1),0)</f>
        <v>0</v>
      </c>
      <c r="R2141" s="55" t="n">
        <f aca="false">IF(F2141&gt;0,N2141/(F2141/3600),0)</f>
        <v>0</v>
      </c>
    </row>
    <row r="2142" customFormat="false" ht="15" hidden="false" customHeight="false" outlineLevel="0" collapsed="false">
      <c r="A2142" s="0" t="s">
        <v>262</v>
      </c>
      <c r="B2142" s="52" t="n">
        <v>44087</v>
      </c>
      <c r="C2142" s="0" t="n">
        <v>74453.59</v>
      </c>
      <c r="D2142" s="0" t="n">
        <v>5262.97</v>
      </c>
      <c r="E2142" s="0" t="n">
        <v>69190.62</v>
      </c>
      <c r="F2142" s="0" t="n">
        <v>60834.814</v>
      </c>
      <c r="G2142" s="0" t="n">
        <v>51565.039</v>
      </c>
      <c r="H2142" s="0" t="n">
        <v>9269.775</v>
      </c>
      <c r="I2142" s="0" t="n">
        <v>5549.674</v>
      </c>
      <c r="J2142" s="0" t="n">
        <v>2806.132</v>
      </c>
      <c r="K2142" s="0" t="n">
        <v>105425.887396111</v>
      </c>
      <c r="L2142" s="0" t="n">
        <v>88942</v>
      </c>
      <c r="M2142" s="0" t="n">
        <v>88558</v>
      </c>
      <c r="N2142" s="0" t="n">
        <v>47</v>
      </c>
      <c r="O2142" s="54" t="n">
        <f aca="false">YEAR(B2142)</f>
        <v>2020</v>
      </c>
      <c r="P2142" s="54" t="n">
        <f aca="false">IF(AND(E2142&gt;=14400,K2142&gt;0,L2142&gt;0),1,0)</f>
        <v>1</v>
      </c>
      <c r="Q2142" s="53" t="n">
        <f aca="false">IF(P2142=1,F2142/E2142*MIN(L2142/K2142,1)*MIN(MAX(M2142/L2142,0),1),0)</f>
        <v>0.738559513799676</v>
      </c>
      <c r="R2142" s="55" t="n">
        <f aca="false">IF(F2142&gt;0,N2142/(F2142/3600),0)</f>
        <v>2.78130216688096</v>
      </c>
    </row>
    <row r="2143" customFormat="false" ht="15" hidden="false" customHeight="false" outlineLevel="0" collapsed="false">
      <c r="A2143" s="0" t="s">
        <v>262</v>
      </c>
      <c r="B2143" s="52" t="n">
        <v>44088</v>
      </c>
      <c r="C2143" s="0" t="n">
        <v>28530.02</v>
      </c>
      <c r="D2143" s="0" t="n">
        <v>12453.709</v>
      </c>
      <c r="E2143" s="0" t="n">
        <v>16076.311</v>
      </c>
      <c r="F2143" s="0" t="n">
        <v>11949.25</v>
      </c>
      <c r="G2143" s="0" t="n">
        <v>11645.163</v>
      </c>
      <c r="H2143" s="0" t="n">
        <v>304.087</v>
      </c>
      <c r="I2143" s="0" t="n">
        <v>153.111</v>
      </c>
      <c r="J2143" s="0" t="n">
        <v>3973.95</v>
      </c>
      <c r="K2143" s="0" t="n">
        <v>21149.3750036111</v>
      </c>
      <c r="L2143" s="0" t="n">
        <v>20857</v>
      </c>
      <c r="M2143" s="0" t="n">
        <v>20851</v>
      </c>
      <c r="N2143" s="0" t="n">
        <v>2</v>
      </c>
      <c r="O2143" s="54" t="n">
        <f aca="false">YEAR(B2143)</f>
        <v>2020</v>
      </c>
      <c r="P2143" s="54" t="n">
        <f aca="false">IF(AND(E2143&gt;=14400,K2143&gt;0,L2143&gt;0),1,0)</f>
        <v>1</v>
      </c>
      <c r="Q2143" s="53" t="n">
        <f aca="false">IF(P2143=1,F2143/E2143*MIN(L2143/K2143,1)*MIN(MAX(M2143/L2143,0),1),0)</f>
        <v>0.732796858377421</v>
      </c>
      <c r="R2143" s="55" t="n">
        <f aca="false">IF(F2143&gt;0,N2143/(F2143/3600),0)</f>
        <v>0.60254827708852</v>
      </c>
    </row>
    <row r="2144" customFormat="false" ht="15" hidden="false" customHeight="false" outlineLevel="0" collapsed="false">
      <c r="A2144" s="0" t="s">
        <v>262</v>
      </c>
      <c r="B2144" s="52" t="n">
        <v>44089</v>
      </c>
      <c r="C2144" s="0" t="n">
        <v>35266.89</v>
      </c>
      <c r="D2144" s="0" t="n">
        <v>900</v>
      </c>
      <c r="E2144" s="0" t="n">
        <v>34366.89</v>
      </c>
      <c r="F2144" s="0" t="n">
        <v>603.65</v>
      </c>
      <c r="G2144" s="0" t="n">
        <v>5.761</v>
      </c>
      <c r="H2144" s="0" t="n">
        <v>597.889</v>
      </c>
      <c r="I2144" s="0" t="n">
        <v>0</v>
      </c>
      <c r="J2144" s="0" t="n">
        <v>33763.24</v>
      </c>
      <c r="K2144" s="0" t="n">
        <v>528.696791666667</v>
      </c>
      <c r="L2144" s="0" t="n">
        <v>6</v>
      </c>
      <c r="M2144" s="0" t="n">
        <v>0</v>
      </c>
      <c r="N2144" s="0" t="n">
        <v>0</v>
      </c>
      <c r="O2144" s="54" t="n">
        <f aca="false">YEAR(B2144)</f>
        <v>2020</v>
      </c>
      <c r="P2144" s="54" t="n">
        <f aca="false">IF(AND(E2144&gt;=14400,K2144&gt;0,L2144&gt;0),1,0)</f>
        <v>1</v>
      </c>
      <c r="Q2144" s="53" t="n">
        <f aca="false">IF(P2144=1,F2144/E2144*MIN(L2144/K2144,1)*MIN(MAX(M2144/L2144,0),1),0)</f>
        <v>0</v>
      </c>
      <c r="R2144" s="55" t="n">
        <f aca="false">IF(F2144&gt;0,N2144/(F2144/3600),0)</f>
        <v>0</v>
      </c>
    </row>
    <row r="2145" customFormat="false" ht="15" hidden="false" customHeight="false" outlineLevel="0" collapsed="false">
      <c r="A2145" s="0" t="s">
        <v>262</v>
      </c>
      <c r="B2145" s="52" t="n">
        <v>44092</v>
      </c>
      <c r="C2145" s="0" t="n">
        <v>9041.999</v>
      </c>
      <c r="D2145" s="0" t="n">
        <v>0</v>
      </c>
      <c r="E2145" s="0" t="n">
        <v>9041.999</v>
      </c>
      <c r="F2145" s="0" t="n">
        <v>0</v>
      </c>
      <c r="G2145" s="0" t="n">
        <v>0</v>
      </c>
      <c r="H2145" s="0" t="n">
        <v>0</v>
      </c>
      <c r="I2145" s="0" t="n">
        <v>0</v>
      </c>
      <c r="J2145" s="0" t="n">
        <v>9041.999</v>
      </c>
      <c r="K2145" s="0" t="n">
        <v>0</v>
      </c>
      <c r="L2145" s="0" t="n">
        <v>0</v>
      </c>
      <c r="M2145" s="0" t="n">
        <v>0</v>
      </c>
      <c r="N2145" s="0" t="n">
        <v>0</v>
      </c>
      <c r="O2145" s="54" t="n">
        <f aca="false">YEAR(B2145)</f>
        <v>2020</v>
      </c>
      <c r="P2145" s="54" t="n">
        <f aca="false">IF(AND(E2145&gt;=14400,K2145&gt;0,L2145&gt;0),1,0)</f>
        <v>0</v>
      </c>
      <c r="Q2145" s="53" t="n">
        <f aca="false">IF(P2145=1,F2145/E2145*MIN(L2145/K2145,1)*MIN(MAX(M2145/L2145,0),1),0)</f>
        <v>0</v>
      </c>
      <c r="R2145" s="55" t="n">
        <f aca="false">IF(F2145&gt;0,N2145/(F2145/3600),0)</f>
        <v>0</v>
      </c>
    </row>
    <row r="2146" customFormat="false" ht="15" hidden="false" customHeight="false" outlineLevel="0" collapsed="false">
      <c r="A2146" s="0" t="s">
        <v>262</v>
      </c>
      <c r="B2146" s="52" t="n">
        <v>44093</v>
      </c>
      <c r="C2146" s="0" t="n">
        <v>90379.438</v>
      </c>
      <c r="D2146" s="0" t="n">
        <v>7717.311</v>
      </c>
      <c r="E2146" s="0" t="n">
        <v>82662.127</v>
      </c>
      <c r="F2146" s="0" t="n">
        <v>5999.543</v>
      </c>
      <c r="G2146" s="0" t="n">
        <v>75.014</v>
      </c>
      <c r="H2146" s="0" t="n">
        <v>5924.529</v>
      </c>
      <c r="I2146" s="0" t="n">
        <v>715.315</v>
      </c>
      <c r="J2146" s="0" t="n">
        <v>75947.269</v>
      </c>
      <c r="K2146" s="0" t="n">
        <v>4920.00531388889</v>
      </c>
      <c r="L2146" s="0" t="n">
        <v>39</v>
      </c>
      <c r="M2146" s="0" t="n">
        <v>0</v>
      </c>
      <c r="N2146" s="0" t="n">
        <v>10</v>
      </c>
      <c r="O2146" s="54" t="n">
        <f aca="false">YEAR(B2146)</f>
        <v>2020</v>
      </c>
      <c r="P2146" s="54" t="n">
        <f aca="false">IF(AND(E2146&gt;=14400,K2146&gt;0,L2146&gt;0),1,0)</f>
        <v>1</v>
      </c>
      <c r="Q2146" s="53" t="n">
        <f aca="false">IF(P2146=1,F2146/E2146*MIN(L2146/K2146,1)*MIN(MAX(M2146/L2146,0),1),0)</f>
        <v>0</v>
      </c>
      <c r="R2146" s="55" t="n">
        <f aca="false">IF(F2146&gt;0,N2146/(F2146/3600),0)</f>
        <v>6.00045703481082</v>
      </c>
    </row>
    <row r="2147" customFormat="false" ht="15" hidden="false" customHeight="false" outlineLevel="0" collapsed="false">
      <c r="A2147" s="0" t="s">
        <v>262</v>
      </c>
      <c r="B2147" s="52" t="n">
        <v>44094</v>
      </c>
      <c r="C2147" s="0" t="n">
        <v>56406.108</v>
      </c>
      <c r="D2147" s="0" t="n">
        <v>19410.46</v>
      </c>
      <c r="E2147" s="0" t="n">
        <v>36995.648</v>
      </c>
      <c r="F2147" s="0" t="n">
        <v>16369.959</v>
      </c>
      <c r="G2147" s="0" t="n">
        <v>10362.965</v>
      </c>
      <c r="H2147" s="0" t="n">
        <v>6006.994</v>
      </c>
      <c r="I2147" s="0" t="n">
        <v>1125.73</v>
      </c>
      <c r="J2147" s="0" t="n">
        <v>19499.959</v>
      </c>
      <c r="K2147" s="0" t="n">
        <v>20550.619025</v>
      </c>
      <c r="L2147" s="0" t="n">
        <v>16329</v>
      </c>
      <c r="M2147" s="0" t="n">
        <v>16301</v>
      </c>
      <c r="N2147" s="0" t="n">
        <v>9</v>
      </c>
      <c r="O2147" s="54" t="n">
        <f aca="false">YEAR(B2147)</f>
        <v>2020</v>
      </c>
      <c r="P2147" s="54" t="n">
        <f aca="false">IF(AND(E2147&gt;=14400,K2147&gt;0,L2147&gt;0),1,0)</f>
        <v>1</v>
      </c>
      <c r="Q2147" s="53" t="n">
        <f aca="false">IF(P2147=1,F2147/E2147*MIN(L2147/K2147,1)*MIN(MAX(M2147/L2147,0),1),0)</f>
        <v>0.350983170120058</v>
      </c>
      <c r="R2147" s="55" t="n">
        <f aca="false">IF(F2147&gt;0,N2147/(F2147/3600),0)</f>
        <v>1.97923525648415</v>
      </c>
    </row>
    <row r="2148" customFormat="false" ht="15" hidden="false" customHeight="false" outlineLevel="0" collapsed="false">
      <c r="A2148" s="0" t="s">
        <v>262</v>
      </c>
      <c r="B2148" s="52" t="n">
        <v>44095</v>
      </c>
      <c r="C2148" s="0" t="n">
        <v>83939.36</v>
      </c>
      <c r="D2148" s="0" t="n">
        <v>14105.14</v>
      </c>
      <c r="E2148" s="0" t="n">
        <v>69834.22</v>
      </c>
      <c r="F2148" s="0" t="n">
        <v>52035.945</v>
      </c>
      <c r="G2148" s="0" t="n">
        <v>43078.045</v>
      </c>
      <c r="H2148" s="0" t="n">
        <v>8957.9</v>
      </c>
      <c r="I2148" s="0" t="n">
        <v>3407.356</v>
      </c>
      <c r="J2148" s="0" t="n">
        <v>14390.919</v>
      </c>
      <c r="K2148" s="0" t="n">
        <v>90033.2319877778</v>
      </c>
      <c r="L2148" s="0" t="n">
        <v>73756</v>
      </c>
      <c r="M2148" s="0" t="n">
        <v>73371</v>
      </c>
      <c r="N2148" s="0" t="n">
        <v>21</v>
      </c>
      <c r="O2148" s="54" t="n">
        <f aca="false">YEAR(B2148)</f>
        <v>2020</v>
      </c>
      <c r="P2148" s="54" t="n">
        <f aca="false">IF(AND(E2148&gt;=14400,K2148&gt;0,L2148&gt;0),1,0)</f>
        <v>1</v>
      </c>
      <c r="Q2148" s="53" t="n">
        <f aca="false">IF(P2148=1,F2148/E2148*MIN(L2148/K2148,1)*MIN(MAX(M2148/L2148,0),1),0)</f>
        <v>0.60723494589076</v>
      </c>
      <c r="R2148" s="55" t="n">
        <f aca="false">IF(F2148&gt;0,N2148/(F2148/3600),0)</f>
        <v>1.45284187689875</v>
      </c>
    </row>
    <row r="2149" customFormat="false" ht="15" hidden="false" customHeight="false" outlineLevel="0" collapsed="false">
      <c r="A2149" s="0" t="s">
        <v>262</v>
      </c>
      <c r="B2149" s="52" t="n">
        <v>44096</v>
      </c>
      <c r="C2149" s="0" t="n">
        <v>80182.81</v>
      </c>
      <c r="D2149" s="0" t="n">
        <v>305.6</v>
      </c>
      <c r="E2149" s="0" t="n">
        <v>79877.21</v>
      </c>
      <c r="F2149" s="0" t="n">
        <v>65546.796</v>
      </c>
      <c r="G2149" s="0" t="n">
        <v>53461.107</v>
      </c>
      <c r="H2149" s="0" t="n">
        <v>12085.689</v>
      </c>
      <c r="I2149" s="0" t="n">
        <v>2151.002</v>
      </c>
      <c r="J2149" s="0" t="n">
        <v>12179.412</v>
      </c>
      <c r="K2149" s="0" t="n">
        <v>109759.762965556</v>
      </c>
      <c r="L2149" s="0" t="n">
        <v>87864</v>
      </c>
      <c r="M2149" s="0" t="n">
        <v>87674</v>
      </c>
      <c r="N2149" s="0" t="n">
        <v>20</v>
      </c>
      <c r="O2149" s="54" t="n">
        <f aca="false">YEAR(B2149)</f>
        <v>2020</v>
      </c>
      <c r="P2149" s="54" t="n">
        <f aca="false">IF(AND(E2149&gt;=14400,K2149&gt;0,L2149&gt;0),1,0)</f>
        <v>1</v>
      </c>
      <c r="Q2149" s="53" t="n">
        <f aca="false">IF(P2149=1,F2149/E2149*MIN(L2149/K2149,1)*MIN(MAX(M2149/L2149,0),1),0)</f>
        <v>0.655475164443915</v>
      </c>
      <c r="R2149" s="55" t="n">
        <f aca="false">IF(F2149&gt;0,N2149/(F2149/3600),0)</f>
        <v>1.09845186025569</v>
      </c>
    </row>
    <row r="2150" customFormat="false" ht="15" hidden="false" customHeight="false" outlineLevel="0" collapsed="false">
      <c r="A2150" s="0" t="s">
        <v>262</v>
      </c>
      <c r="B2150" s="52" t="n">
        <v>44097</v>
      </c>
      <c r="C2150" s="0" t="n">
        <v>68376.559</v>
      </c>
      <c r="D2150" s="0" t="n">
        <v>12741.578</v>
      </c>
      <c r="E2150" s="0" t="n">
        <v>55634.981</v>
      </c>
      <c r="F2150" s="0" t="n">
        <v>46746.347</v>
      </c>
      <c r="G2150" s="0" t="n">
        <v>41068.279</v>
      </c>
      <c r="H2150" s="0" t="n">
        <v>5678.068</v>
      </c>
      <c r="I2150" s="0" t="n">
        <v>48.18</v>
      </c>
      <c r="J2150" s="0" t="n">
        <v>8840.454</v>
      </c>
      <c r="K2150" s="0" t="n">
        <v>72961.1730027778</v>
      </c>
      <c r="L2150" s="0" t="n">
        <v>67607</v>
      </c>
      <c r="M2150" s="0" t="n">
        <v>67589</v>
      </c>
      <c r="N2150" s="0" t="n">
        <v>3</v>
      </c>
      <c r="O2150" s="54" t="n">
        <f aca="false">YEAR(B2150)</f>
        <v>2020</v>
      </c>
      <c r="P2150" s="54" t="n">
        <f aca="false">IF(AND(E2150&gt;=14400,K2150&gt;0,L2150&gt;0),1,0)</f>
        <v>1</v>
      </c>
      <c r="Q2150" s="53" t="n">
        <f aca="false">IF(P2150=1,F2150/E2150*MIN(L2150/K2150,1)*MIN(MAX(M2150/L2150,0),1),0)</f>
        <v>0.778366162592951</v>
      </c>
      <c r="R2150" s="55" t="n">
        <f aca="false">IF(F2150&gt;0,N2150/(F2150/3600),0)</f>
        <v>0.23103409556259</v>
      </c>
    </row>
    <row r="2151" customFormat="false" ht="15" hidden="false" customHeight="false" outlineLevel="0" collapsed="false">
      <c r="A2151" s="0" t="s">
        <v>262</v>
      </c>
      <c r="B2151" s="52" t="n">
        <v>44098</v>
      </c>
      <c r="C2151" s="0" t="n">
        <v>85125.188</v>
      </c>
      <c r="D2151" s="0" t="n">
        <v>17738.37</v>
      </c>
      <c r="E2151" s="0" t="n">
        <v>67386.818</v>
      </c>
      <c r="F2151" s="0" t="n">
        <v>58214.252</v>
      </c>
      <c r="G2151" s="0" t="n">
        <v>49003.9</v>
      </c>
      <c r="H2151" s="0" t="n">
        <v>9210.352</v>
      </c>
      <c r="I2151" s="0" t="n">
        <v>396.464</v>
      </c>
      <c r="J2151" s="0" t="n">
        <v>8776.102</v>
      </c>
      <c r="K2151" s="0" t="n">
        <v>91741.24151</v>
      </c>
      <c r="L2151" s="0" t="n">
        <v>84651</v>
      </c>
      <c r="M2151" s="0" t="n">
        <v>84307</v>
      </c>
      <c r="N2151" s="0" t="n">
        <v>13</v>
      </c>
      <c r="O2151" s="54" t="n">
        <f aca="false">YEAR(B2151)</f>
        <v>2020</v>
      </c>
      <c r="P2151" s="54" t="n">
        <f aca="false">IF(AND(E2151&gt;=14400,K2151&gt;0,L2151&gt;0),1,0)</f>
        <v>1</v>
      </c>
      <c r="Q2151" s="53" t="n">
        <f aca="false">IF(P2151=1,F2151/E2151*MIN(L2151/K2151,1)*MIN(MAX(M2151/L2151,0),1),0)</f>
        <v>0.793877319329348</v>
      </c>
      <c r="R2151" s="55" t="n">
        <f aca="false">IF(F2151&gt;0,N2151/(F2151/3600),0)</f>
        <v>0.80392684595518</v>
      </c>
    </row>
    <row r="2152" customFormat="false" ht="15" hidden="false" customHeight="false" outlineLevel="0" collapsed="false">
      <c r="A2152" s="0" t="s">
        <v>262</v>
      </c>
      <c r="B2152" s="52" t="n">
        <v>44099</v>
      </c>
      <c r="C2152" s="0" t="n">
        <v>67255.448</v>
      </c>
      <c r="D2152" s="0" t="n">
        <v>4202.6</v>
      </c>
      <c r="E2152" s="0" t="n">
        <v>63052.848</v>
      </c>
      <c r="F2152" s="0" t="n">
        <v>22560.01</v>
      </c>
      <c r="G2152" s="0" t="n">
        <v>17230.275</v>
      </c>
      <c r="H2152" s="0" t="n">
        <v>5329.735</v>
      </c>
      <c r="I2152" s="0" t="n">
        <v>685.824</v>
      </c>
      <c r="J2152" s="0" t="n">
        <v>39807.014</v>
      </c>
      <c r="K2152" s="0" t="n">
        <v>36136.1771494445</v>
      </c>
      <c r="L2152" s="0" t="n">
        <v>29743</v>
      </c>
      <c r="M2152" s="0" t="n">
        <v>29629</v>
      </c>
      <c r="N2152" s="0" t="n">
        <v>8</v>
      </c>
      <c r="O2152" s="54" t="n">
        <f aca="false">YEAR(B2152)</f>
        <v>2020</v>
      </c>
      <c r="P2152" s="54" t="n">
        <f aca="false">IF(AND(E2152&gt;=14400,K2152&gt;0,L2152&gt;0),1,0)</f>
        <v>1</v>
      </c>
      <c r="Q2152" s="53" t="n">
        <f aca="false">IF(P2152=1,F2152/E2152*MIN(L2152/K2152,1)*MIN(MAX(M2152/L2152,0),1),0)</f>
        <v>0.293365721755188</v>
      </c>
      <c r="R2152" s="55" t="n">
        <f aca="false">IF(F2152&gt;0,N2152/(F2152/3600),0)</f>
        <v>1.27659517881419</v>
      </c>
    </row>
    <row r="2153" customFormat="false" ht="15" hidden="false" customHeight="false" outlineLevel="0" collapsed="false">
      <c r="A2153" s="0" t="s">
        <v>262</v>
      </c>
      <c r="B2153" s="52" t="n">
        <v>44101</v>
      </c>
      <c r="C2153" s="0" t="n">
        <v>7177.88</v>
      </c>
      <c r="D2153" s="0" t="n">
        <v>0</v>
      </c>
      <c r="E2153" s="0" t="n">
        <v>7177.88</v>
      </c>
      <c r="F2153" s="0" t="n">
        <v>0</v>
      </c>
      <c r="G2153" s="0" t="n">
        <v>0</v>
      </c>
      <c r="H2153" s="0" t="n">
        <v>0</v>
      </c>
      <c r="I2153" s="0" t="n">
        <v>0</v>
      </c>
      <c r="J2153" s="0" t="n">
        <v>7177.88</v>
      </c>
      <c r="K2153" s="0" t="n">
        <v>0</v>
      </c>
      <c r="L2153" s="0" t="n">
        <v>0</v>
      </c>
      <c r="M2153" s="0" t="n">
        <v>0</v>
      </c>
      <c r="N2153" s="0" t="n">
        <v>0</v>
      </c>
      <c r="O2153" s="54" t="n">
        <f aca="false">YEAR(B2153)</f>
        <v>2020</v>
      </c>
      <c r="P2153" s="54" t="n">
        <f aca="false">IF(AND(E2153&gt;=14400,K2153&gt;0,L2153&gt;0),1,0)</f>
        <v>0</v>
      </c>
      <c r="Q2153" s="53" t="n">
        <f aca="false">IF(P2153=1,F2153/E2153*MIN(L2153/K2153,1)*MIN(MAX(M2153/L2153,0),1),0)</f>
        <v>0</v>
      </c>
      <c r="R2153" s="55" t="n">
        <f aca="false">IF(F2153&gt;0,N2153/(F2153/3600),0)</f>
        <v>0</v>
      </c>
    </row>
    <row r="2154" customFormat="false" ht="15" hidden="false" customHeight="false" outlineLevel="0" collapsed="false">
      <c r="A2154" s="0" t="s">
        <v>262</v>
      </c>
      <c r="B2154" s="52" t="n">
        <v>44102</v>
      </c>
      <c r="C2154" s="0" t="n">
        <v>14784.08</v>
      </c>
      <c r="D2154" s="0" t="n">
        <v>11253.31</v>
      </c>
      <c r="E2154" s="0" t="n">
        <v>3530.77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n">
        <v>3530.77</v>
      </c>
      <c r="K2154" s="0" t="n">
        <v>0</v>
      </c>
      <c r="L2154" s="0" t="n">
        <v>0</v>
      </c>
      <c r="M2154" s="0" t="n">
        <v>0</v>
      </c>
      <c r="N2154" s="0" t="n">
        <v>0</v>
      </c>
      <c r="O2154" s="54" t="n">
        <f aca="false">YEAR(B2154)</f>
        <v>2020</v>
      </c>
      <c r="P2154" s="54" t="n">
        <f aca="false">IF(AND(E2154&gt;=14400,K2154&gt;0,L2154&gt;0),1,0)</f>
        <v>0</v>
      </c>
      <c r="Q2154" s="53" t="n">
        <f aca="false">IF(P2154=1,F2154/E2154*MIN(L2154/K2154,1)*MIN(MAX(M2154/L2154,0),1),0)</f>
        <v>0</v>
      </c>
      <c r="R2154" s="55" t="n">
        <f aca="false">IF(F2154&gt;0,N2154/(F2154/3600),0)</f>
        <v>0</v>
      </c>
    </row>
    <row r="2155" customFormat="false" ht="15" hidden="false" customHeight="false" outlineLevel="0" collapsed="false">
      <c r="A2155" s="0" t="s">
        <v>262</v>
      </c>
      <c r="B2155" s="52" t="n">
        <v>44103</v>
      </c>
      <c r="C2155" s="0" t="n">
        <v>67643.18</v>
      </c>
      <c r="D2155" s="0" t="n">
        <v>20130.889</v>
      </c>
      <c r="E2155" s="0" t="n">
        <v>47512.291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n">
        <v>47512.291</v>
      </c>
      <c r="K2155" s="0" t="n">
        <v>0</v>
      </c>
      <c r="L2155" s="0" t="n">
        <v>0</v>
      </c>
      <c r="M2155" s="0" t="n">
        <v>0</v>
      </c>
      <c r="N2155" s="0" t="n">
        <v>0</v>
      </c>
      <c r="O2155" s="54" t="n">
        <f aca="false">YEAR(B2155)</f>
        <v>2020</v>
      </c>
      <c r="P2155" s="54" t="n">
        <f aca="false">IF(AND(E2155&gt;=14400,K2155&gt;0,L2155&gt;0),1,0)</f>
        <v>0</v>
      </c>
      <c r="Q2155" s="53" t="n">
        <f aca="false">IF(P2155=1,F2155/E2155*MIN(L2155/K2155,1)*MIN(MAX(M2155/L2155,0),1),0)</f>
        <v>0</v>
      </c>
      <c r="R2155" s="55" t="n">
        <f aca="false">IF(F2155&gt;0,N2155/(F2155/3600),0)</f>
        <v>0</v>
      </c>
    </row>
    <row r="2156" customFormat="false" ht="15" hidden="false" customHeight="false" outlineLevel="0" collapsed="false">
      <c r="A2156" s="0" t="s">
        <v>262</v>
      </c>
      <c r="B2156" s="52" t="n">
        <v>44104</v>
      </c>
      <c r="C2156" s="0" t="n">
        <v>87686.305</v>
      </c>
      <c r="D2156" s="0" t="n">
        <v>42.31</v>
      </c>
      <c r="E2156" s="0" t="n">
        <v>87643.995</v>
      </c>
      <c r="F2156" s="0" t="n">
        <v>68298.693</v>
      </c>
      <c r="G2156" s="0" t="n">
        <v>45847.733</v>
      </c>
      <c r="H2156" s="0" t="n">
        <v>22450.96</v>
      </c>
      <c r="I2156" s="0" t="n">
        <v>6097.177</v>
      </c>
      <c r="J2156" s="0" t="n">
        <v>13248.125</v>
      </c>
      <c r="K2156" s="0" t="n">
        <v>106841.250108611</v>
      </c>
      <c r="L2156" s="0" t="n">
        <v>71080</v>
      </c>
      <c r="M2156" s="0" t="n">
        <v>70912</v>
      </c>
      <c r="N2156" s="0" t="n">
        <v>89</v>
      </c>
      <c r="O2156" s="54" t="n">
        <f aca="false">YEAR(B2156)</f>
        <v>2020</v>
      </c>
      <c r="P2156" s="54" t="n">
        <f aca="false">IF(AND(E2156&gt;=14400,K2156&gt;0,L2156&gt;0),1,0)</f>
        <v>1</v>
      </c>
      <c r="Q2156" s="53" t="n">
        <f aca="false">IF(P2156=1,F2156/E2156*MIN(L2156/K2156,1)*MIN(MAX(M2156/L2156,0),1),0)</f>
        <v>0.517214868252407</v>
      </c>
      <c r="R2156" s="55" t="n">
        <f aca="false">IF(F2156&gt;0,N2156/(F2156/3600),0)</f>
        <v>4.69115858483558</v>
      </c>
    </row>
    <row r="2157" customFormat="false" ht="15" hidden="false" customHeight="false" outlineLevel="0" collapsed="false">
      <c r="A2157" s="0" t="s">
        <v>262</v>
      </c>
      <c r="B2157" s="52" t="n">
        <v>44105</v>
      </c>
      <c r="C2157" s="0" t="n">
        <v>85872.186</v>
      </c>
      <c r="D2157" s="0" t="n">
        <v>13094.248</v>
      </c>
      <c r="E2157" s="0" t="n">
        <v>72777.938</v>
      </c>
      <c r="F2157" s="0" t="n">
        <v>54168.901</v>
      </c>
      <c r="G2157" s="0" t="n">
        <v>37458.258</v>
      </c>
      <c r="H2157" s="0" t="n">
        <v>16710.643</v>
      </c>
      <c r="I2157" s="0" t="n">
        <v>1254.493</v>
      </c>
      <c r="J2157" s="0" t="n">
        <v>17354.544</v>
      </c>
      <c r="K2157" s="0" t="n">
        <v>78284.5643886111</v>
      </c>
      <c r="L2157" s="0" t="n">
        <v>55298</v>
      </c>
      <c r="M2157" s="0" t="n">
        <v>55252</v>
      </c>
      <c r="N2157" s="0" t="n">
        <v>26</v>
      </c>
      <c r="O2157" s="54" t="n">
        <f aca="false">YEAR(B2157)</f>
        <v>2020</v>
      </c>
      <c r="P2157" s="54" t="n">
        <f aca="false">IF(AND(E2157&gt;=14400,K2157&gt;0,L2157&gt;0),1,0)</f>
        <v>1</v>
      </c>
      <c r="Q2157" s="53" t="n">
        <f aca="false">IF(P2157=1,F2157/E2157*MIN(L2157/K2157,1)*MIN(MAX(M2157/L2157,0),1),0)</f>
        <v>0.525317830140337</v>
      </c>
      <c r="R2157" s="55" t="n">
        <f aca="false">IF(F2157&gt;0,N2157/(F2157/3600),0)</f>
        <v>1.7279287242693</v>
      </c>
    </row>
    <row r="2158" customFormat="false" ht="15" hidden="false" customHeight="false" outlineLevel="0" collapsed="false">
      <c r="A2158" s="0" t="s">
        <v>262</v>
      </c>
      <c r="B2158" s="52" t="n">
        <v>44106</v>
      </c>
      <c r="C2158" s="0" t="n">
        <v>92195.897</v>
      </c>
      <c r="D2158" s="0" t="n">
        <v>13644.3</v>
      </c>
      <c r="E2158" s="0" t="n">
        <v>78551.597</v>
      </c>
      <c r="F2158" s="0" t="n">
        <v>63589.792</v>
      </c>
      <c r="G2158" s="0" t="n">
        <v>51435.288</v>
      </c>
      <c r="H2158" s="0" t="n">
        <v>12154.504</v>
      </c>
      <c r="I2158" s="0" t="n">
        <v>1671.489</v>
      </c>
      <c r="J2158" s="0" t="n">
        <v>13290.316</v>
      </c>
      <c r="K2158" s="0" t="n">
        <v>107231.907374167</v>
      </c>
      <c r="L2158" s="0" t="n">
        <v>90600</v>
      </c>
      <c r="M2158" s="0" t="n">
        <v>90552</v>
      </c>
      <c r="N2158" s="0" t="n">
        <v>24</v>
      </c>
      <c r="O2158" s="54" t="n">
        <f aca="false">YEAR(B2158)</f>
        <v>2020</v>
      </c>
      <c r="P2158" s="54" t="n">
        <f aca="false">IF(AND(E2158&gt;=14400,K2158&gt;0,L2158&gt;0),1,0)</f>
        <v>1</v>
      </c>
      <c r="Q2158" s="53" t="n">
        <f aca="false">IF(P2158=1,F2158/E2158*MIN(L2158/K2158,1)*MIN(MAX(M2158/L2158,0),1),0)</f>
        <v>0.683606842959453</v>
      </c>
      <c r="R2158" s="55" t="n">
        <f aca="false">IF(F2158&gt;0,N2158/(F2158/3600),0)</f>
        <v>1.35870864304761</v>
      </c>
    </row>
    <row r="2159" customFormat="false" ht="15" hidden="false" customHeight="false" outlineLevel="0" collapsed="false">
      <c r="A2159" s="0" t="s">
        <v>262</v>
      </c>
      <c r="B2159" s="52" t="n">
        <v>44107</v>
      </c>
      <c r="C2159" s="0" t="n">
        <v>28086.84</v>
      </c>
      <c r="D2159" s="0" t="n">
        <v>19193.744</v>
      </c>
      <c r="E2159" s="0" t="n">
        <v>8893.096</v>
      </c>
      <c r="F2159" s="0" t="n">
        <v>4237.75</v>
      </c>
      <c r="G2159" s="0" t="n">
        <v>0</v>
      </c>
      <c r="H2159" s="0" t="n">
        <v>4237.75</v>
      </c>
      <c r="I2159" s="0" t="n">
        <v>0</v>
      </c>
      <c r="J2159" s="0" t="n">
        <v>4655.346</v>
      </c>
      <c r="K2159" s="0" t="n">
        <v>6121.19444444445</v>
      </c>
      <c r="L2159" s="0" t="n">
        <v>0</v>
      </c>
      <c r="M2159" s="0" t="n">
        <v>0</v>
      </c>
      <c r="N2159" s="0" t="n">
        <v>0</v>
      </c>
      <c r="O2159" s="54" t="n">
        <f aca="false">YEAR(B2159)</f>
        <v>2020</v>
      </c>
      <c r="P2159" s="54" t="n">
        <f aca="false">IF(AND(E2159&gt;=14400,K2159&gt;0,L2159&gt;0),1,0)</f>
        <v>0</v>
      </c>
      <c r="Q2159" s="53" t="n">
        <f aca="false">IF(P2159=1,F2159/E2159*MIN(L2159/K2159,1)*MIN(MAX(M2159/L2159,0),1),0)</f>
        <v>0</v>
      </c>
      <c r="R2159" s="55" t="n">
        <f aca="false">IF(F2159&gt;0,N2159/(F2159/3600),0)</f>
        <v>0</v>
      </c>
    </row>
    <row r="2160" customFormat="false" ht="15" hidden="false" customHeight="false" outlineLevel="0" collapsed="false">
      <c r="A2160" s="0" t="s">
        <v>262</v>
      </c>
      <c r="B2160" s="52" t="n">
        <v>44108</v>
      </c>
      <c r="C2160" s="0" t="n">
        <v>71923.129</v>
      </c>
      <c r="D2160" s="0" t="n">
        <v>4718.475</v>
      </c>
      <c r="E2160" s="0" t="n">
        <v>67204.654</v>
      </c>
      <c r="F2160" s="0" t="n">
        <v>59506.883</v>
      </c>
      <c r="G2160" s="0" t="n">
        <v>46817.115</v>
      </c>
      <c r="H2160" s="0" t="n">
        <v>12689.768</v>
      </c>
      <c r="I2160" s="0" t="n">
        <v>1763.12</v>
      </c>
      <c r="J2160" s="0" t="n">
        <v>5934.651</v>
      </c>
      <c r="K2160" s="0" t="n">
        <v>95945.8611680556</v>
      </c>
      <c r="L2160" s="0" t="n">
        <v>78547</v>
      </c>
      <c r="M2160" s="0" t="n">
        <v>78387</v>
      </c>
      <c r="N2160" s="0" t="n">
        <v>23</v>
      </c>
      <c r="O2160" s="54" t="n">
        <f aca="false">YEAR(B2160)</f>
        <v>2020</v>
      </c>
      <c r="P2160" s="54" t="n">
        <f aca="false">IF(AND(E2160&gt;=14400,K2160&gt;0,L2160&gt;0),1,0)</f>
        <v>1</v>
      </c>
      <c r="Q2160" s="53" t="n">
        <f aca="false">IF(P2160=1,F2160/E2160*MIN(L2160/K2160,1)*MIN(MAX(M2160/L2160,0),1),0)</f>
        <v>0.723411904347069</v>
      </c>
      <c r="R2160" s="55" t="n">
        <f aca="false">IF(F2160&gt;0,N2160/(F2160/3600),0)</f>
        <v>1.39143567644099</v>
      </c>
    </row>
    <row r="2161" customFormat="false" ht="15" hidden="false" customHeight="false" outlineLevel="0" collapsed="false">
      <c r="A2161" s="0" t="s">
        <v>262</v>
      </c>
      <c r="B2161" s="52" t="n">
        <v>44109</v>
      </c>
      <c r="C2161" s="0" t="n">
        <v>81538.888</v>
      </c>
      <c r="D2161" s="0" t="n">
        <v>14065.035</v>
      </c>
      <c r="E2161" s="0" t="n">
        <v>67473.853</v>
      </c>
      <c r="F2161" s="0" t="n">
        <v>49645.542</v>
      </c>
      <c r="G2161" s="0" t="n">
        <v>45313.393</v>
      </c>
      <c r="H2161" s="0" t="n">
        <v>4332.149</v>
      </c>
      <c r="I2161" s="0" t="n">
        <v>1739.888</v>
      </c>
      <c r="J2161" s="0" t="n">
        <v>16088.423</v>
      </c>
      <c r="K2161" s="0" t="n">
        <v>85063.5595863889</v>
      </c>
      <c r="L2161" s="0" t="n">
        <v>79109</v>
      </c>
      <c r="M2161" s="0" t="n">
        <v>79102</v>
      </c>
      <c r="N2161" s="0" t="n">
        <v>29</v>
      </c>
      <c r="O2161" s="54" t="n">
        <f aca="false">YEAR(B2161)</f>
        <v>2020</v>
      </c>
      <c r="P2161" s="54" t="n">
        <f aca="false">IF(AND(E2161&gt;=14400,K2161&gt;0,L2161&gt;0),1,0)</f>
        <v>1</v>
      </c>
      <c r="Q2161" s="53" t="n">
        <f aca="false">IF(P2161=1,F2161/E2161*MIN(L2161/K2161,1)*MIN(MAX(M2161/L2161,0),1),0)</f>
        <v>0.684208803326044</v>
      </c>
      <c r="R2161" s="55" t="n">
        <f aca="false">IF(F2161&gt;0,N2161/(F2161/3600),0)</f>
        <v>2.10290785021543</v>
      </c>
    </row>
    <row r="2162" customFormat="false" ht="15" hidden="false" customHeight="false" outlineLevel="0" collapsed="false">
      <c r="A2162" s="0" t="s">
        <v>262</v>
      </c>
      <c r="B2162" s="52" t="n">
        <v>44110</v>
      </c>
      <c r="C2162" s="0" t="n">
        <v>86298.886</v>
      </c>
      <c r="D2162" s="0" t="n">
        <v>17393.147</v>
      </c>
      <c r="E2162" s="0" t="n">
        <v>68905.739</v>
      </c>
      <c r="F2162" s="0" t="n">
        <v>40708.98</v>
      </c>
      <c r="G2162" s="0" t="n">
        <v>31566.783</v>
      </c>
      <c r="H2162" s="0" t="n">
        <v>9142.197</v>
      </c>
      <c r="I2162" s="0" t="n">
        <v>1538.468</v>
      </c>
      <c r="J2162" s="0" t="n">
        <v>26658.291</v>
      </c>
      <c r="K2162" s="0" t="n">
        <v>65847.3731036111</v>
      </c>
      <c r="L2162" s="0" t="n">
        <v>53731</v>
      </c>
      <c r="M2162" s="0" t="n">
        <v>53616</v>
      </c>
      <c r="N2162" s="0" t="n">
        <v>22</v>
      </c>
      <c r="O2162" s="54" t="n">
        <f aca="false">YEAR(B2162)</f>
        <v>2020</v>
      </c>
      <c r="P2162" s="54" t="n">
        <f aca="false">IF(AND(E2162&gt;=14400,K2162&gt;0,L2162&gt;0),1,0)</f>
        <v>1</v>
      </c>
      <c r="Q2162" s="53" t="n">
        <f aca="false">IF(P2162=1,F2162/E2162*MIN(L2162/K2162,1)*MIN(MAX(M2162/L2162,0),1),0)</f>
        <v>0.481050624235858</v>
      </c>
      <c r="R2162" s="55" t="n">
        <f aca="false">IF(F2162&gt;0,N2162/(F2162/3600),0)</f>
        <v>1.94551668943806</v>
      </c>
    </row>
    <row r="2163" customFormat="false" ht="15" hidden="false" customHeight="false" outlineLevel="0" collapsed="false">
      <c r="A2163" s="0" t="s">
        <v>262</v>
      </c>
      <c r="B2163" s="52" t="n">
        <v>44111</v>
      </c>
      <c r="C2163" s="0" t="n">
        <v>84857.64</v>
      </c>
      <c r="D2163" s="0" t="n">
        <v>14896.25</v>
      </c>
      <c r="E2163" s="0" t="n">
        <v>69961.39</v>
      </c>
      <c r="F2163" s="0" t="n">
        <v>59291.407</v>
      </c>
      <c r="G2163" s="0" t="n">
        <v>48164.051</v>
      </c>
      <c r="H2163" s="0" t="n">
        <v>11127.356</v>
      </c>
      <c r="I2163" s="0" t="n">
        <v>2614.721</v>
      </c>
      <c r="J2163" s="0" t="n">
        <v>8055.262</v>
      </c>
      <c r="K2163" s="0" t="n">
        <v>102449.157841667</v>
      </c>
      <c r="L2163" s="0" t="n">
        <v>84650</v>
      </c>
      <c r="M2163" s="0" t="n">
        <v>84603</v>
      </c>
      <c r="N2163" s="0" t="n">
        <v>43</v>
      </c>
      <c r="O2163" s="54" t="n">
        <f aca="false">YEAR(B2163)</f>
        <v>2020</v>
      </c>
      <c r="P2163" s="54" t="n">
        <f aca="false">IF(AND(E2163&gt;=14400,K2163&gt;0,L2163&gt;0),1,0)</f>
        <v>1</v>
      </c>
      <c r="Q2163" s="53" t="n">
        <f aca="false">IF(P2163=1,F2163/E2163*MIN(L2163/K2163,1)*MIN(MAX(M2163/L2163,0),1),0)</f>
        <v>0.699859234534409</v>
      </c>
      <c r="R2163" s="55" t="n">
        <f aca="false">IF(F2163&gt;0,N2163/(F2163/3600),0)</f>
        <v>2.6108336406994</v>
      </c>
    </row>
    <row r="2164" customFormat="false" ht="15" hidden="false" customHeight="false" outlineLevel="0" collapsed="false">
      <c r="A2164" s="0" t="s">
        <v>262</v>
      </c>
      <c r="B2164" s="52" t="n">
        <v>44112</v>
      </c>
      <c r="C2164" s="0" t="n">
        <v>90060.334</v>
      </c>
      <c r="D2164" s="0" t="n">
        <v>13596.458</v>
      </c>
      <c r="E2164" s="0" t="n">
        <v>76463.876</v>
      </c>
      <c r="F2164" s="0" t="n">
        <v>63367.148</v>
      </c>
      <c r="G2164" s="0" t="n">
        <v>52969.91</v>
      </c>
      <c r="H2164" s="0" t="n">
        <v>10397.238</v>
      </c>
      <c r="I2164" s="0" t="n">
        <v>1426.934</v>
      </c>
      <c r="J2164" s="0" t="n">
        <v>11669.794</v>
      </c>
      <c r="K2164" s="0" t="n">
        <v>105027.955808889</v>
      </c>
      <c r="L2164" s="0" t="n">
        <v>92033</v>
      </c>
      <c r="M2164" s="0" t="n">
        <v>91984</v>
      </c>
      <c r="N2164" s="0" t="n">
        <v>15</v>
      </c>
      <c r="O2164" s="54" t="n">
        <f aca="false">YEAR(B2164)</f>
        <v>2020</v>
      </c>
      <c r="P2164" s="54" t="n">
        <f aca="false">IF(AND(E2164&gt;=14400,K2164&gt;0,L2164&gt;0),1,0)</f>
        <v>1</v>
      </c>
      <c r="Q2164" s="53" t="n">
        <f aca="false">IF(P2164=1,F2164/E2164*MIN(L2164/K2164,1)*MIN(MAX(M2164/L2164,0),1),0)</f>
        <v>0.725797103488929</v>
      </c>
      <c r="R2164" s="55" t="n">
        <f aca="false">IF(F2164&gt;0,N2164/(F2164/3600),0)</f>
        <v>0.852176588411396</v>
      </c>
    </row>
    <row r="2165" customFormat="false" ht="15" hidden="false" customHeight="false" outlineLevel="0" collapsed="false">
      <c r="A2165" s="0" t="s">
        <v>262</v>
      </c>
      <c r="B2165" s="52" t="n">
        <v>44113</v>
      </c>
      <c r="C2165" s="0" t="n">
        <v>82506.738</v>
      </c>
      <c r="D2165" s="0" t="n">
        <v>16876.105</v>
      </c>
      <c r="E2165" s="0" t="n">
        <v>65630.633</v>
      </c>
      <c r="F2165" s="0" t="n">
        <v>53337.878</v>
      </c>
      <c r="G2165" s="0" t="n">
        <v>47709.675</v>
      </c>
      <c r="H2165" s="0" t="n">
        <v>5628.203</v>
      </c>
      <c r="I2165" s="0" t="n">
        <v>386.641</v>
      </c>
      <c r="J2165" s="0" t="n">
        <v>11906.114</v>
      </c>
      <c r="K2165" s="0" t="n">
        <v>90326.8538475</v>
      </c>
      <c r="L2165" s="0" t="n">
        <v>84964</v>
      </c>
      <c r="M2165" s="0" t="n">
        <v>84941</v>
      </c>
      <c r="N2165" s="0" t="n">
        <v>5</v>
      </c>
      <c r="O2165" s="54" t="n">
        <f aca="false">YEAR(B2165)</f>
        <v>2020</v>
      </c>
      <c r="P2165" s="54" t="n">
        <f aca="false">IF(AND(E2165&gt;=14400,K2165&gt;0,L2165&gt;0),1,0)</f>
        <v>1</v>
      </c>
      <c r="Q2165" s="53" t="n">
        <f aca="false">IF(P2165=1,F2165/E2165*MIN(L2165/K2165,1)*MIN(MAX(M2165/L2165,0),1),0)</f>
        <v>0.764239756861465</v>
      </c>
      <c r="R2165" s="55" t="n">
        <f aca="false">IF(F2165&gt;0,N2165/(F2165/3600),0)</f>
        <v>0.337471243231686</v>
      </c>
    </row>
    <row r="2166" customFormat="false" ht="15" hidden="false" customHeight="false" outlineLevel="0" collapsed="false">
      <c r="A2166" s="0" t="s">
        <v>262</v>
      </c>
      <c r="B2166" s="52" t="n">
        <v>44114</v>
      </c>
      <c r="C2166" s="0" t="n">
        <v>90470.278</v>
      </c>
      <c r="D2166" s="0" t="n">
        <v>15639.027</v>
      </c>
      <c r="E2166" s="0" t="n">
        <v>74831.251</v>
      </c>
      <c r="F2166" s="0" t="n">
        <v>35006.331</v>
      </c>
      <c r="G2166" s="0" t="n">
        <v>31381.194</v>
      </c>
      <c r="H2166" s="0" t="n">
        <v>3625.137</v>
      </c>
      <c r="I2166" s="0" t="n">
        <v>340.234</v>
      </c>
      <c r="J2166" s="0" t="n">
        <v>39484.686</v>
      </c>
      <c r="K2166" s="0" t="n">
        <v>59757.258725</v>
      </c>
      <c r="L2166" s="0" t="n">
        <v>55918</v>
      </c>
      <c r="M2166" s="0" t="n">
        <v>55906</v>
      </c>
      <c r="N2166" s="0" t="n">
        <v>6</v>
      </c>
      <c r="O2166" s="54" t="n">
        <f aca="false">YEAR(B2166)</f>
        <v>2020</v>
      </c>
      <c r="P2166" s="54" t="n">
        <f aca="false">IF(AND(E2166&gt;=14400,K2166&gt;0,L2166&gt;0),1,0)</f>
        <v>1</v>
      </c>
      <c r="Q2166" s="53" t="n">
        <f aca="false">IF(P2166=1,F2166/E2166*MIN(L2166/K2166,1)*MIN(MAX(M2166/L2166,0),1),0)</f>
        <v>0.437654444078225</v>
      </c>
      <c r="R2166" s="55" t="n">
        <f aca="false">IF(F2166&gt;0,N2166/(F2166/3600),0)</f>
        <v>0.617031245005368</v>
      </c>
    </row>
    <row r="2167" customFormat="false" ht="15" hidden="false" customHeight="false" outlineLevel="0" collapsed="false">
      <c r="A2167" s="0" t="s">
        <v>262</v>
      </c>
      <c r="B2167" s="52" t="n">
        <v>44115</v>
      </c>
      <c r="C2167" s="0" t="n">
        <v>81731.827</v>
      </c>
      <c r="D2167" s="0" t="n">
        <v>17358.439</v>
      </c>
      <c r="E2167" s="0" t="n">
        <v>64373.388</v>
      </c>
      <c r="F2167" s="0" t="n">
        <v>51845.869</v>
      </c>
      <c r="G2167" s="0" t="n">
        <v>34000.552</v>
      </c>
      <c r="H2167" s="0" t="n">
        <v>17845.317</v>
      </c>
      <c r="I2167" s="0" t="n">
        <v>1975.568</v>
      </c>
      <c r="J2167" s="0" t="n">
        <v>10551.951</v>
      </c>
      <c r="K2167" s="0" t="n">
        <v>80142.7531702778</v>
      </c>
      <c r="L2167" s="0" t="n">
        <v>56078</v>
      </c>
      <c r="M2167" s="0" t="n">
        <v>55936</v>
      </c>
      <c r="N2167" s="0" t="n">
        <v>11</v>
      </c>
      <c r="O2167" s="54" t="n">
        <f aca="false">YEAR(B2167)</f>
        <v>2020</v>
      </c>
      <c r="P2167" s="54" t="n">
        <f aca="false">IF(AND(E2167&gt;=14400,K2167&gt;0,L2167&gt;0),1,0)</f>
        <v>1</v>
      </c>
      <c r="Q2167" s="53" t="n">
        <f aca="false">IF(P2167=1,F2167/E2167*MIN(L2167/K2167,1)*MIN(MAX(M2167/L2167,0),1),0)</f>
        <v>0.562127639899827</v>
      </c>
      <c r="R2167" s="55" t="n">
        <f aca="false">IF(F2167&gt;0,N2167/(F2167/3600),0)</f>
        <v>0.763802415964906</v>
      </c>
    </row>
    <row r="2168" customFormat="false" ht="15" hidden="false" customHeight="false" outlineLevel="0" collapsed="false">
      <c r="A2168" s="0" t="s">
        <v>262</v>
      </c>
      <c r="B2168" s="52" t="n">
        <v>44116</v>
      </c>
      <c r="C2168" s="0" t="n">
        <v>86370.081</v>
      </c>
      <c r="D2168" s="0" t="n">
        <v>0</v>
      </c>
      <c r="E2168" s="0" t="n">
        <v>86370.081</v>
      </c>
      <c r="F2168" s="0" t="n">
        <v>60645.828</v>
      </c>
      <c r="G2168" s="0" t="n">
        <v>43142.395</v>
      </c>
      <c r="H2168" s="0" t="n">
        <v>17503.433</v>
      </c>
      <c r="I2168" s="0" t="n">
        <v>6002.07</v>
      </c>
      <c r="J2168" s="0" t="n">
        <v>19722.183</v>
      </c>
      <c r="K2168" s="0" t="n">
        <v>85932.5932611111</v>
      </c>
      <c r="L2168" s="0" t="n">
        <v>64620</v>
      </c>
      <c r="M2168" s="0" t="n">
        <v>64515</v>
      </c>
      <c r="N2168" s="0" t="n">
        <v>70</v>
      </c>
      <c r="O2168" s="54" t="n">
        <f aca="false">YEAR(B2168)</f>
        <v>2020</v>
      </c>
      <c r="P2168" s="54" t="n">
        <f aca="false">IF(AND(E2168&gt;=14400,K2168&gt;0,L2168&gt;0),1,0)</f>
        <v>1</v>
      </c>
      <c r="Q2168" s="53" t="n">
        <f aca="false">IF(P2168=1,F2168/E2168*MIN(L2168/K2168,1)*MIN(MAX(M2168/L2168,0),1),0)</f>
        <v>0.527157496130621</v>
      </c>
      <c r="R2168" s="55" t="n">
        <f aca="false">IF(F2168&gt;0,N2168/(F2168/3600),0)</f>
        <v>4.15527346745105</v>
      </c>
    </row>
    <row r="2169" customFormat="false" ht="15" hidden="false" customHeight="false" outlineLevel="0" collapsed="false">
      <c r="A2169" s="0" t="s">
        <v>262</v>
      </c>
      <c r="B2169" s="52" t="n">
        <v>44117</v>
      </c>
      <c r="C2169" s="0" t="n">
        <v>28798.766</v>
      </c>
      <c r="D2169" s="0" t="n">
        <v>12137.113</v>
      </c>
      <c r="E2169" s="0" t="n">
        <v>16661.653</v>
      </c>
      <c r="F2169" s="0" t="n">
        <v>37.25</v>
      </c>
      <c r="G2169" s="0" t="n">
        <v>0</v>
      </c>
      <c r="H2169" s="0" t="n">
        <v>37.25</v>
      </c>
      <c r="I2169" s="0" t="n">
        <v>0</v>
      </c>
      <c r="J2169" s="0" t="n">
        <v>16624.403</v>
      </c>
      <c r="K2169" s="0" t="n">
        <v>57.17875</v>
      </c>
      <c r="L2169" s="0" t="n">
        <v>0</v>
      </c>
      <c r="M2169" s="0" t="n">
        <v>0</v>
      </c>
      <c r="N2169" s="0" t="n">
        <v>0</v>
      </c>
      <c r="O2169" s="54" t="n">
        <f aca="false">YEAR(B2169)</f>
        <v>2020</v>
      </c>
      <c r="P2169" s="54" t="n">
        <f aca="false">IF(AND(E2169&gt;=14400,K2169&gt;0,L2169&gt;0),1,0)</f>
        <v>0</v>
      </c>
      <c r="Q2169" s="53" t="n">
        <f aca="false">IF(P2169=1,F2169/E2169*MIN(L2169/K2169,1)*MIN(MAX(M2169/L2169,0),1),0)</f>
        <v>0</v>
      </c>
      <c r="R2169" s="55" t="n">
        <f aca="false">IF(F2169&gt;0,N2169/(F2169/3600),0)</f>
        <v>0</v>
      </c>
    </row>
    <row r="2170" customFormat="false" ht="15" hidden="false" customHeight="false" outlineLevel="0" collapsed="false">
      <c r="A2170" s="0" t="s">
        <v>262</v>
      </c>
      <c r="B2170" s="52" t="n">
        <v>44118</v>
      </c>
      <c r="C2170" s="0" t="n">
        <v>31290.611</v>
      </c>
      <c r="D2170" s="0" t="n">
        <v>11328.17</v>
      </c>
      <c r="E2170" s="0" t="n">
        <v>19962.441</v>
      </c>
      <c r="F2170" s="0" t="n">
        <v>0</v>
      </c>
      <c r="G2170" s="0" t="n">
        <v>0</v>
      </c>
      <c r="H2170" s="0" t="n">
        <v>0</v>
      </c>
      <c r="I2170" s="0" t="n">
        <v>0</v>
      </c>
      <c r="J2170" s="0" t="n">
        <v>19962.441</v>
      </c>
      <c r="K2170" s="0" t="n">
        <v>0</v>
      </c>
      <c r="L2170" s="0" t="n">
        <v>0</v>
      </c>
      <c r="M2170" s="0" t="n">
        <v>0</v>
      </c>
      <c r="N2170" s="0" t="n">
        <v>0</v>
      </c>
      <c r="O2170" s="54" t="n">
        <f aca="false">YEAR(B2170)</f>
        <v>2020</v>
      </c>
      <c r="P2170" s="54" t="n">
        <f aca="false">IF(AND(E2170&gt;=14400,K2170&gt;0,L2170&gt;0),1,0)</f>
        <v>0</v>
      </c>
      <c r="Q2170" s="53" t="n">
        <f aca="false">IF(P2170=1,F2170/E2170*MIN(L2170/K2170,1)*MIN(MAX(M2170/L2170,0),1),0)</f>
        <v>0</v>
      </c>
      <c r="R2170" s="55" t="n">
        <f aca="false">IF(F2170&gt;0,N2170/(F2170/3600),0)</f>
        <v>0</v>
      </c>
    </row>
    <row r="2171" customFormat="false" ht="15" hidden="false" customHeight="false" outlineLevel="0" collapsed="false">
      <c r="A2171" s="0" t="s">
        <v>262</v>
      </c>
      <c r="B2171" s="52" t="n">
        <v>44119</v>
      </c>
      <c r="C2171" s="0" t="n">
        <v>51696.938</v>
      </c>
      <c r="D2171" s="0" t="n">
        <v>27866.01</v>
      </c>
      <c r="E2171" s="0" t="n">
        <v>23830.928</v>
      </c>
      <c r="F2171" s="0" t="n">
        <v>16774.994</v>
      </c>
      <c r="G2171" s="0" t="n">
        <v>10425.434</v>
      </c>
      <c r="H2171" s="0" t="n">
        <v>6349.56</v>
      </c>
      <c r="I2171" s="0" t="n">
        <v>429.611</v>
      </c>
      <c r="J2171" s="0" t="n">
        <v>6626.323</v>
      </c>
      <c r="K2171" s="0" t="n">
        <v>25559.8571761111</v>
      </c>
      <c r="L2171" s="0" t="n">
        <v>17530</v>
      </c>
      <c r="M2171" s="0" t="n">
        <v>17506</v>
      </c>
      <c r="N2171" s="0" t="n">
        <v>5</v>
      </c>
      <c r="O2171" s="54" t="n">
        <f aca="false">YEAR(B2171)</f>
        <v>2020</v>
      </c>
      <c r="P2171" s="54" t="n">
        <f aca="false">IF(AND(E2171&gt;=14400,K2171&gt;0,L2171&gt;0),1,0)</f>
        <v>1</v>
      </c>
      <c r="Q2171" s="53" t="n">
        <f aca="false">IF(P2171=1,F2171/E2171*MIN(L2171/K2171,1)*MIN(MAX(M2171/L2171,0),1),0)</f>
        <v>0.482114196847276</v>
      </c>
      <c r="R2171" s="55" t="n">
        <f aca="false">IF(F2171&gt;0,N2171/(F2171/3600),0)</f>
        <v>1.07302571911501</v>
      </c>
    </row>
    <row r="2172" customFormat="false" ht="15" hidden="false" customHeight="false" outlineLevel="0" collapsed="false">
      <c r="A2172" s="0" t="s">
        <v>262</v>
      </c>
      <c r="B2172" s="52" t="n">
        <v>44120</v>
      </c>
      <c r="C2172" s="0" t="n">
        <v>88186.598</v>
      </c>
      <c r="D2172" s="0" t="n">
        <v>9700.619</v>
      </c>
      <c r="E2172" s="0" t="n">
        <v>78485.979</v>
      </c>
      <c r="F2172" s="0" t="n">
        <v>63111.84</v>
      </c>
      <c r="G2172" s="0" t="n">
        <v>53005.563</v>
      </c>
      <c r="H2172" s="0" t="n">
        <v>10106.277</v>
      </c>
      <c r="I2172" s="0" t="n">
        <v>3191.089</v>
      </c>
      <c r="J2172" s="0" t="n">
        <v>12183.05</v>
      </c>
      <c r="K2172" s="0" t="n">
        <v>110041.416183889</v>
      </c>
      <c r="L2172" s="0" t="n">
        <v>93974</v>
      </c>
      <c r="M2172" s="0" t="n">
        <v>93885</v>
      </c>
      <c r="N2172" s="0" t="n">
        <v>31</v>
      </c>
      <c r="O2172" s="54" t="n">
        <f aca="false">YEAR(B2172)</f>
        <v>2020</v>
      </c>
      <c r="P2172" s="54" t="n">
        <f aca="false">IF(AND(E2172&gt;=14400,K2172&gt;0,L2172&gt;0),1,0)</f>
        <v>1</v>
      </c>
      <c r="Q2172" s="53" t="n">
        <f aca="false">IF(P2172=1,F2172/E2172*MIN(L2172/K2172,1)*MIN(MAX(M2172/L2172,0),1),0)</f>
        <v>0.68605479153443</v>
      </c>
      <c r="R2172" s="55" t="n">
        <f aca="false">IF(F2172&gt;0,N2172/(F2172/3600),0)</f>
        <v>1.76828943665721</v>
      </c>
    </row>
    <row r="2173" customFormat="false" ht="15" hidden="false" customHeight="false" outlineLevel="0" collapsed="false">
      <c r="A2173" s="0" t="s">
        <v>262</v>
      </c>
      <c r="B2173" s="52" t="n">
        <v>44121</v>
      </c>
      <c r="C2173" s="0" t="n">
        <v>90663.495</v>
      </c>
      <c r="D2173" s="0" t="n">
        <v>14785.47</v>
      </c>
      <c r="E2173" s="0" t="n">
        <v>75878.025</v>
      </c>
      <c r="F2173" s="0" t="n">
        <v>62994.574</v>
      </c>
      <c r="G2173" s="0" t="n">
        <v>56012.469</v>
      </c>
      <c r="H2173" s="0" t="n">
        <v>6982.105</v>
      </c>
      <c r="I2173" s="0" t="n">
        <v>6247.634</v>
      </c>
      <c r="J2173" s="0" t="n">
        <v>6635.817</v>
      </c>
      <c r="K2173" s="0" t="n">
        <v>108064.427277222</v>
      </c>
      <c r="L2173" s="0" t="n">
        <v>99171</v>
      </c>
      <c r="M2173" s="0" t="n">
        <v>99114</v>
      </c>
      <c r="N2173" s="0" t="n">
        <v>51</v>
      </c>
      <c r="O2173" s="54" t="n">
        <f aca="false">YEAR(B2173)</f>
        <v>2020</v>
      </c>
      <c r="P2173" s="54" t="n">
        <f aca="false">IF(AND(E2173&gt;=14400,K2173&gt;0,L2173&gt;0),1,0)</f>
        <v>1</v>
      </c>
      <c r="Q2173" s="53" t="n">
        <f aca="false">IF(P2173=1,F2173/E2173*MIN(L2173/K2173,1)*MIN(MAX(M2173/L2173,0),1),0)</f>
        <v>0.761446460995496</v>
      </c>
      <c r="R2173" s="55" t="n">
        <f aca="false">IF(F2173&gt;0,N2173/(F2173/3600),0)</f>
        <v>2.91453673454479</v>
      </c>
    </row>
    <row r="2174" customFormat="false" ht="15" hidden="false" customHeight="false" outlineLevel="0" collapsed="false">
      <c r="A2174" s="0" t="s">
        <v>262</v>
      </c>
      <c r="B2174" s="52" t="n">
        <v>44122</v>
      </c>
      <c r="C2174" s="0" t="n">
        <v>67839.761</v>
      </c>
      <c r="D2174" s="0" t="n">
        <v>14552.769</v>
      </c>
      <c r="E2174" s="0" t="n">
        <v>53286.992</v>
      </c>
      <c r="F2174" s="0" t="n">
        <v>40099.298</v>
      </c>
      <c r="G2174" s="0" t="n">
        <v>32943.386</v>
      </c>
      <c r="H2174" s="0" t="n">
        <v>7155.912</v>
      </c>
      <c r="I2174" s="0" t="n">
        <v>2048.244</v>
      </c>
      <c r="J2174" s="0" t="n">
        <v>11139.45</v>
      </c>
      <c r="K2174" s="0" t="n">
        <v>70335.5440691667</v>
      </c>
      <c r="L2174" s="0" t="n">
        <v>57533</v>
      </c>
      <c r="M2174" s="0" t="n">
        <v>57529</v>
      </c>
      <c r="N2174" s="0" t="n">
        <v>23</v>
      </c>
      <c r="O2174" s="54" t="n">
        <f aca="false">YEAR(B2174)</f>
        <v>2020</v>
      </c>
      <c r="P2174" s="54" t="n">
        <f aca="false">IF(AND(E2174&gt;=14400,K2174&gt;0,L2174&gt;0),1,0)</f>
        <v>1</v>
      </c>
      <c r="Q2174" s="53" t="n">
        <f aca="false">IF(P2174=1,F2174/E2174*MIN(L2174/K2174,1)*MIN(MAX(M2174/L2174,0),1),0)</f>
        <v>0.615499264072307</v>
      </c>
      <c r="R2174" s="55" t="n">
        <f aca="false">IF(F2174&gt;0,N2174/(F2174/3600),0)</f>
        <v>2.06487405340612</v>
      </c>
    </row>
    <row r="2175" customFormat="false" ht="15" hidden="false" customHeight="false" outlineLevel="0" collapsed="false">
      <c r="A2175" s="0" t="s">
        <v>262</v>
      </c>
      <c r="B2175" s="52" t="n">
        <v>44123</v>
      </c>
      <c r="C2175" s="0" t="n">
        <v>83167.368</v>
      </c>
      <c r="D2175" s="0" t="n">
        <v>10680.1</v>
      </c>
      <c r="E2175" s="0" t="n">
        <v>72487.268</v>
      </c>
      <c r="F2175" s="0" t="n">
        <v>62473.077</v>
      </c>
      <c r="G2175" s="0" t="n">
        <v>50946.542</v>
      </c>
      <c r="H2175" s="0" t="n">
        <v>11526.535</v>
      </c>
      <c r="I2175" s="0" t="n">
        <v>1606.512</v>
      </c>
      <c r="J2175" s="0" t="n">
        <v>8407.679</v>
      </c>
      <c r="K2175" s="0" t="n">
        <v>101108.175779444</v>
      </c>
      <c r="L2175" s="0" t="n">
        <v>81411</v>
      </c>
      <c r="M2175" s="0" t="n">
        <v>81300</v>
      </c>
      <c r="N2175" s="0" t="n">
        <v>27</v>
      </c>
      <c r="O2175" s="54" t="n">
        <f aca="false">YEAR(B2175)</f>
        <v>2020</v>
      </c>
      <c r="P2175" s="54" t="n">
        <f aca="false">IF(AND(E2175&gt;=14400,K2175&gt;0,L2175&gt;0),1,0)</f>
        <v>1</v>
      </c>
      <c r="Q2175" s="53" t="n">
        <f aca="false">IF(P2175=1,F2175/E2175*MIN(L2175/K2175,1)*MIN(MAX(M2175/L2175,0),1),0)</f>
        <v>0.693003512572971</v>
      </c>
      <c r="R2175" s="55" t="n">
        <f aca="false">IF(F2175&gt;0,N2175/(F2175/3600),0)</f>
        <v>1.55587021910254</v>
      </c>
    </row>
    <row r="2176" customFormat="false" ht="15" hidden="false" customHeight="false" outlineLevel="0" collapsed="false">
      <c r="A2176" s="0" t="s">
        <v>262</v>
      </c>
      <c r="B2176" s="52" t="n">
        <v>44124</v>
      </c>
      <c r="C2176" s="0" t="n">
        <v>81236.918</v>
      </c>
      <c r="D2176" s="0" t="n">
        <v>16181.614</v>
      </c>
      <c r="E2176" s="0" t="n">
        <v>65055.304</v>
      </c>
      <c r="F2176" s="0" t="n">
        <v>44914.649</v>
      </c>
      <c r="G2176" s="0" t="n">
        <v>40048.252</v>
      </c>
      <c r="H2176" s="0" t="n">
        <v>4866.397</v>
      </c>
      <c r="I2176" s="0" t="n">
        <v>1988.671</v>
      </c>
      <c r="J2176" s="0" t="n">
        <v>18151.984</v>
      </c>
      <c r="K2176" s="0" t="n">
        <v>69452.177485</v>
      </c>
      <c r="L2176" s="0" t="n">
        <v>68366</v>
      </c>
      <c r="M2176" s="0" t="n">
        <v>68352</v>
      </c>
      <c r="N2176" s="0" t="n">
        <v>18</v>
      </c>
      <c r="O2176" s="54" t="n">
        <f aca="false">YEAR(B2176)</f>
        <v>2020</v>
      </c>
      <c r="P2176" s="54" t="n">
        <f aca="false">IF(AND(E2176&gt;=14400,K2176&gt;0,L2176&gt;0),1,0)</f>
        <v>1</v>
      </c>
      <c r="Q2176" s="53" t="n">
        <f aca="false">IF(P2176=1,F2176/E2176*MIN(L2176/K2176,1)*MIN(MAX(M2176/L2176,0),1),0)</f>
        <v>0.679470583912932</v>
      </c>
      <c r="R2176" s="55" t="n">
        <f aca="false">IF(F2176&gt;0,N2176/(F2176/3600),0)</f>
        <v>1.44273642214147</v>
      </c>
    </row>
    <row r="2177" customFormat="false" ht="15" hidden="false" customHeight="false" outlineLevel="0" collapsed="false">
      <c r="A2177" s="0" t="s">
        <v>262</v>
      </c>
      <c r="B2177" s="52" t="n">
        <v>44125</v>
      </c>
      <c r="C2177" s="0" t="n">
        <v>89427.1</v>
      </c>
      <c r="D2177" s="0" t="n">
        <v>12406.249</v>
      </c>
      <c r="E2177" s="0" t="n">
        <v>77020.851</v>
      </c>
      <c r="F2177" s="0" t="n">
        <v>63959.215</v>
      </c>
      <c r="G2177" s="0" t="n">
        <v>59322.097</v>
      </c>
      <c r="H2177" s="0" t="n">
        <v>4637.118</v>
      </c>
      <c r="I2177" s="0" t="n">
        <v>2640.845</v>
      </c>
      <c r="J2177" s="0" t="n">
        <v>10420.791</v>
      </c>
      <c r="K2177" s="0" t="n">
        <v>110676.642183889</v>
      </c>
      <c r="L2177" s="0" t="n">
        <v>105106</v>
      </c>
      <c r="M2177" s="0" t="n">
        <v>105082</v>
      </c>
      <c r="N2177" s="0" t="n">
        <v>29</v>
      </c>
      <c r="O2177" s="54" t="n">
        <f aca="false">YEAR(B2177)</f>
        <v>2020</v>
      </c>
      <c r="P2177" s="54" t="n">
        <f aca="false">IF(AND(E2177&gt;=14400,K2177&gt;0,L2177&gt;0),1,0)</f>
        <v>1</v>
      </c>
      <c r="Q2177" s="53" t="n">
        <f aca="false">IF(P2177=1,F2177/E2177*MIN(L2177/K2177,1)*MIN(MAX(M2177/L2177,0),1),0)</f>
        <v>0.788437309741761</v>
      </c>
      <c r="R2177" s="55" t="n">
        <f aca="false">IF(F2177&gt;0,N2177/(F2177/3600),0)</f>
        <v>1.63229020243604</v>
      </c>
    </row>
    <row r="2178" customFormat="false" ht="15" hidden="false" customHeight="false" outlineLevel="0" collapsed="false">
      <c r="A2178" s="0" t="s">
        <v>262</v>
      </c>
      <c r="B2178" s="52" t="n">
        <v>44126</v>
      </c>
      <c r="C2178" s="0" t="n">
        <v>81129.357</v>
      </c>
      <c r="D2178" s="0" t="n">
        <v>5625.06</v>
      </c>
      <c r="E2178" s="0" t="n">
        <v>75504.297</v>
      </c>
      <c r="F2178" s="0" t="n">
        <v>64818.515</v>
      </c>
      <c r="G2178" s="0" t="n">
        <v>55088.608</v>
      </c>
      <c r="H2178" s="0" t="n">
        <v>9729.907</v>
      </c>
      <c r="I2178" s="0" t="n">
        <v>580.239</v>
      </c>
      <c r="J2178" s="0" t="n">
        <v>10105.543</v>
      </c>
      <c r="K2178" s="0" t="n">
        <v>103509.604381667</v>
      </c>
      <c r="L2178" s="0" t="n">
        <v>96019</v>
      </c>
      <c r="M2178" s="0" t="n">
        <v>96001</v>
      </c>
      <c r="N2178" s="0" t="n">
        <v>11</v>
      </c>
      <c r="O2178" s="54" t="n">
        <f aca="false">YEAR(B2178)</f>
        <v>2020</v>
      </c>
      <c r="P2178" s="54" t="n">
        <f aca="false">IF(AND(E2178&gt;=14400,K2178&gt;0,L2178&gt;0),1,0)</f>
        <v>1</v>
      </c>
      <c r="Q2178" s="53" t="n">
        <f aca="false">IF(P2178=1,F2178/E2178*MIN(L2178/K2178,1)*MIN(MAX(M2178/L2178,0),1),0)</f>
        <v>0.796200630153004</v>
      </c>
      <c r="R2178" s="55" t="n">
        <f aca="false">IF(F2178&gt;0,N2178/(F2178/3600),0)</f>
        <v>0.610936551076494</v>
      </c>
    </row>
    <row r="2179" customFormat="false" ht="15" hidden="false" customHeight="false" outlineLevel="0" collapsed="false">
      <c r="A2179" s="0" t="s">
        <v>262</v>
      </c>
      <c r="B2179" s="52" t="n">
        <v>44127</v>
      </c>
      <c r="C2179" s="0" t="n">
        <v>82611.588</v>
      </c>
      <c r="D2179" s="0" t="n">
        <v>17019.169</v>
      </c>
      <c r="E2179" s="0" t="n">
        <v>65592.419</v>
      </c>
      <c r="F2179" s="0" t="n">
        <v>54742.373</v>
      </c>
      <c r="G2179" s="0" t="n">
        <v>49024.843</v>
      </c>
      <c r="H2179" s="0" t="n">
        <v>5717.53</v>
      </c>
      <c r="I2179" s="0" t="n">
        <v>611.704</v>
      </c>
      <c r="J2179" s="0" t="n">
        <v>10238.342</v>
      </c>
      <c r="K2179" s="0" t="n">
        <v>89499.2176036111</v>
      </c>
      <c r="L2179" s="0" t="n">
        <v>84820</v>
      </c>
      <c r="M2179" s="0" t="n">
        <v>84777</v>
      </c>
      <c r="N2179" s="0" t="n">
        <v>16</v>
      </c>
      <c r="O2179" s="54" t="n">
        <f aca="false">YEAR(B2179)</f>
        <v>2020</v>
      </c>
      <c r="P2179" s="54" t="n">
        <f aca="false">IF(AND(E2179&gt;=14400,K2179&gt;0,L2179&gt;0),1,0)</f>
        <v>1</v>
      </c>
      <c r="Q2179" s="53" t="n">
        <f aca="false">IF(P2179=1,F2179/E2179*MIN(L2179/K2179,1)*MIN(MAX(M2179/L2179,0),1),0)</f>
        <v>0.790548970108221</v>
      </c>
      <c r="R2179" s="55" t="n">
        <f aca="false">IF(F2179&gt;0,N2179/(F2179/3600),0)</f>
        <v>1.05220137241767</v>
      </c>
    </row>
    <row r="2180" customFormat="false" ht="15" hidden="false" customHeight="false" outlineLevel="0" collapsed="false">
      <c r="A2180" s="0" t="s">
        <v>262</v>
      </c>
      <c r="B2180" s="52" t="n">
        <v>44128</v>
      </c>
      <c r="C2180" s="0" t="n">
        <v>119814.579</v>
      </c>
      <c r="D2180" s="0" t="n">
        <v>21795.928</v>
      </c>
      <c r="E2180" s="0" t="n">
        <v>98018.651</v>
      </c>
      <c r="F2180" s="0" t="n">
        <v>49890.711</v>
      </c>
      <c r="G2180" s="0" t="n">
        <v>45252.443</v>
      </c>
      <c r="H2180" s="0" t="n">
        <v>4638.268</v>
      </c>
      <c r="I2180" s="0" t="n">
        <v>530.599</v>
      </c>
      <c r="J2180" s="0" t="n">
        <v>47597.341</v>
      </c>
      <c r="K2180" s="0" t="n">
        <v>83130.1192933333</v>
      </c>
      <c r="L2180" s="0" t="n">
        <v>80719</v>
      </c>
      <c r="M2180" s="0" t="n">
        <v>80684</v>
      </c>
      <c r="N2180" s="0" t="n">
        <v>9</v>
      </c>
      <c r="O2180" s="54" t="n">
        <f aca="false">YEAR(B2180)</f>
        <v>2020</v>
      </c>
      <c r="P2180" s="54" t="n">
        <f aca="false">IF(AND(E2180&gt;=14400,K2180&gt;0,L2180&gt;0),1,0)</f>
        <v>1</v>
      </c>
      <c r="Q2180" s="53" t="n">
        <f aca="false">IF(P2180=1,F2180/E2180*MIN(L2180/K2180,1)*MIN(MAX(M2180/L2180,0),1),0)</f>
        <v>0.49401483301976</v>
      </c>
      <c r="R2180" s="55" t="n">
        <f aca="false">IF(F2180&gt;0,N2180/(F2180/3600),0)</f>
        <v>0.649419488128762</v>
      </c>
    </row>
    <row r="2181" customFormat="false" ht="15" hidden="false" customHeight="false" outlineLevel="0" collapsed="false">
      <c r="A2181" s="0" t="s">
        <v>262</v>
      </c>
      <c r="B2181" s="52" t="n">
        <v>44129</v>
      </c>
      <c r="C2181" s="0" t="n">
        <v>43967.078</v>
      </c>
      <c r="D2181" s="0" t="n">
        <v>7101.12</v>
      </c>
      <c r="E2181" s="0" t="n">
        <v>36865.958</v>
      </c>
      <c r="F2181" s="0" t="n">
        <v>28582.872</v>
      </c>
      <c r="G2181" s="0" t="n">
        <v>25305.829</v>
      </c>
      <c r="H2181" s="0" t="n">
        <v>3277.043</v>
      </c>
      <c r="I2181" s="0" t="n">
        <v>19.01</v>
      </c>
      <c r="J2181" s="0" t="n">
        <v>8264.076</v>
      </c>
      <c r="K2181" s="0" t="n">
        <v>39976.3555869445</v>
      </c>
      <c r="L2181" s="0" t="n">
        <v>42305</v>
      </c>
      <c r="M2181" s="0" t="n">
        <v>42288</v>
      </c>
      <c r="N2181" s="0" t="n">
        <v>2</v>
      </c>
      <c r="O2181" s="54" t="n">
        <f aca="false">YEAR(B2181)</f>
        <v>2020</v>
      </c>
      <c r="P2181" s="54" t="n">
        <f aca="false">IF(AND(E2181&gt;=14400,K2181&gt;0,L2181&gt;0),1,0)</f>
        <v>1</v>
      </c>
      <c r="Q2181" s="53" t="n">
        <f aca="false">IF(P2181=1,F2181/E2181*MIN(L2181/K2181,1)*MIN(MAX(M2181/L2181,0),1),0)</f>
        <v>0.775007288605498</v>
      </c>
      <c r="R2181" s="55" t="n">
        <f aca="false">IF(F2181&gt;0,N2181/(F2181/3600),0)</f>
        <v>0.251899109368716</v>
      </c>
    </row>
    <row r="2182" customFormat="false" ht="15" hidden="false" customHeight="false" outlineLevel="0" collapsed="false">
      <c r="A2182" s="0" t="s">
        <v>262</v>
      </c>
      <c r="B2182" s="52" t="n">
        <v>44130</v>
      </c>
      <c r="C2182" s="0" t="n">
        <v>86692.238</v>
      </c>
      <c r="D2182" s="0" t="n">
        <v>10308.035</v>
      </c>
      <c r="E2182" s="0" t="n">
        <v>76384.203</v>
      </c>
      <c r="F2182" s="0" t="n">
        <v>61531.62</v>
      </c>
      <c r="G2182" s="0" t="n">
        <v>51826.658</v>
      </c>
      <c r="H2182" s="0" t="n">
        <v>9704.962</v>
      </c>
      <c r="I2182" s="0" t="n">
        <v>1631.005</v>
      </c>
      <c r="J2182" s="0" t="n">
        <v>13221.578</v>
      </c>
      <c r="K2182" s="0" t="n">
        <v>98894.1171094444</v>
      </c>
      <c r="L2182" s="0" t="n">
        <v>87932</v>
      </c>
      <c r="M2182" s="0" t="n">
        <v>87712</v>
      </c>
      <c r="N2182" s="0" t="n">
        <v>29</v>
      </c>
      <c r="O2182" s="54" t="n">
        <f aca="false">YEAR(B2182)</f>
        <v>2020</v>
      </c>
      <c r="P2182" s="54" t="n">
        <f aca="false">IF(AND(E2182&gt;=14400,K2182&gt;0,L2182&gt;0),1,0)</f>
        <v>1</v>
      </c>
      <c r="Q2182" s="53" t="n">
        <f aca="false">IF(P2182=1,F2182/E2182*MIN(L2182/K2182,1)*MIN(MAX(M2182/L2182,0),1),0)</f>
        <v>0.714468940890357</v>
      </c>
      <c r="R2182" s="55" t="n">
        <f aca="false">IF(F2182&gt;0,N2182/(F2182/3600),0)</f>
        <v>1.69668862935837</v>
      </c>
    </row>
    <row r="2183" customFormat="false" ht="15" hidden="false" customHeight="false" outlineLevel="0" collapsed="false">
      <c r="A2183" s="0" t="s">
        <v>262</v>
      </c>
      <c r="B2183" s="52" t="n">
        <v>44131</v>
      </c>
      <c r="C2183" s="0" t="n">
        <v>970.199</v>
      </c>
      <c r="D2183" s="0" t="n">
        <v>0</v>
      </c>
      <c r="E2183" s="0" t="n">
        <v>970.199</v>
      </c>
      <c r="F2183" s="0" t="n">
        <v>900</v>
      </c>
      <c r="G2183" s="0" t="n">
        <v>900</v>
      </c>
      <c r="H2183" s="0" t="n">
        <v>0</v>
      </c>
      <c r="I2183" s="0" t="n">
        <v>70.199</v>
      </c>
      <c r="J2183" s="0" t="n">
        <v>0</v>
      </c>
      <c r="K2183" s="0" t="n">
        <v>1625</v>
      </c>
      <c r="L2183" s="0" t="n">
        <v>50</v>
      </c>
      <c r="M2183" s="0" t="n">
        <v>52</v>
      </c>
      <c r="N2183" s="0" t="n">
        <v>1</v>
      </c>
      <c r="O2183" s="54" t="n">
        <f aca="false">YEAR(B2183)</f>
        <v>2020</v>
      </c>
      <c r="P2183" s="54" t="n">
        <f aca="false">IF(AND(E2183&gt;=14400,K2183&gt;0,L2183&gt;0),1,0)</f>
        <v>0</v>
      </c>
      <c r="Q2183" s="53" t="n">
        <f aca="false">IF(P2183=1,F2183/E2183*MIN(L2183/K2183,1)*MIN(MAX(M2183/L2183,0),1),0)</f>
        <v>0</v>
      </c>
      <c r="R2183" s="55" t="n">
        <f aca="false">IF(F2183&gt;0,N2183/(F2183/3600),0)</f>
        <v>4</v>
      </c>
    </row>
    <row r="2184" customFormat="false" ht="15" hidden="false" customHeight="false" outlineLevel="0" collapsed="false">
      <c r="A2184" s="0" t="s">
        <v>262</v>
      </c>
      <c r="B2184" s="52" t="n">
        <v>44277</v>
      </c>
      <c r="C2184" s="0" t="n">
        <v>74444.128</v>
      </c>
      <c r="D2184" s="0" t="n">
        <v>18869.559</v>
      </c>
      <c r="E2184" s="0" t="n">
        <v>55574.569</v>
      </c>
      <c r="F2184" s="0" t="n">
        <v>48891.95</v>
      </c>
      <c r="G2184" s="0" t="n">
        <v>45469.307</v>
      </c>
      <c r="H2184" s="0" t="n">
        <v>3422.643</v>
      </c>
      <c r="I2184" s="0" t="n">
        <v>2163.291</v>
      </c>
      <c r="J2184" s="0" t="n">
        <v>4519.328</v>
      </c>
      <c r="K2184" s="0" t="n">
        <v>84844.4142427778</v>
      </c>
      <c r="L2184" s="0" t="n">
        <v>78568</v>
      </c>
      <c r="M2184" s="0" t="n">
        <v>78542</v>
      </c>
      <c r="N2184" s="0" t="n">
        <v>41</v>
      </c>
      <c r="O2184" s="54" t="n">
        <f aca="false">YEAR(B2184)</f>
        <v>2021</v>
      </c>
      <c r="P2184" s="54" t="n">
        <f aca="false">IF(AND(E2184&gt;=14400,K2184&gt;0,L2184&gt;0),1,0)</f>
        <v>1</v>
      </c>
      <c r="Q2184" s="53" t="n">
        <f aca="false">IF(P2184=1,F2184/E2184*MIN(L2184/K2184,1)*MIN(MAX(M2184/L2184,0),1),0)</f>
        <v>0.814404108585463</v>
      </c>
      <c r="R2184" s="55" t="n">
        <f aca="false">IF(F2184&gt;0,N2184/(F2184/3600),0)</f>
        <v>3.01890188466609</v>
      </c>
    </row>
    <row r="2185" customFormat="false" ht="15" hidden="false" customHeight="false" outlineLevel="0" collapsed="false">
      <c r="A2185" s="0" t="s">
        <v>262</v>
      </c>
      <c r="B2185" s="52" t="n">
        <v>44278</v>
      </c>
      <c r="C2185" s="0" t="n">
        <v>84265.598</v>
      </c>
      <c r="D2185" s="0" t="n">
        <v>15609.96</v>
      </c>
      <c r="E2185" s="0" t="n">
        <v>68655.638</v>
      </c>
      <c r="F2185" s="0" t="n">
        <v>53129.416</v>
      </c>
      <c r="G2185" s="0" t="n">
        <v>41340.111</v>
      </c>
      <c r="H2185" s="0" t="n">
        <v>11789.305</v>
      </c>
      <c r="I2185" s="0" t="n">
        <v>1664.659</v>
      </c>
      <c r="J2185" s="0" t="n">
        <v>13861.563</v>
      </c>
      <c r="K2185" s="0" t="n">
        <v>87683.6278316667</v>
      </c>
      <c r="L2185" s="0" t="n">
        <v>69982</v>
      </c>
      <c r="M2185" s="0" t="n">
        <v>69852</v>
      </c>
      <c r="N2185" s="0" t="n">
        <v>38</v>
      </c>
      <c r="O2185" s="54" t="n">
        <f aca="false">YEAR(B2185)</f>
        <v>2021</v>
      </c>
      <c r="P2185" s="54" t="n">
        <f aca="false">IF(AND(E2185&gt;=14400,K2185&gt;0,L2185&gt;0),1,0)</f>
        <v>1</v>
      </c>
      <c r="Q2185" s="53" t="n">
        <f aca="false">IF(P2185=1,F2185/E2185*MIN(L2185/K2185,1)*MIN(MAX(M2185/L2185,0),1),0)</f>
        <v>0.616480253339435</v>
      </c>
      <c r="R2185" s="55" t="n">
        <f aca="false">IF(F2185&gt;0,N2185/(F2185/3600),0)</f>
        <v>2.57484479031352</v>
      </c>
    </row>
    <row r="2186" customFormat="false" ht="15" hidden="false" customHeight="false" outlineLevel="0" collapsed="false">
      <c r="A2186" s="0" t="s">
        <v>262</v>
      </c>
      <c r="B2186" s="52" t="n">
        <v>44279</v>
      </c>
      <c r="C2186" s="0" t="n">
        <v>83171.429</v>
      </c>
      <c r="D2186" s="0" t="n">
        <v>17088.311</v>
      </c>
      <c r="E2186" s="0" t="n">
        <v>66083.118</v>
      </c>
      <c r="F2186" s="0" t="n">
        <v>54604.7</v>
      </c>
      <c r="G2186" s="0" t="n">
        <v>48944.26</v>
      </c>
      <c r="H2186" s="0" t="n">
        <v>5660.44</v>
      </c>
      <c r="I2186" s="0" t="n">
        <v>4270.877</v>
      </c>
      <c r="J2186" s="0" t="n">
        <v>7207.541</v>
      </c>
      <c r="K2186" s="0" t="n">
        <v>94002.9243761111</v>
      </c>
      <c r="L2186" s="0" t="n">
        <v>86249</v>
      </c>
      <c r="M2186" s="0" t="n">
        <v>86215</v>
      </c>
      <c r="N2186" s="0" t="n">
        <v>39</v>
      </c>
      <c r="O2186" s="54" t="n">
        <f aca="false">YEAR(B2186)</f>
        <v>2021</v>
      </c>
      <c r="P2186" s="54" t="n">
        <f aca="false">IF(AND(E2186&gt;=14400,K2186&gt;0,L2186&gt;0),1,0)</f>
        <v>1</v>
      </c>
      <c r="Q2186" s="53" t="n">
        <f aca="false">IF(P2186=1,F2186/E2186*MIN(L2186/K2186,1)*MIN(MAX(M2186/L2186,0),1),0)</f>
        <v>0.757846008178856</v>
      </c>
      <c r="R2186" s="55" t="n">
        <f aca="false">IF(F2186&gt;0,N2186/(F2186/3600),0)</f>
        <v>2.57120724040238</v>
      </c>
    </row>
    <row r="2187" customFormat="false" ht="15" hidden="false" customHeight="false" outlineLevel="0" collapsed="false">
      <c r="A2187" s="0" t="s">
        <v>262</v>
      </c>
      <c r="B2187" s="52" t="n">
        <v>44280</v>
      </c>
      <c r="C2187" s="0" t="n">
        <v>86280.029</v>
      </c>
      <c r="D2187" s="0" t="n">
        <v>20890.54</v>
      </c>
      <c r="E2187" s="0" t="n">
        <v>65389.489</v>
      </c>
      <c r="F2187" s="0" t="n">
        <v>49845.929</v>
      </c>
      <c r="G2187" s="0" t="n">
        <v>44349.937</v>
      </c>
      <c r="H2187" s="0" t="n">
        <v>5495.992</v>
      </c>
      <c r="I2187" s="0" t="n">
        <v>3799.653</v>
      </c>
      <c r="J2187" s="0" t="n">
        <v>11743.907</v>
      </c>
      <c r="K2187" s="0" t="n">
        <v>83958.2634786111</v>
      </c>
      <c r="L2187" s="0" t="n">
        <v>76158</v>
      </c>
      <c r="M2187" s="0" t="n">
        <v>76140</v>
      </c>
      <c r="N2187" s="0" t="n">
        <v>44</v>
      </c>
      <c r="O2187" s="54" t="n">
        <f aca="false">YEAR(B2187)</f>
        <v>2021</v>
      </c>
      <c r="P2187" s="54" t="n">
        <f aca="false">IF(AND(E2187&gt;=14400,K2187&gt;0,L2187&gt;0),1,0)</f>
        <v>1</v>
      </c>
      <c r="Q2187" s="53" t="n">
        <f aca="false">IF(P2187=1,F2187/E2187*MIN(L2187/K2187,1)*MIN(MAX(M2187/L2187,0),1),0)</f>
        <v>0.691307352813278</v>
      </c>
      <c r="R2187" s="55" t="n">
        <f aca="false">IF(F2187&gt;0,N2187/(F2187/3600),0)</f>
        <v>3.17779211217028</v>
      </c>
    </row>
    <row r="2188" customFormat="false" ht="15" hidden="false" customHeight="false" outlineLevel="0" collapsed="false">
      <c r="A2188" s="0" t="s">
        <v>262</v>
      </c>
      <c r="B2188" s="52" t="n">
        <v>44281</v>
      </c>
      <c r="C2188" s="0" t="n">
        <v>84703.153</v>
      </c>
      <c r="D2188" s="0" t="n">
        <v>16922.361</v>
      </c>
      <c r="E2188" s="0" t="n">
        <v>67780.792</v>
      </c>
      <c r="F2188" s="0" t="n">
        <v>44292.831</v>
      </c>
      <c r="G2188" s="0" t="n">
        <v>34889.072</v>
      </c>
      <c r="H2188" s="0" t="n">
        <v>9403.759</v>
      </c>
      <c r="I2188" s="0" t="n">
        <v>3254.447</v>
      </c>
      <c r="J2188" s="0" t="n">
        <v>20233.514</v>
      </c>
      <c r="K2188" s="0" t="n">
        <v>70517.4436275</v>
      </c>
      <c r="L2188" s="0" t="n">
        <v>57824</v>
      </c>
      <c r="M2188" s="0" t="n">
        <v>57694</v>
      </c>
      <c r="N2188" s="0" t="n">
        <v>35</v>
      </c>
      <c r="O2188" s="54" t="n">
        <f aca="false">YEAR(B2188)</f>
        <v>2021</v>
      </c>
      <c r="P2188" s="54" t="n">
        <f aca="false">IF(AND(E2188&gt;=14400,K2188&gt;0,L2188&gt;0),1,0)</f>
        <v>1</v>
      </c>
      <c r="Q2188" s="53" t="n">
        <f aca="false">IF(P2188=1,F2188/E2188*MIN(L2188/K2188,1)*MIN(MAX(M2188/L2188,0),1),0)</f>
        <v>0.534639313382229</v>
      </c>
      <c r="R2188" s="55" t="n">
        <f aca="false">IF(F2188&gt;0,N2188/(F2188/3600),0)</f>
        <v>2.84470414636626</v>
      </c>
    </row>
    <row r="2189" customFormat="false" ht="15" hidden="false" customHeight="false" outlineLevel="0" collapsed="false">
      <c r="A2189" s="0" t="s">
        <v>262</v>
      </c>
      <c r="B2189" s="52" t="n">
        <v>44282</v>
      </c>
      <c r="C2189" s="0" t="n">
        <v>90283.848</v>
      </c>
      <c r="D2189" s="0" t="n">
        <v>5008.02</v>
      </c>
      <c r="E2189" s="0" t="n">
        <v>85275.828</v>
      </c>
      <c r="F2189" s="0" t="n">
        <v>35437.906</v>
      </c>
      <c r="G2189" s="0" t="n">
        <v>30571.452</v>
      </c>
      <c r="H2189" s="0" t="n">
        <v>4866.454</v>
      </c>
      <c r="I2189" s="0" t="n">
        <v>2676.368</v>
      </c>
      <c r="J2189" s="0" t="n">
        <v>47161.554</v>
      </c>
      <c r="K2189" s="0" t="n">
        <v>60984.8912005556</v>
      </c>
      <c r="L2189" s="0" t="n">
        <v>53712</v>
      </c>
      <c r="M2189" s="0" t="n">
        <v>53561</v>
      </c>
      <c r="N2189" s="0" t="n">
        <v>29</v>
      </c>
      <c r="O2189" s="54" t="n">
        <f aca="false">YEAR(B2189)</f>
        <v>2021</v>
      </c>
      <c r="P2189" s="54" t="n">
        <f aca="false">IF(AND(E2189&gt;=14400,K2189&gt;0,L2189&gt;0),1,0)</f>
        <v>1</v>
      </c>
      <c r="Q2189" s="53" t="n">
        <f aca="false">IF(P2189=1,F2189/E2189*MIN(L2189/K2189,1)*MIN(MAX(M2189/L2189,0),1),0)</f>
        <v>0.364979549123982</v>
      </c>
      <c r="R2189" s="55" t="n">
        <f aca="false">IF(F2189&gt;0,N2189/(F2189/3600),0)</f>
        <v>2.94599799435102</v>
      </c>
    </row>
    <row r="2190" customFormat="false" ht="15" hidden="false" customHeight="false" outlineLevel="0" collapsed="false">
      <c r="A2190" s="0" t="s">
        <v>262</v>
      </c>
      <c r="B2190" s="52" t="n">
        <v>44283</v>
      </c>
      <c r="C2190" s="0" t="n">
        <v>77929.749</v>
      </c>
      <c r="D2190" s="0" t="n">
        <v>15651.42</v>
      </c>
      <c r="E2190" s="0" t="n">
        <v>62278.329</v>
      </c>
      <c r="F2190" s="0" t="n">
        <v>43200.159</v>
      </c>
      <c r="G2190" s="0" t="n">
        <v>39533.389</v>
      </c>
      <c r="H2190" s="0" t="n">
        <v>3666.77</v>
      </c>
      <c r="I2190" s="0" t="n">
        <v>963.249</v>
      </c>
      <c r="J2190" s="0" t="n">
        <v>18114.921</v>
      </c>
      <c r="K2190" s="0" t="n">
        <v>73438.862935</v>
      </c>
      <c r="L2190" s="0" t="n">
        <v>66744</v>
      </c>
      <c r="M2190" s="0" t="n">
        <v>66733</v>
      </c>
      <c r="N2190" s="0" t="n">
        <v>17</v>
      </c>
      <c r="O2190" s="54" t="n">
        <f aca="false">YEAR(B2190)</f>
        <v>2021</v>
      </c>
      <c r="P2190" s="54" t="n">
        <f aca="false">IF(AND(E2190&gt;=14400,K2190&gt;0,L2190&gt;0),1,0)</f>
        <v>1</v>
      </c>
      <c r="Q2190" s="53" t="n">
        <f aca="false">IF(P2190=1,F2190/E2190*MIN(L2190/K2190,1)*MIN(MAX(M2190/L2190,0),1),0)</f>
        <v>0.630322919393875</v>
      </c>
      <c r="R2190" s="55" t="n">
        <f aca="false">IF(F2190&gt;0,N2190/(F2190/3600),0)</f>
        <v>1.41666145256549</v>
      </c>
    </row>
    <row r="2191" customFormat="false" ht="15" hidden="false" customHeight="false" outlineLevel="0" collapsed="false">
      <c r="A2191" s="0" t="s">
        <v>262</v>
      </c>
      <c r="B2191" s="52" t="n">
        <v>44284</v>
      </c>
      <c r="C2191" s="0" t="n">
        <v>82380.659</v>
      </c>
      <c r="D2191" s="0" t="n">
        <v>15091.121</v>
      </c>
      <c r="E2191" s="0" t="n">
        <v>67289.538</v>
      </c>
      <c r="F2191" s="0" t="n">
        <v>50876.81</v>
      </c>
      <c r="G2191" s="0" t="n">
        <v>45770.382</v>
      </c>
      <c r="H2191" s="0" t="n">
        <v>5106.428</v>
      </c>
      <c r="I2191" s="0" t="n">
        <v>2246.205</v>
      </c>
      <c r="J2191" s="0" t="n">
        <v>14166.523</v>
      </c>
      <c r="K2191" s="0" t="n">
        <v>89433.7473272222</v>
      </c>
      <c r="L2191" s="0" t="n">
        <v>80408</v>
      </c>
      <c r="M2191" s="0" t="n">
        <v>80208</v>
      </c>
      <c r="N2191" s="0" t="n">
        <v>24</v>
      </c>
      <c r="O2191" s="54" t="n">
        <f aca="false">YEAR(B2191)</f>
        <v>2021</v>
      </c>
      <c r="P2191" s="54" t="n">
        <f aca="false">IF(AND(E2191&gt;=14400,K2191&gt;0,L2191&gt;0),1,0)</f>
        <v>1</v>
      </c>
      <c r="Q2191" s="53" t="n">
        <f aca="false">IF(P2191=1,F2191/E2191*MIN(L2191/K2191,1)*MIN(MAX(M2191/L2191,0),1),0)</f>
        <v>0.678091944990253</v>
      </c>
      <c r="R2191" s="55" t="n">
        <f aca="false">IF(F2191&gt;0,N2191/(F2191/3600),0)</f>
        <v>1.69821968004676</v>
      </c>
    </row>
    <row r="2192" customFormat="false" ht="15" hidden="false" customHeight="false" outlineLevel="0" collapsed="false">
      <c r="A2192" s="0" t="s">
        <v>262</v>
      </c>
      <c r="B2192" s="52" t="n">
        <v>44285</v>
      </c>
      <c r="C2192" s="0" t="n">
        <v>82571.208</v>
      </c>
      <c r="D2192" s="0" t="n">
        <v>14433.523</v>
      </c>
      <c r="E2192" s="0" t="n">
        <v>68137.685</v>
      </c>
      <c r="F2192" s="0" t="n">
        <v>46746.117</v>
      </c>
      <c r="G2192" s="0" t="n">
        <v>38470.63</v>
      </c>
      <c r="H2192" s="0" t="n">
        <v>8275.487</v>
      </c>
      <c r="I2192" s="0" t="n">
        <v>1520.991</v>
      </c>
      <c r="J2192" s="0" t="n">
        <v>19870.577</v>
      </c>
      <c r="K2192" s="0" t="n">
        <v>76747.4790422222</v>
      </c>
      <c r="L2192" s="0" t="n">
        <v>66256</v>
      </c>
      <c r="M2192" s="0" t="n">
        <v>66218</v>
      </c>
      <c r="N2192" s="0" t="n">
        <v>19</v>
      </c>
      <c r="O2192" s="54" t="n">
        <f aca="false">YEAR(B2192)</f>
        <v>2021</v>
      </c>
      <c r="P2192" s="54" t="n">
        <f aca="false">IF(AND(E2192&gt;=14400,K2192&gt;0,L2192&gt;0),1,0)</f>
        <v>1</v>
      </c>
      <c r="Q2192" s="53" t="n">
        <f aca="false">IF(P2192=1,F2192/E2192*MIN(L2192/K2192,1)*MIN(MAX(M2192/L2192,0),1),0)</f>
        <v>0.591929668545434</v>
      </c>
      <c r="R2192" s="55" t="n">
        <f aca="false">IF(F2192&gt;0,N2192/(F2192/3600),0)</f>
        <v>1.46322313787047</v>
      </c>
    </row>
    <row r="2193" customFormat="false" ht="15" hidden="false" customHeight="false" outlineLevel="0" collapsed="false">
      <c r="A2193" s="0" t="s">
        <v>262</v>
      </c>
      <c r="B2193" s="52" t="n">
        <v>44286</v>
      </c>
      <c r="C2193" s="0" t="n">
        <v>75904.769</v>
      </c>
      <c r="D2193" s="0" t="n">
        <v>34936.944</v>
      </c>
      <c r="E2193" s="0" t="n">
        <v>40967.825</v>
      </c>
      <c r="F2193" s="0" t="n">
        <v>15492.072</v>
      </c>
      <c r="G2193" s="0" t="n">
        <v>10266.334</v>
      </c>
      <c r="H2193" s="0" t="n">
        <v>5225.738</v>
      </c>
      <c r="I2193" s="0" t="n">
        <v>54.34</v>
      </c>
      <c r="J2193" s="0" t="n">
        <v>25421.413</v>
      </c>
      <c r="K2193" s="0" t="n">
        <v>25794.0475211111</v>
      </c>
      <c r="L2193" s="0" t="n">
        <v>18522</v>
      </c>
      <c r="M2193" s="0" t="n">
        <v>18514</v>
      </c>
      <c r="N2193" s="0" t="n">
        <v>1</v>
      </c>
      <c r="O2193" s="54" t="n">
        <f aca="false">YEAR(B2193)</f>
        <v>2021</v>
      </c>
      <c r="P2193" s="54" t="n">
        <f aca="false">IF(AND(E2193&gt;=14400,K2193&gt;0,L2193&gt;0),1,0)</f>
        <v>1</v>
      </c>
      <c r="Q2193" s="53" t="n">
        <f aca="false">IF(P2193=1,F2193/E2193*MIN(L2193/K2193,1)*MIN(MAX(M2193/L2193,0),1),0)</f>
        <v>0.271423447755807</v>
      </c>
      <c r="R2193" s="55" t="n">
        <f aca="false">IF(F2193&gt;0,N2193/(F2193/3600),0)</f>
        <v>0.232376921563494</v>
      </c>
    </row>
    <row r="2194" customFormat="false" ht="15" hidden="false" customHeight="false" outlineLevel="0" collapsed="false">
      <c r="A2194" s="0" t="s">
        <v>262</v>
      </c>
      <c r="B2194" s="52" t="n">
        <v>44287</v>
      </c>
      <c r="C2194" s="0" t="n">
        <v>84967.842</v>
      </c>
      <c r="D2194" s="0" t="n">
        <v>10031.658</v>
      </c>
      <c r="E2194" s="0" t="n">
        <v>74936.184</v>
      </c>
      <c r="F2194" s="0" t="n">
        <v>62183.724</v>
      </c>
      <c r="G2194" s="0" t="n">
        <v>50990.34</v>
      </c>
      <c r="H2194" s="0" t="n">
        <v>11193.384</v>
      </c>
      <c r="I2194" s="0" t="n">
        <v>4560.64</v>
      </c>
      <c r="J2194" s="0" t="n">
        <v>8191.82</v>
      </c>
      <c r="K2194" s="0" t="n">
        <v>100922.325115278</v>
      </c>
      <c r="L2194" s="0" t="n">
        <v>85547</v>
      </c>
      <c r="M2194" s="0" t="n">
        <v>85484</v>
      </c>
      <c r="N2194" s="0" t="n">
        <v>49</v>
      </c>
      <c r="O2194" s="54" t="n">
        <f aca="false">YEAR(B2194)</f>
        <v>2021</v>
      </c>
      <c r="P2194" s="54" t="n">
        <f aca="false">IF(AND(E2194&gt;=14400,K2194&gt;0,L2194&gt;0),1,0)</f>
        <v>1</v>
      </c>
      <c r="Q2194" s="53" t="n">
        <f aca="false">IF(P2194=1,F2194/E2194*MIN(L2194/K2194,1)*MIN(MAX(M2194/L2194,0),1),0)</f>
        <v>0.702882517810504</v>
      </c>
      <c r="R2194" s="55" t="n">
        <f aca="false">IF(F2194&gt;0,N2194/(F2194/3600),0)</f>
        <v>2.83675516120585</v>
      </c>
    </row>
    <row r="2195" customFormat="false" ht="15" hidden="false" customHeight="false" outlineLevel="0" collapsed="false">
      <c r="A2195" s="0" t="s">
        <v>262</v>
      </c>
      <c r="B2195" s="52" t="n">
        <v>44288</v>
      </c>
      <c r="C2195" s="0" t="n">
        <v>87908.455</v>
      </c>
      <c r="D2195" s="0" t="n">
        <v>16163.416</v>
      </c>
      <c r="E2195" s="0" t="n">
        <v>71745.039</v>
      </c>
      <c r="F2195" s="0" t="n">
        <v>55081.736</v>
      </c>
      <c r="G2195" s="0" t="n">
        <v>46596.432</v>
      </c>
      <c r="H2195" s="0" t="n">
        <v>8485.304</v>
      </c>
      <c r="I2195" s="0" t="n">
        <v>1596.686</v>
      </c>
      <c r="J2195" s="0" t="n">
        <v>15066.617</v>
      </c>
      <c r="K2195" s="0" t="n">
        <v>88124.0090469445</v>
      </c>
      <c r="L2195" s="0" t="n">
        <v>79576</v>
      </c>
      <c r="M2195" s="0" t="n">
        <v>79442</v>
      </c>
      <c r="N2195" s="0" t="n">
        <v>19</v>
      </c>
      <c r="O2195" s="54" t="n">
        <f aca="false">YEAR(B2195)</f>
        <v>2021</v>
      </c>
      <c r="P2195" s="54" t="n">
        <f aca="false">IF(AND(E2195&gt;=14400,K2195&gt;0,L2195&gt;0),1,0)</f>
        <v>1</v>
      </c>
      <c r="Q2195" s="53" t="n">
        <f aca="false">IF(P2195=1,F2195/E2195*MIN(L2195/K2195,1)*MIN(MAX(M2195/L2195,0),1),0)</f>
        <v>0.692104489210533</v>
      </c>
      <c r="R2195" s="55" t="n">
        <f aca="false">IF(F2195&gt;0,N2195/(F2195/3600),0)</f>
        <v>1.24179092685096</v>
      </c>
    </row>
    <row r="2196" customFormat="false" ht="15" hidden="false" customHeight="false" outlineLevel="0" collapsed="false">
      <c r="A2196" s="0" t="s">
        <v>262</v>
      </c>
      <c r="B2196" s="52" t="n">
        <v>44289</v>
      </c>
      <c r="C2196" s="0" t="n">
        <v>116720.006</v>
      </c>
      <c r="D2196" s="0" t="n">
        <v>14423.764</v>
      </c>
      <c r="E2196" s="0" t="n">
        <v>102296.242</v>
      </c>
      <c r="F2196" s="0" t="n">
        <v>34518.398</v>
      </c>
      <c r="G2196" s="0" t="n">
        <v>28652.89</v>
      </c>
      <c r="H2196" s="0" t="n">
        <v>5865.508</v>
      </c>
      <c r="I2196" s="0" t="n">
        <v>1604.078</v>
      </c>
      <c r="J2196" s="0" t="n">
        <v>66173.766</v>
      </c>
      <c r="K2196" s="0" t="n">
        <v>58525.7969905556</v>
      </c>
      <c r="L2196" s="0" t="n">
        <v>50968</v>
      </c>
      <c r="M2196" s="0" t="n">
        <v>50907</v>
      </c>
      <c r="N2196" s="0" t="n">
        <v>14</v>
      </c>
      <c r="O2196" s="54" t="n">
        <f aca="false">YEAR(B2196)</f>
        <v>2021</v>
      </c>
      <c r="P2196" s="54" t="n">
        <f aca="false">IF(AND(E2196&gt;=14400,K2196&gt;0,L2196&gt;0),1,0)</f>
        <v>1</v>
      </c>
      <c r="Q2196" s="53" t="n">
        <f aca="false">IF(P2196=1,F2196/E2196*MIN(L2196/K2196,1)*MIN(MAX(M2196/L2196,0),1),0)</f>
        <v>0.293508795507008</v>
      </c>
      <c r="R2196" s="55" t="n">
        <f aca="false">IF(F2196&gt;0,N2196/(F2196/3600),0)</f>
        <v>1.46009093469517</v>
      </c>
    </row>
    <row r="2197" customFormat="false" ht="15" hidden="false" customHeight="false" outlineLevel="0" collapsed="false">
      <c r="A2197" s="0" t="s">
        <v>262</v>
      </c>
      <c r="B2197" s="52" t="n">
        <v>44290</v>
      </c>
      <c r="C2197" s="0" t="n">
        <v>47604.575</v>
      </c>
      <c r="D2197" s="0" t="n">
        <v>4944.578</v>
      </c>
      <c r="E2197" s="0" t="n">
        <v>42659.997</v>
      </c>
      <c r="F2197" s="0" t="n">
        <v>29893.373</v>
      </c>
      <c r="G2197" s="0" t="n">
        <v>25371.882</v>
      </c>
      <c r="H2197" s="0" t="n">
        <v>4521.491</v>
      </c>
      <c r="I2197" s="0" t="n">
        <v>319.407</v>
      </c>
      <c r="J2197" s="0" t="n">
        <v>12447.217</v>
      </c>
      <c r="K2197" s="0" t="n">
        <v>49980.5414852778</v>
      </c>
      <c r="L2197" s="0" t="n">
        <v>44906</v>
      </c>
      <c r="M2197" s="0" t="n">
        <v>44892</v>
      </c>
      <c r="N2197" s="0" t="n">
        <v>6</v>
      </c>
      <c r="O2197" s="54" t="n">
        <f aca="false">YEAR(B2197)</f>
        <v>2021</v>
      </c>
      <c r="P2197" s="54" t="n">
        <f aca="false">IF(AND(E2197&gt;=14400,K2197&gt;0,L2197&gt;0),1,0)</f>
        <v>1</v>
      </c>
      <c r="Q2197" s="53" t="n">
        <f aca="false">IF(P2197=1,F2197/E2197*MIN(L2197/K2197,1)*MIN(MAX(M2197/L2197,0),1),0)</f>
        <v>0.629393274540681</v>
      </c>
      <c r="R2197" s="55" t="n">
        <f aca="false">IF(F2197&gt;0,N2197/(F2197/3600),0)</f>
        <v>0.722568175896377</v>
      </c>
    </row>
    <row r="2198" customFormat="false" ht="15" hidden="false" customHeight="false" outlineLevel="0" collapsed="false">
      <c r="A2198" s="0" t="s">
        <v>262</v>
      </c>
      <c r="B2198" s="52" t="n">
        <v>44291</v>
      </c>
      <c r="C2198" s="0" t="n">
        <v>79205.871</v>
      </c>
      <c r="D2198" s="0" t="n">
        <v>4782.868</v>
      </c>
      <c r="E2198" s="0" t="n">
        <v>74423.003</v>
      </c>
      <c r="F2198" s="0" t="n">
        <v>57180.579</v>
      </c>
      <c r="G2198" s="0" t="n">
        <v>48170.581</v>
      </c>
      <c r="H2198" s="0" t="n">
        <v>9009.998</v>
      </c>
      <c r="I2198" s="0" t="n">
        <v>1873.645</v>
      </c>
      <c r="J2198" s="0" t="n">
        <v>15368.779</v>
      </c>
      <c r="K2198" s="0" t="n">
        <v>93464.14587</v>
      </c>
      <c r="L2198" s="0" t="n">
        <v>82672</v>
      </c>
      <c r="M2198" s="0" t="n">
        <v>82550</v>
      </c>
      <c r="N2198" s="0" t="n">
        <v>28</v>
      </c>
      <c r="O2198" s="54" t="n">
        <f aca="false">YEAR(B2198)</f>
        <v>2021</v>
      </c>
      <c r="P2198" s="54" t="n">
        <f aca="false">IF(AND(E2198&gt;=14400,K2198&gt;0,L2198&gt;0),1,0)</f>
        <v>1</v>
      </c>
      <c r="Q2198" s="53" t="n">
        <f aca="false">IF(P2198=1,F2198/E2198*MIN(L2198/K2198,1)*MIN(MAX(M2198/L2198,0),1),0)</f>
        <v>0.678599280329778</v>
      </c>
      <c r="R2198" s="55" t="n">
        <f aca="false">IF(F2198&gt;0,N2198/(F2198/3600),0)</f>
        <v>1.76283629446984</v>
      </c>
    </row>
    <row r="2199" customFormat="false" ht="15" hidden="false" customHeight="false" outlineLevel="0" collapsed="false">
      <c r="A2199" s="0" t="s">
        <v>262</v>
      </c>
      <c r="B2199" s="52" t="n">
        <v>44292</v>
      </c>
      <c r="C2199" s="0" t="n">
        <v>84698.468</v>
      </c>
      <c r="D2199" s="0" t="n">
        <v>17018.4</v>
      </c>
      <c r="E2199" s="0" t="n">
        <v>67680.068</v>
      </c>
      <c r="F2199" s="0" t="n">
        <v>54370.883</v>
      </c>
      <c r="G2199" s="0" t="n">
        <v>49884.059</v>
      </c>
      <c r="H2199" s="0" t="n">
        <v>4486.824</v>
      </c>
      <c r="I2199" s="0" t="n">
        <v>3968.033</v>
      </c>
      <c r="J2199" s="0" t="n">
        <v>9341.152</v>
      </c>
      <c r="K2199" s="0" t="n">
        <v>92662.0079838889</v>
      </c>
      <c r="L2199" s="0" t="n">
        <v>86316</v>
      </c>
      <c r="M2199" s="0" t="n">
        <v>86267</v>
      </c>
      <c r="N2199" s="0" t="n">
        <v>31</v>
      </c>
      <c r="O2199" s="54" t="n">
        <f aca="false">YEAR(B2199)</f>
        <v>2021</v>
      </c>
      <c r="P2199" s="54" t="n">
        <f aca="false">IF(AND(E2199&gt;=14400,K2199&gt;0,L2199&gt;0),1,0)</f>
        <v>1</v>
      </c>
      <c r="Q2199" s="53" t="n">
        <f aca="false">IF(P2199=1,F2199/E2199*MIN(L2199/K2199,1)*MIN(MAX(M2199/L2199,0),1),0)</f>
        <v>0.747908704928994</v>
      </c>
      <c r="R2199" s="55" t="n">
        <f aca="false">IF(F2199&gt;0,N2199/(F2199/3600),0)</f>
        <v>2.05256920326271</v>
      </c>
    </row>
    <row r="2200" customFormat="false" ht="15" hidden="false" customHeight="false" outlineLevel="0" collapsed="false">
      <c r="A2200" s="0" t="s">
        <v>262</v>
      </c>
      <c r="B2200" s="52" t="n">
        <v>44293</v>
      </c>
      <c r="C2200" s="0" t="n">
        <v>73924.637</v>
      </c>
      <c r="D2200" s="0" t="n">
        <v>6926.509</v>
      </c>
      <c r="E2200" s="0" t="n">
        <v>66998.128</v>
      </c>
      <c r="F2200" s="0" t="n">
        <v>55287.908</v>
      </c>
      <c r="G2200" s="0" t="n">
        <v>50304.563</v>
      </c>
      <c r="H2200" s="0" t="n">
        <v>4983.345</v>
      </c>
      <c r="I2200" s="0" t="n">
        <v>2805.831</v>
      </c>
      <c r="J2200" s="0" t="n">
        <v>8904.389</v>
      </c>
      <c r="K2200" s="0" t="n">
        <v>92659.3754255556</v>
      </c>
      <c r="L2200" s="0" t="n">
        <v>87835</v>
      </c>
      <c r="M2200" s="0" t="n">
        <v>87825</v>
      </c>
      <c r="N2200" s="0" t="n">
        <v>34</v>
      </c>
      <c r="O2200" s="54" t="n">
        <f aca="false">YEAR(B2200)</f>
        <v>2021</v>
      </c>
      <c r="P2200" s="54" t="n">
        <f aca="false">IF(AND(E2200&gt;=14400,K2200&gt;0,L2200&gt;0),1,0)</f>
        <v>1</v>
      </c>
      <c r="Q2200" s="53" t="n">
        <f aca="false">IF(P2200=1,F2200/E2200*MIN(L2200/K2200,1)*MIN(MAX(M2200/L2200,0),1),0)</f>
        <v>0.78216121902816</v>
      </c>
      <c r="R2200" s="55" t="n">
        <f aca="false">IF(F2200&gt;0,N2200/(F2200/3600),0)</f>
        <v>2.21386564309867</v>
      </c>
    </row>
    <row r="2201" customFormat="false" ht="15" hidden="false" customHeight="false" outlineLevel="0" collapsed="false">
      <c r="A2201" s="0" t="s">
        <v>262</v>
      </c>
      <c r="B2201" s="52" t="n">
        <v>44294</v>
      </c>
      <c r="C2201" s="0" t="n">
        <v>89945.261</v>
      </c>
      <c r="D2201" s="0" t="n">
        <v>16021.443</v>
      </c>
      <c r="E2201" s="0" t="n">
        <v>73923.818</v>
      </c>
      <c r="F2201" s="0" t="n">
        <v>48955.157</v>
      </c>
      <c r="G2201" s="0" t="n">
        <v>39503.804</v>
      </c>
      <c r="H2201" s="0" t="n">
        <v>9451.353</v>
      </c>
      <c r="I2201" s="0" t="n">
        <v>1701.585</v>
      </c>
      <c r="J2201" s="0" t="n">
        <v>23267.076</v>
      </c>
      <c r="K2201" s="0" t="n">
        <v>81446.0763238889</v>
      </c>
      <c r="L2201" s="0" t="n">
        <v>68474</v>
      </c>
      <c r="M2201" s="0" t="n">
        <v>68452</v>
      </c>
      <c r="N2201" s="0" t="n">
        <v>17</v>
      </c>
      <c r="O2201" s="54" t="n">
        <f aca="false">YEAR(B2201)</f>
        <v>2021</v>
      </c>
      <c r="P2201" s="54" t="n">
        <f aca="false">IF(AND(E2201&gt;=14400,K2201&gt;0,L2201&gt;0),1,0)</f>
        <v>1</v>
      </c>
      <c r="Q2201" s="53" t="n">
        <f aca="false">IF(P2201=1,F2201/E2201*MIN(L2201/K2201,1)*MIN(MAX(M2201/L2201,0),1),0)</f>
        <v>0.55658312299291</v>
      </c>
      <c r="R2201" s="55" t="n">
        <f aca="false">IF(F2201&gt;0,N2201/(F2201/3600),0)</f>
        <v>1.25012365908662</v>
      </c>
    </row>
    <row r="2202" customFormat="false" ht="15" hidden="false" customHeight="false" outlineLevel="0" collapsed="false">
      <c r="A2202" s="0" t="s">
        <v>262</v>
      </c>
      <c r="B2202" s="52" t="n">
        <v>44295</v>
      </c>
      <c r="C2202" s="0" t="n">
        <v>87149.467</v>
      </c>
      <c r="D2202" s="0" t="n">
        <v>31619.043</v>
      </c>
      <c r="E2202" s="0" t="n">
        <v>55530.424</v>
      </c>
      <c r="F2202" s="0" t="n">
        <v>34019.977</v>
      </c>
      <c r="G2202" s="0" t="n">
        <v>28209.266</v>
      </c>
      <c r="H2202" s="0" t="n">
        <v>5810.711</v>
      </c>
      <c r="I2202" s="0" t="n">
        <v>1431.214</v>
      </c>
      <c r="J2202" s="0" t="n">
        <v>20079.233</v>
      </c>
      <c r="K2202" s="0" t="n">
        <v>60004.0496611111</v>
      </c>
      <c r="L2202" s="0" t="n">
        <v>50409</v>
      </c>
      <c r="M2202" s="0" t="n">
        <v>50320</v>
      </c>
      <c r="N2202" s="0" t="n">
        <v>17</v>
      </c>
      <c r="O2202" s="54" t="n">
        <f aca="false">YEAR(B2202)</f>
        <v>2021</v>
      </c>
      <c r="P2202" s="54" t="n">
        <f aca="false">IF(AND(E2202&gt;=14400,K2202&gt;0,L2202&gt;0),1,0)</f>
        <v>1</v>
      </c>
      <c r="Q2202" s="53" t="n">
        <f aca="false">IF(P2202=1,F2202/E2202*MIN(L2202/K2202,1)*MIN(MAX(M2202/L2202,0),1),0)</f>
        <v>0.513763322442561</v>
      </c>
      <c r="R2202" s="55" t="n">
        <f aca="false">IF(F2202&gt;0,N2202/(F2202/3600),0)</f>
        <v>1.79894301515842</v>
      </c>
    </row>
    <row r="2203" customFormat="false" ht="15" hidden="false" customHeight="false" outlineLevel="0" collapsed="false">
      <c r="A2203" s="0" t="s">
        <v>262</v>
      </c>
      <c r="B2203" s="52" t="n">
        <v>44296</v>
      </c>
      <c r="C2203" s="0" t="n">
        <v>25254.22</v>
      </c>
      <c r="D2203" s="0" t="n">
        <v>2868.699</v>
      </c>
      <c r="E2203" s="0" t="n">
        <v>22385.521</v>
      </c>
      <c r="F2203" s="0" t="n">
        <v>106.57</v>
      </c>
      <c r="G2203" s="0" t="n">
        <v>0</v>
      </c>
      <c r="H2203" s="0" t="n">
        <v>106.57</v>
      </c>
      <c r="I2203" s="0" t="n">
        <v>0</v>
      </c>
      <c r="J2203" s="0" t="n">
        <v>22278.951</v>
      </c>
      <c r="K2203" s="0" t="n">
        <v>153.934444444444</v>
      </c>
      <c r="L2203" s="0" t="n">
        <v>0</v>
      </c>
      <c r="M2203" s="0" t="n">
        <v>0</v>
      </c>
      <c r="N2203" s="0" t="n">
        <v>0</v>
      </c>
      <c r="O2203" s="54" t="n">
        <f aca="false">YEAR(B2203)</f>
        <v>2021</v>
      </c>
      <c r="P2203" s="54" t="n">
        <f aca="false">IF(AND(E2203&gt;=14400,K2203&gt;0,L2203&gt;0),1,0)</f>
        <v>0</v>
      </c>
      <c r="Q2203" s="53" t="n">
        <f aca="false">IF(P2203=1,F2203/E2203*MIN(L2203/K2203,1)*MIN(MAX(M2203/L2203,0),1),0)</f>
        <v>0</v>
      </c>
      <c r="R2203" s="55" t="n">
        <f aca="false">IF(F2203&gt;0,N2203/(F2203/3600),0)</f>
        <v>0</v>
      </c>
    </row>
    <row r="2204" customFormat="false" ht="15" hidden="false" customHeight="false" outlineLevel="0" collapsed="false">
      <c r="A2204" s="0" t="s">
        <v>262</v>
      </c>
      <c r="B2204" s="52" t="n">
        <v>44297</v>
      </c>
      <c r="C2204" s="0" t="n">
        <v>83037.519</v>
      </c>
      <c r="D2204" s="0" t="n">
        <v>11797.217</v>
      </c>
      <c r="E2204" s="0" t="n">
        <v>71240.302</v>
      </c>
      <c r="F2204" s="0" t="n">
        <v>53926.753</v>
      </c>
      <c r="G2204" s="0" t="n">
        <v>41023.319</v>
      </c>
      <c r="H2204" s="0" t="n">
        <v>12903.434</v>
      </c>
      <c r="I2204" s="0" t="n">
        <v>3200.807</v>
      </c>
      <c r="J2204" s="0" t="n">
        <v>14112.742</v>
      </c>
      <c r="K2204" s="0" t="n">
        <v>94423.3317288889</v>
      </c>
      <c r="L2204" s="0" t="n">
        <v>71939</v>
      </c>
      <c r="M2204" s="0" t="n">
        <v>71919</v>
      </c>
      <c r="N2204" s="0" t="n">
        <v>27</v>
      </c>
      <c r="O2204" s="54" t="n">
        <f aca="false">YEAR(B2204)</f>
        <v>2021</v>
      </c>
      <c r="P2204" s="54" t="n">
        <f aca="false">IF(AND(E2204&gt;=14400,K2204&gt;0,L2204&gt;0),1,0)</f>
        <v>1</v>
      </c>
      <c r="Q2204" s="53" t="n">
        <f aca="false">IF(P2204=1,F2204/E2204*MIN(L2204/K2204,1)*MIN(MAX(M2204/L2204,0),1),0)</f>
        <v>0.576557783472728</v>
      </c>
      <c r="R2204" s="55" t="n">
        <f aca="false">IF(F2204&gt;0,N2204/(F2204/3600),0)</f>
        <v>1.80244488296931</v>
      </c>
    </row>
    <row r="2205" customFormat="false" ht="15" hidden="false" customHeight="false" outlineLevel="0" collapsed="false">
      <c r="A2205" s="0" t="s">
        <v>262</v>
      </c>
      <c r="B2205" s="52" t="n">
        <v>44298</v>
      </c>
      <c r="C2205" s="0" t="n">
        <v>83968.003</v>
      </c>
      <c r="D2205" s="0" t="n">
        <v>13691.672</v>
      </c>
      <c r="E2205" s="0" t="n">
        <v>70276.331</v>
      </c>
      <c r="F2205" s="0" t="n">
        <v>52882.3</v>
      </c>
      <c r="G2205" s="0" t="n">
        <v>45930.162</v>
      </c>
      <c r="H2205" s="0" t="n">
        <v>6952.138</v>
      </c>
      <c r="I2205" s="0" t="n">
        <v>6421.766</v>
      </c>
      <c r="J2205" s="0" t="n">
        <v>10972.265</v>
      </c>
      <c r="K2205" s="0" t="n">
        <v>85932.3261883333</v>
      </c>
      <c r="L2205" s="0" t="n">
        <v>79733</v>
      </c>
      <c r="M2205" s="0" t="n">
        <v>79721</v>
      </c>
      <c r="N2205" s="0" t="n">
        <v>26</v>
      </c>
      <c r="O2205" s="54" t="n">
        <f aca="false">YEAR(B2205)</f>
        <v>2021</v>
      </c>
      <c r="P2205" s="54" t="n">
        <f aca="false">IF(AND(E2205&gt;=14400,K2205&gt;0,L2205&gt;0),1,0)</f>
        <v>1</v>
      </c>
      <c r="Q2205" s="53" t="n">
        <f aca="false">IF(P2205=1,F2205/E2205*MIN(L2205/K2205,1)*MIN(MAX(M2205/L2205,0),1),0)</f>
        <v>0.698099658134258</v>
      </c>
      <c r="R2205" s="55" t="n">
        <f aca="false">IF(F2205&gt;0,N2205/(F2205/3600),0)</f>
        <v>1.76996840152565</v>
      </c>
    </row>
    <row r="2206" customFormat="false" ht="15" hidden="false" customHeight="false" outlineLevel="0" collapsed="false">
      <c r="A2206" s="0" t="s">
        <v>262</v>
      </c>
      <c r="B2206" s="52" t="n">
        <v>44299</v>
      </c>
      <c r="C2206" s="0" t="n">
        <v>86878.702</v>
      </c>
      <c r="D2206" s="0" t="n">
        <v>14565.873</v>
      </c>
      <c r="E2206" s="0" t="n">
        <v>72312.829</v>
      </c>
      <c r="F2206" s="0" t="n">
        <v>57556.011</v>
      </c>
      <c r="G2206" s="0" t="n">
        <v>48144.861</v>
      </c>
      <c r="H2206" s="0" t="n">
        <v>9411.15</v>
      </c>
      <c r="I2206" s="0" t="n">
        <v>1658.5</v>
      </c>
      <c r="J2206" s="0" t="n">
        <v>13098.318</v>
      </c>
      <c r="K2206" s="0" t="n">
        <v>90137.0202497222</v>
      </c>
      <c r="L2206" s="0" t="n">
        <v>79408</v>
      </c>
      <c r="M2206" s="0" t="n">
        <v>79266</v>
      </c>
      <c r="N2206" s="0" t="n">
        <v>15</v>
      </c>
      <c r="O2206" s="54" t="n">
        <f aca="false">YEAR(B2206)</f>
        <v>2021</v>
      </c>
      <c r="P2206" s="54" t="n">
        <f aca="false">IF(AND(E2206&gt;=14400,K2206&gt;0,L2206&gt;0),1,0)</f>
        <v>1</v>
      </c>
      <c r="Q2206" s="53" t="n">
        <f aca="false">IF(P2206=1,F2206/E2206*MIN(L2206/K2206,1)*MIN(MAX(M2206/L2206,0),1),0)</f>
        <v>0.699937207664353</v>
      </c>
      <c r="R2206" s="55" t="n">
        <f aca="false">IF(F2206&gt;0,N2206/(F2206/3600),0)</f>
        <v>0.938216513997122</v>
      </c>
    </row>
    <row r="2207" customFormat="false" ht="15" hidden="false" customHeight="false" outlineLevel="0" collapsed="false">
      <c r="A2207" s="0" t="s">
        <v>262</v>
      </c>
      <c r="B2207" s="52" t="n">
        <v>44300</v>
      </c>
      <c r="C2207" s="0" t="n">
        <v>86811.565</v>
      </c>
      <c r="D2207" s="0" t="n">
        <v>15801.266</v>
      </c>
      <c r="E2207" s="0" t="n">
        <v>71010.299</v>
      </c>
      <c r="F2207" s="0" t="n">
        <v>54521.29</v>
      </c>
      <c r="G2207" s="0" t="n">
        <v>42893.092</v>
      </c>
      <c r="H2207" s="0" t="n">
        <v>11628.198</v>
      </c>
      <c r="I2207" s="0" t="n">
        <v>3363.627</v>
      </c>
      <c r="J2207" s="0" t="n">
        <v>13125.382</v>
      </c>
      <c r="K2207" s="0" t="n">
        <v>90159.5860116667</v>
      </c>
      <c r="L2207" s="0" t="n">
        <v>73921</v>
      </c>
      <c r="M2207" s="0" t="n">
        <v>73725</v>
      </c>
      <c r="N2207" s="0" t="n">
        <v>28</v>
      </c>
      <c r="O2207" s="54" t="n">
        <f aca="false">YEAR(B2207)</f>
        <v>2021</v>
      </c>
      <c r="P2207" s="54" t="n">
        <f aca="false">IF(AND(E2207&gt;=14400,K2207&gt;0,L2207&gt;0),1,0)</f>
        <v>1</v>
      </c>
      <c r="Q2207" s="53" t="n">
        <f aca="false">IF(P2207=1,F2207/E2207*MIN(L2207/K2207,1)*MIN(MAX(M2207/L2207,0),1),0)</f>
        <v>0.627838080987014</v>
      </c>
      <c r="R2207" s="55" t="n">
        <f aca="false">IF(F2207&gt;0,N2207/(F2207/3600),0)</f>
        <v>1.84881905765619</v>
      </c>
    </row>
    <row r="2208" customFormat="false" ht="15" hidden="false" customHeight="false" outlineLevel="0" collapsed="false">
      <c r="A2208" s="0" t="s">
        <v>262</v>
      </c>
      <c r="B2208" s="52" t="n">
        <v>44301</v>
      </c>
      <c r="C2208" s="0" t="n">
        <v>80015.175</v>
      </c>
      <c r="D2208" s="0" t="n">
        <v>25539.824</v>
      </c>
      <c r="E2208" s="0" t="n">
        <v>54475.351</v>
      </c>
      <c r="F2208" s="0" t="n">
        <v>17553.902</v>
      </c>
      <c r="G2208" s="0" t="n">
        <v>13839.1</v>
      </c>
      <c r="H2208" s="0" t="n">
        <v>3714.802</v>
      </c>
      <c r="I2208" s="0" t="n">
        <v>640.76</v>
      </c>
      <c r="J2208" s="0" t="n">
        <v>36280.689</v>
      </c>
      <c r="K2208" s="0" t="n">
        <v>29278.7049388889</v>
      </c>
      <c r="L2208" s="0" t="n">
        <v>24598</v>
      </c>
      <c r="M2208" s="0" t="n">
        <v>24592</v>
      </c>
      <c r="N2208" s="0" t="n">
        <v>3</v>
      </c>
      <c r="O2208" s="54" t="n">
        <f aca="false">YEAR(B2208)</f>
        <v>2021</v>
      </c>
      <c r="P2208" s="54" t="n">
        <f aca="false">IF(AND(E2208&gt;=14400,K2208&gt;0,L2208&gt;0),1,0)</f>
        <v>1</v>
      </c>
      <c r="Q2208" s="53" t="n">
        <f aca="false">IF(P2208=1,F2208/E2208*MIN(L2208/K2208,1)*MIN(MAX(M2208/L2208,0),1),0)</f>
        <v>0.270654728810586</v>
      </c>
      <c r="R2208" s="55" t="n">
        <f aca="false">IF(F2208&gt;0,N2208/(F2208/3600),0)</f>
        <v>0.615247823532341</v>
      </c>
    </row>
    <row r="2209" customFormat="false" ht="15" hidden="false" customHeight="false" outlineLevel="0" collapsed="false">
      <c r="A2209" s="0" t="s">
        <v>262</v>
      </c>
      <c r="B2209" s="52" t="n">
        <v>44302</v>
      </c>
      <c r="C2209" s="0" t="n">
        <v>82662.714</v>
      </c>
      <c r="D2209" s="0" t="n">
        <v>30656.329</v>
      </c>
      <c r="E2209" s="0" t="n">
        <v>52006.385</v>
      </c>
      <c r="F2209" s="0" t="n">
        <v>26724.167</v>
      </c>
      <c r="G2209" s="0" t="n">
        <v>20217.354</v>
      </c>
      <c r="H2209" s="0" t="n">
        <v>6506.813</v>
      </c>
      <c r="I2209" s="0" t="n">
        <v>2078.524</v>
      </c>
      <c r="J2209" s="0" t="n">
        <v>23203.694</v>
      </c>
      <c r="K2209" s="0" t="n">
        <v>44786.5570455556</v>
      </c>
      <c r="L2209" s="0" t="n">
        <v>35315</v>
      </c>
      <c r="M2209" s="0" t="n">
        <v>35305</v>
      </c>
      <c r="N2209" s="0" t="n">
        <v>12</v>
      </c>
      <c r="O2209" s="54" t="n">
        <f aca="false">YEAR(B2209)</f>
        <v>2021</v>
      </c>
      <c r="P2209" s="54" t="n">
        <f aca="false">IF(AND(E2209&gt;=14400,K2209&gt;0,L2209&gt;0),1,0)</f>
        <v>1</v>
      </c>
      <c r="Q2209" s="53" t="n">
        <f aca="false">IF(P2209=1,F2209/E2209*MIN(L2209/K2209,1)*MIN(MAX(M2209/L2209,0),1),0)</f>
        <v>0.405075567089921</v>
      </c>
      <c r="R2209" s="55" t="n">
        <f aca="false">IF(F2209&gt;0,N2209/(F2209/3600),0)</f>
        <v>1.61651437068179</v>
      </c>
    </row>
    <row r="2210" customFormat="false" ht="15" hidden="false" customHeight="false" outlineLevel="0" collapsed="false">
      <c r="A2210" s="0" t="s">
        <v>262</v>
      </c>
      <c r="B2210" s="52" t="n">
        <v>44303</v>
      </c>
      <c r="C2210" s="0" t="n">
        <v>77665.008</v>
      </c>
      <c r="D2210" s="0" t="n">
        <v>12768.49</v>
      </c>
      <c r="E2210" s="0" t="n">
        <v>64896.518</v>
      </c>
      <c r="F2210" s="0" t="n">
        <v>32627.458</v>
      </c>
      <c r="G2210" s="0" t="n">
        <v>28516.99</v>
      </c>
      <c r="H2210" s="0" t="n">
        <v>4110.468</v>
      </c>
      <c r="I2210" s="0" t="n">
        <v>1169.661</v>
      </c>
      <c r="J2210" s="0" t="n">
        <v>31099.399</v>
      </c>
      <c r="K2210" s="0" t="n">
        <v>49758.9551297222</v>
      </c>
      <c r="L2210" s="0" t="n">
        <v>50358</v>
      </c>
      <c r="M2210" s="0" t="n">
        <v>50350</v>
      </c>
      <c r="N2210" s="0" t="n">
        <v>4</v>
      </c>
      <c r="O2210" s="54" t="n">
        <f aca="false">YEAR(B2210)</f>
        <v>2021</v>
      </c>
      <c r="P2210" s="54" t="n">
        <f aca="false">IF(AND(E2210&gt;=14400,K2210&gt;0,L2210&gt;0),1,0)</f>
        <v>1</v>
      </c>
      <c r="Q2210" s="53" t="n">
        <f aca="false">IF(P2210=1,F2210/E2210*MIN(L2210/K2210,1)*MIN(MAX(M2210/L2210,0),1),0)</f>
        <v>0.502681433833043</v>
      </c>
      <c r="R2210" s="55" t="n">
        <f aca="false">IF(F2210&gt;0,N2210/(F2210/3600),0)</f>
        <v>0.441346058893096</v>
      </c>
    </row>
    <row r="2211" customFormat="false" ht="15" hidden="false" customHeight="false" outlineLevel="0" collapsed="false">
      <c r="A2211" s="0" t="s">
        <v>262</v>
      </c>
      <c r="B2211" s="52" t="n">
        <v>44304</v>
      </c>
      <c r="C2211" s="0" t="n">
        <v>88489.201</v>
      </c>
      <c r="D2211" s="0" t="n">
        <v>18417.719</v>
      </c>
      <c r="E2211" s="0" t="n">
        <v>70071.482</v>
      </c>
      <c r="F2211" s="0" t="n">
        <v>50193.489</v>
      </c>
      <c r="G2211" s="0" t="n">
        <v>45194.771</v>
      </c>
      <c r="H2211" s="0" t="n">
        <v>4998.718</v>
      </c>
      <c r="I2211" s="0" t="n">
        <v>1056.422</v>
      </c>
      <c r="J2211" s="0" t="n">
        <v>18821.571</v>
      </c>
      <c r="K2211" s="0" t="n">
        <v>84574.6949252778</v>
      </c>
      <c r="L2211" s="0" t="n">
        <v>78530</v>
      </c>
      <c r="M2211" s="0" t="n">
        <v>78484</v>
      </c>
      <c r="N2211" s="0" t="n">
        <v>11</v>
      </c>
      <c r="O2211" s="54" t="n">
        <f aca="false">YEAR(B2211)</f>
        <v>2021</v>
      </c>
      <c r="P2211" s="54" t="n">
        <f aca="false">IF(AND(E2211&gt;=14400,K2211&gt;0,L2211&gt;0),1,0)</f>
        <v>1</v>
      </c>
      <c r="Q2211" s="53" t="n">
        <f aca="false">IF(P2211=1,F2211/E2211*MIN(L2211/K2211,1)*MIN(MAX(M2211/L2211,0),1),0)</f>
        <v>0.664732283558525</v>
      </c>
      <c r="R2211" s="55" t="n">
        <f aca="false">IF(F2211&gt;0,N2211/(F2211/3600),0)</f>
        <v>0.788946948876178</v>
      </c>
    </row>
    <row r="2212" customFormat="false" ht="15" hidden="false" customHeight="false" outlineLevel="0" collapsed="false">
      <c r="A2212" s="0" t="s">
        <v>262</v>
      </c>
      <c r="B2212" s="52" t="n">
        <v>44305</v>
      </c>
      <c r="C2212" s="0" t="n">
        <v>83399.171</v>
      </c>
      <c r="D2212" s="0" t="n">
        <v>14411.852</v>
      </c>
      <c r="E2212" s="0" t="n">
        <v>68987.319</v>
      </c>
      <c r="F2212" s="0" t="n">
        <v>55296.214</v>
      </c>
      <c r="G2212" s="0" t="n">
        <v>46509.232</v>
      </c>
      <c r="H2212" s="0" t="n">
        <v>8786.982</v>
      </c>
      <c r="I2212" s="0" t="n">
        <v>1985.989</v>
      </c>
      <c r="J2212" s="0" t="n">
        <v>11705.116</v>
      </c>
      <c r="K2212" s="0" t="n">
        <v>92325.5972372222</v>
      </c>
      <c r="L2212" s="0" t="n">
        <v>80442</v>
      </c>
      <c r="M2212" s="0" t="n">
        <v>80296</v>
      </c>
      <c r="N2212" s="0" t="n">
        <v>18</v>
      </c>
      <c r="O2212" s="54" t="n">
        <f aca="false">YEAR(B2212)</f>
        <v>2021</v>
      </c>
      <c r="P2212" s="54" t="n">
        <f aca="false">IF(AND(E2212&gt;=14400,K2212&gt;0,L2212&gt;0),1,0)</f>
        <v>1</v>
      </c>
      <c r="Q2212" s="53" t="n">
        <f aca="false">IF(P2212=1,F2212/E2212*MIN(L2212/K2212,1)*MIN(MAX(M2212/L2212,0),1),0)</f>
        <v>0.697104546210495</v>
      </c>
      <c r="R2212" s="55" t="n">
        <f aca="false">IF(F2212&gt;0,N2212/(F2212/3600),0)</f>
        <v>1.17187046476636</v>
      </c>
    </row>
    <row r="2213" customFormat="false" ht="15" hidden="false" customHeight="false" outlineLevel="0" collapsed="false">
      <c r="A2213" s="0" t="s">
        <v>262</v>
      </c>
      <c r="B2213" s="52" t="n">
        <v>44306</v>
      </c>
      <c r="C2213" s="0" t="n">
        <v>86585.78</v>
      </c>
      <c r="D2213" s="0" t="n">
        <v>19002.866</v>
      </c>
      <c r="E2213" s="0" t="n">
        <v>67582.914</v>
      </c>
      <c r="F2213" s="0" t="n">
        <v>56698.406</v>
      </c>
      <c r="G2213" s="0" t="n">
        <v>50397.85</v>
      </c>
      <c r="H2213" s="0" t="n">
        <v>6300.556</v>
      </c>
      <c r="I2213" s="0" t="n">
        <v>1590.45</v>
      </c>
      <c r="J2213" s="0" t="n">
        <v>9294.058</v>
      </c>
      <c r="K2213" s="0" t="n">
        <v>99324.2457338889</v>
      </c>
      <c r="L2213" s="0" t="n">
        <v>90309</v>
      </c>
      <c r="M2213" s="0" t="n">
        <v>90245</v>
      </c>
      <c r="N2213" s="0" t="n">
        <v>12</v>
      </c>
      <c r="O2213" s="54" t="n">
        <f aca="false">YEAR(B2213)</f>
        <v>2021</v>
      </c>
      <c r="P2213" s="54" t="n">
        <f aca="false">IF(AND(E2213&gt;=14400,K2213&gt;0,L2213&gt;0),1,0)</f>
        <v>1</v>
      </c>
      <c r="Q2213" s="53" t="n">
        <f aca="false">IF(P2213=1,F2213/E2213*MIN(L2213/K2213,1)*MIN(MAX(M2213/L2213,0),1),0)</f>
        <v>0.762257681399184</v>
      </c>
      <c r="R2213" s="55" t="n">
        <f aca="false">IF(F2213&gt;0,N2213/(F2213/3600),0)</f>
        <v>0.761926181840103</v>
      </c>
    </row>
    <row r="2214" customFormat="false" ht="15" hidden="false" customHeight="false" outlineLevel="0" collapsed="false">
      <c r="A2214" s="0" t="s">
        <v>262</v>
      </c>
      <c r="B2214" s="52" t="n">
        <v>44307</v>
      </c>
      <c r="C2214" s="0" t="n">
        <v>85845.155</v>
      </c>
      <c r="D2214" s="0" t="n">
        <v>16849.436</v>
      </c>
      <c r="E2214" s="0" t="n">
        <v>68995.719</v>
      </c>
      <c r="F2214" s="0" t="n">
        <v>52275.904</v>
      </c>
      <c r="G2214" s="0" t="n">
        <v>36784.641</v>
      </c>
      <c r="H2214" s="0" t="n">
        <v>15491.263</v>
      </c>
      <c r="I2214" s="0" t="n">
        <v>1244.073</v>
      </c>
      <c r="J2214" s="0" t="n">
        <v>15475.742</v>
      </c>
      <c r="K2214" s="0" t="n">
        <v>85057.8525644445</v>
      </c>
      <c r="L2214" s="0" t="n">
        <v>62117</v>
      </c>
      <c r="M2214" s="0" t="n">
        <v>62101</v>
      </c>
      <c r="N2214" s="0" t="n">
        <v>10</v>
      </c>
      <c r="O2214" s="54" t="n">
        <f aca="false">YEAR(B2214)</f>
        <v>2021</v>
      </c>
      <c r="P2214" s="54" t="n">
        <f aca="false">IF(AND(E2214&gt;=14400,K2214&gt;0,L2214&gt;0),1,0)</f>
        <v>1</v>
      </c>
      <c r="Q2214" s="53" t="n">
        <f aca="false">IF(P2214=1,F2214/E2214*MIN(L2214/K2214,1)*MIN(MAX(M2214/L2214,0),1),0)</f>
        <v>0.553176327315542</v>
      </c>
      <c r="R2214" s="55" t="n">
        <f aca="false">IF(F2214&gt;0,N2214/(F2214/3600),0)</f>
        <v>0.688653801185342</v>
      </c>
    </row>
    <row r="2215" customFormat="false" ht="15" hidden="false" customHeight="false" outlineLevel="0" collapsed="false">
      <c r="A2215" s="0" t="s">
        <v>262</v>
      </c>
      <c r="B2215" s="52" t="n">
        <v>44308</v>
      </c>
      <c r="C2215" s="0" t="n">
        <v>83558.889</v>
      </c>
      <c r="D2215" s="0" t="n">
        <v>15262.8</v>
      </c>
      <c r="E2215" s="0" t="n">
        <v>68296.089</v>
      </c>
      <c r="F2215" s="0" t="n">
        <v>56967.981</v>
      </c>
      <c r="G2215" s="0" t="n">
        <v>50226.238</v>
      </c>
      <c r="H2215" s="0" t="n">
        <v>6741.743</v>
      </c>
      <c r="I2215" s="0" t="n">
        <v>1187.899</v>
      </c>
      <c r="J2215" s="0" t="n">
        <v>10140.209</v>
      </c>
      <c r="K2215" s="0" t="n">
        <v>87295.3432005556</v>
      </c>
      <c r="L2215" s="0" t="n">
        <v>86412</v>
      </c>
      <c r="M2215" s="0" t="n">
        <v>86314</v>
      </c>
      <c r="N2215" s="0" t="n">
        <v>13</v>
      </c>
      <c r="O2215" s="54" t="n">
        <f aca="false">YEAR(B2215)</f>
        <v>2021</v>
      </c>
      <c r="P2215" s="54" t="n">
        <f aca="false">IF(AND(E2215&gt;=14400,K2215&gt;0,L2215&gt;0),1,0)</f>
        <v>1</v>
      </c>
      <c r="Q2215" s="53" t="n">
        <f aca="false">IF(P2215=1,F2215/E2215*MIN(L2215/K2215,1)*MIN(MAX(M2215/L2215,0),1),0)</f>
        <v>0.824755385612036</v>
      </c>
      <c r="R2215" s="55" t="n">
        <f aca="false">IF(F2215&gt;0,N2215/(F2215/3600),0)</f>
        <v>0.821514106318776</v>
      </c>
    </row>
    <row r="2216" customFormat="false" ht="15" hidden="false" customHeight="false" outlineLevel="0" collapsed="false">
      <c r="A2216" s="0" t="s">
        <v>262</v>
      </c>
      <c r="B2216" s="52" t="n">
        <v>44309</v>
      </c>
      <c r="C2216" s="0" t="n">
        <v>85629.808</v>
      </c>
      <c r="D2216" s="0" t="n">
        <v>15700.795</v>
      </c>
      <c r="E2216" s="0" t="n">
        <v>69929.013</v>
      </c>
      <c r="F2216" s="0" t="n">
        <v>40858.273</v>
      </c>
      <c r="G2216" s="0" t="n">
        <v>31063.089</v>
      </c>
      <c r="H2216" s="0" t="n">
        <v>9795.184</v>
      </c>
      <c r="I2216" s="0" t="n">
        <v>1415.495</v>
      </c>
      <c r="J2216" s="0" t="n">
        <v>27655.245</v>
      </c>
      <c r="K2216" s="0" t="n">
        <v>65088.0911016667</v>
      </c>
      <c r="L2216" s="0" t="n">
        <v>50688</v>
      </c>
      <c r="M2216" s="0" t="n">
        <v>50654</v>
      </c>
      <c r="N2216" s="0" t="n">
        <v>42</v>
      </c>
      <c r="O2216" s="54" t="n">
        <f aca="false">YEAR(B2216)</f>
        <v>2021</v>
      </c>
      <c r="P2216" s="54" t="n">
        <f aca="false">IF(AND(E2216&gt;=14400,K2216&gt;0,L2216&gt;0),1,0)</f>
        <v>1</v>
      </c>
      <c r="Q2216" s="53" t="n">
        <f aca="false">IF(P2216=1,F2216/E2216*MIN(L2216/K2216,1)*MIN(MAX(M2216/L2216,0),1),0)</f>
        <v>0.454710328036201</v>
      </c>
      <c r="R2216" s="55" t="n">
        <f aca="false">IF(F2216&gt;0,N2216/(F2216/3600),0)</f>
        <v>3.70059693908257</v>
      </c>
    </row>
    <row r="2217" customFormat="false" ht="15" hidden="false" customHeight="false" outlineLevel="0" collapsed="false">
      <c r="A2217" s="0" t="s">
        <v>262</v>
      </c>
      <c r="B2217" s="52" t="n">
        <v>44310</v>
      </c>
      <c r="C2217" s="0" t="n">
        <v>89992.347</v>
      </c>
      <c r="D2217" s="0" t="n">
        <v>13089.866</v>
      </c>
      <c r="E2217" s="0" t="n">
        <v>76902.481</v>
      </c>
      <c r="F2217" s="0" t="n">
        <v>41502.616</v>
      </c>
      <c r="G2217" s="0" t="n">
        <v>34470.898</v>
      </c>
      <c r="H2217" s="0" t="n">
        <v>7031.718</v>
      </c>
      <c r="I2217" s="0" t="n">
        <v>3650.354</v>
      </c>
      <c r="J2217" s="0" t="n">
        <v>31749.511</v>
      </c>
      <c r="K2217" s="0" t="n">
        <v>73106.9750908333</v>
      </c>
      <c r="L2217" s="0" t="n">
        <v>59901</v>
      </c>
      <c r="M2217" s="0" t="n">
        <v>59543</v>
      </c>
      <c r="N2217" s="0" t="n">
        <v>35</v>
      </c>
      <c r="O2217" s="54" t="n">
        <f aca="false">YEAR(B2217)</f>
        <v>2021</v>
      </c>
      <c r="P2217" s="54" t="n">
        <f aca="false">IF(AND(E2217&gt;=14400,K2217&gt;0,L2217&gt;0),1,0)</f>
        <v>1</v>
      </c>
      <c r="Q2217" s="53" t="n">
        <f aca="false">IF(P2217=1,F2217/E2217*MIN(L2217/K2217,1)*MIN(MAX(M2217/L2217,0),1),0)</f>
        <v>0.439548718862973</v>
      </c>
      <c r="R2217" s="55" t="n">
        <f aca="false">IF(F2217&gt;0,N2217/(F2217/3600),0)</f>
        <v>3.03595320352818</v>
      </c>
    </row>
    <row r="2218" customFormat="false" ht="15" hidden="false" customHeight="false" outlineLevel="0" collapsed="false">
      <c r="A2218" s="0" t="s">
        <v>262</v>
      </c>
      <c r="B2218" s="52" t="n">
        <v>44311</v>
      </c>
      <c r="C2218" s="0" t="n">
        <v>86019.757</v>
      </c>
      <c r="D2218" s="0" t="n">
        <v>18516.672</v>
      </c>
      <c r="E2218" s="0" t="n">
        <v>67503.085</v>
      </c>
      <c r="F2218" s="0" t="n">
        <v>49003.655</v>
      </c>
      <c r="G2218" s="0" t="n">
        <v>43956.569</v>
      </c>
      <c r="H2218" s="0" t="n">
        <v>5047.086</v>
      </c>
      <c r="I2218" s="0" t="n">
        <v>1682.858</v>
      </c>
      <c r="J2218" s="0" t="n">
        <v>16816.572</v>
      </c>
      <c r="K2218" s="0" t="n">
        <v>85273.5420955556</v>
      </c>
      <c r="L2218" s="0" t="n">
        <v>77996</v>
      </c>
      <c r="M2218" s="0" t="n">
        <v>77688</v>
      </c>
      <c r="N2218" s="0" t="n">
        <v>21</v>
      </c>
      <c r="O2218" s="54" t="n">
        <f aca="false">YEAR(B2218)</f>
        <v>2021</v>
      </c>
      <c r="P2218" s="54" t="n">
        <f aca="false">IF(AND(E2218&gt;=14400,K2218&gt;0,L2218&gt;0),1,0)</f>
        <v>1</v>
      </c>
      <c r="Q2218" s="53" t="n">
        <f aca="false">IF(P2218=1,F2218/E2218*MIN(L2218/K2218,1)*MIN(MAX(M2218/L2218,0),1),0)</f>
        <v>0.661369998716919</v>
      </c>
      <c r="R2218" s="55" t="n">
        <f aca="false">IF(F2218&gt;0,N2218/(F2218/3600),0)</f>
        <v>1.54274206689277</v>
      </c>
    </row>
    <row r="2219" customFormat="false" ht="15" hidden="false" customHeight="false" outlineLevel="0" collapsed="false">
      <c r="A2219" s="0" t="s">
        <v>262</v>
      </c>
      <c r="B2219" s="52" t="n">
        <v>44312</v>
      </c>
      <c r="C2219" s="0" t="n">
        <v>80648.632</v>
      </c>
      <c r="D2219" s="0" t="n">
        <v>15993.352</v>
      </c>
      <c r="E2219" s="0" t="n">
        <v>64655.28</v>
      </c>
      <c r="F2219" s="0" t="n">
        <v>52756.247</v>
      </c>
      <c r="G2219" s="0" t="n">
        <v>41836.989</v>
      </c>
      <c r="H2219" s="0" t="n">
        <v>10919.258</v>
      </c>
      <c r="I2219" s="0" t="n">
        <v>1884.024</v>
      </c>
      <c r="J2219" s="0" t="n">
        <v>10015.009</v>
      </c>
      <c r="K2219" s="0" t="n">
        <v>88241.8903858333</v>
      </c>
      <c r="L2219" s="0" t="n">
        <v>71844</v>
      </c>
      <c r="M2219" s="0" t="n">
        <v>71676</v>
      </c>
      <c r="N2219" s="0" t="n">
        <v>25</v>
      </c>
      <c r="O2219" s="54" t="n">
        <f aca="false">YEAR(B2219)</f>
        <v>2021</v>
      </c>
      <c r="P2219" s="54" t="n">
        <f aca="false">IF(AND(E2219&gt;=14400,K2219&gt;0,L2219&gt;0),1,0)</f>
        <v>1</v>
      </c>
      <c r="Q2219" s="53" t="n">
        <f aca="false">IF(P2219=1,F2219/E2219*MIN(L2219/K2219,1)*MIN(MAX(M2219/L2219,0),1),0)</f>
        <v>0.66277917415027</v>
      </c>
      <c r="R2219" s="55" t="n">
        <f aca="false">IF(F2219&gt;0,N2219/(F2219/3600),0)</f>
        <v>1.7059591066059</v>
      </c>
    </row>
    <row r="2220" customFormat="false" ht="15" hidden="false" customHeight="false" outlineLevel="0" collapsed="false">
      <c r="A2220" s="0" t="s">
        <v>262</v>
      </c>
      <c r="B2220" s="52" t="n">
        <v>44313</v>
      </c>
      <c r="C2220" s="0" t="n">
        <v>84337.692</v>
      </c>
      <c r="D2220" s="0" t="n">
        <v>14799.798</v>
      </c>
      <c r="E2220" s="0" t="n">
        <v>69537.894</v>
      </c>
      <c r="F2220" s="0" t="n">
        <v>52727.737</v>
      </c>
      <c r="G2220" s="0" t="n">
        <v>43697.38</v>
      </c>
      <c r="H2220" s="0" t="n">
        <v>9030.357</v>
      </c>
      <c r="I2220" s="0" t="n">
        <v>4490.21</v>
      </c>
      <c r="J2220" s="0" t="n">
        <v>12319.947</v>
      </c>
      <c r="K2220" s="0" t="n">
        <v>85260.4013830556</v>
      </c>
      <c r="L2220" s="0" t="n">
        <v>76757</v>
      </c>
      <c r="M2220" s="0" t="n">
        <v>76682</v>
      </c>
      <c r="N2220" s="0" t="n">
        <v>74</v>
      </c>
      <c r="O2220" s="54" t="n">
        <f aca="false">YEAR(B2220)</f>
        <v>2021</v>
      </c>
      <c r="P2220" s="54" t="n">
        <f aca="false">IF(AND(E2220&gt;=14400,K2220&gt;0,L2220&gt;0),1,0)</f>
        <v>1</v>
      </c>
      <c r="Q2220" s="53" t="n">
        <f aca="false">IF(P2220=1,F2220/E2220*MIN(L2220/K2220,1)*MIN(MAX(M2220/L2220,0),1),0)</f>
        <v>0.681967467193477</v>
      </c>
      <c r="R2220" s="55" t="n">
        <f aca="false">IF(F2220&gt;0,N2220/(F2220/3600),0)</f>
        <v>5.05236930612061</v>
      </c>
    </row>
    <row r="2221" customFormat="false" ht="15" hidden="false" customHeight="false" outlineLevel="0" collapsed="false">
      <c r="A2221" s="0" t="s">
        <v>262</v>
      </c>
      <c r="B2221" s="52" t="n">
        <v>44314</v>
      </c>
      <c r="C2221" s="0" t="n">
        <v>83159.914</v>
      </c>
      <c r="D2221" s="0" t="n">
        <v>27067.465</v>
      </c>
      <c r="E2221" s="0" t="n">
        <v>56092.449</v>
      </c>
      <c r="F2221" s="0" t="n">
        <v>38579.729</v>
      </c>
      <c r="G2221" s="0" t="n">
        <v>34357.13</v>
      </c>
      <c r="H2221" s="0" t="n">
        <v>4222.599</v>
      </c>
      <c r="I2221" s="0" t="n">
        <v>673.614</v>
      </c>
      <c r="J2221" s="0" t="n">
        <v>16839.106</v>
      </c>
      <c r="K2221" s="0" t="n">
        <v>65032.2644530556</v>
      </c>
      <c r="L2221" s="0" t="n">
        <v>59658</v>
      </c>
      <c r="M2221" s="0" t="n">
        <v>59570</v>
      </c>
      <c r="N2221" s="0" t="n">
        <v>18</v>
      </c>
      <c r="O2221" s="54" t="n">
        <f aca="false">YEAR(B2221)</f>
        <v>2021</v>
      </c>
      <c r="P2221" s="54" t="n">
        <f aca="false">IF(AND(E2221&gt;=14400,K2221&gt;0,L2221&gt;0),1,0)</f>
        <v>1</v>
      </c>
      <c r="Q2221" s="53" t="n">
        <f aca="false">IF(P2221=1,F2221/E2221*MIN(L2221/K2221,1)*MIN(MAX(M2221/L2221,0),1),0)</f>
        <v>0.63001877859134</v>
      </c>
      <c r="R2221" s="55" t="n">
        <f aca="false">IF(F2221&gt;0,N2221/(F2221/3600),0)</f>
        <v>1.67963854800535</v>
      </c>
    </row>
    <row r="2222" customFormat="false" ht="15" hidden="false" customHeight="false" outlineLevel="0" collapsed="false">
      <c r="A2222" s="0" t="s">
        <v>262</v>
      </c>
      <c r="B2222" s="52" t="n">
        <v>44315</v>
      </c>
      <c r="C2222" s="0" t="n">
        <v>90742.072</v>
      </c>
      <c r="D2222" s="0" t="n">
        <v>18797.384</v>
      </c>
      <c r="E2222" s="0" t="n">
        <v>71944.688</v>
      </c>
      <c r="F2222" s="0" t="n">
        <v>52070.099</v>
      </c>
      <c r="G2222" s="0" t="n">
        <v>41473.743</v>
      </c>
      <c r="H2222" s="0" t="n">
        <v>10596.356</v>
      </c>
      <c r="I2222" s="0" t="n">
        <v>1508.851</v>
      </c>
      <c r="J2222" s="0" t="n">
        <v>18365.738</v>
      </c>
      <c r="K2222" s="0" t="n">
        <v>79266.3695408333</v>
      </c>
      <c r="L2222" s="0" t="n">
        <v>69008</v>
      </c>
      <c r="M2222" s="0" t="n">
        <v>68927</v>
      </c>
      <c r="N2222" s="0" t="n">
        <v>16</v>
      </c>
      <c r="O2222" s="54" t="n">
        <f aca="false">YEAR(B2222)</f>
        <v>2021</v>
      </c>
      <c r="P2222" s="54" t="n">
        <f aca="false">IF(AND(E2222&gt;=14400,K2222&gt;0,L2222&gt;0),1,0)</f>
        <v>1</v>
      </c>
      <c r="Q2222" s="53" t="n">
        <f aca="false">IF(P2222=1,F2222/E2222*MIN(L2222/K2222,1)*MIN(MAX(M2222/L2222,0),1),0)</f>
        <v>0.629346873102951</v>
      </c>
      <c r="R2222" s="55" t="n">
        <f aca="false">IF(F2222&gt;0,N2222/(F2222/3600),0)</f>
        <v>1.10620108481069</v>
      </c>
    </row>
    <row r="2223" customFormat="false" ht="15" hidden="false" customHeight="false" outlineLevel="0" collapsed="false">
      <c r="A2223" s="0" t="s">
        <v>262</v>
      </c>
      <c r="B2223" s="52" t="n">
        <v>44316</v>
      </c>
      <c r="C2223" s="0" t="n">
        <v>82047.873</v>
      </c>
      <c r="D2223" s="0" t="n">
        <v>15498.881</v>
      </c>
      <c r="E2223" s="0" t="n">
        <v>66548.992</v>
      </c>
      <c r="F2223" s="0" t="n">
        <v>40541.147</v>
      </c>
      <c r="G2223" s="0" t="n">
        <v>38509.098</v>
      </c>
      <c r="H2223" s="0" t="n">
        <v>2032.049</v>
      </c>
      <c r="I2223" s="0" t="n">
        <v>4034.936</v>
      </c>
      <c r="J2223" s="0" t="n">
        <v>21972.909</v>
      </c>
      <c r="K2223" s="0" t="n">
        <v>73173.7261666667</v>
      </c>
      <c r="L2223" s="0" t="n">
        <v>69462</v>
      </c>
      <c r="M2223" s="0" t="n">
        <v>69063</v>
      </c>
      <c r="N2223" s="0" t="n">
        <v>46</v>
      </c>
      <c r="O2223" s="54" t="n">
        <f aca="false">YEAR(B2223)</f>
        <v>2021</v>
      </c>
      <c r="P2223" s="54" t="n">
        <f aca="false">IF(AND(E2223&gt;=14400,K2223&gt;0,L2223&gt;0),1,0)</f>
        <v>1</v>
      </c>
      <c r="Q2223" s="53" t="n">
        <f aca="false">IF(P2223=1,F2223/E2223*MIN(L2223/K2223,1)*MIN(MAX(M2223/L2223,0),1),0)</f>
        <v>0.574969514739876</v>
      </c>
      <c r="R2223" s="55" t="n">
        <f aca="false">IF(F2223&gt;0,N2223/(F2223/3600),0)</f>
        <v>4.08473889502929</v>
      </c>
    </row>
    <row r="2224" customFormat="false" ht="15" hidden="false" customHeight="false" outlineLevel="0" collapsed="false">
      <c r="A2224" s="0" t="s">
        <v>262</v>
      </c>
      <c r="B2224" s="52" t="n">
        <v>44317</v>
      </c>
      <c r="C2224" s="0" t="n">
        <v>87399.149</v>
      </c>
      <c r="D2224" s="0" t="n">
        <v>5628.684</v>
      </c>
      <c r="E2224" s="0" t="n">
        <v>81770.465</v>
      </c>
      <c r="F2224" s="0" t="n">
        <v>37898.086</v>
      </c>
      <c r="G2224" s="0" t="n">
        <v>33643.961</v>
      </c>
      <c r="H2224" s="0" t="n">
        <v>4254.125</v>
      </c>
      <c r="I2224" s="0" t="n">
        <v>4132.549</v>
      </c>
      <c r="J2224" s="0" t="n">
        <v>39739.83</v>
      </c>
      <c r="K2224" s="0" t="n">
        <v>66726.6886916667</v>
      </c>
      <c r="L2224" s="0" t="n">
        <v>59402</v>
      </c>
      <c r="M2224" s="0" t="n">
        <v>59174</v>
      </c>
      <c r="N2224" s="0" t="n">
        <v>23</v>
      </c>
      <c r="O2224" s="54" t="n">
        <f aca="false">YEAR(B2224)</f>
        <v>2021</v>
      </c>
      <c r="P2224" s="54" t="n">
        <f aca="false">IF(AND(E2224&gt;=14400,K2224&gt;0,L2224&gt;0),1,0)</f>
        <v>1</v>
      </c>
      <c r="Q2224" s="53" t="n">
        <f aca="false">IF(P2224=1,F2224/E2224*MIN(L2224/K2224,1)*MIN(MAX(M2224/L2224,0),1),0)</f>
        <v>0.411009786917664</v>
      </c>
      <c r="R2224" s="55" t="n">
        <f aca="false">IF(F2224&gt;0,N2224/(F2224/3600),0)</f>
        <v>2.18480690555191</v>
      </c>
    </row>
    <row r="2225" customFormat="false" ht="15" hidden="false" customHeight="false" outlineLevel="0" collapsed="false">
      <c r="A2225" s="0" t="s">
        <v>262</v>
      </c>
      <c r="B2225" s="52" t="n">
        <v>44318</v>
      </c>
      <c r="C2225" s="0" t="n">
        <v>78690.829</v>
      </c>
      <c r="D2225" s="0" t="n">
        <v>8405.592</v>
      </c>
      <c r="E2225" s="0" t="n">
        <v>70285.237</v>
      </c>
      <c r="F2225" s="0" t="n">
        <v>29000.373</v>
      </c>
      <c r="G2225" s="0" t="n">
        <v>20756.552</v>
      </c>
      <c r="H2225" s="0" t="n">
        <v>8243.821</v>
      </c>
      <c r="I2225" s="0" t="n">
        <v>1481.882</v>
      </c>
      <c r="J2225" s="0" t="n">
        <v>39802.982</v>
      </c>
      <c r="K2225" s="0" t="n">
        <v>49242.2795627778</v>
      </c>
      <c r="L2225" s="0" t="n">
        <v>36649</v>
      </c>
      <c r="M2225" s="0" t="n">
        <v>36552</v>
      </c>
      <c r="N2225" s="0" t="n">
        <v>19</v>
      </c>
      <c r="O2225" s="54" t="n">
        <f aca="false">YEAR(B2225)</f>
        <v>2021</v>
      </c>
      <c r="P2225" s="54" t="n">
        <f aca="false">IF(AND(E2225&gt;=14400,K2225&gt;0,L2225&gt;0),1,0)</f>
        <v>1</v>
      </c>
      <c r="Q2225" s="53" t="n">
        <f aca="false">IF(P2225=1,F2225/E2225*MIN(L2225/K2225,1)*MIN(MAX(M2225/L2225,0),1),0)</f>
        <v>0.30627564688067</v>
      </c>
      <c r="R2225" s="55" t="n">
        <f aca="false">IF(F2225&gt;0,N2225/(F2225/3600),0)</f>
        <v>2.35859035330339</v>
      </c>
    </row>
    <row r="2226" customFormat="false" ht="15" hidden="false" customHeight="false" outlineLevel="0" collapsed="false">
      <c r="A2226" s="0" t="s">
        <v>262</v>
      </c>
      <c r="B2226" s="52" t="n">
        <v>44319</v>
      </c>
      <c r="C2226" s="0" t="n">
        <v>75370.827</v>
      </c>
      <c r="D2226" s="0" t="n">
        <v>6922.735</v>
      </c>
      <c r="E2226" s="0" t="n">
        <v>68448.092</v>
      </c>
      <c r="F2226" s="0" t="n">
        <v>53306.269</v>
      </c>
      <c r="G2226" s="0" t="n">
        <v>47536.16</v>
      </c>
      <c r="H2226" s="0" t="n">
        <v>5770.109</v>
      </c>
      <c r="I2226" s="0" t="n">
        <v>4019.163</v>
      </c>
      <c r="J2226" s="0" t="n">
        <v>11122.66</v>
      </c>
      <c r="K2226" s="0" t="n">
        <v>91450.4098827778</v>
      </c>
      <c r="L2226" s="0" t="n">
        <v>82890</v>
      </c>
      <c r="M2226" s="0" t="n">
        <v>82629</v>
      </c>
      <c r="N2226" s="0" t="n">
        <v>61</v>
      </c>
      <c r="O2226" s="54" t="n">
        <f aca="false">YEAR(B2226)</f>
        <v>2021</v>
      </c>
      <c r="P2226" s="54" t="n">
        <f aca="false">IF(AND(E2226&gt;=14400,K2226&gt;0,L2226&gt;0),1,0)</f>
        <v>1</v>
      </c>
      <c r="Q2226" s="53" t="n">
        <f aca="false">IF(P2226=1,F2226/E2226*MIN(L2226/K2226,1)*MIN(MAX(M2226/L2226,0),1),0)</f>
        <v>0.703661484857379</v>
      </c>
      <c r="R2226" s="55" t="n">
        <f aca="false">IF(F2226&gt;0,N2226/(F2226/3600),0)</f>
        <v>4.11959051195273</v>
      </c>
    </row>
    <row r="2227" customFormat="false" ht="15" hidden="false" customHeight="false" outlineLevel="0" collapsed="false">
      <c r="A2227" s="0" t="s">
        <v>262</v>
      </c>
      <c r="B2227" s="52" t="n">
        <v>44320</v>
      </c>
      <c r="C2227" s="0" t="n">
        <v>86597.368</v>
      </c>
      <c r="D2227" s="0" t="n">
        <v>77.586</v>
      </c>
      <c r="E2227" s="0" t="n">
        <v>86519.782</v>
      </c>
      <c r="F2227" s="0" t="n">
        <v>56451.618</v>
      </c>
      <c r="G2227" s="0" t="n">
        <v>22299.982</v>
      </c>
      <c r="H2227" s="0" t="n">
        <v>34151.636</v>
      </c>
      <c r="I2227" s="0" t="n">
        <v>14861.701</v>
      </c>
      <c r="J2227" s="0" t="n">
        <v>15206.463</v>
      </c>
      <c r="K2227" s="0" t="n">
        <v>74783.2090975</v>
      </c>
      <c r="L2227" s="0" t="n">
        <v>31736</v>
      </c>
      <c r="M2227" s="0" t="n">
        <v>31518</v>
      </c>
      <c r="N2227" s="0" t="n">
        <v>61</v>
      </c>
      <c r="O2227" s="54" t="n">
        <f aca="false">YEAR(B2227)</f>
        <v>2021</v>
      </c>
      <c r="P2227" s="54" t="n">
        <f aca="false">IF(AND(E2227&gt;=14400,K2227&gt;0,L2227&gt;0),1,0)</f>
        <v>1</v>
      </c>
      <c r="Q2227" s="53" t="n">
        <f aca="false">IF(P2227=1,F2227/E2227*MIN(L2227/K2227,1)*MIN(MAX(M2227/L2227,0),1),0)</f>
        <v>0.274989132579121</v>
      </c>
      <c r="R2227" s="55" t="n">
        <f aca="false">IF(F2227&gt;0,N2227/(F2227/3600),0)</f>
        <v>3.89005679164059</v>
      </c>
    </row>
    <row r="2228" customFormat="false" ht="15" hidden="false" customHeight="false" outlineLevel="0" collapsed="false">
      <c r="A2228" s="0" t="s">
        <v>262</v>
      </c>
      <c r="B2228" s="52" t="n">
        <v>44321</v>
      </c>
      <c r="C2228" s="0" t="n">
        <v>51460.182</v>
      </c>
      <c r="D2228" s="0" t="n">
        <v>10941.376</v>
      </c>
      <c r="E2228" s="0" t="n">
        <v>40518.806</v>
      </c>
      <c r="F2228" s="0" t="n">
        <v>3584.256</v>
      </c>
      <c r="G2228" s="0" t="n">
        <v>3402.218</v>
      </c>
      <c r="H2228" s="0" t="n">
        <v>182.038</v>
      </c>
      <c r="I2228" s="0" t="n">
        <v>345.286</v>
      </c>
      <c r="J2228" s="0" t="n">
        <v>36589.264</v>
      </c>
      <c r="K2228" s="0" t="n">
        <v>5825.77594444445</v>
      </c>
      <c r="L2228" s="0" t="n">
        <v>5604</v>
      </c>
      <c r="M2228" s="0" t="n">
        <v>5544</v>
      </c>
      <c r="N2228" s="0" t="n">
        <v>6</v>
      </c>
      <c r="O2228" s="54" t="n">
        <f aca="false">YEAR(B2228)</f>
        <v>2021</v>
      </c>
      <c r="P2228" s="54" t="n">
        <f aca="false">IF(AND(E2228&gt;=14400,K2228&gt;0,L2228&gt;0),1,0)</f>
        <v>1</v>
      </c>
      <c r="Q2228" s="53" t="n">
        <f aca="false">IF(P2228=1,F2228/E2228*MIN(L2228/K2228,1)*MIN(MAX(M2228/L2228,0),1),0)</f>
        <v>0.0841805628897394</v>
      </c>
      <c r="R2228" s="55" t="n">
        <f aca="false">IF(F2228&gt;0,N2228/(F2228/3600),0)</f>
        <v>6.02635526033855</v>
      </c>
    </row>
    <row r="2229" customFormat="false" ht="15" hidden="false" customHeight="false" outlineLevel="0" collapsed="false">
      <c r="A2229" s="0" t="s">
        <v>262</v>
      </c>
      <c r="B2229" s="52" t="n">
        <v>44322</v>
      </c>
      <c r="C2229" s="0" t="n">
        <v>3757.65</v>
      </c>
      <c r="D2229" s="0" t="n">
        <v>2857.65</v>
      </c>
      <c r="E2229" s="0" t="n">
        <v>900</v>
      </c>
      <c r="F2229" s="0" t="n">
        <v>0</v>
      </c>
      <c r="G2229" s="0" t="n">
        <v>0</v>
      </c>
      <c r="H2229" s="0" t="n">
        <v>0</v>
      </c>
      <c r="I2229" s="0" t="n">
        <v>0</v>
      </c>
      <c r="J2229" s="0" t="n">
        <v>900</v>
      </c>
      <c r="K2229" s="0" t="n">
        <v>0</v>
      </c>
      <c r="L2229" s="0" t="n">
        <v>0</v>
      </c>
      <c r="M2229" s="0" t="n">
        <v>0</v>
      </c>
      <c r="N2229" s="0" t="n">
        <v>0</v>
      </c>
      <c r="O2229" s="54" t="n">
        <f aca="false">YEAR(B2229)</f>
        <v>2021</v>
      </c>
      <c r="P2229" s="54" t="n">
        <f aca="false">IF(AND(E2229&gt;=14400,K2229&gt;0,L2229&gt;0),1,0)</f>
        <v>0</v>
      </c>
      <c r="Q2229" s="53" t="n">
        <f aca="false">IF(P2229=1,F2229/E2229*MIN(L2229/K2229,1)*MIN(MAX(M2229/L2229,0),1),0)</f>
        <v>0</v>
      </c>
      <c r="R2229" s="55" t="n">
        <f aca="false">IF(F2229&gt;0,N2229/(F2229/3600),0)</f>
        <v>0</v>
      </c>
    </row>
    <row r="2230" customFormat="false" ht="15" hidden="false" customHeight="false" outlineLevel="0" collapsed="false">
      <c r="A2230" s="0" t="s">
        <v>262</v>
      </c>
      <c r="B2230" s="52" t="n">
        <v>44323</v>
      </c>
      <c r="C2230" s="0" t="n">
        <v>46584.741</v>
      </c>
      <c r="D2230" s="0" t="n">
        <v>9657.659</v>
      </c>
      <c r="E2230" s="0" t="n">
        <v>36927.082</v>
      </c>
      <c r="F2230" s="0" t="n">
        <v>0</v>
      </c>
      <c r="G2230" s="0" t="n">
        <v>0</v>
      </c>
      <c r="H2230" s="0" t="n">
        <v>0</v>
      </c>
      <c r="I2230" s="0" t="n">
        <v>0</v>
      </c>
      <c r="J2230" s="0" t="n">
        <v>36927.082</v>
      </c>
      <c r="K2230" s="0" t="n">
        <v>0</v>
      </c>
      <c r="L2230" s="0" t="n">
        <v>0</v>
      </c>
      <c r="M2230" s="0" t="n">
        <v>0</v>
      </c>
      <c r="N2230" s="0" t="n">
        <v>0</v>
      </c>
      <c r="O2230" s="54" t="n">
        <f aca="false">YEAR(B2230)</f>
        <v>2021</v>
      </c>
      <c r="P2230" s="54" t="n">
        <f aca="false">IF(AND(E2230&gt;=14400,K2230&gt;0,L2230&gt;0),1,0)</f>
        <v>0</v>
      </c>
      <c r="Q2230" s="53" t="n">
        <f aca="false">IF(P2230=1,F2230/E2230*MIN(L2230/K2230,1)*MIN(MAX(M2230/L2230,0),1),0)</f>
        <v>0</v>
      </c>
      <c r="R2230" s="55" t="n">
        <f aca="false">IF(F2230&gt;0,N2230/(F2230/3600),0)</f>
        <v>0</v>
      </c>
    </row>
    <row r="2231" customFormat="false" ht="15" hidden="false" customHeight="false" outlineLevel="0" collapsed="false">
      <c r="A2231" s="0" t="s">
        <v>262</v>
      </c>
      <c r="B2231" s="52" t="n">
        <v>44324</v>
      </c>
      <c r="C2231" s="0" t="n">
        <v>41161.064</v>
      </c>
      <c r="D2231" s="0" t="n">
        <v>17292.958</v>
      </c>
      <c r="E2231" s="0" t="n">
        <v>23868.106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n">
        <v>23868.106</v>
      </c>
      <c r="K2231" s="0" t="n">
        <v>0</v>
      </c>
      <c r="L2231" s="0" t="n">
        <v>0</v>
      </c>
      <c r="M2231" s="0" t="n">
        <v>0</v>
      </c>
      <c r="N2231" s="0" t="n">
        <v>0</v>
      </c>
      <c r="O2231" s="54" t="n">
        <f aca="false">YEAR(B2231)</f>
        <v>2021</v>
      </c>
      <c r="P2231" s="54" t="n">
        <f aca="false">IF(AND(E2231&gt;=14400,K2231&gt;0,L2231&gt;0),1,0)</f>
        <v>0</v>
      </c>
      <c r="Q2231" s="53" t="n">
        <f aca="false">IF(P2231=1,F2231/E2231*MIN(L2231/K2231,1)*MIN(MAX(M2231/L2231,0),1),0)</f>
        <v>0</v>
      </c>
      <c r="R2231" s="55" t="n">
        <f aca="false">IF(F2231&gt;0,N2231/(F2231/3600),0)</f>
        <v>0</v>
      </c>
    </row>
    <row r="2232" customFormat="false" ht="15" hidden="false" customHeight="false" outlineLevel="0" collapsed="false">
      <c r="A2232" s="0" t="s">
        <v>262</v>
      </c>
      <c r="B2232" s="52" t="n">
        <v>44325</v>
      </c>
      <c r="C2232" s="0" t="n">
        <v>85571.122</v>
      </c>
      <c r="D2232" s="0" t="n">
        <v>17189.658</v>
      </c>
      <c r="E2232" s="0" t="n">
        <v>68381.464</v>
      </c>
      <c r="F2232" s="0" t="n">
        <v>52222.308</v>
      </c>
      <c r="G2232" s="0" t="n">
        <v>43615.312</v>
      </c>
      <c r="H2232" s="0" t="n">
        <v>8606.996</v>
      </c>
      <c r="I2232" s="0" t="n">
        <v>1615.03</v>
      </c>
      <c r="J2232" s="0" t="n">
        <v>14544.126</v>
      </c>
      <c r="K2232" s="0" t="n">
        <v>88978.2967188889</v>
      </c>
      <c r="L2232" s="0" t="n">
        <v>75555</v>
      </c>
      <c r="M2232" s="0" t="n">
        <v>75435</v>
      </c>
      <c r="N2232" s="0" t="n">
        <v>34</v>
      </c>
      <c r="O2232" s="54" t="n">
        <f aca="false">YEAR(B2232)</f>
        <v>2021</v>
      </c>
      <c r="P2232" s="54" t="n">
        <f aca="false">IF(AND(E2232&gt;=14400,K2232&gt;0,L2232&gt;0),1,0)</f>
        <v>1</v>
      </c>
      <c r="Q2232" s="53" t="n">
        <f aca="false">IF(P2232=1,F2232/E2232*MIN(L2232/K2232,1)*MIN(MAX(M2232/L2232,0),1),0)</f>
        <v>0.64745035611386</v>
      </c>
      <c r="R2232" s="55" t="n">
        <f aca="false">IF(F2232&gt;0,N2232/(F2232/3600),0)</f>
        <v>2.34382593737527</v>
      </c>
    </row>
    <row r="2233" customFormat="false" ht="15" hidden="false" customHeight="false" outlineLevel="0" collapsed="false">
      <c r="A2233" s="0" t="s">
        <v>262</v>
      </c>
      <c r="B2233" s="52" t="n">
        <v>44326</v>
      </c>
      <c r="C2233" s="0" t="n">
        <v>86556.315</v>
      </c>
      <c r="D2233" s="0" t="n">
        <v>9992.983</v>
      </c>
      <c r="E2233" s="0" t="n">
        <v>76563.332</v>
      </c>
      <c r="F2233" s="0" t="n">
        <v>64148.216</v>
      </c>
      <c r="G2233" s="0" t="n">
        <v>57117.085</v>
      </c>
      <c r="H2233" s="0" t="n">
        <v>7031.131</v>
      </c>
      <c r="I2233" s="0" t="n">
        <v>4154.748</v>
      </c>
      <c r="J2233" s="0" t="n">
        <v>8260.368</v>
      </c>
      <c r="K2233" s="0" t="n">
        <v>109981.994966389</v>
      </c>
      <c r="L2233" s="0" t="n">
        <v>98438</v>
      </c>
      <c r="M2233" s="0" t="n">
        <v>98406</v>
      </c>
      <c r="N2233" s="0" t="n">
        <v>123</v>
      </c>
      <c r="O2233" s="54" t="n">
        <f aca="false">YEAR(B2233)</f>
        <v>2021</v>
      </c>
      <c r="P2233" s="54" t="n">
        <f aca="false">IF(AND(E2233&gt;=14400,K2233&gt;0,L2233&gt;0),1,0)</f>
        <v>1</v>
      </c>
      <c r="Q2233" s="53" t="n">
        <f aca="false">IF(P2233=1,F2233/E2233*MIN(L2233/K2233,1)*MIN(MAX(M2233/L2233,0),1),0)</f>
        <v>0.749658972475402</v>
      </c>
      <c r="R2233" s="55" t="n">
        <f aca="false">IF(F2233&gt;0,N2233/(F2233/3600),0)</f>
        <v>6.90276406127958</v>
      </c>
    </row>
    <row r="2234" customFormat="false" ht="15" hidden="false" customHeight="false" outlineLevel="0" collapsed="false">
      <c r="A2234" s="0" t="s">
        <v>262</v>
      </c>
      <c r="B2234" s="52" t="n">
        <v>44327</v>
      </c>
      <c r="C2234" s="0" t="n">
        <v>85017.079</v>
      </c>
      <c r="D2234" s="0" t="n">
        <v>5341.524</v>
      </c>
      <c r="E2234" s="0" t="n">
        <v>79675.555</v>
      </c>
      <c r="F2234" s="0" t="n">
        <v>68006.274</v>
      </c>
      <c r="G2234" s="0" t="n">
        <v>63357.758</v>
      </c>
      <c r="H2234" s="0" t="n">
        <v>4648.516</v>
      </c>
      <c r="I2234" s="0" t="n">
        <v>7377.119</v>
      </c>
      <c r="J2234" s="0" t="n">
        <v>4292.162</v>
      </c>
      <c r="K2234" s="0" t="n">
        <v>119053.777808611</v>
      </c>
      <c r="L2234" s="0" t="n">
        <v>111327</v>
      </c>
      <c r="M2234" s="0" t="n">
        <v>111262</v>
      </c>
      <c r="N2234" s="0" t="n">
        <v>88</v>
      </c>
      <c r="O2234" s="54" t="n">
        <f aca="false">YEAR(B2234)</f>
        <v>2021</v>
      </c>
      <c r="P2234" s="54" t="n">
        <f aca="false">IF(AND(E2234&gt;=14400,K2234&gt;0,L2234&gt;0),1,0)</f>
        <v>1</v>
      </c>
      <c r="Q2234" s="53" t="n">
        <f aca="false">IF(P2234=1,F2234/E2234*MIN(L2234/K2234,1)*MIN(MAX(M2234/L2234,0),1),0)</f>
        <v>0.797677909299861</v>
      </c>
      <c r="R2234" s="55" t="n">
        <f aca="false">IF(F2234&gt;0,N2234/(F2234/3600),0)</f>
        <v>4.65839372408493</v>
      </c>
    </row>
    <row r="2235" customFormat="false" ht="15" hidden="false" customHeight="false" outlineLevel="0" collapsed="false">
      <c r="A2235" s="0" t="s">
        <v>262</v>
      </c>
      <c r="B2235" s="52" t="n">
        <v>44328</v>
      </c>
      <c r="C2235" s="0" t="n">
        <v>86344.175</v>
      </c>
      <c r="D2235" s="0" t="n">
        <v>26243.149</v>
      </c>
      <c r="E2235" s="0" t="n">
        <v>60101.026</v>
      </c>
      <c r="F2235" s="0" t="n">
        <v>24004.977</v>
      </c>
      <c r="G2235" s="0" t="n">
        <v>20170.62</v>
      </c>
      <c r="H2235" s="0" t="n">
        <v>3834.357</v>
      </c>
      <c r="I2235" s="0" t="n">
        <v>3732.747</v>
      </c>
      <c r="J2235" s="0" t="n">
        <v>32363.302</v>
      </c>
      <c r="K2235" s="0" t="n">
        <v>41712.0524655556</v>
      </c>
      <c r="L2235" s="0" t="n">
        <v>36266</v>
      </c>
      <c r="M2235" s="0" t="n">
        <v>36254</v>
      </c>
      <c r="N2235" s="0" t="n">
        <v>21</v>
      </c>
      <c r="O2235" s="54" t="n">
        <f aca="false">YEAR(B2235)</f>
        <v>2021</v>
      </c>
      <c r="P2235" s="54" t="n">
        <f aca="false">IF(AND(E2235&gt;=14400,K2235&gt;0,L2235&gt;0),1,0)</f>
        <v>1</v>
      </c>
      <c r="Q2235" s="53" t="n">
        <f aca="false">IF(P2235=1,F2235/E2235*MIN(L2235/K2235,1)*MIN(MAX(M2235/L2235,0),1),0)</f>
        <v>0.347147289371125</v>
      </c>
      <c r="R2235" s="55" t="n">
        <f aca="false">IF(F2235&gt;0,N2235/(F2235/3600),0)</f>
        <v>3.14934690418575</v>
      </c>
    </row>
    <row r="2236" customFormat="false" ht="15" hidden="false" customHeight="false" outlineLevel="0" collapsed="false">
      <c r="A2236" s="0" t="s">
        <v>262</v>
      </c>
      <c r="B2236" s="52" t="n">
        <v>44329</v>
      </c>
      <c r="C2236" s="0" t="n">
        <v>900</v>
      </c>
      <c r="D2236" s="0" t="n">
        <v>0</v>
      </c>
      <c r="E2236" s="0" t="n">
        <v>900</v>
      </c>
      <c r="F2236" s="0" t="n">
        <v>0</v>
      </c>
      <c r="G2236" s="0" t="n">
        <v>0</v>
      </c>
      <c r="H2236" s="0" t="n">
        <v>0</v>
      </c>
      <c r="I2236" s="0" t="n">
        <v>0</v>
      </c>
      <c r="J2236" s="0" t="n">
        <v>900</v>
      </c>
      <c r="K2236" s="0" t="n">
        <v>0</v>
      </c>
      <c r="L2236" s="0" t="n">
        <v>0</v>
      </c>
      <c r="M2236" s="0" t="n">
        <v>0</v>
      </c>
      <c r="N2236" s="0" t="n">
        <v>0</v>
      </c>
      <c r="O2236" s="54" t="n">
        <f aca="false">YEAR(B2236)</f>
        <v>2021</v>
      </c>
      <c r="P2236" s="54" t="n">
        <f aca="false">IF(AND(E2236&gt;=14400,K2236&gt;0,L2236&gt;0),1,0)</f>
        <v>0</v>
      </c>
      <c r="Q2236" s="53" t="n">
        <f aca="false">IF(P2236=1,F2236/E2236*MIN(L2236/K2236,1)*MIN(MAX(M2236/L2236,0),1),0)</f>
        <v>0</v>
      </c>
      <c r="R2236" s="55" t="n">
        <f aca="false">IF(F2236&gt;0,N2236/(F2236/3600),0)</f>
        <v>0</v>
      </c>
    </row>
    <row r="2237" customFormat="false" ht="15" hidden="false" customHeight="false" outlineLevel="0" collapsed="false">
      <c r="A2237" s="0" t="s">
        <v>262</v>
      </c>
      <c r="B2237" s="52" t="n">
        <v>44330</v>
      </c>
      <c r="C2237" s="0" t="n">
        <v>91328.04</v>
      </c>
      <c r="D2237" s="0" t="n">
        <v>16202.108</v>
      </c>
      <c r="E2237" s="0" t="n">
        <v>75125.932</v>
      </c>
      <c r="F2237" s="0" t="n">
        <v>47628.341</v>
      </c>
      <c r="G2237" s="0" t="n">
        <v>42362.109</v>
      </c>
      <c r="H2237" s="0" t="n">
        <v>5266.232</v>
      </c>
      <c r="I2237" s="0" t="n">
        <v>6971.77</v>
      </c>
      <c r="J2237" s="0" t="n">
        <v>20525.821</v>
      </c>
      <c r="K2237" s="0" t="n">
        <v>83316.9337669445</v>
      </c>
      <c r="L2237" s="0" t="n">
        <v>75226</v>
      </c>
      <c r="M2237" s="0" t="n">
        <v>75050</v>
      </c>
      <c r="N2237" s="0" t="n">
        <v>56</v>
      </c>
      <c r="O2237" s="54" t="n">
        <f aca="false">YEAR(B2237)</f>
        <v>2021</v>
      </c>
      <c r="P2237" s="54" t="n">
        <f aca="false">IF(AND(E2237&gt;=14400,K2237&gt;0,L2237&gt;0),1,0)</f>
        <v>1</v>
      </c>
      <c r="Q2237" s="53" t="n">
        <f aca="false">IF(P2237=1,F2237/E2237*MIN(L2237/K2237,1)*MIN(MAX(M2237/L2237,0),1),0)</f>
        <v>0.571074804085725</v>
      </c>
      <c r="R2237" s="55" t="n">
        <f aca="false">IF(F2237&gt;0,N2237/(F2237/3600),0)</f>
        <v>4.23277392760751</v>
      </c>
    </row>
    <row r="2238" customFormat="false" ht="15" hidden="false" customHeight="false" outlineLevel="0" collapsed="false">
      <c r="A2238" s="0" t="s">
        <v>262</v>
      </c>
      <c r="B2238" s="52" t="n">
        <v>44331</v>
      </c>
      <c r="C2238" s="0" t="n">
        <v>72963.636</v>
      </c>
      <c r="D2238" s="0" t="n">
        <v>18197.682</v>
      </c>
      <c r="E2238" s="0" t="n">
        <v>54765.954</v>
      </c>
      <c r="F2238" s="0" t="n">
        <v>41885.944</v>
      </c>
      <c r="G2238" s="0" t="n">
        <v>26889.063</v>
      </c>
      <c r="H2238" s="0" t="n">
        <v>14996.881</v>
      </c>
      <c r="I2238" s="0" t="n">
        <v>5691.009</v>
      </c>
      <c r="J2238" s="0" t="n">
        <v>7189.001</v>
      </c>
      <c r="K2238" s="0" t="n">
        <v>72091.1620638889</v>
      </c>
      <c r="L2238" s="0" t="n">
        <v>47171</v>
      </c>
      <c r="M2238" s="0" t="n">
        <v>47156</v>
      </c>
      <c r="N2238" s="0" t="n">
        <v>30</v>
      </c>
      <c r="O2238" s="54" t="n">
        <f aca="false">YEAR(B2238)</f>
        <v>2021</v>
      </c>
      <c r="P2238" s="54" t="n">
        <f aca="false">IF(AND(E2238&gt;=14400,K2238&gt;0,L2238&gt;0),1,0)</f>
        <v>1</v>
      </c>
      <c r="Q2238" s="53" t="n">
        <f aca="false">IF(P2238=1,F2238/E2238*MIN(L2238/K2238,1)*MIN(MAX(M2238/L2238,0),1),0)</f>
        <v>0.500279357421915</v>
      </c>
      <c r="R2238" s="55" t="n">
        <f aca="false">IF(F2238&gt;0,N2238/(F2238/3600),0)</f>
        <v>2.57843060669708</v>
      </c>
    </row>
    <row r="2239" customFormat="false" ht="15" hidden="false" customHeight="false" outlineLevel="0" collapsed="false">
      <c r="A2239" s="0" t="s">
        <v>262</v>
      </c>
      <c r="B2239" s="52" t="n">
        <v>44332</v>
      </c>
      <c r="C2239" s="0" t="n">
        <v>86179.217</v>
      </c>
      <c r="D2239" s="0" t="n">
        <v>15904.587</v>
      </c>
      <c r="E2239" s="0" t="n">
        <v>70274.63</v>
      </c>
      <c r="F2239" s="0" t="n">
        <v>54415.981</v>
      </c>
      <c r="G2239" s="0" t="n">
        <v>46319.832</v>
      </c>
      <c r="H2239" s="0" t="n">
        <v>8096.149</v>
      </c>
      <c r="I2239" s="0" t="n">
        <v>5578.187</v>
      </c>
      <c r="J2239" s="0" t="n">
        <v>10280.462</v>
      </c>
      <c r="K2239" s="0" t="n">
        <v>92246.9747961111</v>
      </c>
      <c r="L2239" s="0" t="n">
        <v>80395</v>
      </c>
      <c r="M2239" s="0" t="n">
        <v>80244</v>
      </c>
      <c r="N2239" s="0" t="n">
        <v>27</v>
      </c>
      <c r="O2239" s="54" t="n">
        <f aca="false">YEAR(B2239)</f>
        <v>2021</v>
      </c>
      <c r="P2239" s="54" t="n">
        <f aca="false">IF(AND(E2239&gt;=14400,K2239&gt;0,L2239&gt;0),1,0)</f>
        <v>1</v>
      </c>
      <c r="Q2239" s="53" t="n">
        <f aca="false">IF(P2239=1,F2239/E2239*MIN(L2239/K2239,1)*MIN(MAX(M2239/L2239,0),1),0)</f>
        <v>0.673578679161771</v>
      </c>
      <c r="R2239" s="55" t="n">
        <f aca="false">IF(F2239&gt;0,N2239/(F2239/3600),0)</f>
        <v>1.78623996505732</v>
      </c>
    </row>
    <row r="2240" customFormat="false" ht="15" hidden="false" customHeight="false" outlineLevel="0" collapsed="false">
      <c r="A2240" s="0" t="s">
        <v>262</v>
      </c>
      <c r="B2240" s="52" t="n">
        <v>44333</v>
      </c>
      <c r="C2240" s="0" t="n">
        <v>50161.874</v>
      </c>
      <c r="D2240" s="0" t="n">
        <v>11360.845</v>
      </c>
      <c r="E2240" s="0" t="n">
        <v>38801.029</v>
      </c>
      <c r="F2240" s="0" t="n">
        <v>33604.215</v>
      </c>
      <c r="G2240" s="0" t="n">
        <v>33098.479</v>
      </c>
      <c r="H2240" s="0" t="n">
        <v>505.736</v>
      </c>
      <c r="I2240" s="0" t="n">
        <v>2590.268</v>
      </c>
      <c r="J2240" s="0" t="n">
        <v>2606.546</v>
      </c>
      <c r="K2240" s="0" t="n">
        <v>59691.29258</v>
      </c>
      <c r="L2240" s="0" t="n">
        <v>59610</v>
      </c>
      <c r="M2240" s="0" t="n">
        <v>59590</v>
      </c>
      <c r="N2240" s="0" t="n">
        <v>35</v>
      </c>
      <c r="O2240" s="54" t="n">
        <f aca="false">YEAR(B2240)</f>
        <v>2021</v>
      </c>
      <c r="P2240" s="54" t="n">
        <f aca="false">IF(AND(E2240&gt;=14400,K2240&gt;0,L2240&gt;0),1,0)</f>
        <v>1</v>
      </c>
      <c r="Q2240" s="53" t="n">
        <f aca="false">IF(P2240=1,F2240/E2240*MIN(L2240/K2240,1)*MIN(MAX(M2240/L2240,0),1),0)</f>
        <v>0.864595385911607</v>
      </c>
      <c r="R2240" s="55" t="n">
        <f aca="false">IF(F2240&gt;0,N2240/(F2240/3600),0)</f>
        <v>3.74952963489848</v>
      </c>
    </row>
    <row r="2241" customFormat="false" ht="15" hidden="false" customHeight="false" outlineLevel="0" collapsed="false">
      <c r="A2241" s="0" t="s">
        <v>262</v>
      </c>
      <c r="B2241" s="52" t="n">
        <v>44335</v>
      </c>
      <c r="C2241" s="0" t="n">
        <v>10259.877</v>
      </c>
      <c r="D2241" s="0" t="n">
        <v>9901.61</v>
      </c>
      <c r="E2241" s="0" t="n">
        <v>358.267</v>
      </c>
      <c r="F2241" s="0" t="n">
        <v>14.932</v>
      </c>
      <c r="G2241" s="0" t="n">
        <v>0</v>
      </c>
      <c r="H2241" s="0" t="n">
        <v>14.932</v>
      </c>
      <c r="I2241" s="0" t="n">
        <v>0</v>
      </c>
      <c r="J2241" s="0" t="n">
        <v>343.335</v>
      </c>
      <c r="K2241" s="0" t="n">
        <v>26.9605555555556</v>
      </c>
      <c r="L2241" s="0" t="n">
        <v>0</v>
      </c>
      <c r="M2241" s="0" t="n">
        <v>0</v>
      </c>
      <c r="N2241" s="0" t="n">
        <v>0</v>
      </c>
      <c r="O2241" s="54" t="n">
        <f aca="false">YEAR(B2241)</f>
        <v>2021</v>
      </c>
      <c r="P2241" s="54" t="n">
        <f aca="false">IF(AND(E2241&gt;=14400,K2241&gt;0,L2241&gt;0),1,0)</f>
        <v>0</v>
      </c>
      <c r="Q2241" s="53" t="n">
        <f aca="false">IF(P2241=1,F2241/E2241*MIN(L2241/K2241,1)*MIN(MAX(M2241/L2241,0),1),0)</f>
        <v>0</v>
      </c>
      <c r="R2241" s="55" t="n">
        <f aca="false">IF(F2241&gt;0,N2241/(F2241/3600),0)</f>
        <v>0</v>
      </c>
    </row>
    <row r="2242" customFormat="false" ht="15" hidden="false" customHeight="false" outlineLevel="0" collapsed="false">
      <c r="A2242" s="0" t="s">
        <v>262</v>
      </c>
      <c r="B2242" s="52" t="n">
        <v>44336</v>
      </c>
      <c r="C2242" s="0" t="n">
        <v>83550.099</v>
      </c>
      <c r="D2242" s="0" t="n">
        <v>4871.446</v>
      </c>
      <c r="E2242" s="0" t="n">
        <v>78678.653</v>
      </c>
      <c r="F2242" s="0" t="n">
        <v>46118.01</v>
      </c>
      <c r="G2242" s="0" t="n">
        <v>40491.065</v>
      </c>
      <c r="H2242" s="0" t="n">
        <v>5626.945</v>
      </c>
      <c r="I2242" s="0" t="n">
        <v>5071.455</v>
      </c>
      <c r="J2242" s="0" t="n">
        <v>27489.188</v>
      </c>
      <c r="K2242" s="0" t="n">
        <v>81304.5498672222</v>
      </c>
      <c r="L2242" s="0" t="n">
        <v>72563</v>
      </c>
      <c r="M2242" s="0" t="n">
        <v>72256</v>
      </c>
      <c r="N2242" s="0" t="n">
        <v>50</v>
      </c>
      <c r="O2242" s="54" t="n">
        <f aca="false">YEAR(B2242)</f>
        <v>2021</v>
      </c>
      <c r="P2242" s="54" t="n">
        <f aca="false">IF(AND(E2242&gt;=14400,K2242&gt;0,L2242&gt;0),1,0)</f>
        <v>1</v>
      </c>
      <c r="Q2242" s="53" t="n">
        <f aca="false">IF(P2242=1,F2242/E2242*MIN(L2242/K2242,1)*MIN(MAX(M2242/L2242,0),1),0)</f>
        <v>0.520922011933435</v>
      </c>
      <c r="R2242" s="55" t="n">
        <f aca="false">IF(F2242&gt;0,N2242/(F2242/3600),0)</f>
        <v>3.90303050803797</v>
      </c>
    </row>
    <row r="2243" customFormat="false" ht="15" hidden="false" customHeight="false" outlineLevel="0" collapsed="false">
      <c r="A2243" s="0" t="s">
        <v>262</v>
      </c>
      <c r="B2243" s="52" t="n">
        <v>44337</v>
      </c>
      <c r="C2243" s="0" t="n">
        <v>81431.961</v>
      </c>
      <c r="D2243" s="0" t="n">
        <v>10457.176</v>
      </c>
      <c r="E2243" s="0" t="n">
        <v>70974.785</v>
      </c>
      <c r="F2243" s="0" t="n">
        <v>57095.365</v>
      </c>
      <c r="G2243" s="0" t="n">
        <v>46128.091</v>
      </c>
      <c r="H2243" s="0" t="n">
        <v>10967.274</v>
      </c>
      <c r="I2243" s="0" t="n">
        <v>4698.535</v>
      </c>
      <c r="J2243" s="0" t="n">
        <v>9180.885</v>
      </c>
      <c r="K2243" s="0" t="n">
        <v>92797.1017858333</v>
      </c>
      <c r="L2243" s="0" t="n">
        <v>79430</v>
      </c>
      <c r="M2243" s="0" t="n">
        <v>79358</v>
      </c>
      <c r="N2243" s="0" t="n">
        <v>64</v>
      </c>
      <c r="O2243" s="54" t="n">
        <f aca="false">YEAR(B2243)</f>
        <v>2021</v>
      </c>
      <c r="P2243" s="54" t="n">
        <f aca="false">IF(AND(E2243&gt;=14400,K2243&gt;0,L2243&gt;0),1,0)</f>
        <v>1</v>
      </c>
      <c r="Q2243" s="53" t="n">
        <f aca="false">IF(P2243=1,F2243/E2243*MIN(L2243/K2243,1)*MIN(MAX(M2243/L2243,0),1),0)</f>
        <v>0.687943971846989</v>
      </c>
      <c r="R2243" s="55" t="n">
        <f aca="false">IF(F2243&gt;0,N2243/(F2243/3600),0)</f>
        <v>4.03535383301254</v>
      </c>
    </row>
    <row r="2244" customFormat="false" ht="15" hidden="false" customHeight="false" outlineLevel="0" collapsed="false">
      <c r="A2244" s="0" t="s">
        <v>262</v>
      </c>
      <c r="B2244" s="52" t="n">
        <v>44338</v>
      </c>
      <c r="C2244" s="0" t="n">
        <v>75649.235</v>
      </c>
      <c r="D2244" s="0" t="n">
        <v>7723.16</v>
      </c>
      <c r="E2244" s="0" t="n">
        <v>67926.075</v>
      </c>
      <c r="F2244" s="0" t="n">
        <v>52801.737</v>
      </c>
      <c r="G2244" s="0" t="n">
        <v>46718.886</v>
      </c>
      <c r="H2244" s="0" t="n">
        <v>6082.851</v>
      </c>
      <c r="I2244" s="0" t="n">
        <v>5493.268</v>
      </c>
      <c r="J2244" s="0" t="n">
        <v>9631.07</v>
      </c>
      <c r="K2244" s="0" t="n">
        <v>93563.5533733333</v>
      </c>
      <c r="L2244" s="0" t="n">
        <v>84018</v>
      </c>
      <c r="M2244" s="0" t="n">
        <v>83840</v>
      </c>
      <c r="N2244" s="0" t="n">
        <v>36</v>
      </c>
      <c r="O2244" s="54" t="n">
        <f aca="false">YEAR(B2244)</f>
        <v>2021</v>
      </c>
      <c r="P2244" s="54" t="n">
        <f aca="false">IF(AND(E2244&gt;=14400,K2244&gt;0,L2244&gt;0),1,0)</f>
        <v>1</v>
      </c>
      <c r="Q2244" s="53" t="n">
        <f aca="false">IF(P2244=1,F2244/E2244*MIN(L2244/K2244,1)*MIN(MAX(M2244/L2244,0),1),0)</f>
        <v>0.696556343662388</v>
      </c>
      <c r="R2244" s="55" t="n">
        <f aca="false">IF(F2244&gt;0,N2244/(F2244/3600),0)</f>
        <v>2.45446470823488</v>
      </c>
    </row>
    <row r="2245" customFormat="false" ht="15" hidden="false" customHeight="false" outlineLevel="0" collapsed="false">
      <c r="A2245" s="0" t="s">
        <v>262</v>
      </c>
      <c r="B2245" s="52" t="n">
        <v>44339</v>
      </c>
      <c r="C2245" s="0" t="n">
        <v>87064.525</v>
      </c>
      <c r="D2245" s="0" t="n">
        <v>16044.452</v>
      </c>
      <c r="E2245" s="0" t="n">
        <v>71020.073</v>
      </c>
      <c r="F2245" s="0" t="n">
        <v>58297.069</v>
      </c>
      <c r="G2245" s="0" t="n">
        <v>52118.004</v>
      </c>
      <c r="H2245" s="0" t="n">
        <v>6179.065</v>
      </c>
      <c r="I2245" s="0" t="n">
        <v>3612.647</v>
      </c>
      <c r="J2245" s="0" t="n">
        <v>9110.357</v>
      </c>
      <c r="K2245" s="0" t="n">
        <v>97033.4230372222</v>
      </c>
      <c r="L2245" s="0" t="n">
        <v>88598</v>
      </c>
      <c r="M2245" s="0" t="n">
        <v>88334</v>
      </c>
      <c r="N2245" s="0" t="n">
        <v>34</v>
      </c>
      <c r="O2245" s="54" t="n">
        <f aca="false">YEAR(B2245)</f>
        <v>2021</v>
      </c>
      <c r="P2245" s="54" t="n">
        <f aca="false">IF(AND(E2245&gt;=14400,K2245&gt;0,L2245&gt;0),1,0)</f>
        <v>1</v>
      </c>
      <c r="Q2245" s="53" t="n">
        <f aca="false">IF(P2245=1,F2245/E2245*MIN(L2245/K2245,1)*MIN(MAX(M2245/L2245,0),1),0)</f>
        <v>0.747260714136879</v>
      </c>
      <c r="R2245" s="55" t="n">
        <f aca="false">IF(F2245&gt;0,N2245/(F2245/3600),0)</f>
        <v>2.09959097600601</v>
      </c>
    </row>
    <row r="2246" customFormat="false" ht="15" hidden="false" customHeight="false" outlineLevel="0" collapsed="false">
      <c r="A2246" s="0" t="s">
        <v>262</v>
      </c>
      <c r="B2246" s="52" t="n">
        <v>44340</v>
      </c>
      <c r="C2246" s="0" t="n">
        <v>76588.025</v>
      </c>
      <c r="D2246" s="0" t="n">
        <v>5510.29</v>
      </c>
      <c r="E2246" s="0" t="n">
        <v>71077.735</v>
      </c>
      <c r="F2246" s="0" t="n">
        <v>49841.982</v>
      </c>
      <c r="G2246" s="0" t="n">
        <v>39556.36</v>
      </c>
      <c r="H2246" s="0" t="n">
        <v>10285.622</v>
      </c>
      <c r="I2246" s="0" t="n">
        <v>2032.445</v>
      </c>
      <c r="J2246" s="0" t="n">
        <v>19203.308</v>
      </c>
      <c r="K2246" s="0" t="n">
        <v>84579.5176694445</v>
      </c>
      <c r="L2246" s="0" t="n">
        <v>68341</v>
      </c>
      <c r="M2246" s="0" t="n">
        <v>67656</v>
      </c>
      <c r="N2246" s="0" t="n">
        <v>37</v>
      </c>
      <c r="O2246" s="54" t="n">
        <f aca="false">YEAR(B2246)</f>
        <v>2021</v>
      </c>
      <c r="P2246" s="54" t="n">
        <f aca="false">IF(AND(E2246&gt;=14400,K2246&gt;0,L2246&gt;0),1,0)</f>
        <v>1</v>
      </c>
      <c r="Q2246" s="53" t="n">
        <f aca="false">IF(P2246=1,F2246/E2246*MIN(L2246/K2246,1)*MIN(MAX(M2246/L2246,0),1),0)</f>
        <v>0.560922469679609</v>
      </c>
      <c r="R2246" s="55" t="n">
        <f aca="false">IF(F2246&gt;0,N2246/(F2246/3600),0)</f>
        <v>2.67244589109639</v>
      </c>
    </row>
    <row r="2247" customFormat="false" ht="15" hidden="false" customHeight="false" outlineLevel="0" collapsed="false">
      <c r="A2247" s="0" t="s">
        <v>262</v>
      </c>
      <c r="B2247" s="52" t="n">
        <v>44341</v>
      </c>
      <c r="C2247" s="0" t="n">
        <v>82184.851</v>
      </c>
      <c r="D2247" s="0" t="n">
        <v>11483.291</v>
      </c>
      <c r="E2247" s="0" t="n">
        <v>70701.56</v>
      </c>
      <c r="F2247" s="0" t="n">
        <v>49050.761</v>
      </c>
      <c r="G2247" s="0" t="n">
        <v>39029.971</v>
      </c>
      <c r="H2247" s="0" t="n">
        <v>10020.79</v>
      </c>
      <c r="I2247" s="0" t="n">
        <v>6242.305</v>
      </c>
      <c r="J2247" s="0" t="n">
        <v>15408.494</v>
      </c>
      <c r="K2247" s="0" t="n">
        <v>81224.8153555556</v>
      </c>
      <c r="L2247" s="0" t="n">
        <v>65864</v>
      </c>
      <c r="M2247" s="0" t="n">
        <v>65297</v>
      </c>
      <c r="N2247" s="0" t="n">
        <v>42</v>
      </c>
      <c r="O2247" s="54" t="n">
        <f aca="false">YEAR(B2247)</f>
        <v>2021</v>
      </c>
      <c r="P2247" s="54" t="n">
        <f aca="false">IF(AND(E2247&gt;=14400,K2247&gt;0,L2247&gt;0),1,0)</f>
        <v>1</v>
      </c>
      <c r="Q2247" s="53" t="n">
        <f aca="false">IF(P2247=1,F2247/E2247*MIN(L2247/K2247,1)*MIN(MAX(M2247/L2247,0),1),0)</f>
        <v>0.557726459951061</v>
      </c>
      <c r="R2247" s="55" t="n">
        <f aca="false">IF(F2247&gt;0,N2247/(F2247/3600),0)</f>
        <v>3.08252098270198</v>
      </c>
    </row>
    <row r="2248" customFormat="false" ht="15" hidden="false" customHeight="false" outlineLevel="0" collapsed="false">
      <c r="A2248" s="0" t="s">
        <v>262</v>
      </c>
      <c r="B2248" s="52" t="n">
        <v>44342</v>
      </c>
      <c r="C2248" s="0" t="n">
        <v>83054.088</v>
      </c>
      <c r="D2248" s="0" t="n">
        <v>12292.733</v>
      </c>
      <c r="E2248" s="0" t="n">
        <v>70761.355</v>
      </c>
      <c r="F2248" s="0" t="n">
        <v>51274.302</v>
      </c>
      <c r="G2248" s="0" t="n">
        <v>47094.891</v>
      </c>
      <c r="H2248" s="0" t="n">
        <v>4179.411</v>
      </c>
      <c r="I2248" s="0" t="n">
        <v>3541.613</v>
      </c>
      <c r="J2248" s="0" t="n">
        <v>15945.44</v>
      </c>
      <c r="K2248" s="0" t="n">
        <v>89507.3985072222</v>
      </c>
      <c r="L2248" s="0" t="n">
        <v>86145</v>
      </c>
      <c r="M2248" s="0" t="n">
        <v>86087</v>
      </c>
      <c r="N2248" s="0" t="n">
        <v>35</v>
      </c>
      <c r="O2248" s="54" t="n">
        <f aca="false">YEAR(B2248)</f>
        <v>2021</v>
      </c>
      <c r="P2248" s="54" t="n">
        <f aca="false">IF(AND(E2248&gt;=14400,K2248&gt;0,L2248&gt;0),1,0)</f>
        <v>1</v>
      </c>
      <c r="Q2248" s="53" t="n">
        <f aca="false">IF(P2248=1,F2248/E2248*MIN(L2248/K2248,1)*MIN(MAX(M2248/L2248,0),1),0)</f>
        <v>0.696918920567054</v>
      </c>
      <c r="R2248" s="55" t="n">
        <f aca="false">IF(F2248&gt;0,N2248/(F2248/3600),0)</f>
        <v>2.45737133583993</v>
      </c>
    </row>
    <row r="2249" customFormat="false" ht="15" hidden="false" customHeight="false" outlineLevel="0" collapsed="false">
      <c r="A2249" s="0" t="s">
        <v>262</v>
      </c>
      <c r="B2249" s="52" t="n">
        <v>44343</v>
      </c>
      <c r="C2249" s="0" t="n">
        <v>88123.766</v>
      </c>
      <c r="D2249" s="0" t="n">
        <v>14091.055</v>
      </c>
      <c r="E2249" s="0" t="n">
        <v>74032.711</v>
      </c>
      <c r="F2249" s="0" t="n">
        <v>55405.439</v>
      </c>
      <c r="G2249" s="0" t="n">
        <v>46152.745</v>
      </c>
      <c r="H2249" s="0" t="n">
        <v>9252.694</v>
      </c>
      <c r="I2249" s="0" t="n">
        <v>2457.409</v>
      </c>
      <c r="J2249" s="0" t="n">
        <v>16169.863</v>
      </c>
      <c r="K2249" s="0" t="n">
        <v>80875.7126075</v>
      </c>
      <c r="L2249" s="0" t="n">
        <v>69039</v>
      </c>
      <c r="M2249" s="0" t="n">
        <v>68855</v>
      </c>
      <c r="N2249" s="0" t="n">
        <v>26</v>
      </c>
      <c r="O2249" s="54" t="n">
        <f aca="false">YEAR(B2249)</f>
        <v>2021</v>
      </c>
      <c r="P2249" s="54" t="n">
        <f aca="false">IF(AND(E2249&gt;=14400,K2249&gt;0,L2249&gt;0),1,0)</f>
        <v>1</v>
      </c>
      <c r="Q2249" s="53" t="n">
        <f aca="false">IF(P2249=1,F2249/E2249*MIN(L2249/K2249,1)*MIN(MAX(M2249/L2249,0),1),0)</f>
        <v>0.63715648765719</v>
      </c>
      <c r="R2249" s="55" t="n">
        <f aca="false">IF(F2249&gt;0,N2249/(F2249/3600),0)</f>
        <v>1.68936482932659</v>
      </c>
    </row>
    <row r="2250" customFormat="false" ht="15" hidden="false" customHeight="false" outlineLevel="0" collapsed="false">
      <c r="A2250" s="0" t="s">
        <v>262</v>
      </c>
      <c r="B2250" s="52" t="n">
        <v>44344</v>
      </c>
      <c r="C2250" s="0" t="n">
        <v>77659.891</v>
      </c>
      <c r="D2250" s="0" t="n">
        <v>7600.641</v>
      </c>
      <c r="E2250" s="0" t="n">
        <v>70059.25</v>
      </c>
      <c r="F2250" s="0" t="n">
        <v>48953.125</v>
      </c>
      <c r="G2250" s="0" t="n">
        <v>39158.044</v>
      </c>
      <c r="H2250" s="0" t="n">
        <v>9795.081</v>
      </c>
      <c r="I2250" s="0" t="n">
        <v>3569.96</v>
      </c>
      <c r="J2250" s="0" t="n">
        <v>17536.165</v>
      </c>
      <c r="K2250" s="0" t="n">
        <v>81429.3494091667</v>
      </c>
      <c r="L2250" s="0" t="n">
        <v>68911</v>
      </c>
      <c r="M2250" s="0" t="n">
        <v>68811</v>
      </c>
      <c r="N2250" s="0" t="n">
        <v>57</v>
      </c>
      <c r="O2250" s="54" t="n">
        <f aca="false">YEAR(B2250)</f>
        <v>2021</v>
      </c>
      <c r="P2250" s="54" t="n">
        <f aca="false">IF(AND(E2250&gt;=14400,K2250&gt;0,L2250&gt;0),1,0)</f>
        <v>1</v>
      </c>
      <c r="Q2250" s="53" t="n">
        <f aca="false">IF(P2250=1,F2250/E2250*MIN(L2250/K2250,1)*MIN(MAX(M2250/L2250,0),1),0)</f>
        <v>0.590461848047308</v>
      </c>
      <c r="R2250" s="55" t="n">
        <f aca="false">IF(F2250&gt;0,N2250/(F2250/3600),0)</f>
        <v>4.19176508139164</v>
      </c>
    </row>
    <row r="2251" customFormat="false" ht="15" hidden="false" customHeight="false" outlineLevel="0" collapsed="false">
      <c r="A2251" s="0" t="s">
        <v>262</v>
      </c>
      <c r="B2251" s="52" t="n">
        <v>44345</v>
      </c>
      <c r="C2251" s="0" t="n">
        <v>84468.1</v>
      </c>
      <c r="D2251" s="0" t="n">
        <v>12297.853</v>
      </c>
      <c r="E2251" s="0" t="n">
        <v>72170.247</v>
      </c>
      <c r="F2251" s="0" t="n">
        <v>42111.427</v>
      </c>
      <c r="G2251" s="0" t="n">
        <v>39123.908</v>
      </c>
      <c r="H2251" s="0" t="n">
        <v>2987.519</v>
      </c>
      <c r="I2251" s="0" t="n">
        <v>1724.279</v>
      </c>
      <c r="J2251" s="0" t="n">
        <v>28334.541</v>
      </c>
      <c r="K2251" s="0" t="n">
        <v>75579.1940325</v>
      </c>
      <c r="L2251" s="0" t="n">
        <v>68805</v>
      </c>
      <c r="M2251" s="0" t="n">
        <v>68756</v>
      </c>
      <c r="N2251" s="0" t="n">
        <v>39</v>
      </c>
      <c r="O2251" s="54" t="n">
        <f aca="false">YEAR(B2251)</f>
        <v>2021</v>
      </c>
      <c r="P2251" s="54" t="n">
        <f aca="false">IF(AND(E2251&gt;=14400,K2251&gt;0,L2251&gt;0),1,0)</f>
        <v>1</v>
      </c>
      <c r="Q2251" s="53" t="n">
        <f aca="false">IF(P2251=1,F2251/E2251*MIN(L2251/K2251,1)*MIN(MAX(M2251/L2251,0),1),0)</f>
        <v>0.530823465794216</v>
      </c>
      <c r="R2251" s="55" t="n">
        <f aca="false">IF(F2251&gt;0,N2251/(F2251/3600),0)</f>
        <v>3.33401192982608</v>
      </c>
    </row>
    <row r="2252" customFormat="false" ht="15" hidden="false" customHeight="false" outlineLevel="0" collapsed="false">
      <c r="A2252" s="0" t="s">
        <v>262</v>
      </c>
      <c r="B2252" s="52" t="n">
        <v>44346</v>
      </c>
      <c r="C2252" s="0" t="n">
        <v>80552.329</v>
      </c>
      <c r="D2252" s="0" t="n">
        <v>14108.98</v>
      </c>
      <c r="E2252" s="0" t="n">
        <v>66443.349</v>
      </c>
      <c r="F2252" s="0" t="n">
        <v>52604.617</v>
      </c>
      <c r="G2252" s="0" t="n">
        <v>37487.53</v>
      </c>
      <c r="H2252" s="0" t="n">
        <v>15117.087</v>
      </c>
      <c r="I2252" s="0" t="n">
        <v>2269.876</v>
      </c>
      <c r="J2252" s="0" t="n">
        <v>11568.856</v>
      </c>
      <c r="K2252" s="0" t="n">
        <v>88271.9896413889</v>
      </c>
      <c r="L2252" s="0" t="n">
        <v>65200</v>
      </c>
      <c r="M2252" s="0" t="n">
        <v>64892</v>
      </c>
      <c r="N2252" s="0" t="n">
        <v>15</v>
      </c>
      <c r="O2252" s="54" t="n">
        <f aca="false">YEAR(B2252)</f>
        <v>2021</v>
      </c>
      <c r="P2252" s="54" t="n">
        <f aca="false">IF(AND(E2252&gt;=14400,K2252&gt;0,L2252&gt;0),1,0)</f>
        <v>1</v>
      </c>
      <c r="Q2252" s="53" t="n">
        <f aca="false">IF(P2252=1,F2252/E2252*MIN(L2252/K2252,1)*MIN(MAX(M2252/L2252,0),1),0)</f>
        <v>0.582023596689493</v>
      </c>
      <c r="R2252" s="55" t="n">
        <f aca="false">IF(F2252&gt;0,N2252/(F2252/3600),0)</f>
        <v>1.02652586559085</v>
      </c>
    </row>
    <row r="2253" customFormat="false" ht="15" hidden="false" customHeight="false" outlineLevel="0" collapsed="false">
      <c r="A2253" s="0" t="s">
        <v>262</v>
      </c>
      <c r="B2253" s="52" t="n">
        <v>44347</v>
      </c>
      <c r="C2253" s="0" t="n">
        <v>86017.585</v>
      </c>
      <c r="D2253" s="0" t="n">
        <v>15450.173</v>
      </c>
      <c r="E2253" s="0" t="n">
        <v>70567.412</v>
      </c>
      <c r="F2253" s="0" t="n">
        <v>59728.099</v>
      </c>
      <c r="G2253" s="0" t="n">
        <v>53553.841</v>
      </c>
      <c r="H2253" s="0" t="n">
        <v>6174.258</v>
      </c>
      <c r="I2253" s="0" t="n">
        <v>3257.985</v>
      </c>
      <c r="J2253" s="0" t="n">
        <v>7581.328</v>
      </c>
      <c r="K2253" s="0" t="n">
        <v>102826.739719722</v>
      </c>
      <c r="L2253" s="0" t="n">
        <v>94097</v>
      </c>
      <c r="M2253" s="0" t="n">
        <v>93874</v>
      </c>
      <c r="N2253" s="0" t="n">
        <v>31</v>
      </c>
      <c r="O2253" s="54" t="n">
        <f aca="false">YEAR(B2253)</f>
        <v>2021</v>
      </c>
      <c r="P2253" s="54" t="n">
        <f aca="false">IF(AND(E2253&gt;=14400,K2253&gt;0,L2253&gt;0),1,0)</f>
        <v>1</v>
      </c>
      <c r="Q2253" s="53" t="n">
        <f aca="false">IF(P2253=1,F2253/E2253*MIN(L2253/K2253,1)*MIN(MAX(M2253/L2253,0),1),0)</f>
        <v>0.772705066267585</v>
      </c>
      <c r="R2253" s="55" t="n">
        <f aca="false">IF(F2253&gt;0,N2253/(F2253/3600),0)</f>
        <v>1.86846730213195</v>
      </c>
    </row>
    <row r="2254" customFormat="false" ht="15" hidden="false" customHeight="false" outlineLevel="0" collapsed="false">
      <c r="A2254" s="0" t="s">
        <v>262</v>
      </c>
      <c r="B2254" s="52" t="n">
        <v>44348</v>
      </c>
      <c r="C2254" s="0" t="n">
        <v>79163.215</v>
      </c>
      <c r="D2254" s="0" t="n">
        <v>9289.097</v>
      </c>
      <c r="E2254" s="0" t="n">
        <v>69874.118</v>
      </c>
      <c r="F2254" s="0" t="n">
        <v>54111.514</v>
      </c>
      <c r="G2254" s="0" t="n">
        <v>44782.177</v>
      </c>
      <c r="H2254" s="0" t="n">
        <v>9329.337</v>
      </c>
      <c r="I2254" s="0" t="n">
        <v>4013.078</v>
      </c>
      <c r="J2254" s="0" t="n">
        <v>11749.526</v>
      </c>
      <c r="K2254" s="0" t="n">
        <v>87368.6293163889</v>
      </c>
      <c r="L2254" s="0" t="n">
        <v>77440</v>
      </c>
      <c r="M2254" s="0" t="n">
        <v>77212</v>
      </c>
      <c r="N2254" s="0" t="n">
        <v>28</v>
      </c>
      <c r="O2254" s="54" t="n">
        <f aca="false">YEAR(B2254)</f>
        <v>2021</v>
      </c>
      <c r="P2254" s="54" t="n">
        <f aca="false">IF(AND(E2254&gt;=14400,K2254&gt;0,L2254&gt;0),1,0)</f>
        <v>1</v>
      </c>
      <c r="Q2254" s="53" t="n">
        <f aca="false">IF(P2254=1,F2254/E2254*MIN(L2254/K2254,1)*MIN(MAX(M2254/L2254,0),1),0)</f>
        <v>0.684388378203133</v>
      </c>
      <c r="R2254" s="55" t="n">
        <f aca="false">IF(F2254&gt;0,N2254/(F2254/3600),0)</f>
        <v>1.86281980578108</v>
      </c>
    </row>
    <row r="2255" customFormat="false" ht="15" hidden="false" customHeight="false" outlineLevel="0" collapsed="false">
      <c r="A2255" s="0" t="s">
        <v>262</v>
      </c>
      <c r="B2255" s="52" t="n">
        <v>44349</v>
      </c>
      <c r="C2255" s="0" t="n">
        <v>80203.226</v>
      </c>
      <c r="D2255" s="0" t="n">
        <v>5678.391</v>
      </c>
      <c r="E2255" s="0" t="n">
        <v>74524.835</v>
      </c>
      <c r="F2255" s="0" t="n">
        <v>62029.513</v>
      </c>
      <c r="G2255" s="0" t="n">
        <v>54252.112</v>
      </c>
      <c r="H2255" s="0" t="n">
        <v>7777.401</v>
      </c>
      <c r="I2255" s="0" t="n">
        <v>3336.461</v>
      </c>
      <c r="J2255" s="0" t="n">
        <v>9158.861</v>
      </c>
      <c r="K2255" s="0" t="n">
        <v>109977.9299125</v>
      </c>
      <c r="L2255" s="0" t="n">
        <v>96446</v>
      </c>
      <c r="M2255" s="0" t="n">
        <v>96274</v>
      </c>
      <c r="N2255" s="0" t="n">
        <v>37</v>
      </c>
      <c r="O2255" s="54" t="n">
        <f aca="false">YEAR(B2255)</f>
        <v>2021</v>
      </c>
      <c r="P2255" s="54" t="n">
        <f aca="false">IF(AND(E2255&gt;=14400,K2255&gt;0,L2255&gt;0),1,0)</f>
        <v>1</v>
      </c>
      <c r="Q2255" s="53" t="n">
        <f aca="false">IF(P2255=1,F2255/E2255*MIN(L2255/K2255,1)*MIN(MAX(M2255/L2255,0),1),0)</f>
        <v>0.7286195566253</v>
      </c>
      <c r="R2255" s="55" t="n">
        <f aca="false">IF(F2255&gt;0,N2255/(F2255/3600),0)</f>
        <v>2.14736491643905</v>
      </c>
    </row>
    <row r="2256" customFormat="false" ht="15" hidden="false" customHeight="false" outlineLevel="0" collapsed="false">
      <c r="A2256" s="0" t="s">
        <v>262</v>
      </c>
      <c r="B2256" s="52" t="n">
        <v>44350</v>
      </c>
      <c r="C2256" s="0" t="n">
        <v>82230.989</v>
      </c>
      <c r="D2256" s="0" t="n">
        <v>16466.175</v>
      </c>
      <c r="E2256" s="0" t="n">
        <v>65764.814</v>
      </c>
      <c r="F2256" s="0" t="n">
        <v>50877.766</v>
      </c>
      <c r="G2256" s="0" t="n">
        <v>45305.636</v>
      </c>
      <c r="H2256" s="0" t="n">
        <v>5572.13</v>
      </c>
      <c r="I2256" s="0" t="n">
        <v>4705.985</v>
      </c>
      <c r="J2256" s="0" t="n">
        <v>10181.063</v>
      </c>
      <c r="K2256" s="0" t="n">
        <v>86792.0742238889</v>
      </c>
      <c r="L2256" s="0" t="n">
        <v>80187</v>
      </c>
      <c r="M2256" s="0" t="n">
        <v>80119</v>
      </c>
      <c r="N2256" s="0" t="n">
        <v>35</v>
      </c>
      <c r="O2256" s="54" t="n">
        <f aca="false">YEAR(B2256)</f>
        <v>2021</v>
      </c>
      <c r="P2256" s="54" t="n">
        <f aca="false">IF(AND(E2256&gt;=14400,K2256&gt;0,L2256&gt;0),1,0)</f>
        <v>1</v>
      </c>
      <c r="Q2256" s="53" t="n">
        <f aca="false">IF(P2256=1,F2256/E2256*MIN(L2256/K2256,1)*MIN(MAX(M2256/L2256,0),1),0)</f>
        <v>0.714150738840826</v>
      </c>
      <c r="R2256" s="55" t="n">
        <f aca="false">IF(F2256&gt;0,N2256/(F2256/3600),0)</f>
        <v>2.4765238316478</v>
      </c>
    </row>
    <row r="2257" customFormat="false" ht="15" hidden="false" customHeight="false" outlineLevel="0" collapsed="false">
      <c r="A2257" s="0" t="s">
        <v>262</v>
      </c>
      <c r="B2257" s="52" t="n">
        <v>44351</v>
      </c>
      <c r="C2257" s="0" t="n">
        <v>86012.577</v>
      </c>
      <c r="D2257" s="0" t="n">
        <v>15666.91</v>
      </c>
      <c r="E2257" s="0" t="n">
        <v>70345.667</v>
      </c>
      <c r="F2257" s="0" t="n">
        <v>49172.111</v>
      </c>
      <c r="G2257" s="0" t="n">
        <v>31346.212</v>
      </c>
      <c r="H2257" s="0" t="n">
        <v>17825.899</v>
      </c>
      <c r="I2257" s="0" t="n">
        <v>4828.799</v>
      </c>
      <c r="J2257" s="0" t="n">
        <v>16344.757</v>
      </c>
      <c r="K2257" s="0" t="n">
        <v>78466.0885786111</v>
      </c>
      <c r="L2257" s="0" t="n">
        <v>51144</v>
      </c>
      <c r="M2257" s="0" t="n">
        <v>50826</v>
      </c>
      <c r="N2257" s="0" t="n">
        <v>59</v>
      </c>
      <c r="O2257" s="54" t="n">
        <f aca="false">YEAR(B2257)</f>
        <v>2021</v>
      </c>
      <c r="P2257" s="54" t="n">
        <f aca="false">IF(AND(E2257&gt;=14400,K2257&gt;0,L2257&gt;0),1,0)</f>
        <v>1</v>
      </c>
      <c r="Q2257" s="53" t="n">
        <f aca="false">IF(P2257=1,F2257/E2257*MIN(L2257/K2257,1)*MIN(MAX(M2257/L2257,0),1),0)</f>
        <v>0.452778117387691</v>
      </c>
      <c r="R2257" s="55" t="n">
        <f aca="false">IF(F2257&gt;0,N2257/(F2257/3600),0)</f>
        <v>4.31952168984569</v>
      </c>
    </row>
    <row r="2258" customFormat="false" ht="15" hidden="false" customHeight="false" outlineLevel="0" collapsed="false">
      <c r="A2258" s="0" t="s">
        <v>262</v>
      </c>
      <c r="B2258" s="52" t="n">
        <v>44352</v>
      </c>
      <c r="C2258" s="0" t="n">
        <v>97347.057</v>
      </c>
      <c r="D2258" s="0" t="n">
        <v>14671.453</v>
      </c>
      <c r="E2258" s="0" t="n">
        <v>82675.604</v>
      </c>
      <c r="F2258" s="0" t="n">
        <v>53063.962</v>
      </c>
      <c r="G2258" s="0" t="n">
        <v>48067.973</v>
      </c>
      <c r="H2258" s="0" t="n">
        <v>4995.989</v>
      </c>
      <c r="I2258" s="0" t="n">
        <v>9156.261</v>
      </c>
      <c r="J2258" s="0" t="n">
        <v>20455.381</v>
      </c>
      <c r="K2258" s="0" t="n">
        <v>93663.4140166667</v>
      </c>
      <c r="L2258" s="0" t="n">
        <v>86012</v>
      </c>
      <c r="M2258" s="0" t="n">
        <v>85956</v>
      </c>
      <c r="N2258" s="0" t="n">
        <v>63</v>
      </c>
      <c r="O2258" s="54" t="n">
        <f aca="false">YEAR(B2258)</f>
        <v>2021</v>
      </c>
      <c r="P2258" s="54" t="n">
        <f aca="false">IF(AND(E2258&gt;=14400,K2258&gt;0,L2258&gt;0),1,0)</f>
        <v>1</v>
      </c>
      <c r="Q2258" s="53" t="n">
        <f aca="false">IF(P2258=1,F2258/E2258*MIN(L2258/K2258,1)*MIN(MAX(M2258/L2258,0),1),0)</f>
        <v>0.589017923565787</v>
      </c>
      <c r="R2258" s="55" t="n">
        <f aca="false">IF(F2258&gt;0,N2258/(F2258/3600),0)</f>
        <v>4.27408718557427</v>
      </c>
    </row>
    <row r="2259" customFormat="false" ht="15" hidden="false" customHeight="false" outlineLevel="0" collapsed="false">
      <c r="A2259" s="0" t="s">
        <v>262</v>
      </c>
      <c r="B2259" s="52" t="n">
        <v>44353</v>
      </c>
      <c r="C2259" s="0" t="n">
        <v>75579.602</v>
      </c>
      <c r="D2259" s="0" t="n">
        <v>2476.668</v>
      </c>
      <c r="E2259" s="0" t="n">
        <v>73102.934</v>
      </c>
      <c r="F2259" s="0" t="n">
        <v>56709.548</v>
      </c>
      <c r="G2259" s="0" t="n">
        <v>33501.143</v>
      </c>
      <c r="H2259" s="0" t="n">
        <v>23208.405</v>
      </c>
      <c r="I2259" s="0" t="n">
        <v>13409.665</v>
      </c>
      <c r="J2259" s="0" t="n">
        <v>2983.721</v>
      </c>
      <c r="K2259" s="0" t="n">
        <v>96582.3310891667</v>
      </c>
      <c r="L2259" s="0" t="n">
        <v>57806</v>
      </c>
      <c r="M2259" s="0" t="n">
        <v>57744</v>
      </c>
      <c r="N2259" s="0" t="n">
        <v>96</v>
      </c>
      <c r="O2259" s="54" t="n">
        <f aca="false">YEAR(B2259)</f>
        <v>2021</v>
      </c>
      <c r="P2259" s="54" t="n">
        <f aca="false">IF(AND(E2259&gt;=14400,K2259&gt;0,L2259&gt;0),1,0)</f>
        <v>1</v>
      </c>
      <c r="Q2259" s="53" t="n">
        <f aca="false">IF(P2259=1,F2259/E2259*MIN(L2259/K2259,1)*MIN(MAX(M2259/L2259,0),1),0)</f>
        <v>0.463799802616692</v>
      </c>
      <c r="R2259" s="55" t="n">
        <f aca="false">IF(F2259&gt;0,N2259/(F2259/3600),0)</f>
        <v>6.09421186005574</v>
      </c>
    </row>
    <row r="2260" customFormat="false" ht="15" hidden="false" customHeight="false" outlineLevel="0" collapsed="false">
      <c r="A2260" s="0" t="s">
        <v>262</v>
      </c>
      <c r="B2260" s="52" t="n">
        <v>44354</v>
      </c>
      <c r="C2260" s="0" t="n">
        <v>81963.859</v>
      </c>
      <c r="D2260" s="0" t="n">
        <v>7027.157</v>
      </c>
      <c r="E2260" s="0" t="n">
        <v>74936.702</v>
      </c>
      <c r="F2260" s="0" t="n">
        <v>53273.652</v>
      </c>
      <c r="G2260" s="0" t="n">
        <v>35463.639</v>
      </c>
      <c r="H2260" s="0" t="n">
        <v>17810.013</v>
      </c>
      <c r="I2260" s="0" t="n">
        <v>4129.586</v>
      </c>
      <c r="J2260" s="0" t="n">
        <v>17533.464</v>
      </c>
      <c r="K2260" s="0" t="n">
        <v>90670.2244572222</v>
      </c>
      <c r="L2260" s="0" t="n">
        <v>61596</v>
      </c>
      <c r="M2260" s="0" t="n">
        <v>61432</v>
      </c>
      <c r="N2260" s="0" t="n">
        <v>42</v>
      </c>
      <c r="O2260" s="54" t="n">
        <f aca="false">YEAR(B2260)</f>
        <v>2021</v>
      </c>
      <c r="P2260" s="54" t="n">
        <f aca="false">IF(AND(E2260&gt;=14400,K2260&gt;0,L2260&gt;0),1,0)</f>
        <v>1</v>
      </c>
      <c r="Q2260" s="53" t="n">
        <f aca="false">IF(P2260=1,F2260/E2260*MIN(L2260/K2260,1)*MIN(MAX(M2260/L2260,0),1),0)</f>
        <v>0.481668069797298</v>
      </c>
      <c r="R2260" s="55" t="n">
        <f aca="false">IF(F2260&gt;0,N2260/(F2260/3600),0)</f>
        <v>2.83817598988708</v>
      </c>
    </row>
    <row r="2261" customFormat="false" ht="15" hidden="false" customHeight="false" outlineLevel="0" collapsed="false">
      <c r="A2261" s="0" t="s">
        <v>262</v>
      </c>
      <c r="B2261" s="52" t="n">
        <v>44355</v>
      </c>
      <c r="C2261" s="0" t="n">
        <v>81512.515</v>
      </c>
      <c r="D2261" s="0" t="n">
        <v>17121.399</v>
      </c>
      <c r="E2261" s="0" t="n">
        <v>64391.116</v>
      </c>
      <c r="F2261" s="0" t="n">
        <v>50418.928</v>
      </c>
      <c r="G2261" s="0" t="n">
        <v>42908.95</v>
      </c>
      <c r="H2261" s="0" t="n">
        <v>7509.978</v>
      </c>
      <c r="I2261" s="0" t="n">
        <v>5328.895</v>
      </c>
      <c r="J2261" s="0" t="n">
        <v>8643.293</v>
      </c>
      <c r="K2261" s="0" t="n">
        <v>86656.4638030556</v>
      </c>
      <c r="L2261" s="0" t="n">
        <v>75580</v>
      </c>
      <c r="M2261" s="0" t="n">
        <v>75242</v>
      </c>
      <c r="N2261" s="0" t="n">
        <v>64</v>
      </c>
      <c r="O2261" s="54" t="n">
        <f aca="false">YEAR(B2261)</f>
        <v>2021</v>
      </c>
      <c r="P2261" s="54" t="n">
        <f aca="false">IF(AND(E2261&gt;=14400,K2261&gt;0,L2261&gt;0),1,0)</f>
        <v>1</v>
      </c>
      <c r="Q2261" s="53" t="n">
        <f aca="false">IF(P2261=1,F2261/E2261*MIN(L2261/K2261,1)*MIN(MAX(M2261/L2261,0),1),0)</f>
        <v>0.679871793514467</v>
      </c>
      <c r="R2261" s="55" t="n">
        <f aca="false">IF(F2261&gt;0,N2261/(F2261/3600),0)</f>
        <v>4.56971239055301</v>
      </c>
    </row>
    <row r="2262" customFormat="false" ht="15" hidden="false" customHeight="false" outlineLevel="0" collapsed="false">
      <c r="A2262" s="0" t="s">
        <v>262</v>
      </c>
      <c r="B2262" s="52" t="n">
        <v>44356</v>
      </c>
      <c r="C2262" s="0" t="n">
        <v>69584.732</v>
      </c>
      <c r="D2262" s="0" t="n">
        <v>0</v>
      </c>
      <c r="E2262" s="0" t="n">
        <v>69584.732</v>
      </c>
      <c r="F2262" s="0" t="n">
        <v>58374.66</v>
      </c>
      <c r="G2262" s="0" t="n">
        <v>52202.1</v>
      </c>
      <c r="H2262" s="0" t="n">
        <v>6172.56</v>
      </c>
      <c r="I2262" s="0" t="n">
        <v>4641.717</v>
      </c>
      <c r="J2262" s="0" t="n">
        <v>6568.355</v>
      </c>
      <c r="K2262" s="0" t="n">
        <v>97373.7072880556</v>
      </c>
      <c r="L2262" s="0" t="n">
        <v>87881</v>
      </c>
      <c r="M2262" s="0" t="n">
        <v>87836</v>
      </c>
      <c r="N2262" s="0" t="n">
        <v>35</v>
      </c>
      <c r="O2262" s="54" t="n">
        <f aca="false">YEAR(B2262)</f>
        <v>2021</v>
      </c>
      <c r="P2262" s="54" t="n">
        <f aca="false">IF(AND(E2262&gt;=14400,K2262&gt;0,L2262&gt;0),1,0)</f>
        <v>1</v>
      </c>
      <c r="Q2262" s="53" t="n">
        <f aca="false">IF(P2262=1,F2262/E2262*MIN(L2262/K2262,1)*MIN(MAX(M2262/L2262,0),1),0)</f>
        <v>0.756730520042653</v>
      </c>
      <c r="R2262" s="55" t="n">
        <f aca="false">IF(F2262&gt;0,N2262/(F2262/3600),0)</f>
        <v>2.1584708159328</v>
      </c>
    </row>
    <row r="2263" customFormat="false" ht="15" hidden="false" customHeight="false" outlineLevel="0" collapsed="false">
      <c r="A2263" s="0" t="s">
        <v>262</v>
      </c>
      <c r="B2263" s="52" t="n">
        <v>44357</v>
      </c>
      <c r="C2263" s="0" t="n">
        <v>86147.937</v>
      </c>
      <c r="D2263" s="0" t="n">
        <v>11260.158</v>
      </c>
      <c r="E2263" s="0" t="n">
        <v>74887.779</v>
      </c>
      <c r="F2263" s="0" t="n">
        <v>64122.394</v>
      </c>
      <c r="G2263" s="0" t="n">
        <v>57789.192</v>
      </c>
      <c r="H2263" s="0" t="n">
        <v>6333.202</v>
      </c>
      <c r="I2263" s="0" t="n">
        <v>1890.774</v>
      </c>
      <c r="J2263" s="0" t="n">
        <v>8874.611</v>
      </c>
      <c r="K2263" s="0" t="n">
        <v>106186.975631667</v>
      </c>
      <c r="L2263" s="0" t="n">
        <v>99954</v>
      </c>
      <c r="M2263" s="0" t="n">
        <v>99733</v>
      </c>
      <c r="N2263" s="0" t="n">
        <v>29</v>
      </c>
      <c r="O2263" s="54" t="n">
        <f aca="false">YEAR(B2263)</f>
        <v>2021</v>
      </c>
      <c r="P2263" s="54" t="n">
        <f aca="false">IF(AND(E2263&gt;=14400,K2263&gt;0,L2263&gt;0),1,0)</f>
        <v>1</v>
      </c>
      <c r="Q2263" s="53" t="n">
        <f aca="false">IF(P2263=1,F2263/E2263*MIN(L2263/K2263,1)*MIN(MAX(M2263/L2263,0),1),0)</f>
        <v>0.804204333614855</v>
      </c>
      <c r="R2263" s="55" t="n">
        <f aca="false">IF(F2263&gt;0,N2263/(F2263/3600),0)</f>
        <v>1.62813634188393</v>
      </c>
    </row>
    <row r="2264" customFormat="false" ht="15" hidden="false" customHeight="false" outlineLevel="0" collapsed="false">
      <c r="A2264" s="0" t="s">
        <v>262</v>
      </c>
      <c r="B2264" s="52" t="n">
        <v>44358</v>
      </c>
      <c r="C2264" s="0" t="n">
        <v>40922.911</v>
      </c>
      <c r="D2264" s="0" t="n">
        <v>13247.767</v>
      </c>
      <c r="E2264" s="0" t="n">
        <v>27675.144</v>
      </c>
      <c r="F2264" s="0" t="n">
        <v>15446.373</v>
      </c>
      <c r="G2264" s="0" t="n">
        <v>11862.591</v>
      </c>
      <c r="H2264" s="0" t="n">
        <v>3583.782</v>
      </c>
      <c r="I2264" s="0" t="n">
        <v>635.238</v>
      </c>
      <c r="J2264" s="0" t="n">
        <v>11593.533</v>
      </c>
      <c r="K2264" s="0" t="n">
        <v>25610.6425977778</v>
      </c>
      <c r="L2264" s="0" t="n">
        <v>20043</v>
      </c>
      <c r="M2264" s="0" t="n">
        <v>20027</v>
      </c>
      <c r="N2264" s="0" t="n">
        <v>9</v>
      </c>
      <c r="O2264" s="54" t="n">
        <f aca="false">YEAR(B2264)</f>
        <v>2021</v>
      </c>
      <c r="P2264" s="54" t="n">
        <f aca="false">IF(AND(E2264&gt;=14400,K2264&gt;0,L2264&gt;0),1,0)</f>
        <v>1</v>
      </c>
      <c r="Q2264" s="53" t="n">
        <f aca="false">IF(P2264=1,F2264/E2264*MIN(L2264/K2264,1)*MIN(MAX(M2264/L2264,0),1),0)</f>
        <v>0.436447541057387</v>
      </c>
      <c r="R2264" s="55" t="n">
        <f aca="false">IF(F2264&gt;0,N2264/(F2264/3600),0)</f>
        <v>2.09757980077265</v>
      </c>
    </row>
    <row r="2265" customFormat="false" ht="15" hidden="false" customHeight="false" outlineLevel="0" collapsed="false">
      <c r="A2265" s="0" t="s">
        <v>262</v>
      </c>
      <c r="B2265" s="52" t="n">
        <v>44361</v>
      </c>
      <c r="C2265" s="0" t="n">
        <v>49686.364</v>
      </c>
      <c r="D2265" s="0" t="n">
        <v>20861.285</v>
      </c>
      <c r="E2265" s="0" t="n">
        <v>28825.079</v>
      </c>
      <c r="F2265" s="0" t="n">
        <v>4729.516</v>
      </c>
      <c r="G2265" s="0" t="n">
        <v>64.149</v>
      </c>
      <c r="H2265" s="0" t="n">
        <v>4665.367</v>
      </c>
      <c r="I2265" s="0" t="n">
        <v>0</v>
      </c>
      <c r="J2265" s="0" t="n">
        <v>24095.563</v>
      </c>
      <c r="K2265" s="0" t="n">
        <v>6853.86433333333</v>
      </c>
      <c r="L2265" s="0" t="n">
        <v>50</v>
      </c>
      <c r="M2265" s="0" t="n">
        <v>12</v>
      </c>
      <c r="N2265" s="0" t="n">
        <v>0</v>
      </c>
      <c r="O2265" s="54" t="n">
        <f aca="false">YEAR(B2265)</f>
        <v>2021</v>
      </c>
      <c r="P2265" s="54" t="n">
        <f aca="false">IF(AND(E2265&gt;=14400,K2265&gt;0,L2265&gt;0),1,0)</f>
        <v>1</v>
      </c>
      <c r="Q2265" s="53" t="n">
        <f aca="false">IF(P2265=1,F2265/E2265*MIN(L2265/K2265,1)*MIN(MAX(M2265/L2265,0),1),0)</f>
        <v>0.000287271098551401</v>
      </c>
      <c r="R2265" s="55" t="n">
        <f aca="false">IF(F2265&gt;0,N2265/(F2265/3600),0)</f>
        <v>0</v>
      </c>
    </row>
    <row r="2266" customFormat="false" ht="15" hidden="false" customHeight="false" outlineLevel="0" collapsed="false">
      <c r="A2266" s="0" t="s">
        <v>262</v>
      </c>
      <c r="B2266" s="52" t="n">
        <v>44362</v>
      </c>
      <c r="C2266" s="0" t="n">
        <v>85712.631</v>
      </c>
      <c r="D2266" s="0" t="n">
        <v>117.697</v>
      </c>
      <c r="E2266" s="0" t="n">
        <v>85594.934</v>
      </c>
      <c r="F2266" s="0" t="n">
        <v>69464.982</v>
      </c>
      <c r="G2266" s="0" t="n">
        <v>59490.042</v>
      </c>
      <c r="H2266" s="0" t="n">
        <v>9974.94</v>
      </c>
      <c r="I2266" s="0" t="n">
        <v>7045.652</v>
      </c>
      <c r="J2266" s="0" t="n">
        <v>9084.3</v>
      </c>
      <c r="K2266" s="0" t="n">
        <v>116849.499261944</v>
      </c>
      <c r="L2266" s="0" t="n">
        <v>105593</v>
      </c>
      <c r="M2266" s="0" t="n">
        <v>105440</v>
      </c>
      <c r="N2266" s="0" t="n">
        <v>61</v>
      </c>
      <c r="O2266" s="54" t="n">
        <f aca="false">YEAR(B2266)</f>
        <v>2021</v>
      </c>
      <c r="P2266" s="54" t="n">
        <f aca="false">IF(AND(E2266&gt;=14400,K2266&gt;0,L2266&gt;0),1,0)</f>
        <v>1</v>
      </c>
      <c r="Q2266" s="53" t="n">
        <f aca="false">IF(P2266=1,F2266/E2266*MIN(L2266/K2266,1)*MIN(MAX(M2266/L2266,0),1),0)</f>
        <v>0.73231243333234</v>
      </c>
      <c r="R2266" s="55" t="n">
        <f aca="false">IF(F2266&gt;0,N2266/(F2266/3600),0)</f>
        <v>3.16130507310863</v>
      </c>
    </row>
    <row r="2267" customFormat="false" ht="15" hidden="false" customHeight="false" outlineLevel="0" collapsed="false">
      <c r="A2267" s="0" t="s">
        <v>262</v>
      </c>
      <c r="B2267" s="52" t="n">
        <v>44363</v>
      </c>
      <c r="C2267" s="0" t="n">
        <v>86675.686</v>
      </c>
      <c r="D2267" s="0" t="n">
        <v>12435.654</v>
      </c>
      <c r="E2267" s="0" t="n">
        <v>74240.032</v>
      </c>
      <c r="F2267" s="0" t="n">
        <v>46365.17</v>
      </c>
      <c r="G2267" s="0" t="n">
        <v>36341.175</v>
      </c>
      <c r="H2267" s="0" t="n">
        <v>10023.995</v>
      </c>
      <c r="I2267" s="0" t="n">
        <v>3826.182</v>
      </c>
      <c r="J2267" s="0" t="n">
        <v>24048.68</v>
      </c>
      <c r="K2267" s="0" t="n">
        <v>78186.0241833333</v>
      </c>
      <c r="L2267" s="0" t="n">
        <v>62709</v>
      </c>
      <c r="M2267" s="0" t="n">
        <v>62537</v>
      </c>
      <c r="N2267" s="0" t="n">
        <v>33</v>
      </c>
      <c r="O2267" s="54" t="n">
        <f aca="false">YEAR(B2267)</f>
        <v>2021</v>
      </c>
      <c r="P2267" s="54" t="n">
        <f aca="false">IF(AND(E2267&gt;=14400,K2267&gt;0,L2267&gt;0),1,0)</f>
        <v>1</v>
      </c>
      <c r="Q2267" s="53" t="n">
        <f aca="false">IF(P2267=1,F2267/E2267*MIN(L2267/K2267,1)*MIN(MAX(M2267/L2267,0),1),0)</f>
        <v>0.499530051357934</v>
      </c>
      <c r="R2267" s="55" t="n">
        <f aca="false">IF(F2267&gt;0,N2267/(F2267/3600),0)</f>
        <v>2.56226818536414</v>
      </c>
    </row>
    <row r="2268" customFormat="false" ht="15" hidden="false" customHeight="false" outlineLevel="0" collapsed="false">
      <c r="A2268" s="0" t="s">
        <v>262</v>
      </c>
      <c r="B2268" s="52" t="n">
        <v>44364</v>
      </c>
      <c r="C2268" s="0" t="n">
        <v>87750.259</v>
      </c>
      <c r="D2268" s="0" t="n">
        <v>10693.036</v>
      </c>
      <c r="E2268" s="0" t="n">
        <v>77057.223</v>
      </c>
      <c r="F2268" s="0" t="n">
        <v>61892.241</v>
      </c>
      <c r="G2268" s="0" t="n">
        <v>48241.202</v>
      </c>
      <c r="H2268" s="0" t="n">
        <v>13651.039</v>
      </c>
      <c r="I2268" s="0" t="n">
        <v>2018.243</v>
      </c>
      <c r="J2268" s="0" t="n">
        <v>13146.739</v>
      </c>
      <c r="K2268" s="0" t="n">
        <v>102695.903354444</v>
      </c>
      <c r="L2268" s="0" t="n">
        <v>82327</v>
      </c>
      <c r="M2268" s="0" t="n">
        <v>81816</v>
      </c>
      <c r="N2268" s="0" t="n">
        <v>38</v>
      </c>
      <c r="O2268" s="54" t="n">
        <f aca="false">YEAR(B2268)</f>
        <v>2021</v>
      </c>
      <c r="P2268" s="54" t="n">
        <f aca="false">IF(AND(E2268&gt;=14400,K2268&gt;0,L2268&gt;0),1,0)</f>
        <v>1</v>
      </c>
      <c r="Q2268" s="53" t="n">
        <f aca="false">IF(P2268=1,F2268/E2268*MIN(L2268/K2268,1)*MIN(MAX(M2268/L2268,0),1),0)</f>
        <v>0.639893911026875</v>
      </c>
      <c r="R2268" s="55" t="n">
        <f aca="false">IF(F2268&gt;0,N2268/(F2268/3600),0)</f>
        <v>2.21029320945092</v>
      </c>
    </row>
    <row r="2269" customFormat="false" ht="15" hidden="false" customHeight="false" outlineLevel="0" collapsed="false">
      <c r="A2269" s="0" t="s">
        <v>262</v>
      </c>
      <c r="B2269" s="52" t="n">
        <v>44365</v>
      </c>
      <c r="C2269" s="0" t="n">
        <v>86954.187</v>
      </c>
      <c r="D2269" s="0" t="n">
        <v>5970.872</v>
      </c>
      <c r="E2269" s="0" t="n">
        <v>80983.315</v>
      </c>
      <c r="F2269" s="0" t="n">
        <v>64313.39</v>
      </c>
      <c r="G2269" s="0" t="n">
        <v>56982.01</v>
      </c>
      <c r="H2269" s="0" t="n">
        <v>7331.38</v>
      </c>
      <c r="I2269" s="0" t="n">
        <v>3048.75</v>
      </c>
      <c r="J2269" s="0" t="n">
        <v>13621.175</v>
      </c>
      <c r="K2269" s="0" t="n">
        <v>111174.375010278</v>
      </c>
      <c r="L2269" s="0" t="n">
        <v>99064</v>
      </c>
      <c r="M2269" s="0" t="n">
        <v>98818</v>
      </c>
      <c r="N2269" s="0" t="n">
        <v>49</v>
      </c>
      <c r="O2269" s="54" t="n">
        <f aca="false">YEAR(B2269)</f>
        <v>2021</v>
      </c>
      <c r="P2269" s="54" t="n">
        <f aca="false">IF(AND(E2269&gt;=14400,K2269&gt;0,L2269&gt;0),1,0)</f>
        <v>1</v>
      </c>
      <c r="Q2269" s="53" t="n">
        <f aca="false">IF(P2269=1,F2269/E2269*MIN(L2269/K2269,1)*MIN(MAX(M2269/L2269,0),1),0)</f>
        <v>0.705890301457081</v>
      </c>
      <c r="R2269" s="55" t="n">
        <f aca="false">IF(F2269&gt;0,N2269/(F2269/3600),0)</f>
        <v>2.74281918586472</v>
      </c>
    </row>
    <row r="2270" customFormat="false" ht="15" hidden="false" customHeight="false" outlineLevel="0" collapsed="false">
      <c r="A2270" s="0" t="s">
        <v>262</v>
      </c>
      <c r="B2270" s="52" t="n">
        <v>44366</v>
      </c>
      <c r="C2270" s="0" t="n">
        <v>82817.29</v>
      </c>
      <c r="D2270" s="0" t="n">
        <v>16896.484</v>
      </c>
      <c r="E2270" s="0" t="n">
        <v>65920.806</v>
      </c>
      <c r="F2270" s="0" t="n">
        <v>52423.246</v>
      </c>
      <c r="G2270" s="0" t="n">
        <v>42649.709</v>
      </c>
      <c r="H2270" s="0" t="n">
        <v>9773.537</v>
      </c>
      <c r="I2270" s="0" t="n">
        <v>2454.98</v>
      </c>
      <c r="J2270" s="0" t="n">
        <v>11042.58</v>
      </c>
      <c r="K2270" s="0" t="n">
        <v>85813.4015188889</v>
      </c>
      <c r="L2270" s="0" t="n">
        <v>72242</v>
      </c>
      <c r="M2270" s="0" t="n">
        <v>71875</v>
      </c>
      <c r="N2270" s="0" t="n">
        <v>26</v>
      </c>
      <c r="O2270" s="54" t="n">
        <f aca="false">YEAR(B2270)</f>
        <v>2021</v>
      </c>
      <c r="P2270" s="54" t="n">
        <f aca="false">IF(AND(E2270&gt;=14400,K2270&gt;0,L2270&gt;0),1,0)</f>
        <v>1</v>
      </c>
      <c r="Q2270" s="53" t="n">
        <f aca="false">IF(P2270=1,F2270/E2270*MIN(L2270/K2270,1)*MIN(MAX(M2270/L2270,0),1),0)</f>
        <v>0.666076544344261</v>
      </c>
      <c r="R2270" s="55" t="n">
        <f aca="false">IF(F2270&gt;0,N2270/(F2270/3600),0)</f>
        <v>1.78546746227809</v>
      </c>
    </row>
    <row r="2271" customFormat="false" ht="15" hidden="false" customHeight="false" outlineLevel="0" collapsed="false">
      <c r="A2271" s="0" t="s">
        <v>262</v>
      </c>
      <c r="B2271" s="52" t="n">
        <v>44367</v>
      </c>
      <c r="C2271" s="0" t="n">
        <v>90250.05</v>
      </c>
      <c r="D2271" s="0" t="n">
        <v>15528.848</v>
      </c>
      <c r="E2271" s="0" t="n">
        <v>74721.202</v>
      </c>
      <c r="F2271" s="0" t="n">
        <v>57858.131</v>
      </c>
      <c r="G2271" s="0" t="n">
        <v>50234.533</v>
      </c>
      <c r="H2271" s="0" t="n">
        <v>7623.598</v>
      </c>
      <c r="I2271" s="0" t="n">
        <v>2627.115</v>
      </c>
      <c r="J2271" s="0" t="n">
        <v>14235.956</v>
      </c>
      <c r="K2271" s="0" t="n">
        <v>93959.7477205556</v>
      </c>
      <c r="L2271" s="0" t="n">
        <v>83071</v>
      </c>
      <c r="M2271" s="0" t="n">
        <v>82763</v>
      </c>
      <c r="N2271" s="0" t="n">
        <v>37</v>
      </c>
      <c r="O2271" s="54" t="n">
        <f aca="false">YEAR(B2271)</f>
        <v>2021</v>
      </c>
      <c r="P2271" s="54" t="n">
        <f aca="false">IF(AND(E2271&gt;=14400,K2271&gt;0,L2271&gt;0),1,0)</f>
        <v>1</v>
      </c>
      <c r="Q2271" s="53" t="n">
        <f aca="false">IF(P2271=1,F2271/E2271*MIN(L2271/K2271,1)*MIN(MAX(M2271/L2271,0),1),0)</f>
        <v>0.682047990166169</v>
      </c>
      <c r="R2271" s="55" t="n">
        <f aca="false">IF(F2271&gt;0,N2271/(F2271/3600),0)</f>
        <v>2.302182903212</v>
      </c>
    </row>
    <row r="2272" customFormat="false" ht="15" hidden="false" customHeight="false" outlineLevel="0" collapsed="false">
      <c r="A2272" s="0" t="s">
        <v>262</v>
      </c>
      <c r="B2272" s="52" t="n">
        <v>44368</v>
      </c>
      <c r="C2272" s="0" t="n">
        <v>79783.901</v>
      </c>
      <c r="D2272" s="0" t="n">
        <v>110.678</v>
      </c>
      <c r="E2272" s="0" t="n">
        <v>79673.223</v>
      </c>
      <c r="F2272" s="0" t="n">
        <v>63840.439</v>
      </c>
      <c r="G2272" s="0" t="n">
        <v>57486.248</v>
      </c>
      <c r="H2272" s="0" t="n">
        <v>6354.191</v>
      </c>
      <c r="I2272" s="0" t="n">
        <v>2630.669</v>
      </c>
      <c r="J2272" s="0" t="n">
        <v>13202.115</v>
      </c>
      <c r="K2272" s="0" t="n">
        <v>110776.267740278</v>
      </c>
      <c r="L2272" s="0" t="n">
        <v>99692</v>
      </c>
      <c r="M2272" s="0" t="n">
        <v>99607</v>
      </c>
      <c r="N2272" s="0" t="n">
        <v>36</v>
      </c>
      <c r="O2272" s="54" t="n">
        <f aca="false">YEAR(B2272)</f>
        <v>2021</v>
      </c>
      <c r="P2272" s="54" t="n">
        <f aca="false">IF(AND(E2272&gt;=14400,K2272&gt;0,L2272&gt;0),1,0)</f>
        <v>1</v>
      </c>
      <c r="Q2272" s="53" t="n">
        <f aca="false">IF(P2272=1,F2272/E2272*MIN(L2272/K2272,1)*MIN(MAX(M2272/L2272,0),1),0)</f>
        <v>0.720487764733201</v>
      </c>
      <c r="R2272" s="55" t="n">
        <f aca="false">IF(F2272&gt;0,N2272/(F2272/3600),0)</f>
        <v>2.03006122811906</v>
      </c>
    </row>
    <row r="2273" customFormat="false" ht="15" hidden="false" customHeight="false" outlineLevel="0" collapsed="false">
      <c r="A2273" s="0" t="s">
        <v>262</v>
      </c>
      <c r="B2273" s="52" t="n">
        <v>44369</v>
      </c>
      <c r="C2273" s="0" t="n">
        <v>80555.416</v>
      </c>
      <c r="D2273" s="0" t="n">
        <v>14681.28</v>
      </c>
      <c r="E2273" s="0" t="n">
        <v>65874.136</v>
      </c>
      <c r="F2273" s="0" t="n">
        <v>55204.666</v>
      </c>
      <c r="G2273" s="0" t="n">
        <v>47913.376</v>
      </c>
      <c r="H2273" s="0" t="n">
        <v>7291.29</v>
      </c>
      <c r="I2273" s="0" t="n">
        <v>3131.987</v>
      </c>
      <c r="J2273" s="0" t="n">
        <v>7537.483</v>
      </c>
      <c r="K2273" s="0" t="n">
        <v>95708.3454805556</v>
      </c>
      <c r="L2273" s="0" t="n">
        <v>83717</v>
      </c>
      <c r="M2273" s="0" t="n">
        <v>83597</v>
      </c>
      <c r="N2273" s="0" t="n">
        <v>23</v>
      </c>
      <c r="O2273" s="54" t="n">
        <f aca="false">YEAR(B2273)</f>
        <v>2021</v>
      </c>
      <c r="P2273" s="54" t="n">
        <f aca="false">IF(AND(E2273&gt;=14400,K2273&gt;0,L2273&gt;0),1,0)</f>
        <v>1</v>
      </c>
      <c r="Q2273" s="53" t="n">
        <f aca="false">IF(P2273=1,F2273/E2273*MIN(L2273/K2273,1)*MIN(MAX(M2273/L2273,0),1),0)</f>
        <v>0.731984253173103</v>
      </c>
      <c r="R2273" s="55" t="n">
        <f aca="false">IF(F2273&gt;0,N2273/(F2273/3600),0)</f>
        <v>1.49987321723856</v>
      </c>
    </row>
    <row r="2274" customFormat="false" ht="15" hidden="false" customHeight="false" outlineLevel="0" collapsed="false">
      <c r="A2274" s="0" t="s">
        <v>262</v>
      </c>
      <c r="B2274" s="52" t="n">
        <v>44370</v>
      </c>
      <c r="C2274" s="0" t="n">
        <v>86562.83</v>
      </c>
      <c r="D2274" s="0" t="n">
        <v>14143.488</v>
      </c>
      <c r="E2274" s="0" t="n">
        <v>72419.342</v>
      </c>
      <c r="F2274" s="0" t="n">
        <v>57214.138</v>
      </c>
      <c r="G2274" s="0" t="n">
        <v>50483.109</v>
      </c>
      <c r="H2274" s="0" t="n">
        <v>6731.029</v>
      </c>
      <c r="I2274" s="0" t="n">
        <v>3248.96</v>
      </c>
      <c r="J2274" s="0" t="n">
        <v>11956.244</v>
      </c>
      <c r="K2274" s="0" t="n">
        <v>100615.723597222</v>
      </c>
      <c r="L2274" s="0" t="n">
        <v>90034</v>
      </c>
      <c r="M2274" s="0" t="n">
        <v>89607</v>
      </c>
      <c r="N2274" s="0" t="n">
        <v>43</v>
      </c>
      <c r="O2274" s="54" t="n">
        <f aca="false">YEAR(B2274)</f>
        <v>2021</v>
      </c>
      <c r="P2274" s="54" t="n">
        <f aca="false">IF(AND(E2274&gt;=14400,K2274&gt;0,L2274&gt;0),1,0)</f>
        <v>1</v>
      </c>
      <c r="Q2274" s="53" t="n">
        <f aca="false">IF(P2274=1,F2274/E2274*MIN(L2274/K2274,1)*MIN(MAX(M2274/L2274,0),1),0)</f>
        <v>0.703598439192615</v>
      </c>
      <c r="R2274" s="55" t="n">
        <f aca="false">IF(F2274&gt;0,N2274/(F2274/3600),0)</f>
        <v>2.70562496283698</v>
      </c>
    </row>
    <row r="2275" customFormat="false" ht="15" hidden="false" customHeight="false" outlineLevel="0" collapsed="false">
      <c r="A2275" s="0" t="s">
        <v>262</v>
      </c>
      <c r="B2275" s="52" t="n">
        <v>44371</v>
      </c>
      <c r="C2275" s="0" t="n">
        <v>85907.884</v>
      </c>
      <c r="D2275" s="0" t="n">
        <v>17777.136</v>
      </c>
      <c r="E2275" s="0" t="n">
        <v>68130.748</v>
      </c>
      <c r="F2275" s="0" t="n">
        <v>53236.022</v>
      </c>
      <c r="G2275" s="0" t="n">
        <v>43779.904</v>
      </c>
      <c r="H2275" s="0" t="n">
        <v>9456.118</v>
      </c>
      <c r="I2275" s="0" t="n">
        <v>3244.439</v>
      </c>
      <c r="J2275" s="0" t="n">
        <v>11650.287</v>
      </c>
      <c r="K2275" s="0" t="n">
        <v>88761.1257333333</v>
      </c>
      <c r="L2275" s="0" t="n">
        <v>76873</v>
      </c>
      <c r="M2275" s="0" t="n">
        <v>76811</v>
      </c>
      <c r="N2275" s="0" t="n">
        <v>36</v>
      </c>
      <c r="O2275" s="54" t="n">
        <f aca="false">YEAR(B2275)</f>
        <v>2021</v>
      </c>
      <c r="P2275" s="54" t="n">
        <f aca="false">IF(AND(E2275&gt;=14400,K2275&gt;0,L2275&gt;0),1,0)</f>
        <v>1</v>
      </c>
      <c r="Q2275" s="53" t="n">
        <f aca="false">IF(P2275=1,F2275/E2275*MIN(L2275/K2275,1)*MIN(MAX(M2275/L2275,0),1),0)</f>
        <v>0.67618114485903</v>
      </c>
      <c r="R2275" s="55" t="n">
        <f aca="false">IF(F2275&gt;0,N2275/(F2275/3600),0)</f>
        <v>2.43444185217295</v>
      </c>
    </row>
    <row r="2276" customFormat="false" ht="15" hidden="false" customHeight="false" outlineLevel="0" collapsed="false">
      <c r="A2276" s="0" t="s">
        <v>262</v>
      </c>
      <c r="B2276" s="52" t="n">
        <v>44372</v>
      </c>
      <c r="C2276" s="0" t="n">
        <v>89806.087</v>
      </c>
      <c r="D2276" s="0" t="n">
        <v>11993.078</v>
      </c>
      <c r="E2276" s="0" t="n">
        <v>77813.009</v>
      </c>
      <c r="F2276" s="0" t="n">
        <v>64685.085</v>
      </c>
      <c r="G2276" s="0" t="n">
        <v>58085.768</v>
      </c>
      <c r="H2276" s="0" t="n">
        <v>6599.317</v>
      </c>
      <c r="I2276" s="0" t="n">
        <v>4465.784</v>
      </c>
      <c r="J2276" s="0" t="n">
        <v>8662.14</v>
      </c>
      <c r="K2276" s="0" t="n">
        <v>112579.347510556</v>
      </c>
      <c r="L2276" s="0" t="n">
        <v>102841</v>
      </c>
      <c r="M2276" s="0" t="n">
        <v>102694</v>
      </c>
      <c r="N2276" s="0" t="n">
        <v>41</v>
      </c>
      <c r="O2276" s="54" t="n">
        <f aca="false">YEAR(B2276)</f>
        <v>2021</v>
      </c>
      <c r="P2276" s="54" t="n">
        <f aca="false">IF(AND(E2276&gt;=14400,K2276&gt;0,L2276&gt;0),1,0)</f>
        <v>1</v>
      </c>
      <c r="Q2276" s="53" t="n">
        <f aca="false">IF(P2276=1,F2276/E2276*MIN(L2276/K2276,1)*MIN(MAX(M2276/L2276,0),1),0)</f>
        <v>0.758295164415955</v>
      </c>
      <c r="R2276" s="55" t="n">
        <f aca="false">IF(F2276&gt;0,N2276/(F2276/3600),0)</f>
        <v>2.28182431854268</v>
      </c>
    </row>
    <row r="2277" customFormat="false" ht="15" hidden="false" customHeight="false" outlineLevel="0" collapsed="false">
      <c r="A2277" s="0" t="s">
        <v>262</v>
      </c>
      <c r="B2277" s="52" t="n">
        <v>44373</v>
      </c>
      <c r="C2277" s="0" t="n">
        <v>88026.485</v>
      </c>
      <c r="D2277" s="0" t="n">
        <v>4348.376</v>
      </c>
      <c r="E2277" s="0" t="n">
        <v>83678.109</v>
      </c>
      <c r="F2277" s="0" t="n">
        <v>48327.397</v>
      </c>
      <c r="G2277" s="0" t="n">
        <v>43656.636</v>
      </c>
      <c r="H2277" s="0" t="n">
        <v>4670.761</v>
      </c>
      <c r="I2277" s="0" t="n">
        <v>4946.087</v>
      </c>
      <c r="J2277" s="0" t="n">
        <v>30404.625</v>
      </c>
      <c r="K2277" s="0" t="n">
        <v>85971.8495041667</v>
      </c>
      <c r="L2277" s="0" t="n">
        <v>76690</v>
      </c>
      <c r="M2277" s="0" t="n">
        <v>76611</v>
      </c>
      <c r="N2277" s="0" t="n">
        <v>72</v>
      </c>
      <c r="O2277" s="54" t="n">
        <f aca="false">YEAR(B2277)</f>
        <v>2021</v>
      </c>
      <c r="P2277" s="54" t="n">
        <f aca="false">IF(AND(E2277&gt;=14400,K2277&gt;0,L2277&gt;0),1,0)</f>
        <v>1</v>
      </c>
      <c r="Q2277" s="53" t="n">
        <f aca="false">IF(P2277=1,F2277/E2277*MIN(L2277/K2277,1)*MIN(MAX(M2277/L2277,0),1),0)</f>
        <v>0.514655250850525</v>
      </c>
      <c r="R2277" s="55" t="n">
        <f aca="false">IF(F2277&gt;0,N2277/(F2277/3600),0)</f>
        <v>5.36341735930863</v>
      </c>
    </row>
    <row r="2278" customFormat="false" ht="15" hidden="false" customHeight="false" outlineLevel="0" collapsed="false">
      <c r="A2278" s="0" t="s">
        <v>262</v>
      </c>
      <c r="B2278" s="52" t="n">
        <v>44374</v>
      </c>
      <c r="C2278" s="0" t="n">
        <v>86401.822</v>
      </c>
      <c r="D2278" s="0" t="n">
        <v>14839.319</v>
      </c>
      <c r="E2278" s="0" t="n">
        <v>71562.503</v>
      </c>
      <c r="F2278" s="0" t="n">
        <v>52930.947</v>
      </c>
      <c r="G2278" s="0" t="n">
        <v>47078.3</v>
      </c>
      <c r="H2278" s="0" t="n">
        <v>5852.647</v>
      </c>
      <c r="I2278" s="0" t="n">
        <v>2330.262</v>
      </c>
      <c r="J2278" s="0" t="n">
        <v>16301.294</v>
      </c>
      <c r="K2278" s="0" t="n">
        <v>91193.7990569445</v>
      </c>
      <c r="L2278" s="0" t="n">
        <v>82040</v>
      </c>
      <c r="M2278" s="0" t="n">
        <v>81835</v>
      </c>
      <c r="N2278" s="0" t="n">
        <v>55</v>
      </c>
      <c r="O2278" s="54" t="n">
        <f aca="false">YEAR(B2278)</f>
        <v>2021</v>
      </c>
      <c r="P2278" s="54" t="n">
        <f aca="false">IF(AND(E2278&gt;=14400,K2278&gt;0,L2278&gt;0),1,0)</f>
        <v>1</v>
      </c>
      <c r="Q2278" s="53" t="n">
        <f aca="false">IF(P2278=1,F2278/E2278*MIN(L2278/K2278,1)*MIN(MAX(M2278/L2278,0),1),0)</f>
        <v>0.663739891832599</v>
      </c>
      <c r="R2278" s="55" t="n">
        <f aca="false">IF(F2278&gt;0,N2278/(F2278/3600),0)</f>
        <v>3.74072279492751</v>
      </c>
    </row>
    <row r="2279" customFormat="false" ht="15" hidden="false" customHeight="false" outlineLevel="0" collapsed="false">
      <c r="A2279" s="0" t="s">
        <v>262</v>
      </c>
      <c r="B2279" s="52" t="n">
        <v>44375</v>
      </c>
      <c r="C2279" s="0" t="n">
        <v>78622.823</v>
      </c>
      <c r="D2279" s="0" t="n">
        <v>15726.501</v>
      </c>
      <c r="E2279" s="0" t="n">
        <v>62896.322</v>
      </c>
      <c r="F2279" s="0" t="n">
        <v>53851.376</v>
      </c>
      <c r="G2279" s="0" t="n">
        <v>48091.549</v>
      </c>
      <c r="H2279" s="0" t="n">
        <v>5759.827</v>
      </c>
      <c r="I2279" s="0" t="n">
        <v>1939.588</v>
      </c>
      <c r="J2279" s="0" t="n">
        <v>7105.358</v>
      </c>
      <c r="K2279" s="0" t="n">
        <v>91941.8453944445</v>
      </c>
      <c r="L2279" s="0" t="n">
        <v>82310</v>
      </c>
      <c r="M2279" s="0" t="n">
        <v>82174</v>
      </c>
      <c r="N2279" s="0" t="n">
        <v>44</v>
      </c>
      <c r="O2279" s="54" t="n">
        <f aca="false">YEAR(B2279)</f>
        <v>2021</v>
      </c>
      <c r="P2279" s="54" t="n">
        <f aca="false">IF(AND(E2279&gt;=14400,K2279&gt;0,L2279&gt;0),1,0)</f>
        <v>1</v>
      </c>
      <c r="Q2279" s="53" t="n">
        <f aca="false">IF(P2279=1,F2279/E2279*MIN(L2279/K2279,1)*MIN(MAX(M2279/L2279,0),1),0)</f>
        <v>0.765231371812643</v>
      </c>
      <c r="R2279" s="55" t="n">
        <f aca="false">IF(F2279&gt;0,N2279/(F2279/3600),0)</f>
        <v>2.94142901752408</v>
      </c>
    </row>
    <row r="2280" customFormat="false" ht="15" hidden="false" customHeight="false" outlineLevel="0" collapsed="false">
      <c r="A2280" s="0" t="s">
        <v>262</v>
      </c>
      <c r="B2280" s="52" t="n">
        <v>44376</v>
      </c>
      <c r="C2280" s="0" t="n">
        <v>89637.949</v>
      </c>
      <c r="D2280" s="0" t="n">
        <v>25524.117</v>
      </c>
      <c r="E2280" s="0" t="n">
        <v>64113.832</v>
      </c>
      <c r="F2280" s="0" t="n">
        <v>52829.73</v>
      </c>
      <c r="G2280" s="0" t="n">
        <v>41521.923</v>
      </c>
      <c r="H2280" s="0" t="n">
        <v>11307.807</v>
      </c>
      <c r="I2280" s="0" t="n">
        <v>1593.158</v>
      </c>
      <c r="J2280" s="0" t="n">
        <v>9690.944</v>
      </c>
      <c r="K2280" s="0" t="n">
        <v>85242.1041908333</v>
      </c>
      <c r="L2280" s="0" t="n">
        <v>71023</v>
      </c>
      <c r="M2280" s="0" t="n">
        <v>70839</v>
      </c>
      <c r="N2280" s="0" t="n">
        <v>49</v>
      </c>
      <c r="O2280" s="54" t="n">
        <f aca="false">YEAR(B2280)</f>
        <v>2021</v>
      </c>
      <c r="P2280" s="54" t="n">
        <f aca="false">IF(AND(E2280&gt;=14400,K2280&gt;0,L2280&gt;0),1,0)</f>
        <v>1</v>
      </c>
      <c r="Q2280" s="53" t="n">
        <f aca="false">IF(P2280=1,F2280/E2280*MIN(L2280/K2280,1)*MIN(MAX(M2280/L2280,0),1),0)</f>
        <v>0.684770300998587</v>
      </c>
      <c r="R2280" s="55" t="n">
        <f aca="false">IF(F2280&gt;0,N2280/(F2280/3600),0)</f>
        <v>3.33902898992669</v>
      </c>
    </row>
    <row r="2281" customFormat="false" ht="15" hidden="false" customHeight="false" outlineLevel="0" collapsed="false">
      <c r="A2281" s="0" t="s">
        <v>262</v>
      </c>
      <c r="B2281" s="52" t="n">
        <v>44377</v>
      </c>
      <c r="C2281" s="0" t="n">
        <v>81896.068</v>
      </c>
      <c r="D2281" s="0" t="n">
        <v>17410.222</v>
      </c>
      <c r="E2281" s="0" t="n">
        <v>64485.846</v>
      </c>
      <c r="F2281" s="0" t="n">
        <v>46793.651</v>
      </c>
      <c r="G2281" s="0" t="n">
        <v>40412.013</v>
      </c>
      <c r="H2281" s="0" t="n">
        <v>6381.638</v>
      </c>
      <c r="I2281" s="0" t="n">
        <v>2812.397</v>
      </c>
      <c r="J2281" s="0" t="n">
        <v>14879.798</v>
      </c>
      <c r="K2281" s="0" t="n">
        <v>79521.5487705556</v>
      </c>
      <c r="L2281" s="0" t="n">
        <v>69397</v>
      </c>
      <c r="M2281" s="0" t="n">
        <v>69006</v>
      </c>
      <c r="N2281" s="0" t="n">
        <v>67</v>
      </c>
      <c r="O2281" s="54" t="n">
        <f aca="false">YEAR(B2281)</f>
        <v>2021</v>
      </c>
      <c r="P2281" s="54" t="n">
        <f aca="false">IF(AND(E2281&gt;=14400,K2281&gt;0,L2281&gt;0),1,0)</f>
        <v>1</v>
      </c>
      <c r="Q2281" s="53" t="n">
        <f aca="false">IF(P2281=1,F2281/E2281*MIN(L2281/K2281,1)*MIN(MAX(M2281/L2281,0),1),0)</f>
        <v>0.629686748508138</v>
      </c>
      <c r="R2281" s="55" t="n">
        <f aca="false">IF(F2281&gt;0,N2281/(F2281/3600),0)</f>
        <v>5.1545454318151</v>
      </c>
    </row>
    <row r="2282" customFormat="false" ht="15" hidden="false" customHeight="false" outlineLevel="0" collapsed="false">
      <c r="A2282" s="0" t="s">
        <v>262</v>
      </c>
      <c r="B2282" s="52" t="n">
        <v>44378</v>
      </c>
      <c r="C2282" s="0" t="n">
        <v>80456.754</v>
      </c>
      <c r="D2282" s="0" t="n">
        <v>13974.93</v>
      </c>
      <c r="E2282" s="0" t="n">
        <v>66481.824</v>
      </c>
      <c r="F2282" s="0" t="n">
        <v>53839.887</v>
      </c>
      <c r="G2282" s="0" t="n">
        <v>40421.504</v>
      </c>
      <c r="H2282" s="0" t="n">
        <v>13418.383</v>
      </c>
      <c r="I2282" s="0" t="n">
        <v>2848.313</v>
      </c>
      <c r="J2282" s="0" t="n">
        <v>9793.624</v>
      </c>
      <c r="K2282" s="0" t="n">
        <v>86807.560145</v>
      </c>
      <c r="L2282" s="0" t="n">
        <v>67039</v>
      </c>
      <c r="M2282" s="0" t="n">
        <v>66396</v>
      </c>
      <c r="N2282" s="0" t="n">
        <v>43</v>
      </c>
      <c r="O2282" s="54" t="n">
        <f aca="false">YEAR(B2282)</f>
        <v>2021</v>
      </c>
      <c r="P2282" s="54" t="n">
        <f aca="false">IF(AND(E2282&gt;=14400,K2282&gt;0,L2282&gt;0),1,0)</f>
        <v>1</v>
      </c>
      <c r="Q2282" s="53" t="n">
        <f aca="false">IF(P2282=1,F2282/E2282*MIN(L2282/K2282,1)*MIN(MAX(M2282/L2282,0),1),0)</f>
        <v>0.619420507656378</v>
      </c>
      <c r="R2282" s="55" t="n">
        <f aca="false">IF(F2282&gt;0,N2282/(F2282/3600),0)</f>
        <v>2.87519176999759</v>
      </c>
    </row>
    <row r="2283" customFormat="false" ht="15" hidden="false" customHeight="false" outlineLevel="0" collapsed="false">
      <c r="A2283" s="0" t="s">
        <v>262</v>
      </c>
      <c r="B2283" s="52" t="n">
        <v>44379</v>
      </c>
      <c r="C2283" s="0" t="n">
        <v>86333.283</v>
      </c>
      <c r="D2283" s="0" t="n">
        <v>5642.396</v>
      </c>
      <c r="E2283" s="0" t="n">
        <v>80690.887</v>
      </c>
      <c r="F2283" s="0" t="n">
        <v>64325.705</v>
      </c>
      <c r="G2283" s="0" t="n">
        <v>49299.969</v>
      </c>
      <c r="H2283" s="0" t="n">
        <v>15025.736</v>
      </c>
      <c r="I2283" s="0" t="n">
        <v>3530.627</v>
      </c>
      <c r="J2283" s="0" t="n">
        <v>12834.555</v>
      </c>
      <c r="K2283" s="0" t="n">
        <v>94074.8106194444</v>
      </c>
      <c r="L2283" s="0" t="n">
        <v>79313</v>
      </c>
      <c r="M2283" s="0" t="n">
        <v>78545</v>
      </c>
      <c r="N2283" s="0" t="n">
        <v>56</v>
      </c>
      <c r="O2283" s="54" t="n">
        <f aca="false">YEAR(B2283)</f>
        <v>2021</v>
      </c>
      <c r="P2283" s="54" t="n">
        <f aca="false">IF(AND(E2283&gt;=14400,K2283&gt;0,L2283&gt;0),1,0)</f>
        <v>1</v>
      </c>
      <c r="Q2283" s="53" t="n">
        <f aca="false">IF(P2283=1,F2283/E2283*MIN(L2283/K2283,1)*MIN(MAX(M2283/L2283,0),1),0)</f>
        <v>0.665587652315168</v>
      </c>
      <c r="R2283" s="55" t="n">
        <f aca="false">IF(F2283&gt;0,N2283/(F2283/3600),0)</f>
        <v>3.13405037690609</v>
      </c>
    </row>
    <row r="2284" customFormat="false" ht="15" hidden="false" customHeight="false" outlineLevel="0" collapsed="false">
      <c r="A2284" s="0" t="s">
        <v>262</v>
      </c>
      <c r="B2284" s="52" t="n">
        <v>44380</v>
      </c>
      <c r="C2284" s="0" t="n">
        <v>35947.887</v>
      </c>
      <c r="D2284" s="0" t="n">
        <v>15917.003</v>
      </c>
      <c r="E2284" s="0" t="n">
        <v>20030.884</v>
      </c>
      <c r="F2284" s="0" t="n">
        <v>6384.606</v>
      </c>
      <c r="G2284" s="0" t="n">
        <v>1591.263</v>
      </c>
      <c r="H2284" s="0" t="n">
        <v>4793.343</v>
      </c>
      <c r="I2284" s="0" t="n">
        <v>432.141</v>
      </c>
      <c r="J2284" s="0" t="n">
        <v>13214.137</v>
      </c>
      <c r="K2284" s="0" t="n">
        <v>8673.38783111111</v>
      </c>
      <c r="L2284" s="0" t="n">
        <v>1763</v>
      </c>
      <c r="M2284" s="0" t="n">
        <v>1382</v>
      </c>
      <c r="N2284" s="0" t="n">
        <v>8</v>
      </c>
      <c r="O2284" s="54" t="n">
        <f aca="false">YEAR(B2284)</f>
        <v>2021</v>
      </c>
      <c r="P2284" s="54" t="n">
        <f aca="false">IF(AND(E2284&gt;=14400,K2284&gt;0,L2284&gt;0),1,0)</f>
        <v>1</v>
      </c>
      <c r="Q2284" s="53" t="n">
        <f aca="false">IF(P2284=1,F2284/E2284*MIN(L2284/K2284,1)*MIN(MAX(M2284/L2284,0),1),0)</f>
        <v>0.050787082182951</v>
      </c>
      <c r="R2284" s="55" t="n">
        <f aca="false">IF(F2284&gt;0,N2284/(F2284/3600),0)</f>
        <v>4.51085000390001</v>
      </c>
    </row>
    <row r="2285" customFormat="false" ht="15" hidden="false" customHeight="false" outlineLevel="0" collapsed="false">
      <c r="A2285" s="0" t="s">
        <v>262</v>
      </c>
      <c r="B2285" s="52" t="n">
        <v>44381</v>
      </c>
      <c r="C2285" s="0" t="n">
        <v>31813.625</v>
      </c>
      <c r="D2285" s="0" t="n">
        <v>9022.724</v>
      </c>
      <c r="E2285" s="0" t="n">
        <v>22790.901</v>
      </c>
      <c r="F2285" s="0" t="n">
        <v>71.225</v>
      </c>
      <c r="G2285" s="0" t="n">
        <v>0</v>
      </c>
      <c r="H2285" s="0" t="n">
        <v>71.225</v>
      </c>
      <c r="I2285" s="0" t="n">
        <v>0</v>
      </c>
      <c r="J2285" s="0" t="n">
        <v>22719.676</v>
      </c>
      <c r="K2285" s="0" t="n">
        <v>115.740625</v>
      </c>
      <c r="L2285" s="0" t="n">
        <v>0</v>
      </c>
      <c r="M2285" s="0" t="n">
        <v>0</v>
      </c>
      <c r="N2285" s="0" t="n">
        <v>0</v>
      </c>
      <c r="O2285" s="54" t="n">
        <f aca="false">YEAR(B2285)</f>
        <v>2021</v>
      </c>
      <c r="P2285" s="54" t="n">
        <f aca="false">IF(AND(E2285&gt;=14400,K2285&gt;0,L2285&gt;0),1,0)</f>
        <v>0</v>
      </c>
      <c r="Q2285" s="53" t="n">
        <f aca="false">IF(P2285=1,F2285/E2285*MIN(L2285/K2285,1)*MIN(MAX(M2285/L2285,0),1),0)</f>
        <v>0</v>
      </c>
      <c r="R2285" s="55" t="n">
        <f aca="false">IF(F2285&gt;0,N2285/(F2285/3600),0)</f>
        <v>0</v>
      </c>
    </row>
    <row r="2286" customFormat="false" ht="15" hidden="false" customHeight="false" outlineLevel="0" collapsed="false">
      <c r="A2286" s="0" t="s">
        <v>262</v>
      </c>
      <c r="B2286" s="52" t="n">
        <v>44382</v>
      </c>
      <c r="C2286" s="0" t="n">
        <v>47642.281</v>
      </c>
      <c r="D2286" s="0" t="n">
        <v>0</v>
      </c>
      <c r="E2286" s="0" t="n">
        <v>47642.281</v>
      </c>
      <c r="F2286" s="0" t="n">
        <v>153.957</v>
      </c>
      <c r="G2286" s="0" t="n">
        <v>0</v>
      </c>
      <c r="H2286" s="0" t="n">
        <v>153.957</v>
      </c>
      <c r="I2286" s="0" t="n">
        <v>0</v>
      </c>
      <c r="J2286" s="0" t="n">
        <v>47488.324</v>
      </c>
      <c r="K2286" s="0" t="n">
        <v>250.180125</v>
      </c>
      <c r="L2286" s="0" t="n">
        <v>0</v>
      </c>
      <c r="M2286" s="0" t="n">
        <v>0</v>
      </c>
      <c r="N2286" s="0" t="n">
        <v>0</v>
      </c>
      <c r="O2286" s="54" t="n">
        <f aca="false">YEAR(B2286)</f>
        <v>2021</v>
      </c>
      <c r="P2286" s="54" t="n">
        <f aca="false">IF(AND(E2286&gt;=14400,K2286&gt;0,L2286&gt;0),1,0)</f>
        <v>0</v>
      </c>
      <c r="Q2286" s="53" t="n">
        <f aca="false">IF(P2286=1,F2286/E2286*MIN(L2286/K2286,1)*MIN(MAX(M2286/L2286,0),1),0)</f>
        <v>0</v>
      </c>
      <c r="R2286" s="55" t="n">
        <f aca="false">IF(F2286&gt;0,N2286/(F2286/3600),0)</f>
        <v>0</v>
      </c>
    </row>
    <row r="2287" customFormat="false" ht="15" hidden="false" customHeight="false" outlineLevel="0" collapsed="false">
      <c r="A2287" s="0" t="s">
        <v>262</v>
      </c>
      <c r="B2287" s="52" t="n">
        <v>44383</v>
      </c>
      <c r="C2287" s="0" t="n">
        <v>5289.59</v>
      </c>
      <c r="D2287" s="0" t="n">
        <v>608.103</v>
      </c>
      <c r="E2287" s="0" t="n">
        <v>4681.487</v>
      </c>
      <c r="F2287" s="0" t="n">
        <v>1600.671</v>
      </c>
      <c r="G2287" s="0" t="n">
        <v>14.262</v>
      </c>
      <c r="H2287" s="0" t="n">
        <v>1586.409</v>
      </c>
      <c r="I2287" s="0" t="n">
        <v>75.597</v>
      </c>
      <c r="J2287" s="0" t="n">
        <v>3005.219</v>
      </c>
      <c r="K2287" s="0" t="n">
        <v>2601.090375</v>
      </c>
      <c r="L2287" s="0" t="n">
        <v>20</v>
      </c>
      <c r="M2287" s="0" t="n">
        <v>0</v>
      </c>
      <c r="N2287" s="0" t="n">
        <v>1</v>
      </c>
      <c r="O2287" s="54" t="n">
        <f aca="false">YEAR(B2287)</f>
        <v>2021</v>
      </c>
      <c r="P2287" s="54" t="n">
        <f aca="false">IF(AND(E2287&gt;=14400,K2287&gt;0,L2287&gt;0),1,0)</f>
        <v>0</v>
      </c>
      <c r="Q2287" s="53" t="n">
        <f aca="false">IF(P2287=1,F2287/E2287*MIN(L2287/K2287,1)*MIN(MAX(M2287/L2287,0),1),0)</f>
        <v>0</v>
      </c>
      <c r="R2287" s="55" t="n">
        <f aca="false">IF(F2287&gt;0,N2287/(F2287/3600),0)</f>
        <v>2.24905680180374</v>
      </c>
    </row>
    <row r="2288" customFormat="false" ht="15" hidden="false" customHeight="false" outlineLevel="0" collapsed="false">
      <c r="A2288" s="0" t="s">
        <v>262</v>
      </c>
      <c r="B2288" s="52" t="n">
        <v>44442</v>
      </c>
      <c r="C2288" s="0" t="n">
        <v>63693.568</v>
      </c>
      <c r="D2288" s="0" t="n">
        <v>13847.526</v>
      </c>
      <c r="E2288" s="0" t="n">
        <v>49846.042</v>
      </c>
      <c r="F2288" s="0" t="n">
        <v>41512.475</v>
      </c>
      <c r="G2288" s="0" t="n">
        <v>32505.446</v>
      </c>
      <c r="H2288" s="0" t="n">
        <v>9007.029</v>
      </c>
      <c r="I2288" s="0" t="n">
        <v>3669.681</v>
      </c>
      <c r="J2288" s="0" t="n">
        <v>4663.886</v>
      </c>
      <c r="K2288" s="0" t="n">
        <v>73654.9623775</v>
      </c>
      <c r="L2288" s="0" t="n">
        <v>48000</v>
      </c>
      <c r="M2288" s="0" t="n">
        <v>47723</v>
      </c>
      <c r="N2288" s="0" t="n">
        <v>39</v>
      </c>
      <c r="O2288" s="54" t="n">
        <f aca="false">YEAR(B2288)</f>
        <v>2021</v>
      </c>
      <c r="P2288" s="54" t="n">
        <f aca="false">IF(AND(E2288&gt;=14400,K2288&gt;0,L2288&gt;0),1,0)</f>
        <v>1</v>
      </c>
      <c r="Q2288" s="53" t="n">
        <f aca="false">IF(P2288=1,F2288/E2288*MIN(L2288/K2288,1)*MIN(MAX(M2288/L2288,0),1),0)</f>
        <v>0.539602151694333</v>
      </c>
      <c r="R2288" s="55" t="n">
        <f aca="false">IF(F2288&gt;0,N2288/(F2288/3600),0)</f>
        <v>3.38211585794391</v>
      </c>
    </row>
    <row r="2289" customFormat="false" ht="15" hidden="false" customHeight="false" outlineLevel="0" collapsed="false">
      <c r="A2289" s="0" t="s">
        <v>262</v>
      </c>
      <c r="B2289" s="52" t="n">
        <v>44443</v>
      </c>
      <c r="C2289" s="0" t="n">
        <v>11053.192</v>
      </c>
      <c r="D2289" s="0" t="n">
        <v>422.082</v>
      </c>
      <c r="E2289" s="0" t="n">
        <v>10631.11</v>
      </c>
      <c r="F2289" s="0" t="n">
        <v>0</v>
      </c>
      <c r="G2289" s="0" t="n">
        <v>0</v>
      </c>
      <c r="H2289" s="0" t="n">
        <v>0</v>
      </c>
      <c r="I2289" s="0" t="n">
        <v>0</v>
      </c>
      <c r="J2289" s="0" t="n">
        <v>10631.11</v>
      </c>
      <c r="K2289" s="0" t="n">
        <v>0</v>
      </c>
      <c r="L2289" s="0" t="n">
        <v>0</v>
      </c>
      <c r="M2289" s="0" t="n">
        <v>0</v>
      </c>
      <c r="N2289" s="0" t="n">
        <v>0</v>
      </c>
      <c r="O2289" s="54" t="n">
        <f aca="false">YEAR(B2289)</f>
        <v>2021</v>
      </c>
      <c r="P2289" s="54" t="n">
        <f aca="false">IF(AND(E2289&gt;=14400,K2289&gt;0,L2289&gt;0),1,0)</f>
        <v>0</v>
      </c>
      <c r="Q2289" s="53" t="n">
        <f aca="false">IF(P2289=1,F2289/E2289*MIN(L2289/K2289,1)*MIN(MAX(M2289/L2289,0),1),0)</f>
        <v>0</v>
      </c>
      <c r="R2289" s="55" t="n">
        <f aca="false">IF(F2289&gt;0,N2289/(F2289/3600),0)</f>
        <v>0</v>
      </c>
    </row>
    <row r="2290" customFormat="false" ht="15" hidden="false" customHeight="false" outlineLevel="0" collapsed="false">
      <c r="A2290" s="0" t="s">
        <v>262</v>
      </c>
      <c r="B2290" s="52" t="n">
        <v>44444</v>
      </c>
      <c r="C2290" s="0" t="n">
        <v>46713.502</v>
      </c>
      <c r="D2290" s="0" t="n">
        <v>14968.29</v>
      </c>
      <c r="E2290" s="0" t="n">
        <v>31745.212</v>
      </c>
      <c r="F2290" s="0" t="n">
        <v>24983.429</v>
      </c>
      <c r="G2290" s="0" t="n">
        <v>20102.63</v>
      </c>
      <c r="H2290" s="0" t="n">
        <v>4880.799</v>
      </c>
      <c r="I2290" s="0" t="n">
        <v>2044.784</v>
      </c>
      <c r="J2290" s="0" t="n">
        <v>4716.999</v>
      </c>
      <c r="K2290" s="0" t="n">
        <v>41511.7098966667</v>
      </c>
      <c r="L2290" s="0" t="n">
        <v>34358</v>
      </c>
      <c r="M2290" s="0" t="n">
        <v>34304</v>
      </c>
      <c r="N2290" s="0" t="n">
        <v>20</v>
      </c>
      <c r="O2290" s="54" t="n">
        <f aca="false">YEAR(B2290)</f>
        <v>2021</v>
      </c>
      <c r="P2290" s="54" t="n">
        <f aca="false">IF(AND(E2290&gt;=14400,K2290&gt;0,L2290&gt;0),1,0)</f>
        <v>1</v>
      </c>
      <c r="Q2290" s="53" t="n">
        <f aca="false">IF(P2290=1,F2290/E2290*MIN(L2290/K2290,1)*MIN(MAX(M2290/L2290,0),1),0)</f>
        <v>0.650351213278622</v>
      </c>
      <c r="R2290" s="55" t="n">
        <f aca="false">IF(F2290&gt;0,N2290/(F2290/3600),0)</f>
        <v>2.88191024538705</v>
      </c>
    </row>
    <row r="2291" customFormat="false" ht="15" hidden="false" customHeight="false" outlineLevel="0" collapsed="false">
      <c r="A2291" s="0" t="s">
        <v>262</v>
      </c>
      <c r="B2291" s="52" t="n">
        <v>44445</v>
      </c>
      <c r="C2291" s="0" t="n">
        <v>86114.535</v>
      </c>
      <c r="D2291" s="0" t="n">
        <v>14793.322</v>
      </c>
      <c r="E2291" s="0" t="n">
        <v>71321.213</v>
      </c>
      <c r="F2291" s="0" t="n">
        <v>50138.031</v>
      </c>
      <c r="G2291" s="0" t="n">
        <v>40593.801</v>
      </c>
      <c r="H2291" s="0" t="n">
        <v>9544.23</v>
      </c>
      <c r="I2291" s="0" t="n">
        <v>5134.988</v>
      </c>
      <c r="J2291" s="0" t="n">
        <v>16048.194</v>
      </c>
      <c r="K2291" s="0" t="n">
        <v>84728.1513277778</v>
      </c>
      <c r="L2291" s="0" t="n">
        <v>77365</v>
      </c>
      <c r="M2291" s="0" t="n">
        <v>77203</v>
      </c>
      <c r="N2291" s="0" t="n">
        <v>25</v>
      </c>
      <c r="O2291" s="54" t="n">
        <f aca="false">YEAR(B2291)</f>
        <v>2021</v>
      </c>
      <c r="P2291" s="54" t="n">
        <f aca="false">IF(AND(E2291&gt;=14400,K2291&gt;0,L2291&gt;0),1,0)</f>
        <v>1</v>
      </c>
      <c r="Q2291" s="53" t="n">
        <f aca="false">IF(P2291=1,F2291/E2291*MIN(L2291/K2291,1)*MIN(MAX(M2291/L2291,0),1),0)</f>
        <v>0.640552897015664</v>
      </c>
      <c r="R2291" s="55" t="n">
        <f aca="false">IF(F2291&gt;0,N2291/(F2291/3600),0)</f>
        <v>1.79504456407552</v>
      </c>
    </row>
    <row r="2292" customFormat="false" ht="15" hidden="false" customHeight="false" outlineLevel="0" collapsed="false">
      <c r="A2292" s="0" t="s">
        <v>262</v>
      </c>
      <c r="B2292" s="52" t="n">
        <v>44447</v>
      </c>
      <c r="C2292" s="0" t="n">
        <v>81930.034</v>
      </c>
      <c r="D2292" s="0" t="n">
        <v>4064.671</v>
      </c>
      <c r="E2292" s="0" t="n">
        <v>77865.363</v>
      </c>
      <c r="F2292" s="0" t="n">
        <v>50045.21</v>
      </c>
      <c r="G2292" s="0" t="n">
        <v>19359.447</v>
      </c>
      <c r="H2292" s="0" t="n">
        <v>30685.763</v>
      </c>
      <c r="I2292" s="0" t="n">
        <v>7699.741</v>
      </c>
      <c r="J2292" s="0" t="n">
        <v>20120.412</v>
      </c>
      <c r="K2292" s="0" t="n">
        <v>81883.3925061111</v>
      </c>
      <c r="L2292" s="0" t="n">
        <v>33737</v>
      </c>
      <c r="M2292" s="0" t="n">
        <v>33703</v>
      </c>
      <c r="N2292" s="0" t="n">
        <v>41</v>
      </c>
      <c r="O2292" s="54" t="n">
        <f aca="false">YEAR(B2292)</f>
        <v>2021</v>
      </c>
      <c r="P2292" s="54" t="n">
        <f aca="false">IF(AND(E2292&gt;=14400,K2292&gt;0,L2292&gt;0),1,0)</f>
        <v>1</v>
      </c>
      <c r="Q2292" s="53" t="n">
        <f aca="false">IF(P2292=1,F2292/E2292*MIN(L2292/K2292,1)*MIN(MAX(M2292/L2292,0),1),0)</f>
        <v>0.26453974842061</v>
      </c>
      <c r="R2292" s="55" t="n">
        <f aca="false">IF(F2292&gt;0,N2292/(F2292/3600),0)</f>
        <v>2.94933321290889</v>
      </c>
    </row>
    <row r="2293" customFormat="false" ht="15" hidden="false" customHeight="false" outlineLevel="0" collapsed="false">
      <c r="A2293" s="0" t="s">
        <v>262</v>
      </c>
      <c r="B2293" s="52" t="n">
        <v>44448</v>
      </c>
      <c r="C2293" s="0" t="n">
        <v>46170.006</v>
      </c>
      <c r="D2293" s="0" t="n">
        <v>219.4</v>
      </c>
      <c r="E2293" s="0" t="n">
        <v>45950.606</v>
      </c>
      <c r="F2293" s="0" t="n">
        <v>34793.186</v>
      </c>
      <c r="G2293" s="0" t="n">
        <v>21055.638</v>
      </c>
      <c r="H2293" s="0" t="n">
        <v>13737.548</v>
      </c>
      <c r="I2293" s="0" t="n">
        <v>854.211</v>
      </c>
      <c r="J2293" s="0" t="n">
        <v>10303.209</v>
      </c>
      <c r="K2293" s="0" t="n">
        <v>57938.9109294445</v>
      </c>
      <c r="L2293" s="0" t="n">
        <v>61497</v>
      </c>
      <c r="M2293" s="0" t="n">
        <v>61311</v>
      </c>
      <c r="N2293" s="0" t="n">
        <v>13</v>
      </c>
      <c r="O2293" s="54" t="n">
        <f aca="false">YEAR(B2293)</f>
        <v>2021</v>
      </c>
      <c r="P2293" s="54" t="n">
        <f aca="false">IF(AND(E2293&gt;=14400,K2293&gt;0,L2293&gt;0),1,0)</f>
        <v>1</v>
      </c>
      <c r="Q2293" s="53" t="n">
        <f aca="false">IF(P2293=1,F2293/E2293*MIN(L2293/K2293,1)*MIN(MAX(M2293/L2293,0),1),0)</f>
        <v>0.754896522896245</v>
      </c>
      <c r="R2293" s="55" t="n">
        <f aca="false">IF(F2293&gt;0,N2293/(F2293/3600),0)</f>
        <v>1.34509096120143</v>
      </c>
    </row>
    <row r="2294" customFormat="false" ht="15" hidden="false" customHeight="false" outlineLevel="0" collapsed="false">
      <c r="A2294" s="0" t="s">
        <v>262</v>
      </c>
      <c r="B2294" s="52" t="n">
        <v>44449</v>
      </c>
      <c r="C2294" s="0" t="n">
        <v>83104.788</v>
      </c>
      <c r="D2294" s="0" t="n">
        <v>13674.051</v>
      </c>
      <c r="E2294" s="0" t="n">
        <v>69430.737</v>
      </c>
      <c r="F2294" s="0" t="n">
        <v>43970.717</v>
      </c>
      <c r="G2294" s="0" t="n">
        <v>35950.584</v>
      </c>
      <c r="H2294" s="0" t="n">
        <v>8020.133</v>
      </c>
      <c r="I2294" s="0" t="n">
        <v>738.856</v>
      </c>
      <c r="J2294" s="0" t="n">
        <v>24721.164</v>
      </c>
      <c r="K2294" s="0" t="n">
        <v>77339.6717219445</v>
      </c>
      <c r="L2294" s="0" t="n">
        <v>64204</v>
      </c>
      <c r="M2294" s="0" t="n">
        <v>64148</v>
      </c>
      <c r="N2294" s="0" t="n">
        <v>13</v>
      </c>
      <c r="O2294" s="54" t="n">
        <f aca="false">YEAR(B2294)</f>
        <v>2021</v>
      </c>
      <c r="P2294" s="54" t="n">
        <f aca="false">IF(AND(E2294&gt;=14400,K2294&gt;0,L2294&gt;0),1,0)</f>
        <v>1</v>
      </c>
      <c r="Q2294" s="53" t="n">
        <f aca="false">IF(P2294=1,F2294/E2294*MIN(L2294/K2294,1)*MIN(MAX(M2294/L2294,0),1),0)</f>
        <v>0.525282059747671</v>
      </c>
      <c r="R2294" s="55" t="n">
        <f aca="false">IF(F2294&gt;0,N2294/(F2294/3600),0)</f>
        <v>1.06434470923001</v>
      </c>
    </row>
    <row r="2295" customFormat="false" ht="15" hidden="false" customHeight="false" outlineLevel="0" collapsed="false">
      <c r="A2295" s="0" t="s">
        <v>262</v>
      </c>
      <c r="B2295" s="52" t="n">
        <v>44450</v>
      </c>
      <c r="C2295" s="0" t="n">
        <v>119633.818</v>
      </c>
      <c r="D2295" s="0" t="n">
        <v>6987.06</v>
      </c>
      <c r="E2295" s="0" t="n">
        <v>112646.758</v>
      </c>
      <c r="F2295" s="0" t="n">
        <v>47635.942</v>
      </c>
      <c r="G2295" s="0" t="n">
        <v>45547.319</v>
      </c>
      <c r="H2295" s="0" t="n">
        <v>2088.623</v>
      </c>
      <c r="I2295" s="0" t="n">
        <v>1945.323</v>
      </c>
      <c r="J2295" s="0" t="n">
        <v>63065.493</v>
      </c>
      <c r="K2295" s="0" t="n">
        <v>80520.71011</v>
      </c>
      <c r="L2295" s="0" t="n">
        <v>79176</v>
      </c>
      <c r="M2295" s="0" t="n">
        <v>79050</v>
      </c>
      <c r="N2295" s="0" t="n">
        <v>12</v>
      </c>
      <c r="O2295" s="54" t="n">
        <f aca="false">YEAR(B2295)</f>
        <v>2021</v>
      </c>
      <c r="P2295" s="54" t="n">
        <f aca="false">IF(AND(E2295&gt;=14400,K2295&gt;0,L2295&gt;0),1,0)</f>
        <v>1</v>
      </c>
      <c r="Q2295" s="53" t="n">
        <f aca="false">IF(P2295=1,F2295/E2295*MIN(L2295/K2295,1)*MIN(MAX(M2295/L2295,0),1),0)</f>
        <v>0.415155062961681</v>
      </c>
      <c r="R2295" s="55" t="n">
        <f aca="false">IF(F2295&gt;0,N2295/(F2295/3600),0)</f>
        <v>0.906878255918609</v>
      </c>
    </row>
    <row r="2296" customFormat="false" ht="15" hidden="false" customHeight="false" outlineLevel="0" collapsed="false">
      <c r="A2296" s="0" t="s">
        <v>262</v>
      </c>
      <c r="B2296" s="52" t="n">
        <v>44451</v>
      </c>
      <c r="C2296" s="0" t="n">
        <v>45802.02</v>
      </c>
      <c r="D2296" s="0" t="n">
        <v>5540.221</v>
      </c>
      <c r="E2296" s="0" t="n">
        <v>40261.799</v>
      </c>
      <c r="F2296" s="0" t="n">
        <v>17809.521</v>
      </c>
      <c r="G2296" s="0" t="n">
        <v>8144.293</v>
      </c>
      <c r="H2296" s="0" t="n">
        <v>9665.228</v>
      </c>
      <c r="I2296" s="0" t="n">
        <v>3744.588</v>
      </c>
      <c r="J2296" s="0" t="n">
        <v>18707.69</v>
      </c>
      <c r="K2296" s="0" t="n">
        <v>27888.3197483333</v>
      </c>
      <c r="L2296" s="0" t="n">
        <v>12927</v>
      </c>
      <c r="M2296" s="0" t="n">
        <v>12729</v>
      </c>
      <c r="N2296" s="0" t="n">
        <v>11</v>
      </c>
      <c r="O2296" s="54" t="n">
        <f aca="false">YEAR(B2296)</f>
        <v>2021</v>
      </c>
      <c r="P2296" s="54" t="n">
        <f aca="false">IF(AND(E2296&gt;=14400,K2296&gt;0,L2296&gt;0),1,0)</f>
        <v>1</v>
      </c>
      <c r="Q2296" s="53" t="n">
        <f aca="false">IF(P2296=1,F2296/E2296*MIN(L2296/K2296,1)*MIN(MAX(M2296/L2296,0),1),0)</f>
        <v>0.201897527258608</v>
      </c>
      <c r="R2296" s="55" t="n">
        <f aca="false">IF(F2296&gt;0,N2296/(F2296/3600),0)</f>
        <v>2.22352976253544</v>
      </c>
    </row>
    <row r="2297" customFormat="false" ht="15" hidden="false" customHeight="false" outlineLevel="0" collapsed="false">
      <c r="A2297" s="0" t="s">
        <v>262</v>
      </c>
      <c r="B2297" s="52" t="n">
        <v>44452</v>
      </c>
      <c r="C2297" s="0" t="n">
        <v>85429.394</v>
      </c>
      <c r="D2297" s="0" t="n">
        <v>14111.571</v>
      </c>
      <c r="E2297" s="0" t="n">
        <v>71317.823</v>
      </c>
      <c r="F2297" s="0" t="n">
        <v>47250.339</v>
      </c>
      <c r="G2297" s="0" t="n">
        <v>38300.335</v>
      </c>
      <c r="H2297" s="0" t="n">
        <v>8950.004</v>
      </c>
      <c r="I2297" s="0" t="n">
        <v>8283.611</v>
      </c>
      <c r="J2297" s="0" t="n">
        <v>15783.873</v>
      </c>
      <c r="K2297" s="0" t="n">
        <v>79976.8560769444</v>
      </c>
      <c r="L2297" s="0" t="n">
        <v>66884</v>
      </c>
      <c r="M2297" s="0" t="n">
        <v>66358</v>
      </c>
      <c r="N2297" s="0" t="n">
        <v>82</v>
      </c>
      <c r="O2297" s="54" t="n">
        <f aca="false">YEAR(B2297)</f>
        <v>2021</v>
      </c>
      <c r="P2297" s="54" t="n">
        <f aca="false">IF(AND(E2297&gt;=14400,K2297&gt;0,L2297&gt;0),1,0)</f>
        <v>1</v>
      </c>
      <c r="Q2297" s="53" t="n">
        <f aca="false">IF(P2297=1,F2297/E2297*MIN(L2297/K2297,1)*MIN(MAX(M2297/L2297,0),1),0)</f>
        <v>0.549712751511543</v>
      </c>
      <c r="R2297" s="55" t="n">
        <f aca="false">IF(F2297&gt;0,N2297/(F2297/3600),0)</f>
        <v>6.24757422375319</v>
      </c>
    </row>
    <row r="2298" customFormat="false" ht="15" hidden="false" customHeight="false" outlineLevel="0" collapsed="false">
      <c r="A2298" s="0" t="s">
        <v>262</v>
      </c>
      <c r="B2298" s="52" t="n">
        <v>44453</v>
      </c>
      <c r="C2298" s="0" t="n">
        <v>91755.06</v>
      </c>
      <c r="D2298" s="0" t="n">
        <v>11774.599</v>
      </c>
      <c r="E2298" s="0" t="n">
        <v>79980.461</v>
      </c>
      <c r="F2298" s="0" t="n">
        <v>57878.755</v>
      </c>
      <c r="G2298" s="0" t="n">
        <v>46751.307</v>
      </c>
      <c r="H2298" s="0" t="n">
        <v>11127.448</v>
      </c>
      <c r="I2298" s="0" t="n">
        <v>3133.018</v>
      </c>
      <c r="J2298" s="0" t="n">
        <v>18968.688</v>
      </c>
      <c r="K2298" s="0" t="n">
        <v>97279.2140530556</v>
      </c>
      <c r="L2298" s="0" t="n">
        <v>79664</v>
      </c>
      <c r="M2298" s="0" t="n">
        <v>78952</v>
      </c>
      <c r="N2298" s="0" t="n">
        <v>77</v>
      </c>
      <c r="O2298" s="54" t="n">
        <f aca="false">YEAR(B2298)</f>
        <v>2021</v>
      </c>
      <c r="P2298" s="54" t="n">
        <f aca="false">IF(AND(E2298&gt;=14400,K2298&gt;0,L2298&gt;0),1,0)</f>
        <v>1</v>
      </c>
      <c r="Q2298" s="53" t="n">
        <f aca="false">IF(P2298=1,F2298/E2298*MIN(L2298/K2298,1)*MIN(MAX(M2298/L2298,0),1),0)</f>
        <v>0.587324828356655</v>
      </c>
      <c r="R2298" s="55" t="n">
        <f aca="false">IF(F2298&gt;0,N2298/(F2298/3600),0)</f>
        <v>4.7893220923636</v>
      </c>
    </row>
    <row r="2299" customFormat="false" ht="15" hidden="false" customHeight="false" outlineLevel="0" collapsed="false">
      <c r="A2299" s="0" t="s">
        <v>262</v>
      </c>
      <c r="B2299" s="52" t="n">
        <v>44454</v>
      </c>
      <c r="C2299" s="0" t="n">
        <v>67240.56</v>
      </c>
      <c r="D2299" s="0" t="n">
        <v>7369.444</v>
      </c>
      <c r="E2299" s="0" t="n">
        <v>59871.116</v>
      </c>
      <c r="F2299" s="0" t="n">
        <v>45133.199</v>
      </c>
      <c r="G2299" s="0" t="n">
        <v>33696.277</v>
      </c>
      <c r="H2299" s="0" t="n">
        <v>11436.922</v>
      </c>
      <c r="I2299" s="0" t="n">
        <v>1689.692</v>
      </c>
      <c r="J2299" s="0" t="n">
        <v>13048.225</v>
      </c>
      <c r="K2299" s="0" t="n">
        <v>72195.6281011111</v>
      </c>
      <c r="L2299" s="0" t="n">
        <v>54381</v>
      </c>
      <c r="M2299" s="0" t="n">
        <v>54223</v>
      </c>
      <c r="N2299" s="0" t="n">
        <v>32</v>
      </c>
      <c r="O2299" s="54" t="n">
        <f aca="false">YEAR(B2299)</f>
        <v>2021</v>
      </c>
      <c r="P2299" s="54" t="n">
        <f aca="false">IF(AND(E2299&gt;=14400,K2299&gt;0,L2299&gt;0),1,0)</f>
        <v>1</v>
      </c>
      <c r="Q2299" s="53" t="n">
        <f aca="false">IF(P2299=1,F2299/E2299*MIN(L2299/K2299,1)*MIN(MAX(M2299/L2299,0),1),0)</f>
        <v>0.566175935776938</v>
      </c>
      <c r="R2299" s="55" t="n">
        <f aca="false">IF(F2299&gt;0,N2299/(F2299/3600),0)</f>
        <v>2.55244482005364</v>
      </c>
    </row>
    <row r="2300" customFormat="false" ht="15" hidden="false" customHeight="false" outlineLevel="0" collapsed="false">
      <c r="A2300" s="0" t="s">
        <v>262</v>
      </c>
      <c r="B2300" s="52" t="n">
        <v>44455</v>
      </c>
      <c r="C2300" s="0" t="n">
        <v>85994.904</v>
      </c>
      <c r="D2300" s="0" t="n">
        <v>21201.08</v>
      </c>
      <c r="E2300" s="0" t="n">
        <v>64793.824</v>
      </c>
      <c r="F2300" s="0" t="n">
        <v>51460.474</v>
      </c>
      <c r="G2300" s="0" t="n">
        <v>44556.452</v>
      </c>
      <c r="H2300" s="0" t="n">
        <v>6904.022</v>
      </c>
      <c r="I2300" s="0" t="n">
        <v>4212.546</v>
      </c>
      <c r="J2300" s="0" t="n">
        <v>9120.804</v>
      </c>
      <c r="K2300" s="0" t="n">
        <v>88636.6334902778</v>
      </c>
      <c r="L2300" s="0" t="n">
        <v>79026</v>
      </c>
      <c r="M2300" s="0" t="n">
        <v>78880</v>
      </c>
      <c r="N2300" s="0" t="n">
        <v>50</v>
      </c>
      <c r="O2300" s="54" t="n">
        <f aca="false">YEAR(B2300)</f>
        <v>2021</v>
      </c>
      <c r="P2300" s="54" t="n">
        <f aca="false">IF(AND(E2300&gt;=14400,K2300&gt;0,L2300&gt;0),1,0)</f>
        <v>1</v>
      </c>
      <c r="Q2300" s="53" t="n">
        <f aca="false">IF(P2300=1,F2300/E2300*MIN(L2300/K2300,1)*MIN(MAX(M2300/L2300,0),1),0)</f>
        <v>0.706795571067402</v>
      </c>
      <c r="R2300" s="55" t="n">
        <f aca="false">IF(F2300&gt;0,N2300/(F2300/3600),0)</f>
        <v>3.49783019876576</v>
      </c>
    </row>
    <row r="2301" customFormat="false" ht="15" hidden="false" customHeight="false" outlineLevel="0" collapsed="false">
      <c r="A2301" s="0" t="s">
        <v>262</v>
      </c>
      <c r="B2301" s="52" t="n">
        <v>44456</v>
      </c>
      <c r="C2301" s="0" t="n">
        <v>84132.543</v>
      </c>
      <c r="D2301" s="0" t="n">
        <v>17534.061</v>
      </c>
      <c r="E2301" s="0" t="n">
        <v>66598.482</v>
      </c>
      <c r="F2301" s="0" t="n">
        <v>48212.852</v>
      </c>
      <c r="G2301" s="0" t="n">
        <v>42329.083</v>
      </c>
      <c r="H2301" s="0" t="n">
        <v>5883.769</v>
      </c>
      <c r="I2301" s="0" t="n">
        <v>2461.11</v>
      </c>
      <c r="J2301" s="0" t="n">
        <v>15924.52</v>
      </c>
      <c r="K2301" s="0" t="n">
        <v>85233.6289105556</v>
      </c>
      <c r="L2301" s="0" t="n">
        <v>74251</v>
      </c>
      <c r="M2301" s="0" t="n">
        <v>74192</v>
      </c>
      <c r="N2301" s="0" t="n">
        <v>35</v>
      </c>
      <c r="O2301" s="54" t="n">
        <f aca="false">YEAR(B2301)</f>
        <v>2021</v>
      </c>
      <c r="P2301" s="54" t="n">
        <f aca="false">IF(AND(E2301&gt;=14400,K2301&gt;0,L2301&gt;0),1,0)</f>
        <v>1</v>
      </c>
      <c r="Q2301" s="53" t="n">
        <f aca="false">IF(P2301=1,F2301/E2301*MIN(L2301/K2301,1)*MIN(MAX(M2301/L2301,0),1),0)</f>
        <v>0.630150944526433</v>
      </c>
      <c r="R2301" s="55" t="n">
        <f aca="false">IF(F2301&gt;0,N2301/(F2301/3600),0)</f>
        <v>2.61341104649856</v>
      </c>
    </row>
    <row r="2302" customFormat="false" ht="15" hidden="false" customHeight="false" outlineLevel="0" collapsed="false">
      <c r="A2302" s="0" t="s">
        <v>262</v>
      </c>
      <c r="B2302" s="52" t="n">
        <v>44457</v>
      </c>
      <c r="C2302" s="0" t="n">
        <v>80499.761</v>
      </c>
      <c r="D2302" s="0" t="n">
        <v>7992.401</v>
      </c>
      <c r="E2302" s="0" t="n">
        <v>72507.36</v>
      </c>
      <c r="F2302" s="0" t="n">
        <v>54130.832</v>
      </c>
      <c r="G2302" s="0" t="n">
        <v>39937.623</v>
      </c>
      <c r="H2302" s="0" t="n">
        <v>14193.209</v>
      </c>
      <c r="I2302" s="0" t="n">
        <v>1246.504</v>
      </c>
      <c r="J2302" s="0" t="n">
        <v>17130.024</v>
      </c>
      <c r="K2302" s="0" t="n">
        <v>89153.6743219445</v>
      </c>
      <c r="L2302" s="0" t="n">
        <v>67369</v>
      </c>
      <c r="M2302" s="0" t="n">
        <v>67309</v>
      </c>
      <c r="N2302" s="0" t="n">
        <v>10</v>
      </c>
      <c r="O2302" s="54" t="n">
        <f aca="false">YEAR(B2302)</f>
        <v>2021</v>
      </c>
      <c r="P2302" s="54" t="n">
        <f aca="false">IF(AND(E2302&gt;=14400,K2302&gt;0,L2302&gt;0),1,0)</f>
        <v>1</v>
      </c>
      <c r="Q2302" s="53" t="n">
        <f aca="false">IF(P2302=1,F2302/E2302*MIN(L2302/K2302,1)*MIN(MAX(M2302/L2302,0),1),0)</f>
        <v>0.563633115217426</v>
      </c>
      <c r="R2302" s="55" t="n">
        <f aca="false">IF(F2302&gt;0,N2302/(F2302/3600),0)</f>
        <v>0.665055360686124</v>
      </c>
    </row>
    <row r="2303" customFormat="false" ht="15" hidden="false" customHeight="false" outlineLevel="0" collapsed="false">
      <c r="A2303" s="0" t="s">
        <v>262</v>
      </c>
      <c r="B2303" s="52" t="n">
        <v>44458</v>
      </c>
      <c r="C2303" s="0" t="n">
        <v>76943.96</v>
      </c>
      <c r="D2303" s="0" t="n">
        <v>5158.977</v>
      </c>
      <c r="E2303" s="0" t="n">
        <v>71784.983</v>
      </c>
      <c r="F2303" s="0" t="n">
        <v>30250.756</v>
      </c>
      <c r="G2303" s="0" t="n">
        <v>23978.661</v>
      </c>
      <c r="H2303" s="0" t="n">
        <v>6272.095</v>
      </c>
      <c r="I2303" s="0" t="n">
        <v>146.907</v>
      </c>
      <c r="J2303" s="0" t="n">
        <v>41387.32</v>
      </c>
      <c r="K2303" s="0" t="n">
        <v>51607.5805027778</v>
      </c>
      <c r="L2303" s="0" t="n">
        <v>42898</v>
      </c>
      <c r="M2303" s="0" t="n">
        <v>42872</v>
      </c>
      <c r="N2303" s="0" t="n">
        <v>5</v>
      </c>
      <c r="O2303" s="54" t="n">
        <f aca="false">YEAR(B2303)</f>
        <v>2021</v>
      </c>
      <c r="P2303" s="54" t="n">
        <f aca="false">IF(AND(E2303&gt;=14400,K2303&gt;0,L2303&gt;0),1,0)</f>
        <v>1</v>
      </c>
      <c r="Q2303" s="53" t="n">
        <f aca="false">IF(P2303=1,F2303/E2303*MIN(L2303/K2303,1)*MIN(MAX(M2303/L2303,0),1),0)</f>
        <v>0.350076433702044</v>
      </c>
      <c r="R2303" s="55" t="n">
        <f aca="false">IF(F2303&gt;0,N2303/(F2303/3600),0)</f>
        <v>0.595026451570334</v>
      </c>
    </row>
    <row r="2304" customFormat="false" ht="15" hidden="false" customHeight="false" outlineLevel="0" collapsed="false">
      <c r="A2304" s="0" t="s">
        <v>262</v>
      </c>
      <c r="B2304" s="52" t="n">
        <v>44459</v>
      </c>
      <c r="C2304" s="0" t="n">
        <v>80091.484</v>
      </c>
      <c r="D2304" s="0" t="n">
        <v>6949.928</v>
      </c>
      <c r="E2304" s="0" t="n">
        <v>73141.556</v>
      </c>
      <c r="F2304" s="0" t="n">
        <v>57036.074</v>
      </c>
      <c r="G2304" s="0" t="n">
        <v>51055.764</v>
      </c>
      <c r="H2304" s="0" t="n">
        <v>5980.31</v>
      </c>
      <c r="I2304" s="0" t="n">
        <v>3232.472</v>
      </c>
      <c r="J2304" s="0" t="n">
        <v>12873.01</v>
      </c>
      <c r="K2304" s="0" t="n">
        <v>97164.9802297222</v>
      </c>
      <c r="L2304" s="0" t="n">
        <v>89934</v>
      </c>
      <c r="M2304" s="0" t="n">
        <v>89864</v>
      </c>
      <c r="N2304" s="0" t="n">
        <v>46</v>
      </c>
      <c r="O2304" s="54" t="n">
        <f aca="false">YEAR(B2304)</f>
        <v>2021</v>
      </c>
      <c r="P2304" s="54" t="n">
        <f aca="false">IF(AND(E2304&gt;=14400,K2304&gt;0,L2304&gt;0),1,0)</f>
        <v>1</v>
      </c>
      <c r="Q2304" s="53" t="n">
        <f aca="false">IF(P2304=1,F2304/E2304*MIN(L2304/K2304,1)*MIN(MAX(M2304/L2304,0),1),0)</f>
        <v>0.721209448667913</v>
      </c>
      <c r="R2304" s="55" t="n">
        <f aca="false">IF(F2304&gt;0,N2304/(F2304/3600),0)</f>
        <v>2.90342564602185</v>
      </c>
    </row>
    <row r="2305" customFormat="false" ht="15" hidden="false" customHeight="false" outlineLevel="0" collapsed="false">
      <c r="A2305" s="0" t="s">
        <v>262</v>
      </c>
      <c r="B2305" s="52" t="n">
        <v>44460</v>
      </c>
      <c r="C2305" s="0" t="n">
        <v>80007.77</v>
      </c>
      <c r="D2305" s="0" t="n">
        <v>16582.344</v>
      </c>
      <c r="E2305" s="0" t="n">
        <v>63425.426</v>
      </c>
      <c r="F2305" s="0" t="n">
        <v>51697.648</v>
      </c>
      <c r="G2305" s="0" t="n">
        <v>40387.006</v>
      </c>
      <c r="H2305" s="0" t="n">
        <v>11310.642</v>
      </c>
      <c r="I2305" s="0" t="n">
        <v>1184.865</v>
      </c>
      <c r="J2305" s="0" t="n">
        <v>10542.913</v>
      </c>
      <c r="K2305" s="0" t="n">
        <v>87012.6778361111</v>
      </c>
      <c r="L2305" s="0" t="n">
        <v>69188</v>
      </c>
      <c r="M2305" s="0" t="n">
        <v>68930</v>
      </c>
      <c r="N2305" s="0" t="n">
        <v>20</v>
      </c>
      <c r="O2305" s="54" t="n">
        <f aca="false">YEAR(B2305)</f>
        <v>2021</v>
      </c>
      <c r="P2305" s="54" t="n">
        <f aca="false">IF(AND(E2305&gt;=14400,K2305&gt;0,L2305&gt;0),1,0)</f>
        <v>1</v>
      </c>
      <c r="Q2305" s="53" t="n">
        <f aca="false">IF(P2305=1,F2305/E2305*MIN(L2305/K2305,1)*MIN(MAX(M2305/L2305,0),1),0)</f>
        <v>0.645703493987179</v>
      </c>
      <c r="R2305" s="55" t="n">
        <f aca="false">IF(F2305&gt;0,N2305/(F2305/3600),0)</f>
        <v>1.39271326231321</v>
      </c>
    </row>
    <row r="2306" customFormat="false" ht="15" hidden="false" customHeight="false" outlineLevel="0" collapsed="false">
      <c r="A2306" s="0" t="s">
        <v>262</v>
      </c>
      <c r="B2306" s="52" t="n">
        <v>44461</v>
      </c>
      <c r="C2306" s="0" t="n">
        <v>85590.246</v>
      </c>
      <c r="D2306" s="0" t="n">
        <v>24958.021</v>
      </c>
      <c r="E2306" s="0" t="n">
        <v>60632.225</v>
      </c>
      <c r="F2306" s="0" t="n">
        <v>34778.524</v>
      </c>
      <c r="G2306" s="0" t="n">
        <v>27023.405</v>
      </c>
      <c r="H2306" s="0" t="n">
        <v>7755.119</v>
      </c>
      <c r="I2306" s="0" t="n">
        <v>2089.453</v>
      </c>
      <c r="J2306" s="0" t="n">
        <v>23764.248</v>
      </c>
      <c r="K2306" s="0" t="n">
        <v>60413.4438238889</v>
      </c>
      <c r="L2306" s="0" t="n">
        <v>48155</v>
      </c>
      <c r="M2306" s="0" t="n">
        <v>48102</v>
      </c>
      <c r="N2306" s="0" t="n">
        <v>11</v>
      </c>
      <c r="O2306" s="54" t="n">
        <f aca="false">YEAR(B2306)</f>
        <v>2021</v>
      </c>
      <c r="P2306" s="54" t="n">
        <f aca="false">IF(AND(E2306&gt;=14400,K2306&gt;0,L2306&gt;0),1,0)</f>
        <v>1</v>
      </c>
      <c r="Q2306" s="53" t="n">
        <f aca="false">IF(P2306=1,F2306/E2306*MIN(L2306/K2306,1)*MIN(MAX(M2306/L2306,0),1),0)</f>
        <v>0.456706488597173</v>
      </c>
      <c r="R2306" s="55" t="n">
        <f aca="false">IF(F2306&gt;0,N2306/(F2306/3600),0)</f>
        <v>1.13863371545037</v>
      </c>
    </row>
    <row r="2307" customFormat="false" ht="15" hidden="false" customHeight="false" outlineLevel="0" collapsed="false">
      <c r="A2307" s="0" t="s">
        <v>262</v>
      </c>
      <c r="B2307" s="52" t="n">
        <v>44462</v>
      </c>
      <c r="C2307" s="0" t="n">
        <v>87202.351</v>
      </c>
      <c r="D2307" s="0" t="n">
        <v>18158.331</v>
      </c>
      <c r="E2307" s="0" t="n">
        <v>69044.02</v>
      </c>
      <c r="F2307" s="0" t="n">
        <v>45895.452</v>
      </c>
      <c r="G2307" s="0" t="n">
        <v>42831.505</v>
      </c>
      <c r="H2307" s="0" t="n">
        <v>3063.947</v>
      </c>
      <c r="I2307" s="0" t="n">
        <v>2237.154</v>
      </c>
      <c r="J2307" s="0" t="n">
        <v>20911.414</v>
      </c>
      <c r="K2307" s="0" t="n">
        <v>80358.4934311111</v>
      </c>
      <c r="L2307" s="0" t="n">
        <v>74569</v>
      </c>
      <c r="M2307" s="0" t="n">
        <v>74553</v>
      </c>
      <c r="N2307" s="0" t="n">
        <v>17</v>
      </c>
      <c r="O2307" s="54" t="n">
        <f aca="false">YEAR(B2307)</f>
        <v>2021</v>
      </c>
      <c r="P2307" s="54" t="n">
        <f aca="false">IF(AND(E2307&gt;=14400,K2307&gt;0,L2307&gt;0),1,0)</f>
        <v>1</v>
      </c>
      <c r="Q2307" s="53" t="n">
        <f aca="false">IF(P2307=1,F2307/E2307*MIN(L2307/K2307,1)*MIN(MAX(M2307/L2307,0),1),0)</f>
        <v>0.616704219355521</v>
      </c>
      <c r="R2307" s="55" t="n">
        <f aca="false">IF(F2307&gt;0,N2307/(F2307/3600),0)</f>
        <v>1.33346545971483</v>
      </c>
    </row>
    <row r="2308" customFormat="false" ht="15" hidden="false" customHeight="false" outlineLevel="0" collapsed="false">
      <c r="A2308" s="0" t="s">
        <v>262</v>
      </c>
      <c r="B2308" s="52" t="n">
        <v>44463</v>
      </c>
      <c r="C2308" s="0" t="n">
        <v>64043.227</v>
      </c>
      <c r="D2308" s="0" t="n">
        <v>12571.818</v>
      </c>
      <c r="E2308" s="0" t="n">
        <v>51471.409</v>
      </c>
      <c r="F2308" s="0" t="n">
        <v>29656.58</v>
      </c>
      <c r="G2308" s="0" t="n">
        <v>24391.999</v>
      </c>
      <c r="H2308" s="0" t="n">
        <v>5264.581</v>
      </c>
      <c r="I2308" s="0" t="n">
        <v>1274.278</v>
      </c>
      <c r="J2308" s="0" t="n">
        <v>20540.551</v>
      </c>
      <c r="K2308" s="0" t="n">
        <v>48868.6341875</v>
      </c>
      <c r="L2308" s="0" t="n">
        <v>41156</v>
      </c>
      <c r="M2308" s="0" t="n">
        <v>41111</v>
      </c>
      <c r="N2308" s="0" t="n">
        <v>12</v>
      </c>
      <c r="O2308" s="54" t="n">
        <f aca="false">YEAR(B2308)</f>
        <v>2021</v>
      </c>
      <c r="P2308" s="54" t="n">
        <f aca="false">IF(AND(E2308&gt;=14400,K2308&gt;0,L2308&gt;0),1,0)</f>
        <v>1</v>
      </c>
      <c r="Q2308" s="53" t="n">
        <f aca="false">IF(P2308=1,F2308/E2308*MIN(L2308/K2308,1)*MIN(MAX(M2308/L2308,0),1),0)</f>
        <v>0.484710970580557</v>
      </c>
      <c r="R2308" s="55" t="n">
        <f aca="false">IF(F2308&gt;0,N2308/(F2308/3600),0)</f>
        <v>1.45667504479613</v>
      </c>
    </row>
    <row r="2309" customFormat="false" ht="15" hidden="false" customHeight="false" outlineLevel="0" collapsed="false">
      <c r="A2309" s="0" t="s">
        <v>262</v>
      </c>
      <c r="B2309" s="52" t="n">
        <v>44464</v>
      </c>
      <c r="C2309" s="0" t="n">
        <v>79793.081</v>
      </c>
      <c r="D2309" s="0" t="n">
        <v>1789.189</v>
      </c>
      <c r="E2309" s="0" t="n">
        <v>78003.892</v>
      </c>
      <c r="F2309" s="0" t="n">
        <v>47056.801</v>
      </c>
      <c r="G2309" s="0" t="n">
        <v>39258.171</v>
      </c>
      <c r="H2309" s="0" t="n">
        <v>7798.63</v>
      </c>
      <c r="I2309" s="0" t="n">
        <v>2294.704</v>
      </c>
      <c r="J2309" s="0" t="n">
        <v>28652.387</v>
      </c>
      <c r="K2309" s="0" t="n">
        <v>78538.9782744445</v>
      </c>
      <c r="L2309" s="0" t="n">
        <v>64911</v>
      </c>
      <c r="M2309" s="0" t="n">
        <v>64707</v>
      </c>
      <c r="N2309" s="0" t="n">
        <v>28</v>
      </c>
      <c r="O2309" s="54" t="n">
        <f aca="false">YEAR(B2309)</f>
        <v>2021</v>
      </c>
      <c r="P2309" s="54" t="n">
        <f aca="false">IF(AND(E2309&gt;=14400,K2309&gt;0,L2309&gt;0),1,0)</f>
        <v>1</v>
      </c>
      <c r="Q2309" s="53" t="n">
        <f aca="false">IF(P2309=1,F2309/E2309*MIN(L2309/K2309,1)*MIN(MAX(M2309/L2309,0),1),0)</f>
        <v>0.497018032068325</v>
      </c>
      <c r="R2309" s="55" t="n">
        <f aca="false">IF(F2309&gt;0,N2309/(F2309/3600),0)</f>
        <v>2.14209206443931</v>
      </c>
    </row>
    <row r="2310" customFormat="false" ht="15" hidden="false" customHeight="false" outlineLevel="0" collapsed="false">
      <c r="A2310" s="0" t="s">
        <v>262</v>
      </c>
      <c r="B2310" s="52" t="n">
        <v>44465</v>
      </c>
      <c r="C2310" s="0" t="n">
        <v>88948.781</v>
      </c>
      <c r="D2310" s="0" t="n">
        <v>31725.527</v>
      </c>
      <c r="E2310" s="0" t="n">
        <v>57223.254</v>
      </c>
      <c r="F2310" s="0" t="n">
        <v>28955.547</v>
      </c>
      <c r="G2310" s="0" t="n">
        <v>25186.044</v>
      </c>
      <c r="H2310" s="0" t="n">
        <v>3769.503</v>
      </c>
      <c r="I2310" s="0" t="n">
        <v>413.487</v>
      </c>
      <c r="J2310" s="0" t="n">
        <v>27854.22</v>
      </c>
      <c r="K2310" s="0" t="n">
        <v>48971.438985</v>
      </c>
      <c r="L2310" s="0" t="n">
        <v>43867</v>
      </c>
      <c r="M2310" s="0" t="n">
        <v>43823</v>
      </c>
      <c r="N2310" s="0" t="n">
        <v>8</v>
      </c>
      <c r="O2310" s="54" t="n">
        <f aca="false">YEAR(B2310)</f>
        <v>2021</v>
      </c>
      <c r="P2310" s="54" t="n">
        <f aca="false">IF(AND(E2310&gt;=14400,K2310&gt;0,L2310&gt;0),1,0)</f>
        <v>1</v>
      </c>
      <c r="Q2310" s="53" t="n">
        <f aca="false">IF(P2310=1,F2310/E2310*MIN(L2310/K2310,1)*MIN(MAX(M2310/L2310,0),1),0)</f>
        <v>0.452812557740853</v>
      </c>
      <c r="R2310" s="55" t="n">
        <f aca="false">IF(F2310&gt;0,N2310/(F2310/3600),0)</f>
        <v>0.994628075926178</v>
      </c>
    </row>
    <row r="2311" customFormat="false" ht="15" hidden="false" customHeight="false" outlineLevel="0" collapsed="false">
      <c r="A2311" s="0" t="s">
        <v>262</v>
      </c>
      <c r="B2311" s="52" t="n">
        <v>44466</v>
      </c>
      <c r="C2311" s="0" t="n">
        <v>84903.851</v>
      </c>
      <c r="D2311" s="0" t="n">
        <v>17592.95</v>
      </c>
      <c r="E2311" s="0" t="n">
        <v>67310.901</v>
      </c>
      <c r="F2311" s="0" t="n">
        <v>48013.568</v>
      </c>
      <c r="G2311" s="0" t="n">
        <v>42457.214</v>
      </c>
      <c r="H2311" s="0" t="n">
        <v>5556.354</v>
      </c>
      <c r="I2311" s="0" t="n">
        <v>1187.939</v>
      </c>
      <c r="J2311" s="0" t="n">
        <v>18109.394</v>
      </c>
      <c r="K2311" s="0" t="n">
        <v>83190.0923955556</v>
      </c>
      <c r="L2311" s="0" t="n">
        <v>74465</v>
      </c>
      <c r="M2311" s="0" t="n">
        <v>74367</v>
      </c>
      <c r="N2311" s="0" t="n">
        <v>14</v>
      </c>
      <c r="O2311" s="54" t="n">
        <f aca="false">YEAR(B2311)</f>
        <v>2021</v>
      </c>
      <c r="P2311" s="54" t="n">
        <f aca="false">IF(AND(E2311&gt;=14400,K2311&gt;0,L2311&gt;0),1,0)</f>
        <v>1</v>
      </c>
      <c r="Q2311" s="53" t="n">
        <f aca="false">IF(P2311=1,F2311/E2311*MIN(L2311/K2311,1)*MIN(MAX(M2311/L2311,0),1),0)</f>
        <v>0.637657147767774</v>
      </c>
      <c r="R2311" s="55" t="n">
        <f aca="false">IF(F2311&gt;0,N2311/(F2311/3600),0)</f>
        <v>1.04970328387176</v>
      </c>
    </row>
    <row r="2312" customFormat="false" ht="15" hidden="false" customHeight="false" outlineLevel="0" collapsed="false">
      <c r="A2312" s="0" t="s">
        <v>262</v>
      </c>
      <c r="B2312" s="52" t="n">
        <v>44467</v>
      </c>
      <c r="C2312" s="0" t="n">
        <v>82514.81</v>
      </c>
      <c r="D2312" s="0" t="n">
        <v>15394.942</v>
      </c>
      <c r="E2312" s="0" t="n">
        <v>67119.868</v>
      </c>
      <c r="F2312" s="0" t="n">
        <v>40927.704</v>
      </c>
      <c r="G2312" s="0" t="n">
        <v>33351.255</v>
      </c>
      <c r="H2312" s="0" t="n">
        <v>7576.449</v>
      </c>
      <c r="I2312" s="0" t="n">
        <v>1573.777</v>
      </c>
      <c r="J2312" s="0" t="n">
        <v>24618.387</v>
      </c>
      <c r="K2312" s="0" t="n">
        <v>69998.3421227778</v>
      </c>
      <c r="L2312" s="0" t="n">
        <v>57008</v>
      </c>
      <c r="M2312" s="0" t="n">
        <v>56952</v>
      </c>
      <c r="N2312" s="0" t="n">
        <v>24</v>
      </c>
      <c r="O2312" s="54" t="n">
        <f aca="false">YEAR(B2312)</f>
        <v>2021</v>
      </c>
      <c r="P2312" s="54" t="n">
        <f aca="false">IF(AND(E2312&gt;=14400,K2312&gt;0,L2312&gt;0),1,0)</f>
        <v>1</v>
      </c>
      <c r="Q2312" s="53" t="n">
        <f aca="false">IF(P2312=1,F2312/E2312*MIN(L2312/K2312,1)*MIN(MAX(M2312/L2312,0),1),0)</f>
        <v>0.496120889869185</v>
      </c>
      <c r="R2312" s="55" t="n">
        <f aca="false">IF(F2312&gt;0,N2312/(F2312/3600),0)</f>
        <v>2.11103950517234</v>
      </c>
    </row>
    <row r="2313" customFormat="false" ht="15" hidden="false" customHeight="false" outlineLevel="0" collapsed="false">
      <c r="A2313" s="0" t="s">
        <v>262</v>
      </c>
      <c r="B2313" s="52" t="n">
        <v>44468</v>
      </c>
      <c r="C2313" s="0" t="n">
        <v>83779.086</v>
      </c>
      <c r="D2313" s="0" t="n">
        <v>16987.811</v>
      </c>
      <c r="E2313" s="0" t="n">
        <v>66791.275</v>
      </c>
      <c r="F2313" s="0" t="n">
        <v>48528.281</v>
      </c>
      <c r="G2313" s="0" t="n">
        <v>40960.997</v>
      </c>
      <c r="H2313" s="0" t="n">
        <v>7567.284</v>
      </c>
      <c r="I2313" s="0" t="n">
        <v>1593.36</v>
      </c>
      <c r="J2313" s="0" t="n">
        <v>16669.634</v>
      </c>
      <c r="K2313" s="0" t="n">
        <v>83958.2037411111</v>
      </c>
      <c r="L2313" s="0" t="n">
        <v>71955</v>
      </c>
      <c r="M2313" s="0" t="n">
        <v>71748</v>
      </c>
      <c r="N2313" s="0" t="n">
        <v>12</v>
      </c>
      <c r="O2313" s="54" t="n">
        <f aca="false">YEAR(B2313)</f>
        <v>2021</v>
      </c>
      <c r="P2313" s="54" t="n">
        <f aca="false">IF(AND(E2313&gt;=14400,K2313&gt;0,L2313&gt;0),1,0)</f>
        <v>1</v>
      </c>
      <c r="Q2313" s="53" t="n">
        <f aca="false">IF(P2313=1,F2313/E2313*MIN(L2313/K2313,1)*MIN(MAX(M2313/L2313,0),1),0)</f>
        <v>0.620900250196747</v>
      </c>
      <c r="R2313" s="55" t="n">
        <f aca="false">IF(F2313&gt;0,N2313/(F2313/3600),0)</f>
        <v>0.890202560440993</v>
      </c>
    </row>
    <row r="2314" customFormat="false" ht="15" hidden="false" customHeight="false" outlineLevel="0" collapsed="false">
      <c r="A2314" s="0" t="s">
        <v>262</v>
      </c>
      <c r="B2314" s="52" t="n">
        <v>44469</v>
      </c>
      <c r="C2314" s="0" t="n">
        <v>109128.214</v>
      </c>
      <c r="D2314" s="0" t="n">
        <v>2885.932</v>
      </c>
      <c r="E2314" s="0" t="n">
        <v>106242.282</v>
      </c>
      <c r="F2314" s="0" t="n">
        <v>53236.743</v>
      </c>
      <c r="G2314" s="0" t="n">
        <v>45572.247</v>
      </c>
      <c r="H2314" s="0" t="n">
        <v>7664.496</v>
      </c>
      <c r="I2314" s="0" t="n">
        <v>2682.703</v>
      </c>
      <c r="J2314" s="0" t="n">
        <v>50322.836</v>
      </c>
      <c r="K2314" s="0" t="n">
        <v>88151.2440438889</v>
      </c>
      <c r="L2314" s="0" t="n">
        <v>79100</v>
      </c>
      <c r="M2314" s="0" t="n">
        <v>78922</v>
      </c>
      <c r="N2314" s="0" t="n">
        <v>18</v>
      </c>
      <c r="O2314" s="54" t="n">
        <f aca="false">YEAR(B2314)</f>
        <v>2021</v>
      </c>
      <c r="P2314" s="54" t="n">
        <f aca="false">IF(AND(E2314&gt;=14400,K2314&gt;0,L2314&gt;0),1,0)</f>
        <v>1</v>
      </c>
      <c r="Q2314" s="53" t="n">
        <f aca="false">IF(P2314=1,F2314/E2314*MIN(L2314/K2314,1)*MIN(MAX(M2314/L2314,0),1),0)</f>
        <v>0.448625260919185</v>
      </c>
      <c r="R2314" s="55" t="n">
        <f aca="false">IF(F2314&gt;0,N2314/(F2314/3600),0)</f>
        <v>1.21720444092532</v>
      </c>
    </row>
    <row r="2315" customFormat="false" ht="15" hidden="false" customHeight="false" outlineLevel="0" collapsed="false">
      <c r="A2315" s="0" t="s">
        <v>262</v>
      </c>
      <c r="B2315" s="52" t="n">
        <v>44470</v>
      </c>
      <c r="C2315" s="0" t="n">
        <v>66773.603</v>
      </c>
      <c r="D2315" s="0" t="n">
        <v>10404.03</v>
      </c>
      <c r="E2315" s="0" t="n">
        <v>56369.573</v>
      </c>
      <c r="F2315" s="0" t="n">
        <v>44406.674</v>
      </c>
      <c r="G2315" s="0" t="n">
        <v>34206.944</v>
      </c>
      <c r="H2315" s="0" t="n">
        <v>10199.73</v>
      </c>
      <c r="I2315" s="0" t="n">
        <v>3129.253</v>
      </c>
      <c r="J2315" s="0" t="n">
        <v>8833.646</v>
      </c>
      <c r="K2315" s="0" t="n">
        <v>74268.8297611111</v>
      </c>
      <c r="L2315" s="0" t="n">
        <v>59746</v>
      </c>
      <c r="M2315" s="0" t="n">
        <v>59508</v>
      </c>
      <c r="N2315" s="0" t="n">
        <v>23</v>
      </c>
      <c r="O2315" s="54" t="n">
        <f aca="false">YEAR(B2315)</f>
        <v>2021</v>
      </c>
      <c r="P2315" s="54" t="n">
        <f aca="false">IF(AND(E2315&gt;=14400,K2315&gt;0,L2315&gt;0),1,0)</f>
        <v>1</v>
      </c>
      <c r="Q2315" s="53" t="n">
        <f aca="false">IF(P2315=1,F2315/E2315*MIN(L2315/K2315,1)*MIN(MAX(M2315/L2315,0),1),0)</f>
        <v>0.631207680539474</v>
      </c>
      <c r="R2315" s="55" t="n">
        <f aca="false">IF(F2315&gt;0,N2315/(F2315/3600),0)</f>
        <v>1.8645845892444</v>
      </c>
    </row>
    <row r="2316" customFormat="false" ht="15" hidden="false" customHeight="false" outlineLevel="0" collapsed="false">
      <c r="A2316" s="0" t="s">
        <v>262</v>
      </c>
      <c r="B2316" s="52" t="n">
        <v>44471</v>
      </c>
      <c r="C2316" s="0" t="n">
        <v>109140.835</v>
      </c>
      <c r="D2316" s="0" t="n">
        <v>3250.437</v>
      </c>
      <c r="E2316" s="0" t="n">
        <v>105890.398</v>
      </c>
      <c r="F2316" s="0" t="n">
        <v>24421.519</v>
      </c>
      <c r="G2316" s="0" t="n">
        <v>22520.215</v>
      </c>
      <c r="H2316" s="0" t="n">
        <v>1901.304</v>
      </c>
      <c r="I2316" s="0" t="n">
        <v>1460.937</v>
      </c>
      <c r="J2316" s="0" t="n">
        <v>80007.942</v>
      </c>
      <c r="K2316" s="0" t="n">
        <v>43656.56837</v>
      </c>
      <c r="L2316" s="0" t="n">
        <v>40636</v>
      </c>
      <c r="M2316" s="0" t="n">
        <v>40626</v>
      </c>
      <c r="N2316" s="0" t="n">
        <v>10</v>
      </c>
      <c r="O2316" s="54" t="n">
        <f aca="false">YEAR(B2316)</f>
        <v>2021</v>
      </c>
      <c r="P2316" s="54" t="n">
        <f aca="false">IF(AND(E2316&gt;=14400,K2316&gt;0,L2316&gt;0),1,0)</f>
        <v>1</v>
      </c>
      <c r="Q2316" s="53" t="n">
        <f aca="false">IF(P2316=1,F2316/E2316*MIN(L2316/K2316,1)*MIN(MAX(M2316/L2316,0),1),0)</f>
        <v>0.214620183486417</v>
      </c>
      <c r="R2316" s="55" t="n">
        <f aca="false">IF(F2316&gt;0,N2316/(F2316/3600),0)</f>
        <v>1.47410977998543</v>
      </c>
    </row>
    <row r="2317" customFormat="false" ht="15" hidden="false" customHeight="false" outlineLevel="0" collapsed="false">
      <c r="A2317" s="0" t="s">
        <v>262</v>
      </c>
      <c r="B2317" s="52" t="n">
        <v>44472</v>
      </c>
      <c r="C2317" s="0" t="n">
        <v>45796.546</v>
      </c>
      <c r="D2317" s="0" t="n">
        <v>4973.155</v>
      </c>
      <c r="E2317" s="0" t="n">
        <v>40823.391</v>
      </c>
      <c r="F2317" s="0" t="n">
        <v>19985.719</v>
      </c>
      <c r="G2317" s="0" t="n">
        <v>11217.713</v>
      </c>
      <c r="H2317" s="0" t="n">
        <v>8768.006</v>
      </c>
      <c r="I2317" s="0" t="n">
        <v>3064.185</v>
      </c>
      <c r="J2317" s="0" t="n">
        <v>17773.487</v>
      </c>
      <c r="K2317" s="0" t="n">
        <v>31320.4502333333</v>
      </c>
      <c r="L2317" s="0" t="n">
        <v>18431</v>
      </c>
      <c r="M2317" s="0" t="n">
        <v>18371</v>
      </c>
      <c r="N2317" s="0" t="n">
        <v>16</v>
      </c>
      <c r="O2317" s="54" t="n">
        <f aca="false">YEAR(B2317)</f>
        <v>2021</v>
      </c>
      <c r="P2317" s="54" t="n">
        <f aca="false">IF(AND(E2317&gt;=14400,K2317&gt;0,L2317&gt;0),1,0)</f>
        <v>1</v>
      </c>
      <c r="Q2317" s="53" t="n">
        <f aca="false">IF(P2317=1,F2317/E2317*MIN(L2317/K2317,1)*MIN(MAX(M2317/L2317,0),1),0)</f>
        <v>0.287154417049133</v>
      </c>
      <c r="R2317" s="55" t="n">
        <f aca="false">IF(F2317&gt;0,N2317/(F2317/3600),0)</f>
        <v>2.88205793346739</v>
      </c>
    </row>
    <row r="2318" customFormat="false" ht="15" hidden="false" customHeight="false" outlineLevel="0" collapsed="false">
      <c r="A2318" s="0" t="s">
        <v>262</v>
      </c>
      <c r="B2318" s="52" t="n">
        <v>44473</v>
      </c>
      <c r="C2318" s="0" t="n">
        <v>87716.232</v>
      </c>
      <c r="D2318" s="0" t="n">
        <v>11681.157</v>
      </c>
      <c r="E2318" s="0" t="n">
        <v>76035.075</v>
      </c>
      <c r="F2318" s="0" t="n">
        <v>42434.18</v>
      </c>
      <c r="G2318" s="0" t="n">
        <v>40669.159</v>
      </c>
      <c r="H2318" s="0" t="n">
        <v>1765.021</v>
      </c>
      <c r="I2318" s="0" t="n">
        <v>3964.884</v>
      </c>
      <c r="J2318" s="0" t="n">
        <v>29636.011</v>
      </c>
      <c r="K2318" s="0" t="n">
        <v>74719.9007686111</v>
      </c>
      <c r="L2318" s="0" t="n">
        <v>70400</v>
      </c>
      <c r="M2318" s="0" t="n">
        <v>70301</v>
      </c>
      <c r="N2318" s="0" t="n">
        <v>44</v>
      </c>
      <c r="O2318" s="54" t="n">
        <f aca="false">YEAR(B2318)</f>
        <v>2021</v>
      </c>
      <c r="P2318" s="54" t="n">
        <f aca="false">IF(AND(E2318&gt;=14400,K2318&gt;0,L2318&gt;0),1,0)</f>
        <v>1</v>
      </c>
      <c r="Q2318" s="53" t="n">
        <f aca="false">IF(P2318=1,F2318/E2318*MIN(L2318/K2318,1)*MIN(MAX(M2318/L2318,0),1),0)</f>
        <v>0.525081904584451</v>
      </c>
      <c r="R2318" s="55" t="n">
        <f aca="false">IF(F2318&gt;0,N2318/(F2318/3600),0)</f>
        <v>3.73283989463211</v>
      </c>
    </row>
    <row r="2319" customFormat="false" ht="15" hidden="false" customHeight="false" outlineLevel="0" collapsed="false">
      <c r="A2319" s="0" t="s">
        <v>262</v>
      </c>
      <c r="B2319" s="52" t="n">
        <v>44474</v>
      </c>
      <c r="C2319" s="0" t="n">
        <v>78602.372</v>
      </c>
      <c r="D2319" s="0" t="n">
        <v>4725.865</v>
      </c>
      <c r="E2319" s="0" t="n">
        <v>73876.507</v>
      </c>
      <c r="F2319" s="0" t="n">
        <v>55936.991</v>
      </c>
      <c r="G2319" s="0" t="n">
        <v>38981.701</v>
      </c>
      <c r="H2319" s="0" t="n">
        <v>16955.29</v>
      </c>
      <c r="I2319" s="0" t="n">
        <v>5070.365</v>
      </c>
      <c r="J2319" s="0" t="n">
        <v>12869.151</v>
      </c>
      <c r="K2319" s="0" t="n">
        <v>93111.53753</v>
      </c>
      <c r="L2319" s="0" t="n">
        <v>68024</v>
      </c>
      <c r="M2319" s="0" t="n">
        <v>67923</v>
      </c>
      <c r="N2319" s="0" t="n">
        <v>55</v>
      </c>
      <c r="O2319" s="54" t="n">
        <f aca="false">YEAR(B2319)</f>
        <v>2021</v>
      </c>
      <c r="P2319" s="54" t="n">
        <f aca="false">IF(AND(E2319&gt;=14400,K2319&gt;0,L2319&gt;0),1,0)</f>
        <v>1</v>
      </c>
      <c r="Q2319" s="53" t="n">
        <f aca="false">IF(P2319=1,F2319/E2319*MIN(L2319/K2319,1)*MIN(MAX(M2319/L2319,0),1),0)</f>
        <v>0.552339508322182</v>
      </c>
      <c r="R2319" s="55" t="n">
        <f aca="false">IF(F2319&gt;0,N2319/(F2319/3600),0)</f>
        <v>3.53969701373461</v>
      </c>
    </row>
    <row r="2320" customFormat="false" ht="15" hidden="false" customHeight="false" outlineLevel="0" collapsed="false">
      <c r="A2320" s="0" t="s">
        <v>262</v>
      </c>
      <c r="B2320" s="52" t="n">
        <v>44475</v>
      </c>
      <c r="C2320" s="0" t="n">
        <v>78166.25</v>
      </c>
      <c r="D2320" s="0" t="n">
        <v>23454.178</v>
      </c>
      <c r="E2320" s="0" t="n">
        <v>54712.072</v>
      </c>
      <c r="F2320" s="0" t="n">
        <v>44022.211</v>
      </c>
      <c r="G2320" s="0" t="n">
        <v>37042.696</v>
      </c>
      <c r="H2320" s="0" t="n">
        <v>6979.515</v>
      </c>
      <c r="I2320" s="0" t="n">
        <v>2425.136</v>
      </c>
      <c r="J2320" s="0" t="n">
        <v>8264.725</v>
      </c>
      <c r="K2320" s="0" t="n">
        <v>75001.4829983333</v>
      </c>
      <c r="L2320" s="0" t="n">
        <v>64976</v>
      </c>
      <c r="M2320" s="0" t="n">
        <v>64744</v>
      </c>
      <c r="N2320" s="0" t="n">
        <v>39</v>
      </c>
      <c r="O2320" s="54" t="n">
        <f aca="false">YEAR(B2320)</f>
        <v>2021</v>
      </c>
      <c r="P2320" s="54" t="n">
        <f aca="false">IF(AND(E2320&gt;=14400,K2320&gt;0,L2320&gt;0),1,0)</f>
        <v>1</v>
      </c>
      <c r="Q2320" s="53" t="n">
        <f aca="false">IF(P2320=1,F2320/E2320*MIN(L2320/K2320,1)*MIN(MAX(M2320/L2320,0),1),0)</f>
        <v>0.69457374909156</v>
      </c>
      <c r="R2320" s="55" t="n">
        <f aca="false">IF(F2320&gt;0,N2320/(F2320/3600),0)</f>
        <v>3.1892991471964</v>
      </c>
    </row>
    <row r="2321" customFormat="false" ht="15" hidden="false" customHeight="false" outlineLevel="0" collapsed="false">
      <c r="A2321" s="0" t="s">
        <v>262</v>
      </c>
      <c r="B2321" s="52" t="n">
        <v>44476</v>
      </c>
      <c r="C2321" s="0" t="n">
        <v>85321.859</v>
      </c>
      <c r="D2321" s="0" t="n">
        <v>17597.282</v>
      </c>
      <c r="E2321" s="0" t="n">
        <v>67724.577</v>
      </c>
      <c r="F2321" s="0" t="n">
        <v>51628.288</v>
      </c>
      <c r="G2321" s="0" t="n">
        <v>40819.263</v>
      </c>
      <c r="H2321" s="0" t="n">
        <v>10809.025</v>
      </c>
      <c r="I2321" s="0" t="n">
        <v>7031.721</v>
      </c>
      <c r="J2321" s="0" t="n">
        <v>9064.568</v>
      </c>
      <c r="K2321" s="0" t="n">
        <v>89394.6745055556</v>
      </c>
      <c r="L2321" s="0" t="n">
        <v>72258</v>
      </c>
      <c r="M2321" s="0" t="n">
        <v>72160</v>
      </c>
      <c r="N2321" s="0" t="n">
        <v>48</v>
      </c>
      <c r="O2321" s="54" t="n">
        <f aca="false">YEAR(B2321)</f>
        <v>2021</v>
      </c>
      <c r="P2321" s="54" t="n">
        <f aca="false">IF(AND(E2321&gt;=14400,K2321&gt;0,L2321&gt;0),1,0)</f>
        <v>1</v>
      </c>
      <c r="Q2321" s="53" t="n">
        <f aca="false">IF(P2321=1,F2321/E2321*MIN(L2321/K2321,1)*MIN(MAX(M2321/L2321,0),1),0)</f>
        <v>0.615355802299933</v>
      </c>
      <c r="R2321" s="55" t="n">
        <f aca="false">IF(F2321&gt;0,N2321/(F2321/3600),0)</f>
        <v>3.3470023255468</v>
      </c>
    </row>
    <row r="2322" customFormat="false" ht="15" hidden="false" customHeight="false" outlineLevel="0" collapsed="false">
      <c r="A2322" s="0" t="s">
        <v>262</v>
      </c>
      <c r="B2322" s="52" t="n">
        <v>44477</v>
      </c>
      <c r="C2322" s="0" t="n">
        <v>92962.425</v>
      </c>
      <c r="D2322" s="0" t="n">
        <v>14922.12</v>
      </c>
      <c r="E2322" s="0" t="n">
        <v>78040.305</v>
      </c>
      <c r="F2322" s="0" t="n">
        <v>60557.59</v>
      </c>
      <c r="G2322" s="0" t="n">
        <v>51870.049</v>
      </c>
      <c r="H2322" s="0" t="n">
        <v>8687.541</v>
      </c>
      <c r="I2322" s="0" t="n">
        <v>1989.289</v>
      </c>
      <c r="J2322" s="0" t="n">
        <v>15493.426</v>
      </c>
      <c r="K2322" s="0" t="n">
        <v>96060.3426744444</v>
      </c>
      <c r="L2322" s="0" t="n">
        <v>85082</v>
      </c>
      <c r="M2322" s="0" t="n">
        <v>84774</v>
      </c>
      <c r="N2322" s="0" t="n">
        <v>30</v>
      </c>
      <c r="O2322" s="54" t="n">
        <f aca="false">YEAR(B2322)</f>
        <v>2021</v>
      </c>
      <c r="P2322" s="54" t="n">
        <f aca="false">IF(AND(E2322&gt;=14400,K2322&gt;0,L2322&gt;0),1,0)</f>
        <v>1</v>
      </c>
      <c r="Q2322" s="53" t="n">
        <f aca="false">IF(P2322=1,F2322/E2322*MIN(L2322/K2322,1)*MIN(MAX(M2322/L2322,0),1),0)</f>
        <v>0.684806965638607</v>
      </c>
      <c r="R2322" s="55" t="n">
        <f aca="false">IF(F2322&gt;0,N2322/(F2322/3600),0)</f>
        <v>1.78342632195238</v>
      </c>
    </row>
    <row r="2323" customFormat="false" ht="15" hidden="false" customHeight="false" outlineLevel="0" collapsed="false">
      <c r="A2323" s="0" t="s">
        <v>262</v>
      </c>
      <c r="B2323" s="52" t="n">
        <v>44478</v>
      </c>
      <c r="C2323" s="0" t="n">
        <v>79150.567</v>
      </c>
      <c r="D2323" s="0" t="n">
        <v>14342.956</v>
      </c>
      <c r="E2323" s="0" t="n">
        <v>64807.611</v>
      </c>
      <c r="F2323" s="0" t="n">
        <v>50766.595</v>
      </c>
      <c r="G2323" s="0" t="n">
        <v>34590.822</v>
      </c>
      <c r="H2323" s="0" t="n">
        <v>16175.773</v>
      </c>
      <c r="I2323" s="0" t="n">
        <v>2224.605</v>
      </c>
      <c r="J2323" s="0" t="n">
        <v>11816.411</v>
      </c>
      <c r="K2323" s="0" t="n">
        <v>84371.4862561111</v>
      </c>
      <c r="L2323" s="0" t="n">
        <v>63049</v>
      </c>
      <c r="M2323" s="0" t="n">
        <v>62985</v>
      </c>
      <c r="N2323" s="0" t="n">
        <v>23</v>
      </c>
      <c r="O2323" s="54" t="n">
        <f aca="false">YEAR(B2323)</f>
        <v>2021</v>
      </c>
      <c r="P2323" s="54" t="n">
        <f aca="false">IF(AND(E2323&gt;=14400,K2323&gt;0,L2323&gt;0),1,0)</f>
        <v>1</v>
      </c>
      <c r="Q2323" s="53" t="n">
        <f aca="false">IF(P2323=1,F2323/E2323*MIN(L2323/K2323,1)*MIN(MAX(M2323/L2323,0),1),0)</f>
        <v>0.584781274288644</v>
      </c>
      <c r="R2323" s="55" t="n">
        <f aca="false">IF(F2323&gt;0,N2323/(F2323/3600),0)</f>
        <v>1.63099376666881</v>
      </c>
    </row>
    <row r="2324" customFormat="false" ht="15" hidden="false" customHeight="false" outlineLevel="0" collapsed="false">
      <c r="A2324" s="0" t="s">
        <v>262</v>
      </c>
      <c r="B2324" s="52" t="n">
        <v>44479</v>
      </c>
      <c r="C2324" s="0" t="n">
        <v>78447.285</v>
      </c>
      <c r="D2324" s="0" t="n">
        <v>4898.003</v>
      </c>
      <c r="E2324" s="0" t="n">
        <v>73549.282</v>
      </c>
      <c r="F2324" s="0" t="n">
        <v>21958.776</v>
      </c>
      <c r="G2324" s="0" t="n">
        <v>15349.641</v>
      </c>
      <c r="H2324" s="0" t="n">
        <v>6609.135</v>
      </c>
      <c r="I2324" s="0" t="n">
        <v>1563.666</v>
      </c>
      <c r="J2324" s="0" t="n">
        <v>50026.84</v>
      </c>
      <c r="K2324" s="0" t="n">
        <v>36550.65562</v>
      </c>
      <c r="L2324" s="0" t="n">
        <v>27154</v>
      </c>
      <c r="M2324" s="0" t="n">
        <v>27052</v>
      </c>
      <c r="N2324" s="0" t="n">
        <v>13</v>
      </c>
      <c r="O2324" s="54" t="n">
        <f aca="false">YEAR(B2324)</f>
        <v>2021</v>
      </c>
      <c r="P2324" s="54" t="n">
        <f aca="false">IF(AND(E2324&gt;=14400,K2324&gt;0,L2324&gt;0),1,0)</f>
        <v>1</v>
      </c>
      <c r="Q2324" s="53" t="n">
        <f aca="false">IF(P2324=1,F2324/E2324*MIN(L2324/K2324,1)*MIN(MAX(M2324/L2324,0),1),0)</f>
        <v>0.220970296496207</v>
      </c>
      <c r="R2324" s="55" t="n">
        <f aca="false">IF(F2324&gt;0,N2324/(F2324/3600),0)</f>
        <v>2.13126633287757</v>
      </c>
    </row>
    <row r="2325" customFormat="false" ht="15" hidden="false" customHeight="false" outlineLevel="0" collapsed="false">
      <c r="A2325" s="0" t="s">
        <v>262</v>
      </c>
      <c r="B2325" s="52" t="n">
        <v>44480</v>
      </c>
      <c r="C2325" s="0" t="n">
        <v>83613.815</v>
      </c>
      <c r="D2325" s="0" t="n">
        <v>15690.669</v>
      </c>
      <c r="E2325" s="0" t="n">
        <v>67923.146</v>
      </c>
      <c r="F2325" s="0" t="n">
        <v>46157.707</v>
      </c>
      <c r="G2325" s="0" t="n">
        <v>39758.804</v>
      </c>
      <c r="H2325" s="0" t="n">
        <v>6398.903</v>
      </c>
      <c r="I2325" s="0" t="n">
        <v>1634.234</v>
      </c>
      <c r="J2325" s="0" t="n">
        <v>20131.205</v>
      </c>
      <c r="K2325" s="0" t="n">
        <v>79934.9024347222</v>
      </c>
      <c r="L2325" s="0" t="n">
        <v>69700</v>
      </c>
      <c r="M2325" s="0" t="n">
        <v>69560</v>
      </c>
      <c r="N2325" s="0" t="n">
        <v>21</v>
      </c>
      <c r="O2325" s="54" t="n">
        <f aca="false">YEAR(B2325)</f>
        <v>2021</v>
      </c>
      <c r="P2325" s="54" t="n">
        <f aca="false">IF(AND(E2325&gt;=14400,K2325&gt;0,L2325&gt;0),1,0)</f>
        <v>1</v>
      </c>
      <c r="Q2325" s="53" t="n">
        <f aca="false">IF(P2325=1,F2325/E2325*MIN(L2325/K2325,1)*MIN(MAX(M2325/L2325,0),1),0)</f>
        <v>0.591356748350778</v>
      </c>
      <c r="R2325" s="55" t="n">
        <f aca="false">IF(F2325&gt;0,N2325/(F2325/3600),0)</f>
        <v>1.63786299003111</v>
      </c>
    </row>
    <row r="2326" customFormat="false" ht="15" hidden="false" customHeight="false" outlineLevel="0" collapsed="false">
      <c r="A2326" s="0" t="s">
        <v>262</v>
      </c>
      <c r="B2326" s="52" t="n">
        <v>44481</v>
      </c>
      <c r="C2326" s="0" t="n">
        <v>84704.892</v>
      </c>
      <c r="D2326" s="0" t="n">
        <v>16523.928</v>
      </c>
      <c r="E2326" s="0" t="n">
        <v>68180.964</v>
      </c>
      <c r="F2326" s="0" t="n">
        <v>52322.993</v>
      </c>
      <c r="G2326" s="0" t="n">
        <v>42434.227</v>
      </c>
      <c r="H2326" s="0" t="n">
        <v>9888.766</v>
      </c>
      <c r="I2326" s="0" t="n">
        <v>2390.265</v>
      </c>
      <c r="J2326" s="0" t="n">
        <v>13467.706</v>
      </c>
      <c r="K2326" s="0" t="n">
        <v>86133.0233063889</v>
      </c>
      <c r="L2326" s="0" t="n">
        <v>72540</v>
      </c>
      <c r="M2326" s="0" t="n">
        <v>72240</v>
      </c>
      <c r="N2326" s="0" t="n">
        <v>35</v>
      </c>
      <c r="O2326" s="54" t="n">
        <f aca="false">YEAR(B2326)</f>
        <v>2021</v>
      </c>
      <c r="P2326" s="54" t="n">
        <f aca="false">IF(AND(E2326&gt;=14400,K2326&gt;0,L2326&gt;0),1,0)</f>
        <v>1</v>
      </c>
      <c r="Q2326" s="53" t="n">
        <f aca="false">IF(P2326=1,F2326/E2326*MIN(L2326/K2326,1)*MIN(MAX(M2326/L2326,0),1),0)</f>
        <v>0.643631791175167</v>
      </c>
      <c r="R2326" s="55" t="n">
        <f aca="false">IF(F2326&gt;0,N2326/(F2326/3600),0)</f>
        <v>2.40811912269621</v>
      </c>
    </row>
    <row r="2327" customFormat="false" ht="15" hidden="false" customHeight="false" outlineLevel="0" collapsed="false">
      <c r="A2327" s="0" t="s">
        <v>262</v>
      </c>
      <c r="B2327" s="52" t="n">
        <v>44482</v>
      </c>
      <c r="C2327" s="0" t="n">
        <v>87324.573</v>
      </c>
      <c r="D2327" s="0" t="n">
        <v>77.82</v>
      </c>
      <c r="E2327" s="0" t="n">
        <v>87246.753</v>
      </c>
      <c r="F2327" s="0" t="n">
        <v>69554.161</v>
      </c>
      <c r="G2327" s="0" t="n">
        <v>49194.041</v>
      </c>
      <c r="H2327" s="0" t="n">
        <v>20360.12</v>
      </c>
      <c r="I2327" s="0" t="n">
        <v>10704.587</v>
      </c>
      <c r="J2327" s="0" t="n">
        <v>6988.005</v>
      </c>
      <c r="K2327" s="0" t="n">
        <v>112656.204458611</v>
      </c>
      <c r="L2327" s="0" t="n">
        <v>83987</v>
      </c>
      <c r="M2327" s="0" t="n">
        <v>83718</v>
      </c>
      <c r="N2327" s="0" t="n">
        <v>65</v>
      </c>
      <c r="O2327" s="54" t="n">
        <f aca="false">YEAR(B2327)</f>
        <v>2021</v>
      </c>
      <c r="P2327" s="54" t="n">
        <f aca="false">IF(AND(E2327&gt;=14400,K2327&gt;0,L2327&gt;0),1,0)</f>
        <v>1</v>
      </c>
      <c r="Q2327" s="53" t="n">
        <f aca="false">IF(P2327=1,F2327/E2327*MIN(L2327/K2327,1)*MIN(MAX(M2327/L2327,0),1),0)</f>
        <v>0.592430723022044</v>
      </c>
      <c r="R2327" s="55" t="n">
        <f aca="false">IF(F2327&gt;0,N2327/(F2327/3600),0)</f>
        <v>3.36428470469222</v>
      </c>
    </row>
    <row r="2328" customFormat="false" ht="15" hidden="false" customHeight="false" outlineLevel="0" collapsed="false">
      <c r="A2328" s="0" t="s">
        <v>262</v>
      </c>
      <c r="B2328" s="52" t="n">
        <v>44483</v>
      </c>
      <c r="C2328" s="0" t="n">
        <v>87254.759</v>
      </c>
      <c r="D2328" s="0" t="n">
        <v>20509.398</v>
      </c>
      <c r="E2328" s="0" t="n">
        <v>66745.361</v>
      </c>
      <c r="F2328" s="0" t="n">
        <v>30997.355</v>
      </c>
      <c r="G2328" s="0" t="n">
        <v>17011.489</v>
      </c>
      <c r="H2328" s="0" t="n">
        <v>13985.866</v>
      </c>
      <c r="I2328" s="0" t="n">
        <v>202.901</v>
      </c>
      <c r="J2328" s="0" t="n">
        <v>35545.105</v>
      </c>
      <c r="K2328" s="0" t="n">
        <v>49303.5296788889</v>
      </c>
      <c r="L2328" s="0" t="n">
        <v>29461</v>
      </c>
      <c r="M2328" s="0" t="n">
        <v>29398</v>
      </c>
      <c r="N2328" s="0" t="n">
        <v>5</v>
      </c>
      <c r="O2328" s="54" t="n">
        <f aca="false">YEAR(B2328)</f>
        <v>2021</v>
      </c>
      <c r="P2328" s="54" t="n">
        <f aca="false">IF(AND(E2328&gt;=14400,K2328&gt;0,L2328&gt;0),1,0)</f>
        <v>1</v>
      </c>
      <c r="Q2328" s="53" t="n">
        <f aca="false">IF(P2328=1,F2328/E2328*MIN(L2328/K2328,1)*MIN(MAX(M2328/L2328,0),1),0)</f>
        <v>0.276912987120836</v>
      </c>
      <c r="R2328" s="55" t="n">
        <f aca="false">IF(F2328&gt;0,N2328/(F2328/3600),0)</f>
        <v>0.580694707661347</v>
      </c>
    </row>
    <row r="2329" customFormat="false" ht="15" hidden="false" customHeight="false" outlineLevel="0" collapsed="false">
      <c r="A2329" s="0" t="s">
        <v>262</v>
      </c>
      <c r="B2329" s="52" t="n">
        <v>44484</v>
      </c>
      <c r="C2329" s="0" t="n">
        <v>84421.363</v>
      </c>
      <c r="D2329" s="0" t="n">
        <v>17216.055</v>
      </c>
      <c r="E2329" s="0" t="n">
        <v>67205.308</v>
      </c>
      <c r="F2329" s="0" t="n">
        <v>43327.586</v>
      </c>
      <c r="G2329" s="0" t="n">
        <v>34825.237</v>
      </c>
      <c r="H2329" s="0" t="n">
        <v>8502.349</v>
      </c>
      <c r="I2329" s="0" t="n">
        <v>6991.192</v>
      </c>
      <c r="J2329" s="0" t="n">
        <v>16886.53</v>
      </c>
      <c r="K2329" s="0" t="n">
        <v>65674.5275252778</v>
      </c>
      <c r="L2329" s="0" t="n">
        <v>59810</v>
      </c>
      <c r="M2329" s="0" t="n">
        <v>59174</v>
      </c>
      <c r="N2329" s="0" t="n">
        <v>50</v>
      </c>
      <c r="O2329" s="54" t="n">
        <f aca="false">YEAR(B2329)</f>
        <v>2021</v>
      </c>
      <c r="P2329" s="54" t="n">
        <f aca="false">IF(AND(E2329&gt;=14400,K2329&gt;0,L2329&gt;0),1,0)</f>
        <v>1</v>
      </c>
      <c r="Q2329" s="53" t="n">
        <f aca="false">IF(P2329=1,F2329/E2329*MIN(L2329/K2329,1)*MIN(MAX(M2329/L2329,0),1),0)</f>
        <v>0.58089132055766</v>
      </c>
      <c r="R2329" s="55" t="n">
        <f aca="false">IF(F2329&gt;0,N2329/(F2329/3600),0)</f>
        <v>4.15439715473648</v>
      </c>
    </row>
    <row r="2330" customFormat="false" ht="15" hidden="false" customHeight="false" outlineLevel="0" collapsed="false">
      <c r="A2330" s="0" t="s">
        <v>262</v>
      </c>
      <c r="B2330" s="52" t="n">
        <v>44485</v>
      </c>
      <c r="C2330" s="0" t="n">
        <v>86793.52</v>
      </c>
      <c r="D2330" s="0" t="n">
        <v>14973.663</v>
      </c>
      <c r="E2330" s="0" t="n">
        <v>71819.857</v>
      </c>
      <c r="F2330" s="0" t="n">
        <v>53923.676</v>
      </c>
      <c r="G2330" s="0" t="n">
        <v>48946.601</v>
      </c>
      <c r="H2330" s="0" t="n">
        <v>4977.075</v>
      </c>
      <c r="I2330" s="0" t="n">
        <v>2875.225</v>
      </c>
      <c r="J2330" s="0" t="n">
        <v>15020.956</v>
      </c>
      <c r="K2330" s="0" t="n">
        <v>88313.684195</v>
      </c>
      <c r="L2330" s="0" t="n">
        <v>84936</v>
      </c>
      <c r="M2330" s="0" t="n">
        <v>84078</v>
      </c>
      <c r="N2330" s="0" t="n">
        <v>70</v>
      </c>
      <c r="O2330" s="54" t="n">
        <f aca="false">YEAR(B2330)</f>
        <v>2021</v>
      </c>
      <c r="P2330" s="54" t="n">
        <f aca="false">IF(AND(E2330&gt;=14400,K2330&gt;0,L2330&gt;0),1,0)</f>
        <v>1</v>
      </c>
      <c r="Q2330" s="53" t="n">
        <f aca="false">IF(P2330=1,F2330/E2330*MIN(L2330/K2330,1)*MIN(MAX(M2330/L2330,0),1),0)</f>
        <v>0.714807868034029</v>
      </c>
      <c r="R2330" s="55" t="n">
        <f aca="false">IF(F2330&gt;0,N2330/(F2330/3600),0)</f>
        <v>4.67327190379232</v>
      </c>
    </row>
    <row r="2331" customFormat="false" ht="15" hidden="false" customHeight="false" outlineLevel="0" collapsed="false">
      <c r="A2331" s="0" t="s">
        <v>262</v>
      </c>
      <c r="B2331" s="52" t="n">
        <v>44486</v>
      </c>
      <c r="C2331" s="0" t="n">
        <v>75645.836</v>
      </c>
      <c r="D2331" s="0" t="n">
        <v>6606.328</v>
      </c>
      <c r="E2331" s="0" t="n">
        <v>69039.508</v>
      </c>
      <c r="F2331" s="0" t="n">
        <v>27076.633</v>
      </c>
      <c r="G2331" s="0" t="n">
        <v>21862.995</v>
      </c>
      <c r="H2331" s="0" t="n">
        <v>5213.638</v>
      </c>
      <c r="I2331" s="0" t="n">
        <v>442.974</v>
      </c>
      <c r="J2331" s="0" t="n">
        <v>41519.901</v>
      </c>
      <c r="K2331" s="0" t="n">
        <v>45431.5165777778</v>
      </c>
      <c r="L2331" s="0" t="n">
        <v>37763</v>
      </c>
      <c r="M2331" s="0" t="n">
        <v>37669</v>
      </c>
      <c r="N2331" s="0" t="n">
        <v>14</v>
      </c>
      <c r="O2331" s="54" t="n">
        <f aca="false">YEAR(B2331)</f>
        <v>2021</v>
      </c>
      <c r="P2331" s="54" t="n">
        <f aca="false">IF(AND(E2331&gt;=14400,K2331&gt;0,L2331&gt;0),1,0)</f>
        <v>1</v>
      </c>
      <c r="Q2331" s="53" t="n">
        <f aca="false">IF(P2331=1,F2331/E2331*MIN(L2331/K2331,1)*MIN(MAX(M2331/L2331,0),1),0)</f>
        <v>0.325180000473423</v>
      </c>
      <c r="R2331" s="55" t="n">
        <f aca="false">IF(F2331&gt;0,N2331/(F2331/3600),0)</f>
        <v>1.86138357749281</v>
      </c>
    </row>
    <row r="2332" customFormat="false" ht="15" hidden="false" customHeight="false" outlineLevel="0" collapsed="false">
      <c r="A2332" s="0" t="s">
        <v>262</v>
      </c>
      <c r="B2332" s="52" t="n">
        <v>44487</v>
      </c>
      <c r="C2332" s="0" t="n">
        <v>89194.394</v>
      </c>
      <c r="D2332" s="0" t="n">
        <v>11834.902</v>
      </c>
      <c r="E2332" s="0" t="n">
        <v>77359.492</v>
      </c>
      <c r="F2332" s="0" t="n">
        <v>45198.471</v>
      </c>
      <c r="G2332" s="0" t="n">
        <v>35965.546</v>
      </c>
      <c r="H2332" s="0" t="n">
        <v>9232.925</v>
      </c>
      <c r="I2332" s="0" t="n">
        <v>4531.839</v>
      </c>
      <c r="J2332" s="0" t="n">
        <v>27629.182</v>
      </c>
      <c r="K2332" s="0" t="n">
        <v>71219.3478741667</v>
      </c>
      <c r="L2332" s="0" t="n">
        <v>61857</v>
      </c>
      <c r="M2332" s="0" t="n">
        <v>60866</v>
      </c>
      <c r="N2332" s="0" t="n">
        <v>44</v>
      </c>
      <c r="O2332" s="54" t="n">
        <f aca="false">YEAR(B2332)</f>
        <v>2021</v>
      </c>
      <c r="P2332" s="54" t="n">
        <f aca="false">IF(AND(E2332&gt;=14400,K2332&gt;0,L2332&gt;0),1,0)</f>
        <v>1</v>
      </c>
      <c r="Q2332" s="53" t="n">
        <f aca="false">IF(P2332=1,F2332/E2332*MIN(L2332/K2332,1)*MIN(MAX(M2332/L2332,0),1),0)</f>
        <v>0.49932913056438</v>
      </c>
      <c r="R2332" s="55" t="n">
        <f aca="false">IF(F2332&gt;0,N2332/(F2332/3600),0)</f>
        <v>3.5045433284679</v>
      </c>
    </row>
    <row r="2333" customFormat="false" ht="15" hidden="false" customHeight="false" outlineLevel="0" collapsed="false">
      <c r="A2333" s="0" t="s">
        <v>262</v>
      </c>
      <c r="B2333" s="52" t="n">
        <v>44488</v>
      </c>
      <c r="C2333" s="0" t="n">
        <v>85675.83</v>
      </c>
      <c r="D2333" s="0" t="n">
        <v>3235.043</v>
      </c>
      <c r="E2333" s="0" t="n">
        <v>82440.787</v>
      </c>
      <c r="F2333" s="0" t="n">
        <v>46872.488</v>
      </c>
      <c r="G2333" s="0" t="n">
        <v>38738.715</v>
      </c>
      <c r="H2333" s="0" t="n">
        <v>8133.773</v>
      </c>
      <c r="I2333" s="0" t="n">
        <v>9153.886</v>
      </c>
      <c r="J2333" s="0" t="n">
        <v>26414.413</v>
      </c>
      <c r="K2333" s="0" t="n">
        <v>79564.0264819444</v>
      </c>
      <c r="L2333" s="0" t="n">
        <v>80128</v>
      </c>
      <c r="M2333" s="0" t="n">
        <v>79732</v>
      </c>
      <c r="N2333" s="0" t="n">
        <v>47</v>
      </c>
      <c r="O2333" s="54" t="n">
        <f aca="false">YEAR(B2333)</f>
        <v>2021</v>
      </c>
      <c r="P2333" s="54" t="n">
        <f aca="false">IF(AND(E2333&gt;=14400,K2333&gt;0,L2333&gt;0),1,0)</f>
        <v>1</v>
      </c>
      <c r="Q2333" s="53" t="n">
        <f aca="false">IF(P2333=1,F2333/E2333*MIN(L2333/K2333,1)*MIN(MAX(M2333/L2333,0),1),0)</f>
        <v>0.565749570312637</v>
      </c>
      <c r="R2333" s="55" t="n">
        <f aca="false">IF(F2333&gt;0,N2333/(F2333/3600),0)</f>
        <v>3.60979344642427</v>
      </c>
    </row>
    <row r="2334" customFormat="false" ht="15" hidden="false" customHeight="false" outlineLevel="0" collapsed="false">
      <c r="A2334" s="0" t="s">
        <v>262</v>
      </c>
      <c r="B2334" s="52" t="n">
        <v>44489</v>
      </c>
      <c r="C2334" s="0" t="n">
        <v>76568.464</v>
      </c>
      <c r="D2334" s="0" t="n">
        <v>15952.231</v>
      </c>
      <c r="E2334" s="0" t="n">
        <v>60616.233</v>
      </c>
      <c r="F2334" s="0" t="n">
        <v>43294.584</v>
      </c>
      <c r="G2334" s="0" t="n">
        <v>33419.748</v>
      </c>
      <c r="H2334" s="0" t="n">
        <v>9874.836</v>
      </c>
      <c r="I2334" s="0" t="n">
        <v>3867.261</v>
      </c>
      <c r="J2334" s="0" t="n">
        <v>13454.388</v>
      </c>
      <c r="K2334" s="0" t="n">
        <v>58899.5512436111</v>
      </c>
      <c r="L2334" s="0" t="n">
        <v>57380</v>
      </c>
      <c r="M2334" s="0" t="n">
        <v>57105</v>
      </c>
      <c r="N2334" s="0" t="n">
        <v>26</v>
      </c>
      <c r="O2334" s="54" t="n">
        <f aca="false">YEAR(B2334)</f>
        <v>2021</v>
      </c>
      <c r="P2334" s="54" t="n">
        <f aca="false">IF(AND(E2334&gt;=14400,K2334&gt;0,L2334&gt;0),1,0)</f>
        <v>1</v>
      </c>
      <c r="Q2334" s="53" t="n">
        <f aca="false">IF(P2334=1,F2334/E2334*MIN(L2334/K2334,1)*MIN(MAX(M2334/L2334,0),1),0)</f>
        <v>0.692479270745985</v>
      </c>
      <c r="R2334" s="55" t="n">
        <f aca="false">IF(F2334&gt;0,N2334/(F2334/3600),0)</f>
        <v>2.16193323395832</v>
      </c>
    </row>
    <row r="2335" customFormat="false" ht="15" hidden="false" customHeight="false" outlineLevel="0" collapsed="false">
      <c r="A2335" s="0" t="s">
        <v>262</v>
      </c>
      <c r="B2335" s="52" t="n">
        <v>44490</v>
      </c>
      <c r="C2335" s="0" t="n">
        <v>88794.869</v>
      </c>
      <c r="D2335" s="0" t="n">
        <v>10427.411</v>
      </c>
      <c r="E2335" s="0" t="n">
        <v>78367.458</v>
      </c>
      <c r="F2335" s="0" t="n">
        <v>60286.759</v>
      </c>
      <c r="G2335" s="0" t="n">
        <v>45306.088</v>
      </c>
      <c r="H2335" s="0" t="n">
        <v>14980.671</v>
      </c>
      <c r="I2335" s="0" t="n">
        <v>7222.658</v>
      </c>
      <c r="J2335" s="0" t="n">
        <v>10858.041</v>
      </c>
      <c r="K2335" s="0" t="n">
        <v>101228.573767222</v>
      </c>
      <c r="L2335" s="0" t="n">
        <v>78052</v>
      </c>
      <c r="M2335" s="0" t="n">
        <v>77448</v>
      </c>
      <c r="N2335" s="0" t="n">
        <v>30</v>
      </c>
      <c r="O2335" s="54" t="n">
        <f aca="false">YEAR(B2335)</f>
        <v>2021</v>
      </c>
      <c r="P2335" s="54" t="n">
        <f aca="false">IF(AND(E2335&gt;=14400,K2335&gt;0,L2335&gt;0),1,0)</f>
        <v>1</v>
      </c>
      <c r="Q2335" s="53" t="n">
        <f aca="false">IF(P2335=1,F2335/E2335*MIN(L2335/K2335,1)*MIN(MAX(M2335/L2335,0),1),0)</f>
        <v>0.588563419457578</v>
      </c>
      <c r="R2335" s="55" t="n">
        <f aca="false">IF(F2335&gt;0,N2335/(F2335/3600),0)</f>
        <v>1.79143814979339</v>
      </c>
    </row>
    <row r="2336" customFormat="false" ht="15" hidden="false" customHeight="false" outlineLevel="0" collapsed="false">
      <c r="A2336" s="0" t="s">
        <v>262</v>
      </c>
      <c r="B2336" s="52" t="n">
        <v>44491</v>
      </c>
      <c r="C2336" s="0" t="n">
        <v>84283.478</v>
      </c>
      <c r="D2336" s="0" t="n">
        <v>14160.882</v>
      </c>
      <c r="E2336" s="0" t="n">
        <v>70122.596</v>
      </c>
      <c r="F2336" s="0" t="n">
        <v>49084.553</v>
      </c>
      <c r="G2336" s="0" t="n">
        <v>39497.871</v>
      </c>
      <c r="H2336" s="0" t="n">
        <v>9586.682</v>
      </c>
      <c r="I2336" s="0" t="n">
        <v>3408.655</v>
      </c>
      <c r="J2336" s="0" t="n">
        <v>17629.388</v>
      </c>
      <c r="K2336" s="0" t="n">
        <v>80273.6441844445</v>
      </c>
      <c r="L2336" s="0" t="n">
        <v>68051</v>
      </c>
      <c r="M2336" s="0" t="n">
        <v>67855</v>
      </c>
      <c r="N2336" s="0" t="n">
        <v>40</v>
      </c>
      <c r="O2336" s="54" t="n">
        <f aca="false">YEAR(B2336)</f>
        <v>2021</v>
      </c>
      <c r="P2336" s="54" t="n">
        <f aca="false">IF(AND(E2336&gt;=14400,K2336&gt;0,L2336&gt;0),1,0)</f>
        <v>1</v>
      </c>
      <c r="Q2336" s="53" t="n">
        <f aca="false">IF(P2336=1,F2336/E2336*MIN(L2336/K2336,1)*MIN(MAX(M2336/L2336,0),1),0)</f>
        <v>0.591692044926368</v>
      </c>
      <c r="R2336" s="55" t="n">
        <f aca="false">IF(F2336&gt;0,N2336/(F2336/3600),0)</f>
        <v>2.93371317856353</v>
      </c>
    </row>
    <row r="2337" customFormat="false" ht="15" hidden="false" customHeight="false" outlineLevel="0" collapsed="false">
      <c r="A2337" s="0" t="s">
        <v>262</v>
      </c>
      <c r="B2337" s="52" t="n">
        <v>44492</v>
      </c>
      <c r="C2337" s="0" t="n">
        <v>120537.427</v>
      </c>
      <c r="D2337" s="0" t="n">
        <v>698.221</v>
      </c>
      <c r="E2337" s="0" t="n">
        <v>119839.206</v>
      </c>
      <c r="F2337" s="0" t="n">
        <v>33025.624</v>
      </c>
      <c r="G2337" s="0" t="n">
        <v>30509.639</v>
      </c>
      <c r="H2337" s="0" t="n">
        <v>2515.985</v>
      </c>
      <c r="I2337" s="0" t="n">
        <v>1849.158</v>
      </c>
      <c r="J2337" s="0" t="n">
        <v>84964.424</v>
      </c>
      <c r="K2337" s="0" t="n">
        <v>57991.1366011111</v>
      </c>
      <c r="L2337" s="0" t="n">
        <v>54213</v>
      </c>
      <c r="M2337" s="0" t="n">
        <v>53949</v>
      </c>
      <c r="N2337" s="0" t="n">
        <v>22</v>
      </c>
      <c r="O2337" s="54" t="n">
        <f aca="false">YEAR(B2337)</f>
        <v>2021</v>
      </c>
      <c r="P2337" s="54" t="n">
        <f aca="false">IF(AND(E2337&gt;=14400,K2337&gt;0,L2337&gt;0),1,0)</f>
        <v>1</v>
      </c>
      <c r="Q2337" s="53" t="n">
        <f aca="false">IF(P2337=1,F2337/E2337*MIN(L2337/K2337,1)*MIN(MAX(M2337/L2337,0),1),0)</f>
        <v>0.256373945673974</v>
      </c>
      <c r="R2337" s="55" t="n">
        <f aca="false">IF(F2337&gt;0,N2337/(F2337/3600),0)</f>
        <v>2.39813788226984</v>
      </c>
    </row>
    <row r="2338" customFormat="false" ht="15" hidden="false" customHeight="false" outlineLevel="0" collapsed="false">
      <c r="A2338" s="0" t="s">
        <v>262</v>
      </c>
      <c r="B2338" s="52" t="n">
        <v>44493</v>
      </c>
      <c r="C2338" s="0" t="n">
        <v>50333.532</v>
      </c>
      <c r="D2338" s="0" t="n">
        <v>0</v>
      </c>
      <c r="E2338" s="0" t="n">
        <v>50333.532</v>
      </c>
      <c r="F2338" s="0" t="n">
        <v>42904.12</v>
      </c>
      <c r="G2338" s="0" t="n">
        <v>37719.238</v>
      </c>
      <c r="H2338" s="0" t="n">
        <v>5184.882</v>
      </c>
      <c r="I2338" s="0" t="n">
        <v>5197.159</v>
      </c>
      <c r="J2338" s="0" t="n">
        <v>2232.253</v>
      </c>
      <c r="K2338" s="0" t="n">
        <v>74034.0297561111</v>
      </c>
      <c r="L2338" s="0" t="n">
        <v>66090</v>
      </c>
      <c r="M2338" s="0" t="n">
        <v>65977</v>
      </c>
      <c r="N2338" s="0" t="n">
        <v>40</v>
      </c>
      <c r="O2338" s="54" t="n">
        <f aca="false">YEAR(B2338)</f>
        <v>2021</v>
      </c>
      <c r="P2338" s="54" t="n">
        <f aca="false">IF(AND(E2338&gt;=14400,K2338&gt;0,L2338&gt;0),1,0)</f>
        <v>1</v>
      </c>
      <c r="Q2338" s="53" t="n">
        <f aca="false">IF(P2338=1,F2338/E2338*MIN(L2338/K2338,1)*MIN(MAX(M2338/L2338,0),1),0)</f>
        <v>0.759631152501347</v>
      </c>
      <c r="R2338" s="55" t="n">
        <f aca="false">IF(F2338&gt;0,N2338/(F2338/3600),0)</f>
        <v>3.35632102464752</v>
      </c>
    </row>
    <row r="2339" customFormat="false" ht="15" hidden="false" customHeight="false" outlineLevel="0" collapsed="false">
      <c r="A2339" s="0" t="s">
        <v>262</v>
      </c>
      <c r="B2339" s="52" t="n">
        <v>44494</v>
      </c>
      <c r="C2339" s="0" t="n">
        <v>87333.422</v>
      </c>
      <c r="D2339" s="0" t="n">
        <v>11278.928</v>
      </c>
      <c r="E2339" s="0" t="n">
        <v>76054.494</v>
      </c>
      <c r="F2339" s="0" t="n">
        <v>61102.795</v>
      </c>
      <c r="G2339" s="0" t="n">
        <v>52811.085</v>
      </c>
      <c r="H2339" s="0" t="n">
        <v>8291.71</v>
      </c>
      <c r="I2339" s="0" t="n">
        <v>1350.6</v>
      </c>
      <c r="J2339" s="0" t="n">
        <v>13601.099</v>
      </c>
      <c r="K2339" s="0" t="n">
        <v>104932.032954444</v>
      </c>
      <c r="L2339" s="0" t="n">
        <v>92696</v>
      </c>
      <c r="M2339" s="0" t="n">
        <v>92585</v>
      </c>
      <c r="N2339" s="0" t="n">
        <v>37</v>
      </c>
      <c r="O2339" s="54" t="n">
        <f aca="false">YEAR(B2339)</f>
        <v>2021</v>
      </c>
      <c r="P2339" s="54" t="n">
        <f aca="false">IF(AND(E2339&gt;=14400,K2339&gt;0,L2339&gt;0),1,0)</f>
        <v>1</v>
      </c>
      <c r="Q2339" s="53" t="n">
        <f aca="false">IF(P2339=1,F2339/E2339*MIN(L2339/K2339,1)*MIN(MAX(M2339/L2339,0),1),0)</f>
        <v>0.708873496420305</v>
      </c>
      <c r="R2339" s="55" t="n">
        <f aca="false">IF(F2339&gt;0,N2339/(F2339/3600),0)</f>
        <v>2.17993301288427</v>
      </c>
    </row>
    <row r="2340" customFormat="false" ht="15" hidden="false" customHeight="false" outlineLevel="0" collapsed="false">
      <c r="A2340" s="0" t="s">
        <v>262</v>
      </c>
      <c r="B2340" s="52" t="n">
        <v>44495</v>
      </c>
      <c r="C2340" s="0" t="n">
        <v>85367.363</v>
      </c>
      <c r="D2340" s="0" t="n">
        <v>15318.446</v>
      </c>
      <c r="E2340" s="0" t="n">
        <v>70048.917</v>
      </c>
      <c r="F2340" s="0" t="n">
        <v>52694.052</v>
      </c>
      <c r="G2340" s="0" t="n">
        <v>42429.153</v>
      </c>
      <c r="H2340" s="0" t="n">
        <v>10264.899</v>
      </c>
      <c r="I2340" s="0" t="n">
        <v>4072.828</v>
      </c>
      <c r="J2340" s="0" t="n">
        <v>13282.037</v>
      </c>
      <c r="K2340" s="0" t="n">
        <v>87226.9371405556</v>
      </c>
      <c r="L2340" s="0" t="n">
        <v>71587</v>
      </c>
      <c r="M2340" s="0" t="n">
        <v>71353</v>
      </c>
      <c r="N2340" s="0" t="n">
        <v>33</v>
      </c>
      <c r="O2340" s="54" t="n">
        <f aca="false">YEAR(B2340)</f>
        <v>2021</v>
      </c>
      <c r="P2340" s="54" t="n">
        <f aca="false">IF(AND(E2340&gt;=14400,K2340&gt;0,L2340&gt;0),1,0)</f>
        <v>1</v>
      </c>
      <c r="Q2340" s="53" t="n">
        <f aca="false">IF(P2340=1,F2340/E2340*MIN(L2340/K2340,1)*MIN(MAX(M2340/L2340,0),1),0)</f>
        <v>0.615349404897893</v>
      </c>
      <c r="R2340" s="55" t="n">
        <f aca="false">IF(F2340&gt;0,N2340/(F2340/3600),0)</f>
        <v>2.25452390717647</v>
      </c>
    </row>
    <row r="2341" customFormat="false" ht="15" hidden="false" customHeight="false" outlineLevel="0" collapsed="false">
      <c r="A2341" s="0" t="s">
        <v>262</v>
      </c>
      <c r="B2341" s="52" t="n">
        <v>44496</v>
      </c>
      <c r="C2341" s="0" t="n">
        <v>85253.225</v>
      </c>
      <c r="D2341" s="0" t="n">
        <v>14258.199</v>
      </c>
      <c r="E2341" s="0" t="n">
        <v>70995.026</v>
      </c>
      <c r="F2341" s="0" t="n">
        <v>53890.913</v>
      </c>
      <c r="G2341" s="0" t="n">
        <v>44969.627</v>
      </c>
      <c r="H2341" s="0" t="n">
        <v>8921.286</v>
      </c>
      <c r="I2341" s="0" t="n">
        <v>5627.908</v>
      </c>
      <c r="J2341" s="0" t="n">
        <v>11476.205</v>
      </c>
      <c r="K2341" s="0" t="n">
        <v>91367.5539183333</v>
      </c>
      <c r="L2341" s="0" t="n">
        <v>77434</v>
      </c>
      <c r="M2341" s="0" t="n">
        <v>77386</v>
      </c>
      <c r="N2341" s="0" t="n">
        <v>40</v>
      </c>
      <c r="O2341" s="54" t="n">
        <f aca="false">YEAR(B2341)</f>
        <v>2021</v>
      </c>
      <c r="P2341" s="54" t="n">
        <f aca="false">IF(AND(E2341&gt;=14400,K2341&gt;0,L2341&gt;0),1,0)</f>
        <v>1</v>
      </c>
      <c r="Q2341" s="53" t="n">
        <f aca="false">IF(P2341=1,F2341/E2341*MIN(L2341/K2341,1)*MIN(MAX(M2341/L2341,0),1),0)</f>
        <v>0.642921604055982</v>
      </c>
      <c r="R2341" s="55" t="n">
        <f aca="false">IF(F2341&gt;0,N2341/(F2341/3600),0)</f>
        <v>2.67206458350409</v>
      </c>
    </row>
    <row r="2342" customFormat="false" ht="15" hidden="false" customHeight="false" outlineLevel="0" collapsed="false">
      <c r="A2342" s="0" t="s">
        <v>262</v>
      </c>
      <c r="B2342" s="52" t="n">
        <v>44497</v>
      </c>
      <c r="C2342" s="0" t="n">
        <v>86523.906</v>
      </c>
      <c r="D2342" s="0" t="n">
        <v>11236.907</v>
      </c>
      <c r="E2342" s="0" t="n">
        <v>75286.999</v>
      </c>
      <c r="F2342" s="0" t="n">
        <v>60971.38</v>
      </c>
      <c r="G2342" s="0" t="n">
        <v>52612.797</v>
      </c>
      <c r="H2342" s="0" t="n">
        <v>8358.583</v>
      </c>
      <c r="I2342" s="0" t="n">
        <v>4671.037</v>
      </c>
      <c r="J2342" s="0" t="n">
        <v>9644.582</v>
      </c>
      <c r="K2342" s="0" t="n">
        <v>108034.250422222</v>
      </c>
      <c r="L2342" s="0" t="n">
        <v>94227</v>
      </c>
      <c r="M2342" s="0" t="n">
        <v>94143</v>
      </c>
      <c r="N2342" s="0" t="n">
        <v>60</v>
      </c>
      <c r="O2342" s="54" t="n">
        <f aca="false">YEAR(B2342)</f>
        <v>2021</v>
      </c>
      <c r="P2342" s="54" t="n">
        <f aca="false">IF(AND(E2342&gt;=14400,K2342&gt;0,L2342&gt;0),1,0)</f>
        <v>1</v>
      </c>
      <c r="Q2342" s="53" t="n">
        <f aca="false">IF(P2342=1,F2342/E2342*MIN(L2342/K2342,1)*MIN(MAX(M2342/L2342,0),1),0)</f>
        <v>0.705720298605176</v>
      </c>
      <c r="R2342" s="55" t="n">
        <f aca="false">IF(F2342&gt;0,N2342/(F2342/3600),0)</f>
        <v>3.54264574625013</v>
      </c>
    </row>
    <row r="2343" customFormat="false" ht="15" hidden="false" customHeight="false" outlineLevel="0" collapsed="false">
      <c r="A2343" s="0" t="s">
        <v>262</v>
      </c>
      <c r="B2343" s="52" t="n">
        <v>44498</v>
      </c>
      <c r="C2343" s="0" t="n">
        <v>91353.205</v>
      </c>
      <c r="D2343" s="0" t="n">
        <v>2275.604</v>
      </c>
      <c r="E2343" s="0" t="n">
        <v>89077.601</v>
      </c>
      <c r="F2343" s="0" t="n">
        <v>77635.336</v>
      </c>
      <c r="G2343" s="0" t="n">
        <v>60697.346</v>
      </c>
      <c r="H2343" s="0" t="n">
        <v>16937.99</v>
      </c>
      <c r="I2343" s="0" t="n">
        <v>5598.827</v>
      </c>
      <c r="J2343" s="0" t="n">
        <v>5843.438</v>
      </c>
      <c r="K2343" s="0" t="n">
        <v>130564.587451389</v>
      </c>
      <c r="L2343" s="0" t="n">
        <v>106569</v>
      </c>
      <c r="M2343" s="0" t="n">
        <v>106510</v>
      </c>
      <c r="N2343" s="0" t="n">
        <v>44</v>
      </c>
      <c r="O2343" s="54" t="n">
        <f aca="false">YEAR(B2343)</f>
        <v>2021</v>
      </c>
      <c r="P2343" s="54" t="n">
        <f aca="false">IF(AND(E2343&gt;=14400,K2343&gt;0,L2343&gt;0),1,0)</f>
        <v>1</v>
      </c>
      <c r="Q2343" s="53" t="n">
        <f aca="false">IF(P2343=1,F2343/E2343*MIN(L2343/K2343,1)*MIN(MAX(M2343/L2343,0),1),0)</f>
        <v>0.710977584298621</v>
      </c>
      <c r="R2343" s="55" t="n">
        <f aca="false">IF(F2343&gt;0,N2343/(F2343/3600),0)</f>
        <v>2.04030803705158</v>
      </c>
    </row>
    <row r="2344" customFormat="false" ht="15" hidden="false" customHeight="false" outlineLevel="0" collapsed="false">
      <c r="A2344" s="0" t="s">
        <v>262</v>
      </c>
      <c r="B2344" s="52" t="n">
        <v>44499</v>
      </c>
      <c r="C2344" s="0" t="n">
        <v>81165.122</v>
      </c>
      <c r="D2344" s="0" t="n">
        <v>16023.767</v>
      </c>
      <c r="E2344" s="0" t="n">
        <v>65141.355</v>
      </c>
      <c r="F2344" s="0" t="n">
        <v>46711.168</v>
      </c>
      <c r="G2344" s="0" t="n">
        <v>40251.56</v>
      </c>
      <c r="H2344" s="0" t="n">
        <v>6459.608</v>
      </c>
      <c r="I2344" s="0" t="n">
        <v>2046.514</v>
      </c>
      <c r="J2344" s="0" t="n">
        <v>16383.673</v>
      </c>
      <c r="K2344" s="0" t="n">
        <v>81095.2097561111</v>
      </c>
      <c r="L2344" s="0" t="n">
        <v>71148</v>
      </c>
      <c r="M2344" s="0" t="n">
        <v>71113</v>
      </c>
      <c r="N2344" s="0" t="n">
        <v>30</v>
      </c>
      <c r="O2344" s="54" t="n">
        <f aca="false">YEAR(B2344)</f>
        <v>2021</v>
      </c>
      <c r="P2344" s="54" t="n">
        <f aca="false">IF(AND(E2344&gt;=14400,K2344&gt;0,L2344&gt;0),1,0)</f>
        <v>1</v>
      </c>
      <c r="Q2344" s="53" t="n">
        <f aca="false">IF(P2344=1,F2344/E2344*MIN(L2344/K2344,1)*MIN(MAX(M2344/L2344,0),1),0)</f>
        <v>0.628807535658818</v>
      </c>
      <c r="R2344" s="55" t="n">
        <f aca="false">IF(F2344&gt;0,N2344/(F2344/3600),0)</f>
        <v>2.31208091392619</v>
      </c>
    </row>
    <row r="2345" customFormat="false" ht="15" hidden="false" customHeight="false" outlineLevel="0" collapsed="false">
      <c r="A2345" s="0" t="s">
        <v>262</v>
      </c>
      <c r="B2345" s="52" t="n">
        <v>44500</v>
      </c>
      <c r="C2345" s="0" t="n">
        <v>83583.885</v>
      </c>
      <c r="D2345" s="0" t="n">
        <v>15804.249</v>
      </c>
      <c r="E2345" s="0" t="n">
        <v>67779.636</v>
      </c>
      <c r="F2345" s="0" t="n">
        <v>38532.807</v>
      </c>
      <c r="G2345" s="0" t="n">
        <v>35377.953</v>
      </c>
      <c r="H2345" s="0" t="n">
        <v>3154.854</v>
      </c>
      <c r="I2345" s="0" t="n">
        <v>1008.321</v>
      </c>
      <c r="J2345" s="0" t="n">
        <v>28238.508</v>
      </c>
      <c r="K2345" s="0" t="n">
        <v>65646.716525</v>
      </c>
      <c r="L2345" s="0" t="n">
        <v>63433</v>
      </c>
      <c r="M2345" s="0" t="n">
        <v>63401</v>
      </c>
      <c r="N2345" s="0" t="n">
        <v>10</v>
      </c>
      <c r="O2345" s="54" t="n">
        <f aca="false">YEAR(B2345)</f>
        <v>2021</v>
      </c>
      <c r="P2345" s="54" t="n">
        <f aca="false">IF(AND(E2345&gt;=14400,K2345&gt;0,L2345&gt;0),1,0)</f>
        <v>1</v>
      </c>
      <c r="Q2345" s="53" t="n">
        <f aca="false">IF(P2345=1,F2345/E2345*MIN(L2345/K2345,1)*MIN(MAX(M2345/L2345,0),1),0)</f>
        <v>0.549053310199433</v>
      </c>
      <c r="R2345" s="55" t="n">
        <f aca="false">IF(F2345&gt;0,N2345/(F2345/3600),0)</f>
        <v>0.934268816699495</v>
      </c>
    </row>
    <row r="2346" customFormat="false" ht="15" hidden="false" customHeight="false" outlineLevel="0" collapsed="false">
      <c r="A2346" s="0" t="s">
        <v>262</v>
      </c>
      <c r="B2346" s="52" t="n">
        <v>44501</v>
      </c>
      <c r="C2346" s="0" t="n">
        <v>86691.016</v>
      </c>
      <c r="D2346" s="0" t="n">
        <v>15155.488</v>
      </c>
      <c r="E2346" s="0" t="n">
        <v>71535.528</v>
      </c>
      <c r="F2346" s="0" t="n">
        <v>58635.789</v>
      </c>
      <c r="G2346" s="0" t="n">
        <v>48728.082</v>
      </c>
      <c r="H2346" s="0" t="n">
        <v>9907.707</v>
      </c>
      <c r="I2346" s="0" t="n">
        <v>3171.219</v>
      </c>
      <c r="J2346" s="0" t="n">
        <v>9728.52</v>
      </c>
      <c r="K2346" s="0" t="n">
        <v>100794.043960833</v>
      </c>
      <c r="L2346" s="0" t="n">
        <v>86379</v>
      </c>
      <c r="M2346" s="0" t="n">
        <v>86321</v>
      </c>
      <c r="N2346" s="0" t="n">
        <v>58</v>
      </c>
      <c r="O2346" s="54" t="n">
        <f aca="false">YEAR(B2346)</f>
        <v>2021</v>
      </c>
      <c r="P2346" s="54" t="n">
        <f aca="false">IF(AND(E2346&gt;=14400,K2346&gt;0,L2346&gt;0),1,0)</f>
        <v>1</v>
      </c>
      <c r="Q2346" s="53" t="n">
        <f aca="false">IF(P2346=1,F2346/E2346*MIN(L2346/K2346,1)*MIN(MAX(M2346/L2346,0),1),0)</f>
        <v>0.701976509363164</v>
      </c>
      <c r="R2346" s="55" t="n">
        <f aca="false">IF(F2346&gt;0,N2346/(F2346/3600),0)</f>
        <v>3.56096513001641</v>
      </c>
    </row>
    <row r="2347" customFormat="false" ht="15" hidden="false" customHeight="false" outlineLevel="0" collapsed="false">
      <c r="A2347" s="0" t="s">
        <v>262</v>
      </c>
      <c r="B2347" s="52" t="n">
        <v>44502</v>
      </c>
      <c r="C2347" s="0" t="n">
        <v>85921.276</v>
      </c>
      <c r="D2347" s="0" t="n">
        <v>14918.206</v>
      </c>
      <c r="E2347" s="0" t="n">
        <v>71003.07</v>
      </c>
      <c r="F2347" s="0" t="n">
        <v>59058.881</v>
      </c>
      <c r="G2347" s="0" t="n">
        <v>50538.36</v>
      </c>
      <c r="H2347" s="0" t="n">
        <v>8520.521</v>
      </c>
      <c r="I2347" s="0" t="n">
        <v>1673.49</v>
      </c>
      <c r="J2347" s="0" t="n">
        <v>10270.699</v>
      </c>
      <c r="K2347" s="0" t="n">
        <v>100416.118149444</v>
      </c>
      <c r="L2347" s="0" t="n">
        <v>86663</v>
      </c>
      <c r="M2347" s="0" t="n">
        <v>86577</v>
      </c>
      <c r="N2347" s="0" t="n">
        <v>27</v>
      </c>
      <c r="O2347" s="54" t="n">
        <f aca="false">YEAR(B2347)</f>
        <v>2021</v>
      </c>
      <c r="P2347" s="54" t="n">
        <f aca="false">IF(AND(E2347&gt;=14400,K2347&gt;0,L2347&gt;0),1,0)</f>
        <v>1</v>
      </c>
      <c r="Q2347" s="53" t="n">
        <f aca="false">IF(P2347=1,F2347/E2347*MIN(L2347/K2347,1)*MIN(MAX(M2347/L2347,0),1),0)</f>
        <v>0.717145357666793</v>
      </c>
      <c r="R2347" s="55" t="n">
        <f aca="false">IF(F2347&gt;0,N2347/(F2347/3600),0)</f>
        <v>1.64581513151257</v>
      </c>
    </row>
    <row r="2348" customFormat="false" ht="15" hidden="false" customHeight="false" outlineLevel="0" collapsed="false">
      <c r="A2348" s="0" t="s">
        <v>262</v>
      </c>
      <c r="B2348" s="52" t="n">
        <v>44503</v>
      </c>
      <c r="C2348" s="0" t="n">
        <v>94837.799</v>
      </c>
      <c r="D2348" s="0" t="n">
        <v>16161.307</v>
      </c>
      <c r="E2348" s="0" t="n">
        <v>78676.492</v>
      </c>
      <c r="F2348" s="0" t="n">
        <v>64936.943</v>
      </c>
      <c r="G2348" s="0" t="n">
        <v>59554.933</v>
      </c>
      <c r="H2348" s="0" t="n">
        <v>5382.01</v>
      </c>
      <c r="I2348" s="0" t="n">
        <v>1607.828</v>
      </c>
      <c r="J2348" s="0" t="n">
        <v>12131.721</v>
      </c>
      <c r="K2348" s="0" t="n">
        <v>112211.879011667</v>
      </c>
      <c r="L2348" s="0" t="n">
        <v>104677</v>
      </c>
      <c r="M2348" s="0" t="n">
        <v>104579</v>
      </c>
      <c r="N2348" s="0" t="n">
        <v>28</v>
      </c>
      <c r="O2348" s="54" t="n">
        <f aca="false">YEAR(B2348)</f>
        <v>2021</v>
      </c>
      <c r="P2348" s="54" t="n">
        <f aca="false">IF(AND(E2348&gt;=14400,K2348&gt;0,L2348&gt;0),1,0)</f>
        <v>1</v>
      </c>
      <c r="Q2348" s="53" t="n">
        <f aca="false">IF(P2348=1,F2348/E2348*MIN(L2348/K2348,1)*MIN(MAX(M2348/L2348,0),1),0)</f>
        <v>0.769223426632139</v>
      </c>
      <c r="R2348" s="55" t="n">
        <f aca="false">IF(F2348&gt;0,N2348/(F2348/3600),0)</f>
        <v>1.55227510478896</v>
      </c>
    </row>
    <row r="2349" customFormat="false" ht="15" hidden="false" customHeight="false" outlineLevel="0" collapsed="false">
      <c r="A2349" s="0" t="s">
        <v>262</v>
      </c>
      <c r="B2349" s="52" t="n">
        <v>44504</v>
      </c>
      <c r="C2349" s="0" t="n">
        <v>78451.045</v>
      </c>
      <c r="D2349" s="0" t="n">
        <v>16588.018</v>
      </c>
      <c r="E2349" s="0" t="n">
        <v>61863.027</v>
      </c>
      <c r="F2349" s="0" t="n">
        <v>49288.347</v>
      </c>
      <c r="G2349" s="0" t="n">
        <v>43799.433</v>
      </c>
      <c r="H2349" s="0" t="n">
        <v>5488.914</v>
      </c>
      <c r="I2349" s="0" t="n">
        <v>2983.651</v>
      </c>
      <c r="J2349" s="0" t="n">
        <v>9591.029</v>
      </c>
      <c r="K2349" s="0" t="n">
        <v>85925.6677927778</v>
      </c>
      <c r="L2349" s="0" t="n">
        <v>77783</v>
      </c>
      <c r="M2349" s="0" t="n">
        <v>77622</v>
      </c>
      <c r="N2349" s="0" t="n">
        <v>19</v>
      </c>
      <c r="O2349" s="54" t="n">
        <f aca="false">YEAR(B2349)</f>
        <v>2021</v>
      </c>
      <c r="P2349" s="54" t="n">
        <f aca="false">IF(AND(E2349&gt;=14400,K2349&gt;0,L2349&gt;0),1,0)</f>
        <v>1</v>
      </c>
      <c r="Q2349" s="53" t="n">
        <f aca="false">IF(P2349=1,F2349/E2349*MIN(L2349/K2349,1)*MIN(MAX(M2349/L2349,0),1),0)</f>
        <v>0.719738938926833</v>
      </c>
      <c r="R2349" s="55" t="n">
        <f aca="false">IF(F2349&gt;0,N2349/(F2349/3600),0)</f>
        <v>1.38775195686721</v>
      </c>
    </row>
    <row r="2350" customFormat="false" ht="15" hidden="false" customHeight="false" outlineLevel="0" collapsed="false">
      <c r="A2350" s="0" t="s">
        <v>262</v>
      </c>
      <c r="B2350" s="52" t="n">
        <v>44505</v>
      </c>
      <c r="C2350" s="0" t="n">
        <v>81121.631</v>
      </c>
      <c r="D2350" s="0" t="n">
        <v>13952.762</v>
      </c>
      <c r="E2350" s="0" t="n">
        <v>67168.869</v>
      </c>
      <c r="F2350" s="0" t="n">
        <v>48000.764</v>
      </c>
      <c r="G2350" s="0" t="n">
        <v>36156.522</v>
      </c>
      <c r="H2350" s="0" t="n">
        <v>11844.242</v>
      </c>
      <c r="I2350" s="0" t="n">
        <v>1942.674</v>
      </c>
      <c r="J2350" s="0" t="n">
        <v>17225.431</v>
      </c>
      <c r="K2350" s="0" t="n">
        <v>82734.6790438889</v>
      </c>
      <c r="L2350" s="0" t="n">
        <v>63085</v>
      </c>
      <c r="M2350" s="0" t="n">
        <v>62881</v>
      </c>
      <c r="N2350" s="0" t="n">
        <v>32</v>
      </c>
      <c r="O2350" s="54" t="n">
        <f aca="false">YEAR(B2350)</f>
        <v>2021</v>
      </c>
      <c r="P2350" s="54" t="n">
        <f aca="false">IF(AND(E2350&gt;=14400,K2350&gt;0,L2350&gt;0),1,0)</f>
        <v>1</v>
      </c>
      <c r="Q2350" s="53" t="n">
        <f aca="false">IF(P2350=1,F2350/E2350*MIN(L2350/K2350,1)*MIN(MAX(M2350/L2350,0),1),0)</f>
        <v>0.543140224463572</v>
      </c>
      <c r="R2350" s="55" t="n">
        <f aca="false">IF(F2350&gt;0,N2350/(F2350/3600),0)</f>
        <v>2.39996180060801</v>
      </c>
    </row>
    <row r="2351" customFormat="false" ht="15" hidden="false" customHeight="false" outlineLevel="0" collapsed="false">
      <c r="A2351" s="0" t="s">
        <v>262</v>
      </c>
      <c r="B2351" s="52" t="n">
        <v>44506</v>
      </c>
      <c r="C2351" s="0" t="n">
        <v>88080.058</v>
      </c>
      <c r="D2351" s="0" t="n">
        <v>15324.435</v>
      </c>
      <c r="E2351" s="0" t="n">
        <v>72755.623</v>
      </c>
      <c r="F2351" s="0" t="n">
        <v>38889.854</v>
      </c>
      <c r="G2351" s="0" t="n">
        <v>32447.431</v>
      </c>
      <c r="H2351" s="0" t="n">
        <v>6442.423</v>
      </c>
      <c r="I2351" s="0" t="n">
        <v>1083.066</v>
      </c>
      <c r="J2351" s="0" t="n">
        <v>32782.703</v>
      </c>
      <c r="K2351" s="0" t="n">
        <v>62943.3462169445</v>
      </c>
      <c r="L2351" s="0" t="n">
        <v>56074</v>
      </c>
      <c r="M2351" s="0" t="n">
        <v>56043</v>
      </c>
      <c r="N2351" s="0" t="n">
        <v>24</v>
      </c>
      <c r="O2351" s="54" t="n">
        <f aca="false">YEAR(B2351)</f>
        <v>2021</v>
      </c>
      <c r="P2351" s="54" t="n">
        <f aca="false">IF(AND(E2351&gt;=14400,K2351&gt;0,L2351&gt;0),1,0)</f>
        <v>1</v>
      </c>
      <c r="Q2351" s="53" t="n">
        <f aca="false">IF(P2351=1,F2351/E2351*MIN(L2351/K2351,1)*MIN(MAX(M2351/L2351,0),1),0)</f>
        <v>0.475928044419535</v>
      </c>
      <c r="R2351" s="55" t="n">
        <f aca="false">IF(F2351&gt;0,N2351/(F2351/3600),0)</f>
        <v>2.22165915048177</v>
      </c>
    </row>
    <row r="2352" customFormat="false" ht="15" hidden="false" customHeight="false" outlineLevel="0" collapsed="false">
      <c r="A2352" s="0" t="s">
        <v>262</v>
      </c>
      <c r="B2352" s="52" t="n">
        <v>44507</v>
      </c>
      <c r="C2352" s="0" t="n">
        <v>88432.16</v>
      </c>
      <c r="D2352" s="0" t="n">
        <v>14724.94</v>
      </c>
      <c r="E2352" s="0" t="n">
        <v>73707.22</v>
      </c>
      <c r="F2352" s="0" t="n">
        <v>57995.732</v>
      </c>
      <c r="G2352" s="0" t="n">
        <v>52943.685</v>
      </c>
      <c r="H2352" s="0" t="n">
        <v>5052.047</v>
      </c>
      <c r="I2352" s="0" t="n">
        <v>542.064</v>
      </c>
      <c r="J2352" s="0" t="n">
        <v>15169.424</v>
      </c>
      <c r="K2352" s="0" t="n">
        <v>98004.9113461111</v>
      </c>
      <c r="L2352" s="0" t="n">
        <v>90236</v>
      </c>
      <c r="M2352" s="0" t="n">
        <v>89911</v>
      </c>
      <c r="N2352" s="0" t="n">
        <v>18</v>
      </c>
      <c r="O2352" s="54" t="n">
        <f aca="false">YEAR(B2352)</f>
        <v>2021</v>
      </c>
      <c r="P2352" s="54" t="n">
        <f aca="false">IF(AND(E2352&gt;=14400,K2352&gt;0,L2352&gt;0),1,0)</f>
        <v>1</v>
      </c>
      <c r="Q2352" s="53" t="n">
        <f aca="false">IF(P2352=1,F2352/E2352*MIN(L2352/K2352,1)*MIN(MAX(M2352/L2352,0),1),0)</f>
        <v>0.721856698363113</v>
      </c>
      <c r="R2352" s="55" t="n">
        <f aca="false">IF(F2352&gt;0,N2352/(F2352/3600),0)</f>
        <v>1.11732359891587</v>
      </c>
    </row>
    <row r="2353" customFormat="false" ht="15" hidden="false" customHeight="false" outlineLevel="0" collapsed="false">
      <c r="A2353" s="0" t="s">
        <v>262</v>
      </c>
      <c r="B2353" s="52" t="n">
        <v>44508</v>
      </c>
      <c r="C2353" s="0" t="n">
        <v>73499.609</v>
      </c>
      <c r="D2353" s="0" t="n">
        <v>7655.181</v>
      </c>
      <c r="E2353" s="0" t="n">
        <v>65844.428</v>
      </c>
      <c r="F2353" s="0" t="n">
        <v>50177.461</v>
      </c>
      <c r="G2353" s="0" t="n">
        <v>39428.764</v>
      </c>
      <c r="H2353" s="0" t="n">
        <v>10748.697</v>
      </c>
      <c r="I2353" s="0" t="n">
        <v>1326.197</v>
      </c>
      <c r="J2353" s="0" t="n">
        <v>14340.77</v>
      </c>
      <c r="K2353" s="0" t="n">
        <v>79180.6295569445</v>
      </c>
      <c r="L2353" s="0" t="n">
        <v>64841</v>
      </c>
      <c r="M2353" s="0" t="n">
        <v>64455</v>
      </c>
      <c r="N2353" s="0" t="n">
        <v>44</v>
      </c>
      <c r="O2353" s="54" t="n">
        <f aca="false">YEAR(B2353)</f>
        <v>2021</v>
      </c>
      <c r="P2353" s="54" t="n">
        <f aca="false">IF(AND(E2353&gt;=14400,K2353&gt;0,L2353&gt;0),1,0)</f>
        <v>1</v>
      </c>
      <c r="Q2353" s="53" t="n">
        <f aca="false">IF(P2353=1,F2353/E2353*MIN(L2353/K2353,1)*MIN(MAX(M2353/L2353,0),1),0)</f>
        <v>0.620336471019296</v>
      </c>
      <c r="R2353" s="55" t="n">
        <f aca="false">IF(F2353&gt;0,N2353/(F2353/3600),0)</f>
        <v>3.15679583707912</v>
      </c>
    </row>
    <row r="2354" customFormat="false" ht="15" hidden="false" customHeight="false" outlineLevel="0" collapsed="false">
      <c r="A2354" s="0" t="s">
        <v>262</v>
      </c>
      <c r="B2354" s="52" t="n">
        <v>44509</v>
      </c>
      <c r="C2354" s="0" t="n">
        <v>76321.055</v>
      </c>
      <c r="D2354" s="0" t="n">
        <v>14520.675</v>
      </c>
      <c r="E2354" s="0" t="n">
        <v>61800.38</v>
      </c>
      <c r="F2354" s="0" t="n">
        <v>44880.248</v>
      </c>
      <c r="G2354" s="0" t="n">
        <v>35271.421</v>
      </c>
      <c r="H2354" s="0" t="n">
        <v>9608.827</v>
      </c>
      <c r="I2354" s="0" t="n">
        <v>1081.076</v>
      </c>
      <c r="J2354" s="0" t="n">
        <v>15839.056</v>
      </c>
      <c r="K2354" s="0" t="n">
        <v>73771.9646597222</v>
      </c>
      <c r="L2354" s="0" t="n">
        <v>58539</v>
      </c>
      <c r="M2354" s="0" t="n">
        <v>58317</v>
      </c>
      <c r="N2354" s="0" t="n">
        <v>25</v>
      </c>
      <c r="O2354" s="54" t="n">
        <f aca="false">YEAR(B2354)</f>
        <v>2021</v>
      </c>
      <c r="P2354" s="54" t="n">
        <f aca="false">IF(AND(E2354&gt;=14400,K2354&gt;0,L2354&gt;0),1,0)</f>
        <v>1</v>
      </c>
      <c r="Q2354" s="53" t="n">
        <f aca="false">IF(P2354=1,F2354/E2354*MIN(L2354/K2354,1)*MIN(MAX(M2354/L2354,0),1),0)</f>
        <v>0.574074065513421</v>
      </c>
      <c r="R2354" s="55" t="n">
        <f aca="false">IF(F2354&gt;0,N2354/(F2354/3600),0)</f>
        <v>2.00533651240073</v>
      </c>
    </row>
    <row r="2355" customFormat="false" ht="15" hidden="false" customHeight="false" outlineLevel="0" collapsed="false">
      <c r="A2355" s="0" t="s">
        <v>262</v>
      </c>
      <c r="B2355" s="52" t="n">
        <v>44510</v>
      </c>
      <c r="C2355" s="0" t="n">
        <v>90737.851</v>
      </c>
      <c r="D2355" s="0" t="n">
        <v>17428.077</v>
      </c>
      <c r="E2355" s="0" t="n">
        <v>73309.774</v>
      </c>
      <c r="F2355" s="0" t="n">
        <v>57332.032</v>
      </c>
      <c r="G2355" s="0" t="n">
        <v>49928.747</v>
      </c>
      <c r="H2355" s="0" t="n">
        <v>7403.285</v>
      </c>
      <c r="I2355" s="0" t="n">
        <v>1866.469</v>
      </c>
      <c r="J2355" s="0" t="n">
        <v>14111.273</v>
      </c>
      <c r="K2355" s="0" t="n">
        <v>99274.4403930556</v>
      </c>
      <c r="L2355" s="0" t="n">
        <v>87505</v>
      </c>
      <c r="M2355" s="0" t="n">
        <v>87085</v>
      </c>
      <c r="N2355" s="0" t="n">
        <v>29</v>
      </c>
      <c r="O2355" s="54" t="n">
        <f aca="false">YEAR(B2355)</f>
        <v>2021</v>
      </c>
      <c r="P2355" s="54" t="n">
        <f aca="false">IF(AND(E2355&gt;=14400,K2355&gt;0,L2355&gt;0),1,0)</f>
        <v>1</v>
      </c>
      <c r="Q2355" s="53" t="n">
        <f aca="false">IF(P2355=1,F2355/E2355*MIN(L2355/K2355,1)*MIN(MAX(M2355/L2355,0),1),0)</f>
        <v>0.686027243080961</v>
      </c>
      <c r="R2355" s="55" t="n">
        <f aca="false">IF(F2355&gt;0,N2355/(F2355/3600),0)</f>
        <v>1.82097156437783</v>
      </c>
    </row>
    <row r="2356" customFormat="false" ht="15" hidden="false" customHeight="false" outlineLevel="0" collapsed="false">
      <c r="A2356" s="0" t="s">
        <v>262</v>
      </c>
      <c r="B2356" s="52" t="n">
        <v>44511</v>
      </c>
      <c r="C2356" s="0" t="n">
        <v>80924.955</v>
      </c>
      <c r="D2356" s="0" t="n">
        <v>11984.669</v>
      </c>
      <c r="E2356" s="0" t="n">
        <v>68940.286</v>
      </c>
      <c r="F2356" s="0" t="n">
        <v>50475.36</v>
      </c>
      <c r="G2356" s="0" t="n">
        <v>46161.516</v>
      </c>
      <c r="H2356" s="0" t="n">
        <v>4313.844</v>
      </c>
      <c r="I2356" s="0" t="n">
        <v>1257.289</v>
      </c>
      <c r="J2356" s="0" t="n">
        <v>17207.637</v>
      </c>
      <c r="K2356" s="0" t="n">
        <v>82723.177375</v>
      </c>
      <c r="L2356" s="0" t="n">
        <v>80372</v>
      </c>
      <c r="M2356" s="0" t="n">
        <v>80101</v>
      </c>
      <c r="N2356" s="0" t="n">
        <v>23</v>
      </c>
      <c r="O2356" s="54" t="n">
        <f aca="false">YEAR(B2356)</f>
        <v>2021</v>
      </c>
      <c r="P2356" s="54" t="n">
        <f aca="false">IF(AND(E2356&gt;=14400,K2356&gt;0,L2356&gt;0),1,0)</f>
        <v>1</v>
      </c>
      <c r="Q2356" s="53" t="n">
        <f aca="false">IF(P2356=1,F2356/E2356*MIN(L2356/K2356,1)*MIN(MAX(M2356/L2356,0),1),0)</f>
        <v>0.708952396795721</v>
      </c>
      <c r="R2356" s="55" t="n">
        <f aca="false">IF(F2356&gt;0,N2356/(F2356/3600),0)</f>
        <v>1.64040434778474</v>
      </c>
    </row>
    <row r="2357" customFormat="false" ht="15" hidden="false" customHeight="false" outlineLevel="0" collapsed="false">
      <c r="A2357" s="0" t="s">
        <v>262</v>
      </c>
      <c r="B2357" s="52" t="n">
        <v>44512</v>
      </c>
      <c r="C2357" s="0" t="n">
        <v>87843.751</v>
      </c>
      <c r="D2357" s="0" t="n">
        <v>10685.16</v>
      </c>
      <c r="E2357" s="0" t="n">
        <v>77158.591</v>
      </c>
      <c r="F2357" s="0" t="n">
        <v>59464.091</v>
      </c>
      <c r="G2357" s="0" t="n">
        <v>50646.497</v>
      </c>
      <c r="H2357" s="0" t="n">
        <v>8817.594</v>
      </c>
      <c r="I2357" s="0" t="n">
        <v>9594.971</v>
      </c>
      <c r="J2357" s="0" t="n">
        <v>8099.529</v>
      </c>
      <c r="K2357" s="0" t="n">
        <v>101581.463935556</v>
      </c>
      <c r="L2357" s="0" t="n">
        <v>88777</v>
      </c>
      <c r="M2357" s="0" t="n">
        <v>88698</v>
      </c>
      <c r="N2357" s="0" t="n">
        <v>88</v>
      </c>
      <c r="O2357" s="54" t="n">
        <f aca="false">YEAR(B2357)</f>
        <v>2021</v>
      </c>
      <c r="P2357" s="54" t="n">
        <f aca="false">IF(AND(E2357&gt;=14400,K2357&gt;0,L2357&gt;0),1,0)</f>
        <v>1</v>
      </c>
      <c r="Q2357" s="53" t="n">
        <f aca="false">IF(P2357=1,F2357/E2357*MIN(L2357/K2357,1)*MIN(MAX(M2357/L2357,0),1),0)</f>
        <v>0.672929947179008</v>
      </c>
      <c r="R2357" s="55" t="n">
        <f aca="false">IF(F2357&gt;0,N2357/(F2357/3600),0)</f>
        <v>5.3275850126087</v>
      </c>
    </row>
    <row r="2358" customFormat="false" ht="15" hidden="false" customHeight="false" outlineLevel="0" collapsed="false">
      <c r="A2358" s="0" t="s">
        <v>262</v>
      </c>
      <c r="B2358" s="52" t="n">
        <v>44513</v>
      </c>
      <c r="C2358" s="0" t="n">
        <v>89256.57</v>
      </c>
      <c r="D2358" s="0" t="n">
        <v>11043.441</v>
      </c>
      <c r="E2358" s="0" t="n">
        <v>78213.129</v>
      </c>
      <c r="F2358" s="0" t="n">
        <v>27767.923</v>
      </c>
      <c r="G2358" s="0" t="n">
        <v>22541.537</v>
      </c>
      <c r="H2358" s="0" t="n">
        <v>5226.386</v>
      </c>
      <c r="I2358" s="0" t="n">
        <v>1947.083</v>
      </c>
      <c r="J2358" s="0" t="n">
        <v>48498.123</v>
      </c>
      <c r="K2358" s="0" t="n">
        <v>47966.9092794445</v>
      </c>
      <c r="L2358" s="0" t="n">
        <v>39452</v>
      </c>
      <c r="M2358" s="0" t="n">
        <v>39310</v>
      </c>
      <c r="N2358" s="0" t="n">
        <v>24</v>
      </c>
      <c r="O2358" s="54" t="n">
        <f aca="false">YEAR(B2358)</f>
        <v>2021</v>
      </c>
      <c r="P2358" s="54" t="n">
        <f aca="false">IF(AND(E2358&gt;=14400,K2358&gt;0,L2358&gt;0),1,0)</f>
        <v>1</v>
      </c>
      <c r="Q2358" s="53" t="n">
        <f aca="false">IF(P2358=1,F2358/E2358*MIN(L2358/K2358,1)*MIN(MAX(M2358/L2358,0),1),0)</f>
        <v>0.290954476663917</v>
      </c>
      <c r="R2358" s="55" t="n">
        <f aca="false">IF(F2358&gt;0,N2358/(F2358/3600),0)</f>
        <v>3.11150387445255</v>
      </c>
    </row>
    <row r="2359" customFormat="false" ht="15" hidden="false" customHeight="false" outlineLevel="0" collapsed="false">
      <c r="A2359" s="0" t="s">
        <v>262</v>
      </c>
      <c r="B2359" s="52" t="n">
        <v>44514</v>
      </c>
      <c r="C2359" s="0" t="n">
        <v>76695.92</v>
      </c>
      <c r="D2359" s="0" t="n">
        <v>8633.263</v>
      </c>
      <c r="E2359" s="0" t="n">
        <v>68062.657</v>
      </c>
      <c r="F2359" s="0" t="n">
        <v>18925.836</v>
      </c>
      <c r="G2359" s="0" t="n">
        <v>10301.129</v>
      </c>
      <c r="H2359" s="0" t="n">
        <v>8624.707</v>
      </c>
      <c r="I2359" s="0" t="n">
        <v>408.783</v>
      </c>
      <c r="J2359" s="0" t="n">
        <v>48728.038</v>
      </c>
      <c r="K2359" s="0" t="n">
        <v>30139.7881327778</v>
      </c>
      <c r="L2359" s="0" t="n">
        <v>16434</v>
      </c>
      <c r="M2359" s="0" t="n">
        <v>16386</v>
      </c>
      <c r="N2359" s="0" t="n">
        <v>8</v>
      </c>
      <c r="O2359" s="54" t="n">
        <f aca="false">YEAR(B2359)</f>
        <v>2021</v>
      </c>
      <c r="P2359" s="54" t="n">
        <f aca="false">IF(AND(E2359&gt;=14400,K2359&gt;0,L2359&gt;0),1,0)</f>
        <v>1</v>
      </c>
      <c r="Q2359" s="53" t="n">
        <f aca="false">IF(P2359=1,F2359/E2359*MIN(L2359/K2359,1)*MIN(MAX(M2359/L2359,0),1),0)</f>
        <v>0.151174635083946</v>
      </c>
      <c r="R2359" s="55" t="n">
        <f aca="false">IF(F2359&gt;0,N2359/(F2359/3600),0)</f>
        <v>1.52172934395078</v>
      </c>
    </row>
    <row r="2360" customFormat="false" ht="15" hidden="false" customHeight="false" outlineLevel="0" collapsed="false">
      <c r="A2360" s="0" t="s">
        <v>262</v>
      </c>
      <c r="B2360" s="52" t="n">
        <v>44515</v>
      </c>
      <c r="C2360" s="0" t="n">
        <v>87034.795</v>
      </c>
      <c r="D2360" s="0" t="n">
        <v>16451.203</v>
      </c>
      <c r="E2360" s="0" t="n">
        <v>70583.592</v>
      </c>
      <c r="F2360" s="0" t="n">
        <v>56503.174</v>
      </c>
      <c r="G2360" s="0" t="n">
        <v>49307.155</v>
      </c>
      <c r="H2360" s="0" t="n">
        <v>7196.019</v>
      </c>
      <c r="I2360" s="0" t="n">
        <v>4196.47</v>
      </c>
      <c r="J2360" s="0" t="n">
        <v>9883.948</v>
      </c>
      <c r="K2360" s="0" t="n">
        <v>97902.9392766667</v>
      </c>
      <c r="L2360" s="0" t="n">
        <v>86951</v>
      </c>
      <c r="M2360" s="0" t="n">
        <v>86868</v>
      </c>
      <c r="N2360" s="0" t="n">
        <v>61</v>
      </c>
      <c r="O2360" s="54" t="n">
        <f aca="false">YEAR(B2360)</f>
        <v>2021</v>
      </c>
      <c r="P2360" s="54" t="n">
        <f aca="false">IF(AND(E2360&gt;=14400,K2360&gt;0,L2360&gt;0),1,0)</f>
        <v>1</v>
      </c>
      <c r="Q2360" s="53" t="n">
        <f aca="false">IF(P2360=1,F2360/E2360*MIN(L2360/K2360,1)*MIN(MAX(M2360/L2360,0),1),0)</f>
        <v>0.710285879195933</v>
      </c>
      <c r="R2360" s="55" t="n">
        <f aca="false">IF(F2360&gt;0,N2360/(F2360/3600),0)</f>
        <v>3.88650733142885</v>
      </c>
    </row>
    <row r="2361" customFormat="false" ht="15" hidden="false" customHeight="false" outlineLevel="0" collapsed="false">
      <c r="A2361" s="0" t="s">
        <v>262</v>
      </c>
      <c r="B2361" s="52" t="n">
        <v>44516</v>
      </c>
      <c r="C2361" s="0" t="n">
        <v>81672.801</v>
      </c>
      <c r="D2361" s="0" t="n">
        <v>14608.913</v>
      </c>
      <c r="E2361" s="0" t="n">
        <v>67063.888</v>
      </c>
      <c r="F2361" s="0" t="n">
        <v>53276.022</v>
      </c>
      <c r="G2361" s="0" t="n">
        <v>44662.082</v>
      </c>
      <c r="H2361" s="0" t="n">
        <v>8613.94</v>
      </c>
      <c r="I2361" s="0" t="n">
        <v>2087.5</v>
      </c>
      <c r="J2361" s="0" t="n">
        <v>11700.366</v>
      </c>
      <c r="K2361" s="0" t="n">
        <v>90101.7063333333</v>
      </c>
      <c r="L2361" s="0" t="n">
        <v>76346</v>
      </c>
      <c r="M2361" s="0" t="n">
        <v>76165</v>
      </c>
      <c r="N2361" s="0" t="n">
        <v>40</v>
      </c>
      <c r="O2361" s="54" t="n">
        <f aca="false">YEAR(B2361)</f>
        <v>2021</v>
      </c>
      <c r="P2361" s="54" t="n">
        <f aca="false">IF(AND(E2361&gt;=14400,K2361&gt;0,L2361&gt;0),1,0)</f>
        <v>1</v>
      </c>
      <c r="Q2361" s="53" t="n">
        <f aca="false">IF(P2361=1,F2361/E2361*MIN(L2361/K2361,1)*MIN(MAX(M2361/L2361,0),1),0)</f>
        <v>0.671530113388106</v>
      </c>
      <c r="R2361" s="55" t="n">
        <f aca="false">IF(F2361&gt;0,N2361/(F2361/3600),0)</f>
        <v>2.70290450739734</v>
      </c>
    </row>
    <row r="2362" customFormat="false" ht="15" hidden="false" customHeight="false" outlineLevel="0" collapsed="false">
      <c r="A2362" s="0" t="s">
        <v>262</v>
      </c>
      <c r="B2362" s="52" t="n">
        <v>44517</v>
      </c>
      <c r="C2362" s="0" t="n">
        <v>47601.849</v>
      </c>
      <c r="D2362" s="0" t="n">
        <v>20112.985</v>
      </c>
      <c r="E2362" s="0" t="n">
        <v>27488.864</v>
      </c>
      <c r="F2362" s="0" t="n">
        <v>17830.424</v>
      </c>
      <c r="G2362" s="0" t="n">
        <v>8961.757</v>
      </c>
      <c r="H2362" s="0" t="n">
        <v>8868.667</v>
      </c>
      <c r="I2362" s="0" t="n">
        <v>529.658</v>
      </c>
      <c r="J2362" s="0" t="n">
        <v>9128.782</v>
      </c>
      <c r="K2362" s="0" t="n">
        <v>30923.1936722222</v>
      </c>
      <c r="L2362" s="0" t="n">
        <v>25421</v>
      </c>
      <c r="M2362" s="0" t="n">
        <v>25232</v>
      </c>
      <c r="N2362" s="0" t="n">
        <v>5</v>
      </c>
      <c r="O2362" s="54" t="n">
        <f aca="false">YEAR(B2362)</f>
        <v>2021</v>
      </c>
      <c r="P2362" s="54" t="n">
        <f aca="false">IF(AND(E2362&gt;=14400,K2362&gt;0,L2362&gt;0),1,0)</f>
        <v>1</v>
      </c>
      <c r="Q2362" s="53" t="n">
        <f aca="false">IF(P2362=1,F2362/E2362*MIN(L2362/K2362,1)*MIN(MAX(M2362/L2362,0),1),0)</f>
        <v>0.529263827948483</v>
      </c>
      <c r="R2362" s="55" t="n">
        <f aca="false">IF(F2362&gt;0,N2362/(F2362/3600),0)</f>
        <v>1.00951048612192</v>
      </c>
    </row>
    <row r="2363" customFormat="false" ht="15" hidden="false" customHeight="false" outlineLevel="0" collapsed="false">
      <c r="A2363" s="0" t="s">
        <v>262</v>
      </c>
      <c r="B2363" s="52" t="n">
        <v>44518</v>
      </c>
      <c r="C2363" s="0" t="n">
        <v>84982.508</v>
      </c>
      <c r="D2363" s="0" t="n">
        <v>16226.018</v>
      </c>
      <c r="E2363" s="0" t="n">
        <v>68756.49</v>
      </c>
      <c r="F2363" s="0" t="n">
        <v>55076.953</v>
      </c>
      <c r="G2363" s="0" t="n">
        <v>52093.901</v>
      </c>
      <c r="H2363" s="0" t="n">
        <v>2983.052</v>
      </c>
      <c r="I2363" s="0" t="n">
        <v>5410.895</v>
      </c>
      <c r="J2363" s="0" t="n">
        <v>8268.642</v>
      </c>
      <c r="K2363" s="0" t="n">
        <v>98905.5995416667</v>
      </c>
      <c r="L2363" s="0" t="n">
        <v>93803</v>
      </c>
      <c r="M2363" s="0" t="n">
        <v>93773</v>
      </c>
      <c r="N2363" s="0" t="n">
        <v>45</v>
      </c>
      <c r="O2363" s="54" t="n">
        <f aca="false">YEAR(B2363)</f>
        <v>2021</v>
      </c>
      <c r="P2363" s="54" t="n">
        <f aca="false">IF(AND(E2363&gt;=14400,K2363&gt;0,L2363&gt;0),1,0)</f>
        <v>1</v>
      </c>
      <c r="Q2363" s="53" t="n">
        <f aca="false">IF(P2363=1,F2363/E2363*MIN(L2363/K2363,1)*MIN(MAX(M2363/L2363,0),1),0)</f>
        <v>0.759474398067529</v>
      </c>
      <c r="R2363" s="55" t="n">
        <f aca="false">IF(F2363&gt;0,N2363/(F2363/3600),0)</f>
        <v>2.94133918410483</v>
      </c>
    </row>
    <row r="2364" customFormat="false" ht="15" hidden="false" customHeight="false" outlineLevel="0" collapsed="false">
      <c r="A2364" s="0" t="s">
        <v>262</v>
      </c>
      <c r="B2364" s="52" t="n">
        <v>44519</v>
      </c>
      <c r="C2364" s="0" t="n">
        <v>86507.665</v>
      </c>
      <c r="D2364" s="0" t="n">
        <v>0</v>
      </c>
      <c r="E2364" s="0" t="n">
        <v>86507.665</v>
      </c>
      <c r="F2364" s="0" t="n">
        <v>66584.825</v>
      </c>
      <c r="G2364" s="0" t="n">
        <v>57386.801</v>
      </c>
      <c r="H2364" s="0" t="n">
        <v>9198.024</v>
      </c>
      <c r="I2364" s="0" t="n">
        <v>13785.334</v>
      </c>
      <c r="J2364" s="0" t="n">
        <v>6137.506</v>
      </c>
      <c r="K2364" s="0" t="n">
        <v>115788.456235278</v>
      </c>
      <c r="L2364" s="0" t="n">
        <v>100068</v>
      </c>
      <c r="M2364" s="0" t="n">
        <v>99756</v>
      </c>
      <c r="N2364" s="0" t="n">
        <v>112</v>
      </c>
      <c r="O2364" s="54" t="n">
        <f aca="false">YEAR(B2364)</f>
        <v>2021</v>
      </c>
      <c r="P2364" s="54" t="n">
        <f aca="false">IF(AND(E2364&gt;=14400,K2364&gt;0,L2364&gt;0),1,0)</f>
        <v>1</v>
      </c>
      <c r="Q2364" s="53" t="n">
        <f aca="false">IF(P2364=1,F2364/E2364*MIN(L2364/K2364,1)*MIN(MAX(M2364/L2364,0),1),0)</f>
        <v>0.663123525789094</v>
      </c>
      <c r="R2364" s="55" t="n">
        <f aca="false">IF(F2364&gt;0,N2364/(F2364/3600),0)</f>
        <v>6.05543380192108</v>
      </c>
    </row>
    <row r="2365" customFormat="false" ht="15" hidden="false" customHeight="false" outlineLevel="0" collapsed="false">
      <c r="A2365" s="0" t="s">
        <v>262</v>
      </c>
      <c r="B2365" s="52" t="n">
        <v>44520</v>
      </c>
      <c r="C2365" s="0" t="n">
        <v>90538.056</v>
      </c>
      <c r="D2365" s="0" t="n">
        <v>25735.662</v>
      </c>
      <c r="E2365" s="0" t="n">
        <v>64802.394</v>
      </c>
      <c r="F2365" s="0" t="n">
        <v>40803.278</v>
      </c>
      <c r="G2365" s="0" t="n">
        <v>35943.748</v>
      </c>
      <c r="H2365" s="0" t="n">
        <v>4859.53</v>
      </c>
      <c r="I2365" s="0" t="n">
        <v>4926.258</v>
      </c>
      <c r="J2365" s="0" t="n">
        <v>19072.858</v>
      </c>
      <c r="K2365" s="0" t="n">
        <v>68726.7949266667</v>
      </c>
      <c r="L2365" s="0" t="n">
        <v>62710</v>
      </c>
      <c r="M2365" s="0" t="n">
        <v>62573</v>
      </c>
      <c r="N2365" s="0" t="n">
        <v>33</v>
      </c>
      <c r="O2365" s="54" t="n">
        <f aca="false">YEAR(B2365)</f>
        <v>2021</v>
      </c>
      <c r="P2365" s="54" t="n">
        <f aca="false">IF(AND(E2365&gt;=14400,K2365&gt;0,L2365&gt;0),1,0)</f>
        <v>1</v>
      </c>
      <c r="Q2365" s="53" t="n">
        <f aca="false">IF(P2365=1,F2365/E2365*MIN(L2365/K2365,1)*MIN(MAX(M2365/L2365,0),1),0)</f>
        <v>0.573277491076834</v>
      </c>
      <c r="R2365" s="55" t="n">
        <f aca="false">IF(F2365&gt;0,N2365/(F2365/3600),0)</f>
        <v>2.91153078436492</v>
      </c>
    </row>
    <row r="2366" customFormat="false" ht="15" hidden="false" customHeight="false" outlineLevel="0" collapsed="false">
      <c r="A2366" s="0" t="s">
        <v>262</v>
      </c>
      <c r="B2366" s="52" t="n">
        <v>44521</v>
      </c>
      <c r="C2366" s="0" t="n">
        <v>80768.759</v>
      </c>
      <c r="D2366" s="0" t="n">
        <v>4133.094</v>
      </c>
      <c r="E2366" s="0" t="n">
        <v>76635.665</v>
      </c>
      <c r="F2366" s="0" t="n">
        <v>59354.797</v>
      </c>
      <c r="G2366" s="0" t="n">
        <v>48014.715</v>
      </c>
      <c r="H2366" s="0" t="n">
        <v>11340.082</v>
      </c>
      <c r="I2366" s="0" t="n">
        <v>5972.636</v>
      </c>
      <c r="J2366" s="0" t="n">
        <v>11308.232</v>
      </c>
      <c r="K2366" s="0" t="n">
        <v>104099.879182778</v>
      </c>
      <c r="L2366" s="0" t="n">
        <v>85871</v>
      </c>
      <c r="M2366" s="0" t="n">
        <v>85785</v>
      </c>
      <c r="N2366" s="0" t="n">
        <v>56</v>
      </c>
      <c r="O2366" s="54" t="n">
        <f aca="false">YEAR(B2366)</f>
        <v>2021</v>
      </c>
      <c r="P2366" s="54" t="n">
        <f aca="false">IF(AND(E2366&gt;=14400,K2366&gt;0,L2366&gt;0),1,0)</f>
        <v>1</v>
      </c>
      <c r="Q2366" s="53" t="n">
        <f aca="false">IF(P2366=1,F2366/E2366*MIN(L2366/K2366,1)*MIN(MAX(M2366/L2366,0),1),0)</f>
        <v>0.638242946325657</v>
      </c>
      <c r="R2366" s="55" t="n">
        <f aca="false">IF(F2366&gt;0,N2366/(F2366/3600),0)</f>
        <v>3.39652412592701</v>
      </c>
    </row>
    <row r="2367" customFormat="false" ht="15" hidden="false" customHeight="false" outlineLevel="0" collapsed="false">
      <c r="A2367" s="0" t="s">
        <v>262</v>
      </c>
      <c r="B2367" s="52" t="n">
        <v>44522</v>
      </c>
      <c r="C2367" s="0" t="n">
        <v>86369.784</v>
      </c>
      <c r="D2367" s="0" t="n">
        <v>15091.499</v>
      </c>
      <c r="E2367" s="0" t="n">
        <v>71278.285</v>
      </c>
      <c r="F2367" s="0" t="n">
        <v>57271.776</v>
      </c>
      <c r="G2367" s="0" t="n">
        <v>50113.222</v>
      </c>
      <c r="H2367" s="0" t="n">
        <v>7158.554</v>
      </c>
      <c r="I2367" s="0" t="n">
        <v>2441.905</v>
      </c>
      <c r="J2367" s="0" t="n">
        <v>11564.604</v>
      </c>
      <c r="K2367" s="0" t="n">
        <v>98929.6894766667</v>
      </c>
      <c r="L2367" s="0" t="n">
        <v>89602</v>
      </c>
      <c r="M2367" s="0" t="n">
        <v>89298</v>
      </c>
      <c r="N2367" s="0" t="n">
        <v>31</v>
      </c>
      <c r="O2367" s="54" t="n">
        <f aca="false">YEAR(B2367)</f>
        <v>2021</v>
      </c>
      <c r="P2367" s="54" t="n">
        <f aca="false">IF(AND(E2367&gt;=14400,K2367&gt;0,L2367&gt;0),1,0)</f>
        <v>1</v>
      </c>
      <c r="Q2367" s="53" t="n">
        <f aca="false">IF(P2367=1,F2367/E2367*MIN(L2367/K2367,1)*MIN(MAX(M2367/L2367,0),1),0)</f>
        <v>0.725267965231741</v>
      </c>
      <c r="R2367" s="55" t="n">
        <f aca="false">IF(F2367&gt;0,N2367/(F2367/3600),0)</f>
        <v>1.94860379395254</v>
      </c>
    </row>
    <row r="2368" customFormat="false" ht="15" hidden="false" customHeight="false" outlineLevel="0" collapsed="false">
      <c r="A2368" s="0" t="s">
        <v>262</v>
      </c>
      <c r="B2368" s="52" t="n">
        <v>44523</v>
      </c>
      <c r="C2368" s="0" t="n">
        <v>79430.415</v>
      </c>
      <c r="D2368" s="0" t="n">
        <v>5222.372</v>
      </c>
      <c r="E2368" s="0" t="n">
        <v>74208.043</v>
      </c>
      <c r="F2368" s="0" t="n">
        <v>46293.991</v>
      </c>
      <c r="G2368" s="0" t="n">
        <v>31063.955</v>
      </c>
      <c r="H2368" s="0" t="n">
        <v>15230.036</v>
      </c>
      <c r="I2368" s="0" t="n">
        <v>10599.138</v>
      </c>
      <c r="J2368" s="0" t="n">
        <v>17314.914</v>
      </c>
      <c r="K2368" s="0" t="n">
        <v>77595.8651505556</v>
      </c>
      <c r="L2368" s="0" t="n">
        <v>51869</v>
      </c>
      <c r="M2368" s="0" t="n">
        <v>51563</v>
      </c>
      <c r="N2368" s="0" t="n">
        <v>85</v>
      </c>
      <c r="O2368" s="54" t="n">
        <f aca="false">YEAR(B2368)</f>
        <v>2021</v>
      </c>
      <c r="P2368" s="54" t="n">
        <f aca="false">IF(AND(E2368&gt;=14400,K2368&gt;0,L2368&gt;0),1,0)</f>
        <v>1</v>
      </c>
      <c r="Q2368" s="53" t="n">
        <f aca="false">IF(P2368=1,F2368/E2368*MIN(L2368/K2368,1)*MIN(MAX(M2368/L2368,0),1),0)</f>
        <v>0.41454648957944</v>
      </c>
      <c r="R2368" s="55" t="n">
        <f aca="false">IF(F2368&gt;0,N2368/(F2368/3600),0)</f>
        <v>6.60992913745544</v>
      </c>
    </row>
    <row r="2369" customFormat="false" ht="15" hidden="false" customHeight="false" outlineLevel="0" collapsed="false">
      <c r="A2369" s="0" t="s">
        <v>262</v>
      </c>
      <c r="B2369" s="52" t="n">
        <v>44524</v>
      </c>
      <c r="C2369" s="0" t="n">
        <v>85662.854</v>
      </c>
      <c r="D2369" s="0" t="n">
        <v>18101.905</v>
      </c>
      <c r="E2369" s="0" t="n">
        <v>67560.949</v>
      </c>
      <c r="F2369" s="0" t="n">
        <v>48190.407</v>
      </c>
      <c r="G2369" s="0" t="n">
        <v>40842.923</v>
      </c>
      <c r="H2369" s="0" t="n">
        <v>7347.484</v>
      </c>
      <c r="I2369" s="0" t="n">
        <v>669.644</v>
      </c>
      <c r="J2369" s="0" t="n">
        <v>18700.898</v>
      </c>
      <c r="K2369" s="0" t="n">
        <v>82361.8021447222</v>
      </c>
      <c r="L2369" s="0" t="n">
        <v>70926</v>
      </c>
      <c r="M2369" s="0" t="n">
        <v>70703</v>
      </c>
      <c r="N2369" s="0" t="n">
        <v>19</v>
      </c>
      <c r="O2369" s="54" t="n">
        <f aca="false">YEAR(B2369)</f>
        <v>2021</v>
      </c>
      <c r="P2369" s="54" t="n">
        <f aca="false">IF(AND(E2369&gt;=14400,K2369&gt;0,L2369&gt;0),1,0)</f>
        <v>1</v>
      </c>
      <c r="Q2369" s="53" t="n">
        <f aca="false">IF(P2369=1,F2369/E2369*MIN(L2369/K2369,1)*MIN(MAX(M2369/L2369,0),1),0)</f>
        <v>0.612317756848895</v>
      </c>
      <c r="R2369" s="55" t="n">
        <f aca="false">IF(F2369&gt;0,N2369/(F2369/3600),0)</f>
        <v>1.4193696268222</v>
      </c>
    </row>
    <row r="2370" customFormat="false" ht="15" hidden="false" customHeight="false" outlineLevel="0" collapsed="false">
      <c r="A2370" s="0" t="s">
        <v>262</v>
      </c>
      <c r="B2370" s="52" t="n">
        <v>44525</v>
      </c>
      <c r="C2370" s="0" t="n">
        <v>84858.229</v>
      </c>
      <c r="D2370" s="0" t="n">
        <v>255.148</v>
      </c>
      <c r="E2370" s="0" t="n">
        <v>84603.081</v>
      </c>
      <c r="F2370" s="0" t="n">
        <v>68816.775</v>
      </c>
      <c r="G2370" s="0" t="n">
        <v>47430.225</v>
      </c>
      <c r="H2370" s="0" t="n">
        <v>21386.55</v>
      </c>
      <c r="I2370" s="0" t="n">
        <v>8921.478</v>
      </c>
      <c r="J2370" s="0" t="n">
        <v>6864.828</v>
      </c>
      <c r="K2370" s="0" t="n">
        <v>120653.053459444</v>
      </c>
      <c r="L2370" s="0" t="n">
        <v>84624</v>
      </c>
      <c r="M2370" s="0" t="n">
        <v>84434</v>
      </c>
      <c r="N2370" s="0" t="n">
        <v>51</v>
      </c>
      <c r="O2370" s="54" t="n">
        <f aca="false">YEAR(B2370)</f>
        <v>2021</v>
      </c>
      <c r="P2370" s="54" t="n">
        <f aca="false">IF(AND(E2370&gt;=14400,K2370&gt;0,L2370&gt;0),1,0)</f>
        <v>1</v>
      </c>
      <c r="Q2370" s="53" t="n">
        <f aca="false">IF(P2370=1,F2370/E2370*MIN(L2370/K2370,1)*MIN(MAX(M2370/L2370,0),1),0)</f>
        <v>0.569229217897802</v>
      </c>
      <c r="R2370" s="55" t="n">
        <f aca="false">IF(F2370&gt;0,N2370/(F2370/3600),0)</f>
        <v>2.66795414344831</v>
      </c>
    </row>
    <row r="2371" customFormat="false" ht="15" hidden="false" customHeight="false" outlineLevel="0" collapsed="false">
      <c r="A2371" s="0" t="s">
        <v>262</v>
      </c>
      <c r="B2371" s="52" t="n">
        <v>44526</v>
      </c>
      <c r="C2371" s="0" t="n">
        <v>77682.32</v>
      </c>
      <c r="D2371" s="0" t="n">
        <v>8948.007</v>
      </c>
      <c r="E2371" s="0" t="n">
        <v>68734.313</v>
      </c>
      <c r="F2371" s="0" t="n">
        <v>47676.826</v>
      </c>
      <c r="G2371" s="0" t="n">
        <v>29552.072</v>
      </c>
      <c r="H2371" s="0" t="n">
        <v>18124.754</v>
      </c>
      <c r="I2371" s="0" t="n">
        <v>1970.808</v>
      </c>
      <c r="J2371" s="0" t="n">
        <v>19086.679</v>
      </c>
      <c r="K2371" s="0" t="n">
        <v>77277.6250580556</v>
      </c>
      <c r="L2371" s="0" t="n">
        <v>48445</v>
      </c>
      <c r="M2371" s="0" t="n">
        <v>48270</v>
      </c>
      <c r="N2371" s="0" t="n">
        <v>35</v>
      </c>
      <c r="O2371" s="54" t="n">
        <f aca="false">YEAR(B2371)</f>
        <v>2021</v>
      </c>
      <c r="P2371" s="54" t="n">
        <f aca="false">IF(AND(E2371&gt;=14400,K2371&gt;0,L2371&gt;0),1,0)</f>
        <v>1</v>
      </c>
      <c r="Q2371" s="53" t="n">
        <f aca="false">IF(P2371=1,F2371/E2371*MIN(L2371/K2371,1)*MIN(MAX(M2371/L2371,0),1),0)</f>
        <v>0.4332686553066</v>
      </c>
      <c r="R2371" s="55" t="n">
        <f aca="false">IF(F2371&gt;0,N2371/(F2371/3600),0)</f>
        <v>2.64279337722692</v>
      </c>
    </row>
    <row r="2372" customFormat="false" ht="15" hidden="false" customHeight="false" outlineLevel="0" collapsed="false">
      <c r="A2372" s="0" t="s">
        <v>262</v>
      </c>
      <c r="B2372" s="52" t="n">
        <v>44527</v>
      </c>
      <c r="C2372" s="0" t="n">
        <v>81682.857</v>
      </c>
      <c r="D2372" s="0" t="n">
        <v>18670.326</v>
      </c>
      <c r="E2372" s="0" t="n">
        <v>63012.531</v>
      </c>
      <c r="F2372" s="0" t="n">
        <v>48174.442</v>
      </c>
      <c r="G2372" s="0" t="n">
        <v>44167.953</v>
      </c>
      <c r="H2372" s="0" t="n">
        <v>4006.489</v>
      </c>
      <c r="I2372" s="0" t="n">
        <v>7772.451</v>
      </c>
      <c r="J2372" s="0" t="n">
        <v>7065.638</v>
      </c>
      <c r="K2372" s="0" t="n">
        <v>86612.8839466667</v>
      </c>
      <c r="L2372" s="0" t="n">
        <v>77667</v>
      </c>
      <c r="M2372" s="0" t="n">
        <v>77609</v>
      </c>
      <c r="N2372" s="0" t="n">
        <v>65</v>
      </c>
      <c r="O2372" s="54" t="n">
        <f aca="false">YEAR(B2372)</f>
        <v>2021</v>
      </c>
      <c r="P2372" s="54" t="n">
        <f aca="false">IF(AND(E2372&gt;=14400,K2372&gt;0,L2372&gt;0),1,0)</f>
        <v>1</v>
      </c>
      <c r="Q2372" s="53" t="n">
        <f aca="false">IF(P2372=1,F2372/E2372*MIN(L2372/K2372,1)*MIN(MAX(M2372/L2372,0),1),0)</f>
        <v>0.685045403842434</v>
      </c>
      <c r="R2372" s="55" t="n">
        <f aca="false">IF(F2372&gt;0,N2372/(F2372/3600),0)</f>
        <v>4.85734738764592</v>
      </c>
    </row>
    <row r="2373" customFormat="false" ht="15" hidden="false" customHeight="false" outlineLevel="0" collapsed="false">
      <c r="A2373" s="0" t="s">
        <v>262</v>
      </c>
      <c r="B2373" s="52" t="n">
        <v>44528</v>
      </c>
      <c r="C2373" s="0" t="n">
        <v>79262.407</v>
      </c>
      <c r="D2373" s="0" t="n">
        <v>76.283</v>
      </c>
      <c r="E2373" s="0" t="n">
        <v>79186.124</v>
      </c>
      <c r="F2373" s="0" t="n">
        <v>63501.59</v>
      </c>
      <c r="G2373" s="0" t="n">
        <v>59206.334</v>
      </c>
      <c r="H2373" s="0" t="n">
        <v>4295.256</v>
      </c>
      <c r="I2373" s="0" t="n">
        <v>12559.095</v>
      </c>
      <c r="J2373" s="0" t="n">
        <v>3125.439</v>
      </c>
      <c r="K2373" s="0" t="n">
        <v>110201.543833333</v>
      </c>
      <c r="L2373" s="0" t="n">
        <v>104279</v>
      </c>
      <c r="M2373" s="0" t="n">
        <v>104259</v>
      </c>
      <c r="N2373" s="0" t="n">
        <v>38</v>
      </c>
      <c r="O2373" s="54" t="n">
        <f aca="false">YEAR(B2373)</f>
        <v>2021</v>
      </c>
      <c r="P2373" s="54" t="n">
        <f aca="false">IF(AND(E2373&gt;=14400,K2373&gt;0,L2373&gt;0),1,0)</f>
        <v>1</v>
      </c>
      <c r="Q2373" s="53" t="n">
        <f aca="false">IF(P2373=1,F2373/E2373*MIN(L2373/K2373,1)*MIN(MAX(M2373/L2373,0),1),0)</f>
        <v>0.758684812520547</v>
      </c>
      <c r="R2373" s="55" t="n">
        <f aca="false">IF(F2373&gt;0,N2373/(F2373/3600),0)</f>
        <v>2.1542767669282</v>
      </c>
    </row>
    <row r="2374" customFormat="false" ht="15" hidden="false" customHeight="false" outlineLevel="0" collapsed="false">
      <c r="A2374" s="0" t="s">
        <v>262</v>
      </c>
      <c r="B2374" s="52" t="n">
        <v>44529</v>
      </c>
      <c r="C2374" s="0" t="n">
        <v>86680.916</v>
      </c>
      <c r="D2374" s="0" t="n">
        <v>14586.368</v>
      </c>
      <c r="E2374" s="0" t="n">
        <v>72094.548</v>
      </c>
      <c r="F2374" s="0" t="n">
        <v>56371.804</v>
      </c>
      <c r="G2374" s="0" t="n">
        <v>43352.11</v>
      </c>
      <c r="H2374" s="0" t="n">
        <v>13019.694</v>
      </c>
      <c r="I2374" s="0" t="n">
        <v>6991.039</v>
      </c>
      <c r="J2374" s="0" t="n">
        <v>8731.705</v>
      </c>
      <c r="K2374" s="0" t="n">
        <v>97616.7125180555</v>
      </c>
      <c r="L2374" s="0" t="n">
        <v>74842</v>
      </c>
      <c r="M2374" s="0" t="n">
        <v>74715</v>
      </c>
      <c r="N2374" s="0" t="n">
        <v>57</v>
      </c>
      <c r="O2374" s="54" t="n">
        <f aca="false">YEAR(B2374)</f>
        <v>2021</v>
      </c>
      <c r="P2374" s="54" t="n">
        <f aca="false">IF(AND(E2374&gt;=14400,K2374&gt;0,L2374&gt;0),1,0)</f>
        <v>1</v>
      </c>
      <c r="Q2374" s="53" t="n">
        <f aca="false">IF(P2374=1,F2374/E2374*MIN(L2374/K2374,1)*MIN(MAX(M2374/L2374,0),1),0)</f>
        <v>0.59847103078002</v>
      </c>
      <c r="R2374" s="55" t="n">
        <f aca="false">IF(F2374&gt;0,N2374/(F2374/3600),0)</f>
        <v>3.64011767301256</v>
      </c>
    </row>
    <row r="2375" customFormat="false" ht="15" hidden="false" customHeight="false" outlineLevel="0" collapsed="false">
      <c r="A2375" s="0" t="s">
        <v>262</v>
      </c>
      <c r="B2375" s="52" t="n">
        <v>44530</v>
      </c>
      <c r="C2375" s="0" t="n">
        <v>87577.314</v>
      </c>
      <c r="D2375" s="0" t="n">
        <v>22784.122</v>
      </c>
      <c r="E2375" s="0" t="n">
        <v>64793.192</v>
      </c>
      <c r="F2375" s="0" t="n">
        <v>45384.788</v>
      </c>
      <c r="G2375" s="0" t="n">
        <v>31191.148</v>
      </c>
      <c r="H2375" s="0" t="n">
        <v>14193.64</v>
      </c>
      <c r="I2375" s="0" t="n">
        <v>6179.294</v>
      </c>
      <c r="J2375" s="0" t="n">
        <v>13229.11</v>
      </c>
      <c r="K2375" s="0" t="n">
        <v>74462.9626491667</v>
      </c>
      <c r="L2375" s="0" t="n">
        <v>53249</v>
      </c>
      <c r="M2375" s="0" t="n">
        <v>53030</v>
      </c>
      <c r="N2375" s="0" t="n">
        <v>70</v>
      </c>
      <c r="O2375" s="54" t="n">
        <f aca="false">YEAR(B2375)</f>
        <v>2021</v>
      </c>
      <c r="P2375" s="54" t="n">
        <f aca="false">IF(AND(E2375&gt;=14400,K2375&gt;0,L2375&gt;0),1,0)</f>
        <v>1</v>
      </c>
      <c r="Q2375" s="53" t="n">
        <f aca="false">IF(P2375=1,F2375/E2375*MIN(L2375/K2375,1)*MIN(MAX(M2375/L2375,0),1),0)</f>
        <v>0.498841126217433</v>
      </c>
      <c r="R2375" s="55" t="n">
        <f aca="false">IF(F2375&gt;0,N2375/(F2375/3600),0)</f>
        <v>5.55252125447848</v>
      </c>
    </row>
    <row r="2376" customFormat="false" ht="15" hidden="false" customHeight="false" outlineLevel="0" collapsed="false">
      <c r="A2376" s="0" t="s">
        <v>262</v>
      </c>
      <c r="B2376" s="52" t="n">
        <v>44531</v>
      </c>
      <c r="C2376" s="0" t="n">
        <v>83554.435</v>
      </c>
      <c r="D2376" s="0" t="n">
        <v>13778.998</v>
      </c>
      <c r="E2376" s="0" t="n">
        <v>69775.437</v>
      </c>
      <c r="F2376" s="0" t="n">
        <v>56738.369</v>
      </c>
      <c r="G2376" s="0" t="n">
        <v>51523.707</v>
      </c>
      <c r="H2376" s="0" t="n">
        <v>5214.662</v>
      </c>
      <c r="I2376" s="0" t="n">
        <v>2400.049</v>
      </c>
      <c r="J2376" s="0" t="n">
        <v>10637.019</v>
      </c>
      <c r="K2376" s="0" t="n">
        <v>100038.935769444</v>
      </c>
      <c r="L2376" s="0" t="n">
        <v>92476</v>
      </c>
      <c r="M2376" s="0" t="n">
        <v>92462</v>
      </c>
      <c r="N2376" s="0" t="n">
        <v>20</v>
      </c>
      <c r="O2376" s="54" t="n">
        <f aca="false">YEAR(B2376)</f>
        <v>2021</v>
      </c>
      <c r="P2376" s="54" t="n">
        <f aca="false">IF(AND(E2376&gt;=14400,K2376&gt;0,L2376&gt;0),1,0)</f>
        <v>1</v>
      </c>
      <c r="Q2376" s="53" t="n">
        <f aca="false">IF(P2376=1,F2376/E2376*MIN(L2376/K2376,1)*MIN(MAX(M2376/L2376,0),1),0)</f>
        <v>0.751568384058773</v>
      </c>
      <c r="R2376" s="55" t="n">
        <f aca="false">IF(F2376&gt;0,N2376/(F2376/3600),0)</f>
        <v>1.26898254688992</v>
      </c>
    </row>
    <row r="2377" customFormat="false" ht="15" hidden="false" customHeight="false" outlineLevel="0" collapsed="false">
      <c r="A2377" s="0" t="s">
        <v>262</v>
      </c>
      <c r="B2377" s="52" t="n">
        <v>44532</v>
      </c>
      <c r="C2377" s="0" t="n">
        <v>79241.499</v>
      </c>
      <c r="D2377" s="0" t="n">
        <v>15021.681</v>
      </c>
      <c r="E2377" s="0" t="n">
        <v>64219.818</v>
      </c>
      <c r="F2377" s="0" t="n">
        <v>49957.051</v>
      </c>
      <c r="G2377" s="0" t="n">
        <v>42980.667</v>
      </c>
      <c r="H2377" s="0" t="n">
        <v>6976.384</v>
      </c>
      <c r="I2377" s="0" t="n">
        <v>1242.337</v>
      </c>
      <c r="J2377" s="0" t="n">
        <v>13020.43</v>
      </c>
      <c r="K2377" s="0" t="n">
        <v>82721.6668891667</v>
      </c>
      <c r="L2377" s="0" t="n">
        <v>70381</v>
      </c>
      <c r="M2377" s="0" t="n">
        <v>70327</v>
      </c>
      <c r="N2377" s="0" t="n">
        <v>25</v>
      </c>
      <c r="O2377" s="54" t="n">
        <f aca="false">YEAR(B2377)</f>
        <v>2021</v>
      </c>
      <c r="P2377" s="54" t="n">
        <f aca="false">IF(AND(E2377&gt;=14400,K2377&gt;0,L2377&gt;0),1,0)</f>
        <v>1</v>
      </c>
      <c r="Q2377" s="53" t="n">
        <f aca="false">IF(P2377=1,F2377/E2377*MIN(L2377/K2377,1)*MIN(MAX(M2377/L2377,0),1),0)</f>
        <v>0.66134875135652</v>
      </c>
      <c r="R2377" s="55" t="n">
        <f aca="false">IF(F2377&gt;0,N2377/(F2377/3600),0)</f>
        <v>1.80154749326577</v>
      </c>
    </row>
    <row r="2378" customFormat="false" ht="15" hidden="false" customHeight="false" outlineLevel="0" collapsed="false">
      <c r="A2378" s="0" t="s">
        <v>262</v>
      </c>
      <c r="B2378" s="52" t="n">
        <v>44533</v>
      </c>
      <c r="C2378" s="0" t="n">
        <v>93866.528</v>
      </c>
      <c r="D2378" s="0" t="n">
        <v>15239.193</v>
      </c>
      <c r="E2378" s="0" t="n">
        <v>78627.335</v>
      </c>
      <c r="F2378" s="0" t="n">
        <v>66433.207</v>
      </c>
      <c r="G2378" s="0" t="n">
        <v>60681.058</v>
      </c>
      <c r="H2378" s="0" t="n">
        <v>5752.149</v>
      </c>
      <c r="I2378" s="0" t="n">
        <v>3709.699</v>
      </c>
      <c r="J2378" s="0" t="n">
        <v>8484.429</v>
      </c>
      <c r="K2378" s="0" t="n">
        <v>115475.90145</v>
      </c>
      <c r="L2378" s="0" t="n">
        <v>106174</v>
      </c>
      <c r="M2378" s="0" t="n">
        <v>106148</v>
      </c>
      <c r="N2378" s="0" t="n">
        <v>31</v>
      </c>
      <c r="O2378" s="54" t="n">
        <f aca="false">YEAR(B2378)</f>
        <v>2021</v>
      </c>
      <c r="P2378" s="54" t="n">
        <f aca="false">IF(AND(E2378&gt;=14400,K2378&gt;0,L2378&gt;0),1,0)</f>
        <v>1</v>
      </c>
      <c r="Q2378" s="53" t="n">
        <f aca="false">IF(P2378=1,F2378/E2378*MIN(L2378/K2378,1)*MIN(MAX(M2378/L2378,0),1),0)</f>
        <v>0.776662107213546</v>
      </c>
      <c r="R2378" s="55" t="n">
        <f aca="false">IF(F2378&gt;0,N2378/(F2378/3600),0)</f>
        <v>1.67988277308365</v>
      </c>
    </row>
    <row r="2379" customFormat="false" ht="15" hidden="false" customHeight="false" outlineLevel="0" collapsed="false">
      <c r="A2379" s="0" t="s">
        <v>262</v>
      </c>
      <c r="B2379" s="52" t="n">
        <v>44534</v>
      </c>
      <c r="C2379" s="0" t="n">
        <v>88092.97</v>
      </c>
      <c r="D2379" s="0" t="n">
        <v>891.501</v>
      </c>
      <c r="E2379" s="0" t="n">
        <v>87201.469</v>
      </c>
      <c r="F2379" s="0" t="n">
        <v>52768.761</v>
      </c>
      <c r="G2379" s="0" t="n">
        <v>47814.86</v>
      </c>
      <c r="H2379" s="0" t="n">
        <v>4953.901</v>
      </c>
      <c r="I2379" s="0" t="n">
        <v>6968.171</v>
      </c>
      <c r="J2379" s="0" t="n">
        <v>27464.537</v>
      </c>
      <c r="K2379" s="0" t="n">
        <v>88561.3963644444</v>
      </c>
      <c r="L2379" s="0" t="n">
        <v>83944</v>
      </c>
      <c r="M2379" s="0" t="n">
        <v>83876</v>
      </c>
      <c r="N2379" s="0" t="n">
        <v>30</v>
      </c>
      <c r="O2379" s="54" t="n">
        <f aca="false">YEAR(B2379)</f>
        <v>2021</v>
      </c>
      <c r="P2379" s="54" t="n">
        <f aca="false">IF(AND(E2379&gt;=14400,K2379&gt;0,L2379&gt;0),1,0)</f>
        <v>1</v>
      </c>
      <c r="Q2379" s="53" t="n">
        <f aca="false">IF(P2379=1,F2379/E2379*MIN(L2379/K2379,1)*MIN(MAX(M2379/L2379,0),1),0)</f>
        <v>0.573121039014623</v>
      </c>
      <c r="R2379" s="55" t="n">
        <f aca="false">IF(F2379&gt;0,N2379/(F2379/3600),0)</f>
        <v>2.04666545041677</v>
      </c>
    </row>
    <row r="2380" customFormat="false" ht="15" hidden="false" customHeight="false" outlineLevel="0" collapsed="false">
      <c r="A2380" s="0" t="s">
        <v>262</v>
      </c>
      <c r="B2380" s="52" t="n">
        <v>44535</v>
      </c>
      <c r="C2380" s="0" t="n">
        <v>84062.618</v>
      </c>
      <c r="D2380" s="0" t="n">
        <v>15422.833</v>
      </c>
      <c r="E2380" s="0" t="n">
        <v>68639.785</v>
      </c>
      <c r="F2380" s="0" t="n">
        <v>58957.826</v>
      </c>
      <c r="G2380" s="0" t="n">
        <v>55479.37</v>
      </c>
      <c r="H2380" s="0" t="n">
        <v>3478.456</v>
      </c>
      <c r="I2380" s="0" t="n">
        <v>2176.452</v>
      </c>
      <c r="J2380" s="0" t="n">
        <v>7505.507</v>
      </c>
      <c r="K2380" s="0" t="n">
        <v>102016.183244444</v>
      </c>
      <c r="L2380" s="0" t="n">
        <v>96308</v>
      </c>
      <c r="M2380" s="0" t="n">
        <v>96294</v>
      </c>
      <c r="N2380" s="0" t="n">
        <v>13</v>
      </c>
      <c r="O2380" s="54" t="n">
        <f aca="false">YEAR(B2380)</f>
        <v>2021</v>
      </c>
      <c r="P2380" s="54" t="n">
        <f aca="false">IF(AND(E2380&gt;=14400,K2380&gt;0,L2380&gt;0),1,0)</f>
        <v>1</v>
      </c>
      <c r="Q2380" s="53" t="n">
        <f aca="false">IF(P2380=1,F2380/E2380*MIN(L2380/K2380,1)*MIN(MAX(M2380/L2380,0),1),0)</f>
        <v>0.810766326446516</v>
      </c>
      <c r="R2380" s="55" t="n">
        <f aca="false">IF(F2380&gt;0,N2380/(F2380/3600),0)</f>
        <v>0.793787749229424</v>
      </c>
    </row>
    <row r="2381" customFormat="false" ht="15" hidden="false" customHeight="false" outlineLevel="0" collapsed="false">
      <c r="A2381" s="0" t="s">
        <v>262</v>
      </c>
      <c r="B2381" s="52" t="n">
        <v>44536</v>
      </c>
      <c r="C2381" s="0" t="n">
        <v>76330.842</v>
      </c>
      <c r="D2381" s="0" t="n">
        <v>13771.803</v>
      </c>
      <c r="E2381" s="0" t="n">
        <v>62559.039</v>
      </c>
      <c r="F2381" s="0" t="n">
        <v>38869.942</v>
      </c>
      <c r="G2381" s="0" t="n">
        <v>23018.204</v>
      </c>
      <c r="H2381" s="0" t="n">
        <v>15851.738</v>
      </c>
      <c r="I2381" s="0" t="n">
        <v>11275.675</v>
      </c>
      <c r="J2381" s="0" t="n">
        <v>12413.422</v>
      </c>
      <c r="K2381" s="0" t="n">
        <v>63324.2446577778</v>
      </c>
      <c r="L2381" s="0" t="n">
        <v>39050</v>
      </c>
      <c r="M2381" s="0" t="n">
        <v>38925</v>
      </c>
      <c r="N2381" s="0" t="n">
        <v>36</v>
      </c>
      <c r="O2381" s="54" t="n">
        <f aca="false">YEAR(B2381)</f>
        <v>2021</v>
      </c>
      <c r="P2381" s="54" t="n">
        <f aca="false">IF(AND(E2381&gt;=14400,K2381&gt;0,L2381&gt;0),1,0)</f>
        <v>1</v>
      </c>
      <c r="Q2381" s="53" t="n">
        <f aca="false">IF(P2381=1,F2381/E2381*MIN(L2381/K2381,1)*MIN(MAX(M2381/L2381,0),1),0)</f>
        <v>0.381928816405869</v>
      </c>
      <c r="R2381" s="55" t="n">
        <f aca="false">IF(F2381&gt;0,N2381/(F2381/3600),0)</f>
        <v>3.33419586785079</v>
      </c>
    </row>
    <row r="2382" customFormat="false" ht="15" hidden="false" customHeight="false" outlineLevel="0" collapsed="false">
      <c r="A2382" s="0" t="s">
        <v>262</v>
      </c>
      <c r="B2382" s="52" t="n">
        <v>44537</v>
      </c>
      <c r="C2382" s="0" t="n">
        <v>86098.388</v>
      </c>
      <c r="D2382" s="0" t="n">
        <v>15647.504</v>
      </c>
      <c r="E2382" s="0" t="n">
        <v>70450.884</v>
      </c>
      <c r="F2382" s="0" t="n">
        <v>51085.237</v>
      </c>
      <c r="G2382" s="0" t="n">
        <v>44900.394</v>
      </c>
      <c r="H2382" s="0" t="n">
        <v>6184.843</v>
      </c>
      <c r="I2382" s="0" t="n">
        <v>8685.861</v>
      </c>
      <c r="J2382" s="0" t="n">
        <v>10679.786</v>
      </c>
      <c r="K2382" s="0" t="n">
        <v>89875.2567672222</v>
      </c>
      <c r="L2382" s="0" t="n">
        <v>79789</v>
      </c>
      <c r="M2382" s="0" t="n">
        <v>79681</v>
      </c>
      <c r="N2382" s="0" t="n">
        <v>59</v>
      </c>
      <c r="O2382" s="54" t="n">
        <f aca="false">YEAR(B2382)</f>
        <v>2021</v>
      </c>
      <c r="P2382" s="54" t="n">
        <f aca="false">IF(AND(E2382&gt;=14400,K2382&gt;0,L2382&gt;0),1,0)</f>
        <v>1</v>
      </c>
      <c r="Q2382" s="53" t="n">
        <f aca="false">IF(P2382=1,F2382/E2382*MIN(L2382/K2382,1)*MIN(MAX(M2382/L2382,0),1),0)</f>
        <v>0.642870648071243</v>
      </c>
      <c r="R2382" s="55" t="n">
        <f aca="false">IF(F2382&gt;0,N2382/(F2382/3600),0)</f>
        <v>4.1577569660683</v>
      </c>
    </row>
    <row r="2383" customFormat="false" ht="15" hidden="false" customHeight="false" outlineLevel="0" collapsed="false">
      <c r="A2383" s="0" t="s">
        <v>262</v>
      </c>
      <c r="B2383" s="52" t="n">
        <v>44538</v>
      </c>
      <c r="C2383" s="0" t="n">
        <v>92043.879</v>
      </c>
      <c r="D2383" s="0" t="n">
        <v>7580.93</v>
      </c>
      <c r="E2383" s="0" t="n">
        <v>84462.949</v>
      </c>
      <c r="F2383" s="0" t="n">
        <v>70236.962</v>
      </c>
      <c r="G2383" s="0" t="n">
        <v>60913.521</v>
      </c>
      <c r="H2383" s="0" t="n">
        <v>9323.441</v>
      </c>
      <c r="I2383" s="0" t="n">
        <v>9066.453</v>
      </c>
      <c r="J2383" s="0" t="n">
        <v>5159.534</v>
      </c>
      <c r="K2383" s="0" t="n">
        <v>121292.294782778</v>
      </c>
      <c r="L2383" s="0" t="n">
        <v>106404</v>
      </c>
      <c r="M2383" s="0" t="n">
        <v>106233</v>
      </c>
      <c r="N2383" s="0" t="n">
        <v>65</v>
      </c>
      <c r="O2383" s="54" t="n">
        <f aca="false">YEAR(B2383)</f>
        <v>2021</v>
      </c>
      <c r="P2383" s="54" t="n">
        <f aca="false">IF(AND(E2383&gt;=14400,K2383&gt;0,L2383&gt;0),1,0)</f>
        <v>1</v>
      </c>
      <c r="Q2383" s="53" t="n">
        <f aca="false">IF(P2383=1,F2383/E2383*MIN(L2383/K2383,1)*MIN(MAX(M2383/L2383,0),1),0)</f>
        <v>0.728325827919018</v>
      </c>
      <c r="R2383" s="55" t="n">
        <f aca="false">IF(F2383&gt;0,N2383/(F2383/3600),0)</f>
        <v>3.33157917621779</v>
      </c>
    </row>
    <row r="2384" customFormat="false" ht="15" hidden="false" customHeight="false" outlineLevel="0" collapsed="false">
      <c r="A2384" s="0" t="s">
        <v>262</v>
      </c>
      <c r="B2384" s="52" t="n">
        <v>44539</v>
      </c>
      <c r="C2384" s="0" t="n">
        <v>19248.179</v>
      </c>
      <c r="D2384" s="0" t="n">
        <v>4997.343</v>
      </c>
      <c r="E2384" s="0" t="n">
        <v>14250.836</v>
      </c>
      <c r="F2384" s="0" t="n">
        <v>34.199</v>
      </c>
      <c r="G2384" s="0" t="n">
        <v>0</v>
      </c>
      <c r="H2384" s="0" t="n">
        <v>34.199</v>
      </c>
      <c r="I2384" s="0" t="n">
        <v>0</v>
      </c>
      <c r="J2384" s="0" t="n">
        <v>14216.637</v>
      </c>
      <c r="K2384" s="0" t="n">
        <v>55.573375</v>
      </c>
      <c r="L2384" s="0" t="n">
        <v>0</v>
      </c>
      <c r="M2384" s="0" t="n">
        <v>0</v>
      </c>
      <c r="N2384" s="0" t="n">
        <v>0</v>
      </c>
      <c r="O2384" s="54" t="n">
        <f aca="false">YEAR(B2384)</f>
        <v>2021</v>
      </c>
      <c r="P2384" s="54" t="n">
        <f aca="false">IF(AND(E2384&gt;=14400,K2384&gt;0,L2384&gt;0),1,0)</f>
        <v>0</v>
      </c>
      <c r="Q2384" s="53" t="n">
        <f aca="false">IF(P2384=1,F2384/E2384*MIN(L2384/K2384,1)*MIN(MAX(M2384/L2384,0),1),0)</f>
        <v>0</v>
      </c>
      <c r="R2384" s="55" t="n">
        <f aca="false">IF(F2384&gt;0,N2384/(F2384/3600),0)</f>
        <v>0</v>
      </c>
    </row>
    <row r="2385" customFormat="false" ht="15" hidden="false" customHeight="false" outlineLevel="0" collapsed="false">
      <c r="A2385" s="0" t="s">
        <v>262</v>
      </c>
      <c r="B2385" s="52" t="n">
        <v>44540</v>
      </c>
      <c r="C2385" s="0" t="n">
        <v>27117.437</v>
      </c>
      <c r="D2385" s="0" t="n">
        <v>71.86</v>
      </c>
      <c r="E2385" s="0" t="n">
        <v>27045.577</v>
      </c>
      <c r="F2385" s="0" t="n">
        <v>258.919</v>
      </c>
      <c r="G2385" s="0" t="n">
        <v>0</v>
      </c>
      <c r="H2385" s="0" t="n">
        <v>258.919</v>
      </c>
      <c r="I2385" s="0" t="n">
        <v>0</v>
      </c>
      <c r="J2385" s="0" t="n">
        <v>26786.658</v>
      </c>
      <c r="K2385" s="0" t="n">
        <v>420.743375</v>
      </c>
      <c r="L2385" s="0" t="n">
        <v>0</v>
      </c>
      <c r="M2385" s="0" t="n">
        <v>0</v>
      </c>
      <c r="N2385" s="0" t="n">
        <v>0</v>
      </c>
      <c r="O2385" s="54" t="n">
        <f aca="false">YEAR(B2385)</f>
        <v>2021</v>
      </c>
      <c r="P2385" s="54" t="n">
        <f aca="false">IF(AND(E2385&gt;=14400,K2385&gt;0,L2385&gt;0),1,0)</f>
        <v>0</v>
      </c>
      <c r="Q2385" s="53" t="n">
        <f aca="false">IF(P2385=1,F2385/E2385*MIN(L2385/K2385,1)*MIN(MAX(M2385/L2385,0),1),0)</f>
        <v>0</v>
      </c>
      <c r="R2385" s="55" t="n">
        <f aca="false">IF(F2385&gt;0,N2385/(F2385/3600),0)</f>
        <v>0</v>
      </c>
    </row>
    <row r="2386" customFormat="false" ht="15" hidden="false" customHeight="false" outlineLevel="0" collapsed="false">
      <c r="A2386" s="0" t="s">
        <v>262</v>
      </c>
      <c r="B2386" s="52" t="n">
        <v>44541</v>
      </c>
      <c r="C2386" s="0" t="n">
        <v>77010.488</v>
      </c>
      <c r="D2386" s="0" t="n">
        <v>15285.977</v>
      </c>
      <c r="E2386" s="0" t="n">
        <v>61724.511</v>
      </c>
      <c r="F2386" s="0" t="n">
        <v>5296.671</v>
      </c>
      <c r="G2386" s="0" t="n">
        <v>0</v>
      </c>
      <c r="H2386" s="0" t="n">
        <v>5296.671</v>
      </c>
      <c r="I2386" s="0" t="n">
        <v>0</v>
      </c>
      <c r="J2386" s="0" t="n">
        <v>56427.84</v>
      </c>
      <c r="K2386" s="0" t="n">
        <v>7653.02163888889</v>
      </c>
      <c r="L2386" s="0" t="n">
        <v>6</v>
      </c>
      <c r="M2386" s="0" t="n">
        <v>0</v>
      </c>
      <c r="N2386" s="0" t="n">
        <v>0</v>
      </c>
      <c r="O2386" s="54" t="n">
        <f aca="false">YEAR(B2386)</f>
        <v>2021</v>
      </c>
      <c r="P2386" s="54" t="n">
        <f aca="false">IF(AND(E2386&gt;=14400,K2386&gt;0,L2386&gt;0),1,0)</f>
        <v>1</v>
      </c>
      <c r="Q2386" s="53" t="n">
        <f aca="false">IF(P2386=1,F2386/E2386*MIN(L2386/K2386,1)*MIN(MAX(M2386/L2386,0),1),0)</f>
        <v>0</v>
      </c>
      <c r="R2386" s="55" t="n">
        <f aca="false">IF(F2386&gt;0,N2386/(F2386/3600),0)</f>
        <v>0</v>
      </c>
    </row>
    <row r="2387" customFormat="false" ht="15" hidden="false" customHeight="false" outlineLevel="0" collapsed="false">
      <c r="A2387" s="0" t="s">
        <v>262</v>
      </c>
      <c r="B2387" s="52" t="n">
        <v>44542</v>
      </c>
      <c r="C2387" s="0" t="n">
        <v>84746.839</v>
      </c>
      <c r="D2387" s="0" t="n">
        <v>12010.735</v>
      </c>
      <c r="E2387" s="0" t="n">
        <v>72736.104</v>
      </c>
      <c r="F2387" s="0" t="n">
        <v>61586.596</v>
      </c>
      <c r="G2387" s="0" t="n">
        <v>53853.704</v>
      </c>
      <c r="H2387" s="0" t="n">
        <v>7732.892</v>
      </c>
      <c r="I2387" s="0" t="n">
        <v>6318.794</v>
      </c>
      <c r="J2387" s="0" t="n">
        <v>4830.714</v>
      </c>
      <c r="K2387" s="0" t="n">
        <v>102735.914657222</v>
      </c>
      <c r="L2387" s="0" t="n">
        <v>92030</v>
      </c>
      <c r="M2387" s="0" t="n">
        <v>91817</v>
      </c>
      <c r="N2387" s="0" t="n">
        <v>64</v>
      </c>
      <c r="O2387" s="54" t="n">
        <f aca="false">YEAR(B2387)</f>
        <v>2021</v>
      </c>
      <c r="P2387" s="54" t="n">
        <f aca="false">IF(AND(E2387&gt;=14400,K2387&gt;0,L2387&gt;0),1,0)</f>
        <v>1</v>
      </c>
      <c r="Q2387" s="53" t="n">
        <f aca="false">IF(P2387=1,F2387/E2387*MIN(L2387/K2387,1)*MIN(MAX(M2387/L2387,0),1),0)</f>
        <v>0.756723066503737</v>
      </c>
      <c r="R2387" s="55" t="n">
        <f aca="false">IF(F2387&gt;0,N2387/(F2387/3600),0)</f>
        <v>3.74107378819898</v>
      </c>
    </row>
    <row r="2388" customFormat="false" ht="15" hidden="false" customHeight="false" outlineLevel="0" collapsed="false">
      <c r="A2388" s="0" t="s">
        <v>262</v>
      </c>
      <c r="B2388" s="52" t="n">
        <v>44543</v>
      </c>
      <c r="C2388" s="0" t="n">
        <v>85088.61</v>
      </c>
      <c r="D2388" s="0" t="n">
        <v>12672.194</v>
      </c>
      <c r="E2388" s="0" t="n">
        <v>72416.416</v>
      </c>
      <c r="F2388" s="0" t="n">
        <v>45630.91</v>
      </c>
      <c r="G2388" s="0" t="n">
        <v>25523.483</v>
      </c>
      <c r="H2388" s="0" t="n">
        <v>20107.427</v>
      </c>
      <c r="I2388" s="0" t="n">
        <v>4912.443</v>
      </c>
      <c r="J2388" s="0" t="n">
        <v>21873.063</v>
      </c>
      <c r="K2388" s="0" t="n">
        <v>73192.7636416667</v>
      </c>
      <c r="L2388" s="0" t="n">
        <v>43400</v>
      </c>
      <c r="M2388" s="0" t="n">
        <v>43202</v>
      </c>
      <c r="N2388" s="0" t="n">
        <v>70</v>
      </c>
      <c r="O2388" s="54" t="n">
        <f aca="false">YEAR(B2388)</f>
        <v>2021</v>
      </c>
      <c r="P2388" s="54" t="n">
        <f aca="false">IF(AND(E2388&gt;=14400,K2388&gt;0,L2388&gt;0),1,0)</f>
        <v>1</v>
      </c>
      <c r="Q2388" s="53" t="n">
        <f aca="false">IF(P2388=1,F2388/E2388*MIN(L2388/K2388,1)*MIN(MAX(M2388/L2388,0),1),0)</f>
        <v>0.371927087779404</v>
      </c>
      <c r="R2388" s="55" t="n">
        <f aca="false">IF(F2388&gt;0,N2388/(F2388/3600),0)</f>
        <v>5.52257230898967</v>
      </c>
    </row>
    <row r="2389" customFormat="false" ht="15" hidden="false" customHeight="false" outlineLevel="0" collapsed="false">
      <c r="A2389" s="0" t="s">
        <v>262</v>
      </c>
      <c r="B2389" s="52" t="n">
        <v>44544</v>
      </c>
      <c r="C2389" s="0" t="n">
        <v>93514.714</v>
      </c>
      <c r="D2389" s="0" t="n">
        <v>10079.011</v>
      </c>
      <c r="E2389" s="0" t="n">
        <v>83435.703</v>
      </c>
      <c r="F2389" s="0" t="n">
        <v>64022.24</v>
      </c>
      <c r="G2389" s="0" t="n">
        <v>52353.316</v>
      </c>
      <c r="H2389" s="0" t="n">
        <v>11668.924</v>
      </c>
      <c r="I2389" s="0" t="n">
        <v>4791.064</v>
      </c>
      <c r="J2389" s="0" t="n">
        <v>14622.399</v>
      </c>
      <c r="K2389" s="0" t="n">
        <v>109133.594255</v>
      </c>
      <c r="L2389" s="0" t="n">
        <v>89425</v>
      </c>
      <c r="M2389" s="0" t="n">
        <v>89089</v>
      </c>
      <c r="N2389" s="0" t="n">
        <v>76</v>
      </c>
      <c r="O2389" s="54" t="n">
        <f aca="false">YEAR(B2389)</f>
        <v>2021</v>
      </c>
      <c r="P2389" s="54" t="n">
        <f aca="false">IF(AND(E2389&gt;=14400,K2389&gt;0,L2389&gt;0),1,0)</f>
        <v>1</v>
      </c>
      <c r="Q2389" s="53" t="n">
        <f aca="false">IF(P2389=1,F2389/E2389*MIN(L2389/K2389,1)*MIN(MAX(M2389/L2389,0),1),0)</f>
        <v>0.626389632516891</v>
      </c>
      <c r="R2389" s="55" t="n">
        <f aca="false">IF(F2389&gt;0,N2389/(F2389/3600),0)</f>
        <v>4.27351495355364</v>
      </c>
    </row>
    <row r="2390" customFormat="false" ht="15" hidden="false" customHeight="false" outlineLevel="0" collapsed="false">
      <c r="A2390" s="0" t="s">
        <v>262</v>
      </c>
      <c r="B2390" s="52" t="n">
        <v>44545</v>
      </c>
      <c r="C2390" s="0" t="n">
        <v>81307.009</v>
      </c>
      <c r="D2390" s="0" t="n">
        <v>4014.431</v>
      </c>
      <c r="E2390" s="0" t="n">
        <v>77292.578</v>
      </c>
      <c r="F2390" s="0" t="n">
        <v>62536.374</v>
      </c>
      <c r="G2390" s="0" t="n">
        <v>51811.558</v>
      </c>
      <c r="H2390" s="0" t="n">
        <v>10724.816</v>
      </c>
      <c r="I2390" s="0" t="n">
        <v>4717.311</v>
      </c>
      <c r="J2390" s="0" t="n">
        <v>10038.893</v>
      </c>
      <c r="K2390" s="0" t="n">
        <v>108465.270926667</v>
      </c>
      <c r="L2390" s="0" t="n">
        <v>88868</v>
      </c>
      <c r="M2390" s="0" t="n">
        <v>88442</v>
      </c>
      <c r="N2390" s="0" t="n">
        <v>57</v>
      </c>
      <c r="O2390" s="54" t="n">
        <f aca="false">YEAR(B2390)</f>
        <v>2021</v>
      </c>
      <c r="P2390" s="54" t="n">
        <f aca="false">IF(AND(E2390&gt;=14400,K2390&gt;0,L2390&gt;0),1,0)</f>
        <v>1</v>
      </c>
      <c r="Q2390" s="53" t="n">
        <f aca="false">IF(P2390=1,F2390/E2390*MIN(L2390/K2390,1)*MIN(MAX(M2390/L2390,0),1),0)</f>
        <v>0.659724713198696</v>
      </c>
      <c r="R2390" s="55" t="n">
        <f aca="false">IF(F2390&gt;0,N2390/(F2390/3600),0)</f>
        <v>3.28129034152188</v>
      </c>
    </row>
    <row r="2391" customFormat="false" ht="15" hidden="false" customHeight="false" outlineLevel="0" collapsed="false">
      <c r="A2391" s="0" t="s">
        <v>262</v>
      </c>
      <c r="B2391" s="52" t="n">
        <v>44546</v>
      </c>
      <c r="C2391" s="0" t="n">
        <v>62169.319</v>
      </c>
      <c r="D2391" s="0" t="n">
        <v>23473.306</v>
      </c>
      <c r="E2391" s="0" t="n">
        <v>38696.013</v>
      </c>
      <c r="F2391" s="0" t="n">
        <v>6267.647</v>
      </c>
      <c r="G2391" s="0" t="n">
        <v>5153.416</v>
      </c>
      <c r="H2391" s="0" t="n">
        <v>1114.231</v>
      </c>
      <c r="I2391" s="0" t="n">
        <v>478.057</v>
      </c>
      <c r="J2391" s="0" t="n">
        <v>31950.309</v>
      </c>
      <c r="K2391" s="0" t="n">
        <v>11125.6348366667</v>
      </c>
      <c r="L2391" s="0" t="n">
        <v>9214</v>
      </c>
      <c r="M2391" s="0" t="n">
        <v>9196</v>
      </c>
      <c r="N2391" s="0" t="n">
        <v>4</v>
      </c>
      <c r="O2391" s="54" t="n">
        <f aca="false">YEAR(B2391)</f>
        <v>2021</v>
      </c>
      <c r="P2391" s="54" t="n">
        <f aca="false">IF(AND(E2391&gt;=14400,K2391&gt;0,L2391&gt;0),1,0)</f>
        <v>1</v>
      </c>
      <c r="Q2391" s="53" t="n">
        <f aca="false">IF(P2391=1,F2391/E2391*MIN(L2391/K2391,1)*MIN(MAX(M2391/L2391,0),1),0)</f>
        <v>0.133879002969387</v>
      </c>
      <c r="R2391" s="55" t="n">
        <f aca="false">IF(F2391&gt;0,N2391/(F2391/3600),0)</f>
        <v>2.29751292630233</v>
      </c>
    </row>
    <row r="2392" customFormat="false" ht="15" hidden="false" customHeight="false" outlineLevel="0" collapsed="false">
      <c r="A2392" s="0" t="s">
        <v>262</v>
      </c>
      <c r="B2392" s="52" t="n">
        <v>44547</v>
      </c>
      <c r="C2392" s="0" t="n">
        <v>64243.28</v>
      </c>
      <c r="D2392" s="0" t="n">
        <v>2421.908</v>
      </c>
      <c r="E2392" s="0" t="n">
        <v>61821.372</v>
      </c>
      <c r="F2392" s="0" t="n">
        <v>0</v>
      </c>
      <c r="G2392" s="0" t="n">
        <v>0</v>
      </c>
      <c r="H2392" s="0" t="n">
        <v>0</v>
      </c>
      <c r="I2392" s="0" t="n">
        <v>0</v>
      </c>
      <c r="J2392" s="0" t="n">
        <v>61821.372</v>
      </c>
      <c r="K2392" s="0" t="n">
        <v>0</v>
      </c>
      <c r="L2392" s="0" t="n">
        <v>0</v>
      </c>
      <c r="M2392" s="0" t="n">
        <v>0</v>
      </c>
      <c r="N2392" s="0" t="n">
        <v>0</v>
      </c>
      <c r="O2392" s="54" t="n">
        <f aca="false">YEAR(B2392)</f>
        <v>2021</v>
      </c>
      <c r="P2392" s="54" t="n">
        <f aca="false">IF(AND(E2392&gt;=14400,K2392&gt;0,L2392&gt;0),1,0)</f>
        <v>0</v>
      </c>
      <c r="Q2392" s="53" t="n">
        <f aca="false">IF(P2392=1,F2392/E2392*MIN(L2392/K2392,1)*MIN(MAX(M2392/L2392,0),1),0)</f>
        <v>0</v>
      </c>
      <c r="R2392" s="55" t="n">
        <f aca="false">IF(F2392&gt;0,N2392/(F2392/3600),0)</f>
        <v>0</v>
      </c>
    </row>
    <row r="2393" customFormat="false" ht="15" hidden="false" customHeight="false" outlineLevel="0" collapsed="false">
      <c r="A2393" s="0" t="s">
        <v>262</v>
      </c>
      <c r="B2393" s="52" t="n">
        <v>44548</v>
      </c>
      <c r="C2393" s="0" t="n">
        <v>79818.911</v>
      </c>
      <c r="D2393" s="0" t="n">
        <v>0</v>
      </c>
      <c r="E2393" s="0" t="n">
        <v>79818.911</v>
      </c>
      <c r="F2393" s="0" t="n">
        <v>986.423</v>
      </c>
      <c r="G2393" s="0" t="n">
        <v>0</v>
      </c>
      <c r="H2393" s="0" t="n">
        <v>986.423</v>
      </c>
      <c r="I2393" s="0" t="n">
        <v>0</v>
      </c>
      <c r="J2393" s="0" t="n">
        <v>78832.488</v>
      </c>
      <c r="K2393" s="0" t="n">
        <v>1692.26345777778</v>
      </c>
      <c r="L2393" s="0" t="n">
        <v>0</v>
      </c>
      <c r="M2393" s="0" t="n">
        <v>0</v>
      </c>
      <c r="N2393" s="0" t="n">
        <v>0</v>
      </c>
      <c r="O2393" s="54" t="n">
        <f aca="false">YEAR(B2393)</f>
        <v>2021</v>
      </c>
      <c r="P2393" s="54" t="n">
        <f aca="false">IF(AND(E2393&gt;=14400,K2393&gt;0,L2393&gt;0),1,0)</f>
        <v>0</v>
      </c>
      <c r="Q2393" s="53" t="n">
        <f aca="false">IF(P2393=1,F2393/E2393*MIN(L2393/K2393,1)*MIN(MAX(M2393/L2393,0),1),0)</f>
        <v>0</v>
      </c>
      <c r="R2393" s="55" t="n">
        <f aca="false">IF(F2393&gt;0,N2393/(F2393/3600),0)</f>
        <v>0</v>
      </c>
    </row>
    <row r="2394" customFormat="false" ht="15" hidden="false" customHeight="false" outlineLevel="0" collapsed="false">
      <c r="A2394" s="0" t="s">
        <v>262</v>
      </c>
      <c r="B2394" s="52" t="n">
        <v>44549</v>
      </c>
      <c r="C2394" s="0" t="n">
        <v>45797.724</v>
      </c>
      <c r="D2394" s="0" t="n">
        <v>4671.973</v>
      </c>
      <c r="E2394" s="0" t="n">
        <v>41125.751</v>
      </c>
      <c r="F2394" s="0" t="n">
        <v>28091.798</v>
      </c>
      <c r="G2394" s="0" t="n">
        <v>11988.347</v>
      </c>
      <c r="H2394" s="0" t="n">
        <v>16103.451</v>
      </c>
      <c r="I2394" s="0" t="n">
        <v>1307.25</v>
      </c>
      <c r="J2394" s="0" t="n">
        <v>11726.703</v>
      </c>
      <c r="K2394" s="0" t="n">
        <v>33062.4454663889</v>
      </c>
      <c r="L2394" s="0" t="n">
        <v>14316</v>
      </c>
      <c r="M2394" s="0" t="n">
        <v>14018</v>
      </c>
      <c r="N2394" s="0" t="n">
        <v>8</v>
      </c>
      <c r="O2394" s="54" t="n">
        <f aca="false">YEAR(B2394)</f>
        <v>2021</v>
      </c>
      <c r="P2394" s="54" t="n">
        <f aca="false">IF(AND(E2394&gt;=14400,K2394&gt;0,L2394&gt;0),1,0)</f>
        <v>1</v>
      </c>
      <c r="Q2394" s="53" t="n">
        <f aca="false">IF(P2394=1,F2394/E2394*MIN(L2394/K2394,1)*MIN(MAX(M2394/L2394,0),1),0)</f>
        <v>0.289612150027859</v>
      </c>
      <c r="R2394" s="55" t="n">
        <f aca="false">IF(F2394&gt;0,N2394/(F2394/3600),0)</f>
        <v>1.02521027667934</v>
      </c>
    </row>
    <row r="2395" customFormat="false" ht="15" hidden="false" customHeight="false" outlineLevel="0" collapsed="false">
      <c r="A2395" s="0" t="s">
        <v>262</v>
      </c>
      <c r="B2395" s="52" t="n">
        <v>44550</v>
      </c>
      <c r="C2395" s="0" t="n">
        <v>76374.55</v>
      </c>
      <c r="D2395" s="0" t="n">
        <v>17623.807</v>
      </c>
      <c r="E2395" s="0" t="n">
        <v>58750.743</v>
      </c>
      <c r="F2395" s="0" t="n">
        <v>39213.772</v>
      </c>
      <c r="G2395" s="0" t="n">
        <v>32758.457</v>
      </c>
      <c r="H2395" s="0" t="n">
        <v>6455.315</v>
      </c>
      <c r="I2395" s="0" t="n">
        <v>1843.635</v>
      </c>
      <c r="J2395" s="0" t="n">
        <v>17693.336</v>
      </c>
      <c r="K2395" s="0" t="n">
        <v>66450.0987225</v>
      </c>
      <c r="L2395" s="0" t="n">
        <v>56972</v>
      </c>
      <c r="M2395" s="0" t="n">
        <v>56680</v>
      </c>
      <c r="N2395" s="0" t="n">
        <v>39</v>
      </c>
      <c r="O2395" s="54" t="n">
        <f aca="false">YEAR(B2395)</f>
        <v>2021</v>
      </c>
      <c r="P2395" s="54" t="n">
        <f aca="false">IF(AND(E2395&gt;=14400,K2395&gt;0,L2395&gt;0),1,0)</f>
        <v>1</v>
      </c>
      <c r="Q2395" s="53" t="n">
        <f aca="false">IF(P2395=1,F2395/E2395*MIN(L2395/K2395,1)*MIN(MAX(M2395/L2395,0),1),0)</f>
        <v>0.569323967406571</v>
      </c>
      <c r="R2395" s="55" t="n">
        <f aca="false">IF(F2395&gt;0,N2395/(F2395/3600),0)</f>
        <v>3.58037477241414</v>
      </c>
    </row>
    <row r="2396" customFormat="false" ht="15" hidden="false" customHeight="false" outlineLevel="0" collapsed="false">
      <c r="A2396" s="0" t="s">
        <v>262</v>
      </c>
      <c r="B2396" s="52" t="n">
        <v>44551</v>
      </c>
      <c r="C2396" s="0" t="n">
        <v>86543.369</v>
      </c>
      <c r="D2396" s="0" t="n">
        <v>13348.087</v>
      </c>
      <c r="E2396" s="0" t="n">
        <v>73195.282</v>
      </c>
      <c r="F2396" s="0" t="n">
        <v>47731.924</v>
      </c>
      <c r="G2396" s="0" t="n">
        <v>41942.175</v>
      </c>
      <c r="H2396" s="0" t="n">
        <v>5789.749</v>
      </c>
      <c r="I2396" s="0" t="n">
        <v>3352.222</v>
      </c>
      <c r="J2396" s="0" t="n">
        <v>22111.136</v>
      </c>
      <c r="K2396" s="0" t="n">
        <v>81754.7453141667</v>
      </c>
      <c r="L2396" s="0" t="n">
        <v>72835</v>
      </c>
      <c r="M2396" s="0" t="n">
        <v>72473</v>
      </c>
      <c r="N2396" s="0" t="n">
        <v>40</v>
      </c>
      <c r="O2396" s="54" t="n">
        <f aca="false">YEAR(B2396)</f>
        <v>2021</v>
      </c>
      <c r="P2396" s="54" t="n">
        <f aca="false">IF(AND(E2396&gt;=14400,K2396&gt;0,L2396&gt;0),1,0)</f>
        <v>1</v>
      </c>
      <c r="Q2396" s="53" t="n">
        <f aca="false">IF(P2396=1,F2396/E2396*MIN(L2396/K2396,1)*MIN(MAX(M2396/L2396,0),1),0)</f>
        <v>0.578081566877941</v>
      </c>
      <c r="R2396" s="55" t="n">
        <f aca="false">IF(F2396&gt;0,N2396/(F2396/3600),0)</f>
        <v>3.01684884941994</v>
      </c>
    </row>
    <row r="2397" customFormat="false" ht="15" hidden="false" customHeight="false" outlineLevel="0" collapsed="false">
      <c r="A2397" s="0" t="s">
        <v>262</v>
      </c>
      <c r="B2397" s="52" t="n">
        <v>44552</v>
      </c>
      <c r="C2397" s="0" t="n">
        <v>88327.809</v>
      </c>
      <c r="D2397" s="0" t="n">
        <v>557.039</v>
      </c>
      <c r="E2397" s="0" t="n">
        <v>87770.77</v>
      </c>
      <c r="F2397" s="0" t="n">
        <v>71302.562</v>
      </c>
      <c r="G2397" s="0" t="n">
        <v>62989.585</v>
      </c>
      <c r="H2397" s="0" t="n">
        <v>8312.977</v>
      </c>
      <c r="I2397" s="0" t="n">
        <v>3864.286</v>
      </c>
      <c r="J2397" s="0" t="n">
        <v>12603.922</v>
      </c>
      <c r="K2397" s="0" t="n">
        <v>122574.923233889</v>
      </c>
      <c r="L2397" s="0" t="n">
        <v>110042</v>
      </c>
      <c r="M2397" s="0" t="n">
        <v>109826</v>
      </c>
      <c r="N2397" s="0" t="n">
        <v>41</v>
      </c>
      <c r="O2397" s="54" t="n">
        <f aca="false">YEAR(B2397)</f>
        <v>2021</v>
      </c>
      <c r="P2397" s="54" t="n">
        <f aca="false">IF(AND(E2397&gt;=14400,K2397&gt;0,L2397&gt;0),1,0)</f>
        <v>1</v>
      </c>
      <c r="Q2397" s="53" t="n">
        <f aca="false">IF(P2397=1,F2397/E2397*MIN(L2397/K2397,1)*MIN(MAX(M2397/L2397,0),1),0)</f>
        <v>0.727878284718404</v>
      </c>
      <c r="R2397" s="55" t="n">
        <f aca="false">IF(F2397&gt;0,N2397/(F2397/3600),0)</f>
        <v>2.0700518447009</v>
      </c>
    </row>
    <row r="2398" customFormat="false" ht="15" hidden="false" customHeight="false" outlineLevel="0" collapsed="false">
      <c r="A2398" s="0" t="s">
        <v>262</v>
      </c>
      <c r="B2398" s="52" t="n">
        <v>44553</v>
      </c>
      <c r="C2398" s="0" t="n">
        <v>79422.677</v>
      </c>
      <c r="D2398" s="0" t="n">
        <v>10227.371</v>
      </c>
      <c r="E2398" s="0" t="n">
        <v>69195.306</v>
      </c>
      <c r="F2398" s="0" t="n">
        <v>55270.034</v>
      </c>
      <c r="G2398" s="0" t="n">
        <v>47649.467</v>
      </c>
      <c r="H2398" s="0" t="n">
        <v>7620.567</v>
      </c>
      <c r="I2398" s="0" t="n">
        <v>2920.263</v>
      </c>
      <c r="J2398" s="0" t="n">
        <v>11005.009</v>
      </c>
      <c r="K2398" s="0" t="n">
        <v>94133.6847188889</v>
      </c>
      <c r="L2398" s="0" t="n">
        <v>82599</v>
      </c>
      <c r="M2398" s="0" t="n">
        <v>82463</v>
      </c>
      <c r="N2398" s="0" t="n">
        <v>23</v>
      </c>
      <c r="O2398" s="54" t="n">
        <f aca="false">YEAR(B2398)</f>
        <v>2021</v>
      </c>
      <c r="P2398" s="54" t="n">
        <f aca="false">IF(AND(E2398&gt;=14400,K2398&gt;0,L2398&gt;0),1,0)</f>
        <v>1</v>
      </c>
      <c r="Q2398" s="53" t="n">
        <f aca="false">IF(P2398=1,F2398/E2398*MIN(L2398/K2398,1)*MIN(MAX(M2398/L2398,0),1),0)</f>
        <v>0.69972464273693</v>
      </c>
      <c r="R2398" s="55" t="n">
        <f aca="false">IF(F2398&gt;0,N2398/(F2398/3600),0)</f>
        <v>1.49809931363531</v>
      </c>
    </row>
    <row r="2399" customFormat="false" ht="15" hidden="false" customHeight="false" outlineLevel="0" collapsed="false">
      <c r="A2399" s="0" t="s">
        <v>262</v>
      </c>
      <c r="B2399" s="52" t="n">
        <v>44554</v>
      </c>
      <c r="C2399" s="0" t="n">
        <v>87124.86</v>
      </c>
      <c r="D2399" s="0" t="n">
        <v>13962.256</v>
      </c>
      <c r="E2399" s="0" t="n">
        <v>73162.604</v>
      </c>
      <c r="F2399" s="0" t="n">
        <v>57286.35</v>
      </c>
      <c r="G2399" s="0" t="n">
        <v>49891.515</v>
      </c>
      <c r="H2399" s="0" t="n">
        <v>7394.835</v>
      </c>
      <c r="I2399" s="0" t="n">
        <v>4323.168</v>
      </c>
      <c r="J2399" s="0" t="n">
        <v>11553.086</v>
      </c>
      <c r="K2399" s="0" t="n">
        <v>97878.3205188889</v>
      </c>
      <c r="L2399" s="0" t="n">
        <v>87334</v>
      </c>
      <c r="M2399" s="0" t="n">
        <v>87218</v>
      </c>
      <c r="N2399" s="0" t="n">
        <v>42</v>
      </c>
      <c r="O2399" s="54" t="n">
        <f aca="false">YEAR(B2399)</f>
        <v>2021</v>
      </c>
      <c r="P2399" s="54" t="n">
        <f aca="false">IF(AND(E2399&gt;=14400,K2399&gt;0,L2399&gt;0),1,0)</f>
        <v>1</v>
      </c>
      <c r="Q2399" s="53" t="n">
        <f aca="false">IF(P2399=1,F2399/E2399*MIN(L2399/K2399,1)*MIN(MAX(M2399/L2399,0),1),0)</f>
        <v>0.697720707450724</v>
      </c>
      <c r="R2399" s="55" t="n">
        <f aca="false">IF(F2399&gt;0,N2399/(F2399/3600),0)</f>
        <v>2.63937220646803</v>
      </c>
    </row>
    <row r="2400" customFormat="false" ht="15" hidden="false" customHeight="false" outlineLevel="0" collapsed="false">
      <c r="A2400" s="0" t="s">
        <v>262</v>
      </c>
      <c r="B2400" s="52" t="n">
        <v>44555</v>
      </c>
      <c r="C2400" s="0" t="n">
        <v>83883.239</v>
      </c>
      <c r="D2400" s="0" t="n">
        <v>13498.884</v>
      </c>
      <c r="E2400" s="0" t="n">
        <v>70384.355</v>
      </c>
      <c r="F2400" s="0" t="n">
        <v>54714.586</v>
      </c>
      <c r="G2400" s="0" t="n">
        <v>48331.474</v>
      </c>
      <c r="H2400" s="0" t="n">
        <v>6383.112</v>
      </c>
      <c r="I2400" s="0" t="n">
        <v>2855.617</v>
      </c>
      <c r="J2400" s="0" t="n">
        <v>12814.152</v>
      </c>
      <c r="K2400" s="0" t="n">
        <v>96305.8312883333</v>
      </c>
      <c r="L2400" s="0" t="n">
        <v>83804</v>
      </c>
      <c r="M2400" s="0" t="n">
        <v>83732</v>
      </c>
      <c r="N2400" s="0" t="n">
        <v>36</v>
      </c>
      <c r="O2400" s="54" t="n">
        <f aca="false">YEAR(B2400)</f>
        <v>2021</v>
      </c>
      <c r="P2400" s="54" t="n">
        <f aca="false">IF(AND(E2400&gt;=14400,K2400&gt;0,L2400&gt;0),1,0)</f>
        <v>1</v>
      </c>
      <c r="Q2400" s="53" t="n">
        <f aca="false">IF(P2400=1,F2400/E2400*MIN(L2400/K2400,1)*MIN(MAX(M2400/L2400,0),1),0)</f>
        <v>0.675874191107347</v>
      </c>
      <c r="R2400" s="55" t="n">
        <f aca="false">IF(F2400&gt;0,N2400/(F2400/3600),0)</f>
        <v>2.36865540753612</v>
      </c>
    </row>
    <row r="2401" customFormat="false" ht="15" hidden="false" customHeight="false" outlineLevel="0" collapsed="false">
      <c r="A2401" s="0" t="s">
        <v>262</v>
      </c>
      <c r="B2401" s="52" t="n">
        <v>44556</v>
      </c>
      <c r="C2401" s="0" t="n">
        <v>91344.927</v>
      </c>
      <c r="D2401" s="0" t="n">
        <v>2602.592</v>
      </c>
      <c r="E2401" s="0" t="n">
        <v>88742.335</v>
      </c>
      <c r="F2401" s="0" t="n">
        <v>72354.25</v>
      </c>
      <c r="G2401" s="0" t="n">
        <v>67124.23</v>
      </c>
      <c r="H2401" s="0" t="n">
        <v>5230.02</v>
      </c>
      <c r="I2401" s="0" t="n">
        <v>4873.599</v>
      </c>
      <c r="J2401" s="0" t="n">
        <v>11514.486</v>
      </c>
      <c r="K2401" s="0" t="n">
        <v>127300.419546111</v>
      </c>
      <c r="L2401" s="0" t="n">
        <v>119129</v>
      </c>
      <c r="M2401" s="0" t="n">
        <v>119055</v>
      </c>
      <c r="N2401" s="0" t="n">
        <v>62</v>
      </c>
      <c r="O2401" s="54" t="n">
        <f aca="false">YEAR(B2401)</f>
        <v>2021</v>
      </c>
      <c r="P2401" s="54" t="n">
        <f aca="false">IF(AND(E2401&gt;=14400,K2401&gt;0,L2401&gt;0),1,0)</f>
        <v>1</v>
      </c>
      <c r="Q2401" s="53" t="n">
        <f aca="false">IF(P2401=1,F2401/E2401*MIN(L2401/K2401,1)*MIN(MAX(M2401/L2401,0),1),0)</f>
        <v>0.76251957787731</v>
      </c>
      <c r="R2401" s="55" t="n">
        <f aca="false">IF(F2401&gt;0,N2401/(F2401/3600),0)</f>
        <v>3.08482224610165</v>
      </c>
    </row>
    <row r="2402" customFormat="false" ht="15" hidden="false" customHeight="false" outlineLevel="0" collapsed="false">
      <c r="A2402" s="0" t="s">
        <v>262</v>
      </c>
      <c r="B2402" s="52" t="n">
        <v>44557</v>
      </c>
      <c r="C2402" s="0" t="n">
        <v>85214.474</v>
      </c>
      <c r="D2402" s="0" t="n">
        <v>13239.02</v>
      </c>
      <c r="E2402" s="0" t="n">
        <v>71975.454</v>
      </c>
      <c r="F2402" s="0" t="n">
        <v>64473.179</v>
      </c>
      <c r="G2402" s="0" t="n">
        <v>57594.556</v>
      </c>
      <c r="H2402" s="0" t="n">
        <v>6878.623</v>
      </c>
      <c r="I2402" s="0" t="n">
        <v>2797.455</v>
      </c>
      <c r="J2402" s="0" t="n">
        <v>4704.82</v>
      </c>
      <c r="K2402" s="0" t="n">
        <v>108719.335526111</v>
      </c>
      <c r="L2402" s="0" t="n">
        <v>101290</v>
      </c>
      <c r="M2402" s="0" t="n">
        <v>101257</v>
      </c>
      <c r="N2402" s="0" t="n">
        <v>41</v>
      </c>
      <c r="O2402" s="54" t="n">
        <f aca="false">YEAR(B2402)</f>
        <v>2021</v>
      </c>
      <c r="P2402" s="54" t="n">
        <f aca="false">IF(AND(E2402&gt;=14400,K2402&gt;0,L2402&gt;0),1,0)</f>
        <v>1</v>
      </c>
      <c r="Q2402" s="53" t="n">
        <f aca="false">IF(P2402=1,F2402/E2402*MIN(L2402/K2402,1)*MIN(MAX(M2402/L2402,0),1),0)</f>
        <v>0.834282124545784</v>
      </c>
      <c r="R2402" s="55" t="n">
        <f aca="false">IF(F2402&gt;0,N2402/(F2402/3600),0)</f>
        <v>2.28932406140544</v>
      </c>
    </row>
    <row r="2403" customFormat="false" ht="15" hidden="false" customHeight="false" outlineLevel="0" collapsed="false">
      <c r="A2403" s="0" t="s">
        <v>262</v>
      </c>
      <c r="B2403" s="52" t="n">
        <v>44558</v>
      </c>
      <c r="C2403" s="0" t="n">
        <v>79334.032</v>
      </c>
      <c r="D2403" s="0" t="n">
        <v>9778.34</v>
      </c>
      <c r="E2403" s="0" t="n">
        <v>69555.692</v>
      </c>
      <c r="F2403" s="0" t="n">
        <v>57606.354</v>
      </c>
      <c r="G2403" s="0" t="n">
        <v>52086.53</v>
      </c>
      <c r="H2403" s="0" t="n">
        <v>5519.824</v>
      </c>
      <c r="I2403" s="0" t="n">
        <v>1098.56</v>
      </c>
      <c r="J2403" s="0" t="n">
        <v>10850.778</v>
      </c>
      <c r="K2403" s="0" t="n">
        <v>102356.067166667</v>
      </c>
      <c r="L2403" s="0" t="n">
        <v>93297</v>
      </c>
      <c r="M2403" s="0" t="n">
        <v>93236</v>
      </c>
      <c r="N2403" s="0" t="n">
        <v>13</v>
      </c>
      <c r="O2403" s="54" t="n">
        <f aca="false">YEAR(B2403)</f>
        <v>2021</v>
      </c>
      <c r="P2403" s="54" t="n">
        <f aca="false">IF(AND(E2403&gt;=14400,K2403&gt;0,L2403&gt;0),1,0)</f>
        <v>1</v>
      </c>
      <c r="Q2403" s="53" t="n">
        <f aca="false">IF(P2403=1,F2403/E2403*MIN(L2403/K2403,1)*MIN(MAX(M2403/L2403,0),1),0)</f>
        <v>0.754410554576721</v>
      </c>
      <c r="R2403" s="55" t="n">
        <f aca="false">IF(F2403&gt;0,N2403/(F2403/3600),0)</f>
        <v>0.812410380979848</v>
      </c>
    </row>
    <row r="2404" customFormat="false" ht="15" hidden="false" customHeight="false" outlineLevel="0" collapsed="false">
      <c r="A2404" s="0" t="s">
        <v>262</v>
      </c>
      <c r="B2404" s="52" t="n">
        <v>44559</v>
      </c>
      <c r="C2404" s="0" t="n">
        <v>79872.209</v>
      </c>
      <c r="D2404" s="0" t="n">
        <v>4776.95</v>
      </c>
      <c r="E2404" s="0" t="n">
        <v>75095.259</v>
      </c>
      <c r="F2404" s="0" t="n">
        <v>56148.442</v>
      </c>
      <c r="G2404" s="0" t="n">
        <v>45333.457</v>
      </c>
      <c r="H2404" s="0" t="n">
        <v>10814.985</v>
      </c>
      <c r="I2404" s="0" t="n">
        <v>3013.655</v>
      </c>
      <c r="J2404" s="0" t="n">
        <v>15933.162</v>
      </c>
      <c r="K2404" s="0" t="n">
        <v>94851.2496333333</v>
      </c>
      <c r="L2404" s="0" t="n">
        <v>78031</v>
      </c>
      <c r="M2404" s="0" t="n">
        <v>77856</v>
      </c>
      <c r="N2404" s="0" t="n">
        <v>73</v>
      </c>
      <c r="O2404" s="54" t="n">
        <f aca="false">YEAR(B2404)</f>
        <v>2021</v>
      </c>
      <c r="P2404" s="54" t="n">
        <f aca="false">IF(AND(E2404&gt;=14400,K2404&gt;0,L2404&gt;0),1,0)</f>
        <v>1</v>
      </c>
      <c r="Q2404" s="53" t="n">
        <f aca="false">IF(P2404=1,F2404/E2404*MIN(L2404/K2404,1)*MIN(MAX(M2404/L2404,0),1),0)</f>
        <v>0.613725574107652</v>
      </c>
      <c r="R2404" s="55" t="n">
        <f aca="false">IF(F2404&gt;0,N2404/(F2404/3600),0)</f>
        <v>4.68045043885635</v>
      </c>
    </row>
    <row r="2405" customFormat="false" ht="15" hidden="false" customHeight="false" outlineLevel="0" collapsed="false">
      <c r="A2405" s="0" t="s">
        <v>262</v>
      </c>
      <c r="B2405" s="52" t="n">
        <v>44560</v>
      </c>
      <c r="C2405" s="0" t="n">
        <v>75985.981</v>
      </c>
      <c r="D2405" s="0" t="n">
        <v>8410.629</v>
      </c>
      <c r="E2405" s="0" t="n">
        <v>67575.352</v>
      </c>
      <c r="F2405" s="0" t="n">
        <v>56191.198</v>
      </c>
      <c r="G2405" s="0" t="n">
        <v>47628.38</v>
      </c>
      <c r="H2405" s="0" t="n">
        <v>8562.818</v>
      </c>
      <c r="I2405" s="0" t="n">
        <v>1776.1</v>
      </c>
      <c r="J2405" s="0" t="n">
        <v>9608.054</v>
      </c>
      <c r="K2405" s="0" t="n">
        <v>95247.2556130556</v>
      </c>
      <c r="L2405" s="0" t="n">
        <v>83697</v>
      </c>
      <c r="M2405" s="0" t="n">
        <v>83665</v>
      </c>
      <c r="N2405" s="0" t="n">
        <v>25</v>
      </c>
      <c r="O2405" s="54" t="n">
        <f aca="false">YEAR(B2405)</f>
        <v>2021</v>
      </c>
      <c r="P2405" s="54" t="n">
        <f aca="false">IF(AND(E2405&gt;=14400,K2405&gt;0,L2405&gt;0),1,0)</f>
        <v>1</v>
      </c>
      <c r="Q2405" s="53" t="n">
        <f aca="false">IF(P2405=1,F2405/E2405*MIN(L2405/K2405,1)*MIN(MAX(M2405/L2405,0),1),0)</f>
        <v>0.730417750950208</v>
      </c>
      <c r="R2405" s="55" t="n">
        <f aca="false">IF(F2405&gt;0,N2405/(F2405/3600),0)</f>
        <v>1.60167434052572</v>
      </c>
    </row>
    <row r="2406" customFormat="false" ht="15" hidden="false" customHeight="false" outlineLevel="0" collapsed="false">
      <c r="A2406" s="0" t="s">
        <v>262</v>
      </c>
      <c r="B2406" s="52" t="n">
        <v>44561</v>
      </c>
      <c r="C2406" s="0" t="n">
        <v>86011.771</v>
      </c>
      <c r="D2406" s="0" t="n">
        <v>13588.059</v>
      </c>
      <c r="E2406" s="0" t="n">
        <v>72423.712</v>
      </c>
      <c r="F2406" s="0" t="n">
        <v>55510.342</v>
      </c>
      <c r="G2406" s="0" t="n">
        <v>51704.429</v>
      </c>
      <c r="H2406" s="0" t="n">
        <v>3805.913</v>
      </c>
      <c r="I2406" s="0" t="n">
        <v>1296.995</v>
      </c>
      <c r="J2406" s="0" t="n">
        <v>15616.375</v>
      </c>
      <c r="K2406" s="0" t="n">
        <v>96705.4136894445</v>
      </c>
      <c r="L2406" s="0" t="n">
        <v>90205</v>
      </c>
      <c r="M2406" s="0" t="n">
        <v>90075</v>
      </c>
      <c r="N2406" s="0" t="n">
        <v>20</v>
      </c>
      <c r="O2406" s="54" t="n">
        <f aca="false">YEAR(B2406)</f>
        <v>2021</v>
      </c>
      <c r="P2406" s="54" t="n">
        <f aca="false">IF(AND(E2406&gt;=14400,K2406&gt;0,L2406&gt;0),1,0)</f>
        <v>1</v>
      </c>
      <c r="Q2406" s="53" t="n">
        <f aca="false">IF(P2406=1,F2406/E2406*MIN(L2406/K2406,1)*MIN(MAX(M2406/L2406,0),1),0)</f>
        <v>0.713915163389194</v>
      </c>
      <c r="R2406" s="55" t="n">
        <f aca="false">IF(F2406&gt;0,N2406/(F2406/3600),0)</f>
        <v>1.29705560091847</v>
      </c>
    </row>
    <row r="2407" customFormat="false" ht="15" hidden="false" customHeight="false" outlineLevel="0" collapsed="false">
      <c r="A2407" s="0" t="s">
        <v>262</v>
      </c>
      <c r="B2407" s="52" t="n">
        <v>44562</v>
      </c>
      <c r="C2407" s="0" t="n">
        <v>56333.482</v>
      </c>
      <c r="D2407" s="0" t="n">
        <v>9124.898</v>
      </c>
      <c r="E2407" s="0" t="n">
        <v>47208.584</v>
      </c>
      <c r="F2407" s="0" t="n">
        <v>31537.251</v>
      </c>
      <c r="G2407" s="0" t="n">
        <v>30028.087</v>
      </c>
      <c r="H2407" s="0" t="n">
        <v>1509.164</v>
      </c>
      <c r="I2407" s="0" t="n">
        <v>739.608</v>
      </c>
      <c r="J2407" s="0" t="n">
        <v>14931.725</v>
      </c>
      <c r="K2407" s="0" t="n">
        <v>55102.5046388889</v>
      </c>
      <c r="L2407" s="0" t="n">
        <v>51380</v>
      </c>
      <c r="M2407" s="0" t="n">
        <v>51326</v>
      </c>
      <c r="N2407" s="0" t="n">
        <v>6</v>
      </c>
      <c r="O2407" s="54" t="n">
        <f aca="false">YEAR(B2407)</f>
        <v>2022</v>
      </c>
      <c r="P2407" s="54" t="n">
        <f aca="false">IF(AND(E2407&gt;=14400,K2407&gt;0,L2407&gt;0),1,0)</f>
        <v>1</v>
      </c>
      <c r="Q2407" s="53" t="n">
        <f aca="false">IF(P2407=1,F2407/E2407*MIN(L2407/K2407,1)*MIN(MAX(M2407/L2407,0),1),0)</f>
        <v>0.622255781274126</v>
      </c>
      <c r="R2407" s="55" t="n">
        <f aca="false">IF(F2407&gt;0,N2407/(F2407/3600),0)</f>
        <v>0.684904337413556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3.85" hidden="false" customHeight="false" outlineLevel="0" collapsed="false">
      <c r="A1" s="3" t="s">
        <v>1042</v>
      </c>
      <c r="B1" s="3" t="s">
        <v>1043</v>
      </c>
      <c r="C1" s="3" t="s">
        <v>1060</v>
      </c>
      <c r="D1" s="3" t="s">
        <v>1061</v>
      </c>
      <c r="E1" s="3" t="s">
        <v>1062</v>
      </c>
      <c r="F1" s="3" t="s">
        <v>1063</v>
      </c>
      <c r="G1" s="3" t="s">
        <v>1056</v>
      </c>
    </row>
    <row r="2" customFormat="false" ht="15" hidden="false" customHeight="false" outlineLevel="0" collapsed="false">
      <c r="A2" s="0" t="s">
        <v>258</v>
      </c>
      <c r="B2" s="52" t="n">
        <v>43831</v>
      </c>
      <c r="C2" s="54" t="s">
        <v>591</v>
      </c>
      <c r="D2" s="0" t="n">
        <v>0.0050701173106167</v>
      </c>
      <c r="E2" s="0" t="n">
        <v>0.0969297984560233</v>
      </c>
      <c r="F2" s="0" t="n">
        <v>0</v>
      </c>
      <c r="G2" s="0" t="n">
        <v>2020</v>
      </c>
    </row>
    <row r="3" customFormat="false" ht="15" hidden="false" customHeight="false" outlineLevel="0" collapsed="false">
      <c r="A3" s="0" t="s">
        <v>258</v>
      </c>
      <c r="B3" s="52" t="n">
        <v>43831</v>
      </c>
      <c r="C3" s="54" t="s">
        <v>592</v>
      </c>
      <c r="D3" s="0" t="n">
        <v>0</v>
      </c>
      <c r="E3" s="0" t="n">
        <v>0.188074066047231</v>
      </c>
      <c r="F3" s="0" t="n">
        <v>0</v>
      </c>
      <c r="G3" s="0" t="n">
        <v>2020</v>
      </c>
    </row>
    <row r="4" customFormat="false" ht="15" hidden="false" customHeight="false" outlineLevel="0" collapsed="false">
      <c r="A4" s="0" t="s">
        <v>258</v>
      </c>
      <c r="B4" s="52" t="n">
        <v>43832</v>
      </c>
      <c r="C4" s="54" t="s">
        <v>590</v>
      </c>
      <c r="D4" s="0" t="n">
        <v>0.0257377232594337</v>
      </c>
      <c r="E4" s="0" t="n">
        <v>0.287493645107835</v>
      </c>
      <c r="F4" s="0" t="n">
        <v>0</v>
      </c>
      <c r="G4" s="0" t="n">
        <v>2020</v>
      </c>
    </row>
    <row r="5" customFormat="false" ht="15" hidden="false" customHeight="false" outlineLevel="0" collapsed="false">
      <c r="A5" s="0" t="s">
        <v>258</v>
      </c>
      <c r="B5" s="52" t="n">
        <v>43832</v>
      </c>
      <c r="C5" s="54" t="s">
        <v>591</v>
      </c>
      <c r="D5" s="0" t="n">
        <v>0.0510737140983329</v>
      </c>
      <c r="E5" s="0" t="n">
        <v>0.120806160150451</v>
      </c>
      <c r="F5" s="0" t="n">
        <v>0</v>
      </c>
      <c r="G5" s="0" t="n">
        <v>2020</v>
      </c>
    </row>
    <row r="6" customFormat="false" ht="15" hidden="false" customHeight="false" outlineLevel="0" collapsed="false">
      <c r="A6" s="0" t="s">
        <v>258</v>
      </c>
      <c r="B6" s="52" t="n">
        <v>43832</v>
      </c>
      <c r="C6" s="54" t="s">
        <v>592</v>
      </c>
      <c r="D6" s="0" t="n">
        <v>0.0438338250899654</v>
      </c>
      <c r="E6" s="0" t="n">
        <v>0.0445841233843299</v>
      </c>
      <c r="F6" s="0" t="n">
        <v>0</v>
      </c>
      <c r="G6" s="0" t="n">
        <v>2020</v>
      </c>
    </row>
    <row r="7" customFormat="false" ht="15" hidden="false" customHeight="false" outlineLevel="0" collapsed="false">
      <c r="A7" s="0" t="s">
        <v>258</v>
      </c>
      <c r="B7" s="52" t="n">
        <v>43833</v>
      </c>
      <c r="C7" s="54" t="s">
        <v>590</v>
      </c>
      <c r="D7" s="0" t="n">
        <v>0</v>
      </c>
      <c r="E7" s="0" t="n">
        <v>0.316238470973022</v>
      </c>
      <c r="F7" s="0" t="n">
        <v>0</v>
      </c>
      <c r="G7" s="0" t="n">
        <v>2020</v>
      </c>
    </row>
    <row r="8" customFormat="false" ht="15" hidden="false" customHeight="false" outlineLevel="0" collapsed="false">
      <c r="A8" s="0" t="s">
        <v>258</v>
      </c>
      <c r="B8" s="52" t="n">
        <v>43833</v>
      </c>
      <c r="C8" s="54" t="s">
        <v>591</v>
      </c>
      <c r="D8" s="0" t="n">
        <v>0.0080386071137585</v>
      </c>
      <c r="E8" s="0" t="n">
        <v>0.0384799382751947</v>
      </c>
      <c r="F8" s="0" t="n">
        <v>0</v>
      </c>
      <c r="G8" s="0" t="n">
        <v>2020</v>
      </c>
    </row>
    <row r="9" customFormat="false" ht="15" hidden="false" customHeight="false" outlineLevel="0" collapsed="false">
      <c r="A9" s="0" t="s">
        <v>258</v>
      </c>
      <c r="B9" s="52" t="n">
        <v>43833</v>
      </c>
      <c r="C9" s="54" t="s">
        <v>592</v>
      </c>
      <c r="D9" s="0" t="n">
        <v>0.140131282842698</v>
      </c>
      <c r="E9" s="0" t="n">
        <v>0.046056914078199</v>
      </c>
      <c r="F9" s="0" t="n">
        <v>0</v>
      </c>
      <c r="G9" s="0" t="n">
        <v>2020</v>
      </c>
    </row>
    <row r="10" customFormat="false" ht="15" hidden="false" customHeight="false" outlineLevel="0" collapsed="false">
      <c r="A10" s="0" t="s">
        <v>258</v>
      </c>
      <c r="B10" s="52" t="n">
        <v>43834</v>
      </c>
      <c r="C10" s="54" t="s">
        <v>590</v>
      </c>
      <c r="D10" s="0" t="n">
        <v>0.154596983680088</v>
      </c>
      <c r="E10" s="0" t="n">
        <v>0.06607572866835</v>
      </c>
      <c r="F10" s="0" t="n">
        <v>1</v>
      </c>
      <c r="G10" s="0" t="n">
        <v>2020</v>
      </c>
    </row>
    <row r="11" customFormat="false" ht="15" hidden="false" customHeight="false" outlineLevel="0" collapsed="false">
      <c r="A11" s="0" t="s">
        <v>258</v>
      </c>
      <c r="B11" s="52" t="n">
        <v>43835</v>
      </c>
      <c r="C11" s="54" t="s">
        <v>591</v>
      </c>
      <c r="D11" s="0" t="n">
        <v>0.0006276521451406</v>
      </c>
      <c r="E11" s="0" t="n">
        <v>0.0963612536424088</v>
      </c>
      <c r="F11" s="0" t="n">
        <v>1</v>
      </c>
      <c r="G11" s="0" t="n">
        <v>2020</v>
      </c>
    </row>
    <row r="12" customFormat="false" ht="15" hidden="false" customHeight="false" outlineLevel="0" collapsed="false">
      <c r="A12" s="0" t="s">
        <v>258</v>
      </c>
      <c r="B12" s="52" t="n">
        <v>43835</v>
      </c>
      <c r="C12" s="54" t="s">
        <v>592</v>
      </c>
      <c r="D12" s="0" t="n">
        <v>0.008011818647264</v>
      </c>
      <c r="E12" s="0" t="n">
        <v>0.102377690446193</v>
      </c>
      <c r="F12" s="0" t="n">
        <v>1</v>
      </c>
      <c r="G12" s="0" t="n">
        <v>2020</v>
      </c>
    </row>
    <row r="13" customFormat="false" ht="15" hidden="false" customHeight="false" outlineLevel="0" collapsed="false">
      <c r="A13" s="0" t="s">
        <v>258</v>
      </c>
      <c r="B13" s="52" t="n">
        <v>43836</v>
      </c>
      <c r="C13" s="54" t="s">
        <v>590</v>
      </c>
      <c r="D13" s="0" t="n">
        <v>0.0122731248586977</v>
      </c>
      <c r="E13" s="0" t="n">
        <v>0.0743432911424655</v>
      </c>
      <c r="F13" s="0" t="n">
        <v>0</v>
      </c>
      <c r="G13" s="0" t="n">
        <v>2020</v>
      </c>
    </row>
    <row r="14" customFormat="false" ht="15" hidden="false" customHeight="false" outlineLevel="0" collapsed="false">
      <c r="A14" s="0" t="s">
        <v>258</v>
      </c>
      <c r="B14" s="52" t="n">
        <v>43836</v>
      </c>
      <c r="C14" s="54" t="s">
        <v>591</v>
      </c>
      <c r="D14" s="0" t="n">
        <v>0.0528936378964987</v>
      </c>
      <c r="E14" s="0" t="n">
        <v>0.0205972021509069</v>
      </c>
      <c r="F14" s="0" t="n">
        <v>0</v>
      </c>
      <c r="G14" s="0" t="n">
        <v>2020</v>
      </c>
    </row>
    <row r="15" customFormat="false" ht="15" hidden="false" customHeight="false" outlineLevel="0" collapsed="false">
      <c r="A15" s="0" t="s">
        <v>258</v>
      </c>
      <c r="B15" s="52" t="n">
        <v>43836</v>
      </c>
      <c r="C15" s="54" t="s">
        <v>592</v>
      </c>
      <c r="D15" s="0" t="n">
        <v>0.0453977359942151</v>
      </c>
      <c r="E15" s="0" t="n">
        <v>0.0753550339083042</v>
      </c>
      <c r="F15" s="0" t="n">
        <v>0</v>
      </c>
      <c r="G15" s="0" t="n">
        <v>2020</v>
      </c>
    </row>
    <row r="16" customFormat="false" ht="15" hidden="false" customHeight="false" outlineLevel="0" collapsed="false">
      <c r="A16" s="0" t="s">
        <v>258</v>
      </c>
      <c r="B16" s="52" t="n">
        <v>43837</v>
      </c>
      <c r="C16" s="54" t="s">
        <v>590</v>
      </c>
      <c r="D16" s="0" t="n">
        <v>0.0084802689064835</v>
      </c>
      <c r="E16" s="0" t="n">
        <v>0.0584891004291317</v>
      </c>
      <c r="F16" s="0" t="n">
        <v>0</v>
      </c>
      <c r="G16" s="0" t="n">
        <v>2020</v>
      </c>
    </row>
    <row r="17" customFormat="false" ht="15" hidden="false" customHeight="false" outlineLevel="0" collapsed="false">
      <c r="A17" s="0" t="s">
        <v>258</v>
      </c>
      <c r="B17" s="52" t="n">
        <v>43837</v>
      </c>
      <c r="C17" s="54" t="s">
        <v>591</v>
      </c>
      <c r="D17" s="0" t="n">
        <v>0</v>
      </c>
      <c r="E17" s="0" t="n">
        <v>0.023261616870925</v>
      </c>
      <c r="F17" s="0" t="n">
        <v>0</v>
      </c>
      <c r="G17" s="0" t="n">
        <v>2020</v>
      </c>
    </row>
    <row r="18" customFormat="false" ht="15" hidden="false" customHeight="false" outlineLevel="0" collapsed="false">
      <c r="A18" s="0" t="s">
        <v>258</v>
      </c>
      <c r="B18" s="52" t="n">
        <v>43837</v>
      </c>
      <c r="C18" s="54" t="s">
        <v>592</v>
      </c>
      <c r="D18" s="0" t="n">
        <v>0.110860523130335</v>
      </c>
      <c r="E18" s="0" t="n">
        <v>0.0619441264674755</v>
      </c>
      <c r="F18" s="0" t="n">
        <v>0</v>
      </c>
      <c r="G18" s="0" t="n">
        <v>2020</v>
      </c>
    </row>
    <row r="19" customFormat="false" ht="15" hidden="false" customHeight="false" outlineLevel="0" collapsed="false">
      <c r="A19" s="0" t="s">
        <v>258</v>
      </c>
      <c r="B19" s="52" t="n">
        <v>43838</v>
      </c>
      <c r="C19" s="54" t="s">
        <v>590</v>
      </c>
      <c r="D19" s="0" t="n">
        <v>0.0064750743047608</v>
      </c>
      <c r="E19" s="0" t="n">
        <v>0.128857090925183</v>
      </c>
      <c r="F19" s="0" t="n">
        <v>0</v>
      </c>
      <c r="G19" s="0" t="n">
        <v>2020</v>
      </c>
    </row>
    <row r="20" customFormat="false" ht="15" hidden="false" customHeight="false" outlineLevel="0" collapsed="false">
      <c r="A20" s="0" t="s">
        <v>258</v>
      </c>
      <c r="B20" s="52" t="n">
        <v>43838</v>
      </c>
      <c r="C20" s="54" t="s">
        <v>591</v>
      </c>
      <c r="D20" s="0" t="n">
        <v>0.0091571110152803</v>
      </c>
      <c r="E20" s="0" t="n">
        <v>0.103491990918018</v>
      </c>
      <c r="F20" s="0" t="n">
        <v>0</v>
      </c>
      <c r="G20" s="0" t="n">
        <v>2020</v>
      </c>
    </row>
    <row r="21" customFormat="false" ht="15" hidden="false" customHeight="false" outlineLevel="0" collapsed="false">
      <c r="A21" s="0" t="s">
        <v>258</v>
      </c>
      <c r="B21" s="52" t="n">
        <v>43838</v>
      </c>
      <c r="C21" s="54" t="s">
        <v>592</v>
      </c>
      <c r="D21" s="0" t="n">
        <v>0</v>
      </c>
      <c r="E21" s="0" t="n">
        <v>0.0321030640430043</v>
      </c>
      <c r="F21" s="0" t="n">
        <v>0</v>
      </c>
      <c r="G21" s="0" t="n">
        <v>2020</v>
      </c>
    </row>
    <row r="22" customFormat="false" ht="15" hidden="false" customHeight="false" outlineLevel="0" collapsed="false">
      <c r="A22" s="0" t="s">
        <v>258</v>
      </c>
      <c r="B22" s="52" t="n">
        <v>43839</v>
      </c>
      <c r="C22" s="54" t="s">
        <v>590</v>
      </c>
      <c r="D22" s="0" t="n">
        <v>0.0981489722693516</v>
      </c>
      <c r="E22" s="0" t="n">
        <v>0.085580943639381</v>
      </c>
      <c r="F22" s="0" t="n">
        <v>0</v>
      </c>
      <c r="G22" s="0" t="n">
        <v>2020</v>
      </c>
    </row>
    <row r="23" customFormat="false" ht="15" hidden="false" customHeight="false" outlineLevel="0" collapsed="false">
      <c r="A23" s="0" t="s">
        <v>258</v>
      </c>
      <c r="B23" s="52" t="n">
        <v>43839</v>
      </c>
      <c r="C23" s="54" t="s">
        <v>591</v>
      </c>
      <c r="D23" s="0" t="n">
        <v>0.0987197902186312</v>
      </c>
      <c r="E23" s="0" t="n">
        <v>0.0820729089986868</v>
      </c>
      <c r="F23" s="0" t="n">
        <v>0</v>
      </c>
      <c r="G23" s="0" t="n">
        <v>2020</v>
      </c>
    </row>
    <row r="24" customFormat="false" ht="15" hidden="false" customHeight="false" outlineLevel="0" collapsed="false">
      <c r="A24" s="0" t="s">
        <v>258</v>
      </c>
      <c r="B24" s="52" t="n">
        <v>43839</v>
      </c>
      <c r="C24" s="54" t="s">
        <v>592</v>
      </c>
      <c r="D24" s="0" t="n">
        <v>0</v>
      </c>
      <c r="E24" s="0" t="n">
        <v>0.111079541555144</v>
      </c>
      <c r="F24" s="0" t="n">
        <v>0</v>
      </c>
      <c r="G24" s="0" t="n">
        <v>2020</v>
      </c>
    </row>
    <row r="25" customFormat="false" ht="15" hidden="false" customHeight="false" outlineLevel="0" collapsed="false">
      <c r="A25" s="0" t="s">
        <v>258</v>
      </c>
      <c r="B25" s="52" t="n">
        <v>43840</v>
      </c>
      <c r="C25" s="54" t="s">
        <v>590</v>
      </c>
      <c r="D25" s="0" t="n">
        <v>0.0038251378364127</v>
      </c>
      <c r="E25" s="0" t="n">
        <v>0.162120716465532</v>
      </c>
      <c r="F25" s="0" t="n">
        <v>0</v>
      </c>
      <c r="G25" s="0" t="n">
        <v>2020</v>
      </c>
    </row>
    <row r="26" customFormat="false" ht="15" hidden="false" customHeight="false" outlineLevel="0" collapsed="false">
      <c r="A26" s="0" t="s">
        <v>258</v>
      </c>
      <c r="B26" s="52" t="n">
        <v>43840</v>
      </c>
      <c r="C26" s="54" t="s">
        <v>591</v>
      </c>
      <c r="D26" s="0" t="n">
        <v>0</v>
      </c>
      <c r="E26" s="0" t="n">
        <v>0.177706176447026</v>
      </c>
      <c r="F26" s="0" t="n">
        <v>0</v>
      </c>
      <c r="G26" s="0" t="n">
        <v>2020</v>
      </c>
    </row>
    <row r="27" customFormat="false" ht="15" hidden="false" customHeight="false" outlineLevel="0" collapsed="false">
      <c r="A27" s="0" t="s">
        <v>258</v>
      </c>
      <c r="B27" s="52" t="n">
        <v>43840</v>
      </c>
      <c r="C27" s="54" t="s">
        <v>592</v>
      </c>
      <c r="D27" s="0" t="n">
        <v>0.111530121646065</v>
      </c>
      <c r="E27" s="0" t="n">
        <v>0.0934633528510228</v>
      </c>
      <c r="F27" s="0" t="n">
        <v>0</v>
      </c>
      <c r="G27" s="0" t="n">
        <v>2020</v>
      </c>
    </row>
    <row r="28" customFormat="false" ht="15" hidden="false" customHeight="false" outlineLevel="0" collapsed="false">
      <c r="A28" s="0" t="s">
        <v>258</v>
      </c>
      <c r="B28" s="52" t="n">
        <v>43841</v>
      </c>
      <c r="C28" s="54" t="s">
        <v>590</v>
      </c>
      <c r="D28" s="0" t="n">
        <v>0.164284930103198</v>
      </c>
      <c r="E28" s="0" t="n">
        <v>0.0762283402254263</v>
      </c>
      <c r="F28" s="0" t="n">
        <v>1</v>
      </c>
      <c r="G28" s="0" t="n">
        <v>2020</v>
      </c>
    </row>
    <row r="29" customFormat="false" ht="15" hidden="false" customHeight="false" outlineLevel="0" collapsed="false">
      <c r="A29" s="0" t="s">
        <v>258</v>
      </c>
      <c r="B29" s="52" t="n">
        <v>43842</v>
      </c>
      <c r="C29" s="54" t="s">
        <v>590</v>
      </c>
      <c r="D29" s="0" t="n">
        <v>1</v>
      </c>
      <c r="E29" s="0" t="n">
        <v>0</v>
      </c>
      <c r="F29" s="0" t="n">
        <v>1</v>
      </c>
      <c r="G29" s="0" t="n">
        <v>2020</v>
      </c>
    </row>
    <row r="30" customFormat="false" ht="15" hidden="false" customHeight="false" outlineLevel="0" collapsed="false">
      <c r="A30" s="0" t="s">
        <v>258</v>
      </c>
      <c r="B30" s="52" t="n">
        <v>43842</v>
      </c>
      <c r="C30" s="54" t="s">
        <v>592</v>
      </c>
      <c r="D30" s="0" t="n">
        <v>0.0030767076233026</v>
      </c>
      <c r="E30" s="0" t="n">
        <v>0.308045071101939</v>
      </c>
      <c r="F30" s="0" t="n">
        <v>1</v>
      </c>
      <c r="G30" s="0" t="n">
        <v>2020</v>
      </c>
    </row>
    <row r="31" customFormat="false" ht="15" hidden="false" customHeight="false" outlineLevel="0" collapsed="false">
      <c r="A31" s="0" t="s">
        <v>258</v>
      </c>
      <c r="B31" s="52" t="n">
        <v>43843</v>
      </c>
      <c r="C31" s="54" t="s">
        <v>590</v>
      </c>
      <c r="D31" s="0" t="n">
        <v>0</v>
      </c>
      <c r="E31" s="0" t="n">
        <v>0.084322195251325</v>
      </c>
      <c r="F31" s="0" t="n">
        <v>0</v>
      </c>
      <c r="G31" s="0" t="n">
        <v>2020</v>
      </c>
    </row>
    <row r="32" customFormat="false" ht="15" hidden="false" customHeight="false" outlineLevel="0" collapsed="false">
      <c r="A32" s="0" t="s">
        <v>258</v>
      </c>
      <c r="B32" s="52" t="n">
        <v>43843</v>
      </c>
      <c r="C32" s="54" t="s">
        <v>591</v>
      </c>
      <c r="D32" s="0" t="n">
        <v>0.0480909482712158</v>
      </c>
      <c r="E32" s="0" t="n">
        <v>0.110446806804166</v>
      </c>
      <c r="F32" s="0" t="n">
        <v>0</v>
      </c>
      <c r="G32" s="0" t="n">
        <v>2020</v>
      </c>
    </row>
    <row r="33" customFormat="false" ht="15" hidden="false" customHeight="false" outlineLevel="0" collapsed="false">
      <c r="A33" s="0" t="s">
        <v>258</v>
      </c>
      <c r="B33" s="52" t="n">
        <v>43843</v>
      </c>
      <c r="C33" s="54" t="s">
        <v>592</v>
      </c>
      <c r="D33" s="0" t="n">
        <v>0.282607653750341</v>
      </c>
      <c r="E33" s="0" t="n">
        <v>0.470244703815265</v>
      </c>
      <c r="F33" s="0" t="n">
        <v>0</v>
      </c>
      <c r="G33" s="0" t="n">
        <v>2020</v>
      </c>
    </row>
    <row r="34" customFormat="false" ht="15" hidden="false" customHeight="false" outlineLevel="0" collapsed="false">
      <c r="A34" s="0" t="s">
        <v>258</v>
      </c>
      <c r="B34" s="52" t="n">
        <v>43844</v>
      </c>
      <c r="C34" s="54" t="s">
        <v>590</v>
      </c>
      <c r="D34" s="0" t="n">
        <v>0</v>
      </c>
      <c r="E34" s="0" t="n">
        <v>0.20476189591137</v>
      </c>
      <c r="F34" s="0" t="n">
        <v>0</v>
      </c>
      <c r="G34" s="0" t="n">
        <v>2020</v>
      </c>
    </row>
    <row r="35" customFormat="false" ht="15" hidden="false" customHeight="false" outlineLevel="0" collapsed="false">
      <c r="A35" s="0" t="s">
        <v>258</v>
      </c>
      <c r="B35" s="52" t="n">
        <v>43844</v>
      </c>
      <c r="C35" s="54" t="s">
        <v>591</v>
      </c>
      <c r="D35" s="0" t="n">
        <v>0.0163636645037367</v>
      </c>
      <c r="E35" s="0" t="n">
        <v>0.0780574665800042</v>
      </c>
      <c r="F35" s="0" t="n">
        <v>0</v>
      </c>
      <c r="G35" s="0" t="n">
        <v>2020</v>
      </c>
    </row>
    <row r="36" customFormat="false" ht="15" hidden="false" customHeight="false" outlineLevel="0" collapsed="false">
      <c r="A36" s="0" t="s">
        <v>258</v>
      </c>
      <c r="B36" s="52" t="n">
        <v>43844</v>
      </c>
      <c r="C36" s="54" t="s">
        <v>592</v>
      </c>
      <c r="D36" s="0" t="n">
        <v>0.0046998653031158</v>
      </c>
      <c r="E36" s="0" t="n">
        <v>0.105046131165436</v>
      </c>
      <c r="F36" s="0" t="n">
        <v>0</v>
      </c>
      <c r="G36" s="0" t="n">
        <v>2020</v>
      </c>
    </row>
    <row r="37" customFormat="false" ht="15" hidden="false" customHeight="false" outlineLevel="0" collapsed="false">
      <c r="A37" s="0" t="s">
        <v>258</v>
      </c>
      <c r="B37" s="52" t="n">
        <v>43845</v>
      </c>
      <c r="C37" s="54" t="s">
        <v>590</v>
      </c>
      <c r="D37" s="0" t="n">
        <v>0.0097418475572997</v>
      </c>
      <c r="E37" s="0" t="n">
        <v>0.232516814942622</v>
      </c>
      <c r="F37" s="0" t="n">
        <v>0</v>
      </c>
      <c r="G37" s="0" t="n">
        <v>2020</v>
      </c>
    </row>
    <row r="38" customFormat="false" ht="15" hidden="false" customHeight="false" outlineLevel="0" collapsed="false">
      <c r="A38" s="0" t="s">
        <v>258</v>
      </c>
      <c r="B38" s="52" t="n">
        <v>43845</v>
      </c>
      <c r="C38" s="54" t="s">
        <v>591</v>
      </c>
      <c r="D38" s="0" t="n">
        <v>0.191492516336488</v>
      </c>
      <c r="E38" s="0" t="n">
        <v>0.0406856150874857</v>
      </c>
      <c r="F38" s="0" t="n">
        <v>0</v>
      </c>
      <c r="G38" s="0" t="n">
        <v>2020</v>
      </c>
    </row>
    <row r="39" customFormat="false" ht="15" hidden="false" customHeight="false" outlineLevel="0" collapsed="false">
      <c r="A39" s="0" t="s">
        <v>258</v>
      </c>
      <c r="B39" s="52" t="n">
        <v>43845</v>
      </c>
      <c r="C39" s="54" t="s">
        <v>592</v>
      </c>
      <c r="D39" s="0" t="n">
        <v>0</v>
      </c>
      <c r="E39" s="0" t="n">
        <v>0.43383038257616</v>
      </c>
      <c r="F39" s="0" t="n">
        <v>0</v>
      </c>
      <c r="G39" s="0" t="n">
        <v>2020</v>
      </c>
    </row>
    <row r="40" customFormat="false" ht="15" hidden="false" customHeight="false" outlineLevel="0" collapsed="false">
      <c r="A40" s="0" t="s">
        <v>258</v>
      </c>
      <c r="B40" s="52" t="n">
        <v>43846</v>
      </c>
      <c r="C40" s="54" t="s">
        <v>590</v>
      </c>
      <c r="D40" s="0" t="n">
        <v>0.0089406501430506</v>
      </c>
      <c r="E40" s="0" t="n">
        <v>0.131493138976434</v>
      </c>
      <c r="F40" s="0" t="n">
        <v>0</v>
      </c>
      <c r="G40" s="0" t="n">
        <v>2020</v>
      </c>
    </row>
    <row r="41" customFormat="false" ht="15" hidden="false" customHeight="false" outlineLevel="0" collapsed="false">
      <c r="A41" s="0" t="s">
        <v>258</v>
      </c>
      <c r="B41" s="52" t="n">
        <v>43846</v>
      </c>
      <c r="C41" s="54" t="s">
        <v>591</v>
      </c>
      <c r="D41" s="0" t="n">
        <v>0.023345043681909</v>
      </c>
      <c r="E41" s="0" t="n">
        <v>0.0269150789342313</v>
      </c>
      <c r="F41" s="0" t="n">
        <v>0</v>
      </c>
      <c r="G41" s="0" t="n">
        <v>2020</v>
      </c>
    </row>
    <row r="42" customFormat="false" ht="15" hidden="false" customHeight="false" outlineLevel="0" collapsed="false">
      <c r="A42" s="0" t="s">
        <v>258</v>
      </c>
      <c r="B42" s="52" t="n">
        <v>43846</v>
      </c>
      <c r="C42" s="54" t="s">
        <v>592</v>
      </c>
      <c r="D42" s="0" t="n">
        <v>0.143809824240815</v>
      </c>
      <c r="E42" s="0" t="n">
        <v>0.205667527032998</v>
      </c>
      <c r="F42" s="0" t="n">
        <v>0</v>
      </c>
      <c r="G42" s="0" t="n">
        <v>2020</v>
      </c>
    </row>
    <row r="43" customFormat="false" ht="15" hidden="false" customHeight="false" outlineLevel="0" collapsed="false">
      <c r="A43" s="0" t="s">
        <v>258</v>
      </c>
      <c r="B43" s="52" t="n">
        <v>43847</v>
      </c>
      <c r="C43" s="54" t="s">
        <v>590</v>
      </c>
      <c r="D43" s="0" t="n">
        <v>0.0109934364869312</v>
      </c>
      <c r="E43" s="0" t="n">
        <v>0.120979836646306</v>
      </c>
      <c r="F43" s="0" t="n">
        <v>0</v>
      </c>
      <c r="G43" s="0" t="n">
        <v>2020</v>
      </c>
    </row>
    <row r="44" customFormat="false" ht="15" hidden="false" customHeight="false" outlineLevel="0" collapsed="false">
      <c r="A44" s="0" t="s">
        <v>258</v>
      </c>
      <c r="B44" s="52" t="n">
        <v>43847</v>
      </c>
      <c r="C44" s="54" t="s">
        <v>591</v>
      </c>
      <c r="D44" s="0" t="n">
        <v>0.004882697335358</v>
      </c>
      <c r="E44" s="0" t="n">
        <v>0.0679023768961557</v>
      </c>
      <c r="F44" s="0" t="n">
        <v>0</v>
      </c>
      <c r="G44" s="0" t="n">
        <v>2020</v>
      </c>
    </row>
    <row r="45" customFormat="false" ht="15" hidden="false" customHeight="false" outlineLevel="0" collapsed="false">
      <c r="A45" s="0" t="s">
        <v>258</v>
      </c>
      <c r="B45" s="52" t="n">
        <v>43847</v>
      </c>
      <c r="C45" s="54" t="s">
        <v>592</v>
      </c>
      <c r="D45" s="0" t="n">
        <v>0.0126434701447206</v>
      </c>
      <c r="E45" s="0" t="n">
        <v>0.0495802406452731</v>
      </c>
      <c r="F45" s="0" t="n">
        <v>0</v>
      </c>
      <c r="G45" s="0" t="n">
        <v>2020</v>
      </c>
    </row>
    <row r="46" customFormat="false" ht="15" hidden="false" customHeight="false" outlineLevel="0" collapsed="false">
      <c r="A46" s="0" t="s">
        <v>258</v>
      </c>
      <c r="B46" s="52" t="n">
        <v>43848</v>
      </c>
      <c r="C46" s="54" t="s">
        <v>590</v>
      </c>
      <c r="D46" s="0" t="n">
        <v>0.0828539597099879</v>
      </c>
      <c r="E46" s="0" t="n">
        <v>0.322695075411659</v>
      </c>
      <c r="F46" s="0" t="n">
        <v>1</v>
      </c>
      <c r="G46" s="0" t="n">
        <v>2020</v>
      </c>
    </row>
    <row r="47" customFormat="false" ht="15" hidden="false" customHeight="false" outlineLevel="0" collapsed="false">
      <c r="A47" s="0" t="s">
        <v>258</v>
      </c>
      <c r="B47" s="52" t="n">
        <v>43849</v>
      </c>
      <c r="C47" s="54" t="s">
        <v>591</v>
      </c>
      <c r="D47" s="0" t="n">
        <v>0.635478803423792</v>
      </c>
      <c r="E47" s="0" t="n">
        <v>0</v>
      </c>
      <c r="F47" s="0" t="n">
        <v>1</v>
      </c>
      <c r="G47" s="0" t="n">
        <v>2020</v>
      </c>
    </row>
    <row r="48" customFormat="false" ht="15" hidden="false" customHeight="false" outlineLevel="0" collapsed="false">
      <c r="A48" s="0" t="s">
        <v>258</v>
      </c>
      <c r="B48" s="52" t="n">
        <v>43849</v>
      </c>
      <c r="C48" s="54" t="s">
        <v>592</v>
      </c>
      <c r="D48" s="0" t="n">
        <v>0.0503229878473961</v>
      </c>
      <c r="E48" s="0" t="n">
        <v>0.0505100164326811</v>
      </c>
      <c r="F48" s="0" t="n">
        <v>1</v>
      </c>
      <c r="G48" s="0" t="n">
        <v>2020</v>
      </c>
    </row>
    <row r="49" customFormat="false" ht="15" hidden="false" customHeight="false" outlineLevel="0" collapsed="false">
      <c r="A49" s="0" t="s">
        <v>258</v>
      </c>
      <c r="B49" s="52" t="n">
        <v>43850</v>
      </c>
      <c r="C49" s="54" t="s">
        <v>590</v>
      </c>
      <c r="D49" s="0" t="n">
        <v>0.239754502046628</v>
      </c>
      <c r="E49" s="0" t="n">
        <v>0.168818268629833</v>
      </c>
      <c r="F49" s="0" t="n">
        <v>0</v>
      </c>
      <c r="G49" s="0" t="n">
        <v>2020</v>
      </c>
    </row>
    <row r="50" customFormat="false" ht="15" hidden="false" customHeight="false" outlineLevel="0" collapsed="false">
      <c r="A50" s="0" t="s">
        <v>258</v>
      </c>
      <c r="B50" s="52" t="n">
        <v>43850</v>
      </c>
      <c r="C50" s="54" t="s">
        <v>591</v>
      </c>
      <c r="D50" s="0" t="n">
        <v>0</v>
      </c>
      <c r="E50" s="0" t="n">
        <v>0.218644917305434</v>
      </c>
      <c r="F50" s="0" t="n">
        <v>0</v>
      </c>
      <c r="G50" s="0" t="n">
        <v>2020</v>
      </c>
    </row>
    <row r="51" customFormat="false" ht="15" hidden="false" customHeight="false" outlineLevel="0" collapsed="false">
      <c r="A51" s="0" t="s">
        <v>258</v>
      </c>
      <c r="B51" s="52" t="n">
        <v>43850</v>
      </c>
      <c r="C51" s="54" t="s">
        <v>592</v>
      </c>
      <c r="D51" s="0" t="n">
        <v>0.0459509799329117</v>
      </c>
      <c r="E51" s="0" t="n">
        <v>0.172352983071915</v>
      </c>
      <c r="F51" s="0" t="n">
        <v>0</v>
      </c>
      <c r="G51" s="0" t="n">
        <v>2020</v>
      </c>
    </row>
    <row r="52" customFormat="false" ht="15" hidden="false" customHeight="false" outlineLevel="0" collapsed="false">
      <c r="A52" s="0" t="s">
        <v>258</v>
      </c>
      <c r="B52" s="52" t="n">
        <v>43851</v>
      </c>
      <c r="C52" s="54" t="s">
        <v>590</v>
      </c>
      <c r="D52" s="0" t="n">
        <v>0</v>
      </c>
      <c r="E52" s="0" t="n">
        <v>0.132902174307296</v>
      </c>
      <c r="F52" s="0" t="n">
        <v>0</v>
      </c>
      <c r="G52" s="0" t="n">
        <v>2020</v>
      </c>
    </row>
    <row r="53" customFormat="false" ht="15" hidden="false" customHeight="false" outlineLevel="0" collapsed="false">
      <c r="A53" s="0" t="s">
        <v>258</v>
      </c>
      <c r="B53" s="52" t="n">
        <v>43851</v>
      </c>
      <c r="C53" s="54" t="s">
        <v>591</v>
      </c>
      <c r="D53" s="0" t="n">
        <v>0</v>
      </c>
      <c r="E53" s="0" t="n">
        <v>0.0607826705905112</v>
      </c>
      <c r="F53" s="0" t="n">
        <v>0</v>
      </c>
      <c r="G53" s="0" t="n">
        <v>2020</v>
      </c>
    </row>
    <row r="54" customFormat="false" ht="15" hidden="false" customHeight="false" outlineLevel="0" collapsed="false">
      <c r="A54" s="0" t="s">
        <v>258</v>
      </c>
      <c r="B54" s="52" t="n">
        <v>43851</v>
      </c>
      <c r="C54" s="54" t="s">
        <v>592</v>
      </c>
      <c r="D54" s="0" t="n">
        <v>0.322949187419334</v>
      </c>
      <c r="E54" s="0" t="n">
        <v>0.0402983114718518</v>
      </c>
      <c r="F54" s="0" t="n">
        <v>0</v>
      </c>
      <c r="G54" s="0" t="n">
        <v>2020</v>
      </c>
    </row>
    <row r="55" customFormat="false" ht="15" hidden="false" customHeight="false" outlineLevel="0" collapsed="false">
      <c r="A55" s="0" t="s">
        <v>258</v>
      </c>
      <c r="B55" s="52" t="n">
        <v>43852</v>
      </c>
      <c r="C55" s="54" t="s">
        <v>590</v>
      </c>
      <c r="D55" s="0" t="n">
        <v>0.0676141083370248</v>
      </c>
      <c r="E55" s="0" t="n">
        <v>0.138682822238657</v>
      </c>
      <c r="F55" s="0" t="n">
        <v>0</v>
      </c>
      <c r="G55" s="0" t="n">
        <v>2020</v>
      </c>
    </row>
    <row r="56" customFormat="false" ht="15" hidden="false" customHeight="false" outlineLevel="0" collapsed="false">
      <c r="A56" s="0" t="s">
        <v>258</v>
      </c>
      <c r="B56" s="52" t="n">
        <v>43852</v>
      </c>
      <c r="C56" s="54" t="s">
        <v>591</v>
      </c>
      <c r="D56" s="0" t="n">
        <v>0.0185885509155897</v>
      </c>
      <c r="E56" s="0" t="n">
        <v>0.0511161853621248</v>
      </c>
      <c r="F56" s="0" t="n">
        <v>0</v>
      </c>
      <c r="G56" s="0" t="n">
        <v>2020</v>
      </c>
    </row>
    <row r="57" customFormat="false" ht="15" hidden="false" customHeight="false" outlineLevel="0" collapsed="false">
      <c r="A57" s="0" t="s">
        <v>258</v>
      </c>
      <c r="B57" s="52" t="n">
        <v>43852</v>
      </c>
      <c r="C57" s="54" t="s">
        <v>592</v>
      </c>
      <c r="D57" s="0" t="n">
        <v>0.0094514238128387</v>
      </c>
      <c r="E57" s="0" t="n">
        <v>0.0683247591196236</v>
      </c>
      <c r="F57" s="0" t="n">
        <v>0</v>
      </c>
      <c r="G57" s="0" t="n">
        <v>2020</v>
      </c>
    </row>
    <row r="58" customFormat="false" ht="15" hidden="false" customHeight="false" outlineLevel="0" collapsed="false">
      <c r="A58" s="0" t="s">
        <v>258</v>
      </c>
      <c r="B58" s="52" t="n">
        <v>43853</v>
      </c>
      <c r="C58" s="54" t="s">
        <v>590</v>
      </c>
      <c r="D58" s="0" t="n">
        <v>0.320156800616347</v>
      </c>
      <c r="E58" s="0" t="n">
        <v>0.117186624348907</v>
      </c>
      <c r="F58" s="0" t="n">
        <v>0</v>
      </c>
      <c r="G58" s="0" t="n">
        <v>2020</v>
      </c>
    </row>
    <row r="59" customFormat="false" ht="15" hidden="false" customHeight="false" outlineLevel="0" collapsed="false">
      <c r="A59" s="0" t="s">
        <v>258</v>
      </c>
      <c r="B59" s="52" t="n">
        <v>43853</v>
      </c>
      <c r="C59" s="54" t="s">
        <v>591</v>
      </c>
      <c r="D59" s="0" t="n">
        <v>0.0004727126270386</v>
      </c>
      <c r="E59" s="0" t="n">
        <v>0.0957325297706214</v>
      </c>
      <c r="F59" s="0" t="n">
        <v>0</v>
      </c>
      <c r="G59" s="0" t="n">
        <v>2020</v>
      </c>
    </row>
    <row r="60" customFormat="false" ht="15" hidden="false" customHeight="false" outlineLevel="0" collapsed="false">
      <c r="A60" s="0" t="s">
        <v>258</v>
      </c>
      <c r="B60" s="52" t="n">
        <v>43853</v>
      </c>
      <c r="C60" s="54" t="s">
        <v>592</v>
      </c>
      <c r="D60" s="0" t="n">
        <v>0.0871171638258077</v>
      </c>
      <c r="E60" s="0" t="n">
        <v>0.113927475904642</v>
      </c>
      <c r="F60" s="0" t="n">
        <v>0</v>
      </c>
      <c r="G60" s="0" t="n">
        <v>2020</v>
      </c>
    </row>
    <row r="61" customFormat="false" ht="15" hidden="false" customHeight="false" outlineLevel="0" collapsed="false">
      <c r="A61" s="0" t="s">
        <v>258</v>
      </c>
      <c r="B61" s="52" t="n">
        <v>43854</v>
      </c>
      <c r="C61" s="54" t="s">
        <v>590</v>
      </c>
      <c r="D61" s="0" t="n">
        <v>0.0013662740675097</v>
      </c>
      <c r="E61" s="0" t="n">
        <v>0.176678255464031</v>
      </c>
      <c r="F61" s="0" t="n">
        <v>0</v>
      </c>
      <c r="G61" s="0" t="n">
        <v>2020</v>
      </c>
    </row>
    <row r="62" customFormat="false" ht="15" hidden="false" customHeight="false" outlineLevel="0" collapsed="false">
      <c r="A62" s="0" t="s">
        <v>258</v>
      </c>
      <c r="B62" s="52" t="n">
        <v>43854</v>
      </c>
      <c r="C62" s="54" t="s">
        <v>591</v>
      </c>
      <c r="D62" s="0" t="n">
        <v>0.0043360915655088</v>
      </c>
      <c r="E62" s="0" t="n">
        <v>0.19853283562483</v>
      </c>
      <c r="F62" s="0" t="n">
        <v>0</v>
      </c>
      <c r="G62" s="0" t="n">
        <v>2020</v>
      </c>
    </row>
    <row r="63" customFormat="false" ht="15" hidden="false" customHeight="false" outlineLevel="0" collapsed="false">
      <c r="A63" s="0" t="s">
        <v>258</v>
      </c>
      <c r="B63" s="52" t="n">
        <v>43854</v>
      </c>
      <c r="C63" s="54" t="s">
        <v>592</v>
      </c>
      <c r="D63" s="0" t="n">
        <v>0.00026637399866</v>
      </c>
      <c r="E63" s="0" t="n">
        <v>0.113066601225983</v>
      </c>
      <c r="F63" s="0" t="n">
        <v>0</v>
      </c>
      <c r="G63" s="0" t="n">
        <v>2020</v>
      </c>
    </row>
    <row r="64" customFormat="false" ht="15" hidden="false" customHeight="false" outlineLevel="0" collapsed="false">
      <c r="A64" s="0" t="s">
        <v>258</v>
      </c>
      <c r="B64" s="52" t="n">
        <v>43855</v>
      </c>
      <c r="C64" s="54" t="s">
        <v>590</v>
      </c>
      <c r="D64" s="0" t="n">
        <v>0.154207233261809</v>
      </c>
      <c r="E64" s="0" t="n">
        <v>0.206376154492024</v>
      </c>
      <c r="F64" s="0" t="n">
        <v>1</v>
      </c>
      <c r="G64" s="0" t="n">
        <v>2020</v>
      </c>
    </row>
    <row r="65" customFormat="false" ht="15" hidden="false" customHeight="false" outlineLevel="0" collapsed="false">
      <c r="A65" s="0" t="s">
        <v>258</v>
      </c>
      <c r="B65" s="52" t="n">
        <v>43856</v>
      </c>
      <c r="C65" s="54" t="s">
        <v>590</v>
      </c>
      <c r="D65" s="0" t="n">
        <v>1</v>
      </c>
      <c r="E65" s="0" t="n">
        <v>0</v>
      </c>
      <c r="F65" s="0" t="n">
        <v>1</v>
      </c>
      <c r="G65" s="0" t="n">
        <v>2020</v>
      </c>
    </row>
    <row r="66" customFormat="false" ht="15" hidden="false" customHeight="false" outlineLevel="0" collapsed="false">
      <c r="A66" s="0" t="s">
        <v>258</v>
      </c>
      <c r="B66" s="52" t="n">
        <v>43856</v>
      </c>
      <c r="C66" s="54" t="s">
        <v>591</v>
      </c>
      <c r="D66" s="0" t="n">
        <v>0.904811108466589</v>
      </c>
      <c r="E66" s="0" t="n">
        <v>0.0032503513562816</v>
      </c>
      <c r="F66" s="0" t="n">
        <v>1</v>
      </c>
      <c r="G66" s="0" t="n">
        <v>2020</v>
      </c>
    </row>
    <row r="67" customFormat="false" ht="15" hidden="false" customHeight="false" outlineLevel="0" collapsed="false">
      <c r="A67" s="0" t="s">
        <v>258</v>
      </c>
      <c r="B67" s="52" t="n">
        <v>43856</v>
      </c>
      <c r="C67" s="54" t="s">
        <v>592</v>
      </c>
      <c r="D67" s="0" t="n">
        <v>0.0086584547176558</v>
      </c>
      <c r="E67" s="0" t="n">
        <v>0.169194204550727</v>
      </c>
      <c r="F67" s="0" t="n">
        <v>1</v>
      </c>
      <c r="G67" s="0" t="n">
        <v>2020</v>
      </c>
    </row>
    <row r="68" customFormat="false" ht="15" hidden="false" customHeight="false" outlineLevel="0" collapsed="false">
      <c r="A68" s="0" t="s">
        <v>258</v>
      </c>
      <c r="B68" s="52" t="n">
        <v>43857</v>
      </c>
      <c r="C68" s="54" t="s">
        <v>590</v>
      </c>
      <c r="D68" s="0" t="n">
        <v>0.004666938943937</v>
      </c>
      <c r="E68" s="0" t="n">
        <v>0.101912620687768</v>
      </c>
      <c r="F68" s="0" t="n">
        <v>0</v>
      </c>
      <c r="G68" s="0" t="n">
        <v>2020</v>
      </c>
    </row>
    <row r="69" customFormat="false" ht="15" hidden="false" customHeight="false" outlineLevel="0" collapsed="false">
      <c r="A69" s="0" t="s">
        <v>258</v>
      </c>
      <c r="B69" s="52" t="n">
        <v>43857</v>
      </c>
      <c r="C69" s="54" t="s">
        <v>591</v>
      </c>
      <c r="D69" s="0" t="n">
        <v>0.0211875694256151</v>
      </c>
      <c r="E69" s="0" t="n">
        <v>0.0851842457426244</v>
      </c>
      <c r="F69" s="0" t="n">
        <v>0</v>
      </c>
      <c r="G69" s="0" t="n">
        <v>2020</v>
      </c>
    </row>
    <row r="70" customFormat="false" ht="15" hidden="false" customHeight="false" outlineLevel="0" collapsed="false">
      <c r="A70" s="0" t="s">
        <v>258</v>
      </c>
      <c r="B70" s="52" t="n">
        <v>43857</v>
      </c>
      <c r="C70" s="54" t="s">
        <v>592</v>
      </c>
      <c r="D70" s="0" t="n">
        <v>0.0842286601972874</v>
      </c>
      <c r="E70" s="0" t="n">
        <v>0.145162387465652</v>
      </c>
      <c r="F70" s="0" t="n">
        <v>0</v>
      </c>
      <c r="G70" s="0" t="n">
        <v>2020</v>
      </c>
    </row>
    <row r="71" customFormat="false" ht="15" hidden="false" customHeight="false" outlineLevel="0" collapsed="false">
      <c r="A71" s="0" t="s">
        <v>258</v>
      </c>
      <c r="B71" s="52" t="n">
        <v>43858</v>
      </c>
      <c r="C71" s="54" t="s">
        <v>590</v>
      </c>
      <c r="D71" s="0" t="n">
        <v>0</v>
      </c>
      <c r="E71" s="0" t="n">
        <v>0.260032082458991</v>
      </c>
      <c r="F71" s="0" t="n">
        <v>0</v>
      </c>
      <c r="G71" s="0" t="n">
        <v>2020</v>
      </c>
    </row>
    <row r="72" customFormat="false" ht="15" hidden="false" customHeight="false" outlineLevel="0" collapsed="false">
      <c r="A72" s="0" t="s">
        <v>258</v>
      </c>
      <c r="B72" s="52" t="n">
        <v>43858</v>
      </c>
      <c r="C72" s="54" t="s">
        <v>591</v>
      </c>
      <c r="D72" s="0" t="n">
        <v>0.002612044860593</v>
      </c>
      <c r="E72" s="0" t="n">
        <v>0.0442217202625957</v>
      </c>
      <c r="F72" s="0" t="n">
        <v>0</v>
      </c>
      <c r="G72" s="0" t="n">
        <v>2020</v>
      </c>
    </row>
    <row r="73" customFormat="false" ht="15" hidden="false" customHeight="false" outlineLevel="0" collapsed="false">
      <c r="A73" s="0" t="s">
        <v>258</v>
      </c>
      <c r="B73" s="52" t="n">
        <v>43858</v>
      </c>
      <c r="C73" s="54" t="s">
        <v>592</v>
      </c>
      <c r="D73" s="0" t="n">
        <v>0.0118109754446478</v>
      </c>
      <c r="E73" s="0" t="n">
        <v>0.245637705278842</v>
      </c>
      <c r="F73" s="0" t="n">
        <v>0</v>
      </c>
      <c r="G73" s="0" t="n">
        <v>2020</v>
      </c>
    </row>
    <row r="74" customFormat="false" ht="15" hidden="false" customHeight="false" outlineLevel="0" collapsed="false">
      <c r="A74" s="0" t="s">
        <v>258</v>
      </c>
      <c r="B74" s="52" t="n">
        <v>43859</v>
      </c>
      <c r="C74" s="54" t="s">
        <v>590</v>
      </c>
      <c r="D74" s="0" t="n">
        <v>0.601080257089551</v>
      </c>
      <c r="E74" s="0" t="n">
        <v>0.219112685058405</v>
      </c>
      <c r="F74" s="0" t="n">
        <v>0</v>
      </c>
      <c r="G74" s="0" t="n">
        <v>2020</v>
      </c>
    </row>
    <row r="75" customFormat="false" ht="15" hidden="false" customHeight="false" outlineLevel="0" collapsed="false">
      <c r="A75" s="0" t="s">
        <v>258</v>
      </c>
      <c r="B75" s="52" t="n">
        <v>43859</v>
      </c>
      <c r="C75" s="54" t="s">
        <v>591</v>
      </c>
      <c r="D75" s="0" t="n">
        <v>0.0426514808140408</v>
      </c>
      <c r="E75" s="0" t="n">
        <v>0.0346655177457973</v>
      </c>
      <c r="F75" s="0" t="n">
        <v>0</v>
      </c>
      <c r="G75" s="0" t="n">
        <v>2020</v>
      </c>
    </row>
    <row r="76" customFormat="false" ht="15" hidden="false" customHeight="false" outlineLevel="0" collapsed="false">
      <c r="A76" s="0" t="s">
        <v>258</v>
      </c>
      <c r="B76" s="52" t="n">
        <v>43859</v>
      </c>
      <c r="C76" s="54" t="s">
        <v>592</v>
      </c>
      <c r="D76" s="0" t="n">
        <v>0.002328093130292</v>
      </c>
      <c r="E76" s="0" t="n">
        <v>0.0465270741087626</v>
      </c>
      <c r="F76" s="0" t="n">
        <v>0</v>
      </c>
      <c r="G76" s="0" t="n">
        <v>2020</v>
      </c>
    </row>
    <row r="77" customFormat="false" ht="15" hidden="false" customHeight="false" outlineLevel="0" collapsed="false">
      <c r="A77" s="0" t="s">
        <v>258</v>
      </c>
      <c r="B77" s="52" t="n">
        <v>43860</v>
      </c>
      <c r="C77" s="54" t="s">
        <v>590</v>
      </c>
      <c r="D77" s="0" t="n">
        <v>0.0001583155778396</v>
      </c>
      <c r="E77" s="0" t="n">
        <v>0.364681743814822</v>
      </c>
      <c r="F77" s="0" t="n">
        <v>0</v>
      </c>
      <c r="G77" s="0" t="n">
        <v>2020</v>
      </c>
    </row>
    <row r="78" customFormat="false" ht="15" hidden="false" customHeight="false" outlineLevel="0" collapsed="false">
      <c r="A78" s="0" t="s">
        <v>258</v>
      </c>
      <c r="B78" s="52" t="n">
        <v>43860</v>
      </c>
      <c r="C78" s="54" t="s">
        <v>591</v>
      </c>
      <c r="D78" s="0" t="n">
        <v>0.117086054380318</v>
      </c>
      <c r="E78" s="0" t="n">
        <v>0.0697034118524147</v>
      </c>
      <c r="F78" s="0" t="n">
        <v>0</v>
      </c>
      <c r="G78" s="0" t="n">
        <v>2020</v>
      </c>
    </row>
    <row r="79" customFormat="false" ht="15" hidden="false" customHeight="false" outlineLevel="0" collapsed="false">
      <c r="A79" s="0" t="s">
        <v>258</v>
      </c>
      <c r="B79" s="52" t="n">
        <v>43860</v>
      </c>
      <c r="C79" s="54" t="s">
        <v>592</v>
      </c>
      <c r="D79" s="0" t="n">
        <v>0.0067202717750996</v>
      </c>
      <c r="E79" s="0" t="n">
        <v>0.0730457335051018</v>
      </c>
      <c r="F79" s="0" t="n">
        <v>0</v>
      </c>
      <c r="G79" s="0" t="n">
        <v>2020</v>
      </c>
    </row>
    <row r="80" customFormat="false" ht="15" hidden="false" customHeight="false" outlineLevel="0" collapsed="false">
      <c r="A80" s="0" t="s">
        <v>258</v>
      </c>
      <c r="B80" s="52" t="n">
        <v>43861</v>
      </c>
      <c r="C80" s="54" t="s">
        <v>590</v>
      </c>
      <c r="D80" s="0" t="n">
        <v>0.0203267891870963</v>
      </c>
      <c r="E80" s="0" t="n">
        <v>0.149044061825543</v>
      </c>
      <c r="F80" s="0" t="n">
        <v>0</v>
      </c>
      <c r="G80" s="0" t="n">
        <v>2020</v>
      </c>
    </row>
    <row r="81" customFormat="false" ht="15" hidden="false" customHeight="false" outlineLevel="0" collapsed="false">
      <c r="A81" s="0" t="s">
        <v>258</v>
      </c>
      <c r="B81" s="52" t="n">
        <v>43861</v>
      </c>
      <c r="C81" s="54" t="s">
        <v>591</v>
      </c>
      <c r="D81" s="0" t="n">
        <v>0.000452940036925</v>
      </c>
      <c r="E81" s="0" t="n">
        <v>0.23135404711534</v>
      </c>
      <c r="F81" s="0" t="n">
        <v>0</v>
      </c>
      <c r="G81" s="0" t="n">
        <v>2020</v>
      </c>
    </row>
    <row r="82" customFormat="false" ht="15" hidden="false" customHeight="false" outlineLevel="0" collapsed="false">
      <c r="A82" s="0" t="s">
        <v>258</v>
      </c>
      <c r="B82" s="52" t="n">
        <v>43861</v>
      </c>
      <c r="C82" s="54" t="s">
        <v>592</v>
      </c>
      <c r="D82" s="0" t="n">
        <v>0.0822258961974356</v>
      </c>
      <c r="E82" s="0" t="n">
        <v>0.287045952893301</v>
      </c>
      <c r="F82" s="0" t="n">
        <v>0</v>
      </c>
      <c r="G82" s="0" t="n">
        <v>2020</v>
      </c>
    </row>
    <row r="83" customFormat="false" ht="15" hidden="false" customHeight="false" outlineLevel="0" collapsed="false">
      <c r="A83" s="0" t="s">
        <v>258</v>
      </c>
      <c r="B83" s="52" t="n">
        <v>43862</v>
      </c>
      <c r="C83" s="54" t="s">
        <v>590</v>
      </c>
      <c r="D83" s="0" t="n">
        <v>0.0670211983072838</v>
      </c>
      <c r="E83" s="0" t="n">
        <v>0.384984439825405</v>
      </c>
      <c r="F83" s="0" t="n">
        <v>1</v>
      </c>
      <c r="G83" s="0" t="n">
        <v>2020</v>
      </c>
    </row>
    <row r="84" customFormat="false" ht="15" hidden="false" customHeight="false" outlineLevel="0" collapsed="false">
      <c r="A84" s="0" t="s">
        <v>258</v>
      </c>
      <c r="B84" s="52" t="n">
        <v>43863</v>
      </c>
      <c r="C84" s="54" t="s">
        <v>592</v>
      </c>
      <c r="D84" s="0" t="n">
        <v>0.0105809727649105</v>
      </c>
      <c r="E84" s="0" t="n">
        <v>0.295750472776806</v>
      </c>
      <c r="F84" s="0" t="n">
        <v>1</v>
      </c>
      <c r="G84" s="0" t="n">
        <v>2020</v>
      </c>
    </row>
    <row r="85" customFormat="false" ht="15" hidden="false" customHeight="false" outlineLevel="0" collapsed="false">
      <c r="A85" s="0" t="s">
        <v>258</v>
      </c>
      <c r="B85" s="52" t="n">
        <v>43864</v>
      </c>
      <c r="C85" s="54" t="s">
        <v>590</v>
      </c>
      <c r="D85" s="0" t="n">
        <v>0.139150530870419</v>
      </c>
      <c r="E85" s="0" t="n">
        <v>0.336857429867469</v>
      </c>
      <c r="F85" s="0" t="n">
        <v>0</v>
      </c>
      <c r="G85" s="0" t="n">
        <v>2020</v>
      </c>
    </row>
    <row r="86" customFormat="false" ht="15" hidden="false" customHeight="false" outlineLevel="0" collapsed="false">
      <c r="A86" s="0" t="s">
        <v>258</v>
      </c>
      <c r="B86" s="52" t="n">
        <v>43864</v>
      </c>
      <c r="C86" s="54" t="s">
        <v>591</v>
      </c>
      <c r="D86" s="0" t="n">
        <v>0</v>
      </c>
      <c r="E86" s="0" t="n">
        <v>0.0927091292025498</v>
      </c>
      <c r="F86" s="0" t="n">
        <v>0</v>
      </c>
      <c r="G86" s="0" t="n">
        <v>2020</v>
      </c>
    </row>
    <row r="87" customFormat="false" ht="15" hidden="false" customHeight="false" outlineLevel="0" collapsed="false">
      <c r="A87" s="0" t="s">
        <v>258</v>
      </c>
      <c r="B87" s="52" t="n">
        <v>43864</v>
      </c>
      <c r="C87" s="54" t="s">
        <v>592</v>
      </c>
      <c r="D87" s="0" t="n">
        <v>0.080617407457369</v>
      </c>
      <c r="E87" s="0" t="n">
        <v>0.0702868604431993</v>
      </c>
      <c r="F87" s="0" t="n">
        <v>0</v>
      </c>
      <c r="G87" s="0" t="n">
        <v>2020</v>
      </c>
    </row>
    <row r="88" customFormat="false" ht="15" hidden="false" customHeight="false" outlineLevel="0" collapsed="false">
      <c r="A88" s="0" t="s">
        <v>258</v>
      </c>
      <c r="B88" s="52" t="n">
        <v>43865</v>
      </c>
      <c r="C88" s="54" t="s">
        <v>590</v>
      </c>
      <c r="D88" s="0" t="n">
        <v>0.0125821189414246</v>
      </c>
      <c r="E88" s="0" t="n">
        <v>0.205952271528081</v>
      </c>
      <c r="F88" s="0" t="n">
        <v>0</v>
      </c>
      <c r="G88" s="0" t="n">
        <v>2020</v>
      </c>
    </row>
    <row r="89" customFormat="false" ht="15" hidden="false" customHeight="false" outlineLevel="0" collapsed="false">
      <c r="A89" s="0" t="s">
        <v>258</v>
      </c>
      <c r="B89" s="52" t="n">
        <v>43865</v>
      </c>
      <c r="C89" s="54" t="s">
        <v>591</v>
      </c>
      <c r="D89" s="0" t="n">
        <v>0.0167512649112575</v>
      </c>
      <c r="E89" s="0" t="n">
        <v>0.0601752983487887</v>
      </c>
      <c r="F89" s="0" t="n">
        <v>0</v>
      </c>
      <c r="G89" s="0" t="n">
        <v>2020</v>
      </c>
    </row>
    <row r="90" customFormat="false" ht="15" hidden="false" customHeight="false" outlineLevel="0" collapsed="false">
      <c r="A90" s="0" t="s">
        <v>258</v>
      </c>
      <c r="B90" s="52" t="n">
        <v>43865</v>
      </c>
      <c r="C90" s="54" t="s">
        <v>592</v>
      </c>
      <c r="D90" s="0" t="n">
        <v>0.0071237422011412</v>
      </c>
      <c r="E90" s="0" t="n">
        <v>0.0817591394288771</v>
      </c>
      <c r="F90" s="0" t="n">
        <v>0</v>
      </c>
      <c r="G90" s="0" t="n">
        <v>2020</v>
      </c>
    </row>
    <row r="91" customFormat="false" ht="15" hidden="false" customHeight="false" outlineLevel="0" collapsed="false">
      <c r="A91" s="0" t="s">
        <v>258</v>
      </c>
      <c r="B91" s="52" t="n">
        <v>43866</v>
      </c>
      <c r="C91" s="54" t="s">
        <v>590</v>
      </c>
      <c r="D91" s="0" t="n">
        <v>0.0517910958623252</v>
      </c>
      <c r="E91" s="0" t="n">
        <v>0.311292387382387</v>
      </c>
      <c r="F91" s="0" t="n">
        <v>0</v>
      </c>
      <c r="G91" s="0" t="n">
        <v>2020</v>
      </c>
    </row>
    <row r="92" customFormat="false" ht="15" hidden="false" customHeight="false" outlineLevel="0" collapsed="false">
      <c r="A92" s="0" t="s">
        <v>258</v>
      </c>
      <c r="B92" s="52" t="n">
        <v>43866</v>
      </c>
      <c r="C92" s="54" t="s">
        <v>591</v>
      </c>
      <c r="D92" s="0" t="n">
        <v>0.38806889562706</v>
      </c>
      <c r="E92" s="0" t="n">
        <v>0.0195648928149315</v>
      </c>
      <c r="F92" s="0" t="n">
        <v>0</v>
      </c>
      <c r="G92" s="0" t="n">
        <v>2020</v>
      </c>
    </row>
    <row r="93" customFormat="false" ht="15" hidden="false" customHeight="false" outlineLevel="0" collapsed="false">
      <c r="A93" s="0" t="s">
        <v>258</v>
      </c>
      <c r="B93" s="52" t="n">
        <v>43866</v>
      </c>
      <c r="C93" s="54" t="s">
        <v>592</v>
      </c>
      <c r="D93" s="0" t="n">
        <v>0.0409036703897574</v>
      </c>
      <c r="E93" s="0" t="n">
        <v>0.0773196667598538</v>
      </c>
      <c r="F93" s="0" t="n">
        <v>0</v>
      </c>
      <c r="G93" s="0" t="n">
        <v>2020</v>
      </c>
    </row>
    <row r="94" customFormat="false" ht="15" hidden="false" customHeight="false" outlineLevel="0" collapsed="false">
      <c r="A94" s="0" t="s">
        <v>258</v>
      </c>
      <c r="B94" s="52" t="n">
        <v>43867</v>
      </c>
      <c r="C94" s="54" t="s">
        <v>590</v>
      </c>
      <c r="D94" s="0" t="n">
        <v>0.0043600883310494</v>
      </c>
      <c r="E94" s="0" t="n">
        <v>0.106546981718502</v>
      </c>
      <c r="F94" s="0" t="n">
        <v>0</v>
      </c>
      <c r="G94" s="0" t="n">
        <v>2020</v>
      </c>
    </row>
    <row r="95" customFormat="false" ht="15" hidden="false" customHeight="false" outlineLevel="0" collapsed="false">
      <c r="A95" s="0" t="s">
        <v>258</v>
      </c>
      <c r="B95" s="52" t="n">
        <v>43867</v>
      </c>
      <c r="C95" s="54" t="s">
        <v>591</v>
      </c>
      <c r="D95" s="0" t="n">
        <v>0.0008205428864583</v>
      </c>
      <c r="E95" s="0" t="n">
        <v>0.0789006688188755</v>
      </c>
      <c r="F95" s="0" t="n">
        <v>0</v>
      </c>
      <c r="G95" s="0" t="n">
        <v>2020</v>
      </c>
    </row>
    <row r="96" customFormat="false" ht="15" hidden="false" customHeight="false" outlineLevel="0" collapsed="false">
      <c r="A96" s="0" t="s">
        <v>258</v>
      </c>
      <c r="B96" s="52" t="n">
        <v>43867</v>
      </c>
      <c r="C96" s="54" t="s">
        <v>592</v>
      </c>
      <c r="D96" s="0" t="n">
        <v>0.0825770086463806</v>
      </c>
      <c r="E96" s="0" t="n">
        <v>0.0296222379029485</v>
      </c>
      <c r="F96" s="0" t="n">
        <v>0</v>
      </c>
      <c r="G96" s="0" t="n">
        <v>2020</v>
      </c>
    </row>
    <row r="97" customFormat="false" ht="15" hidden="false" customHeight="false" outlineLevel="0" collapsed="false">
      <c r="A97" s="0" t="s">
        <v>258</v>
      </c>
      <c r="B97" s="52" t="n">
        <v>43868</v>
      </c>
      <c r="C97" s="54" t="s">
        <v>590</v>
      </c>
      <c r="D97" s="0" t="n">
        <v>0.00663647936359</v>
      </c>
      <c r="E97" s="0" t="n">
        <v>0.122826772553241</v>
      </c>
      <c r="F97" s="0" t="n">
        <v>0</v>
      </c>
      <c r="G97" s="0" t="n">
        <v>2020</v>
      </c>
    </row>
    <row r="98" customFormat="false" ht="15" hidden="false" customHeight="false" outlineLevel="0" collapsed="false">
      <c r="A98" s="0" t="s">
        <v>258</v>
      </c>
      <c r="B98" s="52" t="n">
        <v>43868</v>
      </c>
      <c r="C98" s="54" t="s">
        <v>591</v>
      </c>
      <c r="D98" s="0" t="n">
        <v>0</v>
      </c>
      <c r="E98" s="0" t="n">
        <v>0.050356535903235</v>
      </c>
      <c r="F98" s="0" t="n">
        <v>0</v>
      </c>
      <c r="G98" s="0" t="n">
        <v>2020</v>
      </c>
    </row>
    <row r="99" customFormat="false" ht="15" hidden="false" customHeight="false" outlineLevel="0" collapsed="false">
      <c r="A99" s="0" t="s">
        <v>258</v>
      </c>
      <c r="B99" s="52" t="n">
        <v>43868</v>
      </c>
      <c r="C99" s="54" t="s">
        <v>592</v>
      </c>
      <c r="D99" s="0" t="n">
        <v>0.232348527841449</v>
      </c>
      <c r="E99" s="0" t="n">
        <v>0.198667154544116</v>
      </c>
      <c r="F99" s="0" t="n">
        <v>0</v>
      </c>
      <c r="G99" s="0" t="n">
        <v>2020</v>
      </c>
    </row>
    <row r="100" customFormat="false" ht="15" hidden="false" customHeight="false" outlineLevel="0" collapsed="false">
      <c r="A100" s="0" t="s">
        <v>258</v>
      </c>
      <c r="B100" s="52" t="n">
        <v>43869</v>
      </c>
      <c r="C100" s="54" t="s">
        <v>590</v>
      </c>
      <c r="D100" s="0" t="n">
        <v>0.21617164244593</v>
      </c>
      <c r="E100" s="0" t="n">
        <v>0.0999860010502694</v>
      </c>
      <c r="F100" s="0" t="n">
        <v>1</v>
      </c>
      <c r="G100" s="0" t="n">
        <v>2020</v>
      </c>
    </row>
    <row r="101" customFormat="false" ht="15" hidden="false" customHeight="false" outlineLevel="0" collapsed="false">
      <c r="A101" s="0" t="s">
        <v>258</v>
      </c>
      <c r="B101" s="52" t="n">
        <v>43870</v>
      </c>
      <c r="C101" s="54" t="s">
        <v>590</v>
      </c>
      <c r="D101" s="0" t="n">
        <v>1</v>
      </c>
      <c r="E101" s="0" t="n">
        <v>0</v>
      </c>
      <c r="F101" s="0" t="n">
        <v>1</v>
      </c>
      <c r="G101" s="0" t="n">
        <v>2020</v>
      </c>
    </row>
    <row r="102" customFormat="false" ht="15" hidden="false" customHeight="false" outlineLevel="0" collapsed="false">
      <c r="A102" s="0" t="s">
        <v>258</v>
      </c>
      <c r="B102" s="52" t="n">
        <v>43870</v>
      </c>
      <c r="C102" s="54" t="s">
        <v>592</v>
      </c>
      <c r="D102" s="0" t="n">
        <v>0.0020187900395649</v>
      </c>
      <c r="E102" s="0" t="n">
        <v>0.0302697488548179</v>
      </c>
      <c r="F102" s="0" t="n">
        <v>1</v>
      </c>
      <c r="G102" s="0" t="n">
        <v>2020</v>
      </c>
    </row>
    <row r="103" customFormat="false" ht="15" hidden="false" customHeight="false" outlineLevel="0" collapsed="false">
      <c r="A103" s="0" t="s">
        <v>258</v>
      </c>
      <c r="B103" s="52" t="n">
        <v>43871</v>
      </c>
      <c r="C103" s="54" t="s">
        <v>590</v>
      </c>
      <c r="D103" s="0" t="n">
        <v>0</v>
      </c>
      <c r="E103" s="0" t="n">
        <v>0.135938517739979</v>
      </c>
      <c r="F103" s="0" t="n">
        <v>0</v>
      </c>
      <c r="G103" s="0" t="n">
        <v>2020</v>
      </c>
    </row>
    <row r="104" customFormat="false" ht="15" hidden="false" customHeight="false" outlineLevel="0" collapsed="false">
      <c r="A104" s="0" t="s">
        <v>258</v>
      </c>
      <c r="B104" s="52" t="n">
        <v>43871</v>
      </c>
      <c r="C104" s="54" t="s">
        <v>591</v>
      </c>
      <c r="D104" s="0" t="n">
        <v>0.0011149263476184</v>
      </c>
      <c r="E104" s="0" t="n">
        <v>0.108704957373228</v>
      </c>
      <c r="F104" s="0" t="n">
        <v>0</v>
      </c>
      <c r="G104" s="0" t="n">
        <v>2020</v>
      </c>
    </row>
    <row r="105" customFormat="false" ht="15" hidden="false" customHeight="false" outlineLevel="0" collapsed="false">
      <c r="A105" s="0" t="s">
        <v>258</v>
      </c>
      <c r="B105" s="52" t="n">
        <v>43871</v>
      </c>
      <c r="C105" s="54" t="s">
        <v>592</v>
      </c>
      <c r="D105" s="0" t="n">
        <v>0.0850039282288917</v>
      </c>
      <c r="E105" s="0" t="n">
        <v>0.136948771905556</v>
      </c>
      <c r="F105" s="0" t="n">
        <v>0</v>
      </c>
      <c r="G105" s="0" t="n">
        <v>2020</v>
      </c>
    </row>
    <row r="106" customFormat="false" ht="15" hidden="false" customHeight="false" outlineLevel="0" collapsed="false">
      <c r="A106" s="0" t="s">
        <v>258</v>
      </c>
      <c r="B106" s="52" t="n">
        <v>43872</v>
      </c>
      <c r="C106" s="54" t="s">
        <v>590</v>
      </c>
      <c r="D106" s="0" t="n">
        <v>0</v>
      </c>
      <c r="E106" s="0" t="n">
        <v>0.122451877179652</v>
      </c>
      <c r="F106" s="0" t="n">
        <v>0</v>
      </c>
      <c r="G106" s="0" t="n">
        <v>2020</v>
      </c>
    </row>
    <row r="107" customFormat="false" ht="15" hidden="false" customHeight="false" outlineLevel="0" collapsed="false">
      <c r="A107" s="0" t="s">
        <v>258</v>
      </c>
      <c r="B107" s="52" t="n">
        <v>43872</v>
      </c>
      <c r="C107" s="54" t="s">
        <v>591</v>
      </c>
      <c r="D107" s="0" t="n">
        <v>0.0077600640742296</v>
      </c>
      <c r="E107" s="0" t="n">
        <v>0.0378213621849498</v>
      </c>
      <c r="F107" s="0" t="n">
        <v>0</v>
      </c>
      <c r="G107" s="0" t="n">
        <v>2020</v>
      </c>
    </row>
    <row r="108" customFormat="false" ht="15" hidden="false" customHeight="false" outlineLevel="0" collapsed="false">
      <c r="A108" s="0" t="s">
        <v>258</v>
      </c>
      <c r="B108" s="52" t="n">
        <v>43872</v>
      </c>
      <c r="C108" s="54" t="s">
        <v>592</v>
      </c>
      <c r="D108" s="0" t="n">
        <v>0.0704179477704726</v>
      </c>
      <c r="E108" s="0" t="n">
        <v>0.0782388976813473</v>
      </c>
      <c r="F108" s="0" t="n">
        <v>0</v>
      </c>
      <c r="G108" s="0" t="n">
        <v>2020</v>
      </c>
    </row>
    <row r="109" customFormat="false" ht="15" hidden="false" customHeight="false" outlineLevel="0" collapsed="false">
      <c r="A109" s="0" t="s">
        <v>258</v>
      </c>
      <c r="B109" s="52" t="n">
        <v>43873</v>
      </c>
      <c r="C109" s="54" t="s">
        <v>590</v>
      </c>
      <c r="D109" s="0" t="n">
        <v>0.928216826435026</v>
      </c>
      <c r="E109" s="0" t="n">
        <v>0.0262080802482471</v>
      </c>
      <c r="F109" s="0" t="n">
        <v>0</v>
      </c>
      <c r="G109" s="0" t="n">
        <v>2020</v>
      </c>
    </row>
    <row r="110" customFormat="false" ht="15" hidden="false" customHeight="false" outlineLevel="0" collapsed="false">
      <c r="A110" s="0" t="s">
        <v>258</v>
      </c>
      <c r="B110" s="52" t="n">
        <v>43873</v>
      </c>
      <c r="C110" s="54" t="s">
        <v>591</v>
      </c>
      <c r="D110" s="0" t="n">
        <v>0.0939713588437279</v>
      </c>
      <c r="E110" s="0" t="n">
        <v>0.225716216590804</v>
      </c>
      <c r="F110" s="0" t="n">
        <v>0</v>
      </c>
      <c r="G110" s="0" t="n">
        <v>2020</v>
      </c>
    </row>
    <row r="111" customFormat="false" ht="15" hidden="false" customHeight="false" outlineLevel="0" collapsed="false">
      <c r="A111" s="0" t="s">
        <v>258</v>
      </c>
      <c r="B111" s="52" t="n">
        <v>43873</v>
      </c>
      <c r="C111" s="54" t="s">
        <v>592</v>
      </c>
      <c r="D111" s="0" t="n">
        <v>0.0008574670746188</v>
      </c>
      <c r="E111" s="0" t="n">
        <v>0.123428604108317</v>
      </c>
      <c r="F111" s="0" t="n">
        <v>0</v>
      </c>
      <c r="G111" s="0" t="n">
        <v>2020</v>
      </c>
    </row>
    <row r="112" customFormat="false" ht="15" hidden="false" customHeight="false" outlineLevel="0" collapsed="false">
      <c r="A112" s="0" t="s">
        <v>258</v>
      </c>
      <c r="B112" s="52" t="n">
        <v>43874</v>
      </c>
      <c r="C112" s="54" t="s">
        <v>590</v>
      </c>
      <c r="D112" s="0" t="n">
        <v>0.0960356217690005</v>
      </c>
      <c r="E112" s="0" t="n">
        <v>0.140299273563063</v>
      </c>
      <c r="F112" s="0" t="n">
        <v>0</v>
      </c>
      <c r="G112" s="0" t="n">
        <v>2020</v>
      </c>
    </row>
    <row r="113" customFormat="false" ht="15" hidden="false" customHeight="false" outlineLevel="0" collapsed="false">
      <c r="A113" s="0" t="s">
        <v>258</v>
      </c>
      <c r="B113" s="52" t="n">
        <v>43874</v>
      </c>
      <c r="C113" s="54" t="s">
        <v>591</v>
      </c>
      <c r="D113" s="0" t="n">
        <v>0.005113105238682</v>
      </c>
      <c r="E113" s="0" t="n">
        <v>0.0554444275686483</v>
      </c>
      <c r="F113" s="0" t="n">
        <v>0</v>
      </c>
      <c r="G113" s="0" t="n">
        <v>2020</v>
      </c>
    </row>
    <row r="114" customFormat="false" ht="15" hidden="false" customHeight="false" outlineLevel="0" collapsed="false">
      <c r="A114" s="0" t="s">
        <v>258</v>
      </c>
      <c r="B114" s="52" t="n">
        <v>43874</v>
      </c>
      <c r="C114" s="54" t="s">
        <v>592</v>
      </c>
      <c r="D114" s="0" t="n">
        <v>0.112028095951541</v>
      </c>
      <c r="E114" s="0" t="n">
        <v>0.0529344481497591</v>
      </c>
      <c r="F114" s="0" t="n">
        <v>0</v>
      </c>
      <c r="G114" s="0" t="n">
        <v>2020</v>
      </c>
    </row>
    <row r="115" customFormat="false" ht="15" hidden="false" customHeight="false" outlineLevel="0" collapsed="false">
      <c r="A115" s="0" t="s">
        <v>258</v>
      </c>
      <c r="B115" s="52" t="n">
        <v>43875</v>
      </c>
      <c r="C115" s="54" t="s">
        <v>590</v>
      </c>
      <c r="D115" s="0" t="n">
        <v>0.0680899455380686</v>
      </c>
      <c r="E115" s="0" t="n">
        <v>0.175776749905335</v>
      </c>
      <c r="F115" s="0" t="n">
        <v>0</v>
      </c>
      <c r="G115" s="0" t="n">
        <v>2020</v>
      </c>
    </row>
    <row r="116" customFormat="false" ht="15" hidden="false" customHeight="false" outlineLevel="0" collapsed="false">
      <c r="A116" s="0" t="s">
        <v>258</v>
      </c>
      <c r="B116" s="52" t="n">
        <v>43875</v>
      </c>
      <c r="C116" s="54" t="s">
        <v>591</v>
      </c>
      <c r="D116" s="0" t="n">
        <v>0</v>
      </c>
      <c r="E116" s="0" t="n">
        <v>0.0351223497630247</v>
      </c>
      <c r="F116" s="0" t="n">
        <v>0</v>
      </c>
      <c r="G116" s="0" t="n">
        <v>2020</v>
      </c>
    </row>
    <row r="117" customFormat="false" ht="15" hidden="false" customHeight="false" outlineLevel="0" collapsed="false">
      <c r="A117" s="0" t="s">
        <v>258</v>
      </c>
      <c r="B117" s="52" t="n">
        <v>43875</v>
      </c>
      <c r="C117" s="54" t="s">
        <v>592</v>
      </c>
      <c r="D117" s="0" t="n">
        <v>0.0011467597665706</v>
      </c>
      <c r="E117" s="0" t="n">
        <v>0.0297970792665834</v>
      </c>
      <c r="F117" s="0" t="n">
        <v>0</v>
      </c>
      <c r="G117" s="0" t="n">
        <v>2020</v>
      </c>
    </row>
    <row r="118" customFormat="false" ht="15" hidden="false" customHeight="false" outlineLevel="0" collapsed="false">
      <c r="A118" s="0" t="s">
        <v>258</v>
      </c>
      <c r="B118" s="52" t="n">
        <v>43876</v>
      </c>
      <c r="C118" s="54" t="s">
        <v>590</v>
      </c>
      <c r="D118" s="0" t="n">
        <v>0.0553309343355301</v>
      </c>
      <c r="E118" s="0" t="n">
        <v>0.298764757182422</v>
      </c>
      <c r="F118" s="0" t="n">
        <v>1</v>
      </c>
      <c r="G118" s="0" t="n">
        <v>2020</v>
      </c>
    </row>
    <row r="119" customFormat="false" ht="15" hidden="false" customHeight="false" outlineLevel="0" collapsed="false">
      <c r="A119" s="0" t="s">
        <v>258</v>
      </c>
      <c r="B119" s="52" t="n">
        <v>43877</v>
      </c>
      <c r="C119" s="54" t="s">
        <v>591</v>
      </c>
      <c r="D119" s="0" t="n">
        <v>0.436538275339753</v>
      </c>
      <c r="E119" s="0" t="n">
        <v>0.15550057564645</v>
      </c>
      <c r="F119" s="0" t="n">
        <v>1</v>
      </c>
      <c r="G119" s="0" t="n">
        <v>2020</v>
      </c>
    </row>
    <row r="120" customFormat="false" ht="15" hidden="false" customHeight="false" outlineLevel="0" collapsed="false">
      <c r="A120" s="0" t="s">
        <v>258</v>
      </c>
      <c r="B120" s="52" t="n">
        <v>43877</v>
      </c>
      <c r="C120" s="54" t="s">
        <v>592</v>
      </c>
      <c r="D120" s="0" t="n">
        <v>0.0077986206419882</v>
      </c>
      <c r="E120" s="0" t="n">
        <v>0.414282896453949</v>
      </c>
      <c r="F120" s="0" t="n">
        <v>1</v>
      </c>
      <c r="G120" s="0" t="n">
        <v>2020</v>
      </c>
    </row>
    <row r="121" customFormat="false" ht="15" hidden="false" customHeight="false" outlineLevel="0" collapsed="false">
      <c r="A121" s="0" t="s">
        <v>258</v>
      </c>
      <c r="B121" s="52" t="n">
        <v>43878</v>
      </c>
      <c r="C121" s="54" t="s">
        <v>590</v>
      </c>
      <c r="D121" s="0" t="n">
        <v>0.0125888070570934</v>
      </c>
      <c r="E121" s="0" t="n">
        <v>0.0599698902224356</v>
      </c>
      <c r="F121" s="0" t="n">
        <v>0</v>
      </c>
      <c r="G121" s="0" t="n">
        <v>2020</v>
      </c>
    </row>
    <row r="122" customFormat="false" ht="15" hidden="false" customHeight="false" outlineLevel="0" collapsed="false">
      <c r="A122" s="0" t="s">
        <v>258</v>
      </c>
      <c r="B122" s="52" t="n">
        <v>43878</v>
      </c>
      <c r="C122" s="54" t="s">
        <v>591</v>
      </c>
      <c r="D122" s="0" t="n">
        <v>0.0186353615853487</v>
      </c>
      <c r="E122" s="0" t="n">
        <v>0.008176818722592</v>
      </c>
      <c r="F122" s="0" t="n">
        <v>0</v>
      </c>
      <c r="G122" s="0" t="n">
        <v>2020</v>
      </c>
    </row>
    <row r="123" customFormat="false" ht="15" hidden="false" customHeight="false" outlineLevel="0" collapsed="false">
      <c r="A123" s="0" t="s">
        <v>258</v>
      </c>
      <c r="B123" s="52" t="n">
        <v>43878</v>
      </c>
      <c r="C123" s="54" t="s">
        <v>592</v>
      </c>
      <c r="D123" s="0" t="n">
        <v>0.001106120095536</v>
      </c>
      <c r="E123" s="0" t="n">
        <v>0.198449731993395</v>
      </c>
      <c r="F123" s="0" t="n">
        <v>0</v>
      </c>
      <c r="G123" s="0" t="n">
        <v>2020</v>
      </c>
    </row>
    <row r="124" customFormat="false" ht="15" hidden="false" customHeight="false" outlineLevel="0" collapsed="false">
      <c r="A124" s="0" t="s">
        <v>258</v>
      </c>
      <c r="B124" s="52" t="n">
        <v>43879</v>
      </c>
      <c r="C124" s="54" t="s">
        <v>590</v>
      </c>
      <c r="D124" s="0" t="n">
        <v>0.0861023159385632</v>
      </c>
      <c r="E124" s="0" t="n">
        <v>0.15362822555164</v>
      </c>
      <c r="F124" s="0" t="n">
        <v>0</v>
      </c>
      <c r="G124" s="0" t="n">
        <v>2020</v>
      </c>
    </row>
    <row r="125" customFormat="false" ht="15" hidden="false" customHeight="false" outlineLevel="0" collapsed="false">
      <c r="A125" s="0" t="s">
        <v>258</v>
      </c>
      <c r="B125" s="52" t="n">
        <v>43879</v>
      </c>
      <c r="C125" s="54" t="s">
        <v>591</v>
      </c>
      <c r="D125" s="0" t="n">
        <v>0.120019438079916</v>
      </c>
      <c r="E125" s="0" t="n">
        <v>0.0042341232729649</v>
      </c>
      <c r="F125" s="0" t="n">
        <v>0</v>
      </c>
      <c r="G125" s="0" t="n">
        <v>2020</v>
      </c>
    </row>
    <row r="126" customFormat="false" ht="15" hidden="false" customHeight="false" outlineLevel="0" collapsed="false">
      <c r="A126" s="0" t="s">
        <v>258</v>
      </c>
      <c r="B126" s="52" t="n">
        <v>43879</v>
      </c>
      <c r="C126" s="54" t="s">
        <v>592</v>
      </c>
      <c r="D126" s="0" t="n">
        <v>0.0460981385891865</v>
      </c>
      <c r="E126" s="0" t="n">
        <v>0.200244023353889</v>
      </c>
      <c r="F126" s="0" t="n">
        <v>0</v>
      </c>
      <c r="G126" s="0" t="n">
        <v>2020</v>
      </c>
    </row>
    <row r="127" customFormat="false" ht="15" hidden="false" customHeight="false" outlineLevel="0" collapsed="false">
      <c r="A127" s="0" t="s">
        <v>258</v>
      </c>
      <c r="B127" s="52" t="n">
        <v>43880</v>
      </c>
      <c r="C127" s="54" t="s">
        <v>590</v>
      </c>
      <c r="D127" s="0" t="n">
        <v>0</v>
      </c>
      <c r="E127" s="0" t="n">
        <v>0.147349197562228</v>
      </c>
      <c r="F127" s="0" t="n">
        <v>0</v>
      </c>
      <c r="G127" s="0" t="n">
        <v>2020</v>
      </c>
    </row>
    <row r="128" customFormat="false" ht="15" hidden="false" customHeight="false" outlineLevel="0" collapsed="false">
      <c r="A128" s="0" t="s">
        <v>258</v>
      </c>
      <c r="B128" s="52" t="n">
        <v>43880</v>
      </c>
      <c r="C128" s="54" t="s">
        <v>591</v>
      </c>
      <c r="D128" s="0" t="n">
        <v>0.178037388153201</v>
      </c>
      <c r="E128" s="0" t="n">
        <v>0.0189513996599786</v>
      </c>
      <c r="F128" s="0" t="n">
        <v>0</v>
      </c>
      <c r="G128" s="0" t="n">
        <v>2020</v>
      </c>
    </row>
    <row r="129" customFormat="false" ht="15" hidden="false" customHeight="false" outlineLevel="0" collapsed="false">
      <c r="A129" s="0" t="s">
        <v>258</v>
      </c>
      <c r="B129" s="52" t="n">
        <v>43880</v>
      </c>
      <c r="C129" s="54" t="s">
        <v>592</v>
      </c>
      <c r="D129" s="0" t="n">
        <v>0.0023549527843624</v>
      </c>
      <c r="E129" s="0" t="n">
        <v>0.0264764173263445</v>
      </c>
      <c r="F129" s="0" t="n">
        <v>0</v>
      </c>
      <c r="G129" s="0" t="n">
        <v>2020</v>
      </c>
    </row>
    <row r="130" customFormat="false" ht="15" hidden="false" customHeight="false" outlineLevel="0" collapsed="false">
      <c r="A130" s="0" t="s">
        <v>258</v>
      </c>
      <c r="B130" s="52" t="n">
        <v>43881</v>
      </c>
      <c r="C130" s="54" t="s">
        <v>590</v>
      </c>
      <c r="D130" s="0" t="n">
        <v>0.231968490148111</v>
      </c>
      <c r="E130" s="0" t="n">
        <v>0.196747924743616</v>
      </c>
      <c r="F130" s="0" t="n">
        <v>0</v>
      </c>
      <c r="G130" s="0" t="n">
        <v>2020</v>
      </c>
    </row>
    <row r="131" customFormat="false" ht="15" hidden="false" customHeight="false" outlineLevel="0" collapsed="false">
      <c r="A131" s="0" t="s">
        <v>258</v>
      </c>
      <c r="B131" s="52" t="n">
        <v>43881</v>
      </c>
      <c r="C131" s="54" t="s">
        <v>591</v>
      </c>
      <c r="D131" s="0" t="n">
        <v>0.186006783429578</v>
      </c>
      <c r="E131" s="0" t="n">
        <v>0.078966386253563</v>
      </c>
      <c r="F131" s="0" t="n">
        <v>0</v>
      </c>
      <c r="G131" s="0" t="n">
        <v>2020</v>
      </c>
    </row>
    <row r="132" customFormat="false" ht="15" hidden="false" customHeight="false" outlineLevel="0" collapsed="false">
      <c r="A132" s="0" t="s">
        <v>258</v>
      </c>
      <c r="B132" s="52" t="n">
        <v>43881</v>
      </c>
      <c r="C132" s="54" t="s">
        <v>592</v>
      </c>
      <c r="D132" s="0" t="n">
        <v>0.0016887794704015</v>
      </c>
      <c r="E132" s="0" t="n">
        <v>0.075126645891556</v>
      </c>
      <c r="F132" s="0" t="n">
        <v>0</v>
      </c>
      <c r="G132" s="0" t="n">
        <v>2020</v>
      </c>
    </row>
    <row r="133" customFormat="false" ht="15" hidden="false" customHeight="false" outlineLevel="0" collapsed="false">
      <c r="A133" s="0" t="s">
        <v>258</v>
      </c>
      <c r="B133" s="52" t="n">
        <v>43882</v>
      </c>
      <c r="C133" s="54" t="s">
        <v>590</v>
      </c>
      <c r="D133" s="0" t="n">
        <v>0.0002968888200199</v>
      </c>
      <c r="E133" s="0" t="n">
        <v>0.13719841125417</v>
      </c>
      <c r="F133" s="0" t="n">
        <v>0</v>
      </c>
      <c r="G133" s="0" t="n">
        <v>2020</v>
      </c>
    </row>
    <row r="134" customFormat="false" ht="15" hidden="false" customHeight="false" outlineLevel="0" collapsed="false">
      <c r="A134" s="0" t="s">
        <v>258</v>
      </c>
      <c r="B134" s="52" t="n">
        <v>43882</v>
      </c>
      <c r="C134" s="54" t="s">
        <v>591</v>
      </c>
      <c r="D134" s="0" t="n">
        <v>0</v>
      </c>
      <c r="E134" s="0" t="n">
        <v>0.022710996620196</v>
      </c>
      <c r="F134" s="0" t="n">
        <v>0</v>
      </c>
      <c r="G134" s="0" t="n">
        <v>2020</v>
      </c>
    </row>
    <row r="135" customFormat="false" ht="15" hidden="false" customHeight="false" outlineLevel="0" collapsed="false">
      <c r="A135" s="0" t="s">
        <v>258</v>
      </c>
      <c r="B135" s="52" t="n">
        <v>43882</v>
      </c>
      <c r="C135" s="54" t="s">
        <v>592</v>
      </c>
      <c r="D135" s="0" t="n">
        <v>0.0018423213896505</v>
      </c>
      <c r="E135" s="0" t="n">
        <v>0.0632664730261261</v>
      </c>
      <c r="F135" s="0" t="n">
        <v>0</v>
      </c>
      <c r="G135" s="0" t="n">
        <v>2020</v>
      </c>
    </row>
    <row r="136" customFormat="false" ht="15" hidden="false" customHeight="false" outlineLevel="0" collapsed="false">
      <c r="A136" s="0" t="s">
        <v>258</v>
      </c>
      <c r="B136" s="52" t="n">
        <v>43883</v>
      </c>
      <c r="C136" s="54" t="s">
        <v>590</v>
      </c>
      <c r="D136" s="0" t="n">
        <v>0.404103095426697</v>
      </c>
      <c r="E136" s="0" t="n">
        <v>0.0895853184397733</v>
      </c>
      <c r="F136" s="0" t="n">
        <v>1</v>
      </c>
      <c r="G136" s="0" t="n">
        <v>2020</v>
      </c>
    </row>
    <row r="137" customFormat="false" ht="15" hidden="false" customHeight="false" outlineLevel="0" collapsed="false">
      <c r="A137" s="0" t="s">
        <v>258</v>
      </c>
      <c r="B137" s="52" t="n">
        <v>43884</v>
      </c>
      <c r="C137" s="54" t="s">
        <v>591</v>
      </c>
      <c r="D137" s="0" t="n">
        <v>0.97477358929497</v>
      </c>
      <c r="E137" s="0" t="n">
        <v>0</v>
      </c>
      <c r="F137" s="0" t="n">
        <v>1</v>
      </c>
      <c r="G137" s="0" t="n">
        <v>2020</v>
      </c>
    </row>
    <row r="138" customFormat="false" ht="15" hidden="false" customHeight="false" outlineLevel="0" collapsed="false">
      <c r="A138" s="0" t="s">
        <v>258</v>
      </c>
      <c r="B138" s="52" t="n">
        <v>43884</v>
      </c>
      <c r="C138" s="54" t="s">
        <v>592</v>
      </c>
      <c r="D138" s="0" t="n">
        <v>0.0427014513732864</v>
      </c>
      <c r="E138" s="0" t="n">
        <v>0.169073499243545</v>
      </c>
      <c r="F138" s="0" t="n">
        <v>1</v>
      </c>
      <c r="G138" s="0" t="n">
        <v>2020</v>
      </c>
    </row>
    <row r="139" customFormat="false" ht="15" hidden="false" customHeight="false" outlineLevel="0" collapsed="false">
      <c r="A139" s="0" t="s">
        <v>258</v>
      </c>
      <c r="B139" s="52" t="n">
        <v>43885</v>
      </c>
      <c r="C139" s="54" t="s">
        <v>590</v>
      </c>
      <c r="D139" s="0" t="n">
        <v>0</v>
      </c>
      <c r="E139" s="0" t="n">
        <v>0.123415459893235</v>
      </c>
      <c r="F139" s="0" t="n">
        <v>0</v>
      </c>
      <c r="G139" s="0" t="n">
        <v>2020</v>
      </c>
    </row>
    <row r="140" customFormat="false" ht="15" hidden="false" customHeight="false" outlineLevel="0" collapsed="false">
      <c r="A140" s="0" t="s">
        <v>258</v>
      </c>
      <c r="B140" s="52" t="n">
        <v>43885</v>
      </c>
      <c r="C140" s="54" t="s">
        <v>591</v>
      </c>
      <c r="D140" s="0" t="n">
        <v>0.0005313716628488</v>
      </c>
      <c r="E140" s="0" t="n">
        <v>0.11295548778302</v>
      </c>
      <c r="F140" s="0" t="n">
        <v>0</v>
      </c>
      <c r="G140" s="0" t="n">
        <v>2020</v>
      </c>
    </row>
    <row r="141" customFormat="false" ht="15" hidden="false" customHeight="false" outlineLevel="0" collapsed="false">
      <c r="A141" s="0" t="s">
        <v>258</v>
      </c>
      <c r="B141" s="52" t="n">
        <v>43885</v>
      </c>
      <c r="C141" s="54" t="s">
        <v>592</v>
      </c>
      <c r="D141" s="0" t="n">
        <v>0.0719060483019674</v>
      </c>
      <c r="E141" s="0" t="n">
        <v>0.0231499809295882</v>
      </c>
      <c r="F141" s="0" t="n">
        <v>0</v>
      </c>
      <c r="G141" s="0" t="n">
        <v>2020</v>
      </c>
    </row>
    <row r="142" customFormat="false" ht="15" hidden="false" customHeight="false" outlineLevel="0" collapsed="false">
      <c r="A142" s="0" t="s">
        <v>258</v>
      </c>
      <c r="B142" s="52" t="n">
        <v>43886</v>
      </c>
      <c r="C142" s="54" t="s">
        <v>590</v>
      </c>
      <c r="D142" s="0" t="n">
        <v>0.0095127227446671</v>
      </c>
      <c r="E142" s="0" t="n">
        <v>0.225159621023452</v>
      </c>
      <c r="F142" s="0" t="n">
        <v>0</v>
      </c>
      <c r="G142" s="0" t="n">
        <v>2020</v>
      </c>
    </row>
    <row r="143" customFormat="false" ht="15" hidden="false" customHeight="false" outlineLevel="0" collapsed="false">
      <c r="A143" s="0" t="s">
        <v>258</v>
      </c>
      <c r="B143" s="52" t="n">
        <v>43886</v>
      </c>
      <c r="C143" s="54" t="s">
        <v>591</v>
      </c>
      <c r="D143" s="0" t="n">
        <v>0.0012527991840828</v>
      </c>
      <c r="E143" s="0" t="n">
        <v>0.0366128327598158</v>
      </c>
      <c r="F143" s="0" t="n">
        <v>0</v>
      </c>
      <c r="G143" s="0" t="n">
        <v>2020</v>
      </c>
    </row>
    <row r="144" customFormat="false" ht="15" hidden="false" customHeight="false" outlineLevel="0" collapsed="false">
      <c r="A144" s="0" t="s">
        <v>258</v>
      </c>
      <c r="B144" s="52" t="n">
        <v>43886</v>
      </c>
      <c r="C144" s="54" t="s">
        <v>592</v>
      </c>
      <c r="D144" s="0" t="n">
        <v>0.0034778155272393</v>
      </c>
      <c r="E144" s="0" t="n">
        <v>0.0626911319659201</v>
      </c>
      <c r="F144" s="0" t="n">
        <v>0</v>
      </c>
      <c r="G144" s="0" t="n">
        <v>2020</v>
      </c>
    </row>
    <row r="145" customFormat="false" ht="15" hidden="false" customHeight="false" outlineLevel="0" collapsed="false">
      <c r="A145" s="0" t="s">
        <v>258</v>
      </c>
      <c r="B145" s="52" t="n">
        <v>43887</v>
      </c>
      <c r="C145" s="54" t="s">
        <v>590</v>
      </c>
      <c r="D145" s="0" t="n">
        <v>0.352146127022107</v>
      </c>
      <c r="E145" s="0" t="n">
        <v>0.193725892759414</v>
      </c>
      <c r="F145" s="0" t="n">
        <v>0</v>
      </c>
      <c r="G145" s="0" t="n">
        <v>2020</v>
      </c>
    </row>
    <row r="146" customFormat="false" ht="15" hidden="false" customHeight="false" outlineLevel="0" collapsed="false">
      <c r="A146" s="0" t="s">
        <v>258</v>
      </c>
      <c r="B146" s="52" t="n">
        <v>43887</v>
      </c>
      <c r="C146" s="54" t="s">
        <v>591</v>
      </c>
      <c r="D146" s="0" t="n">
        <v>0.058158901773094</v>
      </c>
      <c r="E146" s="0" t="n">
        <v>0.109044830830149</v>
      </c>
      <c r="F146" s="0" t="n">
        <v>0</v>
      </c>
      <c r="G146" s="0" t="n">
        <v>2020</v>
      </c>
    </row>
    <row r="147" customFormat="false" ht="15" hidden="false" customHeight="false" outlineLevel="0" collapsed="false">
      <c r="A147" s="0" t="s">
        <v>258</v>
      </c>
      <c r="B147" s="52" t="n">
        <v>43887</v>
      </c>
      <c r="C147" s="54" t="s">
        <v>592</v>
      </c>
      <c r="D147" s="0" t="n">
        <v>0.0006372207807795</v>
      </c>
      <c r="E147" s="0" t="n">
        <v>0.0221333678070073</v>
      </c>
      <c r="F147" s="0" t="n">
        <v>0</v>
      </c>
      <c r="G147" s="0" t="n">
        <v>2020</v>
      </c>
    </row>
    <row r="148" customFormat="false" ht="15" hidden="false" customHeight="false" outlineLevel="0" collapsed="false">
      <c r="A148" s="0" t="s">
        <v>258</v>
      </c>
      <c r="B148" s="52" t="n">
        <v>43888</v>
      </c>
      <c r="C148" s="54" t="s">
        <v>590</v>
      </c>
      <c r="D148" s="0" t="n">
        <v>0.0116484452776228</v>
      </c>
      <c r="E148" s="0" t="n">
        <v>0.0654532332014229</v>
      </c>
      <c r="F148" s="0" t="n">
        <v>0</v>
      </c>
      <c r="G148" s="0" t="n">
        <v>2020</v>
      </c>
    </row>
    <row r="149" customFormat="false" ht="15" hidden="false" customHeight="false" outlineLevel="0" collapsed="false">
      <c r="A149" s="0" t="s">
        <v>258</v>
      </c>
      <c r="B149" s="52" t="n">
        <v>43888</v>
      </c>
      <c r="C149" s="54" t="s">
        <v>591</v>
      </c>
      <c r="D149" s="0" t="n">
        <v>0.0595822373542787</v>
      </c>
      <c r="E149" s="0" t="n">
        <v>0.0413978585948339</v>
      </c>
      <c r="F149" s="0" t="n">
        <v>0</v>
      </c>
      <c r="G149" s="0" t="n">
        <v>2020</v>
      </c>
    </row>
    <row r="150" customFormat="false" ht="15" hidden="false" customHeight="false" outlineLevel="0" collapsed="false">
      <c r="A150" s="0" t="s">
        <v>258</v>
      </c>
      <c r="B150" s="52" t="n">
        <v>43888</v>
      </c>
      <c r="C150" s="54" t="s">
        <v>592</v>
      </c>
      <c r="D150" s="0" t="n">
        <v>0.0596287786348286</v>
      </c>
      <c r="E150" s="0" t="n">
        <v>0.114652686477868</v>
      </c>
      <c r="F150" s="0" t="n">
        <v>0</v>
      </c>
      <c r="G150" s="0" t="n">
        <v>2020</v>
      </c>
    </row>
    <row r="151" customFormat="false" ht="15" hidden="false" customHeight="false" outlineLevel="0" collapsed="false">
      <c r="A151" s="0" t="s">
        <v>258</v>
      </c>
      <c r="B151" s="52" t="n">
        <v>43889</v>
      </c>
      <c r="C151" s="54" t="s">
        <v>590</v>
      </c>
      <c r="D151" s="0" t="n">
        <v>0.0090069402286081</v>
      </c>
      <c r="E151" s="0" t="n">
        <v>0.318500411912757</v>
      </c>
      <c r="F151" s="0" t="n">
        <v>0</v>
      </c>
      <c r="G151" s="0" t="n">
        <v>2020</v>
      </c>
    </row>
    <row r="152" customFormat="false" ht="15" hidden="false" customHeight="false" outlineLevel="0" collapsed="false">
      <c r="A152" s="0" t="s">
        <v>258</v>
      </c>
      <c r="B152" s="52" t="n">
        <v>43889</v>
      </c>
      <c r="C152" s="54" t="s">
        <v>591</v>
      </c>
      <c r="D152" s="0" t="n">
        <v>0.0252507157720168</v>
      </c>
      <c r="E152" s="0" t="n">
        <v>0.135601248494141</v>
      </c>
      <c r="F152" s="0" t="n">
        <v>0</v>
      </c>
      <c r="G152" s="0" t="n">
        <v>2020</v>
      </c>
    </row>
    <row r="153" customFormat="false" ht="15" hidden="false" customHeight="false" outlineLevel="0" collapsed="false">
      <c r="A153" s="0" t="s">
        <v>258</v>
      </c>
      <c r="B153" s="52" t="n">
        <v>43889</v>
      </c>
      <c r="C153" s="54" t="s">
        <v>592</v>
      </c>
      <c r="D153" s="0" t="n">
        <v>0.0369151387561046</v>
      </c>
      <c r="E153" s="0" t="n">
        <v>0.111721964667385</v>
      </c>
      <c r="F153" s="0" t="n">
        <v>0</v>
      </c>
      <c r="G153" s="0" t="n">
        <v>2020</v>
      </c>
    </row>
    <row r="154" customFormat="false" ht="15" hidden="false" customHeight="false" outlineLevel="0" collapsed="false">
      <c r="A154" s="0" t="s">
        <v>258</v>
      </c>
      <c r="B154" s="52" t="n">
        <v>43890</v>
      </c>
      <c r="C154" s="54" t="s">
        <v>590</v>
      </c>
      <c r="D154" s="0" t="n">
        <v>0.168567579970556</v>
      </c>
      <c r="E154" s="0" t="n">
        <v>0.224790352115361</v>
      </c>
      <c r="F154" s="0" t="n">
        <v>1</v>
      </c>
      <c r="G154" s="0" t="n">
        <v>2020</v>
      </c>
    </row>
    <row r="155" customFormat="false" ht="15" hidden="false" customHeight="false" outlineLevel="0" collapsed="false">
      <c r="A155" s="0" t="s">
        <v>258</v>
      </c>
      <c r="B155" s="52" t="n">
        <v>43891</v>
      </c>
      <c r="C155" s="54" t="s">
        <v>592</v>
      </c>
      <c r="D155" s="0" t="n">
        <v>0.0948629804211696</v>
      </c>
      <c r="E155" s="0" t="n">
        <v>0.0693537763783599</v>
      </c>
      <c r="F155" s="0" t="n">
        <v>1</v>
      </c>
      <c r="G155" s="0" t="n">
        <v>2020</v>
      </c>
    </row>
    <row r="156" customFormat="false" ht="15" hidden="false" customHeight="false" outlineLevel="0" collapsed="false">
      <c r="A156" s="0" t="s">
        <v>258</v>
      </c>
      <c r="B156" s="52" t="n">
        <v>43892</v>
      </c>
      <c r="C156" s="54" t="s">
        <v>590</v>
      </c>
      <c r="D156" s="0" t="n">
        <v>0.0019969738006846</v>
      </c>
      <c r="E156" s="0" t="n">
        <v>0.182894997238705</v>
      </c>
      <c r="F156" s="0" t="n">
        <v>0</v>
      </c>
      <c r="G156" s="0" t="n">
        <v>2020</v>
      </c>
    </row>
    <row r="157" customFormat="false" ht="15" hidden="false" customHeight="false" outlineLevel="0" collapsed="false">
      <c r="A157" s="0" t="s">
        <v>258</v>
      </c>
      <c r="B157" s="52" t="n">
        <v>43892</v>
      </c>
      <c r="C157" s="54" t="s">
        <v>591</v>
      </c>
      <c r="D157" s="0" t="n">
        <v>0.0004090919537588</v>
      </c>
      <c r="E157" s="0" t="n">
        <v>0.0030398443305524</v>
      </c>
      <c r="F157" s="0" t="n">
        <v>0</v>
      </c>
      <c r="G157" s="0" t="n">
        <v>2020</v>
      </c>
    </row>
    <row r="158" customFormat="false" ht="15" hidden="false" customHeight="false" outlineLevel="0" collapsed="false">
      <c r="A158" s="0" t="s">
        <v>258</v>
      </c>
      <c r="B158" s="52" t="n">
        <v>43892</v>
      </c>
      <c r="C158" s="54" t="s">
        <v>592</v>
      </c>
      <c r="D158" s="0" t="n">
        <v>0.148994260098827</v>
      </c>
      <c r="E158" s="0" t="n">
        <v>0.145259234934095</v>
      </c>
      <c r="F158" s="0" t="n">
        <v>0</v>
      </c>
      <c r="G158" s="0" t="n">
        <v>2020</v>
      </c>
    </row>
    <row r="159" customFormat="false" ht="15" hidden="false" customHeight="false" outlineLevel="0" collapsed="false">
      <c r="A159" s="0" t="s">
        <v>258</v>
      </c>
      <c r="B159" s="52" t="n">
        <v>43893</v>
      </c>
      <c r="C159" s="54" t="s">
        <v>590</v>
      </c>
      <c r="D159" s="0" t="n">
        <v>0.0381046254743388</v>
      </c>
      <c r="E159" s="0" t="n">
        <v>0.0995677819141928</v>
      </c>
      <c r="F159" s="0" t="n">
        <v>0</v>
      </c>
      <c r="G159" s="0" t="n">
        <v>2020</v>
      </c>
    </row>
    <row r="160" customFormat="false" ht="15" hidden="false" customHeight="false" outlineLevel="0" collapsed="false">
      <c r="A160" s="0" t="s">
        <v>258</v>
      </c>
      <c r="B160" s="52" t="n">
        <v>43893</v>
      </c>
      <c r="C160" s="54" t="s">
        <v>591</v>
      </c>
      <c r="D160" s="0" t="n">
        <v>0.0144636900885641</v>
      </c>
      <c r="E160" s="0" t="n">
        <v>0.0255842233902175</v>
      </c>
      <c r="F160" s="0" t="n">
        <v>0</v>
      </c>
      <c r="G160" s="0" t="n">
        <v>2020</v>
      </c>
    </row>
    <row r="161" customFormat="false" ht="15" hidden="false" customHeight="false" outlineLevel="0" collapsed="false">
      <c r="A161" s="0" t="s">
        <v>258</v>
      </c>
      <c r="B161" s="52" t="n">
        <v>43893</v>
      </c>
      <c r="C161" s="54" t="s">
        <v>592</v>
      </c>
      <c r="D161" s="0" t="n">
        <v>0.0195901084465518</v>
      </c>
      <c r="E161" s="0" t="n">
        <v>0.0718589024713896</v>
      </c>
      <c r="F161" s="0" t="n">
        <v>0</v>
      </c>
      <c r="G161" s="0" t="n">
        <v>2020</v>
      </c>
    </row>
    <row r="162" customFormat="false" ht="15" hidden="false" customHeight="false" outlineLevel="0" collapsed="false">
      <c r="A162" s="0" t="s">
        <v>258</v>
      </c>
      <c r="B162" s="52" t="n">
        <v>43894</v>
      </c>
      <c r="C162" s="54" t="s">
        <v>590</v>
      </c>
      <c r="D162" s="0" t="n">
        <v>0.116836604213825</v>
      </c>
      <c r="E162" s="0" t="n">
        <v>0.124862983067271</v>
      </c>
      <c r="F162" s="0" t="n">
        <v>0</v>
      </c>
      <c r="G162" s="0" t="n">
        <v>2020</v>
      </c>
    </row>
    <row r="163" customFormat="false" ht="15" hidden="false" customHeight="false" outlineLevel="0" collapsed="false">
      <c r="A163" s="0" t="s">
        <v>258</v>
      </c>
      <c r="B163" s="52" t="n">
        <v>43894</v>
      </c>
      <c r="C163" s="54" t="s">
        <v>591</v>
      </c>
      <c r="D163" s="0" t="n">
        <v>0.0115015553171468</v>
      </c>
      <c r="E163" s="0" t="n">
        <v>0.0314266213956499</v>
      </c>
      <c r="F163" s="0" t="n">
        <v>0</v>
      </c>
      <c r="G163" s="0" t="n">
        <v>2020</v>
      </c>
    </row>
    <row r="164" customFormat="false" ht="15" hidden="false" customHeight="false" outlineLevel="0" collapsed="false">
      <c r="A164" s="0" t="s">
        <v>258</v>
      </c>
      <c r="B164" s="52" t="n">
        <v>43894</v>
      </c>
      <c r="C164" s="54" t="s">
        <v>592</v>
      </c>
      <c r="D164" s="0" t="n">
        <v>0.0037785722930687</v>
      </c>
      <c r="E164" s="0" t="n">
        <v>0.0333290476991089</v>
      </c>
      <c r="F164" s="0" t="n">
        <v>0</v>
      </c>
      <c r="G164" s="0" t="n">
        <v>2020</v>
      </c>
    </row>
    <row r="165" customFormat="false" ht="15" hidden="false" customHeight="false" outlineLevel="0" collapsed="false">
      <c r="A165" s="0" t="s">
        <v>258</v>
      </c>
      <c r="B165" s="52" t="n">
        <v>43895</v>
      </c>
      <c r="C165" s="54" t="s">
        <v>590</v>
      </c>
      <c r="D165" s="0" t="n">
        <v>0.0354341279625115</v>
      </c>
      <c r="E165" s="0" t="n">
        <v>0.148496199950888</v>
      </c>
      <c r="F165" s="0" t="n">
        <v>0</v>
      </c>
      <c r="G165" s="0" t="n">
        <v>2020</v>
      </c>
    </row>
    <row r="166" customFormat="false" ht="15" hidden="false" customHeight="false" outlineLevel="0" collapsed="false">
      <c r="A166" s="0" t="s">
        <v>258</v>
      </c>
      <c r="B166" s="52" t="n">
        <v>43895</v>
      </c>
      <c r="C166" s="54" t="s">
        <v>591</v>
      </c>
      <c r="D166" s="0" t="n">
        <v>0.0850300080894332</v>
      </c>
      <c r="E166" s="0" t="n">
        <v>0.01391019291293</v>
      </c>
      <c r="F166" s="0" t="n">
        <v>0</v>
      </c>
      <c r="G166" s="0" t="n">
        <v>2020</v>
      </c>
    </row>
    <row r="167" customFormat="false" ht="15" hidden="false" customHeight="false" outlineLevel="0" collapsed="false">
      <c r="A167" s="0" t="s">
        <v>258</v>
      </c>
      <c r="B167" s="52" t="n">
        <v>43895</v>
      </c>
      <c r="C167" s="54" t="s">
        <v>592</v>
      </c>
      <c r="D167" s="0" t="n">
        <v>0.0808304413987789</v>
      </c>
      <c r="E167" s="0" t="n">
        <v>0.0768519853734918</v>
      </c>
      <c r="F167" s="0" t="n">
        <v>0</v>
      </c>
      <c r="G167" s="0" t="n">
        <v>2020</v>
      </c>
    </row>
    <row r="168" customFormat="false" ht="15" hidden="false" customHeight="false" outlineLevel="0" collapsed="false">
      <c r="A168" s="0" t="s">
        <v>258</v>
      </c>
      <c r="B168" s="52" t="n">
        <v>43896</v>
      </c>
      <c r="C168" s="54" t="s">
        <v>590</v>
      </c>
      <c r="D168" s="0" t="n">
        <v>0.0442738815381432</v>
      </c>
      <c r="E168" s="0" t="n">
        <v>0.0300712890459868</v>
      </c>
      <c r="F168" s="0" t="n">
        <v>0</v>
      </c>
      <c r="G168" s="0" t="n">
        <v>2020</v>
      </c>
    </row>
    <row r="169" customFormat="false" ht="15" hidden="false" customHeight="false" outlineLevel="0" collapsed="false">
      <c r="A169" s="0" t="s">
        <v>258</v>
      </c>
      <c r="B169" s="52" t="n">
        <v>43896</v>
      </c>
      <c r="C169" s="54" t="s">
        <v>591</v>
      </c>
      <c r="D169" s="0" t="n">
        <v>0.0265093611035492</v>
      </c>
      <c r="E169" s="0" t="n">
        <v>0.0253441356628324</v>
      </c>
      <c r="F169" s="0" t="n">
        <v>0</v>
      </c>
      <c r="G169" s="0" t="n">
        <v>2020</v>
      </c>
    </row>
    <row r="170" customFormat="false" ht="15" hidden="false" customHeight="false" outlineLevel="0" collapsed="false">
      <c r="A170" s="0" t="s">
        <v>258</v>
      </c>
      <c r="B170" s="52" t="n">
        <v>43896</v>
      </c>
      <c r="C170" s="54" t="s">
        <v>592</v>
      </c>
      <c r="D170" s="0" t="n">
        <v>0.0009356205302065</v>
      </c>
      <c r="E170" s="0" t="n">
        <v>0.109376328273652</v>
      </c>
      <c r="F170" s="0" t="n">
        <v>0</v>
      </c>
      <c r="G170" s="0" t="n">
        <v>2020</v>
      </c>
    </row>
    <row r="171" customFormat="false" ht="15" hidden="false" customHeight="false" outlineLevel="0" collapsed="false">
      <c r="A171" s="0" t="s">
        <v>258</v>
      </c>
      <c r="B171" s="52" t="n">
        <v>43897</v>
      </c>
      <c r="C171" s="54" t="s">
        <v>590</v>
      </c>
      <c r="D171" s="0" t="n">
        <v>0.413770065758427</v>
      </c>
      <c r="E171" s="0" t="n">
        <v>0.229055684560946</v>
      </c>
      <c r="F171" s="0" t="n">
        <v>1</v>
      </c>
      <c r="G171" s="0" t="n">
        <v>2020</v>
      </c>
    </row>
    <row r="172" customFormat="false" ht="15" hidden="false" customHeight="false" outlineLevel="0" collapsed="false">
      <c r="A172" s="0" t="s">
        <v>258</v>
      </c>
      <c r="B172" s="52" t="n">
        <v>43898</v>
      </c>
      <c r="C172" s="54" t="s">
        <v>590</v>
      </c>
      <c r="D172" s="0" t="n">
        <v>1</v>
      </c>
      <c r="E172" s="0" t="n">
        <v>0</v>
      </c>
      <c r="F172" s="0" t="n">
        <v>1</v>
      </c>
      <c r="G172" s="0" t="n">
        <v>2020</v>
      </c>
    </row>
    <row r="173" customFormat="false" ht="15" hidden="false" customHeight="false" outlineLevel="0" collapsed="false">
      <c r="A173" s="0" t="s">
        <v>258</v>
      </c>
      <c r="B173" s="52" t="n">
        <v>43898</v>
      </c>
      <c r="C173" s="54" t="s">
        <v>592</v>
      </c>
      <c r="D173" s="0" t="n">
        <v>0.0033886946766025</v>
      </c>
      <c r="E173" s="0" t="n">
        <v>0.0332604593736724</v>
      </c>
      <c r="F173" s="0" t="n">
        <v>1</v>
      </c>
      <c r="G173" s="0" t="n">
        <v>2020</v>
      </c>
    </row>
    <row r="174" customFormat="false" ht="15" hidden="false" customHeight="false" outlineLevel="0" collapsed="false">
      <c r="A174" s="0" t="s">
        <v>258</v>
      </c>
      <c r="B174" s="52" t="n">
        <v>43899</v>
      </c>
      <c r="C174" s="54" t="s">
        <v>590</v>
      </c>
      <c r="D174" s="0" t="n">
        <v>0</v>
      </c>
      <c r="E174" s="0" t="n">
        <v>0.212157198511426</v>
      </c>
      <c r="F174" s="0" t="n">
        <v>0</v>
      </c>
      <c r="G174" s="0" t="n">
        <v>2020</v>
      </c>
    </row>
    <row r="175" customFormat="false" ht="15" hidden="false" customHeight="false" outlineLevel="0" collapsed="false">
      <c r="A175" s="0" t="s">
        <v>258</v>
      </c>
      <c r="B175" s="52" t="n">
        <v>43899</v>
      </c>
      <c r="C175" s="54" t="s">
        <v>591</v>
      </c>
      <c r="D175" s="0" t="n">
        <v>0.0025848178662428</v>
      </c>
      <c r="E175" s="0" t="n">
        <v>0.0753667539657091</v>
      </c>
      <c r="F175" s="0" t="n">
        <v>0</v>
      </c>
      <c r="G175" s="0" t="n">
        <v>2020</v>
      </c>
    </row>
    <row r="176" customFormat="false" ht="15" hidden="false" customHeight="false" outlineLevel="0" collapsed="false">
      <c r="A176" s="0" t="s">
        <v>258</v>
      </c>
      <c r="B176" s="52" t="n">
        <v>43899</v>
      </c>
      <c r="C176" s="54" t="s">
        <v>592</v>
      </c>
      <c r="D176" s="0" t="n">
        <v>0.237926636510536</v>
      </c>
      <c r="E176" s="0" t="n">
        <v>0.0286353854379608</v>
      </c>
      <c r="F176" s="0" t="n">
        <v>0</v>
      </c>
      <c r="G176" s="0" t="n">
        <v>2020</v>
      </c>
    </row>
    <row r="177" customFormat="false" ht="15" hidden="false" customHeight="false" outlineLevel="0" collapsed="false">
      <c r="A177" s="0" t="s">
        <v>258</v>
      </c>
      <c r="B177" s="52" t="n">
        <v>43900</v>
      </c>
      <c r="C177" s="54" t="s">
        <v>590</v>
      </c>
      <c r="D177" s="0" t="n">
        <v>0.020866790188239</v>
      </c>
      <c r="E177" s="0" t="n">
        <v>0.336159190062426</v>
      </c>
      <c r="F177" s="0" t="n">
        <v>0</v>
      </c>
      <c r="G177" s="0" t="n">
        <v>2020</v>
      </c>
    </row>
    <row r="178" customFormat="false" ht="15" hidden="false" customHeight="false" outlineLevel="0" collapsed="false">
      <c r="A178" s="0" t="s">
        <v>258</v>
      </c>
      <c r="B178" s="52" t="n">
        <v>43907</v>
      </c>
      <c r="C178" s="54" t="s">
        <v>590</v>
      </c>
      <c r="D178" s="0" t="n">
        <v>0.103269483075308</v>
      </c>
      <c r="E178" s="0" t="n">
        <v>0.16157715201149</v>
      </c>
      <c r="F178" s="0" t="n">
        <v>0</v>
      </c>
      <c r="G178" s="0" t="n">
        <v>2020</v>
      </c>
    </row>
    <row r="179" customFormat="false" ht="15" hidden="false" customHeight="false" outlineLevel="0" collapsed="false">
      <c r="A179" s="0" t="s">
        <v>258</v>
      </c>
      <c r="B179" s="52" t="n">
        <v>43907</v>
      </c>
      <c r="C179" s="54" t="s">
        <v>591</v>
      </c>
      <c r="D179" s="0" t="n">
        <v>0.0546236355319884</v>
      </c>
      <c r="E179" s="0" t="n">
        <v>0.278863997130673</v>
      </c>
      <c r="F179" s="0" t="n">
        <v>0</v>
      </c>
      <c r="G179" s="0" t="n">
        <v>2020</v>
      </c>
    </row>
    <row r="180" customFormat="false" ht="15" hidden="false" customHeight="false" outlineLevel="0" collapsed="false">
      <c r="A180" s="0" t="s">
        <v>258</v>
      </c>
      <c r="B180" s="52" t="n">
        <v>43907</v>
      </c>
      <c r="C180" s="54" t="s">
        <v>592</v>
      </c>
      <c r="D180" s="0" t="n">
        <v>0.0023181157485902</v>
      </c>
      <c r="E180" s="0" t="n">
        <v>0.0336543319969154</v>
      </c>
      <c r="F180" s="0" t="n">
        <v>0</v>
      </c>
      <c r="G180" s="0" t="n">
        <v>2020</v>
      </c>
    </row>
    <row r="181" customFormat="false" ht="15" hidden="false" customHeight="false" outlineLevel="0" collapsed="false">
      <c r="A181" s="0" t="s">
        <v>258</v>
      </c>
      <c r="B181" s="52" t="n">
        <v>43908</v>
      </c>
      <c r="C181" s="54" t="s">
        <v>590</v>
      </c>
      <c r="D181" s="0" t="n">
        <v>0.0141522886320999</v>
      </c>
      <c r="E181" s="0" t="n">
        <v>0.152258202397153</v>
      </c>
      <c r="F181" s="0" t="n">
        <v>0</v>
      </c>
      <c r="G181" s="0" t="n">
        <v>2020</v>
      </c>
    </row>
    <row r="182" customFormat="false" ht="15" hidden="false" customHeight="false" outlineLevel="0" collapsed="false">
      <c r="A182" s="0" t="s">
        <v>258</v>
      </c>
      <c r="B182" s="52" t="n">
        <v>43908</v>
      </c>
      <c r="C182" s="54" t="s">
        <v>591</v>
      </c>
      <c r="D182" s="0" t="n">
        <v>0.123618205406502</v>
      </c>
      <c r="E182" s="0" t="n">
        <v>0.0991694918018231</v>
      </c>
      <c r="F182" s="0" t="n">
        <v>0</v>
      </c>
      <c r="G182" s="0" t="n">
        <v>2020</v>
      </c>
    </row>
    <row r="183" customFormat="false" ht="15" hidden="false" customHeight="false" outlineLevel="0" collapsed="false">
      <c r="A183" s="0" t="s">
        <v>258</v>
      </c>
      <c r="B183" s="52" t="n">
        <v>43908</v>
      </c>
      <c r="C183" s="54" t="s">
        <v>592</v>
      </c>
      <c r="D183" s="0" t="n">
        <v>0.0005979160090602</v>
      </c>
      <c r="E183" s="0" t="n">
        <v>0.0273532482578487</v>
      </c>
      <c r="F183" s="0" t="n">
        <v>0</v>
      </c>
      <c r="G183" s="0" t="n">
        <v>2020</v>
      </c>
    </row>
    <row r="184" customFormat="false" ht="15" hidden="false" customHeight="false" outlineLevel="0" collapsed="false">
      <c r="A184" s="0" t="s">
        <v>258</v>
      </c>
      <c r="B184" s="52" t="n">
        <v>43909</v>
      </c>
      <c r="C184" s="54" t="s">
        <v>590</v>
      </c>
      <c r="D184" s="0" t="n">
        <v>0</v>
      </c>
      <c r="E184" s="0" t="n">
        <v>0.111556709974518</v>
      </c>
      <c r="F184" s="0" t="n">
        <v>0</v>
      </c>
      <c r="G184" s="0" t="n">
        <v>2020</v>
      </c>
    </row>
    <row r="185" customFormat="false" ht="15" hidden="false" customHeight="false" outlineLevel="0" collapsed="false">
      <c r="A185" s="0" t="s">
        <v>258</v>
      </c>
      <c r="B185" s="52" t="n">
        <v>43909</v>
      </c>
      <c r="C185" s="54" t="s">
        <v>591</v>
      </c>
      <c r="D185" s="0" t="n">
        <v>0</v>
      </c>
      <c r="E185" s="0" t="n">
        <v>0.0327022604612161</v>
      </c>
      <c r="F185" s="0" t="n">
        <v>0</v>
      </c>
      <c r="G185" s="0" t="n">
        <v>2020</v>
      </c>
    </row>
    <row r="186" customFormat="false" ht="15" hidden="false" customHeight="false" outlineLevel="0" collapsed="false">
      <c r="A186" s="0" t="s">
        <v>258</v>
      </c>
      <c r="B186" s="52" t="n">
        <v>43909</v>
      </c>
      <c r="C186" s="54" t="s">
        <v>592</v>
      </c>
      <c r="D186" s="0" t="n">
        <v>0.10631246657033</v>
      </c>
      <c r="E186" s="0" t="n">
        <v>0.101615174695124</v>
      </c>
      <c r="F186" s="0" t="n">
        <v>0</v>
      </c>
      <c r="G186" s="0" t="n">
        <v>2020</v>
      </c>
    </row>
    <row r="187" customFormat="false" ht="15" hidden="false" customHeight="false" outlineLevel="0" collapsed="false">
      <c r="A187" s="0" t="s">
        <v>258</v>
      </c>
      <c r="B187" s="52" t="n">
        <v>43910</v>
      </c>
      <c r="C187" s="54" t="s">
        <v>590</v>
      </c>
      <c r="D187" s="0" t="n">
        <v>0.0012070933680608</v>
      </c>
      <c r="E187" s="0" t="n">
        <v>0.104993084862479</v>
      </c>
      <c r="F187" s="0" t="n">
        <v>0</v>
      </c>
      <c r="G187" s="0" t="n">
        <v>2020</v>
      </c>
    </row>
    <row r="188" customFormat="false" ht="15" hidden="false" customHeight="false" outlineLevel="0" collapsed="false">
      <c r="A188" s="0" t="s">
        <v>258</v>
      </c>
      <c r="B188" s="52" t="n">
        <v>43910</v>
      </c>
      <c r="C188" s="54" t="s">
        <v>591</v>
      </c>
      <c r="D188" s="0" t="n">
        <v>0</v>
      </c>
      <c r="E188" s="0" t="n">
        <v>0.0066657805906883</v>
      </c>
      <c r="F188" s="0" t="n">
        <v>0</v>
      </c>
      <c r="G188" s="0" t="n">
        <v>2020</v>
      </c>
    </row>
    <row r="189" customFormat="false" ht="15" hidden="false" customHeight="false" outlineLevel="0" collapsed="false">
      <c r="A189" s="0" t="s">
        <v>258</v>
      </c>
      <c r="B189" s="52" t="n">
        <v>43910</v>
      </c>
      <c r="C189" s="54" t="s">
        <v>592</v>
      </c>
      <c r="D189" s="0" t="n">
        <v>0.0057579957122305</v>
      </c>
      <c r="E189" s="0" t="n">
        <v>0.0210715747820225</v>
      </c>
      <c r="F189" s="0" t="n">
        <v>0</v>
      </c>
      <c r="G189" s="0" t="n">
        <v>2020</v>
      </c>
    </row>
    <row r="190" customFormat="false" ht="15" hidden="false" customHeight="false" outlineLevel="0" collapsed="false">
      <c r="A190" s="0" t="s">
        <v>258</v>
      </c>
      <c r="B190" s="52" t="n">
        <v>43911</v>
      </c>
      <c r="C190" s="54" t="s">
        <v>590</v>
      </c>
      <c r="D190" s="0" t="n">
        <v>0.01728359766086</v>
      </c>
      <c r="E190" s="0" t="n">
        <v>0.184055588646341</v>
      </c>
      <c r="F190" s="0" t="n">
        <v>1</v>
      </c>
      <c r="G190" s="0" t="n">
        <v>2020</v>
      </c>
    </row>
    <row r="191" customFormat="false" ht="15" hidden="false" customHeight="false" outlineLevel="0" collapsed="false">
      <c r="A191" s="0" t="s">
        <v>258</v>
      </c>
      <c r="B191" s="52" t="n">
        <v>43911</v>
      </c>
      <c r="C191" s="54" t="s">
        <v>591</v>
      </c>
      <c r="D191" s="0" t="n">
        <v>0.281828854848403</v>
      </c>
      <c r="E191" s="0" t="n">
        <v>0.117732974615016</v>
      </c>
      <c r="F191" s="0" t="n">
        <v>1</v>
      </c>
      <c r="G191" s="0" t="n">
        <v>2020</v>
      </c>
    </row>
    <row r="192" customFormat="false" ht="15" hidden="false" customHeight="false" outlineLevel="0" collapsed="false">
      <c r="A192" s="0" t="s">
        <v>258</v>
      </c>
      <c r="B192" s="52" t="n">
        <v>43912</v>
      </c>
      <c r="C192" s="54" t="s">
        <v>590</v>
      </c>
      <c r="D192" s="0" t="n">
        <v>0.989734367257384</v>
      </c>
      <c r="E192" s="0" t="n">
        <v>0</v>
      </c>
      <c r="F192" s="0" t="n">
        <v>1</v>
      </c>
      <c r="G192" s="0" t="n">
        <v>2020</v>
      </c>
    </row>
    <row r="193" customFormat="false" ht="15" hidden="false" customHeight="false" outlineLevel="0" collapsed="false">
      <c r="A193" s="0" t="s">
        <v>258</v>
      </c>
      <c r="B193" s="52" t="n">
        <v>43912</v>
      </c>
      <c r="C193" s="54" t="s">
        <v>591</v>
      </c>
      <c r="D193" s="0" t="n">
        <v>0.022991285573354</v>
      </c>
      <c r="E193" s="0" t="n">
        <v>0.069283709934217</v>
      </c>
      <c r="F193" s="0" t="n">
        <v>1</v>
      </c>
      <c r="G193" s="0" t="n">
        <v>2020</v>
      </c>
    </row>
    <row r="194" customFormat="false" ht="15" hidden="false" customHeight="false" outlineLevel="0" collapsed="false">
      <c r="A194" s="0" t="s">
        <v>258</v>
      </c>
      <c r="B194" s="52" t="n">
        <v>43912</v>
      </c>
      <c r="C194" s="54" t="s">
        <v>592</v>
      </c>
      <c r="D194" s="0" t="n">
        <v>0</v>
      </c>
      <c r="E194" s="0" t="n">
        <v>0.355707219631592</v>
      </c>
      <c r="F194" s="0" t="n">
        <v>1</v>
      </c>
      <c r="G194" s="0" t="n">
        <v>2020</v>
      </c>
    </row>
    <row r="195" customFormat="false" ht="15" hidden="false" customHeight="false" outlineLevel="0" collapsed="false">
      <c r="A195" s="0" t="s">
        <v>258</v>
      </c>
      <c r="B195" s="52" t="n">
        <v>43913</v>
      </c>
      <c r="C195" s="54" t="s">
        <v>590</v>
      </c>
      <c r="D195" s="0" t="n">
        <v>0.154485188259526</v>
      </c>
      <c r="E195" s="0" t="n">
        <v>0.0116024111635942</v>
      </c>
      <c r="F195" s="0" t="n">
        <v>0</v>
      </c>
      <c r="G195" s="0" t="n">
        <v>2020</v>
      </c>
    </row>
    <row r="196" customFormat="false" ht="15" hidden="false" customHeight="false" outlineLevel="0" collapsed="false">
      <c r="A196" s="0" t="s">
        <v>258</v>
      </c>
      <c r="B196" s="52" t="n">
        <v>43913</v>
      </c>
      <c r="C196" s="54" t="s">
        <v>591</v>
      </c>
      <c r="D196" s="0" t="n">
        <v>0.0241565512926077</v>
      </c>
      <c r="E196" s="0" t="n">
        <v>0.0440581502645117</v>
      </c>
      <c r="F196" s="0" t="n">
        <v>0</v>
      </c>
      <c r="G196" s="0" t="n">
        <v>2020</v>
      </c>
    </row>
    <row r="197" customFormat="false" ht="15" hidden="false" customHeight="false" outlineLevel="0" collapsed="false">
      <c r="A197" s="0" t="s">
        <v>258</v>
      </c>
      <c r="B197" s="52" t="n">
        <v>43913</v>
      </c>
      <c r="C197" s="54" t="s">
        <v>592</v>
      </c>
      <c r="D197" s="0" t="n">
        <v>0.735033865765214</v>
      </c>
      <c r="E197" s="0" t="n">
        <v>0.08692141451636</v>
      </c>
      <c r="F197" s="0" t="n">
        <v>0</v>
      </c>
      <c r="G197" s="0" t="n">
        <v>2020</v>
      </c>
    </row>
    <row r="198" customFormat="false" ht="15" hidden="false" customHeight="false" outlineLevel="0" collapsed="false">
      <c r="A198" s="0" t="s">
        <v>258</v>
      </c>
      <c r="B198" s="52" t="n">
        <v>43914</v>
      </c>
      <c r="C198" s="54" t="s">
        <v>590</v>
      </c>
      <c r="D198" s="0" t="n">
        <v>0.0517091980197986</v>
      </c>
      <c r="E198" s="0" t="n">
        <v>0.171075163382922</v>
      </c>
      <c r="F198" s="0" t="n">
        <v>0</v>
      </c>
      <c r="G198" s="0" t="n">
        <v>2020</v>
      </c>
    </row>
    <row r="199" customFormat="false" ht="15" hidden="false" customHeight="false" outlineLevel="0" collapsed="false">
      <c r="A199" s="0" t="s">
        <v>258</v>
      </c>
      <c r="B199" s="52" t="n">
        <v>43914</v>
      </c>
      <c r="C199" s="54" t="s">
        <v>591</v>
      </c>
      <c r="D199" s="0" t="n">
        <v>0.215519505949539</v>
      </c>
      <c r="E199" s="0" t="n">
        <v>0.0578936551070902</v>
      </c>
      <c r="F199" s="0" t="n">
        <v>0</v>
      </c>
      <c r="G199" s="0" t="n">
        <v>2020</v>
      </c>
    </row>
    <row r="200" customFormat="false" ht="15" hidden="false" customHeight="false" outlineLevel="0" collapsed="false">
      <c r="A200" s="0" t="s">
        <v>258</v>
      </c>
      <c r="B200" s="52" t="n">
        <v>43914</v>
      </c>
      <c r="C200" s="54" t="s">
        <v>592</v>
      </c>
      <c r="D200" s="0" t="n">
        <v>0.0259389427982807</v>
      </c>
      <c r="E200" s="0" t="n">
        <v>0.0748593858541635</v>
      </c>
      <c r="F200" s="0" t="n">
        <v>0</v>
      </c>
      <c r="G200" s="0" t="n">
        <v>2020</v>
      </c>
    </row>
    <row r="201" customFormat="false" ht="15" hidden="false" customHeight="false" outlineLevel="0" collapsed="false">
      <c r="A201" s="0" t="s">
        <v>258</v>
      </c>
      <c r="B201" s="52" t="n">
        <v>43915</v>
      </c>
      <c r="C201" s="54" t="s">
        <v>590</v>
      </c>
      <c r="D201" s="0" t="n">
        <v>0.118510724402342</v>
      </c>
      <c r="E201" s="0" t="n">
        <v>0.119046884493086</v>
      </c>
      <c r="F201" s="0" t="n">
        <v>0</v>
      </c>
      <c r="G201" s="0" t="n">
        <v>2020</v>
      </c>
    </row>
    <row r="202" customFormat="false" ht="15" hidden="false" customHeight="false" outlineLevel="0" collapsed="false">
      <c r="A202" s="0" t="s">
        <v>258</v>
      </c>
      <c r="B202" s="52" t="n">
        <v>43915</v>
      </c>
      <c r="C202" s="54" t="s">
        <v>592</v>
      </c>
      <c r="D202" s="0" t="n">
        <v>0.68116556406567</v>
      </c>
      <c r="E202" s="0" t="n">
        <v>0.028506549708079</v>
      </c>
      <c r="F202" s="0" t="n">
        <v>0</v>
      </c>
      <c r="G202" s="0" t="n">
        <v>2020</v>
      </c>
    </row>
    <row r="203" customFormat="false" ht="15" hidden="false" customHeight="false" outlineLevel="0" collapsed="false">
      <c r="A203" s="0" t="s">
        <v>258</v>
      </c>
      <c r="B203" s="52" t="n">
        <v>43916</v>
      </c>
      <c r="C203" s="54" t="s">
        <v>590</v>
      </c>
      <c r="D203" s="0" t="n">
        <v>0.014689056690723</v>
      </c>
      <c r="E203" s="0" t="n">
        <v>0.126433595565027</v>
      </c>
      <c r="F203" s="0" t="n">
        <v>0</v>
      </c>
      <c r="G203" s="0" t="n">
        <v>2020</v>
      </c>
    </row>
    <row r="204" customFormat="false" ht="15" hidden="false" customHeight="false" outlineLevel="0" collapsed="false">
      <c r="A204" s="0" t="s">
        <v>258</v>
      </c>
      <c r="B204" s="52" t="n">
        <v>43916</v>
      </c>
      <c r="C204" s="54" t="s">
        <v>591</v>
      </c>
      <c r="D204" s="0" t="n">
        <v>0.0941858565696068</v>
      </c>
      <c r="E204" s="0" t="n">
        <v>0.181258595798282</v>
      </c>
      <c r="F204" s="0" t="n">
        <v>0</v>
      </c>
      <c r="G204" s="0" t="n">
        <v>2020</v>
      </c>
    </row>
    <row r="205" customFormat="false" ht="15" hidden="false" customHeight="false" outlineLevel="0" collapsed="false">
      <c r="A205" s="0" t="s">
        <v>258</v>
      </c>
      <c r="B205" s="52" t="n">
        <v>43916</v>
      </c>
      <c r="C205" s="54" t="s">
        <v>592</v>
      </c>
      <c r="D205" s="0" t="n">
        <v>0.0211062587898711</v>
      </c>
      <c r="E205" s="0" t="n">
        <v>0.119434835852656</v>
      </c>
      <c r="F205" s="0" t="n">
        <v>0</v>
      </c>
      <c r="G205" s="0" t="n">
        <v>2020</v>
      </c>
    </row>
    <row r="206" customFormat="false" ht="15" hidden="false" customHeight="false" outlineLevel="0" collapsed="false">
      <c r="A206" s="0" t="s">
        <v>258</v>
      </c>
      <c r="B206" s="52" t="n">
        <v>43917</v>
      </c>
      <c r="C206" s="54" t="s">
        <v>590</v>
      </c>
      <c r="D206" s="0" t="n">
        <v>0.0291280711005885</v>
      </c>
      <c r="E206" s="0" t="n">
        <v>0.13142329440116</v>
      </c>
      <c r="F206" s="0" t="n">
        <v>0</v>
      </c>
      <c r="G206" s="0" t="n">
        <v>2020</v>
      </c>
    </row>
    <row r="207" customFormat="false" ht="15" hidden="false" customHeight="false" outlineLevel="0" collapsed="false">
      <c r="A207" s="0" t="s">
        <v>258</v>
      </c>
      <c r="B207" s="52" t="n">
        <v>43917</v>
      </c>
      <c r="C207" s="54" t="s">
        <v>591</v>
      </c>
      <c r="D207" s="0" t="n">
        <v>0.0309579025234711</v>
      </c>
      <c r="E207" s="0" t="n">
        <v>0.0922017442580979</v>
      </c>
      <c r="F207" s="0" t="n">
        <v>0</v>
      </c>
      <c r="G207" s="0" t="n">
        <v>2020</v>
      </c>
    </row>
    <row r="208" customFormat="false" ht="15" hidden="false" customHeight="false" outlineLevel="0" collapsed="false">
      <c r="A208" s="0" t="s">
        <v>258</v>
      </c>
      <c r="B208" s="52" t="n">
        <v>43917</v>
      </c>
      <c r="C208" s="54" t="s">
        <v>592</v>
      </c>
      <c r="D208" s="0" t="n">
        <v>0.005078285270272</v>
      </c>
      <c r="E208" s="0" t="n">
        <v>0.135403004962914</v>
      </c>
      <c r="F208" s="0" t="n">
        <v>0</v>
      </c>
      <c r="G208" s="0" t="n">
        <v>2020</v>
      </c>
    </row>
    <row r="209" customFormat="false" ht="15" hidden="false" customHeight="false" outlineLevel="0" collapsed="false">
      <c r="A209" s="0" t="s">
        <v>258</v>
      </c>
      <c r="B209" s="52" t="n">
        <v>43918</v>
      </c>
      <c r="C209" s="54" t="s">
        <v>590</v>
      </c>
      <c r="D209" s="0" t="n">
        <v>0.157418568656453</v>
      </c>
      <c r="E209" s="0" t="n">
        <v>0.258180635683336</v>
      </c>
      <c r="F209" s="0" t="n">
        <v>1</v>
      </c>
      <c r="G209" s="0" t="n">
        <v>2020</v>
      </c>
    </row>
    <row r="210" customFormat="false" ht="15" hidden="false" customHeight="false" outlineLevel="0" collapsed="false">
      <c r="A210" s="0" t="s">
        <v>258</v>
      </c>
      <c r="B210" s="52" t="n">
        <v>43919</v>
      </c>
      <c r="C210" s="54" t="s">
        <v>592</v>
      </c>
      <c r="D210" s="0" t="n">
        <v>0.0443987118130413</v>
      </c>
      <c r="E210" s="0" t="n">
        <v>0.166142633744671</v>
      </c>
      <c r="F210" s="0" t="n">
        <v>1</v>
      </c>
      <c r="G210" s="0" t="n">
        <v>2020</v>
      </c>
    </row>
    <row r="211" customFormat="false" ht="15" hidden="false" customHeight="false" outlineLevel="0" collapsed="false">
      <c r="A211" s="0" t="s">
        <v>258</v>
      </c>
      <c r="B211" s="52" t="n">
        <v>43920</v>
      </c>
      <c r="C211" s="54" t="s">
        <v>590</v>
      </c>
      <c r="D211" s="0" t="n">
        <v>0</v>
      </c>
      <c r="E211" s="0" t="n">
        <v>0.17193860491666</v>
      </c>
      <c r="F211" s="0" t="n">
        <v>0</v>
      </c>
      <c r="G211" s="0" t="n">
        <v>2020</v>
      </c>
    </row>
    <row r="212" customFormat="false" ht="15" hidden="false" customHeight="false" outlineLevel="0" collapsed="false">
      <c r="A212" s="0" t="s">
        <v>258</v>
      </c>
      <c r="B212" s="52" t="n">
        <v>43920</v>
      </c>
      <c r="C212" s="54" t="s">
        <v>591</v>
      </c>
      <c r="D212" s="0" t="n">
        <v>0.0006928210508751</v>
      </c>
      <c r="E212" s="0" t="n">
        <v>0.0115103870361328</v>
      </c>
      <c r="F212" s="0" t="n">
        <v>0</v>
      </c>
      <c r="G212" s="0" t="n">
        <v>2020</v>
      </c>
    </row>
    <row r="213" customFormat="false" ht="15" hidden="false" customHeight="false" outlineLevel="0" collapsed="false">
      <c r="A213" s="0" t="s">
        <v>258</v>
      </c>
      <c r="B213" s="52" t="n">
        <v>43920</v>
      </c>
      <c r="C213" s="54" t="s">
        <v>592</v>
      </c>
      <c r="D213" s="0" t="n">
        <v>0.0767173640859678</v>
      </c>
      <c r="E213" s="0" t="n">
        <v>0.0798515880009015</v>
      </c>
      <c r="F213" s="0" t="n">
        <v>0</v>
      </c>
      <c r="G213" s="0" t="n">
        <v>2020</v>
      </c>
    </row>
    <row r="214" customFormat="false" ht="15" hidden="false" customHeight="false" outlineLevel="0" collapsed="false">
      <c r="A214" s="0" t="s">
        <v>258</v>
      </c>
      <c r="B214" s="52" t="n">
        <v>43921</v>
      </c>
      <c r="C214" s="54" t="s">
        <v>590</v>
      </c>
      <c r="D214" s="0" t="n">
        <v>0.001138460531288</v>
      </c>
      <c r="E214" s="0" t="n">
        <v>0.143382713721062</v>
      </c>
      <c r="F214" s="0" t="n">
        <v>0</v>
      </c>
      <c r="G214" s="0" t="n">
        <v>2020</v>
      </c>
    </row>
    <row r="215" customFormat="false" ht="15" hidden="false" customHeight="false" outlineLevel="0" collapsed="false">
      <c r="A215" s="0" t="s">
        <v>258</v>
      </c>
      <c r="B215" s="52" t="n">
        <v>43921</v>
      </c>
      <c r="C215" s="54" t="s">
        <v>591</v>
      </c>
      <c r="D215" s="0" t="n">
        <v>0.0347345023231558</v>
      </c>
      <c r="E215" s="0" t="n">
        <v>0.0110422494368963</v>
      </c>
      <c r="F215" s="0" t="n">
        <v>0</v>
      </c>
      <c r="G215" s="0" t="n">
        <v>2020</v>
      </c>
    </row>
    <row r="216" customFormat="false" ht="15" hidden="false" customHeight="false" outlineLevel="0" collapsed="false">
      <c r="A216" s="0" t="s">
        <v>258</v>
      </c>
      <c r="B216" s="52" t="n">
        <v>43921</v>
      </c>
      <c r="C216" s="54" t="s">
        <v>592</v>
      </c>
      <c r="D216" s="0" t="n">
        <v>0.0017967684437654</v>
      </c>
      <c r="E216" s="0" t="n">
        <v>0.080580099740576</v>
      </c>
      <c r="F216" s="0" t="n">
        <v>0</v>
      </c>
      <c r="G216" s="0" t="n">
        <v>2020</v>
      </c>
    </row>
    <row r="217" customFormat="false" ht="15" hidden="false" customHeight="false" outlineLevel="0" collapsed="false">
      <c r="A217" s="0" t="s">
        <v>258</v>
      </c>
      <c r="B217" s="52" t="n">
        <v>43922</v>
      </c>
      <c r="C217" s="54" t="s">
        <v>590</v>
      </c>
      <c r="D217" s="0" t="n">
        <v>0.0828517494004857</v>
      </c>
      <c r="E217" s="0" t="n">
        <v>0.153435564917068</v>
      </c>
      <c r="F217" s="0" t="n">
        <v>0</v>
      </c>
      <c r="G217" s="0" t="n">
        <v>2020</v>
      </c>
    </row>
    <row r="218" customFormat="false" ht="15" hidden="false" customHeight="false" outlineLevel="0" collapsed="false">
      <c r="A218" s="0" t="s">
        <v>258</v>
      </c>
      <c r="B218" s="52" t="n">
        <v>43922</v>
      </c>
      <c r="C218" s="54" t="s">
        <v>591</v>
      </c>
      <c r="D218" s="0" t="n">
        <v>0.417478439072503</v>
      </c>
      <c r="E218" s="0" t="n">
        <v>0.489326295214244</v>
      </c>
      <c r="F218" s="0" t="n">
        <v>0</v>
      </c>
      <c r="G218" s="0" t="n">
        <v>2020</v>
      </c>
    </row>
    <row r="219" customFormat="false" ht="15" hidden="false" customHeight="false" outlineLevel="0" collapsed="false">
      <c r="A219" s="0" t="s">
        <v>258</v>
      </c>
      <c r="B219" s="52" t="n">
        <v>43922</v>
      </c>
      <c r="C219" s="54" t="s">
        <v>592</v>
      </c>
      <c r="D219" s="0" t="n">
        <v>0.265699092020642</v>
      </c>
      <c r="E219" s="0" t="n">
        <v>0.0376435947237456</v>
      </c>
      <c r="F219" s="0" t="n">
        <v>0</v>
      </c>
      <c r="G219" s="0" t="n">
        <v>2020</v>
      </c>
    </row>
    <row r="220" customFormat="false" ht="15" hidden="false" customHeight="false" outlineLevel="0" collapsed="false">
      <c r="A220" s="0" t="s">
        <v>258</v>
      </c>
      <c r="B220" s="52" t="n">
        <v>43923</v>
      </c>
      <c r="C220" s="54" t="s">
        <v>590</v>
      </c>
      <c r="D220" s="0" t="n">
        <v>0.015234858473692</v>
      </c>
      <c r="E220" s="0" t="n">
        <v>0.0800348581900615</v>
      </c>
      <c r="F220" s="0" t="n">
        <v>0</v>
      </c>
      <c r="G220" s="0" t="n">
        <v>2020</v>
      </c>
    </row>
    <row r="221" customFormat="false" ht="15" hidden="false" customHeight="false" outlineLevel="0" collapsed="false">
      <c r="A221" s="0" t="s">
        <v>258</v>
      </c>
      <c r="B221" s="52" t="n">
        <v>43923</v>
      </c>
      <c r="C221" s="54" t="s">
        <v>591</v>
      </c>
      <c r="D221" s="0" t="n">
        <v>0</v>
      </c>
      <c r="E221" s="0" t="n">
        <v>0.0363699349084171</v>
      </c>
      <c r="F221" s="0" t="n">
        <v>0</v>
      </c>
      <c r="G221" s="0" t="n">
        <v>2020</v>
      </c>
    </row>
    <row r="222" customFormat="false" ht="15" hidden="false" customHeight="false" outlineLevel="0" collapsed="false">
      <c r="A222" s="0" t="s">
        <v>258</v>
      </c>
      <c r="B222" s="52" t="n">
        <v>43923</v>
      </c>
      <c r="C222" s="54" t="s">
        <v>592</v>
      </c>
      <c r="D222" s="0" t="n">
        <v>0.0870087600910356</v>
      </c>
      <c r="E222" s="0" t="n">
        <v>0.0422784039985585</v>
      </c>
      <c r="F222" s="0" t="n">
        <v>0</v>
      </c>
      <c r="G222" s="0" t="n">
        <v>2020</v>
      </c>
    </row>
    <row r="223" customFormat="false" ht="15" hidden="false" customHeight="false" outlineLevel="0" collapsed="false">
      <c r="A223" s="0" t="s">
        <v>258</v>
      </c>
      <c r="B223" s="52" t="n">
        <v>43924</v>
      </c>
      <c r="C223" s="54" t="s">
        <v>590</v>
      </c>
      <c r="D223" s="0" t="n">
        <v>0.0098997713499591</v>
      </c>
      <c r="E223" s="0" t="n">
        <v>0.0822475298163066</v>
      </c>
      <c r="F223" s="0" t="n">
        <v>0</v>
      </c>
      <c r="G223" s="0" t="n">
        <v>2020</v>
      </c>
    </row>
    <row r="224" customFormat="false" ht="15" hidden="false" customHeight="false" outlineLevel="0" collapsed="false">
      <c r="A224" s="0" t="s">
        <v>258</v>
      </c>
      <c r="B224" s="52" t="n">
        <v>43924</v>
      </c>
      <c r="C224" s="54" t="s">
        <v>591</v>
      </c>
      <c r="D224" s="0" t="n">
        <v>0</v>
      </c>
      <c r="E224" s="0" t="n">
        <v>0.0132839186797144</v>
      </c>
      <c r="F224" s="0" t="n">
        <v>0</v>
      </c>
      <c r="G224" s="0" t="n">
        <v>2020</v>
      </c>
    </row>
    <row r="225" customFormat="false" ht="15" hidden="false" customHeight="false" outlineLevel="0" collapsed="false">
      <c r="A225" s="0" t="s">
        <v>258</v>
      </c>
      <c r="B225" s="52" t="n">
        <v>43924</v>
      </c>
      <c r="C225" s="54" t="s">
        <v>592</v>
      </c>
      <c r="D225" s="0" t="n">
        <v>0.116139718511056</v>
      </c>
      <c r="E225" s="0" t="n">
        <v>0.0338414814581858</v>
      </c>
      <c r="F225" s="0" t="n">
        <v>0</v>
      </c>
      <c r="G225" s="0" t="n">
        <v>2020</v>
      </c>
    </row>
    <row r="226" customFormat="false" ht="15" hidden="false" customHeight="false" outlineLevel="0" collapsed="false">
      <c r="A226" s="0" t="s">
        <v>258</v>
      </c>
      <c r="B226" s="52" t="n">
        <v>43925</v>
      </c>
      <c r="C226" s="54" t="s">
        <v>590</v>
      </c>
      <c r="D226" s="0" t="n">
        <v>0.0576554480879498</v>
      </c>
      <c r="E226" s="0" t="n">
        <v>0.159791119964393</v>
      </c>
      <c r="F226" s="0" t="n">
        <v>1</v>
      </c>
      <c r="G226" s="0" t="n">
        <v>2020</v>
      </c>
    </row>
    <row r="227" customFormat="false" ht="15" hidden="false" customHeight="false" outlineLevel="0" collapsed="false">
      <c r="A227" s="0" t="s">
        <v>258</v>
      </c>
      <c r="B227" s="52" t="n">
        <v>43926</v>
      </c>
      <c r="C227" s="54" t="s">
        <v>590</v>
      </c>
      <c r="D227" s="0" t="n">
        <v>0.998189843741285</v>
      </c>
      <c r="E227" s="0" t="n">
        <v>0</v>
      </c>
      <c r="F227" s="0" t="n">
        <v>1</v>
      </c>
      <c r="G227" s="0" t="n">
        <v>2020</v>
      </c>
    </row>
    <row r="228" customFormat="false" ht="15" hidden="false" customHeight="false" outlineLevel="0" collapsed="false">
      <c r="A228" s="0" t="s">
        <v>258</v>
      </c>
      <c r="B228" s="52" t="n">
        <v>43926</v>
      </c>
      <c r="C228" s="54" t="s">
        <v>591</v>
      </c>
      <c r="D228" s="0" t="n">
        <v>0.910107016568393</v>
      </c>
      <c r="E228" s="0" t="n">
        <v>0</v>
      </c>
      <c r="F228" s="0" t="n">
        <v>1</v>
      </c>
      <c r="G228" s="0" t="n">
        <v>2020</v>
      </c>
    </row>
    <row r="229" customFormat="false" ht="15" hidden="false" customHeight="false" outlineLevel="0" collapsed="false">
      <c r="A229" s="0" t="s">
        <v>258</v>
      </c>
      <c r="B229" s="52" t="n">
        <v>43926</v>
      </c>
      <c r="C229" s="54" t="s">
        <v>592</v>
      </c>
      <c r="D229" s="0" t="n">
        <v>0.0229576296220913</v>
      </c>
      <c r="E229" s="0" t="n">
        <v>0.0431794416171696</v>
      </c>
      <c r="F229" s="0" t="n">
        <v>1</v>
      </c>
      <c r="G229" s="0" t="n">
        <v>2020</v>
      </c>
    </row>
    <row r="230" customFormat="false" ht="15" hidden="false" customHeight="false" outlineLevel="0" collapsed="false">
      <c r="A230" s="0" t="s">
        <v>258</v>
      </c>
      <c r="B230" s="52" t="n">
        <v>43927</v>
      </c>
      <c r="C230" s="54" t="s">
        <v>590</v>
      </c>
      <c r="D230" s="0" t="n">
        <v>0.0034308306619417</v>
      </c>
      <c r="E230" s="0" t="n">
        <v>0.0821807624382822</v>
      </c>
      <c r="F230" s="0" t="n">
        <v>0</v>
      </c>
      <c r="G230" s="0" t="n">
        <v>2020</v>
      </c>
    </row>
    <row r="231" customFormat="false" ht="15" hidden="false" customHeight="false" outlineLevel="0" collapsed="false">
      <c r="A231" s="0" t="s">
        <v>258</v>
      </c>
      <c r="B231" s="52" t="n">
        <v>43927</v>
      </c>
      <c r="C231" s="54" t="s">
        <v>591</v>
      </c>
      <c r="D231" s="0" t="n">
        <v>0.0021760920727429</v>
      </c>
      <c r="E231" s="0" t="n">
        <v>0.207560229231676</v>
      </c>
      <c r="F231" s="0" t="n">
        <v>0</v>
      </c>
      <c r="G231" s="0" t="n">
        <v>2020</v>
      </c>
    </row>
    <row r="232" customFormat="false" ht="15" hidden="false" customHeight="false" outlineLevel="0" collapsed="false">
      <c r="A232" s="0" t="s">
        <v>258</v>
      </c>
      <c r="B232" s="52" t="n">
        <v>43927</v>
      </c>
      <c r="C232" s="54" t="s">
        <v>592</v>
      </c>
      <c r="D232" s="0" t="n">
        <v>0.152949366902855</v>
      </c>
      <c r="E232" s="0" t="n">
        <v>0.182532996827124</v>
      </c>
      <c r="F232" s="0" t="n">
        <v>0</v>
      </c>
      <c r="G232" s="0" t="n">
        <v>2020</v>
      </c>
    </row>
    <row r="233" customFormat="false" ht="15" hidden="false" customHeight="false" outlineLevel="0" collapsed="false">
      <c r="A233" s="0" t="s">
        <v>258</v>
      </c>
      <c r="B233" s="52" t="n">
        <v>43928</v>
      </c>
      <c r="C233" s="54" t="s">
        <v>590</v>
      </c>
      <c r="D233" s="0" t="n">
        <v>0</v>
      </c>
      <c r="E233" s="0" t="n">
        <v>0.0835664187705483</v>
      </c>
      <c r="F233" s="0" t="n">
        <v>0</v>
      </c>
      <c r="G233" s="0" t="n">
        <v>2020</v>
      </c>
    </row>
    <row r="234" customFormat="false" ht="15" hidden="false" customHeight="false" outlineLevel="0" collapsed="false">
      <c r="A234" s="0" t="s">
        <v>258</v>
      </c>
      <c r="B234" s="52" t="n">
        <v>43928</v>
      </c>
      <c r="C234" s="54" t="s">
        <v>591</v>
      </c>
      <c r="D234" s="0" t="n">
        <v>0</v>
      </c>
      <c r="E234" s="0" t="n">
        <v>0.0298800367545953</v>
      </c>
      <c r="F234" s="0" t="n">
        <v>0</v>
      </c>
      <c r="G234" s="0" t="n">
        <v>2020</v>
      </c>
    </row>
    <row r="235" customFormat="false" ht="15" hidden="false" customHeight="false" outlineLevel="0" collapsed="false">
      <c r="A235" s="0" t="s">
        <v>258</v>
      </c>
      <c r="B235" s="52" t="n">
        <v>43928</v>
      </c>
      <c r="C235" s="54" t="s">
        <v>592</v>
      </c>
      <c r="D235" s="0" t="n">
        <v>0.042493599027838</v>
      </c>
      <c r="E235" s="0" t="n">
        <v>0.0663025212870026</v>
      </c>
      <c r="F235" s="0" t="n">
        <v>0</v>
      </c>
      <c r="G235" s="0" t="n">
        <v>2020</v>
      </c>
    </row>
    <row r="236" customFormat="false" ht="15" hidden="false" customHeight="false" outlineLevel="0" collapsed="false">
      <c r="A236" s="0" t="s">
        <v>258</v>
      </c>
      <c r="B236" s="52" t="n">
        <v>43929</v>
      </c>
      <c r="C236" s="54" t="s">
        <v>590</v>
      </c>
      <c r="D236" s="0" t="n">
        <v>0.997226069434964</v>
      </c>
      <c r="E236" s="0" t="n">
        <v>0</v>
      </c>
      <c r="F236" s="0" t="n">
        <v>0</v>
      </c>
      <c r="G236" s="0" t="n">
        <v>2020</v>
      </c>
    </row>
    <row r="237" customFormat="false" ht="15" hidden="false" customHeight="false" outlineLevel="0" collapsed="false">
      <c r="A237" s="0" t="s">
        <v>258</v>
      </c>
      <c r="B237" s="52" t="n">
        <v>43929</v>
      </c>
      <c r="C237" s="54" t="s">
        <v>591</v>
      </c>
      <c r="D237" s="0" t="n">
        <v>0.125699239260376</v>
      </c>
      <c r="E237" s="0" t="n">
        <v>0.0143767083950318</v>
      </c>
      <c r="F237" s="0" t="n">
        <v>0</v>
      </c>
      <c r="G237" s="0" t="n">
        <v>2020</v>
      </c>
    </row>
    <row r="238" customFormat="false" ht="15" hidden="false" customHeight="false" outlineLevel="0" collapsed="false">
      <c r="A238" s="0" t="s">
        <v>258</v>
      </c>
      <c r="B238" s="52" t="n">
        <v>43929</v>
      </c>
      <c r="C238" s="54" t="s">
        <v>592</v>
      </c>
      <c r="D238" s="0" t="n">
        <v>0</v>
      </c>
      <c r="E238" s="0" t="n">
        <v>0.0875009043854989</v>
      </c>
      <c r="F238" s="0" t="n">
        <v>0</v>
      </c>
      <c r="G238" s="0" t="n">
        <v>2020</v>
      </c>
    </row>
    <row r="239" customFormat="false" ht="15" hidden="false" customHeight="false" outlineLevel="0" collapsed="false">
      <c r="A239" s="0" t="s">
        <v>258</v>
      </c>
      <c r="B239" s="52" t="n">
        <v>43930</v>
      </c>
      <c r="C239" s="54" t="s">
        <v>590</v>
      </c>
      <c r="D239" s="0" t="n">
        <v>0.0175536358003208</v>
      </c>
      <c r="E239" s="0" t="n">
        <v>0.12718532782965</v>
      </c>
      <c r="F239" s="0" t="n">
        <v>0</v>
      </c>
      <c r="G239" s="0" t="n">
        <v>2020</v>
      </c>
    </row>
    <row r="240" customFormat="false" ht="15" hidden="false" customHeight="false" outlineLevel="0" collapsed="false">
      <c r="A240" s="0" t="s">
        <v>258</v>
      </c>
      <c r="B240" s="52" t="n">
        <v>43930</v>
      </c>
      <c r="C240" s="54" t="s">
        <v>591</v>
      </c>
      <c r="D240" s="0" t="n">
        <v>0.0421218644121439</v>
      </c>
      <c r="E240" s="0" t="n">
        <v>0.0205053850994505</v>
      </c>
      <c r="F240" s="0" t="n">
        <v>0</v>
      </c>
      <c r="G240" s="0" t="n">
        <v>2020</v>
      </c>
    </row>
    <row r="241" customFormat="false" ht="15" hidden="false" customHeight="false" outlineLevel="0" collapsed="false">
      <c r="A241" s="0" t="s">
        <v>258</v>
      </c>
      <c r="B241" s="52" t="n">
        <v>43930</v>
      </c>
      <c r="C241" s="54" t="s">
        <v>592</v>
      </c>
      <c r="D241" s="0" t="n">
        <v>0.171287556793556</v>
      </c>
      <c r="E241" s="0" t="n">
        <v>0.0811325653376318</v>
      </c>
      <c r="F241" s="0" t="n">
        <v>0</v>
      </c>
      <c r="G241" s="0" t="n">
        <v>2020</v>
      </c>
    </row>
    <row r="242" customFormat="false" ht="15" hidden="false" customHeight="false" outlineLevel="0" collapsed="false">
      <c r="A242" s="0" t="s">
        <v>258</v>
      </c>
      <c r="B242" s="52" t="n">
        <v>43931</v>
      </c>
      <c r="C242" s="54" t="s">
        <v>590</v>
      </c>
      <c r="D242" s="0" t="n">
        <v>0.00612515900231</v>
      </c>
      <c r="E242" s="0" t="n">
        <v>0.0532129368763132</v>
      </c>
      <c r="F242" s="0" t="n">
        <v>0</v>
      </c>
      <c r="G242" s="0" t="n">
        <v>2020</v>
      </c>
    </row>
    <row r="243" customFormat="false" ht="15" hidden="false" customHeight="false" outlineLevel="0" collapsed="false">
      <c r="A243" s="0" t="s">
        <v>258</v>
      </c>
      <c r="B243" s="52" t="n">
        <v>43931</v>
      </c>
      <c r="C243" s="54" t="s">
        <v>591</v>
      </c>
      <c r="D243" s="0" t="n">
        <v>0</v>
      </c>
      <c r="E243" s="0" t="n">
        <v>0.0495548057600395</v>
      </c>
      <c r="F243" s="0" t="n">
        <v>0</v>
      </c>
      <c r="G243" s="0" t="n">
        <v>2020</v>
      </c>
    </row>
    <row r="244" customFormat="false" ht="15" hidden="false" customHeight="false" outlineLevel="0" collapsed="false">
      <c r="A244" s="0" t="s">
        <v>258</v>
      </c>
      <c r="B244" s="52" t="n">
        <v>43931</v>
      </c>
      <c r="C244" s="54" t="s">
        <v>592</v>
      </c>
      <c r="D244" s="0" t="n">
        <v>0.0308856825013038</v>
      </c>
      <c r="E244" s="0" t="n">
        <v>0.123108940635938</v>
      </c>
      <c r="F244" s="0" t="n">
        <v>0</v>
      </c>
      <c r="G244" s="0" t="n">
        <v>2020</v>
      </c>
    </row>
    <row r="245" customFormat="false" ht="15" hidden="false" customHeight="false" outlineLevel="0" collapsed="false">
      <c r="A245" s="0" t="s">
        <v>258</v>
      </c>
      <c r="B245" s="52" t="n">
        <v>43932</v>
      </c>
      <c r="C245" s="54" t="s">
        <v>590</v>
      </c>
      <c r="D245" s="0" t="n">
        <v>0.28298501849032</v>
      </c>
      <c r="E245" s="0" t="n">
        <v>0.0961000357877169</v>
      </c>
      <c r="F245" s="0" t="n">
        <v>1</v>
      </c>
      <c r="G245" s="0" t="n">
        <v>2020</v>
      </c>
    </row>
    <row r="246" customFormat="false" ht="15" hidden="false" customHeight="false" outlineLevel="0" collapsed="false">
      <c r="A246" s="0" t="s">
        <v>258</v>
      </c>
      <c r="B246" s="52" t="n">
        <v>43933</v>
      </c>
      <c r="C246" s="54" t="s">
        <v>591</v>
      </c>
      <c r="D246" s="0" t="n">
        <v>0.231490733233858</v>
      </c>
      <c r="E246" s="0" t="n">
        <v>0.0257184323357588</v>
      </c>
      <c r="F246" s="0" t="n">
        <v>1</v>
      </c>
      <c r="G246" s="0" t="n">
        <v>2020</v>
      </c>
    </row>
    <row r="247" customFormat="false" ht="15" hidden="false" customHeight="false" outlineLevel="0" collapsed="false">
      <c r="A247" s="0" t="s">
        <v>258</v>
      </c>
      <c r="B247" s="52" t="n">
        <v>43933</v>
      </c>
      <c r="C247" s="54" t="s">
        <v>592</v>
      </c>
      <c r="D247" s="0" t="n">
        <v>0</v>
      </c>
      <c r="E247" s="0" t="n">
        <v>0.11188544861502</v>
      </c>
      <c r="F247" s="0" t="n">
        <v>1</v>
      </c>
      <c r="G247" s="0" t="n">
        <v>2020</v>
      </c>
    </row>
    <row r="248" customFormat="false" ht="15" hidden="false" customHeight="false" outlineLevel="0" collapsed="false">
      <c r="A248" s="0" t="s">
        <v>258</v>
      </c>
      <c r="B248" s="52" t="n">
        <v>43934</v>
      </c>
      <c r="C248" s="54" t="s">
        <v>590</v>
      </c>
      <c r="D248" s="0" t="n">
        <v>0.0417771140684466</v>
      </c>
      <c r="E248" s="0" t="n">
        <v>0.0967806476787372</v>
      </c>
      <c r="F248" s="0" t="n">
        <v>0</v>
      </c>
      <c r="G248" s="0" t="n">
        <v>2020</v>
      </c>
    </row>
    <row r="249" customFormat="false" ht="15" hidden="false" customHeight="false" outlineLevel="0" collapsed="false">
      <c r="A249" s="0" t="s">
        <v>258</v>
      </c>
      <c r="B249" s="52" t="n">
        <v>43934</v>
      </c>
      <c r="C249" s="54" t="s">
        <v>591</v>
      </c>
      <c r="D249" s="0" t="n">
        <v>0.0029381883155478</v>
      </c>
      <c r="E249" s="0" t="n">
        <v>0.0545147087808531</v>
      </c>
      <c r="F249" s="0" t="n">
        <v>0</v>
      </c>
      <c r="G249" s="0" t="n">
        <v>2020</v>
      </c>
    </row>
    <row r="250" customFormat="false" ht="15" hidden="false" customHeight="false" outlineLevel="0" collapsed="false">
      <c r="A250" s="0" t="s">
        <v>258</v>
      </c>
      <c r="B250" s="52" t="n">
        <v>43934</v>
      </c>
      <c r="C250" s="54" t="s">
        <v>592</v>
      </c>
      <c r="D250" s="0" t="n">
        <v>0.140863016936934</v>
      </c>
      <c r="E250" s="0" t="n">
        <v>0.0275056424988247</v>
      </c>
      <c r="F250" s="0" t="n">
        <v>0</v>
      </c>
      <c r="G250" s="0" t="n">
        <v>2020</v>
      </c>
    </row>
    <row r="251" customFormat="false" ht="15" hidden="false" customHeight="false" outlineLevel="0" collapsed="false">
      <c r="A251" s="0" t="s">
        <v>258</v>
      </c>
      <c r="B251" s="52" t="n">
        <v>43935</v>
      </c>
      <c r="C251" s="54" t="s">
        <v>590</v>
      </c>
      <c r="D251" s="0" t="n">
        <v>0.270918356060727</v>
      </c>
      <c r="E251" s="0" t="n">
        <v>0.0628380218356899</v>
      </c>
      <c r="F251" s="0" t="n">
        <v>0</v>
      </c>
      <c r="G251" s="0" t="n">
        <v>2020</v>
      </c>
    </row>
    <row r="252" customFormat="false" ht="15" hidden="false" customHeight="false" outlineLevel="0" collapsed="false">
      <c r="A252" s="0" t="s">
        <v>258</v>
      </c>
      <c r="B252" s="52" t="n">
        <v>43935</v>
      </c>
      <c r="C252" s="54" t="s">
        <v>591</v>
      </c>
      <c r="D252" s="0" t="n">
        <v>0.0061846346922242</v>
      </c>
      <c r="E252" s="0" t="n">
        <v>0.0685090677057269</v>
      </c>
      <c r="F252" s="0" t="n">
        <v>0</v>
      </c>
      <c r="G252" s="0" t="n">
        <v>2020</v>
      </c>
    </row>
    <row r="253" customFormat="false" ht="15" hidden="false" customHeight="false" outlineLevel="0" collapsed="false">
      <c r="A253" s="0" t="s">
        <v>258</v>
      </c>
      <c r="B253" s="52" t="n">
        <v>43935</v>
      </c>
      <c r="C253" s="54" t="s">
        <v>592</v>
      </c>
      <c r="D253" s="0" t="n">
        <v>0.0052709732290441</v>
      </c>
      <c r="E253" s="0" t="n">
        <v>0.0571992459773948</v>
      </c>
      <c r="F253" s="0" t="n">
        <v>0</v>
      </c>
      <c r="G253" s="0" t="n">
        <v>2020</v>
      </c>
    </row>
    <row r="254" customFormat="false" ht="15" hidden="false" customHeight="false" outlineLevel="0" collapsed="false">
      <c r="A254" s="0" t="s">
        <v>258</v>
      </c>
      <c r="B254" s="52" t="n">
        <v>43936</v>
      </c>
      <c r="C254" s="54" t="s">
        <v>590</v>
      </c>
      <c r="D254" s="0" t="n">
        <v>0.0710748907023446</v>
      </c>
      <c r="E254" s="0" t="n">
        <v>0.0593874653050998</v>
      </c>
      <c r="F254" s="0" t="n">
        <v>0</v>
      </c>
      <c r="G254" s="0" t="n">
        <v>2020</v>
      </c>
    </row>
    <row r="255" customFormat="false" ht="15" hidden="false" customHeight="false" outlineLevel="0" collapsed="false">
      <c r="A255" s="0" t="s">
        <v>258</v>
      </c>
      <c r="B255" s="52" t="n">
        <v>43936</v>
      </c>
      <c r="C255" s="54" t="s">
        <v>591</v>
      </c>
      <c r="D255" s="0" t="n">
        <v>0.0229325902455413</v>
      </c>
      <c r="E255" s="0" t="n">
        <v>0.111665062067116</v>
      </c>
      <c r="F255" s="0" t="n">
        <v>0</v>
      </c>
      <c r="G255" s="0" t="n">
        <v>2020</v>
      </c>
    </row>
    <row r="256" customFormat="false" ht="15" hidden="false" customHeight="false" outlineLevel="0" collapsed="false">
      <c r="A256" s="0" t="s">
        <v>258</v>
      </c>
      <c r="B256" s="52" t="n">
        <v>43936</v>
      </c>
      <c r="C256" s="54" t="s">
        <v>592</v>
      </c>
      <c r="D256" s="0" t="n">
        <v>0.0004796987491855</v>
      </c>
      <c r="E256" s="0" t="n">
        <v>0.0966989094485027</v>
      </c>
      <c r="F256" s="0" t="n">
        <v>0</v>
      </c>
      <c r="G256" s="0" t="n">
        <v>2020</v>
      </c>
    </row>
    <row r="257" customFormat="false" ht="15" hidden="false" customHeight="false" outlineLevel="0" collapsed="false">
      <c r="A257" s="0" t="s">
        <v>258</v>
      </c>
      <c r="B257" s="52" t="n">
        <v>43937</v>
      </c>
      <c r="C257" s="54" t="s">
        <v>590</v>
      </c>
      <c r="D257" s="0" t="n">
        <v>0.0131857743058345</v>
      </c>
      <c r="E257" s="0" t="n">
        <v>0.0569386739515269</v>
      </c>
      <c r="F257" s="0" t="n">
        <v>0</v>
      </c>
      <c r="G257" s="0" t="n">
        <v>2020</v>
      </c>
    </row>
    <row r="258" customFormat="false" ht="15" hidden="false" customHeight="false" outlineLevel="0" collapsed="false">
      <c r="A258" s="0" t="s">
        <v>258</v>
      </c>
      <c r="B258" s="52" t="n">
        <v>43937</v>
      </c>
      <c r="C258" s="54" t="s">
        <v>591</v>
      </c>
      <c r="D258" s="0" t="n">
        <v>0.0101455020482227</v>
      </c>
      <c r="E258" s="0" t="n">
        <v>0.131622333136264</v>
      </c>
      <c r="F258" s="0" t="n">
        <v>0</v>
      </c>
      <c r="G258" s="0" t="n">
        <v>2020</v>
      </c>
    </row>
    <row r="259" customFormat="false" ht="15" hidden="false" customHeight="false" outlineLevel="0" collapsed="false">
      <c r="A259" s="0" t="s">
        <v>258</v>
      </c>
      <c r="B259" s="52" t="n">
        <v>43937</v>
      </c>
      <c r="C259" s="54" t="s">
        <v>592</v>
      </c>
      <c r="D259" s="0" t="n">
        <v>0.0730706425262135</v>
      </c>
      <c r="E259" s="0" t="n">
        <v>0.0891821079007612</v>
      </c>
      <c r="F259" s="0" t="n">
        <v>0</v>
      </c>
      <c r="G259" s="0" t="n">
        <v>2020</v>
      </c>
    </row>
    <row r="260" customFormat="false" ht="15" hidden="false" customHeight="false" outlineLevel="0" collapsed="false">
      <c r="A260" s="0" t="s">
        <v>258</v>
      </c>
      <c r="B260" s="52" t="n">
        <v>43938</v>
      </c>
      <c r="C260" s="54" t="s">
        <v>590</v>
      </c>
      <c r="D260" s="0" t="n">
        <v>0</v>
      </c>
      <c r="E260" s="0" t="n">
        <v>0.076731640997451</v>
      </c>
      <c r="F260" s="0" t="n">
        <v>0</v>
      </c>
      <c r="G260" s="0" t="n">
        <v>2020</v>
      </c>
    </row>
    <row r="261" customFormat="false" ht="15" hidden="false" customHeight="false" outlineLevel="0" collapsed="false">
      <c r="A261" s="0" t="s">
        <v>258</v>
      </c>
      <c r="B261" s="52" t="n">
        <v>43938</v>
      </c>
      <c r="C261" s="54" t="s">
        <v>591</v>
      </c>
      <c r="D261" s="0" t="n">
        <v>0</v>
      </c>
      <c r="E261" s="0" t="n">
        <v>0.0138646718332823</v>
      </c>
      <c r="F261" s="0" t="n">
        <v>0</v>
      </c>
      <c r="G261" s="0" t="n">
        <v>2020</v>
      </c>
    </row>
    <row r="262" customFormat="false" ht="15" hidden="false" customHeight="false" outlineLevel="0" collapsed="false">
      <c r="A262" s="0" t="s">
        <v>258</v>
      </c>
      <c r="B262" s="52" t="n">
        <v>43938</v>
      </c>
      <c r="C262" s="54" t="s">
        <v>592</v>
      </c>
      <c r="D262" s="0" t="n">
        <v>0.0018759224350824</v>
      </c>
      <c r="E262" s="0" t="n">
        <v>0.076220536875484</v>
      </c>
      <c r="F262" s="0" t="n">
        <v>0</v>
      </c>
      <c r="G262" s="0" t="n">
        <v>2020</v>
      </c>
    </row>
    <row r="263" customFormat="false" ht="15" hidden="false" customHeight="false" outlineLevel="0" collapsed="false">
      <c r="A263" s="0" t="s">
        <v>258</v>
      </c>
      <c r="B263" s="52" t="n">
        <v>43939</v>
      </c>
      <c r="C263" s="54" t="s">
        <v>590</v>
      </c>
      <c r="D263" s="0" t="n">
        <v>0.050953070952149</v>
      </c>
      <c r="E263" s="0" t="n">
        <v>0.236204838817114</v>
      </c>
      <c r="F263" s="0" t="n">
        <v>1</v>
      </c>
      <c r="G263" s="0" t="n">
        <v>2020</v>
      </c>
    </row>
    <row r="264" customFormat="false" ht="15" hidden="false" customHeight="false" outlineLevel="0" collapsed="false">
      <c r="A264" s="0" t="s">
        <v>258</v>
      </c>
      <c r="B264" s="52" t="n">
        <v>43940</v>
      </c>
      <c r="C264" s="54" t="s">
        <v>590</v>
      </c>
      <c r="D264" s="0" t="n">
        <v>1</v>
      </c>
      <c r="E264" s="0" t="n">
        <v>0</v>
      </c>
      <c r="F264" s="0" t="n">
        <v>1</v>
      </c>
      <c r="G264" s="0" t="n">
        <v>2020</v>
      </c>
    </row>
    <row r="265" customFormat="false" ht="15" hidden="false" customHeight="false" outlineLevel="0" collapsed="false">
      <c r="A265" s="0" t="s">
        <v>258</v>
      </c>
      <c r="B265" s="52" t="n">
        <v>43940</v>
      </c>
      <c r="C265" s="54" t="s">
        <v>592</v>
      </c>
      <c r="D265" s="0" t="n">
        <v>0.0219836132441938</v>
      </c>
      <c r="E265" s="0" t="n">
        <v>0.158639592460579</v>
      </c>
      <c r="F265" s="0" t="n">
        <v>1</v>
      </c>
      <c r="G265" s="0" t="n">
        <v>2020</v>
      </c>
    </row>
    <row r="266" customFormat="false" ht="15" hidden="false" customHeight="false" outlineLevel="0" collapsed="false">
      <c r="A266" s="0" t="s">
        <v>258</v>
      </c>
      <c r="B266" s="52" t="n">
        <v>43941</v>
      </c>
      <c r="C266" s="54" t="s">
        <v>590</v>
      </c>
      <c r="D266" s="0" t="n">
        <v>0.0163574786492089</v>
      </c>
      <c r="E266" s="0" t="n">
        <v>0.140477252459707</v>
      </c>
      <c r="F266" s="0" t="n">
        <v>0</v>
      </c>
      <c r="G266" s="0" t="n">
        <v>2020</v>
      </c>
    </row>
    <row r="267" customFormat="false" ht="15" hidden="false" customHeight="false" outlineLevel="0" collapsed="false">
      <c r="A267" s="0" t="s">
        <v>258</v>
      </c>
      <c r="B267" s="52" t="n">
        <v>43941</v>
      </c>
      <c r="C267" s="54" t="s">
        <v>591</v>
      </c>
      <c r="D267" s="0" t="n">
        <v>0.0009225739393885</v>
      </c>
      <c r="E267" s="0" t="n">
        <v>0.156720893352114</v>
      </c>
      <c r="F267" s="0" t="n">
        <v>0</v>
      </c>
      <c r="G267" s="0" t="n">
        <v>2020</v>
      </c>
    </row>
    <row r="268" customFormat="false" ht="15" hidden="false" customHeight="false" outlineLevel="0" collapsed="false">
      <c r="A268" s="0" t="s">
        <v>258</v>
      </c>
      <c r="B268" s="52" t="n">
        <v>43941</v>
      </c>
      <c r="C268" s="54" t="s">
        <v>592</v>
      </c>
      <c r="D268" s="0" t="n">
        <v>0.0700228340621522</v>
      </c>
      <c r="E268" s="0" t="n">
        <v>0.199483245429425</v>
      </c>
      <c r="F268" s="0" t="n">
        <v>0</v>
      </c>
      <c r="G268" s="0" t="n">
        <v>2020</v>
      </c>
    </row>
    <row r="269" customFormat="false" ht="15" hidden="false" customHeight="false" outlineLevel="0" collapsed="false">
      <c r="A269" s="0" t="s">
        <v>258</v>
      </c>
      <c r="B269" s="52" t="n">
        <v>43942</v>
      </c>
      <c r="C269" s="54" t="s">
        <v>590</v>
      </c>
      <c r="D269" s="0" t="n">
        <v>0</v>
      </c>
      <c r="E269" s="0" t="n">
        <v>0.153105143549929</v>
      </c>
      <c r="F269" s="0" t="n">
        <v>0</v>
      </c>
      <c r="G269" s="0" t="n">
        <v>2020</v>
      </c>
    </row>
    <row r="270" customFormat="false" ht="15" hidden="false" customHeight="false" outlineLevel="0" collapsed="false">
      <c r="A270" s="0" t="s">
        <v>258</v>
      </c>
      <c r="B270" s="52" t="n">
        <v>43942</v>
      </c>
      <c r="C270" s="54" t="s">
        <v>591</v>
      </c>
      <c r="D270" s="0" t="n">
        <v>0.001369808784227</v>
      </c>
      <c r="E270" s="0" t="n">
        <v>0.0160236119324847</v>
      </c>
      <c r="F270" s="0" t="n">
        <v>0</v>
      </c>
      <c r="G270" s="0" t="n">
        <v>2020</v>
      </c>
    </row>
    <row r="271" customFormat="false" ht="15" hidden="false" customHeight="false" outlineLevel="0" collapsed="false">
      <c r="A271" s="0" t="s">
        <v>258</v>
      </c>
      <c r="B271" s="52" t="n">
        <v>43942</v>
      </c>
      <c r="C271" s="54" t="s">
        <v>592</v>
      </c>
      <c r="D271" s="0" t="n">
        <v>0.234929972466128</v>
      </c>
      <c r="E271" s="0" t="n">
        <v>0.138687778505626</v>
      </c>
      <c r="F271" s="0" t="n">
        <v>0</v>
      </c>
      <c r="G271" s="0" t="n">
        <v>2020</v>
      </c>
    </row>
    <row r="272" customFormat="false" ht="15" hidden="false" customHeight="false" outlineLevel="0" collapsed="false">
      <c r="A272" s="0" t="s">
        <v>258</v>
      </c>
      <c r="B272" s="52" t="n">
        <v>43943</v>
      </c>
      <c r="C272" s="54" t="s">
        <v>590</v>
      </c>
      <c r="D272" s="0" t="n">
        <v>0.883185014786332</v>
      </c>
      <c r="E272" s="0" t="n">
        <v>0.0075428549113291</v>
      </c>
      <c r="F272" s="0" t="n">
        <v>0</v>
      </c>
      <c r="G272" s="0" t="n">
        <v>2020</v>
      </c>
    </row>
    <row r="273" customFormat="false" ht="15" hidden="false" customHeight="false" outlineLevel="0" collapsed="false">
      <c r="A273" s="0" t="s">
        <v>258</v>
      </c>
      <c r="B273" s="52" t="n">
        <v>43943</v>
      </c>
      <c r="C273" s="54" t="s">
        <v>591</v>
      </c>
      <c r="D273" s="0" t="n">
        <v>0.0307548292686739</v>
      </c>
      <c r="E273" s="0" t="n">
        <v>0.13300602549781</v>
      </c>
      <c r="F273" s="0" t="n">
        <v>0</v>
      </c>
      <c r="G273" s="0" t="n">
        <v>2020</v>
      </c>
    </row>
    <row r="274" customFormat="false" ht="15" hidden="false" customHeight="false" outlineLevel="0" collapsed="false">
      <c r="A274" s="0" t="s">
        <v>258</v>
      </c>
      <c r="B274" s="52" t="n">
        <v>43943</v>
      </c>
      <c r="C274" s="54" t="s">
        <v>592</v>
      </c>
      <c r="D274" s="0" t="n">
        <v>0.521337212709493</v>
      </c>
      <c r="E274" s="0" t="n">
        <v>0.0310834210004743</v>
      </c>
      <c r="F274" s="0" t="n">
        <v>0</v>
      </c>
      <c r="G274" s="0" t="n">
        <v>2020</v>
      </c>
    </row>
    <row r="275" customFormat="false" ht="15" hidden="false" customHeight="false" outlineLevel="0" collapsed="false">
      <c r="A275" s="0" t="s">
        <v>258</v>
      </c>
      <c r="B275" s="52" t="n">
        <v>43944</v>
      </c>
      <c r="C275" s="54" t="s">
        <v>590</v>
      </c>
      <c r="D275" s="0" t="n">
        <v>0.430751177932461</v>
      </c>
      <c r="E275" s="0" t="n">
        <v>0.233757351535529</v>
      </c>
      <c r="F275" s="0" t="n">
        <v>0</v>
      </c>
      <c r="G275" s="0" t="n">
        <v>2020</v>
      </c>
    </row>
    <row r="276" customFormat="false" ht="15" hidden="false" customHeight="false" outlineLevel="0" collapsed="false">
      <c r="A276" s="0" t="s">
        <v>258</v>
      </c>
      <c r="B276" s="52" t="n">
        <v>43944</v>
      </c>
      <c r="C276" s="54" t="s">
        <v>591</v>
      </c>
      <c r="D276" s="0" t="n">
        <v>0.116267264511415</v>
      </c>
      <c r="E276" s="0" t="n">
        <v>0.0840366238537282</v>
      </c>
      <c r="F276" s="0" t="n">
        <v>0</v>
      </c>
      <c r="G276" s="0" t="n">
        <v>2020</v>
      </c>
    </row>
    <row r="277" customFormat="false" ht="15" hidden="false" customHeight="false" outlineLevel="0" collapsed="false">
      <c r="A277" s="0" t="s">
        <v>258</v>
      </c>
      <c r="B277" s="52" t="n">
        <v>43944</v>
      </c>
      <c r="C277" s="54" t="s">
        <v>592</v>
      </c>
      <c r="D277" s="0" t="n">
        <v>0.0032783141390659</v>
      </c>
      <c r="E277" s="0" t="n">
        <v>0.097585245719354</v>
      </c>
      <c r="F277" s="0" t="n">
        <v>0</v>
      </c>
      <c r="G277" s="0" t="n">
        <v>2020</v>
      </c>
    </row>
    <row r="278" customFormat="false" ht="15" hidden="false" customHeight="false" outlineLevel="0" collapsed="false">
      <c r="A278" s="0" t="s">
        <v>258</v>
      </c>
      <c r="B278" s="52" t="n">
        <v>43945</v>
      </c>
      <c r="C278" s="54" t="s">
        <v>590</v>
      </c>
      <c r="D278" s="0" t="n">
        <v>0.0155411308521356</v>
      </c>
      <c r="E278" s="0" t="n">
        <v>0.178079172289699</v>
      </c>
      <c r="F278" s="0" t="n">
        <v>0</v>
      </c>
      <c r="G278" s="0" t="n">
        <v>2020</v>
      </c>
    </row>
    <row r="279" customFormat="false" ht="15" hidden="false" customHeight="false" outlineLevel="0" collapsed="false">
      <c r="A279" s="0" t="s">
        <v>258</v>
      </c>
      <c r="B279" s="52" t="n">
        <v>43945</v>
      </c>
      <c r="C279" s="54" t="s">
        <v>591</v>
      </c>
      <c r="D279" s="0" t="n">
        <v>0.112490718190695</v>
      </c>
      <c r="E279" s="0" t="n">
        <v>0.234529580979699</v>
      </c>
      <c r="F279" s="0" t="n">
        <v>0</v>
      </c>
      <c r="G279" s="0" t="n">
        <v>2020</v>
      </c>
    </row>
    <row r="280" customFormat="false" ht="15" hidden="false" customHeight="false" outlineLevel="0" collapsed="false">
      <c r="A280" s="0" t="s">
        <v>258</v>
      </c>
      <c r="B280" s="52" t="n">
        <v>43945</v>
      </c>
      <c r="C280" s="54" t="s">
        <v>592</v>
      </c>
      <c r="D280" s="0" t="n">
        <v>0.135984352738384</v>
      </c>
      <c r="E280" s="0" t="n">
        <v>0.0716688524812959</v>
      </c>
      <c r="F280" s="0" t="n">
        <v>0</v>
      </c>
      <c r="G280" s="0" t="n">
        <v>2020</v>
      </c>
    </row>
    <row r="281" customFormat="false" ht="15" hidden="false" customHeight="false" outlineLevel="0" collapsed="false">
      <c r="A281" s="0" t="s">
        <v>258</v>
      </c>
      <c r="B281" s="52" t="n">
        <v>43946</v>
      </c>
      <c r="C281" s="54" t="s">
        <v>590</v>
      </c>
      <c r="D281" s="0" t="n">
        <v>0.355421466515416</v>
      </c>
      <c r="E281" s="0" t="n">
        <v>0.128031159812923</v>
      </c>
      <c r="F281" s="0" t="n">
        <v>1</v>
      </c>
      <c r="G281" s="0" t="n">
        <v>2020</v>
      </c>
    </row>
    <row r="282" customFormat="false" ht="15" hidden="false" customHeight="false" outlineLevel="0" collapsed="false">
      <c r="A282" s="0" t="s">
        <v>258</v>
      </c>
      <c r="B282" s="52" t="n">
        <v>43947</v>
      </c>
      <c r="C282" s="54" t="s">
        <v>591</v>
      </c>
      <c r="D282" s="0" t="n">
        <v>0.568428185557114</v>
      </c>
      <c r="E282" s="0" t="n">
        <v>0.0989844992611973</v>
      </c>
      <c r="F282" s="0" t="n">
        <v>1</v>
      </c>
      <c r="G282" s="0" t="n">
        <v>2020</v>
      </c>
    </row>
    <row r="283" customFormat="false" ht="15" hidden="false" customHeight="false" outlineLevel="0" collapsed="false">
      <c r="A283" s="0" t="s">
        <v>258</v>
      </c>
      <c r="B283" s="52" t="n">
        <v>43947</v>
      </c>
      <c r="C283" s="54" t="s">
        <v>592</v>
      </c>
      <c r="D283" s="0" t="n">
        <v>0.008262903976837</v>
      </c>
      <c r="E283" s="0" t="n">
        <v>0.0754080468019703</v>
      </c>
      <c r="F283" s="0" t="n">
        <v>1</v>
      </c>
      <c r="G283" s="0" t="n">
        <v>2020</v>
      </c>
    </row>
    <row r="284" customFormat="false" ht="15" hidden="false" customHeight="false" outlineLevel="0" collapsed="false">
      <c r="A284" s="0" t="s">
        <v>258</v>
      </c>
      <c r="B284" s="52" t="n">
        <v>43948</v>
      </c>
      <c r="C284" s="54" t="s">
        <v>590</v>
      </c>
      <c r="D284" s="0" t="n">
        <v>0</v>
      </c>
      <c r="E284" s="0" t="n">
        <v>0.0936016865845148</v>
      </c>
      <c r="F284" s="0" t="n">
        <v>0</v>
      </c>
      <c r="G284" s="0" t="n">
        <v>2020</v>
      </c>
    </row>
    <row r="285" customFormat="false" ht="15" hidden="false" customHeight="false" outlineLevel="0" collapsed="false">
      <c r="A285" s="0" t="s">
        <v>258</v>
      </c>
      <c r="B285" s="52" t="n">
        <v>43948</v>
      </c>
      <c r="C285" s="54" t="s">
        <v>591</v>
      </c>
      <c r="D285" s="0" t="n">
        <v>0.0764481066321561</v>
      </c>
      <c r="E285" s="0" t="n">
        <v>0.087551063634112</v>
      </c>
      <c r="F285" s="0" t="n">
        <v>0</v>
      </c>
      <c r="G285" s="0" t="n">
        <v>2020</v>
      </c>
    </row>
    <row r="286" customFormat="false" ht="15" hidden="false" customHeight="false" outlineLevel="0" collapsed="false">
      <c r="A286" s="0" t="s">
        <v>258</v>
      </c>
      <c r="B286" s="52" t="n">
        <v>43948</v>
      </c>
      <c r="C286" s="54" t="s">
        <v>592</v>
      </c>
      <c r="D286" s="0" t="n">
        <v>0.369442119925104</v>
      </c>
      <c r="E286" s="0" t="n">
        <v>0.150797938343338</v>
      </c>
      <c r="F286" s="0" t="n">
        <v>0</v>
      </c>
      <c r="G286" s="0" t="n">
        <v>2020</v>
      </c>
    </row>
    <row r="287" customFormat="false" ht="15" hidden="false" customHeight="false" outlineLevel="0" collapsed="false">
      <c r="A287" s="0" t="s">
        <v>258</v>
      </c>
      <c r="B287" s="52" t="n">
        <v>43949</v>
      </c>
      <c r="C287" s="54" t="s">
        <v>590</v>
      </c>
      <c r="D287" s="0" t="n">
        <v>0.193201013380874</v>
      </c>
      <c r="E287" s="0" t="n">
        <v>0.151609838312607</v>
      </c>
      <c r="F287" s="0" t="n">
        <v>0</v>
      </c>
      <c r="G287" s="0" t="n">
        <v>2020</v>
      </c>
    </row>
    <row r="288" customFormat="false" ht="15" hidden="false" customHeight="false" outlineLevel="0" collapsed="false">
      <c r="A288" s="0" t="s">
        <v>258</v>
      </c>
      <c r="B288" s="52" t="n">
        <v>43949</v>
      </c>
      <c r="C288" s="54" t="s">
        <v>591</v>
      </c>
      <c r="D288" s="0" t="n">
        <v>0.112906463868511</v>
      </c>
      <c r="E288" s="0" t="n">
        <v>0.16728703385471</v>
      </c>
      <c r="F288" s="0" t="n">
        <v>0</v>
      </c>
      <c r="G288" s="0" t="n">
        <v>2020</v>
      </c>
    </row>
    <row r="289" customFormat="false" ht="15" hidden="false" customHeight="false" outlineLevel="0" collapsed="false">
      <c r="A289" s="0" t="s">
        <v>258</v>
      </c>
      <c r="B289" s="52" t="n">
        <v>43949</v>
      </c>
      <c r="C289" s="54" t="s">
        <v>592</v>
      </c>
      <c r="D289" s="0" t="n">
        <v>0</v>
      </c>
      <c r="E289" s="0" t="n">
        <v>0.0676607052709191</v>
      </c>
      <c r="F289" s="0" t="n">
        <v>0</v>
      </c>
      <c r="G289" s="0" t="n">
        <v>2020</v>
      </c>
    </row>
    <row r="290" customFormat="false" ht="15" hidden="false" customHeight="false" outlineLevel="0" collapsed="false">
      <c r="A290" s="0" t="s">
        <v>258</v>
      </c>
      <c r="B290" s="52" t="n">
        <v>43950</v>
      </c>
      <c r="C290" s="54" t="s">
        <v>590</v>
      </c>
      <c r="D290" s="0" t="n">
        <v>0.221585493173488</v>
      </c>
      <c r="E290" s="0" t="n">
        <v>0.277954724822468</v>
      </c>
      <c r="F290" s="0" t="n">
        <v>0</v>
      </c>
      <c r="G290" s="0" t="n">
        <v>2020</v>
      </c>
    </row>
    <row r="291" customFormat="false" ht="15" hidden="false" customHeight="false" outlineLevel="0" collapsed="false">
      <c r="A291" s="0" t="s">
        <v>258</v>
      </c>
      <c r="B291" s="52" t="n">
        <v>43950</v>
      </c>
      <c r="C291" s="54" t="s">
        <v>591</v>
      </c>
      <c r="D291" s="0" t="n">
        <v>0.0922845515849923</v>
      </c>
      <c r="E291" s="0" t="n">
        <v>0.0736517567115605</v>
      </c>
      <c r="F291" s="0" t="n">
        <v>0</v>
      </c>
      <c r="G291" s="0" t="n">
        <v>2020</v>
      </c>
    </row>
    <row r="292" customFormat="false" ht="15" hidden="false" customHeight="false" outlineLevel="0" collapsed="false">
      <c r="A292" s="0" t="s">
        <v>258</v>
      </c>
      <c r="B292" s="52" t="n">
        <v>43950</v>
      </c>
      <c r="C292" s="54" t="s">
        <v>592</v>
      </c>
      <c r="D292" s="0" t="n">
        <v>0.00074795778439</v>
      </c>
      <c r="E292" s="0" t="n">
        <v>0.098674118472057</v>
      </c>
      <c r="F292" s="0" t="n">
        <v>0</v>
      </c>
      <c r="G292" s="0" t="n">
        <v>2020</v>
      </c>
    </row>
    <row r="293" customFormat="false" ht="15" hidden="false" customHeight="false" outlineLevel="0" collapsed="false">
      <c r="A293" s="0" t="s">
        <v>258</v>
      </c>
      <c r="B293" s="52" t="n">
        <v>43951</v>
      </c>
      <c r="C293" s="54" t="s">
        <v>590</v>
      </c>
      <c r="D293" s="0" t="n">
        <v>0.0307393915372087</v>
      </c>
      <c r="E293" s="0" t="n">
        <v>0.0774912063756283</v>
      </c>
      <c r="F293" s="0" t="n">
        <v>0</v>
      </c>
      <c r="G293" s="0" t="n">
        <v>2020</v>
      </c>
    </row>
    <row r="294" customFormat="false" ht="15" hidden="false" customHeight="false" outlineLevel="0" collapsed="false">
      <c r="A294" s="0" t="s">
        <v>258</v>
      </c>
      <c r="B294" s="52" t="n">
        <v>43951</v>
      </c>
      <c r="C294" s="54" t="s">
        <v>591</v>
      </c>
      <c r="D294" s="0" t="n">
        <v>0.0068594771946111</v>
      </c>
      <c r="E294" s="0" t="n">
        <v>0.105293589085492</v>
      </c>
      <c r="F294" s="0" t="n">
        <v>0</v>
      </c>
      <c r="G294" s="0" t="n">
        <v>2020</v>
      </c>
    </row>
    <row r="295" customFormat="false" ht="15" hidden="false" customHeight="false" outlineLevel="0" collapsed="false">
      <c r="A295" s="0" t="s">
        <v>258</v>
      </c>
      <c r="B295" s="52" t="n">
        <v>43951</v>
      </c>
      <c r="C295" s="54" t="s">
        <v>592</v>
      </c>
      <c r="D295" s="0" t="n">
        <v>0.0840718207969088</v>
      </c>
      <c r="E295" s="0" t="n">
        <v>0.129316378549626</v>
      </c>
      <c r="F295" s="0" t="n">
        <v>0</v>
      </c>
      <c r="G295" s="0" t="n">
        <v>2020</v>
      </c>
    </row>
    <row r="296" customFormat="false" ht="15" hidden="false" customHeight="false" outlineLevel="0" collapsed="false">
      <c r="A296" s="0" t="s">
        <v>258</v>
      </c>
      <c r="B296" s="52" t="n">
        <v>43952</v>
      </c>
      <c r="C296" s="54" t="s">
        <v>590</v>
      </c>
      <c r="D296" s="0" t="n">
        <v>0.0002476248912683</v>
      </c>
      <c r="E296" s="0" t="n">
        <v>0.246752155839737</v>
      </c>
      <c r="F296" s="0" t="n">
        <v>0</v>
      </c>
      <c r="G296" s="0" t="n">
        <v>2020</v>
      </c>
    </row>
    <row r="297" customFormat="false" ht="15" hidden="false" customHeight="false" outlineLevel="0" collapsed="false">
      <c r="A297" s="0" t="s">
        <v>258</v>
      </c>
      <c r="B297" s="52" t="n">
        <v>43952</v>
      </c>
      <c r="C297" s="54" t="s">
        <v>591</v>
      </c>
      <c r="D297" s="0" t="n">
        <v>0.0034856248443917</v>
      </c>
      <c r="E297" s="0" t="n">
        <v>0.0350930341476324</v>
      </c>
      <c r="F297" s="0" t="n">
        <v>0</v>
      </c>
      <c r="G297" s="0" t="n">
        <v>2020</v>
      </c>
    </row>
    <row r="298" customFormat="false" ht="15" hidden="false" customHeight="false" outlineLevel="0" collapsed="false">
      <c r="A298" s="0" t="s">
        <v>258</v>
      </c>
      <c r="B298" s="52" t="n">
        <v>43952</v>
      </c>
      <c r="C298" s="54" t="s">
        <v>592</v>
      </c>
      <c r="D298" s="0" t="n">
        <v>0.0008653314129364</v>
      </c>
      <c r="E298" s="0" t="n">
        <v>0.19073938255428</v>
      </c>
      <c r="F298" s="0" t="n">
        <v>0</v>
      </c>
      <c r="G298" s="0" t="n">
        <v>2020</v>
      </c>
    </row>
    <row r="299" customFormat="false" ht="15" hidden="false" customHeight="false" outlineLevel="0" collapsed="false">
      <c r="A299" s="0" t="s">
        <v>258</v>
      </c>
      <c r="B299" s="52" t="n">
        <v>43953</v>
      </c>
      <c r="C299" s="54" t="s">
        <v>590</v>
      </c>
      <c r="D299" s="0" t="n">
        <v>0.0654911472172477</v>
      </c>
      <c r="E299" s="0" t="n">
        <v>0.302365205524751</v>
      </c>
      <c r="F299" s="0" t="n">
        <v>1</v>
      </c>
      <c r="G299" s="0" t="n">
        <v>2020</v>
      </c>
    </row>
    <row r="300" customFormat="false" ht="15" hidden="false" customHeight="false" outlineLevel="0" collapsed="false">
      <c r="A300" s="0" t="s">
        <v>258</v>
      </c>
      <c r="B300" s="52" t="n">
        <v>43954</v>
      </c>
      <c r="C300" s="54" t="s">
        <v>590</v>
      </c>
      <c r="D300" s="0" t="n">
        <v>1</v>
      </c>
      <c r="E300" s="0" t="n">
        <v>0</v>
      </c>
      <c r="F300" s="0" t="n">
        <v>1</v>
      </c>
      <c r="G300" s="0" t="n">
        <v>2020</v>
      </c>
    </row>
    <row r="301" customFormat="false" ht="15" hidden="false" customHeight="false" outlineLevel="0" collapsed="false">
      <c r="A301" s="0" t="s">
        <v>258</v>
      </c>
      <c r="B301" s="52" t="n">
        <v>43954</v>
      </c>
      <c r="C301" s="54" t="s">
        <v>591</v>
      </c>
      <c r="D301" s="0" t="n">
        <v>0.477396340027461</v>
      </c>
      <c r="E301" s="0" t="n">
        <v>0.078411651613028</v>
      </c>
      <c r="F301" s="0" t="n">
        <v>1</v>
      </c>
      <c r="G301" s="0" t="n">
        <v>2020</v>
      </c>
    </row>
    <row r="302" customFormat="false" ht="15" hidden="false" customHeight="false" outlineLevel="0" collapsed="false">
      <c r="A302" s="0" t="s">
        <v>258</v>
      </c>
      <c r="B302" s="52" t="n">
        <v>43954</v>
      </c>
      <c r="C302" s="54" t="s">
        <v>592</v>
      </c>
      <c r="D302" s="0" t="n">
        <v>0.0076921728795142</v>
      </c>
      <c r="E302" s="0" t="n">
        <v>0.0022293440144284</v>
      </c>
      <c r="F302" s="0" t="n">
        <v>1</v>
      </c>
      <c r="G302" s="0" t="n">
        <v>2020</v>
      </c>
    </row>
    <row r="303" customFormat="false" ht="15" hidden="false" customHeight="false" outlineLevel="0" collapsed="false">
      <c r="A303" s="0" t="s">
        <v>258</v>
      </c>
      <c r="B303" s="52" t="n">
        <v>43955</v>
      </c>
      <c r="C303" s="54" t="s">
        <v>590</v>
      </c>
      <c r="D303" s="0" t="n">
        <v>0.0251837878228427</v>
      </c>
      <c r="E303" s="0" t="n">
        <v>0.264697653500675</v>
      </c>
      <c r="F303" s="0" t="n">
        <v>0</v>
      </c>
      <c r="G303" s="0" t="n">
        <v>2020</v>
      </c>
    </row>
    <row r="304" customFormat="false" ht="15" hidden="false" customHeight="false" outlineLevel="0" collapsed="false">
      <c r="A304" s="0" t="s">
        <v>258</v>
      </c>
      <c r="B304" s="52" t="n">
        <v>43955</v>
      </c>
      <c r="C304" s="54" t="s">
        <v>591</v>
      </c>
      <c r="D304" s="0" t="n">
        <v>0</v>
      </c>
      <c r="E304" s="0" t="n">
        <v>0.0879954463005921</v>
      </c>
      <c r="F304" s="0" t="n">
        <v>0</v>
      </c>
      <c r="G304" s="0" t="n">
        <v>2020</v>
      </c>
    </row>
    <row r="305" customFormat="false" ht="15" hidden="false" customHeight="false" outlineLevel="0" collapsed="false">
      <c r="A305" s="0" t="s">
        <v>258</v>
      </c>
      <c r="B305" s="52" t="n">
        <v>43955</v>
      </c>
      <c r="C305" s="54" t="s">
        <v>592</v>
      </c>
      <c r="D305" s="0" t="n">
        <v>0.770887414906475</v>
      </c>
      <c r="E305" s="0" t="n">
        <v>0.0457479693038877</v>
      </c>
      <c r="F305" s="0" t="n">
        <v>0</v>
      </c>
      <c r="G305" s="0" t="n">
        <v>2020</v>
      </c>
    </row>
    <row r="306" customFormat="false" ht="15" hidden="false" customHeight="false" outlineLevel="0" collapsed="false">
      <c r="A306" s="0" t="s">
        <v>258</v>
      </c>
      <c r="B306" s="52" t="n">
        <v>43956</v>
      </c>
      <c r="C306" s="54" t="s">
        <v>590</v>
      </c>
      <c r="D306" s="0" t="n">
        <v>0.180161766601932</v>
      </c>
      <c r="E306" s="0" t="n">
        <v>0.218608428365477</v>
      </c>
      <c r="F306" s="0" t="n">
        <v>0</v>
      </c>
      <c r="G306" s="0" t="n">
        <v>2020</v>
      </c>
    </row>
    <row r="307" customFormat="false" ht="15" hidden="false" customHeight="false" outlineLevel="0" collapsed="false">
      <c r="A307" s="0" t="s">
        <v>258</v>
      </c>
      <c r="B307" s="52" t="n">
        <v>43956</v>
      </c>
      <c r="C307" s="54" t="s">
        <v>591</v>
      </c>
      <c r="D307" s="0" t="n">
        <v>0</v>
      </c>
      <c r="E307" s="0" t="n">
        <v>0.171386360295074</v>
      </c>
      <c r="F307" s="0" t="n">
        <v>0</v>
      </c>
      <c r="G307" s="0" t="n">
        <v>2020</v>
      </c>
    </row>
    <row r="308" customFormat="false" ht="15" hidden="false" customHeight="false" outlineLevel="0" collapsed="false">
      <c r="A308" s="0" t="s">
        <v>258</v>
      </c>
      <c r="B308" s="52" t="n">
        <v>43956</v>
      </c>
      <c r="C308" s="54" t="s">
        <v>592</v>
      </c>
      <c r="D308" s="0" t="n">
        <v>0.0962497422373222</v>
      </c>
      <c r="E308" s="0" t="n">
        <v>0.0517542446391871</v>
      </c>
      <c r="F308" s="0" t="n">
        <v>0</v>
      </c>
      <c r="G308" s="0" t="n">
        <v>2020</v>
      </c>
    </row>
    <row r="309" customFormat="false" ht="15" hidden="false" customHeight="false" outlineLevel="0" collapsed="false">
      <c r="A309" s="0" t="s">
        <v>258</v>
      </c>
      <c r="B309" s="52" t="n">
        <v>43957</v>
      </c>
      <c r="C309" s="54" t="s">
        <v>590</v>
      </c>
      <c r="D309" s="0" t="n">
        <v>0.818029617413724</v>
      </c>
      <c r="E309" s="0" t="n">
        <v>0.043097919291213</v>
      </c>
      <c r="F309" s="0" t="n">
        <v>0</v>
      </c>
      <c r="G309" s="0" t="n">
        <v>2020</v>
      </c>
    </row>
    <row r="310" customFormat="false" ht="15" hidden="false" customHeight="false" outlineLevel="0" collapsed="false">
      <c r="A310" s="0" t="s">
        <v>258</v>
      </c>
      <c r="B310" s="52" t="n">
        <v>43957</v>
      </c>
      <c r="C310" s="54" t="s">
        <v>591</v>
      </c>
      <c r="D310" s="0" t="n">
        <v>0</v>
      </c>
      <c r="E310" s="0" t="n">
        <v>0.0037442288683709</v>
      </c>
      <c r="F310" s="0" t="n">
        <v>0</v>
      </c>
      <c r="G310" s="0" t="n">
        <v>2020</v>
      </c>
    </row>
    <row r="311" customFormat="false" ht="15" hidden="false" customHeight="false" outlineLevel="0" collapsed="false">
      <c r="A311" s="0" t="s">
        <v>258</v>
      </c>
      <c r="B311" s="52" t="n">
        <v>43957</v>
      </c>
      <c r="C311" s="54" t="s">
        <v>592</v>
      </c>
      <c r="D311" s="0" t="n">
        <v>0.0137989222661727</v>
      </c>
      <c r="E311" s="0" t="n">
        <v>0.0767354785209011</v>
      </c>
      <c r="F311" s="0" t="n">
        <v>0</v>
      </c>
      <c r="G311" s="0" t="n">
        <v>2020</v>
      </c>
    </row>
    <row r="312" customFormat="false" ht="15" hidden="false" customHeight="false" outlineLevel="0" collapsed="false">
      <c r="A312" s="0" t="s">
        <v>258</v>
      </c>
      <c r="B312" s="52" t="n">
        <v>43958</v>
      </c>
      <c r="C312" s="54" t="s">
        <v>590</v>
      </c>
      <c r="D312" s="0" t="n">
        <v>0.0054177103212627</v>
      </c>
      <c r="E312" s="0" t="n">
        <v>0.18809896087803</v>
      </c>
      <c r="F312" s="0" t="n">
        <v>0</v>
      </c>
      <c r="G312" s="0" t="n">
        <v>2020</v>
      </c>
    </row>
    <row r="313" customFormat="false" ht="15" hidden="false" customHeight="false" outlineLevel="0" collapsed="false">
      <c r="A313" s="0" t="s">
        <v>258</v>
      </c>
      <c r="B313" s="52" t="n">
        <v>43958</v>
      </c>
      <c r="C313" s="54" t="s">
        <v>591</v>
      </c>
      <c r="D313" s="0" t="n">
        <v>0.0498853301416889</v>
      </c>
      <c r="E313" s="0" t="n">
        <v>0.0817109459546624</v>
      </c>
      <c r="F313" s="0" t="n">
        <v>0</v>
      </c>
      <c r="G313" s="0" t="n">
        <v>2020</v>
      </c>
    </row>
    <row r="314" customFormat="false" ht="15" hidden="false" customHeight="false" outlineLevel="0" collapsed="false">
      <c r="A314" s="0" t="s">
        <v>258</v>
      </c>
      <c r="B314" s="52" t="n">
        <v>43958</v>
      </c>
      <c r="C314" s="54" t="s">
        <v>592</v>
      </c>
      <c r="D314" s="0" t="n">
        <v>0.03278886201425</v>
      </c>
      <c r="E314" s="0" t="n">
        <v>0.137369323166344</v>
      </c>
      <c r="F314" s="0" t="n">
        <v>0</v>
      </c>
      <c r="G314" s="0" t="n">
        <v>2020</v>
      </c>
    </row>
    <row r="315" customFormat="false" ht="15" hidden="false" customHeight="false" outlineLevel="0" collapsed="false">
      <c r="A315" s="0" t="s">
        <v>258</v>
      </c>
      <c r="B315" s="52" t="n">
        <v>43959</v>
      </c>
      <c r="C315" s="54" t="s">
        <v>590</v>
      </c>
      <c r="D315" s="0" t="n">
        <v>0</v>
      </c>
      <c r="E315" s="0" t="n">
        <v>0.192472996930652</v>
      </c>
      <c r="F315" s="0" t="n">
        <v>0</v>
      </c>
      <c r="G315" s="0" t="n">
        <v>2020</v>
      </c>
    </row>
    <row r="316" customFormat="false" ht="15" hidden="false" customHeight="false" outlineLevel="0" collapsed="false">
      <c r="A316" s="0" t="s">
        <v>258</v>
      </c>
      <c r="B316" s="52" t="n">
        <v>43959</v>
      </c>
      <c r="C316" s="54" t="s">
        <v>591</v>
      </c>
      <c r="D316" s="0" t="n">
        <v>0</v>
      </c>
      <c r="E316" s="0" t="n">
        <v>0.0575947296808755</v>
      </c>
      <c r="F316" s="0" t="n">
        <v>0</v>
      </c>
      <c r="G316" s="0" t="n">
        <v>2020</v>
      </c>
    </row>
    <row r="317" customFormat="false" ht="15" hidden="false" customHeight="false" outlineLevel="0" collapsed="false">
      <c r="A317" s="0" t="s">
        <v>258</v>
      </c>
      <c r="B317" s="52" t="n">
        <v>43959</v>
      </c>
      <c r="C317" s="54" t="s">
        <v>592</v>
      </c>
      <c r="D317" s="0" t="n">
        <v>0.0002449419154215</v>
      </c>
      <c r="E317" s="0" t="n">
        <v>0.116359394172711</v>
      </c>
      <c r="F317" s="0" t="n">
        <v>0</v>
      </c>
      <c r="G317" s="0" t="n">
        <v>2020</v>
      </c>
    </row>
    <row r="318" customFormat="false" ht="15" hidden="false" customHeight="false" outlineLevel="0" collapsed="false">
      <c r="A318" s="0" t="s">
        <v>258</v>
      </c>
      <c r="B318" s="52" t="n">
        <v>43960</v>
      </c>
      <c r="C318" s="54" t="s">
        <v>590</v>
      </c>
      <c r="D318" s="0" t="n">
        <v>0.324918781280183</v>
      </c>
      <c r="E318" s="0" t="n">
        <v>0.0669592247880508</v>
      </c>
      <c r="F318" s="0" t="n">
        <v>1</v>
      </c>
      <c r="G318" s="0" t="n">
        <v>2020</v>
      </c>
    </row>
    <row r="319" customFormat="false" ht="15" hidden="false" customHeight="false" outlineLevel="0" collapsed="false">
      <c r="A319" s="0" t="s">
        <v>258</v>
      </c>
      <c r="B319" s="52" t="n">
        <v>43961</v>
      </c>
      <c r="C319" s="54" t="s">
        <v>591</v>
      </c>
      <c r="D319" s="0" t="n">
        <v>0.466124718255565</v>
      </c>
      <c r="E319" s="0" t="n">
        <v>0.0031660404655564</v>
      </c>
      <c r="F319" s="0" t="n">
        <v>1</v>
      </c>
      <c r="G319" s="0" t="n">
        <v>2020</v>
      </c>
    </row>
    <row r="320" customFormat="false" ht="15" hidden="false" customHeight="false" outlineLevel="0" collapsed="false">
      <c r="A320" s="0" t="s">
        <v>258</v>
      </c>
      <c r="B320" s="52" t="n">
        <v>43961</v>
      </c>
      <c r="C320" s="54" t="s">
        <v>592</v>
      </c>
      <c r="D320" s="0" t="n">
        <v>0.0034831817714415</v>
      </c>
      <c r="E320" s="0" t="n">
        <v>0.0603518081403946</v>
      </c>
      <c r="F320" s="0" t="n">
        <v>1</v>
      </c>
      <c r="G320" s="0" t="n">
        <v>2020</v>
      </c>
    </row>
    <row r="321" customFormat="false" ht="15" hidden="false" customHeight="false" outlineLevel="0" collapsed="false">
      <c r="A321" s="0" t="s">
        <v>258</v>
      </c>
      <c r="B321" s="52" t="n">
        <v>43962</v>
      </c>
      <c r="C321" s="54" t="s">
        <v>590</v>
      </c>
      <c r="D321" s="0" t="n">
        <v>0.0298900142944349</v>
      </c>
      <c r="E321" s="0" t="n">
        <v>0.0987223032303028</v>
      </c>
      <c r="F321" s="0" t="n">
        <v>0</v>
      </c>
      <c r="G321" s="0" t="n">
        <v>2020</v>
      </c>
    </row>
    <row r="322" customFormat="false" ht="15" hidden="false" customHeight="false" outlineLevel="0" collapsed="false">
      <c r="A322" s="0" t="s">
        <v>258</v>
      </c>
      <c r="B322" s="52" t="n">
        <v>43962</v>
      </c>
      <c r="C322" s="54" t="s">
        <v>591</v>
      </c>
      <c r="D322" s="0" t="n">
        <v>0.0390011439199343</v>
      </c>
      <c r="E322" s="0" t="n">
        <v>0.0475545665806988</v>
      </c>
      <c r="F322" s="0" t="n">
        <v>0</v>
      </c>
      <c r="G322" s="0" t="n">
        <v>2020</v>
      </c>
    </row>
    <row r="323" customFormat="false" ht="15" hidden="false" customHeight="false" outlineLevel="0" collapsed="false">
      <c r="A323" s="0" t="s">
        <v>258</v>
      </c>
      <c r="B323" s="52" t="n">
        <v>43962</v>
      </c>
      <c r="C323" s="54" t="s">
        <v>592</v>
      </c>
      <c r="D323" s="0" t="n">
        <v>0.0558545025789958</v>
      </c>
      <c r="E323" s="0" t="n">
        <v>0.0734766481881161</v>
      </c>
      <c r="F323" s="0" t="n">
        <v>0</v>
      </c>
      <c r="G323" s="0" t="n">
        <v>2020</v>
      </c>
    </row>
    <row r="324" customFormat="false" ht="15" hidden="false" customHeight="false" outlineLevel="0" collapsed="false">
      <c r="A324" s="0" t="s">
        <v>258</v>
      </c>
      <c r="B324" s="52" t="n">
        <v>43963</v>
      </c>
      <c r="C324" s="54" t="s">
        <v>590</v>
      </c>
      <c r="D324" s="0" t="n">
        <v>0.0009095909711617</v>
      </c>
      <c r="E324" s="0" t="n">
        <v>0.120615282982195</v>
      </c>
      <c r="F324" s="0" t="n">
        <v>0</v>
      </c>
      <c r="G324" s="0" t="n">
        <v>2020</v>
      </c>
    </row>
    <row r="325" customFormat="false" ht="15" hidden="false" customHeight="false" outlineLevel="0" collapsed="false">
      <c r="A325" s="0" t="s">
        <v>258</v>
      </c>
      <c r="B325" s="52" t="n">
        <v>43963</v>
      </c>
      <c r="C325" s="54" t="s">
        <v>591</v>
      </c>
      <c r="D325" s="0" t="n">
        <v>0</v>
      </c>
      <c r="E325" s="0" t="n">
        <v>0.0552839921748989</v>
      </c>
      <c r="F325" s="0" t="n">
        <v>0</v>
      </c>
      <c r="G325" s="0" t="n">
        <v>2020</v>
      </c>
    </row>
    <row r="326" customFormat="false" ht="15" hidden="false" customHeight="false" outlineLevel="0" collapsed="false">
      <c r="A326" s="0" t="s">
        <v>258</v>
      </c>
      <c r="B326" s="52" t="n">
        <v>43963</v>
      </c>
      <c r="C326" s="54" t="s">
        <v>592</v>
      </c>
      <c r="D326" s="0" t="n">
        <v>0.0488551275700057</v>
      </c>
      <c r="E326" s="0" t="n">
        <v>0.0335202755813927</v>
      </c>
      <c r="F326" s="0" t="n">
        <v>0</v>
      </c>
      <c r="G326" s="0" t="n">
        <v>2020</v>
      </c>
    </row>
    <row r="327" customFormat="false" ht="15" hidden="false" customHeight="false" outlineLevel="0" collapsed="false">
      <c r="A327" s="0" t="s">
        <v>258</v>
      </c>
      <c r="B327" s="52" t="n">
        <v>43964</v>
      </c>
      <c r="C327" s="54" t="s">
        <v>590</v>
      </c>
      <c r="D327" s="0" t="n">
        <v>0</v>
      </c>
      <c r="E327" s="0" t="n">
        <v>0.36153530605999</v>
      </c>
      <c r="F327" s="0" t="n">
        <v>0</v>
      </c>
      <c r="G327" s="0" t="n">
        <v>2020</v>
      </c>
    </row>
    <row r="328" customFormat="false" ht="15" hidden="false" customHeight="false" outlineLevel="0" collapsed="false">
      <c r="A328" s="0" t="s">
        <v>258</v>
      </c>
      <c r="B328" s="52" t="n">
        <v>43964</v>
      </c>
      <c r="C328" s="54" t="s">
        <v>591</v>
      </c>
      <c r="D328" s="0" t="n">
        <v>0.269748209519574</v>
      </c>
      <c r="E328" s="0" t="n">
        <v>0.0426863432500958</v>
      </c>
      <c r="F328" s="0" t="n">
        <v>0</v>
      </c>
      <c r="G328" s="0" t="n">
        <v>2020</v>
      </c>
    </row>
    <row r="329" customFormat="false" ht="15" hidden="false" customHeight="false" outlineLevel="0" collapsed="false">
      <c r="A329" s="0" t="s">
        <v>258</v>
      </c>
      <c r="B329" s="52" t="n">
        <v>43964</v>
      </c>
      <c r="C329" s="54" t="s">
        <v>592</v>
      </c>
      <c r="D329" s="0" t="n">
        <v>0.025843533168043</v>
      </c>
      <c r="E329" s="0" t="n">
        <v>0.0524829923478943</v>
      </c>
      <c r="F329" s="0" t="n">
        <v>0</v>
      </c>
      <c r="G329" s="0" t="n">
        <v>2020</v>
      </c>
    </row>
    <row r="330" customFormat="false" ht="15" hidden="false" customHeight="false" outlineLevel="0" collapsed="false">
      <c r="A330" s="0" t="s">
        <v>258</v>
      </c>
      <c r="B330" s="52" t="n">
        <v>43965</v>
      </c>
      <c r="C330" s="54" t="s">
        <v>590</v>
      </c>
      <c r="D330" s="0" t="n">
        <v>0.987296701624984</v>
      </c>
      <c r="E330" s="0" t="n">
        <v>0.0024240540004645</v>
      </c>
      <c r="F330" s="0" t="n">
        <v>0</v>
      </c>
      <c r="G330" s="0" t="n">
        <v>2020</v>
      </c>
    </row>
    <row r="331" customFormat="false" ht="15" hidden="false" customHeight="false" outlineLevel="0" collapsed="false">
      <c r="A331" s="0" t="s">
        <v>258</v>
      </c>
      <c r="B331" s="52" t="n">
        <v>43965</v>
      </c>
      <c r="C331" s="54" t="s">
        <v>591</v>
      </c>
      <c r="D331" s="0" t="n">
        <v>0.0855221343482042</v>
      </c>
      <c r="E331" s="0" t="n">
        <v>0.170045322318183</v>
      </c>
      <c r="F331" s="0" t="n">
        <v>0</v>
      </c>
      <c r="G331" s="0" t="n">
        <v>2020</v>
      </c>
    </row>
    <row r="332" customFormat="false" ht="15" hidden="false" customHeight="false" outlineLevel="0" collapsed="false">
      <c r="A332" s="0" t="s">
        <v>258</v>
      </c>
      <c r="B332" s="52" t="n">
        <v>43965</v>
      </c>
      <c r="C332" s="54" t="s">
        <v>592</v>
      </c>
      <c r="D332" s="0" t="n">
        <v>0.0179066258500195</v>
      </c>
      <c r="E332" s="0" t="n">
        <v>0.139953363624484</v>
      </c>
      <c r="F332" s="0" t="n">
        <v>0</v>
      </c>
      <c r="G332" s="0" t="n">
        <v>2020</v>
      </c>
    </row>
    <row r="333" customFormat="false" ht="15" hidden="false" customHeight="false" outlineLevel="0" collapsed="false">
      <c r="A333" s="0" t="s">
        <v>258</v>
      </c>
      <c r="B333" s="52" t="n">
        <v>43966</v>
      </c>
      <c r="C333" s="54" t="s">
        <v>590</v>
      </c>
      <c r="D333" s="0" t="n">
        <v>0</v>
      </c>
      <c r="E333" s="0" t="n">
        <v>0.147516755753966</v>
      </c>
      <c r="F333" s="0" t="n">
        <v>0</v>
      </c>
      <c r="G333" s="0" t="n">
        <v>2020</v>
      </c>
    </row>
    <row r="334" customFormat="false" ht="15" hidden="false" customHeight="false" outlineLevel="0" collapsed="false">
      <c r="A334" s="0" t="s">
        <v>258</v>
      </c>
      <c r="B334" s="52" t="n">
        <v>43966</v>
      </c>
      <c r="C334" s="54" t="s">
        <v>591</v>
      </c>
      <c r="D334" s="0" t="n">
        <v>0</v>
      </c>
      <c r="E334" s="0" t="n">
        <v>0.123250512023488</v>
      </c>
      <c r="F334" s="0" t="n">
        <v>0</v>
      </c>
      <c r="G334" s="0" t="n">
        <v>2020</v>
      </c>
    </row>
    <row r="335" customFormat="false" ht="15" hidden="false" customHeight="false" outlineLevel="0" collapsed="false">
      <c r="A335" s="0" t="s">
        <v>258</v>
      </c>
      <c r="B335" s="52" t="n">
        <v>43966</v>
      </c>
      <c r="C335" s="54" t="s">
        <v>592</v>
      </c>
      <c r="D335" s="0" t="n">
        <v>0.0955307287450215</v>
      </c>
      <c r="E335" s="0" t="n">
        <v>0.0951744848981622</v>
      </c>
      <c r="F335" s="0" t="n">
        <v>0</v>
      </c>
      <c r="G335" s="0" t="n">
        <v>2020</v>
      </c>
    </row>
    <row r="336" customFormat="false" ht="15" hidden="false" customHeight="false" outlineLevel="0" collapsed="false">
      <c r="A336" s="0" t="s">
        <v>258</v>
      </c>
      <c r="B336" s="52" t="n">
        <v>43967</v>
      </c>
      <c r="C336" s="54" t="s">
        <v>590</v>
      </c>
      <c r="D336" s="0" t="n">
        <v>0.0510134866660862</v>
      </c>
      <c r="E336" s="0" t="n">
        <v>0.120743338812608</v>
      </c>
      <c r="F336" s="0" t="n">
        <v>1</v>
      </c>
      <c r="G336" s="0" t="n">
        <v>2020</v>
      </c>
    </row>
    <row r="337" customFormat="false" ht="15" hidden="false" customHeight="false" outlineLevel="0" collapsed="false">
      <c r="A337" s="0" t="s">
        <v>258</v>
      </c>
      <c r="B337" s="52" t="n">
        <v>43968</v>
      </c>
      <c r="C337" s="54" t="s">
        <v>590</v>
      </c>
      <c r="D337" s="0" t="n">
        <v>1</v>
      </c>
      <c r="E337" s="0" t="n">
        <v>0</v>
      </c>
      <c r="F337" s="0" t="n">
        <v>1</v>
      </c>
      <c r="G337" s="0" t="n">
        <v>2020</v>
      </c>
    </row>
    <row r="338" customFormat="false" ht="15" hidden="false" customHeight="false" outlineLevel="0" collapsed="false">
      <c r="A338" s="0" t="s">
        <v>258</v>
      </c>
      <c r="B338" s="52" t="n">
        <v>43968</v>
      </c>
      <c r="C338" s="54" t="s">
        <v>591</v>
      </c>
      <c r="D338" s="0" t="n">
        <v>0.0894396695554735</v>
      </c>
      <c r="E338" s="0" t="n">
        <v>0.0546919483120484</v>
      </c>
      <c r="F338" s="0" t="n">
        <v>1</v>
      </c>
      <c r="G338" s="0" t="n">
        <v>2020</v>
      </c>
    </row>
    <row r="339" customFormat="false" ht="15" hidden="false" customHeight="false" outlineLevel="0" collapsed="false">
      <c r="A339" s="0" t="s">
        <v>258</v>
      </c>
      <c r="B339" s="52" t="n">
        <v>43968</v>
      </c>
      <c r="C339" s="54" t="s">
        <v>592</v>
      </c>
      <c r="D339" s="0" t="n">
        <v>0.010104382147828</v>
      </c>
      <c r="E339" s="0" t="n">
        <v>0.0791041545729739</v>
      </c>
      <c r="F339" s="0" t="n">
        <v>1</v>
      </c>
      <c r="G339" s="0" t="n">
        <v>2020</v>
      </c>
    </row>
    <row r="340" customFormat="false" ht="15" hidden="false" customHeight="false" outlineLevel="0" collapsed="false">
      <c r="A340" s="0" t="s">
        <v>258</v>
      </c>
      <c r="B340" s="52" t="n">
        <v>43969</v>
      </c>
      <c r="C340" s="54" t="s">
        <v>590</v>
      </c>
      <c r="D340" s="0" t="n">
        <v>0.0527945125037974</v>
      </c>
      <c r="E340" s="0" t="n">
        <v>0.0359091503458494</v>
      </c>
      <c r="F340" s="0" t="n">
        <v>0</v>
      </c>
      <c r="G340" s="0" t="n">
        <v>2020</v>
      </c>
    </row>
    <row r="341" customFormat="false" ht="15" hidden="false" customHeight="false" outlineLevel="0" collapsed="false">
      <c r="A341" s="0" t="s">
        <v>258</v>
      </c>
      <c r="B341" s="52" t="n">
        <v>43969</v>
      </c>
      <c r="C341" s="54" t="s">
        <v>591</v>
      </c>
      <c r="D341" s="0" t="n">
        <v>0.0056453665142896</v>
      </c>
      <c r="E341" s="0" t="n">
        <v>0.0666023132991139</v>
      </c>
      <c r="F341" s="0" t="n">
        <v>0</v>
      </c>
      <c r="G341" s="0" t="n">
        <v>2020</v>
      </c>
    </row>
    <row r="342" customFormat="false" ht="15" hidden="false" customHeight="false" outlineLevel="0" collapsed="false">
      <c r="A342" s="0" t="s">
        <v>258</v>
      </c>
      <c r="B342" s="52" t="n">
        <v>43969</v>
      </c>
      <c r="C342" s="54" t="s">
        <v>592</v>
      </c>
      <c r="D342" s="0" t="n">
        <v>0.0843638824503628</v>
      </c>
      <c r="E342" s="0" t="n">
        <v>0.205616752618128</v>
      </c>
      <c r="F342" s="0" t="n">
        <v>0</v>
      </c>
      <c r="G342" s="0" t="n">
        <v>2020</v>
      </c>
    </row>
    <row r="343" customFormat="false" ht="15" hidden="false" customHeight="false" outlineLevel="0" collapsed="false">
      <c r="A343" s="0" t="s">
        <v>258</v>
      </c>
      <c r="B343" s="52" t="n">
        <v>43970</v>
      </c>
      <c r="C343" s="54" t="s">
        <v>590</v>
      </c>
      <c r="D343" s="0" t="n">
        <v>0.0017549931561851</v>
      </c>
      <c r="E343" s="0" t="n">
        <v>0.171157426281257</v>
      </c>
      <c r="F343" s="0" t="n">
        <v>0</v>
      </c>
      <c r="G343" s="0" t="n">
        <v>2020</v>
      </c>
    </row>
    <row r="344" customFormat="false" ht="15" hidden="false" customHeight="false" outlineLevel="0" collapsed="false">
      <c r="A344" s="0" t="s">
        <v>258</v>
      </c>
      <c r="B344" s="52" t="n">
        <v>43970</v>
      </c>
      <c r="C344" s="54" t="s">
        <v>591</v>
      </c>
      <c r="D344" s="0" t="n">
        <v>0</v>
      </c>
      <c r="E344" s="0" t="n">
        <v>0.239638713168942</v>
      </c>
      <c r="F344" s="0" t="n">
        <v>0</v>
      </c>
      <c r="G344" s="0" t="n">
        <v>2020</v>
      </c>
    </row>
    <row r="345" customFormat="false" ht="15" hidden="false" customHeight="false" outlineLevel="0" collapsed="false">
      <c r="A345" s="0" t="s">
        <v>258</v>
      </c>
      <c r="B345" s="52" t="n">
        <v>43970</v>
      </c>
      <c r="C345" s="54" t="s">
        <v>592</v>
      </c>
      <c r="D345" s="0" t="n">
        <v>0.0177795816157992</v>
      </c>
      <c r="E345" s="0" t="n">
        <v>0.284888100477827</v>
      </c>
      <c r="F345" s="0" t="n">
        <v>0</v>
      </c>
      <c r="G345" s="0" t="n">
        <v>2020</v>
      </c>
    </row>
    <row r="346" customFormat="false" ht="15" hidden="false" customHeight="false" outlineLevel="0" collapsed="false">
      <c r="A346" s="0" t="s">
        <v>258</v>
      </c>
      <c r="B346" s="52" t="n">
        <v>43971</v>
      </c>
      <c r="C346" s="54" t="s">
        <v>590</v>
      </c>
      <c r="D346" s="0" t="n">
        <v>0.098884891248543</v>
      </c>
      <c r="E346" s="0" t="n">
        <v>0.0385553593302596</v>
      </c>
      <c r="F346" s="0" t="n">
        <v>0</v>
      </c>
      <c r="G346" s="0" t="n">
        <v>2020</v>
      </c>
    </row>
    <row r="347" customFormat="false" ht="15" hidden="false" customHeight="false" outlineLevel="0" collapsed="false">
      <c r="A347" s="0" t="s">
        <v>258</v>
      </c>
      <c r="B347" s="52" t="n">
        <v>43971</v>
      </c>
      <c r="C347" s="54" t="s">
        <v>591</v>
      </c>
      <c r="D347" s="0" t="n">
        <v>0.122519269196169</v>
      </c>
      <c r="E347" s="0" t="n">
        <v>0.167252491350246</v>
      </c>
      <c r="F347" s="0" t="n">
        <v>0</v>
      </c>
      <c r="G347" s="0" t="n">
        <v>2020</v>
      </c>
    </row>
    <row r="348" customFormat="false" ht="15" hidden="false" customHeight="false" outlineLevel="0" collapsed="false">
      <c r="A348" s="0" t="s">
        <v>258</v>
      </c>
      <c r="B348" s="52" t="n">
        <v>43971</v>
      </c>
      <c r="C348" s="54" t="s">
        <v>592</v>
      </c>
      <c r="D348" s="0" t="n">
        <v>0.0342372471528337</v>
      </c>
      <c r="E348" s="0" t="n">
        <v>0.0775143102814171</v>
      </c>
      <c r="F348" s="0" t="n">
        <v>0</v>
      </c>
      <c r="G348" s="0" t="n">
        <v>2020</v>
      </c>
    </row>
    <row r="349" customFormat="false" ht="15" hidden="false" customHeight="false" outlineLevel="0" collapsed="false">
      <c r="A349" s="0" t="s">
        <v>258</v>
      </c>
      <c r="B349" s="52" t="n">
        <v>43972</v>
      </c>
      <c r="C349" s="54" t="s">
        <v>590</v>
      </c>
      <c r="D349" s="0" t="n">
        <v>0.0084741029600479</v>
      </c>
      <c r="E349" s="0" t="n">
        <v>0.0723992555996147</v>
      </c>
      <c r="F349" s="0" t="n">
        <v>0</v>
      </c>
      <c r="G349" s="0" t="n">
        <v>2020</v>
      </c>
    </row>
    <row r="350" customFormat="false" ht="15" hidden="false" customHeight="false" outlineLevel="0" collapsed="false">
      <c r="A350" s="0" t="s">
        <v>258</v>
      </c>
      <c r="B350" s="52" t="n">
        <v>43972</v>
      </c>
      <c r="C350" s="54" t="s">
        <v>591</v>
      </c>
      <c r="D350" s="0" t="n">
        <v>0.0014604787866186</v>
      </c>
      <c r="E350" s="0" t="n">
        <v>0.0647247896207357</v>
      </c>
      <c r="F350" s="0" t="n">
        <v>0</v>
      </c>
      <c r="G350" s="0" t="n">
        <v>2020</v>
      </c>
    </row>
    <row r="351" customFormat="false" ht="15" hidden="false" customHeight="false" outlineLevel="0" collapsed="false">
      <c r="A351" s="0" t="s">
        <v>258</v>
      </c>
      <c r="B351" s="52" t="n">
        <v>43972</v>
      </c>
      <c r="C351" s="54" t="s">
        <v>592</v>
      </c>
      <c r="D351" s="0" t="n">
        <v>0.0404999069628914</v>
      </c>
      <c r="E351" s="0" t="n">
        <v>0.12819993495293</v>
      </c>
      <c r="F351" s="0" t="n">
        <v>0</v>
      </c>
      <c r="G351" s="0" t="n">
        <v>2020</v>
      </c>
    </row>
    <row r="352" customFormat="false" ht="15" hidden="false" customHeight="false" outlineLevel="0" collapsed="false">
      <c r="A352" s="0" t="s">
        <v>258</v>
      </c>
      <c r="B352" s="52" t="n">
        <v>43973</v>
      </c>
      <c r="C352" s="54" t="s">
        <v>590</v>
      </c>
      <c r="D352" s="0" t="n">
        <v>0.0901857706219893</v>
      </c>
      <c r="E352" s="0" t="n">
        <v>0.0520563041622417</v>
      </c>
      <c r="F352" s="0" t="n">
        <v>0</v>
      </c>
      <c r="G352" s="0" t="n">
        <v>2020</v>
      </c>
    </row>
    <row r="353" customFormat="false" ht="15" hidden="false" customHeight="false" outlineLevel="0" collapsed="false">
      <c r="A353" s="0" t="s">
        <v>258</v>
      </c>
      <c r="B353" s="52" t="n">
        <v>43973</v>
      </c>
      <c r="C353" s="54" t="s">
        <v>591</v>
      </c>
      <c r="D353" s="0" t="n">
        <v>0.0214405536495295</v>
      </c>
      <c r="E353" s="0" t="n">
        <v>0.017468881469038</v>
      </c>
      <c r="F353" s="0" t="n">
        <v>0</v>
      </c>
      <c r="G353" s="0" t="n">
        <v>2020</v>
      </c>
    </row>
    <row r="354" customFormat="false" ht="15" hidden="false" customHeight="false" outlineLevel="0" collapsed="false">
      <c r="A354" s="0" t="s">
        <v>258</v>
      </c>
      <c r="B354" s="52" t="n">
        <v>43973</v>
      </c>
      <c r="C354" s="54" t="s">
        <v>592</v>
      </c>
      <c r="D354" s="0" t="n">
        <v>0.0039432896022803</v>
      </c>
      <c r="E354" s="0" t="n">
        <v>0.0248732239775996</v>
      </c>
      <c r="F354" s="0" t="n">
        <v>0</v>
      </c>
      <c r="G354" s="0" t="n">
        <v>2020</v>
      </c>
    </row>
    <row r="355" customFormat="false" ht="15" hidden="false" customHeight="false" outlineLevel="0" collapsed="false">
      <c r="A355" s="0" t="s">
        <v>258</v>
      </c>
      <c r="B355" s="52" t="n">
        <v>43974</v>
      </c>
      <c r="C355" s="54" t="s">
        <v>590</v>
      </c>
      <c r="D355" s="0" t="n">
        <v>0.0119331844143544</v>
      </c>
      <c r="E355" s="0" t="n">
        <v>0.0678604767606822</v>
      </c>
      <c r="F355" s="0" t="n">
        <v>1</v>
      </c>
      <c r="G355" s="0" t="n">
        <v>2020</v>
      </c>
    </row>
    <row r="356" customFormat="false" ht="15" hidden="false" customHeight="false" outlineLevel="0" collapsed="false">
      <c r="A356" s="0" t="s">
        <v>258</v>
      </c>
      <c r="B356" s="52" t="n">
        <v>43974</v>
      </c>
      <c r="C356" s="54" t="s">
        <v>591</v>
      </c>
      <c r="D356" s="0" t="n">
        <v>0.489579330878166</v>
      </c>
      <c r="E356" s="0" t="n">
        <v>0.13155639102189</v>
      </c>
      <c r="F356" s="0" t="n">
        <v>1</v>
      </c>
      <c r="G356" s="0" t="n">
        <v>2020</v>
      </c>
    </row>
    <row r="357" customFormat="false" ht="15" hidden="false" customHeight="false" outlineLevel="0" collapsed="false">
      <c r="A357" s="0" t="s">
        <v>258</v>
      </c>
      <c r="B357" s="52" t="n">
        <v>43975</v>
      </c>
      <c r="C357" s="54" t="s">
        <v>591</v>
      </c>
      <c r="D357" s="0" t="n">
        <v>0.5691646379892</v>
      </c>
      <c r="E357" s="0" t="n">
        <v>0.0272344080174981</v>
      </c>
      <c r="F357" s="0" t="n">
        <v>1</v>
      </c>
      <c r="G357" s="0" t="n">
        <v>2020</v>
      </c>
    </row>
    <row r="358" customFormat="false" ht="15" hidden="false" customHeight="false" outlineLevel="0" collapsed="false">
      <c r="A358" s="0" t="s">
        <v>258</v>
      </c>
      <c r="B358" s="52" t="n">
        <v>43975</v>
      </c>
      <c r="C358" s="54" t="s">
        <v>592</v>
      </c>
      <c r="D358" s="0" t="n">
        <v>0</v>
      </c>
      <c r="E358" s="0" t="n">
        <v>0.0299826052194127</v>
      </c>
      <c r="F358" s="0" t="n">
        <v>1</v>
      </c>
      <c r="G358" s="0" t="n">
        <v>2020</v>
      </c>
    </row>
    <row r="359" customFormat="false" ht="15" hidden="false" customHeight="false" outlineLevel="0" collapsed="false">
      <c r="A359" s="0" t="s">
        <v>258</v>
      </c>
      <c r="B359" s="52" t="n">
        <v>43976</v>
      </c>
      <c r="C359" s="54" t="s">
        <v>590</v>
      </c>
      <c r="D359" s="0" t="n">
        <v>0.0664051596875047</v>
      </c>
      <c r="E359" s="0" t="n">
        <v>0.0636910356374963</v>
      </c>
      <c r="F359" s="0" t="n">
        <v>0</v>
      </c>
      <c r="G359" s="0" t="n">
        <v>2020</v>
      </c>
    </row>
    <row r="360" customFormat="false" ht="15" hidden="false" customHeight="false" outlineLevel="0" collapsed="false">
      <c r="A360" s="0" t="s">
        <v>258</v>
      </c>
      <c r="B360" s="52" t="n">
        <v>43976</v>
      </c>
      <c r="C360" s="54" t="s">
        <v>591</v>
      </c>
      <c r="D360" s="0" t="n">
        <v>0.0112585134231968</v>
      </c>
      <c r="E360" s="0" t="n">
        <v>0.0508982062980018</v>
      </c>
      <c r="F360" s="0" t="n">
        <v>0</v>
      </c>
      <c r="G360" s="0" t="n">
        <v>2020</v>
      </c>
    </row>
    <row r="361" customFormat="false" ht="15" hidden="false" customHeight="false" outlineLevel="0" collapsed="false">
      <c r="A361" s="0" t="s">
        <v>258</v>
      </c>
      <c r="B361" s="52" t="n">
        <v>43976</v>
      </c>
      <c r="C361" s="54" t="s">
        <v>592</v>
      </c>
      <c r="D361" s="0" t="n">
        <v>0.0434316384578375</v>
      </c>
      <c r="E361" s="0" t="n">
        <v>0.213369613480568</v>
      </c>
      <c r="F361" s="0" t="n">
        <v>0</v>
      </c>
      <c r="G361" s="0" t="n">
        <v>2020</v>
      </c>
    </row>
    <row r="362" customFormat="false" ht="15" hidden="false" customHeight="false" outlineLevel="0" collapsed="false">
      <c r="A362" s="0" t="s">
        <v>258</v>
      </c>
      <c r="B362" s="52" t="n">
        <v>43977</v>
      </c>
      <c r="C362" s="54" t="s">
        <v>590</v>
      </c>
      <c r="D362" s="0" t="n">
        <v>0.0418507031277069</v>
      </c>
      <c r="E362" s="0" t="n">
        <v>0.0777990180366006</v>
      </c>
      <c r="F362" s="0" t="n">
        <v>0</v>
      </c>
      <c r="G362" s="0" t="n">
        <v>2020</v>
      </c>
    </row>
    <row r="363" customFormat="false" ht="15" hidden="false" customHeight="false" outlineLevel="0" collapsed="false">
      <c r="A363" s="0" t="s">
        <v>258</v>
      </c>
      <c r="B363" s="52" t="n">
        <v>43977</v>
      </c>
      <c r="C363" s="54" t="s">
        <v>591</v>
      </c>
      <c r="D363" s="0" t="n">
        <v>0.0662551164891669</v>
      </c>
      <c r="E363" s="0" t="n">
        <v>0.039359337082417</v>
      </c>
      <c r="F363" s="0" t="n">
        <v>0</v>
      </c>
      <c r="G363" s="0" t="n">
        <v>2020</v>
      </c>
    </row>
    <row r="364" customFormat="false" ht="15" hidden="false" customHeight="false" outlineLevel="0" collapsed="false">
      <c r="A364" s="0" t="s">
        <v>258</v>
      </c>
      <c r="B364" s="52" t="n">
        <v>43977</v>
      </c>
      <c r="C364" s="54" t="s">
        <v>592</v>
      </c>
      <c r="D364" s="0" t="n">
        <v>0.019850599727296</v>
      </c>
      <c r="E364" s="0" t="n">
        <v>0.142904791286118</v>
      </c>
      <c r="F364" s="0" t="n">
        <v>0</v>
      </c>
      <c r="G364" s="0" t="n">
        <v>2020</v>
      </c>
    </row>
    <row r="365" customFormat="false" ht="15" hidden="false" customHeight="false" outlineLevel="0" collapsed="false">
      <c r="A365" s="0" t="s">
        <v>258</v>
      </c>
      <c r="B365" s="52" t="n">
        <v>43978</v>
      </c>
      <c r="C365" s="54" t="s">
        <v>590</v>
      </c>
      <c r="D365" s="0" t="n">
        <v>0.029993796857936</v>
      </c>
      <c r="E365" s="0" t="n">
        <v>0.0362974620771</v>
      </c>
      <c r="F365" s="0" t="n">
        <v>0</v>
      </c>
      <c r="G365" s="0" t="n">
        <v>2020</v>
      </c>
    </row>
    <row r="366" customFormat="false" ht="15" hidden="false" customHeight="false" outlineLevel="0" collapsed="false">
      <c r="A366" s="0" t="s">
        <v>258</v>
      </c>
      <c r="B366" s="52" t="n">
        <v>43978</v>
      </c>
      <c r="C366" s="54" t="s">
        <v>591</v>
      </c>
      <c r="D366" s="0" t="n">
        <v>0.0866684237063948</v>
      </c>
      <c r="E366" s="0" t="n">
        <v>0.036567916902832</v>
      </c>
      <c r="F366" s="0" t="n">
        <v>0</v>
      </c>
      <c r="G366" s="0" t="n">
        <v>2020</v>
      </c>
    </row>
    <row r="367" customFormat="false" ht="15" hidden="false" customHeight="false" outlineLevel="0" collapsed="false">
      <c r="A367" s="0" t="s">
        <v>258</v>
      </c>
      <c r="B367" s="52" t="n">
        <v>43978</v>
      </c>
      <c r="C367" s="54" t="s">
        <v>592</v>
      </c>
      <c r="D367" s="0" t="n">
        <v>0.0473862688796733</v>
      </c>
      <c r="E367" s="0" t="n">
        <v>0.238229355437038</v>
      </c>
      <c r="F367" s="0" t="n">
        <v>0</v>
      </c>
      <c r="G367" s="0" t="n">
        <v>2020</v>
      </c>
    </row>
    <row r="368" customFormat="false" ht="15" hidden="false" customHeight="false" outlineLevel="0" collapsed="false">
      <c r="A368" s="0" t="s">
        <v>258</v>
      </c>
      <c r="B368" s="52" t="n">
        <v>43979</v>
      </c>
      <c r="C368" s="54" t="s">
        <v>590</v>
      </c>
      <c r="D368" s="0" t="n">
        <v>0.0731739760564629</v>
      </c>
      <c r="E368" s="0" t="n">
        <v>0.106802568647767</v>
      </c>
      <c r="F368" s="0" t="n">
        <v>0</v>
      </c>
      <c r="G368" s="0" t="n">
        <v>2020</v>
      </c>
    </row>
    <row r="369" customFormat="false" ht="15" hidden="false" customHeight="false" outlineLevel="0" collapsed="false">
      <c r="A369" s="0" t="s">
        <v>258</v>
      </c>
      <c r="B369" s="52" t="n">
        <v>43979</v>
      </c>
      <c r="C369" s="54" t="s">
        <v>591</v>
      </c>
      <c r="D369" s="0" t="n">
        <v>0.0172998933696925</v>
      </c>
      <c r="E369" s="0" t="n">
        <v>0.107995233683524</v>
      </c>
      <c r="F369" s="0" t="n">
        <v>0</v>
      </c>
      <c r="G369" s="0" t="n">
        <v>2020</v>
      </c>
    </row>
    <row r="370" customFormat="false" ht="15" hidden="false" customHeight="false" outlineLevel="0" collapsed="false">
      <c r="A370" s="0" t="s">
        <v>258</v>
      </c>
      <c r="B370" s="52" t="n">
        <v>43979</v>
      </c>
      <c r="C370" s="54" t="s">
        <v>592</v>
      </c>
      <c r="D370" s="0" t="n">
        <v>0</v>
      </c>
      <c r="E370" s="0" t="n">
        <v>0.0401335800391826</v>
      </c>
      <c r="F370" s="0" t="n">
        <v>0</v>
      </c>
      <c r="G370" s="0" t="n">
        <v>2020</v>
      </c>
    </row>
    <row r="371" customFormat="false" ht="15" hidden="false" customHeight="false" outlineLevel="0" collapsed="false">
      <c r="A371" s="0" t="s">
        <v>258</v>
      </c>
      <c r="B371" s="52" t="n">
        <v>43980</v>
      </c>
      <c r="C371" s="54" t="s">
        <v>590</v>
      </c>
      <c r="D371" s="0" t="n">
        <v>0.0201937753900479</v>
      </c>
      <c r="E371" s="0" t="n">
        <v>0.104274253651499</v>
      </c>
      <c r="F371" s="0" t="n">
        <v>0</v>
      </c>
      <c r="G371" s="0" t="n">
        <v>2020</v>
      </c>
    </row>
    <row r="372" customFormat="false" ht="15" hidden="false" customHeight="false" outlineLevel="0" collapsed="false">
      <c r="A372" s="0" t="s">
        <v>258</v>
      </c>
      <c r="B372" s="52" t="n">
        <v>43980</v>
      </c>
      <c r="C372" s="54" t="s">
        <v>591</v>
      </c>
      <c r="D372" s="0" t="n">
        <v>0.0004195467062001</v>
      </c>
      <c r="E372" s="0" t="n">
        <v>0.157120305433755</v>
      </c>
      <c r="F372" s="0" t="n">
        <v>0</v>
      </c>
      <c r="G372" s="0" t="n">
        <v>2020</v>
      </c>
    </row>
    <row r="373" customFormat="false" ht="15" hidden="false" customHeight="false" outlineLevel="0" collapsed="false">
      <c r="A373" s="0" t="s">
        <v>258</v>
      </c>
      <c r="B373" s="52" t="n">
        <v>43980</v>
      </c>
      <c r="C373" s="54" t="s">
        <v>592</v>
      </c>
      <c r="D373" s="0" t="n">
        <v>0.10883667227191</v>
      </c>
      <c r="E373" s="0" t="n">
        <v>0.116893780849336</v>
      </c>
      <c r="F373" s="0" t="n">
        <v>0</v>
      </c>
      <c r="G373" s="0" t="n">
        <v>2020</v>
      </c>
    </row>
    <row r="374" customFormat="false" ht="15" hidden="false" customHeight="false" outlineLevel="0" collapsed="false">
      <c r="A374" s="0" t="s">
        <v>258</v>
      </c>
      <c r="B374" s="52" t="n">
        <v>43981</v>
      </c>
      <c r="C374" s="54" t="s">
        <v>590</v>
      </c>
      <c r="D374" s="0" t="n">
        <v>0.0823978410418479</v>
      </c>
      <c r="E374" s="0" t="n">
        <v>0.319814584894507</v>
      </c>
      <c r="F374" s="0" t="n">
        <v>1</v>
      </c>
      <c r="G374" s="0" t="n">
        <v>2020</v>
      </c>
    </row>
    <row r="375" customFormat="false" ht="15" hidden="false" customHeight="false" outlineLevel="0" collapsed="false">
      <c r="A375" s="0" t="s">
        <v>258</v>
      </c>
      <c r="B375" s="52" t="n">
        <v>43981</v>
      </c>
      <c r="C375" s="54" t="s">
        <v>592</v>
      </c>
      <c r="D375" s="0" t="n">
        <v>1</v>
      </c>
      <c r="E375" s="0" t="n">
        <v>0</v>
      </c>
      <c r="F375" s="0" t="n">
        <v>1</v>
      </c>
      <c r="G375" s="0" t="n">
        <v>2020</v>
      </c>
    </row>
    <row r="376" customFormat="false" ht="15" hidden="false" customHeight="false" outlineLevel="0" collapsed="false">
      <c r="A376" s="0" t="s">
        <v>258</v>
      </c>
      <c r="B376" s="52" t="n">
        <v>43982</v>
      </c>
      <c r="C376" s="54" t="s">
        <v>590</v>
      </c>
      <c r="D376" s="0" t="n">
        <v>1</v>
      </c>
      <c r="E376" s="0" t="n">
        <v>0</v>
      </c>
      <c r="F376" s="0" t="n">
        <v>1</v>
      </c>
      <c r="G376" s="0" t="n">
        <v>2020</v>
      </c>
    </row>
    <row r="377" customFormat="false" ht="15" hidden="false" customHeight="false" outlineLevel="0" collapsed="false">
      <c r="A377" s="0" t="s">
        <v>258</v>
      </c>
      <c r="B377" s="52" t="n">
        <v>43982</v>
      </c>
      <c r="C377" s="54" t="s">
        <v>591</v>
      </c>
      <c r="D377" s="0" t="n">
        <v>0.341958673465376</v>
      </c>
      <c r="E377" s="0" t="n">
        <v>0.0727027746950389</v>
      </c>
      <c r="F377" s="0" t="n">
        <v>1</v>
      </c>
      <c r="G377" s="0" t="n">
        <v>2020</v>
      </c>
    </row>
    <row r="378" customFormat="false" ht="15" hidden="false" customHeight="false" outlineLevel="0" collapsed="false">
      <c r="A378" s="0" t="s">
        <v>258</v>
      </c>
      <c r="B378" s="52" t="n">
        <v>43982</v>
      </c>
      <c r="C378" s="54" t="s">
        <v>592</v>
      </c>
      <c r="D378" s="0" t="n">
        <v>0.0016934509737946</v>
      </c>
      <c r="E378" s="0" t="n">
        <v>0.0426109421859576</v>
      </c>
      <c r="F378" s="0" t="n">
        <v>1</v>
      </c>
      <c r="G378" s="0" t="n">
        <v>2020</v>
      </c>
    </row>
    <row r="379" customFormat="false" ht="15" hidden="false" customHeight="false" outlineLevel="0" collapsed="false">
      <c r="A379" s="0" t="s">
        <v>258</v>
      </c>
      <c r="B379" s="52" t="n">
        <v>43983</v>
      </c>
      <c r="C379" s="54" t="s">
        <v>590</v>
      </c>
      <c r="D379" s="0" t="n">
        <v>0.0054298279338988</v>
      </c>
      <c r="E379" s="0" t="n">
        <v>0.273876651527711</v>
      </c>
      <c r="F379" s="0" t="n">
        <v>0</v>
      </c>
      <c r="G379" s="0" t="n">
        <v>2020</v>
      </c>
    </row>
    <row r="380" customFormat="false" ht="15" hidden="false" customHeight="false" outlineLevel="0" collapsed="false">
      <c r="A380" s="0" t="s">
        <v>258</v>
      </c>
      <c r="B380" s="52" t="n">
        <v>43983</v>
      </c>
      <c r="C380" s="54" t="s">
        <v>591</v>
      </c>
      <c r="D380" s="0" t="n">
        <v>0.0040154123921908</v>
      </c>
      <c r="E380" s="0" t="n">
        <v>0.0630344191302735</v>
      </c>
      <c r="F380" s="0" t="n">
        <v>0</v>
      </c>
      <c r="G380" s="0" t="n">
        <v>2020</v>
      </c>
    </row>
    <row r="381" customFormat="false" ht="15" hidden="false" customHeight="false" outlineLevel="0" collapsed="false">
      <c r="A381" s="0" t="s">
        <v>258</v>
      </c>
      <c r="B381" s="52" t="n">
        <v>43983</v>
      </c>
      <c r="C381" s="54" t="s">
        <v>592</v>
      </c>
      <c r="D381" s="0" t="n">
        <v>0.115714707455056</v>
      </c>
      <c r="E381" s="0" t="n">
        <v>0.0781708242017869</v>
      </c>
      <c r="F381" s="0" t="n">
        <v>0</v>
      </c>
      <c r="G381" s="0" t="n">
        <v>2020</v>
      </c>
    </row>
    <row r="382" customFormat="false" ht="15" hidden="false" customHeight="false" outlineLevel="0" collapsed="false">
      <c r="A382" s="0" t="s">
        <v>258</v>
      </c>
      <c r="B382" s="52" t="n">
        <v>43984</v>
      </c>
      <c r="C382" s="54" t="s">
        <v>590</v>
      </c>
      <c r="D382" s="0" t="n">
        <v>0.0160560174866481</v>
      </c>
      <c r="E382" s="0" t="n">
        <v>0.16742723105041</v>
      </c>
      <c r="F382" s="0" t="n">
        <v>0</v>
      </c>
      <c r="G382" s="0" t="n">
        <v>2020</v>
      </c>
    </row>
    <row r="383" customFormat="false" ht="15" hidden="false" customHeight="false" outlineLevel="0" collapsed="false">
      <c r="A383" s="0" t="s">
        <v>258</v>
      </c>
      <c r="B383" s="52" t="n">
        <v>43984</v>
      </c>
      <c r="C383" s="54" t="s">
        <v>591</v>
      </c>
      <c r="D383" s="0" t="n">
        <v>0.0163224154022372</v>
      </c>
      <c r="E383" s="0" t="n">
        <v>0.0588937716158101</v>
      </c>
      <c r="F383" s="0" t="n">
        <v>0</v>
      </c>
      <c r="G383" s="0" t="n">
        <v>2020</v>
      </c>
    </row>
    <row r="384" customFormat="false" ht="15" hidden="false" customHeight="false" outlineLevel="0" collapsed="false">
      <c r="A384" s="0" t="s">
        <v>258</v>
      </c>
      <c r="B384" s="52" t="n">
        <v>43984</v>
      </c>
      <c r="C384" s="54" t="s">
        <v>592</v>
      </c>
      <c r="D384" s="0" t="n">
        <v>0.0055387033708844</v>
      </c>
      <c r="E384" s="0" t="n">
        <v>0.163859687116637</v>
      </c>
      <c r="F384" s="0" t="n">
        <v>0</v>
      </c>
      <c r="G384" s="0" t="n">
        <v>2020</v>
      </c>
    </row>
    <row r="385" customFormat="false" ht="15" hidden="false" customHeight="false" outlineLevel="0" collapsed="false">
      <c r="A385" s="0" t="s">
        <v>258</v>
      </c>
      <c r="B385" s="52" t="n">
        <v>43985</v>
      </c>
      <c r="C385" s="54" t="s">
        <v>590</v>
      </c>
      <c r="D385" s="0" t="n">
        <v>0.710796063622844</v>
      </c>
      <c r="E385" s="0" t="n">
        <v>0.007453084294962</v>
      </c>
      <c r="F385" s="0" t="n">
        <v>0</v>
      </c>
      <c r="G385" s="0" t="n">
        <v>2020</v>
      </c>
    </row>
    <row r="386" customFormat="false" ht="15" hidden="false" customHeight="false" outlineLevel="0" collapsed="false">
      <c r="A386" s="0" t="s">
        <v>258</v>
      </c>
      <c r="B386" s="52" t="n">
        <v>43985</v>
      </c>
      <c r="C386" s="54" t="s">
        <v>591</v>
      </c>
      <c r="D386" s="0" t="n">
        <v>0</v>
      </c>
      <c r="E386" s="0" t="n">
        <v>0.014630952072713</v>
      </c>
      <c r="F386" s="0" t="n">
        <v>0</v>
      </c>
      <c r="G386" s="0" t="n">
        <v>2020</v>
      </c>
    </row>
    <row r="387" customFormat="false" ht="15" hidden="false" customHeight="false" outlineLevel="0" collapsed="false">
      <c r="A387" s="0" t="s">
        <v>258</v>
      </c>
      <c r="B387" s="52" t="n">
        <v>43985</v>
      </c>
      <c r="C387" s="54" t="s">
        <v>592</v>
      </c>
      <c r="D387" s="0" t="n">
        <v>0.0017601973831782</v>
      </c>
      <c r="E387" s="0" t="n">
        <v>0.027906530166555</v>
      </c>
      <c r="F387" s="0" t="n">
        <v>0</v>
      </c>
      <c r="G387" s="0" t="n">
        <v>2020</v>
      </c>
    </row>
    <row r="388" customFormat="false" ht="15" hidden="false" customHeight="false" outlineLevel="0" collapsed="false">
      <c r="A388" s="0" t="s">
        <v>258</v>
      </c>
      <c r="B388" s="52" t="n">
        <v>43986</v>
      </c>
      <c r="C388" s="54" t="s">
        <v>590</v>
      </c>
      <c r="D388" s="0" t="n">
        <v>0.3244786582134</v>
      </c>
      <c r="E388" s="0" t="n">
        <v>0.0521746238062133</v>
      </c>
      <c r="F388" s="0" t="n">
        <v>0</v>
      </c>
      <c r="G388" s="0" t="n">
        <v>2020</v>
      </c>
    </row>
    <row r="389" customFormat="false" ht="15" hidden="false" customHeight="false" outlineLevel="0" collapsed="false">
      <c r="A389" s="0" t="s">
        <v>258</v>
      </c>
      <c r="B389" s="52" t="n">
        <v>43986</v>
      </c>
      <c r="C389" s="54" t="s">
        <v>591</v>
      </c>
      <c r="D389" s="0" t="n">
        <v>0.391941984089677</v>
      </c>
      <c r="E389" s="0" t="n">
        <v>0.0331415953568702</v>
      </c>
      <c r="F389" s="0" t="n">
        <v>0</v>
      </c>
      <c r="G389" s="0" t="n">
        <v>2020</v>
      </c>
    </row>
    <row r="390" customFormat="false" ht="15" hidden="false" customHeight="false" outlineLevel="0" collapsed="false">
      <c r="A390" s="0" t="s">
        <v>258</v>
      </c>
      <c r="B390" s="52" t="n">
        <v>43986</v>
      </c>
      <c r="C390" s="54" t="s">
        <v>592</v>
      </c>
      <c r="D390" s="0" t="n">
        <v>0</v>
      </c>
      <c r="E390" s="0" t="n">
        <v>0.0642917740876018</v>
      </c>
      <c r="F390" s="0" t="n">
        <v>0</v>
      </c>
      <c r="G390" s="0" t="n">
        <v>2020</v>
      </c>
    </row>
    <row r="391" customFormat="false" ht="15" hidden="false" customHeight="false" outlineLevel="0" collapsed="false">
      <c r="A391" s="0" t="s">
        <v>258</v>
      </c>
      <c r="B391" s="52" t="n">
        <v>43987</v>
      </c>
      <c r="C391" s="54" t="s">
        <v>590</v>
      </c>
      <c r="D391" s="0" t="n">
        <v>0</v>
      </c>
      <c r="E391" s="0" t="n">
        <v>0.0451164561460141</v>
      </c>
      <c r="F391" s="0" t="n">
        <v>0</v>
      </c>
      <c r="G391" s="0" t="n">
        <v>2020</v>
      </c>
    </row>
    <row r="392" customFormat="false" ht="15" hidden="false" customHeight="false" outlineLevel="0" collapsed="false">
      <c r="A392" s="0" t="s">
        <v>258</v>
      </c>
      <c r="B392" s="52" t="n">
        <v>43987</v>
      </c>
      <c r="C392" s="54" t="s">
        <v>591</v>
      </c>
      <c r="D392" s="0" t="n">
        <v>0.0700859013225126</v>
      </c>
      <c r="E392" s="0" t="n">
        <v>0.188073441568715</v>
      </c>
      <c r="F392" s="0" t="n">
        <v>0</v>
      </c>
      <c r="G392" s="0" t="n">
        <v>2020</v>
      </c>
    </row>
    <row r="393" customFormat="false" ht="15" hidden="false" customHeight="false" outlineLevel="0" collapsed="false">
      <c r="A393" s="0" t="s">
        <v>258</v>
      </c>
      <c r="B393" s="52" t="n">
        <v>43987</v>
      </c>
      <c r="C393" s="54" t="s">
        <v>592</v>
      </c>
      <c r="D393" s="0" t="n">
        <v>0.0320757075803747</v>
      </c>
      <c r="E393" s="0" t="n">
        <v>0.0593521626505885</v>
      </c>
      <c r="F393" s="0" t="n">
        <v>0</v>
      </c>
      <c r="G393" s="0" t="n">
        <v>2020</v>
      </c>
    </row>
    <row r="394" customFormat="false" ht="15" hidden="false" customHeight="false" outlineLevel="0" collapsed="false">
      <c r="A394" s="0" t="s">
        <v>258</v>
      </c>
      <c r="B394" s="52" t="n">
        <v>43988</v>
      </c>
      <c r="C394" s="54" t="s">
        <v>590</v>
      </c>
      <c r="D394" s="0" t="n">
        <v>0.205948449055205</v>
      </c>
      <c r="E394" s="0" t="n">
        <v>0.0676794128167257</v>
      </c>
      <c r="F394" s="0" t="n">
        <v>1</v>
      </c>
      <c r="G394" s="0" t="n">
        <v>2020</v>
      </c>
    </row>
    <row r="395" customFormat="false" ht="15" hidden="false" customHeight="false" outlineLevel="0" collapsed="false">
      <c r="A395" s="0" t="s">
        <v>258</v>
      </c>
      <c r="B395" s="52" t="n">
        <v>43989</v>
      </c>
      <c r="C395" s="54" t="s">
        <v>591</v>
      </c>
      <c r="D395" s="0" t="n">
        <v>0.144604836504278</v>
      </c>
      <c r="E395" s="0" t="n">
        <v>0.125522522170567</v>
      </c>
      <c r="F395" s="0" t="n">
        <v>1</v>
      </c>
      <c r="G395" s="0" t="n">
        <v>2020</v>
      </c>
    </row>
    <row r="396" customFormat="false" ht="15" hidden="false" customHeight="false" outlineLevel="0" collapsed="false">
      <c r="A396" s="0" t="s">
        <v>258</v>
      </c>
      <c r="B396" s="52" t="n">
        <v>43989</v>
      </c>
      <c r="C396" s="54" t="s">
        <v>592</v>
      </c>
      <c r="D396" s="0" t="n">
        <v>0</v>
      </c>
      <c r="E396" s="0" t="n">
        <v>0.167699375679681</v>
      </c>
      <c r="F396" s="0" t="n">
        <v>1</v>
      </c>
      <c r="G396" s="0" t="n">
        <v>2020</v>
      </c>
    </row>
    <row r="397" customFormat="false" ht="15" hidden="false" customHeight="false" outlineLevel="0" collapsed="false">
      <c r="A397" s="0" t="s">
        <v>258</v>
      </c>
      <c r="B397" s="52" t="n">
        <v>43990</v>
      </c>
      <c r="C397" s="54" t="s">
        <v>590</v>
      </c>
      <c r="D397" s="0" t="n">
        <v>0</v>
      </c>
      <c r="E397" s="0" t="n">
        <v>0.0738826408077721</v>
      </c>
      <c r="F397" s="0" t="n">
        <v>0</v>
      </c>
      <c r="G397" s="0" t="n">
        <v>2020</v>
      </c>
    </row>
    <row r="398" customFormat="false" ht="15" hidden="false" customHeight="false" outlineLevel="0" collapsed="false">
      <c r="A398" s="0" t="s">
        <v>258</v>
      </c>
      <c r="B398" s="52" t="n">
        <v>43990</v>
      </c>
      <c r="C398" s="54" t="s">
        <v>591</v>
      </c>
      <c r="D398" s="0" t="n">
        <v>0</v>
      </c>
      <c r="E398" s="0" t="n">
        <v>0.001523230729454</v>
      </c>
      <c r="F398" s="0" t="n">
        <v>0</v>
      </c>
      <c r="G398" s="0" t="n">
        <v>2020</v>
      </c>
    </row>
    <row r="399" customFormat="false" ht="15" hidden="false" customHeight="false" outlineLevel="0" collapsed="false">
      <c r="A399" s="0" t="s">
        <v>258</v>
      </c>
      <c r="B399" s="52" t="n">
        <v>43990</v>
      </c>
      <c r="C399" s="54" t="s">
        <v>592</v>
      </c>
      <c r="D399" s="0" t="n">
        <v>0.0663354984876153</v>
      </c>
      <c r="E399" s="0" t="n">
        <v>0.184221502703895</v>
      </c>
      <c r="F399" s="0" t="n">
        <v>0</v>
      </c>
      <c r="G399" s="0" t="n">
        <v>2020</v>
      </c>
    </row>
    <row r="400" customFormat="false" ht="15" hidden="false" customHeight="false" outlineLevel="0" collapsed="false">
      <c r="A400" s="0" t="s">
        <v>258</v>
      </c>
      <c r="B400" s="52" t="n">
        <v>43991</v>
      </c>
      <c r="C400" s="54" t="s">
        <v>590</v>
      </c>
      <c r="D400" s="0" t="n">
        <v>0.0904227796582869</v>
      </c>
      <c r="E400" s="0" t="n">
        <v>0.0688281158405704</v>
      </c>
      <c r="F400" s="0" t="n">
        <v>0</v>
      </c>
      <c r="G400" s="0" t="n">
        <v>2020</v>
      </c>
    </row>
    <row r="401" customFormat="false" ht="15" hidden="false" customHeight="false" outlineLevel="0" collapsed="false">
      <c r="A401" s="0" t="s">
        <v>258</v>
      </c>
      <c r="B401" s="52" t="n">
        <v>43991</v>
      </c>
      <c r="C401" s="54" t="s">
        <v>591</v>
      </c>
      <c r="D401" s="0" t="n">
        <v>0.0310583911280349</v>
      </c>
      <c r="E401" s="0" t="n">
        <v>0.103047323730381</v>
      </c>
      <c r="F401" s="0" t="n">
        <v>0</v>
      </c>
      <c r="G401" s="0" t="n">
        <v>2020</v>
      </c>
    </row>
    <row r="402" customFormat="false" ht="15" hidden="false" customHeight="false" outlineLevel="0" collapsed="false">
      <c r="A402" s="0" t="s">
        <v>258</v>
      </c>
      <c r="B402" s="52" t="n">
        <v>43991</v>
      </c>
      <c r="C402" s="54" t="s">
        <v>592</v>
      </c>
      <c r="D402" s="0" t="n">
        <v>0.0723236060554237</v>
      </c>
      <c r="E402" s="0" t="n">
        <v>0.182583104058328</v>
      </c>
      <c r="F402" s="0" t="n">
        <v>0</v>
      </c>
      <c r="G402" s="0" t="n">
        <v>2020</v>
      </c>
    </row>
    <row r="403" customFormat="false" ht="15" hidden="false" customHeight="false" outlineLevel="0" collapsed="false">
      <c r="A403" s="0" t="s">
        <v>258</v>
      </c>
      <c r="B403" s="52" t="n">
        <v>43992</v>
      </c>
      <c r="C403" s="54" t="s">
        <v>590</v>
      </c>
      <c r="D403" s="0" t="n">
        <v>0.0043144186432801</v>
      </c>
      <c r="E403" s="0" t="n">
        <v>0.0273621706457446</v>
      </c>
      <c r="F403" s="0" t="n">
        <v>0</v>
      </c>
      <c r="G403" s="0" t="n">
        <v>2020</v>
      </c>
    </row>
    <row r="404" customFormat="false" ht="15" hidden="false" customHeight="false" outlineLevel="0" collapsed="false">
      <c r="A404" s="0" t="s">
        <v>258</v>
      </c>
      <c r="B404" s="52" t="n">
        <v>43992</v>
      </c>
      <c r="C404" s="54" t="s">
        <v>591</v>
      </c>
      <c r="D404" s="0" t="n">
        <v>0.149976372559579</v>
      </c>
      <c r="E404" s="0" t="n">
        <v>0.067081525770076</v>
      </c>
      <c r="F404" s="0" t="n">
        <v>0</v>
      </c>
      <c r="G404" s="0" t="n">
        <v>2020</v>
      </c>
    </row>
    <row r="405" customFormat="false" ht="15" hidden="false" customHeight="false" outlineLevel="0" collapsed="false">
      <c r="A405" s="0" t="s">
        <v>258</v>
      </c>
      <c r="B405" s="52" t="n">
        <v>43992</v>
      </c>
      <c r="C405" s="54" t="s">
        <v>592</v>
      </c>
      <c r="D405" s="0" t="n">
        <v>0</v>
      </c>
      <c r="E405" s="0" t="n">
        <v>0.0490157154655155</v>
      </c>
      <c r="F405" s="0" t="n">
        <v>0</v>
      </c>
      <c r="G405" s="0" t="n">
        <v>2020</v>
      </c>
    </row>
    <row r="406" customFormat="false" ht="15" hidden="false" customHeight="false" outlineLevel="0" collapsed="false">
      <c r="A406" s="0" t="s">
        <v>258</v>
      </c>
      <c r="B406" s="52" t="n">
        <v>43993</v>
      </c>
      <c r="C406" s="54" t="s">
        <v>590</v>
      </c>
      <c r="D406" s="0" t="n">
        <v>0.0089991185423092</v>
      </c>
      <c r="E406" s="0" t="n">
        <v>0.121652161452943</v>
      </c>
      <c r="F406" s="0" t="n">
        <v>0</v>
      </c>
      <c r="G406" s="0" t="n">
        <v>2020</v>
      </c>
    </row>
    <row r="407" customFormat="false" ht="15" hidden="false" customHeight="false" outlineLevel="0" collapsed="false">
      <c r="A407" s="0" t="s">
        <v>258</v>
      </c>
      <c r="B407" s="52" t="n">
        <v>43993</v>
      </c>
      <c r="C407" s="54" t="s">
        <v>591</v>
      </c>
      <c r="D407" s="0" t="n">
        <v>0.0562242036691602</v>
      </c>
      <c r="E407" s="0" t="n">
        <v>0.196851246344398</v>
      </c>
      <c r="F407" s="0" t="n">
        <v>0</v>
      </c>
      <c r="G407" s="0" t="n">
        <v>2020</v>
      </c>
    </row>
    <row r="408" customFormat="false" ht="15" hidden="false" customHeight="false" outlineLevel="0" collapsed="false">
      <c r="A408" s="0" t="s">
        <v>258</v>
      </c>
      <c r="B408" s="52" t="n">
        <v>43993</v>
      </c>
      <c r="C408" s="54" t="s">
        <v>592</v>
      </c>
      <c r="D408" s="0" t="n">
        <v>0.453122745363149</v>
      </c>
      <c r="E408" s="0" t="n">
        <v>0.0515785662020039</v>
      </c>
      <c r="F408" s="0" t="n">
        <v>0</v>
      </c>
      <c r="G408" s="0" t="n">
        <v>2020</v>
      </c>
    </row>
    <row r="409" customFormat="false" ht="15" hidden="false" customHeight="false" outlineLevel="0" collapsed="false">
      <c r="A409" s="0" t="s">
        <v>258</v>
      </c>
      <c r="B409" s="52" t="n">
        <v>43994</v>
      </c>
      <c r="C409" s="54" t="s">
        <v>590</v>
      </c>
      <c r="D409" s="0" t="n">
        <v>0.0125247931866405</v>
      </c>
      <c r="E409" s="0" t="n">
        <v>0.108231708018833</v>
      </c>
      <c r="F409" s="0" t="n">
        <v>0</v>
      </c>
      <c r="G409" s="0" t="n">
        <v>2020</v>
      </c>
    </row>
    <row r="410" customFormat="false" ht="15" hidden="false" customHeight="false" outlineLevel="0" collapsed="false">
      <c r="A410" s="0" t="s">
        <v>258</v>
      </c>
      <c r="B410" s="52" t="n">
        <v>43994</v>
      </c>
      <c r="C410" s="54" t="s">
        <v>591</v>
      </c>
      <c r="D410" s="0" t="n">
        <v>0</v>
      </c>
      <c r="E410" s="0" t="n">
        <v>0.0737872183701023</v>
      </c>
      <c r="F410" s="0" t="n">
        <v>0</v>
      </c>
      <c r="G410" s="0" t="n">
        <v>2020</v>
      </c>
    </row>
    <row r="411" customFormat="false" ht="15" hidden="false" customHeight="false" outlineLevel="0" collapsed="false">
      <c r="A411" s="0" t="s">
        <v>258</v>
      </c>
      <c r="B411" s="52" t="n">
        <v>43994</v>
      </c>
      <c r="C411" s="54" t="s">
        <v>592</v>
      </c>
      <c r="D411" s="0" t="n">
        <v>0.0055663547589704</v>
      </c>
      <c r="E411" s="0" t="n">
        <v>0.0461826814154185</v>
      </c>
      <c r="F411" s="0" t="n">
        <v>0</v>
      </c>
      <c r="G411" s="0" t="n">
        <v>2020</v>
      </c>
    </row>
    <row r="412" customFormat="false" ht="15" hidden="false" customHeight="false" outlineLevel="0" collapsed="false">
      <c r="A412" s="0" t="s">
        <v>258</v>
      </c>
      <c r="B412" s="52" t="n">
        <v>43995</v>
      </c>
      <c r="C412" s="54" t="s">
        <v>590</v>
      </c>
      <c r="D412" s="0" t="n">
        <v>0.348726860485198</v>
      </c>
      <c r="E412" s="0" t="n">
        <v>0.288226273492315</v>
      </c>
      <c r="F412" s="0" t="n">
        <v>1</v>
      </c>
      <c r="G412" s="0" t="n">
        <v>2020</v>
      </c>
    </row>
    <row r="413" customFormat="false" ht="15" hidden="false" customHeight="false" outlineLevel="0" collapsed="false">
      <c r="A413" s="0" t="s">
        <v>258</v>
      </c>
      <c r="B413" s="52" t="n">
        <v>43996</v>
      </c>
      <c r="C413" s="54" t="s">
        <v>590</v>
      </c>
      <c r="D413" s="0" t="n">
        <v>1</v>
      </c>
      <c r="E413" s="0" t="n">
        <v>0</v>
      </c>
      <c r="F413" s="0" t="n">
        <v>1</v>
      </c>
      <c r="G413" s="0" t="n">
        <v>2020</v>
      </c>
    </row>
    <row r="414" customFormat="false" ht="15" hidden="false" customHeight="false" outlineLevel="0" collapsed="false">
      <c r="A414" s="0" t="s">
        <v>258</v>
      </c>
      <c r="B414" s="52" t="n">
        <v>43996</v>
      </c>
      <c r="C414" s="54" t="s">
        <v>591</v>
      </c>
      <c r="D414" s="0" t="n">
        <v>0.564655026205682</v>
      </c>
      <c r="E414" s="0" t="n">
        <v>0.107027044328574</v>
      </c>
      <c r="F414" s="0" t="n">
        <v>1</v>
      </c>
      <c r="G414" s="0" t="n">
        <v>2020</v>
      </c>
    </row>
    <row r="415" customFormat="false" ht="15" hidden="false" customHeight="false" outlineLevel="0" collapsed="false">
      <c r="A415" s="0" t="s">
        <v>258</v>
      </c>
      <c r="B415" s="52" t="n">
        <v>43996</v>
      </c>
      <c r="C415" s="54" t="s">
        <v>592</v>
      </c>
      <c r="D415" s="0" t="n">
        <v>0.008078575235772</v>
      </c>
      <c r="E415" s="0" t="n">
        <v>0.0618251464741491</v>
      </c>
      <c r="F415" s="0" t="n">
        <v>1</v>
      </c>
      <c r="G415" s="0" t="n">
        <v>2020</v>
      </c>
    </row>
    <row r="416" customFormat="false" ht="15" hidden="false" customHeight="false" outlineLevel="0" collapsed="false">
      <c r="A416" s="0" t="s">
        <v>258</v>
      </c>
      <c r="B416" s="52" t="n">
        <v>43997</v>
      </c>
      <c r="C416" s="54" t="s">
        <v>590</v>
      </c>
      <c r="D416" s="0" t="n">
        <v>0.0082826825396392</v>
      </c>
      <c r="E416" s="0" t="n">
        <v>0.0890238293994089</v>
      </c>
      <c r="F416" s="0" t="n">
        <v>0</v>
      </c>
      <c r="G416" s="0" t="n">
        <v>2020</v>
      </c>
    </row>
    <row r="417" customFormat="false" ht="15" hidden="false" customHeight="false" outlineLevel="0" collapsed="false">
      <c r="A417" s="0" t="s">
        <v>258</v>
      </c>
      <c r="B417" s="52" t="n">
        <v>43997</v>
      </c>
      <c r="C417" s="54" t="s">
        <v>591</v>
      </c>
      <c r="D417" s="0" t="n">
        <v>0</v>
      </c>
      <c r="E417" s="0" t="n">
        <v>0.291523624323249</v>
      </c>
      <c r="F417" s="0" t="n">
        <v>0</v>
      </c>
      <c r="G417" s="0" t="n">
        <v>2020</v>
      </c>
    </row>
    <row r="418" customFormat="false" ht="15" hidden="false" customHeight="false" outlineLevel="0" collapsed="false">
      <c r="A418" s="0" t="s">
        <v>258</v>
      </c>
      <c r="B418" s="52" t="n">
        <v>43997</v>
      </c>
      <c r="C418" s="54" t="s">
        <v>592</v>
      </c>
      <c r="D418" s="0" t="n">
        <v>0.178818392644955</v>
      </c>
      <c r="E418" s="0" t="n">
        <v>0.0290010603142561</v>
      </c>
      <c r="F418" s="0" t="n">
        <v>0</v>
      </c>
      <c r="G418" s="0" t="n">
        <v>2020</v>
      </c>
    </row>
    <row r="419" customFormat="false" ht="15" hidden="false" customHeight="false" outlineLevel="0" collapsed="false">
      <c r="A419" s="0" t="s">
        <v>258</v>
      </c>
      <c r="B419" s="52" t="n">
        <v>43998</v>
      </c>
      <c r="C419" s="54" t="s">
        <v>590</v>
      </c>
      <c r="D419" s="0" t="n">
        <v>0.0028109745103372</v>
      </c>
      <c r="E419" s="0" t="n">
        <v>0.110523565089271</v>
      </c>
      <c r="F419" s="0" t="n">
        <v>0</v>
      </c>
      <c r="G419" s="0" t="n">
        <v>2020</v>
      </c>
    </row>
    <row r="420" customFormat="false" ht="15" hidden="false" customHeight="false" outlineLevel="0" collapsed="false">
      <c r="A420" s="0" t="s">
        <v>258</v>
      </c>
      <c r="B420" s="52" t="n">
        <v>43998</v>
      </c>
      <c r="C420" s="54" t="s">
        <v>591</v>
      </c>
      <c r="D420" s="0" t="n">
        <v>0.0362741709730591</v>
      </c>
      <c r="E420" s="0" t="n">
        <v>0.0577124910367931</v>
      </c>
      <c r="F420" s="0" t="n">
        <v>0</v>
      </c>
      <c r="G420" s="0" t="n">
        <v>2020</v>
      </c>
    </row>
    <row r="421" customFormat="false" ht="15" hidden="false" customHeight="false" outlineLevel="0" collapsed="false">
      <c r="A421" s="0" t="s">
        <v>258</v>
      </c>
      <c r="B421" s="52" t="n">
        <v>43998</v>
      </c>
      <c r="C421" s="54" t="s">
        <v>592</v>
      </c>
      <c r="D421" s="0" t="n">
        <v>0</v>
      </c>
      <c r="E421" s="0" t="n">
        <v>0.123416400586177</v>
      </c>
      <c r="F421" s="0" t="n">
        <v>0</v>
      </c>
      <c r="G421" s="0" t="n">
        <v>2020</v>
      </c>
    </row>
    <row r="422" customFormat="false" ht="15" hidden="false" customHeight="false" outlineLevel="0" collapsed="false">
      <c r="A422" s="0" t="s">
        <v>258</v>
      </c>
      <c r="B422" s="52" t="n">
        <v>43999</v>
      </c>
      <c r="C422" s="54" t="s">
        <v>590</v>
      </c>
      <c r="D422" s="0" t="n">
        <v>0.0658210574430901</v>
      </c>
      <c r="E422" s="0" t="n">
        <v>0.0581836400467251</v>
      </c>
      <c r="F422" s="0" t="n">
        <v>0</v>
      </c>
      <c r="G422" s="0" t="n">
        <v>2020</v>
      </c>
    </row>
    <row r="423" customFormat="false" ht="15" hidden="false" customHeight="false" outlineLevel="0" collapsed="false">
      <c r="A423" s="0" t="s">
        <v>258</v>
      </c>
      <c r="B423" s="52" t="n">
        <v>43999</v>
      </c>
      <c r="C423" s="54" t="s">
        <v>591</v>
      </c>
      <c r="D423" s="0" t="n">
        <v>0.0146341164603692</v>
      </c>
      <c r="E423" s="0" t="n">
        <v>0.0309563528849648</v>
      </c>
      <c r="F423" s="0" t="n">
        <v>0</v>
      </c>
      <c r="G423" s="0" t="n">
        <v>2020</v>
      </c>
    </row>
    <row r="424" customFormat="false" ht="15" hidden="false" customHeight="false" outlineLevel="0" collapsed="false">
      <c r="A424" s="0" t="s">
        <v>258</v>
      </c>
      <c r="B424" s="52" t="n">
        <v>43999</v>
      </c>
      <c r="C424" s="54" t="s">
        <v>592</v>
      </c>
      <c r="D424" s="0" t="n">
        <v>0.20958002407787</v>
      </c>
      <c r="E424" s="0" t="n">
        <v>0.167740826464672</v>
      </c>
      <c r="F424" s="0" t="n">
        <v>0</v>
      </c>
      <c r="G424" s="0" t="n">
        <v>2020</v>
      </c>
    </row>
    <row r="425" customFormat="false" ht="15" hidden="false" customHeight="false" outlineLevel="0" collapsed="false">
      <c r="A425" s="0" t="s">
        <v>258</v>
      </c>
      <c r="B425" s="52" t="n">
        <v>44000</v>
      </c>
      <c r="C425" s="54" t="s">
        <v>590</v>
      </c>
      <c r="D425" s="0" t="n">
        <v>0</v>
      </c>
      <c r="E425" s="0" t="n">
        <v>0.0347256343767693</v>
      </c>
      <c r="F425" s="0" t="n">
        <v>0</v>
      </c>
      <c r="G425" s="0" t="n">
        <v>2020</v>
      </c>
    </row>
    <row r="426" customFormat="false" ht="15" hidden="false" customHeight="false" outlineLevel="0" collapsed="false">
      <c r="A426" s="0" t="s">
        <v>258</v>
      </c>
      <c r="B426" s="52" t="n">
        <v>44000</v>
      </c>
      <c r="C426" s="54" t="s">
        <v>591</v>
      </c>
      <c r="D426" s="0" t="n">
        <v>0.0126481541868682</v>
      </c>
      <c r="E426" s="0" t="n">
        <v>0.195470791465595</v>
      </c>
      <c r="F426" s="0" t="n">
        <v>0</v>
      </c>
      <c r="G426" s="0" t="n">
        <v>2020</v>
      </c>
    </row>
    <row r="427" customFormat="false" ht="15" hidden="false" customHeight="false" outlineLevel="0" collapsed="false">
      <c r="A427" s="0" t="s">
        <v>258</v>
      </c>
      <c r="B427" s="52" t="n">
        <v>44000</v>
      </c>
      <c r="C427" s="54" t="s">
        <v>592</v>
      </c>
      <c r="D427" s="0" t="n">
        <v>0.0044226108231152</v>
      </c>
      <c r="E427" s="0" t="n">
        <v>0.033035198968889</v>
      </c>
      <c r="F427" s="0" t="n">
        <v>0</v>
      </c>
      <c r="G427" s="0" t="n">
        <v>2020</v>
      </c>
    </row>
    <row r="428" customFormat="false" ht="15" hidden="false" customHeight="false" outlineLevel="0" collapsed="false">
      <c r="A428" s="0" t="s">
        <v>258</v>
      </c>
      <c r="B428" s="52" t="n">
        <v>44001</v>
      </c>
      <c r="C428" s="54" t="s">
        <v>590</v>
      </c>
      <c r="D428" s="0" t="n">
        <v>0.0088786849960516</v>
      </c>
      <c r="E428" s="0" t="n">
        <v>0.165652084081525</v>
      </c>
      <c r="F428" s="0" t="n">
        <v>0</v>
      </c>
      <c r="G428" s="0" t="n">
        <v>2020</v>
      </c>
    </row>
    <row r="429" customFormat="false" ht="15" hidden="false" customHeight="false" outlineLevel="0" collapsed="false">
      <c r="A429" s="0" t="s">
        <v>258</v>
      </c>
      <c r="B429" s="52" t="n">
        <v>44001</v>
      </c>
      <c r="C429" s="54" t="s">
        <v>591</v>
      </c>
      <c r="D429" s="0" t="n">
        <v>0.0075645331615383</v>
      </c>
      <c r="E429" s="0" t="n">
        <v>0.385396831517348</v>
      </c>
      <c r="F429" s="0" t="n">
        <v>0</v>
      </c>
      <c r="G429" s="0" t="n">
        <v>2020</v>
      </c>
    </row>
    <row r="430" customFormat="false" ht="15" hidden="false" customHeight="false" outlineLevel="0" collapsed="false">
      <c r="A430" s="0" t="s">
        <v>258</v>
      </c>
      <c r="B430" s="52" t="n">
        <v>44001</v>
      </c>
      <c r="C430" s="54" t="s">
        <v>592</v>
      </c>
      <c r="D430" s="0" t="n">
        <v>0</v>
      </c>
      <c r="E430" s="0" t="n">
        <v>0.161919088634478</v>
      </c>
      <c r="F430" s="0" t="n">
        <v>0</v>
      </c>
      <c r="G430" s="0" t="n">
        <v>2020</v>
      </c>
    </row>
    <row r="431" customFormat="false" ht="15" hidden="false" customHeight="false" outlineLevel="0" collapsed="false">
      <c r="A431" s="0" t="s">
        <v>258</v>
      </c>
      <c r="B431" s="52" t="n">
        <v>44002</v>
      </c>
      <c r="C431" s="54" t="s">
        <v>590</v>
      </c>
      <c r="D431" s="0" t="n">
        <v>0.284723385125733</v>
      </c>
      <c r="E431" s="0" t="n">
        <v>0.122374695485409</v>
      </c>
      <c r="F431" s="0" t="n">
        <v>1</v>
      </c>
      <c r="G431" s="0" t="n">
        <v>2020</v>
      </c>
    </row>
    <row r="432" customFormat="false" ht="15" hidden="false" customHeight="false" outlineLevel="0" collapsed="false">
      <c r="A432" s="0" t="s">
        <v>258</v>
      </c>
      <c r="B432" s="52" t="n">
        <v>44003</v>
      </c>
      <c r="C432" s="54" t="s">
        <v>590</v>
      </c>
      <c r="D432" s="0" t="n">
        <v>1</v>
      </c>
      <c r="E432" s="0" t="n">
        <v>0</v>
      </c>
      <c r="F432" s="0" t="n">
        <v>1</v>
      </c>
      <c r="G432" s="0" t="n">
        <v>2020</v>
      </c>
    </row>
    <row r="433" customFormat="false" ht="15" hidden="false" customHeight="false" outlineLevel="0" collapsed="false">
      <c r="A433" s="0" t="s">
        <v>258</v>
      </c>
      <c r="B433" s="52" t="n">
        <v>44003</v>
      </c>
      <c r="C433" s="54" t="s">
        <v>591</v>
      </c>
      <c r="D433" s="0" t="n">
        <v>0.172047383912792</v>
      </c>
      <c r="E433" s="0" t="n">
        <v>0.106650982595628</v>
      </c>
      <c r="F433" s="0" t="n">
        <v>1</v>
      </c>
      <c r="G433" s="0" t="n">
        <v>2020</v>
      </c>
    </row>
    <row r="434" customFormat="false" ht="15" hidden="false" customHeight="false" outlineLevel="0" collapsed="false">
      <c r="A434" s="0" t="s">
        <v>258</v>
      </c>
      <c r="B434" s="52" t="n">
        <v>44003</v>
      </c>
      <c r="C434" s="54" t="s">
        <v>592</v>
      </c>
      <c r="D434" s="0" t="n">
        <v>0</v>
      </c>
      <c r="E434" s="0" t="n">
        <v>0.0408505835747679</v>
      </c>
      <c r="F434" s="0" t="n">
        <v>1</v>
      </c>
      <c r="G434" s="0" t="n">
        <v>2020</v>
      </c>
    </row>
    <row r="435" customFormat="false" ht="15" hidden="false" customHeight="false" outlineLevel="0" collapsed="false">
      <c r="A435" s="0" t="s">
        <v>258</v>
      </c>
      <c r="B435" s="52" t="n">
        <v>44004</v>
      </c>
      <c r="C435" s="54" t="s">
        <v>590</v>
      </c>
      <c r="D435" s="0" t="n">
        <v>0</v>
      </c>
      <c r="E435" s="0" t="n">
        <v>0.214412459915929</v>
      </c>
      <c r="F435" s="0" t="n">
        <v>0</v>
      </c>
      <c r="G435" s="0" t="n">
        <v>2020</v>
      </c>
    </row>
    <row r="436" customFormat="false" ht="15" hidden="false" customHeight="false" outlineLevel="0" collapsed="false">
      <c r="A436" s="0" t="s">
        <v>258</v>
      </c>
      <c r="B436" s="52" t="n">
        <v>44005</v>
      </c>
      <c r="C436" s="54" t="s">
        <v>591</v>
      </c>
      <c r="D436" s="0" t="n">
        <v>0.370298371768318</v>
      </c>
      <c r="E436" s="0" t="n">
        <v>0.0576592683091955</v>
      </c>
      <c r="F436" s="0" t="n">
        <v>0</v>
      </c>
      <c r="G436" s="0" t="n">
        <v>2020</v>
      </c>
    </row>
    <row r="437" customFormat="false" ht="15" hidden="false" customHeight="false" outlineLevel="0" collapsed="false">
      <c r="A437" s="0" t="s">
        <v>258</v>
      </c>
      <c r="B437" s="52" t="n">
        <v>44005</v>
      </c>
      <c r="C437" s="54" t="s">
        <v>592</v>
      </c>
      <c r="D437" s="0" t="n">
        <v>0.112018740699655</v>
      </c>
      <c r="E437" s="0" t="n">
        <v>0.0915559120506258</v>
      </c>
      <c r="F437" s="0" t="n">
        <v>0</v>
      </c>
      <c r="G437" s="0" t="n">
        <v>2020</v>
      </c>
    </row>
    <row r="438" customFormat="false" ht="15" hidden="false" customHeight="false" outlineLevel="0" collapsed="false">
      <c r="A438" s="0" t="s">
        <v>258</v>
      </c>
      <c r="B438" s="52" t="n">
        <v>44006</v>
      </c>
      <c r="C438" s="54" t="s">
        <v>590</v>
      </c>
      <c r="D438" s="0" t="n">
        <v>0.0951924590153283</v>
      </c>
      <c r="E438" s="0" t="n">
        <v>0.187930807387104</v>
      </c>
      <c r="F438" s="0" t="n">
        <v>0</v>
      </c>
      <c r="G438" s="0" t="n">
        <v>2020</v>
      </c>
    </row>
    <row r="439" customFormat="false" ht="15" hidden="false" customHeight="false" outlineLevel="0" collapsed="false">
      <c r="A439" s="0" t="s">
        <v>258</v>
      </c>
      <c r="B439" s="52" t="n">
        <v>44006</v>
      </c>
      <c r="C439" s="54" t="s">
        <v>591</v>
      </c>
      <c r="D439" s="0" t="n">
        <v>0.0574948032189915</v>
      </c>
      <c r="E439" s="0" t="n">
        <v>0.143067600831987</v>
      </c>
      <c r="F439" s="0" t="n">
        <v>0</v>
      </c>
      <c r="G439" s="0" t="n">
        <v>2020</v>
      </c>
    </row>
    <row r="440" customFormat="false" ht="15" hidden="false" customHeight="false" outlineLevel="0" collapsed="false">
      <c r="A440" s="0" t="s">
        <v>258</v>
      </c>
      <c r="B440" s="52" t="n">
        <v>44006</v>
      </c>
      <c r="C440" s="54" t="s">
        <v>592</v>
      </c>
      <c r="D440" s="0" t="n">
        <v>0</v>
      </c>
      <c r="E440" s="0" t="n">
        <v>0.0350097417419006</v>
      </c>
      <c r="F440" s="0" t="n">
        <v>0</v>
      </c>
      <c r="G440" s="0" t="n">
        <v>2020</v>
      </c>
    </row>
    <row r="441" customFormat="false" ht="15" hidden="false" customHeight="false" outlineLevel="0" collapsed="false">
      <c r="A441" s="0" t="s">
        <v>258</v>
      </c>
      <c r="B441" s="52" t="n">
        <v>44007</v>
      </c>
      <c r="C441" s="54" t="s">
        <v>590</v>
      </c>
      <c r="D441" s="0" t="n">
        <v>0.009279857227303</v>
      </c>
      <c r="E441" s="0" t="n">
        <v>0.0351222970797828</v>
      </c>
      <c r="F441" s="0" t="n">
        <v>0</v>
      </c>
      <c r="G441" s="0" t="n">
        <v>2020</v>
      </c>
    </row>
    <row r="442" customFormat="false" ht="15" hidden="false" customHeight="false" outlineLevel="0" collapsed="false">
      <c r="A442" s="0" t="s">
        <v>258</v>
      </c>
      <c r="B442" s="52" t="n">
        <v>44007</v>
      </c>
      <c r="C442" s="54" t="s">
        <v>591</v>
      </c>
      <c r="D442" s="0" t="n">
        <v>0.0409996519350919</v>
      </c>
      <c r="E442" s="0" t="n">
        <v>0.0463832457497986</v>
      </c>
      <c r="F442" s="0" t="n">
        <v>0</v>
      </c>
      <c r="G442" s="0" t="n">
        <v>2020</v>
      </c>
    </row>
    <row r="443" customFormat="false" ht="15" hidden="false" customHeight="false" outlineLevel="0" collapsed="false">
      <c r="A443" s="0" t="s">
        <v>258</v>
      </c>
      <c r="B443" s="52" t="n">
        <v>44007</v>
      </c>
      <c r="C443" s="54" t="s">
        <v>592</v>
      </c>
      <c r="D443" s="0" t="n">
        <v>0.622148545098257</v>
      </c>
      <c r="E443" s="0" t="n">
        <v>0.051938357319801</v>
      </c>
      <c r="F443" s="0" t="n">
        <v>0</v>
      </c>
      <c r="G443" s="0" t="n">
        <v>2020</v>
      </c>
    </row>
    <row r="444" customFormat="false" ht="15" hidden="false" customHeight="false" outlineLevel="0" collapsed="false">
      <c r="A444" s="0" t="s">
        <v>258</v>
      </c>
      <c r="B444" s="52" t="n">
        <v>44008</v>
      </c>
      <c r="C444" s="54" t="s">
        <v>590</v>
      </c>
      <c r="D444" s="0" t="n">
        <v>0.0847632714165586</v>
      </c>
      <c r="E444" s="0" t="n">
        <v>0.0722500631778689</v>
      </c>
      <c r="F444" s="0" t="n">
        <v>0</v>
      </c>
      <c r="G444" s="0" t="n">
        <v>2020</v>
      </c>
    </row>
    <row r="445" customFormat="false" ht="15" hidden="false" customHeight="false" outlineLevel="0" collapsed="false">
      <c r="A445" s="0" t="s">
        <v>258</v>
      </c>
      <c r="B445" s="52" t="n">
        <v>44008</v>
      </c>
      <c r="C445" s="54" t="s">
        <v>591</v>
      </c>
      <c r="D445" s="0" t="n">
        <v>0.189027045544888</v>
      </c>
      <c r="E445" s="0" t="n">
        <v>0.0520408983417981</v>
      </c>
      <c r="F445" s="0" t="n">
        <v>0</v>
      </c>
      <c r="G445" s="0" t="n">
        <v>2020</v>
      </c>
    </row>
    <row r="446" customFormat="false" ht="15" hidden="false" customHeight="false" outlineLevel="0" collapsed="false">
      <c r="A446" s="0" t="s">
        <v>258</v>
      </c>
      <c r="B446" s="52" t="n">
        <v>44008</v>
      </c>
      <c r="C446" s="54" t="s">
        <v>592</v>
      </c>
      <c r="D446" s="0" t="n">
        <v>0.999064386745274</v>
      </c>
      <c r="E446" s="0" t="n">
        <v>0</v>
      </c>
      <c r="F446" s="0" t="n">
        <v>0</v>
      </c>
      <c r="G446" s="0" t="n">
        <v>2020</v>
      </c>
    </row>
    <row r="447" customFormat="false" ht="15" hidden="false" customHeight="false" outlineLevel="0" collapsed="false">
      <c r="A447" s="0" t="s">
        <v>258</v>
      </c>
      <c r="B447" s="52" t="n">
        <v>44009</v>
      </c>
      <c r="C447" s="54" t="s">
        <v>590</v>
      </c>
      <c r="D447" s="0" t="n">
        <v>0.907898577214519</v>
      </c>
      <c r="E447" s="0" t="n">
        <v>0.0164766565914387</v>
      </c>
      <c r="F447" s="0" t="n">
        <v>1</v>
      </c>
      <c r="G447" s="0" t="n">
        <v>2020</v>
      </c>
    </row>
    <row r="448" customFormat="false" ht="15" hidden="false" customHeight="false" outlineLevel="0" collapsed="false">
      <c r="A448" s="0" t="s">
        <v>258</v>
      </c>
      <c r="B448" s="52" t="n">
        <v>44010</v>
      </c>
      <c r="C448" s="54" t="s">
        <v>590</v>
      </c>
      <c r="D448" s="0" t="n">
        <v>1</v>
      </c>
      <c r="E448" s="0" t="n">
        <v>0</v>
      </c>
      <c r="F448" s="0" t="n">
        <v>1</v>
      </c>
      <c r="G448" s="0" t="n">
        <v>2020</v>
      </c>
    </row>
    <row r="449" customFormat="false" ht="15" hidden="false" customHeight="false" outlineLevel="0" collapsed="false">
      <c r="A449" s="0" t="s">
        <v>258</v>
      </c>
      <c r="B449" s="52" t="n">
        <v>44010</v>
      </c>
      <c r="C449" s="54" t="s">
        <v>591</v>
      </c>
      <c r="D449" s="0" t="n">
        <v>0.0732313698848073</v>
      </c>
      <c r="E449" s="0" t="n">
        <v>0</v>
      </c>
      <c r="F449" s="0" t="n">
        <v>1</v>
      </c>
      <c r="G449" s="0" t="n">
        <v>2020</v>
      </c>
    </row>
    <row r="450" customFormat="false" ht="15" hidden="false" customHeight="false" outlineLevel="0" collapsed="false">
      <c r="A450" s="0" t="s">
        <v>258</v>
      </c>
      <c r="B450" s="52" t="n">
        <v>44010</v>
      </c>
      <c r="C450" s="54" t="s">
        <v>592</v>
      </c>
      <c r="D450" s="0" t="n">
        <v>0.0138742489666098</v>
      </c>
      <c r="E450" s="0" t="n">
        <v>0.0625880516343028</v>
      </c>
      <c r="F450" s="0" t="n">
        <v>1</v>
      </c>
      <c r="G450" s="0" t="n">
        <v>2020</v>
      </c>
    </row>
    <row r="451" customFormat="false" ht="15" hidden="false" customHeight="false" outlineLevel="0" collapsed="false">
      <c r="A451" s="0" t="s">
        <v>258</v>
      </c>
      <c r="B451" s="52" t="n">
        <v>44011</v>
      </c>
      <c r="C451" s="54" t="s">
        <v>590</v>
      </c>
      <c r="D451" s="0" t="n">
        <v>0.0385087320176123</v>
      </c>
      <c r="E451" s="0" t="n">
        <v>0.0493812117848014</v>
      </c>
      <c r="F451" s="0" t="n">
        <v>0</v>
      </c>
      <c r="G451" s="0" t="n">
        <v>2020</v>
      </c>
    </row>
    <row r="452" customFormat="false" ht="15" hidden="false" customHeight="false" outlineLevel="0" collapsed="false">
      <c r="A452" s="0" t="s">
        <v>258</v>
      </c>
      <c r="B452" s="52" t="n">
        <v>44011</v>
      </c>
      <c r="C452" s="54" t="s">
        <v>591</v>
      </c>
      <c r="D452" s="0" t="n">
        <v>0.0269745337012454</v>
      </c>
      <c r="E452" s="0" t="n">
        <v>0.121088262229159</v>
      </c>
      <c r="F452" s="0" t="n">
        <v>0</v>
      </c>
      <c r="G452" s="0" t="n">
        <v>2020</v>
      </c>
    </row>
    <row r="453" customFormat="false" ht="15" hidden="false" customHeight="false" outlineLevel="0" collapsed="false">
      <c r="A453" s="0" t="s">
        <v>258</v>
      </c>
      <c r="B453" s="52" t="n">
        <v>44011</v>
      </c>
      <c r="C453" s="54" t="s">
        <v>592</v>
      </c>
      <c r="D453" s="0" t="n">
        <v>0.109269210432795</v>
      </c>
      <c r="E453" s="0" t="n">
        <v>0.0608251478759712</v>
      </c>
      <c r="F453" s="0" t="n">
        <v>0</v>
      </c>
      <c r="G453" s="0" t="n">
        <v>2020</v>
      </c>
    </row>
    <row r="454" customFormat="false" ht="15" hidden="false" customHeight="false" outlineLevel="0" collapsed="false">
      <c r="A454" s="0" t="s">
        <v>258</v>
      </c>
      <c r="B454" s="52" t="n">
        <v>44012</v>
      </c>
      <c r="C454" s="54" t="s">
        <v>590</v>
      </c>
      <c r="D454" s="0" t="n">
        <v>0.10478228730956</v>
      </c>
      <c r="E454" s="0" t="n">
        <v>0.0736500953988955</v>
      </c>
      <c r="F454" s="0" t="n">
        <v>0</v>
      </c>
      <c r="G454" s="0" t="n">
        <v>2020</v>
      </c>
    </row>
    <row r="455" customFormat="false" ht="15" hidden="false" customHeight="false" outlineLevel="0" collapsed="false">
      <c r="A455" s="0" t="s">
        <v>258</v>
      </c>
      <c r="B455" s="52" t="n">
        <v>44012</v>
      </c>
      <c r="C455" s="54" t="s">
        <v>591</v>
      </c>
      <c r="D455" s="0" t="n">
        <v>0.000830160238411</v>
      </c>
      <c r="E455" s="0" t="n">
        <v>0.0230551918958723</v>
      </c>
      <c r="F455" s="0" t="n">
        <v>0</v>
      </c>
      <c r="G455" s="0" t="n">
        <v>2020</v>
      </c>
    </row>
    <row r="456" customFormat="false" ht="15" hidden="false" customHeight="false" outlineLevel="0" collapsed="false">
      <c r="A456" s="0" t="s">
        <v>258</v>
      </c>
      <c r="B456" s="52" t="n">
        <v>44012</v>
      </c>
      <c r="C456" s="54" t="s">
        <v>592</v>
      </c>
      <c r="D456" s="0" t="n">
        <v>0.38949112476175</v>
      </c>
      <c r="E456" s="0" t="n">
        <v>0.022646257474747</v>
      </c>
      <c r="F456" s="0" t="n">
        <v>0</v>
      </c>
      <c r="G456" s="0" t="n">
        <v>2020</v>
      </c>
    </row>
    <row r="457" customFormat="false" ht="15" hidden="false" customHeight="false" outlineLevel="0" collapsed="false">
      <c r="A457" s="0" t="s">
        <v>258</v>
      </c>
      <c r="B457" s="52" t="n">
        <v>44013</v>
      </c>
      <c r="C457" s="54" t="s">
        <v>590</v>
      </c>
      <c r="D457" s="0" t="n">
        <v>0.583237627165572</v>
      </c>
      <c r="E457" s="0" t="n">
        <v>0.0327593263378342</v>
      </c>
      <c r="F457" s="0" t="n">
        <v>0</v>
      </c>
      <c r="G457" s="0" t="n">
        <v>2020</v>
      </c>
    </row>
    <row r="458" customFormat="false" ht="15" hidden="false" customHeight="false" outlineLevel="0" collapsed="false">
      <c r="A458" s="0" t="s">
        <v>258</v>
      </c>
      <c r="B458" s="52" t="n">
        <v>44013</v>
      </c>
      <c r="C458" s="54" t="s">
        <v>591</v>
      </c>
      <c r="D458" s="0" t="n">
        <v>0.0384879014229605</v>
      </c>
      <c r="E458" s="0" t="n">
        <v>0.0262956781640638</v>
      </c>
      <c r="F458" s="0" t="n">
        <v>0</v>
      </c>
      <c r="G458" s="0" t="n">
        <v>2020</v>
      </c>
    </row>
    <row r="459" customFormat="false" ht="15" hidden="false" customHeight="false" outlineLevel="0" collapsed="false">
      <c r="A459" s="0" t="s">
        <v>258</v>
      </c>
      <c r="B459" s="52" t="n">
        <v>44013</v>
      </c>
      <c r="C459" s="54" t="s">
        <v>592</v>
      </c>
      <c r="D459" s="0" t="n">
        <v>0.0027706214493547</v>
      </c>
      <c r="E459" s="0" t="n">
        <v>0.0911580720220195</v>
      </c>
      <c r="F459" s="0" t="n">
        <v>0</v>
      </c>
      <c r="G459" s="0" t="n">
        <v>2020</v>
      </c>
    </row>
    <row r="460" customFormat="false" ht="15" hidden="false" customHeight="false" outlineLevel="0" collapsed="false">
      <c r="A460" s="0" t="s">
        <v>258</v>
      </c>
      <c r="B460" s="52" t="n">
        <v>44014</v>
      </c>
      <c r="C460" s="54" t="s">
        <v>590</v>
      </c>
      <c r="D460" s="0" t="n">
        <v>0.0655003001109368</v>
      </c>
      <c r="E460" s="0" t="n">
        <v>0.124635322234288</v>
      </c>
      <c r="F460" s="0" t="n">
        <v>0</v>
      </c>
      <c r="G460" s="0" t="n">
        <v>2020</v>
      </c>
    </row>
    <row r="461" customFormat="false" ht="15" hidden="false" customHeight="false" outlineLevel="0" collapsed="false">
      <c r="A461" s="0" t="s">
        <v>258</v>
      </c>
      <c r="B461" s="52" t="n">
        <v>44014</v>
      </c>
      <c r="C461" s="54" t="s">
        <v>591</v>
      </c>
      <c r="D461" s="0" t="n">
        <v>0.0482673493130299</v>
      </c>
      <c r="E461" s="0" t="n">
        <v>0.0970268266484451</v>
      </c>
      <c r="F461" s="0" t="n">
        <v>0</v>
      </c>
      <c r="G461" s="0" t="n">
        <v>2020</v>
      </c>
    </row>
    <row r="462" customFormat="false" ht="15" hidden="false" customHeight="false" outlineLevel="0" collapsed="false">
      <c r="A462" s="0" t="s">
        <v>258</v>
      </c>
      <c r="B462" s="52" t="n">
        <v>44014</v>
      </c>
      <c r="C462" s="54" t="s">
        <v>592</v>
      </c>
      <c r="D462" s="0" t="n">
        <v>0.0460166313416944</v>
      </c>
      <c r="E462" s="0" t="n">
        <v>0.0222252858025783</v>
      </c>
      <c r="F462" s="0" t="n">
        <v>0</v>
      </c>
      <c r="G462" s="0" t="n">
        <v>2020</v>
      </c>
    </row>
    <row r="463" customFormat="false" ht="15" hidden="false" customHeight="false" outlineLevel="0" collapsed="false">
      <c r="A463" s="0" t="s">
        <v>258</v>
      </c>
      <c r="B463" s="52" t="n">
        <v>44015</v>
      </c>
      <c r="C463" s="54" t="s">
        <v>590</v>
      </c>
      <c r="D463" s="0" t="n">
        <v>0.0073968337618578</v>
      </c>
      <c r="E463" s="0" t="n">
        <v>0.111466728655624</v>
      </c>
      <c r="F463" s="0" t="n">
        <v>0</v>
      </c>
      <c r="G463" s="0" t="n">
        <v>2020</v>
      </c>
    </row>
    <row r="464" customFormat="false" ht="15" hidden="false" customHeight="false" outlineLevel="0" collapsed="false">
      <c r="A464" s="0" t="s">
        <v>258</v>
      </c>
      <c r="B464" s="52" t="n">
        <v>44015</v>
      </c>
      <c r="C464" s="54" t="s">
        <v>591</v>
      </c>
      <c r="D464" s="0" t="n">
        <v>0.0139929241091862</v>
      </c>
      <c r="E464" s="0" t="n">
        <v>0.0992909108113118</v>
      </c>
      <c r="F464" s="0" t="n">
        <v>0</v>
      </c>
      <c r="G464" s="0" t="n">
        <v>2020</v>
      </c>
    </row>
    <row r="465" customFormat="false" ht="15" hidden="false" customHeight="false" outlineLevel="0" collapsed="false">
      <c r="A465" s="0" t="s">
        <v>258</v>
      </c>
      <c r="B465" s="52" t="n">
        <v>44015</v>
      </c>
      <c r="C465" s="54" t="s">
        <v>592</v>
      </c>
      <c r="D465" s="0" t="n">
        <v>0.0046712787067734</v>
      </c>
      <c r="E465" s="0" t="n">
        <v>0.0818443648210439</v>
      </c>
      <c r="F465" s="0" t="n">
        <v>0</v>
      </c>
      <c r="G465" s="0" t="n">
        <v>2020</v>
      </c>
    </row>
    <row r="466" customFormat="false" ht="15" hidden="false" customHeight="false" outlineLevel="0" collapsed="false">
      <c r="A466" s="0" t="s">
        <v>258</v>
      </c>
      <c r="B466" s="52" t="n">
        <v>44016</v>
      </c>
      <c r="C466" s="54" t="s">
        <v>590</v>
      </c>
      <c r="D466" s="0" t="n">
        <v>0.60636474565163</v>
      </c>
      <c r="E466" s="0" t="n">
        <v>0.0206261911126824</v>
      </c>
      <c r="F466" s="0" t="n">
        <v>1</v>
      </c>
      <c r="G466" s="0" t="n">
        <v>2020</v>
      </c>
    </row>
    <row r="467" customFormat="false" ht="15" hidden="false" customHeight="false" outlineLevel="0" collapsed="false">
      <c r="A467" s="0" t="s">
        <v>258</v>
      </c>
      <c r="B467" s="52" t="n">
        <v>44017</v>
      </c>
      <c r="C467" s="54" t="s">
        <v>590</v>
      </c>
      <c r="D467" s="0" t="n">
        <v>1</v>
      </c>
      <c r="E467" s="0" t="n">
        <v>0</v>
      </c>
      <c r="F467" s="0" t="n">
        <v>1</v>
      </c>
      <c r="G467" s="0" t="n">
        <v>2020</v>
      </c>
    </row>
    <row r="468" customFormat="false" ht="15" hidden="false" customHeight="false" outlineLevel="0" collapsed="false">
      <c r="A468" s="0" t="s">
        <v>258</v>
      </c>
      <c r="B468" s="52" t="n">
        <v>44017</v>
      </c>
      <c r="C468" s="54" t="s">
        <v>592</v>
      </c>
      <c r="D468" s="0" t="n">
        <v>0.116826038786293</v>
      </c>
      <c r="E468" s="0" t="n">
        <v>0.107486683413984</v>
      </c>
      <c r="F468" s="0" t="n">
        <v>1</v>
      </c>
      <c r="G468" s="0" t="n">
        <v>2020</v>
      </c>
    </row>
    <row r="469" customFormat="false" ht="15" hidden="false" customHeight="false" outlineLevel="0" collapsed="false">
      <c r="A469" s="0" t="s">
        <v>258</v>
      </c>
      <c r="B469" s="52" t="n">
        <v>44018</v>
      </c>
      <c r="C469" s="54" t="s">
        <v>590</v>
      </c>
      <c r="D469" s="0" t="n">
        <v>0</v>
      </c>
      <c r="E469" s="0" t="n">
        <v>0.16035023092704</v>
      </c>
      <c r="F469" s="0" t="n">
        <v>0</v>
      </c>
      <c r="G469" s="0" t="n">
        <v>2020</v>
      </c>
    </row>
    <row r="470" customFormat="false" ht="15" hidden="false" customHeight="false" outlineLevel="0" collapsed="false">
      <c r="A470" s="0" t="s">
        <v>258</v>
      </c>
      <c r="B470" s="52" t="n">
        <v>44018</v>
      </c>
      <c r="C470" s="54" t="s">
        <v>591</v>
      </c>
      <c r="D470" s="0" t="n">
        <v>0</v>
      </c>
      <c r="E470" s="0" t="n">
        <v>0.0971837559906714</v>
      </c>
      <c r="F470" s="0" t="n">
        <v>0</v>
      </c>
      <c r="G470" s="0" t="n">
        <v>2020</v>
      </c>
    </row>
    <row r="471" customFormat="false" ht="15" hidden="false" customHeight="false" outlineLevel="0" collapsed="false">
      <c r="A471" s="0" t="s">
        <v>258</v>
      </c>
      <c r="B471" s="52" t="n">
        <v>44018</v>
      </c>
      <c r="C471" s="54" t="s">
        <v>592</v>
      </c>
      <c r="D471" s="0" t="n">
        <v>0.0894999934794792</v>
      </c>
      <c r="E471" s="0" t="n">
        <v>0.103800433761399</v>
      </c>
      <c r="F471" s="0" t="n">
        <v>0</v>
      </c>
      <c r="G471" s="0" t="n">
        <v>2020</v>
      </c>
    </row>
    <row r="472" customFormat="false" ht="15" hidden="false" customHeight="false" outlineLevel="0" collapsed="false">
      <c r="A472" s="0" t="s">
        <v>258</v>
      </c>
      <c r="B472" s="52" t="n">
        <v>44019</v>
      </c>
      <c r="C472" s="54" t="s">
        <v>590</v>
      </c>
      <c r="D472" s="0" t="n">
        <v>0.0093513457530368</v>
      </c>
      <c r="E472" s="0" t="n">
        <v>0.140550845873961</v>
      </c>
      <c r="F472" s="0" t="n">
        <v>0</v>
      </c>
      <c r="G472" s="0" t="n">
        <v>2020</v>
      </c>
    </row>
    <row r="473" customFormat="false" ht="15" hidden="false" customHeight="false" outlineLevel="0" collapsed="false">
      <c r="A473" s="0" t="s">
        <v>258</v>
      </c>
      <c r="B473" s="52" t="n">
        <v>44019</v>
      </c>
      <c r="C473" s="54" t="s">
        <v>591</v>
      </c>
      <c r="D473" s="0" t="n">
        <v>0.0106957102734033</v>
      </c>
      <c r="E473" s="0" t="n">
        <v>0.052817338508794</v>
      </c>
      <c r="F473" s="0" t="n">
        <v>0</v>
      </c>
      <c r="G473" s="0" t="n">
        <v>2020</v>
      </c>
    </row>
    <row r="474" customFormat="false" ht="15" hidden="false" customHeight="false" outlineLevel="0" collapsed="false">
      <c r="A474" s="0" t="s">
        <v>258</v>
      </c>
      <c r="B474" s="52" t="n">
        <v>44019</v>
      </c>
      <c r="C474" s="54" t="s">
        <v>592</v>
      </c>
      <c r="D474" s="0" t="n">
        <v>0.029433158955944</v>
      </c>
      <c r="E474" s="0" t="n">
        <v>0.1600306056105</v>
      </c>
      <c r="F474" s="0" t="n">
        <v>0</v>
      </c>
      <c r="G474" s="0" t="n">
        <v>2020</v>
      </c>
    </row>
    <row r="475" customFormat="false" ht="15" hidden="false" customHeight="false" outlineLevel="0" collapsed="false">
      <c r="A475" s="0" t="s">
        <v>258</v>
      </c>
      <c r="B475" s="52" t="n">
        <v>44020</v>
      </c>
      <c r="C475" s="54" t="s">
        <v>590</v>
      </c>
      <c r="D475" s="0" t="n">
        <v>0.0376927061262422</v>
      </c>
      <c r="E475" s="0" t="n">
        <v>0.141693765586335</v>
      </c>
      <c r="F475" s="0" t="n">
        <v>0</v>
      </c>
      <c r="G475" s="0" t="n">
        <v>2020</v>
      </c>
    </row>
    <row r="476" customFormat="false" ht="15" hidden="false" customHeight="false" outlineLevel="0" collapsed="false">
      <c r="A476" s="0" t="s">
        <v>258</v>
      </c>
      <c r="B476" s="52" t="n">
        <v>44020</v>
      </c>
      <c r="C476" s="54" t="s">
        <v>591</v>
      </c>
      <c r="D476" s="0" t="n">
        <v>0.0938501771677906</v>
      </c>
      <c r="E476" s="0" t="n">
        <v>0.0813083497628012</v>
      </c>
      <c r="F476" s="0" t="n">
        <v>0</v>
      </c>
      <c r="G476" s="0" t="n">
        <v>2020</v>
      </c>
    </row>
    <row r="477" customFormat="false" ht="15" hidden="false" customHeight="false" outlineLevel="0" collapsed="false">
      <c r="A477" s="0" t="s">
        <v>258</v>
      </c>
      <c r="B477" s="52" t="n">
        <v>44020</v>
      </c>
      <c r="C477" s="54" t="s">
        <v>592</v>
      </c>
      <c r="D477" s="0" t="n">
        <v>0.0070584805004528</v>
      </c>
      <c r="E477" s="0" t="n">
        <v>0.152783559061781</v>
      </c>
      <c r="F477" s="0" t="n">
        <v>0</v>
      </c>
      <c r="G477" s="0" t="n">
        <v>2020</v>
      </c>
    </row>
    <row r="478" customFormat="false" ht="15" hidden="false" customHeight="false" outlineLevel="0" collapsed="false">
      <c r="A478" s="0" t="s">
        <v>258</v>
      </c>
      <c r="B478" s="52" t="n">
        <v>44021</v>
      </c>
      <c r="C478" s="54" t="s">
        <v>590</v>
      </c>
      <c r="D478" s="0" t="n">
        <v>0</v>
      </c>
      <c r="E478" s="0" t="n">
        <v>0.139968209846071</v>
      </c>
      <c r="F478" s="0" t="n">
        <v>0</v>
      </c>
      <c r="G478" s="0" t="n">
        <v>2020</v>
      </c>
    </row>
    <row r="479" customFormat="false" ht="15" hidden="false" customHeight="false" outlineLevel="0" collapsed="false">
      <c r="A479" s="0" t="s">
        <v>258</v>
      </c>
      <c r="B479" s="52" t="n">
        <v>44021</v>
      </c>
      <c r="C479" s="54" t="s">
        <v>591</v>
      </c>
      <c r="D479" s="0" t="n">
        <v>0</v>
      </c>
      <c r="E479" s="0" t="n">
        <v>0.0564889849912591</v>
      </c>
      <c r="F479" s="0" t="n">
        <v>0</v>
      </c>
      <c r="G479" s="0" t="n">
        <v>2020</v>
      </c>
    </row>
    <row r="480" customFormat="false" ht="15" hidden="false" customHeight="false" outlineLevel="0" collapsed="false">
      <c r="A480" s="0" t="s">
        <v>258</v>
      </c>
      <c r="B480" s="52" t="n">
        <v>44021</v>
      </c>
      <c r="C480" s="54" t="s">
        <v>592</v>
      </c>
      <c r="D480" s="0" t="n">
        <v>0.115858558188376</v>
      </c>
      <c r="E480" s="0" t="n">
        <v>0.144891613021047</v>
      </c>
      <c r="F480" s="0" t="n">
        <v>0</v>
      </c>
      <c r="G480" s="0" t="n">
        <v>2020</v>
      </c>
    </row>
    <row r="481" customFormat="false" ht="15" hidden="false" customHeight="false" outlineLevel="0" collapsed="false">
      <c r="A481" s="0" t="s">
        <v>258</v>
      </c>
      <c r="B481" s="52" t="n">
        <v>44022</v>
      </c>
      <c r="C481" s="54" t="s">
        <v>590</v>
      </c>
      <c r="D481" s="0" t="n">
        <v>0.270826540314291</v>
      </c>
      <c r="E481" s="0" t="n">
        <v>0.13988594904636</v>
      </c>
      <c r="F481" s="0" t="n">
        <v>0</v>
      </c>
      <c r="G481" s="0" t="n">
        <v>2020</v>
      </c>
    </row>
    <row r="482" customFormat="false" ht="15" hidden="false" customHeight="false" outlineLevel="0" collapsed="false">
      <c r="A482" s="0" t="s">
        <v>258</v>
      </c>
      <c r="B482" s="52" t="n">
        <v>44022</v>
      </c>
      <c r="C482" s="54" t="s">
        <v>591</v>
      </c>
      <c r="D482" s="0" t="n">
        <v>0.0010890618331368</v>
      </c>
      <c r="E482" s="0" t="n">
        <v>0.0409062530505059</v>
      </c>
      <c r="F482" s="0" t="n">
        <v>0</v>
      </c>
      <c r="G482" s="0" t="n">
        <v>2020</v>
      </c>
    </row>
    <row r="483" customFormat="false" ht="15" hidden="false" customHeight="false" outlineLevel="0" collapsed="false">
      <c r="A483" s="0" t="s">
        <v>258</v>
      </c>
      <c r="B483" s="52" t="n">
        <v>44022</v>
      </c>
      <c r="C483" s="54" t="s">
        <v>592</v>
      </c>
      <c r="D483" s="0" t="n">
        <v>0</v>
      </c>
      <c r="E483" s="0" t="n">
        <v>0.0501955455591477</v>
      </c>
      <c r="F483" s="0" t="n">
        <v>0</v>
      </c>
      <c r="G483" s="0" t="n">
        <v>2020</v>
      </c>
    </row>
    <row r="484" customFormat="false" ht="15" hidden="false" customHeight="false" outlineLevel="0" collapsed="false">
      <c r="A484" s="0" t="s">
        <v>258</v>
      </c>
      <c r="B484" s="52" t="n">
        <v>44023</v>
      </c>
      <c r="C484" s="54" t="s">
        <v>590</v>
      </c>
      <c r="D484" s="0" t="n">
        <v>0.52987582458575</v>
      </c>
      <c r="E484" s="0" t="n">
        <v>0.0613139102680365</v>
      </c>
      <c r="F484" s="0" t="n">
        <v>1</v>
      </c>
      <c r="G484" s="0" t="n">
        <v>2020</v>
      </c>
    </row>
    <row r="485" customFormat="false" ht="15" hidden="false" customHeight="false" outlineLevel="0" collapsed="false">
      <c r="A485" s="0" t="s">
        <v>258</v>
      </c>
      <c r="B485" s="52" t="n">
        <v>44024</v>
      </c>
      <c r="C485" s="54" t="s">
        <v>590</v>
      </c>
      <c r="D485" s="0" t="n">
        <v>1</v>
      </c>
      <c r="E485" s="0" t="n">
        <v>0</v>
      </c>
      <c r="F485" s="0" t="n">
        <v>1</v>
      </c>
      <c r="G485" s="0" t="n">
        <v>2020</v>
      </c>
    </row>
    <row r="486" customFormat="false" ht="15" hidden="false" customHeight="false" outlineLevel="0" collapsed="false">
      <c r="A486" s="0" t="s">
        <v>258</v>
      </c>
      <c r="B486" s="52" t="n">
        <v>44024</v>
      </c>
      <c r="C486" s="54" t="s">
        <v>591</v>
      </c>
      <c r="D486" s="0" t="n">
        <v>0.306112411692616</v>
      </c>
      <c r="E486" s="0" t="n">
        <v>0.075402474872864</v>
      </c>
      <c r="F486" s="0" t="n">
        <v>1</v>
      </c>
      <c r="G486" s="0" t="n">
        <v>2020</v>
      </c>
    </row>
    <row r="487" customFormat="false" ht="15" hidden="false" customHeight="false" outlineLevel="0" collapsed="false">
      <c r="A487" s="0" t="s">
        <v>258</v>
      </c>
      <c r="B487" s="52" t="n">
        <v>44024</v>
      </c>
      <c r="C487" s="54" t="s">
        <v>592</v>
      </c>
      <c r="D487" s="0" t="n">
        <v>0.0045387944640978</v>
      </c>
      <c r="E487" s="0" t="n">
        <v>0.0801121194462242</v>
      </c>
      <c r="F487" s="0" t="n">
        <v>1</v>
      </c>
      <c r="G487" s="0" t="n">
        <v>2020</v>
      </c>
    </row>
    <row r="488" customFormat="false" ht="15" hidden="false" customHeight="false" outlineLevel="0" collapsed="false">
      <c r="A488" s="0" t="s">
        <v>258</v>
      </c>
      <c r="B488" s="52" t="n">
        <v>44025</v>
      </c>
      <c r="C488" s="54" t="s">
        <v>590</v>
      </c>
      <c r="D488" s="0" t="n">
        <v>0.009185243460678</v>
      </c>
      <c r="E488" s="0" t="n">
        <v>0.110284529006117</v>
      </c>
      <c r="F488" s="0" t="n">
        <v>0</v>
      </c>
      <c r="G488" s="0" t="n">
        <v>2020</v>
      </c>
    </row>
    <row r="489" customFormat="false" ht="15" hidden="false" customHeight="false" outlineLevel="0" collapsed="false">
      <c r="A489" s="0" t="s">
        <v>258</v>
      </c>
      <c r="B489" s="52" t="n">
        <v>44025</v>
      </c>
      <c r="C489" s="54" t="s">
        <v>591</v>
      </c>
      <c r="D489" s="0" t="n">
        <v>0.0262497549571574</v>
      </c>
      <c r="E489" s="0" t="n">
        <v>0.0572818306449414</v>
      </c>
      <c r="F489" s="0" t="n">
        <v>0</v>
      </c>
      <c r="G489" s="0" t="n">
        <v>2020</v>
      </c>
    </row>
    <row r="490" customFormat="false" ht="15" hidden="false" customHeight="false" outlineLevel="0" collapsed="false">
      <c r="A490" s="0" t="s">
        <v>258</v>
      </c>
      <c r="B490" s="52" t="n">
        <v>44025</v>
      </c>
      <c r="C490" s="54" t="s">
        <v>592</v>
      </c>
      <c r="D490" s="0" t="n">
        <v>0.144173507999324</v>
      </c>
      <c r="E490" s="0" t="n">
        <v>0.132813082599739</v>
      </c>
      <c r="F490" s="0" t="n">
        <v>0</v>
      </c>
      <c r="G490" s="0" t="n">
        <v>2020</v>
      </c>
    </row>
    <row r="491" customFormat="false" ht="15" hidden="false" customHeight="false" outlineLevel="0" collapsed="false">
      <c r="A491" s="0" t="s">
        <v>258</v>
      </c>
      <c r="B491" s="52" t="n">
        <v>44026</v>
      </c>
      <c r="C491" s="54" t="s">
        <v>590</v>
      </c>
      <c r="D491" s="0" t="n">
        <v>0.209995438496214</v>
      </c>
      <c r="E491" s="0" t="n">
        <v>0.114790178002979</v>
      </c>
      <c r="F491" s="0" t="n">
        <v>0</v>
      </c>
      <c r="G491" s="0" t="n">
        <v>2020</v>
      </c>
    </row>
    <row r="492" customFormat="false" ht="15" hidden="false" customHeight="false" outlineLevel="0" collapsed="false">
      <c r="A492" s="0" t="s">
        <v>258</v>
      </c>
      <c r="B492" s="52" t="n">
        <v>44026</v>
      </c>
      <c r="C492" s="54" t="s">
        <v>591</v>
      </c>
      <c r="D492" s="0" t="n">
        <v>0</v>
      </c>
      <c r="E492" s="0" t="n">
        <v>0.256235574302761</v>
      </c>
      <c r="F492" s="0" t="n">
        <v>0</v>
      </c>
      <c r="G492" s="0" t="n">
        <v>2020</v>
      </c>
    </row>
    <row r="493" customFormat="false" ht="15" hidden="false" customHeight="false" outlineLevel="0" collapsed="false">
      <c r="A493" s="0" t="s">
        <v>258</v>
      </c>
      <c r="B493" s="52" t="n">
        <v>44026</v>
      </c>
      <c r="C493" s="54" t="s">
        <v>592</v>
      </c>
      <c r="D493" s="0" t="n">
        <v>0</v>
      </c>
      <c r="E493" s="0" t="n">
        <v>0.0905598331842127</v>
      </c>
      <c r="F493" s="0" t="n">
        <v>0</v>
      </c>
      <c r="G493" s="0" t="n">
        <v>2020</v>
      </c>
    </row>
    <row r="494" customFormat="false" ht="15" hidden="false" customHeight="false" outlineLevel="0" collapsed="false">
      <c r="A494" s="0" t="s">
        <v>258</v>
      </c>
      <c r="B494" s="52" t="n">
        <v>44027</v>
      </c>
      <c r="C494" s="54" t="s">
        <v>590</v>
      </c>
      <c r="D494" s="0" t="n">
        <v>0.0950061026726586</v>
      </c>
      <c r="E494" s="0" t="n">
        <v>0.200172677216116</v>
      </c>
      <c r="F494" s="0" t="n">
        <v>0</v>
      </c>
      <c r="G494" s="0" t="n">
        <v>2020</v>
      </c>
    </row>
    <row r="495" customFormat="false" ht="15" hidden="false" customHeight="false" outlineLevel="0" collapsed="false">
      <c r="A495" s="0" t="s">
        <v>258</v>
      </c>
      <c r="B495" s="52" t="n">
        <v>44027</v>
      </c>
      <c r="C495" s="54" t="s">
        <v>591</v>
      </c>
      <c r="D495" s="0" t="n">
        <v>0</v>
      </c>
      <c r="E495" s="0" t="n">
        <v>0.0041474533900101</v>
      </c>
      <c r="F495" s="0" t="n">
        <v>0</v>
      </c>
      <c r="G495" s="0" t="n">
        <v>2020</v>
      </c>
    </row>
    <row r="496" customFormat="false" ht="15" hidden="false" customHeight="false" outlineLevel="0" collapsed="false">
      <c r="A496" s="0" t="s">
        <v>258</v>
      </c>
      <c r="B496" s="52" t="n">
        <v>44027</v>
      </c>
      <c r="C496" s="54" t="s">
        <v>592</v>
      </c>
      <c r="D496" s="0" t="n">
        <v>0.0018917615638562</v>
      </c>
      <c r="E496" s="0" t="n">
        <v>0.140796543663287</v>
      </c>
      <c r="F496" s="0" t="n">
        <v>0</v>
      </c>
      <c r="G496" s="0" t="n">
        <v>2020</v>
      </c>
    </row>
    <row r="497" customFormat="false" ht="15" hidden="false" customHeight="false" outlineLevel="0" collapsed="false">
      <c r="A497" s="0" t="s">
        <v>258</v>
      </c>
      <c r="B497" s="52" t="n">
        <v>44028</v>
      </c>
      <c r="C497" s="54" t="s">
        <v>590</v>
      </c>
      <c r="D497" s="0" t="n">
        <v>0.0013840479094427</v>
      </c>
      <c r="E497" s="0" t="n">
        <v>0.374215449152521</v>
      </c>
      <c r="F497" s="0" t="n">
        <v>0</v>
      </c>
      <c r="G497" s="0" t="n">
        <v>2020</v>
      </c>
    </row>
    <row r="498" customFormat="false" ht="15" hidden="false" customHeight="false" outlineLevel="0" collapsed="false">
      <c r="A498" s="0" t="s">
        <v>258</v>
      </c>
      <c r="B498" s="52" t="n">
        <v>44028</v>
      </c>
      <c r="C498" s="54" t="s">
        <v>591</v>
      </c>
      <c r="D498" s="0" t="n">
        <v>0.061302865484293</v>
      </c>
      <c r="E498" s="0" t="n">
        <v>0.205620568651966</v>
      </c>
      <c r="F498" s="0" t="n">
        <v>0</v>
      </c>
      <c r="G498" s="0" t="n">
        <v>2020</v>
      </c>
    </row>
    <row r="499" customFormat="false" ht="15" hidden="false" customHeight="false" outlineLevel="0" collapsed="false">
      <c r="A499" s="0" t="s">
        <v>258</v>
      </c>
      <c r="B499" s="52" t="n">
        <v>44028</v>
      </c>
      <c r="C499" s="54" t="s">
        <v>592</v>
      </c>
      <c r="D499" s="0" t="n">
        <v>0.0203908196936221</v>
      </c>
      <c r="E499" s="0" t="n">
        <v>0.0853123994738643</v>
      </c>
      <c r="F499" s="0" t="n">
        <v>0</v>
      </c>
      <c r="G499" s="0" t="n">
        <v>2020</v>
      </c>
    </row>
    <row r="500" customFormat="false" ht="15" hidden="false" customHeight="false" outlineLevel="0" collapsed="false">
      <c r="A500" s="0" t="s">
        <v>258</v>
      </c>
      <c r="B500" s="52" t="n">
        <v>44029</v>
      </c>
      <c r="C500" s="54" t="s">
        <v>590</v>
      </c>
      <c r="D500" s="0" t="n">
        <v>0.0062414086760317</v>
      </c>
      <c r="E500" s="0" t="n">
        <v>0.206215742943868</v>
      </c>
      <c r="F500" s="0" t="n">
        <v>0</v>
      </c>
      <c r="G500" s="0" t="n">
        <v>2020</v>
      </c>
    </row>
    <row r="501" customFormat="false" ht="15" hidden="false" customHeight="false" outlineLevel="0" collapsed="false">
      <c r="A501" s="0" t="s">
        <v>258</v>
      </c>
      <c r="B501" s="52" t="n">
        <v>44029</v>
      </c>
      <c r="C501" s="54" t="s">
        <v>591</v>
      </c>
      <c r="D501" s="0" t="n">
        <v>0</v>
      </c>
      <c r="E501" s="0" t="n">
        <v>0.218999854635903</v>
      </c>
      <c r="F501" s="0" t="n">
        <v>0</v>
      </c>
      <c r="G501" s="0" t="n">
        <v>2020</v>
      </c>
    </row>
    <row r="502" customFormat="false" ht="15" hidden="false" customHeight="false" outlineLevel="0" collapsed="false">
      <c r="A502" s="0" t="s">
        <v>258</v>
      </c>
      <c r="B502" s="52" t="n">
        <v>44029</v>
      </c>
      <c r="C502" s="54" t="s">
        <v>592</v>
      </c>
      <c r="D502" s="0" t="n">
        <v>0</v>
      </c>
      <c r="E502" s="0" t="n">
        <v>0.0893564481960521</v>
      </c>
      <c r="F502" s="0" t="n">
        <v>0</v>
      </c>
      <c r="G502" s="0" t="n">
        <v>2020</v>
      </c>
    </row>
    <row r="503" customFormat="false" ht="15" hidden="false" customHeight="false" outlineLevel="0" collapsed="false">
      <c r="A503" s="0" t="s">
        <v>258</v>
      </c>
      <c r="B503" s="52" t="n">
        <v>44030</v>
      </c>
      <c r="C503" s="54" t="s">
        <v>590</v>
      </c>
      <c r="D503" s="0" t="n">
        <v>0.0626922144031924</v>
      </c>
      <c r="E503" s="0" t="n">
        <v>0.338256970876092</v>
      </c>
      <c r="F503" s="0" t="n">
        <v>1</v>
      </c>
      <c r="G503" s="0" t="n">
        <v>2020</v>
      </c>
    </row>
    <row r="504" customFormat="false" ht="15" hidden="false" customHeight="false" outlineLevel="0" collapsed="false">
      <c r="A504" s="0" t="s">
        <v>258</v>
      </c>
      <c r="B504" s="52" t="n">
        <v>44030</v>
      </c>
      <c r="C504" s="54" t="s">
        <v>592</v>
      </c>
      <c r="D504" s="0" t="n">
        <v>1</v>
      </c>
      <c r="E504" s="0" t="n">
        <v>0</v>
      </c>
      <c r="F504" s="0" t="n">
        <v>1</v>
      </c>
      <c r="G504" s="0" t="n">
        <v>2020</v>
      </c>
    </row>
    <row r="505" customFormat="false" ht="15" hidden="false" customHeight="false" outlineLevel="0" collapsed="false">
      <c r="A505" s="0" t="s">
        <v>258</v>
      </c>
      <c r="B505" s="52" t="n">
        <v>44032</v>
      </c>
      <c r="C505" s="54" t="s">
        <v>592</v>
      </c>
      <c r="D505" s="0" t="n">
        <v>0.0103769518681658</v>
      </c>
      <c r="E505" s="0" t="n">
        <v>0.208335549042419</v>
      </c>
      <c r="F505" s="0" t="n">
        <v>0</v>
      </c>
      <c r="G505" s="0" t="n">
        <v>2020</v>
      </c>
    </row>
    <row r="506" customFormat="false" ht="15" hidden="false" customHeight="false" outlineLevel="0" collapsed="false">
      <c r="A506" s="0" t="s">
        <v>258</v>
      </c>
      <c r="B506" s="52" t="n">
        <v>44033</v>
      </c>
      <c r="C506" s="54" t="s">
        <v>590</v>
      </c>
      <c r="D506" s="0" t="n">
        <v>0.187354648493838</v>
      </c>
      <c r="E506" s="0" t="n">
        <v>0.354479803612272</v>
      </c>
      <c r="F506" s="0" t="n">
        <v>0</v>
      </c>
      <c r="G506" s="0" t="n">
        <v>2020</v>
      </c>
    </row>
    <row r="507" customFormat="false" ht="15" hidden="false" customHeight="false" outlineLevel="0" collapsed="false">
      <c r="A507" s="0" t="s">
        <v>258</v>
      </c>
      <c r="B507" s="52" t="n">
        <v>44033</v>
      </c>
      <c r="C507" s="54" t="s">
        <v>591</v>
      </c>
      <c r="D507" s="0" t="n">
        <v>0.055159676986044</v>
      </c>
      <c r="E507" s="0" t="n">
        <v>0.089558434106364</v>
      </c>
      <c r="F507" s="0" t="n">
        <v>0</v>
      </c>
      <c r="G507" s="0" t="n">
        <v>2020</v>
      </c>
    </row>
    <row r="508" customFormat="false" ht="15" hidden="false" customHeight="false" outlineLevel="0" collapsed="false">
      <c r="A508" s="0" t="s">
        <v>258</v>
      </c>
      <c r="B508" s="52" t="n">
        <v>44033</v>
      </c>
      <c r="C508" s="54" t="s">
        <v>592</v>
      </c>
      <c r="D508" s="0" t="n">
        <v>0.0106431105712313</v>
      </c>
      <c r="E508" s="0" t="n">
        <v>0.194677247827963</v>
      </c>
      <c r="F508" s="0" t="n">
        <v>0</v>
      </c>
      <c r="G508" s="0" t="n">
        <v>2020</v>
      </c>
    </row>
    <row r="509" customFormat="false" ht="15" hidden="false" customHeight="false" outlineLevel="0" collapsed="false">
      <c r="A509" s="0" t="s">
        <v>258</v>
      </c>
      <c r="B509" s="52" t="n">
        <v>44034</v>
      </c>
      <c r="C509" s="54" t="s">
        <v>590</v>
      </c>
      <c r="D509" s="0" t="n">
        <v>0.003113850197969</v>
      </c>
      <c r="E509" s="0" t="n">
        <v>0.239221787433098</v>
      </c>
      <c r="F509" s="0" t="n">
        <v>0</v>
      </c>
      <c r="G509" s="0" t="n">
        <v>2020</v>
      </c>
    </row>
    <row r="510" customFormat="false" ht="15" hidden="false" customHeight="false" outlineLevel="0" collapsed="false">
      <c r="A510" s="0" t="s">
        <v>258</v>
      </c>
      <c r="B510" s="52" t="n">
        <v>44034</v>
      </c>
      <c r="C510" s="54" t="s">
        <v>591</v>
      </c>
      <c r="D510" s="0" t="n">
        <v>0</v>
      </c>
      <c r="E510" s="0" t="n">
        <v>0.0272821693200833</v>
      </c>
      <c r="F510" s="0" t="n">
        <v>0</v>
      </c>
      <c r="G510" s="0" t="n">
        <v>2020</v>
      </c>
    </row>
    <row r="511" customFormat="false" ht="15" hidden="false" customHeight="false" outlineLevel="0" collapsed="false">
      <c r="A511" s="0" t="s">
        <v>258</v>
      </c>
      <c r="B511" s="52" t="n">
        <v>44034</v>
      </c>
      <c r="C511" s="54" t="s">
        <v>592</v>
      </c>
      <c r="D511" s="0" t="n">
        <v>0.208076908444088</v>
      </c>
      <c r="E511" s="0" t="n">
        <v>0.105295138815881</v>
      </c>
      <c r="F511" s="0" t="n">
        <v>0</v>
      </c>
      <c r="G511" s="0" t="n">
        <v>2020</v>
      </c>
    </row>
    <row r="512" customFormat="false" ht="15" hidden="false" customHeight="false" outlineLevel="0" collapsed="false">
      <c r="A512" s="0" t="s">
        <v>258</v>
      </c>
      <c r="B512" s="52" t="n">
        <v>44035</v>
      </c>
      <c r="C512" s="54" t="s">
        <v>590</v>
      </c>
      <c r="D512" s="0" t="n">
        <v>0.0012987494257866</v>
      </c>
      <c r="E512" s="0" t="n">
        <v>0.217873003829067</v>
      </c>
      <c r="F512" s="0" t="n">
        <v>0</v>
      </c>
      <c r="G512" s="0" t="n">
        <v>2020</v>
      </c>
    </row>
    <row r="513" customFormat="false" ht="15" hidden="false" customHeight="false" outlineLevel="0" collapsed="false">
      <c r="A513" s="0" t="s">
        <v>258</v>
      </c>
      <c r="B513" s="52" t="n">
        <v>44035</v>
      </c>
      <c r="C513" s="54" t="s">
        <v>591</v>
      </c>
      <c r="D513" s="0" t="n">
        <v>0.0195660864654759</v>
      </c>
      <c r="E513" s="0" t="n">
        <v>0.0560606656041797</v>
      </c>
      <c r="F513" s="0" t="n">
        <v>0</v>
      </c>
      <c r="G513" s="0" t="n">
        <v>2020</v>
      </c>
    </row>
    <row r="514" customFormat="false" ht="15" hidden="false" customHeight="false" outlineLevel="0" collapsed="false">
      <c r="A514" s="0" t="s">
        <v>258</v>
      </c>
      <c r="B514" s="52" t="n">
        <v>44035</v>
      </c>
      <c r="C514" s="54" t="s">
        <v>592</v>
      </c>
      <c r="D514" s="0" t="n">
        <v>0.0019487026422777</v>
      </c>
      <c r="E514" s="0" t="n">
        <v>0.101655463068106</v>
      </c>
      <c r="F514" s="0" t="n">
        <v>0</v>
      </c>
      <c r="G514" s="0" t="n">
        <v>2020</v>
      </c>
    </row>
    <row r="515" customFormat="false" ht="15" hidden="false" customHeight="false" outlineLevel="0" collapsed="false">
      <c r="A515" s="0" t="s">
        <v>258</v>
      </c>
      <c r="B515" s="52" t="n">
        <v>44036</v>
      </c>
      <c r="C515" s="54" t="s">
        <v>590</v>
      </c>
      <c r="D515" s="0" t="n">
        <v>0.13625311058024</v>
      </c>
      <c r="E515" s="0" t="n">
        <v>0.176481818286271</v>
      </c>
      <c r="F515" s="0" t="n">
        <v>0</v>
      </c>
      <c r="G515" s="0" t="n">
        <v>2020</v>
      </c>
    </row>
    <row r="516" customFormat="false" ht="15" hidden="false" customHeight="false" outlineLevel="0" collapsed="false">
      <c r="A516" s="0" t="s">
        <v>258</v>
      </c>
      <c r="B516" s="52" t="n">
        <v>44036</v>
      </c>
      <c r="C516" s="54" t="s">
        <v>591</v>
      </c>
      <c r="D516" s="0" t="n">
        <v>0.0058117065993962</v>
      </c>
      <c r="E516" s="0" t="n">
        <v>0.0478181341088704</v>
      </c>
      <c r="F516" s="0" t="n">
        <v>0</v>
      </c>
      <c r="G516" s="0" t="n">
        <v>2020</v>
      </c>
    </row>
    <row r="517" customFormat="false" ht="15" hidden="false" customHeight="false" outlineLevel="0" collapsed="false">
      <c r="A517" s="0" t="s">
        <v>258</v>
      </c>
      <c r="B517" s="52" t="n">
        <v>44036</v>
      </c>
      <c r="C517" s="54" t="s">
        <v>592</v>
      </c>
      <c r="D517" s="0" t="n">
        <v>0.0441197492351106</v>
      </c>
      <c r="E517" s="0" t="n">
        <v>0.0798042436139604</v>
      </c>
      <c r="F517" s="0" t="n">
        <v>0</v>
      </c>
      <c r="G517" s="0" t="n">
        <v>2020</v>
      </c>
    </row>
    <row r="518" customFormat="false" ht="15" hidden="false" customHeight="false" outlineLevel="0" collapsed="false">
      <c r="A518" s="0" t="s">
        <v>258</v>
      </c>
      <c r="B518" s="52" t="n">
        <v>44038</v>
      </c>
      <c r="C518" s="54" t="s">
        <v>591</v>
      </c>
      <c r="D518" s="0" t="n">
        <v>0.350022414766899</v>
      </c>
      <c r="E518" s="0" t="n">
        <v>0</v>
      </c>
      <c r="F518" s="0" t="n">
        <v>1</v>
      </c>
      <c r="G518" s="0" t="n">
        <v>2020</v>
      </c>
    </row>
    <row r="519" customFormat="false" ht="15" hidden="false" customHeight="false" outlineLevel="0" collapsed="false">
      <c r="A519" s="0" t="s">
        <v>258</v>
      </c>
      <c r="B519" s="52" t="n">
        <v>44038</v>
      </c>
      <c r="C519" s="54" t="s">
        <v>592</v>
      </c>
      <c r="D519" s="0" t="n">
        <v>0.71792110642974</v>
      </c>
      <c r="E519" s="0" t="n">
        <v>0.0168061248882286</v>
      </c>
      <c r="F519" s="0" t="n">
        <v>1</v>
      </c>
      <c r="G519" s="0" t="n">
        <v>2020</v>
      </c>
    </row>
    <row r="520" customFormat="false" ht="15" hidden="false" customHeight="false" outlineLevel="0" collapsed="false">
      <c r="A520" s="0" t="s">
        <v>258</v>
      </c>
      <c r="B520" s="52" t="n">
        <v>44039</v>
      </c>
      <c r="C520" s="54" t="s">
        <v>590</v>
      </c>
      <c r="D520" s="0" t="n">
        <v>0.145568462696109</v>
      </c>
      <c r="E520" s="0" t="n">
        <v>0.303050478032845</v>
      </c>
      <c r="F520" s="0" t="n">
        <v>0</v>
      </c>
      <c r="G520" s="0" t="n">
        <v>2020</v>
      </c>
    </row>
    <row r="521" customFormat="false" ht="15" hidden="false" customHeight="false" outlineLevel="0" collapsed="false">
      <c r="A521" s="0" t="s">
        <v>258</v>
      </c>
      <c r="B521" s="52" t="n">
        <v>44039</v>
      </c>
      <c r="C521" s="54" t="s">
        <v>591</v>
      </c>
      <c r="D521" s="0" t="n">
        <v>0.0293821563646774</v>
      </c>
      <c r="E521" s="0" t="n">
        <v>0.246931813116511</v>
      </c>
      <c r="F521" s="0" t="n">
        <v>0</v>
      </c>
      <c r="G521" s="0" t="n">
        <v>2020</v>
      </c>
    </row>
    <row r="522" customFormat="false" ht="15" hidden="false" customHeight="false" outlineLevel="0" collapsed="false">
      <c r="A522" s="0" t="s">
        <v>258</v>
      </c>
      <c r="B522" s="52" t="n">
        <v>44039</v>
      </c>
      <c r="C522" s="54" t="s">
        <v>592</v>
      </c>
      <c r="D522" s="0" t="n">
        <v>0.01931783846113</v>
      </c>
      <c r="E522" s="0" t="n">
        <v>0.0547755571607932</v>
      </c>
      <c r="F522" s="0" t="n">
        <v>0</v>
      </c>
      <c r="G522" s="0" t="n">
        <v>2020</v>
      </c>
    </row>
    <row r="523" customFormat="false" ht="15" hidden="false" customHeight="false" outlineLevel="0" collapsed="false">
      <c r="A523" s="0" t="s">
        <v>258</v>
      </c>
      <c r="B523" s="52" t="n">
        <v>44040</v>
      </c>
      <c r="C523" s="54" t="s">
        <v>590</v>
      </c>
      <c r="D523" s="0" t="n">
        <v>0.0058691927863675</v>
      </c>
      <c r="E523" s="0" t="n">
        <v>0.0859729332022677</v>
      </c>
      <c r="F523" s="0" t="n">
        <v>0</v>
      </c>
      <c r="G523" s="0" t="n">
        <v>2020</v>
      </c>
    </row>
    <row r="524" customFormat="false" ht="15" hidden="false" customHeight="false" outlineLevel="0" collapsed="false">
      <c r="A524" s="0" t="s">
        <v>258</v>
      </c>
      <c r="B524" s="52" t="n">
        <v>44040</v>
      </c>
      <c r="C524" s="54" t="s">
        <v>591</v>
      </c>
      <c r="D524" s="0" t="n">
        <v>0.0252125356969123</v>
      </c>
      <c r="E524" s="0" t="n">
        <v>0.0447161986553262</v>
      </c>
      <c r="F524" s="0" t="n">
        <v>0</v>
      </c>
      <c r="G524" s="0" t="n">
        <v>2020</v>
      </c>
    </row>
    <row r="525" customFormat="false" ht="15" hidden="false" customHeight="false" outlineLevel="0" collapsed="false">
      <c r="A525" s="0" t="s">
        <v>258</v>
      </c>
      <c r="B525" s="52" t="n">
        <v>44040</v>
      </c>
      <c r="C525" s="54" t="s">
        <v>592</v>
      </c>
      <c r="D525" s="0" t="n">
        <v>0.726916919774325</v>
      </c>
      <c r="E525" s="0" t="n">
        <v>0.039004219608892</v>
      </c>
      <c r="F525" s="0" t="n">
        <v>0</v>
      </c>
      <c r="G525" s="0" t="n">
        <v>2020</v>
      </c>
    </row>
    <row r="526" customFormat="false" ht="15" hidden="false" customHeight="false" outlineLevel="0" collapsed="false">
      <c r="A526" s="0" t="s">
        <v>258</v>
      </c>
      <c r="B526" s="52" t="n">
        <v>44041</v>
      </c>
      <c r="C526" s="54" t="s">
        <v>590</v>
      </c>
      <c r="D526" s="0" t="n">
        <v>0.960872005599917</v>
      </c>
      <c r="E526" s="0" t="n">
        <v>0</v>
      </c>
      <c r="F526" s="0" t="n">
        <v>0</v>
      </c>
      <c r="G526" s="0" t="n">
        <v>2020</v>
      </c>
    </row>
    <row r="527" customFormat="false" ht="15" hidden="false" customHeight="false" outlineLevel="0" collapsed="false">
      <c r="A527" s="0" t="s">
        <v>258</v>
      </c>
      <c r="B527" s="52" t="n">
        <v>44041</v>
      </c>
      <c r="C527" s="54" t="s">
        <v>591</v>
      </c>
      <c r="D527" s="0" t="n">
        <v>0.0402295419573895</v>
      </c>
      <c r="E527" s="0" t="n">
        <v>0.0371365473706454</v>
      </c>
      <c r="F527" s="0" t="n">
        <v>0</v>
      </c>
      <c r="G527" s="0" t="n">
        <v>2020</v>
      </c>
    </row>
    <row r="528" customFormat="false" ht="15" hidden="false" customHeight="false" outlineLevel="0" collapsed="false">
      <c r="A528" s="0" t="s">
        <v>258</v>
      </c>
      <c r="B528" s="52" t="n">
        <v>44041</v>
      </c>
      <c r="C528" s="54" t="s">
        <v>592</v>
      </c>
      <c r="D528" s="0" t="n">
        <v>0.0005684644966467</v>
      </c>
      <c r="E528" s="0" t="n">
        <v>0.118587902608969</v>
      </c>
      <c r="F528" s="0" t="n">
        <v>0</v>
      </c>
      <c r="G528" s="0" t="n">
        <v>2020</v>
      </c>
    </row>
    <row r="529" customFormat="false" ht="15" hidden="false" customHeight="false" outlineLevel="0" collapsed="false">
      <c r="A529" s="0" t="s">
        <v>258</v>
      </c>
      <c r="B529" s="52" t="n">
        <v>44042</v>
      </c>
      <c r="C529" s="54" t="s">
        <v>590</v>
      </c>
      <c r="D529" s="0" t="n">
        <v>0</v>
      </c>
      <c r="E529" s="0" t="n">
        <v>0.0678587591262692</v>
      </c>
      <c r="F529" s="0" t="n">
        <v>0</v>
      </c>
      <c r="G529" s="0" t="n">
        <v>2020</v>
      </c>
    </row>
    <row r="530" customFormat="false" ht="15" hidden="false" customHeight="false" outlineLevel="0" collapsed="false">
      <c r="A530" s="0" t="s">
        <v>258</v>
      </c>
      <c r="B530" s="52" t="n">
        <v>44042</v>
      </c>
      <c r="C530" s="54" t="s">
        <v>591</v>
      </c>
      <c r="D530" s="0" t="n">
        <v>0.229901481822893</v>
      </c>
      <c r="E530" s="0" t="n">
        <v>0.282334215725286</v>
      </c>
      <c r="F530" s="0" t="n">
        <v>0</v>
      </c>
      <c r="G530" s="0" t="n">
        <v>2020</v>
      </c>
    </row>
    <row r="531" customFormat="false" ht="15" hidden="false" customHeight="false" outlineLevel="0" collapsed="false">
      <c r="A531" s="0" t="s">
        <v>258</v>
      </c>
      <c r="B531" s="52" t="n">
        <v>44042</v>
      </c>
      <c r="C531" s="54" t="s">
        <v>592</v>
      </c>
      <c r="D531" s="0" t="n">
        <v>0.0237634187865562</v>
      </c>
      <c r="E531" s="0" t="n">
        <v>0.280950453207565</v>
      </c>
      <c r="F531" s="0" t="n">
        <v>0</v>
      </c>
      <c r="G531" s="0" t="n">
        <v>2020</v>
      </c>
    </row>
    <row r="532" customFormat="false" ht="15" hidden="false" customHeight="false" outlineLevel="0" collapsed="false">
      <c r="A532" s="0" t="s">
        <v>258</v>
      </c>
      <c r="B532" s="52" t="n">
        <v>44043</v>
      </c>
      <c r="C532" s="54" t="s">
        <v>590</v>
      </c>
      <c r="D532" s="0" t="n">
        <v>0.001137263485189</v>
      </c>
      <c r="E532" s="0" t="n">
        <v>0.291593266876619</v>
      </c>
      <c r="F532" s="0" t="n">
        <v>0</v>
      </c>
      <c r="G532" s="0" t="n">
        <v>2020</v>
      </c>
    </row>
    <row r="533" customFormat="false" ht="15" hidden="false" customHeight="false" outlineLevel="0" collapsed="false">
      <c r="A533" s="0" t="s">
        <v>258</v>
      </c>
      <c r="B533" s="52" t="n">
        <v>44043</v>
      </c>
      <c r="C533" s="54" t="s">
        <v>591</v>
      </c>
      <c r="D533" s="0" t="n">
        <v>0.0015788162063953</v>
      </c>
      <c r="E533" s="0" t="n">
        <v>0.160544787229381</v>
      </c>
      <c r="F533" s="0" t="n">
        <v>0</v>
      </c>
      <c r="G533" s="0" t="n">
        <v>2020</v>
      </c>
    </row>
    <row r="534" customFormat="false" ht="15" hidden="false" customHeight="false" outlineLevel="0" collapsed="false">
      <c r="A534" s="0" t="s">
        <v>258</v>
      </c>
      <c r="B534" s="52" t="n">
        <v>44043</v>
      </c>
      <c r="C534" s="54" t="s">
        <v>592</v>
      </c>
      <c r="D534" s="0" t="n">
        <v>0</v>
      </c>
      <c r="E534" s="0" t="n">
        <v>0.27721660215346</v>
      </c>
      <c r="F534" s="0" t="n">
        <v>0</v>
      </c>
      <c r="G534" s="0" t="n">
        <v>2020</v>
      </c>
    </row>
    <row r="535" customFormat="false" ht="15" hidden="false" customHeight="false" outlineLevel="0" collapsed="false">
      <c r="A535" s="0" t="s">
        <v>258</v>
      </c>
      <c r="B535" s="52" t="n">
        <v>44044</v>
      </c>
      <c r="C535" s="54" t="s">
        <v>590</v>
      </c>
      <c r="D535" s="0" t="n">
        <v>0.239656845121248</v>
      </c>
      <c r="E535" s="0" t="n">
        <v>0.183385033026534</v>
      </c>
      <c r="F535" s="0" t="n">
        <v>1</v>
      </c>
      <c r="G535" s="0" t="n">
        <v>2020</v>
      </c>
    </row>
    <row r="536" customFormat="false" ht="15" hidden="false" customHeight="false" outlineLevel="0" collapsed="false">
      <c r="A536" s="0" t="s">
        <v>258</v>
      </c>
      <c r="B536" s="52" t="n">
        <v>44044</v>
      </c>
      <c r="C536" s="54" t="s">
        <v>592</v>
      </c>
      <c r="D536" s="0" t="n">
        <v>1</v>
      </c>
      <c r="E536" s="0" t="n">
        <v>0</v>
      </c>
      <c r="F536" s="0" t="n">
        <v>1</v>
      </c>
      <c r="G536" s="0" t="n">
        <v>2020</v>
      </c>
    </row>
    <row r="537" customFormat="false" ht="15" hidden="false" customHeight="false" outlineLevel="0" collapsed="false">
      <c r="A537" s="0" t="s">
        <v>258</v>
      </c>
      <c r="B537" s="52" t="n">
        <v>44045</v>
      </c>
      <c r="C537" s="54" t="s">
        <v>590</v>
      </c>
      <c r="D537" s="0" t="n">
        <v>1</v>
      </c>
      <c r="E537" s="0" t="n">
        <v>0</v>
      </c>
      <c r="F537" s="0" t="n">
        <v>1</v>
      </c>
      <c r="G537" s="0" t="n">
        <v>2020</v>
      </c>
    </row>
    <row r="538" customFormat="false" ht="15" hidden="false" customHeight="false" outlineLevel="0" collapsed="false">
      <c r="A538" s="0" t="s">
        <v>258</v>
      </c>
      <c r="B538" s="52" t="n">
        <v>44045</v>
      </c>
      <c r="C538" s="54" t="s">
        <v>591</v>
      </c>
      <c r="D538" s="0" t="n">
        <v>0.146589105603313</v>
      </c>
      <c r="E538" s="0" t="n">
        <v>0.0112044310065491</v>
      </c>
      <c r="F538" s="0" t="n">
        <v>1</v>
      </c>
      <c r="G538" s="0" t="n">
        <v>2020</v>
      </c>
    </row>
    <row r="539" customFormat="false" ht="15" hidden="false" customHeight="false" outlineLevel="0" collapsed="false">
      <c r="A539" s="0" t="s">
        <v>258</v>
      </c>
      <c r="B539" s="52" t="n">
        <v>44045</v>
      </c>
      <c r="C539" s="54" t="s">
        <v>592</v>
      </c>
      <c r="D539" s="0" t="n">
        <v>0.0014881501006358</v>
      </c>
      <c r="E539" s="0" t="n">
        <v>0.0895660439670161</v>
      </c>
      <c r="F539" s="0" t="n">
        <v>1</v>
      </c>
      <c r="G539" s="0" t="n">
        <v>2020</v>
      </c>
    </row>
    <row r="540" customFormat="false" ht="15" hidden="false" customHeight="false" outlineLevel="0" collapsed="false">
      <c r="A540" s="0" t="s">
        <v>258</v>
      </c>
      <c r="B540" s="52" t="n">
        <v>44046</v>
      </c>
      <c r="C540" s="54" t="s">
        <v>590</v>
      </c>
      <c r="D540" s="0" t="n">
        <v>0.0137053003785606</v>
      </c>
      <c r="E540" s="0" t="n">
        <v>0.140253802643533</v>
      </c>
      <c r="F540" s="0" t="n">
        <v>0</v>
      </c>
      <c r="G540" s="0" t="n">
        <v>2020</v>
      </c>
    </row>
    <row r="541" customFormat="false" ht="15" hidden="false" customHeight="false" outlineLevel="0" collapsed="false">
      <c r="A541" s="0" t="s">
        <v>258</v>
      </c>
      <c r="B541" s="52" t="n">
        <v>44046</v>
      </c>
      <c r="C541" s="54" t="s">
        <v>591</v>
      </c>
      <c r="D541" s="0" t="n">
        <v>0.0023766012069344</v>
      </c>
      <c r="E541" s="0" t="n">
        <v>0.166772980976919</v>
      </c>
      <c r="F541" s="0" t="n">
        <v>0</v>
      </c>
      <c r="G541" s="0" t="n">
        <v>2020</v>
      </c>
    </row>
    <row r="542" customFormat="false" ht="15" hidden="false" customHeight="false" outlineLevel="0" collapsed="false">
      <c r="A542" s="0" t="s">
        <v>258</v>
      </c>
      <c r="B542" s="52" t="n">
        <v>44046</v>
      </c>
      <c r="C542" s="54" t="s">
        <v>592</v>
      </c>
      <c r="D542" s="0" t="n">
        <v>0.115805917854729</v>
      </c>
      <c r="E542" s="0" t="n">
        <v>0.198867460022296</v>
      </c>
      <c r="F542" s="0" t="n">
        <v>0</v>
      </c>
      <c r="G542" s="0" t="n">
        <v>2020</v>
      </c>
    </row>
    <row r="543" customFormat="false" ht="15" hidden="false" customHeight="false" outlineLevel="0" collapsed="false">
      <c r="A543" s="0" t="s">
        <v>258</v>
      </c>
      <c r="B543" s="52" t="n">
        <v>44047</v>
      </c>
      <c r="C543" s="54" t="s">
        <v>590</v>
      </c>
      <c r="D543" s="0" t="n">
        <v>0</v>
      </c>
      <c r="E543" s="0" t="n">
        <v>0.168165707309026</v>
      </c>
      <c r="F543" s="0" t="n">
        <v>0</v>
      </c>
      <c r="G543" s="0" t="n">
        <v>2020</v>
      </c>
    </row>
    <row r="544" customFormat="false" ht="15" hidden="false" customHeight="false" outlineLevel="0" collapsed="false">
      <c r="A544" s="0" t="s">
        <v>258</v>
      </c>
      <c r="B544" s="52" t="n">
        <v>44047</v>
      </c>
      <c r="C544" s="54" t="s">
        <v>591</v>
      </c>
      <c r="D544" s="0" t="n">
        <v>0.0073285368283509</v>
      </c>
      <c r="E544" s="0" t="n">
        <v>0.11634137754083</v>
      </c>
      <c r="F544" s="0" t="n">
        <v>0</v>
      </c>
      <c r="G544" s="0" t="n">
        <v>2020</v>
      </c>
    </row>
    <row r="545" customFormat="false" ht="15" hidden="false" customHeight="false" outlineLevel="0" collapsed="false">
      <c r="A545" s="0" t="s">
        <v>258</v>
      </c>
      <c r="B545" s="52" t="n">
        <v>44047</v>
      </c>
      <c r="C545" s="54" t="s">
        <v>592</v>
      </c>
      <c r="D545" s="0" t="n">
        <v>0.0424214906054122</v>
      </c>
      <c r="E545" s="0" t="n">
        <v>0.139445973806742</v>
      </c>
      <c r="F545" s="0" t="n">
        <v>0</v>
      </c>
      <c r="G545" s="0" t="n">
        <v>2020</v>
      </c>
    </row>
    <row r="546" customFormat="false" ht="15" hidden="false" customHeight="false" outlineLevel="0" collapsed="false">
      <c r="A546" s="0" t="s">
        <v>258</v>
      </c>
      <c r="B546" s="52" t="n">
        <v>44048</v>
      </c>
      <c r="C546" s="54" t="s">
        <v>590</v>
      </c>
      <c r="D546" s="0" t="n">
        <v>0.0782245419660393</v>
      </c>
      <c r="E546" s="0" t="n">
        <v>0.107295293886604</v>
      </c>
      <c r="F546" s="0" t="n">
        <v>0</v>
      </c>
      <c r="G546" s="0" t="n">
        <v>2020</v>
      </c>
    </row>
    <row r="547" customFormat="false" ht="15" hidden="false" customHeight="false" outlineLevel="0" collapsed="false">
      <c r="A547" s="0" t="s">
        <v>258</v>
      </c>
      <c r="B547" s="52" t="n">
        <v>44048</v>
      </c>
      <c r="C547" s="54" t="s">
        <v>591</v>
      </c>
      <c r="D547" s="0" t="n">
        <v>0</v>
      </c>
      <c r="E547" s="0" t="n">
        <v>0.12117074763854</v>
      </c>
      <c r="F547" s="0" t="n">
        <v>0</v>
      </c>
      <c r="G547" s="0" t="n">
        <v>2020</v>
      </c>
    </row>
    <row r="548" customFormat="false" ht="15" hidden="false" customHeight="false" outlineLevel="0" collapsed="false">
      <c r="A548" s="0" t="s">
        <v>258</v>
      </c>
      <c r="B548" s="52" t="n">
        <v>44048</v>
      </c>
      <c r="C548" s="54" t="s">
        <v>592</v>
      </c>
      <c r="D548" s="0" t="n">
        <v>0</v>
      </c>
      <c r="E548" s="0" t="n">
        <v>0.107083062556956</v>
      </c>
      <c r="F548" s="0" t="n">
        <v>0</v>
      </c>
      <c r="G548" s="0" t="n">
        <v>2020</v>
      </c>
    </row>
    <row r="549" customFormat="false" ht="15" hidden="false" customHeight="false" outlineLevel="0" collapsed="false">
      <c r="A549" s="0" t="s">
        <v>258</v>
      </c>
      <c r="B549" s="52" t="n">
        <v>44049</v>
      </c>
      <c r="C549" s="54" t="s">
        <v>590</v>
      </c>
      <c r="D549" s="0" t="n">
        <v>0.01192921434937</v>
      </c>
      <c r="E549" s="0" t="n">
        <v>0.185397939249392</v>
      </c>
      <c r="F549" s="0" t="n">
        <v>0</v>
      </c>
      <c r="G549" s="0" t="n">
        <v>2020</v>
      </c>
    </row>
    <row r="550" customFormat="false" ht="15" hidden="false" customHeight="false" outlineLevel="0" collapsed="false">
      <c r="A550" s="0" t="s">
        <v>258</v>
      </c>
      <c r="B550" s="52" t="n">
        <v>44049</v>
      </c>
      <c r="C550" s="54" t="s">
        <v>591</v>
      </c>
      <c r="D550" s="0" t="n">
        <v>0.227730234297467</v>
      </c>
      <c r="E550" s="0" t="n">
        <v>0.0715517442863923</v>
      </c>
      <c r="F550" s="0" t="n">
        <v>0</v>
      </c>
      <c r="G550" s="0" t="n">
        <v>2020</v>
      </c>
    </row>
    <row r="551" customFormat="false" ht="15" hidden="false" customHeight="false" outlineLevel="0" collapsed="false">
      <c r="A551" s="0" t="s">
        <v>258</v>
      </c>
      <c r="B551" s="52" t="n">
        <v>44049</v>
      </c>
      <c r="C551" s="54" t="s">
        <v>592</v>
      </c>
      <c r="D551" s="0" t="n">
        <v>0.0319622273039194</v>
      </c>
      <c r="E551" s="0" t="n">
        <v>0.104391871669384</v>
      </c>
      <c r="F551" s="0" t="n">
        <v>0</v>
      </c>
      <c r="G551" s="0" t="n">
        <v>2020</v>
      </c>
    </row>
    <row r="552" customFormat="false" ht="15" hidden="false" customHeight="false" outlineLevel="0" collapsed="false">
      <c r="A552" s="0" t="s">
        <v>258</v>
      </c>
      <c r="B552" s="52" t="n">
        <v>44050</v>
      </c>
      <c r="C552" s="54" t="s">
        <v>590</v>
      </c>
      <c r="D552" s="0" t="n">
        <v>0.008119279698942</v>
      </c>
      <c r="E552" s="0" t="n">
        <v>0.0750273659535762</v>
      </c>
      <c r="F552" s="0" t="n">
        <v>0</v>
      </c>
      <c r="G552" s="0" t="n">
        <v>2020</v>
      </c>
    </row>
    <row r="553" customFormat="false" ht="15" hidden="false" customHeight="false" outlineLevel="0" collapsed="false">
      <c r="A553" s="0" t="s">
        <v>258</v>
      </c>
      <c r="B553" s="52" t="n">
        <v>44050</v>
      </c>
      <c r="C553" s="54" t="s">
        <v>591</v>
      </c>
      <c r="D553" s="0" t="n">
        <v>0.0990979653419442</v>
      </c>
      <c r="E553" s="0" t="n">
        <v>0.0529504908920296</v>
      </c>
      <c r="F553" s="0" t="n">
        <v>0</v>
      </c>
      <c r="G553" s="0" t="n">
        <v>2020</v>
      </c>
    </row>
    <row r="554" customFormat="false" ht="15" hidden="false" customHeight="false" outlineLevel="0" collapsed="false">
      <c r="A554" s="0" t="s">
        <v>258</v>
      </c>
      <c r="B554" s="52" t="n">
        <v>44050</v>
      </c>
      <c r="C554" s="54" t="s">
        <v>592</v>
      </c>
      <c r="D554" s="0" t="n">
        <v>0.0109619094375288</v>
      </c>
      <c r="E554" s="0" t="n">
        <v>0.127756959036526</v>
      </c>
      <c r="F554" s="0" t="n">
        <v>0</v>
      </c>
      <c r="G554" s="0" t="n">
        <v>2020</v>
      </c>
    </row>
    <row r="555" customFormat="false" ht="15" hidden="false" customHeight="false" outlineLevel="0" collapsed="false">
      <c r="A555" s="0" t="s">
        <v>258</v>
      </c>
      <c r="B555" s="52" t="n">
        <v>44051</v>
      </c>
      <c r="C555" s="54" t="s">
        <v>590</v>
      </c>
      <c r="D555" s="0" t="n">
        <v>0.132053441897654</v>
      </c>
      <c r="E555" s="0" t="n">
        <v>0.162224025537965</v>
      </c>
      <c r="F555" s="0" t="n">
        <v>1</v>
      </c>
      <c r="G555" s="0" t="n">
        <v>2020</v>
      </c>
    </row>
    <row r="556" customFormat="false" ht="15" hidden="false" customHeight="false" outlineLevel="0" collapsed="false">
      <c r="A556" s="0" t="s">
        <v>258</v>
      </c>
      <c r="B556" s="52" t="n">
        <v>44052</v>
      </c>
      <c r="C556" s="54" t="s">
        <v>591</v>
      </c>
      <c r="D556" s="0" t="n">
        <v>0.150347052180643</v>
      </c>
      <c r="E556" s="0" t="n">
        <v>0.10325499705533</v>
      </c>
      <c r="F556" s="0" t="n">
        <v>1</v>
      </c>
      <c r="G556" s="0" t="n">
        <v>2020</v>
      </c>
    </row>
    <row r="557" customFormat="false" ht="15" hidden="false" customHeight="false" outlineLevel="0" collapsed="false">
      <c r="A557" s="0" t="s">
        <v>258</v>
      </c>
      <c r="B557" s="52" t="n">
        <v>44052</v>
      </c>
      <c r="C557" s="54" t="s">
        <v>592</v>
      </c>
      <c r="D557" s="0" t="n">
        <v>0.0227321931937475</v>
      </c>
      <c r="E557" s="0" t="n">
        <v>0.0476193664533051</v>
      </c>
      <c r="F557" s="0" t="n">
        <v>1</v>
      </c>
      <c r="G557" s="0" t="n">
        <v>2020</v>
      </c>
    </row>
    <row r="558" customFormat="false" ht="15" hidden="false" customHeight="false" outlineLevel="0" collapsed="false">
      <c r="A558" s="0" t="s">
        <v>258</v>
      </c>
      <c r="B558" s="52" t="n">
        <v>44053</v>
      </c>
      <c r="C558" s="54" t="s">
        <v>590</v>
      </c>
      <c r="D558" s="0" t="n">
        <v>0.0014806816709075</v>
      </c>
      <c r="E558" s="0" t="n">
        <v>0.0443253491635381</v>
      </c>
      <c r="F558" s="0" t="n">
        <v>0</v>
      </c>
      <c r="G558" s="0" t="n">
        <v>2020</v>
      </c>
    </row>
    <row r="559" customFormat="false" ht="15" hidden="false" customHeight="false" outlineLevel="0" collapsed="false">
      <c r="A559" s="0" t="s">
        <v>258</v>
      </c>
      <c r="B559" s="52" t="n">
        <v>44053</v>
      </c>
      <c r="C559" s="54" t="s">
        <v>591</v>
      </c>
      <c r="D559" s="0" t="n">
        <v>0</v>
      </c>
      <c r="E559" s="0" t="n">
        <v>0.12941513483542</v>
      </c>
      <c r="F559" s="0" t="n">
        <v>0</v>
      </c>
      <c r="G559" s="0" t="n">
        <v>2020</v>
      </c>
    </row>
    <row r="560" customFormat="false" ht="15" hidden="false" customHeight="false" outlineLevel="0" collapsed="false">
      <c r="A560" s="0" t="s">
        <v>258</v>
      </c>
      <c r="B560" s="52" t="n">
        <v>44053</v>
      </c>
      <c r="C560" s="54" t="s">
        <v>592</v>
      </c>
      <c r="D560" s="0" t="n">
        <v>0.106874294748125</v>
      </c>
      <c r="E560" s="0" t="n">
        <v>0.0476859824181507</v>
      </c>
      <c r="F560" s="0" t="n">
        <v>0</v>
      </c>
      <c r="G560" s="0" t="n">
        <v>2020</v>
      </c>
    </row>
    <row r="561" customFormat="false" ht="15" hidden="false" customHeight="false" outlineLevel="0" collapsed="false">
      <c r="A561" s="0" t="s">
        <v>258</v>
      </c>
      <c r="B561" s="52" t="n">
        <v>44054</v>
      </c>
      <c r="C561" s="54" t="s">
        <v>590</v>
      </c>
      <c r="D561" s="0" t="n">
        <v>0</v>
      </c>
      <c r="E561" s="0" t="n">
        <v>0.11419624091803</v>
      </c>
      <c r="F561" s="0" t="n">
        <v>0</v>
      </c>
      <c r="G561" s="0" t="n">
        <v>2020</v>
      </c>
    </row>
    <row r="562" customFormat="false" ht="15" hidden="false" customHeight="false" outlineLevel="0" collapsed="false">
      <c r="A562" s="0" t="s">
        <v>258</v>
      </c>
      <c r="B562" s="52" t="n">
        <v>44054</v>
      </c>
      <c r="C562" s="54" t="s">
        <v>591</v>
      </c>
      <c r="D562" s="0" t="n">
        <v>0.0146840346890927</v>
      </c>
      <c r="E562" s="0" t="n">
        <v>0.162980020962652</v>
      </c>
      <c r="F562" s="0" t="n">
        <v>0</v>
      </c>
      <c r="G562" s="0" t="n">
        <v>2020</v>
      </c>
    </row>
    <row r="563" customFormat="false" ht="15" hidden="false" customHeight="false" outlineLevel="0" collapsed="false">
      <c r="A563" s="0" t="s">
        <v>258</v>
      </c>
      <c r="B563" s="52" t="n">
        <v>44054</v>
      </c>
      <c r="C563" s="54" t="s">
        <v>592</v>
      </c>
      <c r="D563" s="0" t="n">
        <v>0.0091977107880828</v>
      </c>
      <c r="E563" s="0" t="n">
        <v>0.229487445775522</v>
      </c>
      <c r="F563" s="0" t="n">
        <v>0</v>
      </c>
      <c r="G563" s="0" t="n">
        <v>2020</v>
      </c>
    </row>
    <row r="564" customFormat="false" ht="15" hidden="false" customHeight="false" outlineLevel="0" collapsed="false">
      <c r="A564" s="0" t="s">
        <v>258</v>
      </c>
      <c r="B564" s="52" t="n">
        <v>44055</v>
      </c>
      <c r="C564" s="54" t="s">
        <v>590</v>
      </c>
      <c r="D564" s="0" t="n">
        <v>0.0308389783599989</v>
      </c>
      <c r="E564" s="0" t="n">
        <v>0.0708634061178703</v>
      </c>
      <c r="F564" s="0" t="n">
        <v>0</v>
      </c>
      <c r="G564" s="0" t="n">
        <v>2020</v>
      </c>
    </row>
    <row r="565" customFormat="false" ht="15" hidden="false" customHeight="false" outlineLevel="0" collapsed="false">
      <c r="A565" s="0" t="s">
        <v>258</v>
      </c>
      <c r="B565" s="52" t="n">
        <v>44055</v>
      </c>
      <c r="C565" s="54" t="s">
        <v>591</v>
      </c>
      <c r="D565" s="0" t="n">
        <v>0.138820519959827</v>
      </c>
      <c r="E565" s="0" t="n">
        <v>0.0253201070354774</v>
      </c>
      <c r="F565" s="0" t="n">
        <v>0</v>
      </c>
      <c r="G565" s="0" t="n">
        <v>2020</v>
      </c>
    </row>
    <row r="566" customFormat="false" ht="15" hidden="false" customHeight="false" outlineLevel="0" collapsed="false">
      <c r="A566" s="0" t="s">
        <v>258</v>
      </c>
      <c r="B566" s="52" t="n">
        <v>44055</v>
      </c>
      <c r="C566" s="54" t="s">
        <v>592</v>
      </c>
      <c r="D566" s="0" t="n">
        <v>0</v>
      </c>
      <c r="E566" s="0" t="n">
        <v>0.0888991612196</v>
      </c>
      <c r="F566" s="0" t="n">
        <v>0</v>
      </c>
      <c r="G566" s="0" t="n">
        <v>2020</v>
      </c>
    </row>
    <row r="567" customFormat="false" ht="15" hidden="false" customHeight="false" outlineLevel="0" collapsed="false">
      <c r="A567" s="0" t="s">
        <v>258</v>
      </c>
      <c r="B567" s="52" t="n">
        <v>44056</v>
      </c>
      <c r="C567" s="54" t="s">
        <v>590</v>
      </c>
      <c r="D567" s="0" t="n">
        <v>0.0176029023666512</v>
      </c>
      <c r="E567" s="0" t="n">
        <v>0.0687717027216289</v>
      </c>
      <c r="F567" s="0" t="n">
        <v>0</v>
      </c>
      <c r="G567" s="0" t="n">
        <v>2020</v>
      </c>
    </row>
    <row r="568" customFormat="false" ht="15" hidden="false" customHeight="false" outlineLevel="0" collapsed="false">
      <c r="A568" s="0" t="s">
        <v>258</v>
      </c>
      <c r="B568" s="52" t="n">
        <v>44056</v>
      </c>
      <c r="C568" s="54" t="s">
        <v>591</v>
      </c>
      <c r="D568" s="0" t="n">
        <v>0.0177944748121146</v>
      </c>
      <c r="E568" s="0" t="n">
        <v>0.152873214234815</v>
      </c>
      <c r="F568" s="0" t="n">
        <v>0</v>
      </c>
      <c r="G568" s="0" t="n">
        <v>2020</v>
      </c>
    </row>
    <row r="569" customFormat="false" ht="15" hidden="false" customHeight="false" outlineLevel="0" collapsed="false">
      <c r="A569" s="0" t="s">
        <v>258</v>
      </c>
      <c r="B569" s="52" t="n">
        <v>44056</v>
      </c>
      <c r="C569" s="54" t="s">
        <v>592</v>
      </c>
      <c r="D569" s="0" t="n">
        <v>0.192720376414905</v>
      </c>
      <c r="E569" s="0" t="n">
        <v>0.0346546165169743</v>
      </c>
      <c r="F569" s="0" t="n">
        <v>0</v>
      </c>
      <c r="G569" s="0" t="n">
        <v>2020</v>
      </c>
    </row>
    <row r="570" customFormat="false" ht="15" hidden="false" customHeight="false" outlineLevel="0" collapsed="false">
      <c r="A570" s="0" t="s">
        <v>258</v>
      </c>
      <c r="B570" s="52" t="n">
        <v>44057</v>
      </c>
      <c r="C570" s="54" t="s">
        <v>590</v>
      </c>
      <c r="D570" s="0" t="n">
        <v>0</v>
      </c>
      <c r="E570" s="0" t="n">
        <v>0.0287200838083586</v>
      </c>
      <c r="F570" s="0" t="n">
        <v>0</v>
      </c>
      <c r="G570" s="0" t="n">
        <v>2020</v>
      </c>
    </row>
    <row r="571" customFormat="false" ht="15" hidden="false" customHeight="false" outlineLevel="0" collapsed="false">
      <c r="A571" s="0" t="s">
        <v>258</v>
      </c>
      <c r="B571" s="52" t="n">
        <v>44057</v>
      </c>
      <c r="C571" s="54" t="s">
        <v>591</v>
      </c>
      <c r="D571" s="0" t="n">
        <v>0.136937336893691</v>
      </c>
      <c r="E571" s="0" t="n">
        <v>0.0285525343716773</v>
      </c>
      <c r="F571" s="0" t="n">
        <v>0</v>
      </c>
      <c r="G571" s="0" t="n">
        <v>2020</v>
      </c>
    </row>
    <row r="572" customFormat="false" ht="15" hidden="false" customHeight="false" outlineLevel="0" collapsed="false">
      <c r="A572" s="0" t="s">
        <v>258</v>
      </c>
      <c r="B572" s="52" t="n">
        <v>44057</v>
      </c>
      <c r="C572" s="54" t="s">
        <v>592</v>
      </c>
      <c r="D572" s="0" t="n">
        <v>0.0017807749266426</v>
      </c>
      <c r="E572" s="0" t="n">
        <v>0.0925408270274268</v>
      </c>
      <c r="F572" s="0" t="n">
        <v>0</v>
      </c>
      <c r="G572" s="0" t="n">
        <v>2020</v>
      </c>
    </row>
    <row r="573" customFormat="false" ht="15" hidden="false" customHeight="false" outlineLevel="0" collapsed="false">
      <c r="A573" s="0" t="s">
        <v>258</v>
      </c>
      <c r="B573" s="52" t="n">
        <v>44058</v>
      </c>
      <c r="C573" s="54" t="s">
        <v>590</v>
      </c>
      <c r="D573" s="0" t="n">
        <v>0.187279016765093</v>
      </c>
      <c r="E573" s="0" t="n">
        <v>0.158707850869532</v>
      </c>
      <c r="F573" s="0" t="n">
        <v>1</v>
      </c>
      <c r="G573" s="0" t="n">
        <v>2020</v>
      </c>
    </row>
    <row r="574" customFormat="false" ht="15" hidden="false" customHeight="false" outlineLevel="0" collapsed="false">
      <c r="A574" s="0" t="s">
        <v>258</v>
      </c>
      <c r="B574" s="52" t="n">
        <v>44059</v>
      </c>
      <c r="C574" s="54" t="s">
        <v>590</v>
      </c>
      <c r="D574" s="0" t="n">
        <v>1</v>
      </c>
      <c r="E574" s="0" t="n">
        <v>0</v>
      </c>
      <c r="F574" s="0" t="n">
        <v>1</v>
      </c>
      <c r="G574" s="0" t="n">
        <v>2020</v>
      </c>
    </row>
    <row r="575" customFormat="false" ht="15" hidden="false" customHeight="false" outlineLevel="0" collapsed="false">
      <c r="A575" s="0" t="s">
        <v>258</v>
      </c>
      <c r="B575" s="52" t="n">
        <v>44059</v>
      </c>
      <c r="C575" s="54" t="s">
        <v>592</v>
      </c>
      <c r="D575" s="0" t="n">
        <v>0.0335355003423197</v>
      </c>
      <c r="E575" s="0" t="n">
        <v>0.0596635428140994</v>
      </c>
      <c r="F575" s="0" t="n">
        <v>1</v>
      </c>
      <c r="G575" s="0" t="n">
        <v>2020</v>
      </c>
    </row>
    <row r="576" customFormat="false" ht="15" hidden="false" customHeight="false" outlineLevel="0" collapsed="false">
      <c r="A576" s="0" t="s">
        <v>258</v>
      </c>
      <c r="B576" s="52" t="n">
        <v>44060</v>
      </c>
      <c r="C576" s="54" t="s">
        <v>590</v>
      </c>
      <c r="D576" s="0" t="n">
        <v>0</v>
      </c>
      <c r="E576" s="0" t="n">
        <v>0.115707551211588</v>
      </c>
      <c r="F576" s="0" t="n">
        <v>0</v>
      </c>
      <c r="G576" s="0" t="n">
        <v>2020</v>
      </c>
    </row>
    <row r="577" customFormat="false" ht="15" hidden="false" customHeight="false" outlineLevel="0" collapsed="false">
      <c r="A577" s="0" t="s">
        <v>258</v>
      </c>
      <c r="B577" s="52" t="n">
        <v>44060</v>
      </c>
      <c r="C577" s="54" t="s">
        <v>591</v>
      </c>
      <c r="D577" s="0" t="n">
        <v>0.00019230711578</v>
      </c>
      <c r="E577" s="0" t="n">
        <v>0.0744087780959416</v>
      </c>
      <c r="F577" s="0" t="n">
        <v>0</v>
      </c>
      <c r="G577" s="0" t="n">
        <v>2020</v>
      </c>
    </row>
    <row r="578" customFormat="false" ht="15" hidden="false" customHeight="false" outlineLevel="0" collapsed="false">
      <c r="A578" s="0" t="s">
        <v>258</v>
      </c>
      <c r="B578" s="52" t="n">
        <v>44060</v>
      </c>
      <c r="C578" s="54" t="s">
        <v>592</v>
      </c>
      <c r="D578" s="0" t="n">
        <v>0.0885842791098279</v>
      </c>
      <c r="E578" s="0" t="n">
        <v>0.0502086488478253</v>
      </c>
      <c r="F578" s="0" t="n">
        <v>0</v>
      </c>
      <c r="G578" s="0" t="n">
        <v>2020</v>
      </c>
    </row>
    <row r="579" customFormat="false" ht="15" hidden="false" customHeight="false" outlineLevel="0" collapsed="false">
      <c r="A579" s="0" t="s">
        <v>258</v>
      </c>
      <c r="B579" s="52" t="n">
        <v>44061</v>
      </c>
      <c r="C579" s="54" t="s">
        <v>590</v>
      </c>
      <c r="D579" s="0" t="n">
        <v>0.0079969478033211</v>
      </c>
      <c r="E579" s="0" t="n">
        <v>0.0895778900943671</v>
      </c>
      <c r="F579" s="0" t="n">
        <v>0</v>
      </c>
      <c r="G579" s="0" t="n">
        <v>2020</v>
      </c>
    </row>
    <row r="580" customFormat="false" ht="15" hidden="false" customHeight="false" outlineLevel="0" collapsed="false">
      <c r="A580" s="0" t="s">
        <v>258</v>
      </c>
      <c r="B580" s="52" t="n">
        <v>44061</v>
      </c>
      <c r="C580" s="54" t="s">
        <v>591</v>
      </c>
      <c r="D580" s="0" t="n">
        <v>0.0297559814605524</v>
      </c>
      <c r="E580" s="0" t="n">
        <v>0.106355658666376</v>
      </c>
      <c r="F580" s="0" t="n">
        <v>0</v>
      </c>
      <c r="G580" s="0" t="n">
        <v>2020</v>
      </c>
    </row>
    <row r="581" customFormat="false" ht="15" hidden="false" customHeight="false" outlineLevel="0" collapsed="false">
      <c r="A581" s="0" t="s">
        <v>258</v>
      </c>
      <c r="B581" s="52" t="n">
        <v>44061</v>
      </c>
      <c r="C581" s="54" t="s">
        <v>592</v>
      </c>
      <c r="D581" s="0" t="n">
        <v>0</v>
      </c>
      <c r="E581" s="0" t="n">
        <v>0.067873378046527</v>
      </c>
      <c r="F581" s="0" t="n">
        <v>0</v>
      </c>
      <c r="G581" s="0" t="n">
        <v>2020</v>
      </c>
    </row>
    <row r="582" customFormat="false" ht="15" hidden="false" customHeight="false" outlineLevel="0" collapsed="false">
      <c r="A582" s="0" t="s">
        <v>258</v>
      </c>
      <c r="B582" s="52" t="n">
        <v>44062</v>
      </c>
      <c r="C582" s="54" t="s">
        <v>590</v>
      </c>
      <c r="D582" s="0" t="n">
        <v>0.05011015109615</v>
      </c>
      <c r="E582" s="0" t="n">
        <v>0.165897918558993</v>
      </c>
      <c r="F582" s="0" t="n">
        <v>0</v>
      </c>
      <c r="G582" s="0" t="n">
        <v>2020</v>
      </c>
    </row>
    <row r="583" customFormat="false" ht="15" hidden="false" customHeight="false" outlineLevel="0" collapsed="false">
      <c r="A583" s="0" t="s">
        <v>258</v>
      </c>
      <c r="B583" s="52" t="n">
        <v>44062</v>
      </c>
      <c r="C583" s="54" t="s">
        <v>591</v>
      </c>
      <c r="D583" s="0" t="n">
        <v>0.0004316884018321</v>
      </c>
      <c r="E583" s="0" t="n">
        <v>0.0632797811406444</v>
      </c>
      <c r="F583" s="0" t="n">
        <v>0</v>
      </c>
      <c r="G583" s="0" t="n">
        <v>2020</v>
      </c>
    </row>
    <row r="584" customFormat="false" ht="15" hidden="false" customHeight="false" outlineLevel="0" collapsed="false">
      <c r="A584" s="0" t="s">
        <v>258</v>
      </c>
      <c r="B584" s="52" t="n">
        <v>44062</v>
      </c>
      <c r="C584" s="54" t="s">
        <v>592</v>
      </c>
      <c r="D584" s="0" t="n">
        <v>0.0001768822621914</v>
      </c>
      <c r="E584" s="0" t="n">
        <v>0.0605538367881571</v>
      </c>
      <c r="F584" s="0" t="n">
        <v>0</v>
      </c>
      <c r="G584" s="0" t="n">
        <v>2020</v>
      </c>
    </row>
    <row r="585" customFormat="false" ht="15" hidden="false" customHeight="false" outlineLevel="0" collapsed="false">
      <c r="A585" s="0" t="s">
        <v>258</v>
      </c>
      <c r="B585" s="52" t="n">
        <v>44063</v>
      </c>
      <c r="C585" s="54" t="s">
        <v>590</v>
      </c>
      <c r="D585" s="0" t="n">
        <v>0.0224120557081873</v>
      </c>
      <c r="E585" s="0" t="n">
        <v>0.112237858892544</v>
      </c>
      <c r="F585" s="0" t="n">
        <v>0</v>
      </c>
      <c r="G585" s="0" t="n">
        <v>2020</v>
      </c>
    </row>
    <row r="586" customFormat="false" ht="15" hidden="false" customHeight="false" outlineLevel="0" collapsed="false">
      <c r="A586" s="0" t="s">
        <v>258</v>
      </c>
      <c r="B586" s="52" t="n">
        <v>44063</v>
      </c>
      <c r="C586" s="54" t="s">
        <v>591</v>
      </c>
      <c r="D586" s="0" t="n">
        <v>0.0654945280451456</v>
      </c>
      <c r="E586" s="0" t="n">
        <v>0.26349497888987</v>
      </c>
      <c r="F586" s="0" t="n">
        <v>0</v>
      </c>
      <c r="G586" s="0" t="n">
        <v>2020</v>
      </c>
    </row>
    <row r="587" customFormat="false" ht="15" hidden="false" customHeight="false" outlineLevel="0" collapsed="false">
      <c r="A587" s="0" t="s">
        <v>258</v>
      </c>
      <c r="B587" s="52" t="n">
        <v>44063</v>
      </c>
      <c r="C587" s="54" t="s">
        <v>592</v>
      </c>
      <c r="D587" s="0" t="n">
        <v>0</v>
      </c>
      <c r="E587" s="0" t="n">
        <v>0.0559390324104494</v>
      </c>
      <c r="F587" s="0" t="n">
        <v>0</v>
      </c>
      <c r="G587" s="0" t="n">
        <v>2020</v>
      </c>
    </row>
    <row r="588" customFormat="false" ht="15" hidden="false" customHeight="false" outlineLevel="0" collapsed="false">
      <c r="A588" s="0" t="s">
        <v>258</v>
      </c>
      <c r="B588" s="52" t="n">
        <v>44064</v>
      </c>
      <c r="C588" s="54" t="s">
        <v>590</v>
      </c>
      <c r="D588" s="0" t="n">
        <v>0.0635543517225273</v>
      </c>
      <c r="E588" s="0" t="n">
        <v>0.137652937827861</v>
      </c>
      <c r="F588" s="0" t="n">
        <v>0</v>
      </c>
      <c r="G588" s="0" t="n">
        <v>2020</v>
      </c>
    </row>
    <row r="589" customFormat="false" ht="15" hidden="false" customHeight="false" outlineLevel="0" collapsed="false">
      <c r="A589" s="0" t="s">
        <v>258</v>
      </c>
      <c r="B589" s="52" t="n">
        <v>44064</v>
      </c>
      <c r="C589" s="54" t="s">
        <v>591</v>
      </c>
      <c r="D589" s="0" t="n">
        <v>0.0099064165379604</v>
      </c>
      <c r="E589" s="0" t="n">
        <v>0.151037057895502</v>
      </c>
      <c r="F589" s="0" t="n">
        <v>0</v>
      </c>
      <c r="G589" s="0" t="n">
        <v>2020</v>
      </c>
    </row>
    <row r="590" customFormat="false" ht="15" hidden="false" customHeight="false" outlineLevel="0" collapsed="false">
      <c r="A590" s="0" t="s">
        <v>258</v>
      </c>
      <c r="B590" s="52" t="n">
        <v>44064</v>
      </c>
      <c r="C590" s="54" t="s">
        <v>592</v>
      </c>
      <c r="D590" s="0" t="n">
        <v>0.0786817557132587</v>
      </c>
      <c r="E590" s="0" t="n">
        <v>0.142461209567243</v>
      </c>
      <c r="F590" s="0" t="n">
        <v>0</v>
      </c>
      <c r="G590" s="0" t="n">
        <v>2020</v>
      </c>
    </row>
    <row r="591" customFormat="false" ht="15" hidden="false" customHeight="false" outlineLevel="0" collapsed="false">
      <c r="A591" s="0" t="s">
        <v>258</v>
      </c>
      <c r="B591" s="52" t="n">
        <v>44065</v>
      </c>
      <c r="C591" s="54" t="s">
        <v>590</v>
      </c>
      <c r="D591" s="0" t="n">
        <v>0.122959686103738</v>
      </c>
      <c r="E591" s="0" t="n">
        <v>0.0306208850117604</v>
      </c>
      <c r="F591" s="0" t="n">
        <v>1</v>
      </c>
      <c r="G591" s="0" t="n">
        <v>2020</v>
      </c>
    </row>
    <row r="592" customFormat="false" ht="15" hidden="false" customHeight="false" outlineLevel="0" collapsed="false">
      <c r="A592" s="0" t="s">
        <v>258</v>
      </c>
      <c r="B592" s="52" t="n">
        <v>44066</v>
      </c>
      <c r="C592" s="54" t="s">
        <v>591</v>
      </c>
      <c r="D592" s="0" t="n">
        <v>0.151604146009278</v>
      </c>
      <c r="E592" s="0" t="n">
        <v>0.0945051253405902</v>
      </c>
      <c r="F592" s="0" t="n">
        <v>1</v>
      </c>
      <c r="G592" s="0" t="n">
        <v>2020</v>
      </c>
    </row>
    <row r="593" customFormat="false" ht="15" hidden="false" customHeight="false" outlineLevel="0" collapsed="false">
      <c r="A593" s="0" t="s">
        <v>258</v>
      </c>
      <c r="B593" s="52" t="n">
        <v>44066</v>
      </c>
      <c r="C593" s="54" t="s">
        <v>592</v>
      </c>
      <c r="D593" s="0" t="n">
        <v>0.0015862313020793</v>
      </c>
      <c r="E593" s="0" t="n">
        <v>0.150819023617871</v>
      </c>
      <c r="F593" s="0" t="n">
        <v>1</v>
      </c>
      <c r="G593" s="0" t="n">
        <v>2020</v>
      </c>
    </row>
    <row r="594" customFormat="false" ht="15" hidden="false" customHeight="false" outlineLevel="0" collapsed="false">
      <c r="A594" s="0" t="s">
        <v>258</v>
      </c>
      <c r="B594" s="52" t="n">
        <v>44067</v>
      </c>
      <c r="C594" s="54" t="s">
        <v>590</v>
      </c>
      <c r="D594" s="0" t="n">
        <v>0.0171695755131424</v>
      </c>
      <c r="E594" s="0" t="n">
        <v>0.204552742124124</v>
      </c>
      <c r="F594" s="0" t="n">
        <v>0</v>
      </c>
      <c r="G594" s="0" t="n">
        <v>2020</v>
      </c>
    </row>
    <row r="595" customFormat="false" ht="15" hidden="false" customHeight="false" outlineLevel="0" collapsed="false">
      <c r="A595" s="0" t="s">
        <v>258</v>
      </c>
      <c r="B595" s="52" t="n">
        <v>44067</v>
      </c>
      <c r="C595" s="54" t="s">
        <v>591</v>
      </c>
      <c r="D595" s="0" t="n">
        <v>0</v>
      </c>
      <c r="E595" s="0" t="n">
        <v>0.0275148447216921</v>
      </c>
      <c r="F595" s="0" t="n">
        <v>0</v>
      </c>
      <c r="G595" s="0" t="n">
        <v>2020</v>
      </c>
    </row>
    <row r="596" customFormat="false" ht="15" hidden="false" customHeight="false" outlineLevel="0" collapsed="false">
      <c r="A596" s="0" t="s">
        <v>258</v>
      </c>
      <c r="B596" s="52" t="n">
        <v>44067</v>
      </c>
      <c r="C596" s="54" t="s">
        <v>592</v>
      </c>
      <c r="D596" s="0" t="n">
        <v>0.0859540568302566</v>
      </c>
      <c r="E596" s="0" t="n">
        <v>0.138739030072777</v>
      </c>
      <c r="F596" s="0" t="n">
        <v>0</v>
      </c>
      <c r="G596" s="0" t="n">
        <v>2020</v>
      </c>
    </row>
    <row r="597" customFormat="false" ht="15" hidden="false" customHeight="false" outlineLevel="0" collapsed="false">
      <c r="A597" s="0" t="s">
        <v>258</v>
      </c>
      <c r="B597" s="52" t="n">
        <v>44068</v>
      </c>
      <c r="C597" s="54" t="s">
        <v>590</v>
      </c>
      <c r="D597" s="0" t="n">
        <v>0.0101125813332956</v>
      </c>
      <c r="E597" s="0" t="n">
        <v>0.152019709258304</v>
      </c>
      <c r="F597" s="0" t="n">
        <v>0</v>
      </c>
      <c r="G597" s="0" t="n">
        <v>2020</v>
      </c>
    </row>
    <row r="598" customFormat="false" ht="15" hidden="false" customHeight="false" outlineLevel="0" collapsed="false">
      <c r="A598" s="0" t="s">
        <v>258</v>
      </c>
      <c r="B598" s="52" t="n">
        <v>44068</v>
      </c>
      <c r="C598" s="54" t="s">
        <v>591</v>
      </c>
      <c r="D598" s="0" t="n">
        <v>0</v>
      </c>
      <c r="E598" s="0" t="n">
        <v>0.0547032464585762</v>
      </c>
      <c r="F598" s="0" t="n">
        <v>0</v>
      </c>
      <c r="G598" s="0" t="n">
        <v>2020</v>
      </c>
    </row>
    <row r="599" customFormat="false" ht="15" hidden="false" customHeight="false" outlineLevel="0" collapsed="false">
      <c r="A599" s="0" t="s">
        <v>258</v>
      </c>
      <c r="B599" s="52" t="n">
        <v>44068</v>
      </c>
      <c r="C599" s="54" t="s">
        <v>592</v>
      </c>
      <c r="D599" s="0" t="n">
        <v>0.0094388612907688</v>
      </c>
      <c r="E599" s="0" t="n">
        <v>0.212681629959944</v>
      </c>
      <c r="F599" s="0" t="n">
        <v>0</v>
      </c>
      <c r="G599" s="0" t="n">
        <v>2020</v>
      </c>
    </row>
    <row r="600" customFormat="false" ht="15" hidden="false" customHeight="false" outlineLevel="0" collapsed="false">
      <c r="A600" s="0" t="s">
        <v>258</v>
      </c>
      <c r="B600" s="52" t="n">
        <v>44069</v>
      </c>
      <c r="C600" s="54" t="s">
        <v>590</v>
      </c>
      <c r="D600" s="0" t="n">
        <v>0.976618658435586</v>
      </c>
      <c r="E600" s="0" t="n">
        <v>0.0128092577128655</v>
      </c>
      <c r="F600" s="0" t="n">
        <v>0</v>
      </c>
      <c r="G600" s="0" t="n">
        <v>2020</v>
      </c>
    </row>
    <row r="601" customFormat="false" ht="15" hidden="false" customHeight="false" outlineLevel="0" collapsed="false">
      <c r="A601" s="0" t="s">
        <v>258</v>
      </c>
      <c r="B601" s="52" t="n">
        <v>44069</v>
      </c>
      <c r="C601" s="54" t="s">
        <v>591</v>
      </c>
      <c r="D601" s="0" t="n">
        <v>0.0160496022786638</v>
      </c>
      <c r="E601" s="0" t="n">
        <v>0.0849908159684807</v>
      </c>
      <c r="F601" s="0" t="n">
        <v>0</v>
      </c>
      <c r="G601" s="0" t="n">
        <v>2020</v>
      </c>
    </row>
    <row r="602" customFormat="false" ht="15" hidden="false" customHeight="false" outlineLevel="0" collapsed="false">
      <c r="A602" s="0" t="s">
        <v>258</v>
      </c>
      <c r="B602" s="52" t="n">
        <v>44069</v>
      </c>
      <c r="C602" s="54" t="s">
        <v>592</v>
      </c>
      <c r="D602" s="0" t="n">
        <v>0.0004069358766408</v>
      </c>
      <c r="E602" s="0" t="n">
        <v>0.0478374060325291</v>
      </c>
      <c r="F602" s="0" t="n">
        <v>0</v>
      </c>
      <c r="G602" s="0" t="n">
        <v>2020</v>
      </c>
    </row>
    <row r="603" customFormat="false" ht="15" hidden="false" customHeight="false" outlineLevel="0" collapsed="false">
      <c r="A603" s="0" t="s">
        <v>258</v>
      </c>
      <c r="B603" s="52" t="n">
        <v>44070</v>
      </c>
      <c r="C603" s="54" t="s">
        <v>590</v>
      </c>
      <c r="D603" s="0" t="n">
        <v>0.0086834143985623</v>
      </c>
      <c r="E603" s="0" t="n">
        <v>0.0494318732690789</v>
      </c>
      <c r="F603" s="0" t="n">
        <v>0</v>
      </c>
      <c r="G603" s="0" t="n">
        <v>2020</v>
      </c>
    </row>
    <row r="604" customFormat="false" ht="15" hidden="false" customHeight="false" outlineLevel="0" collapsed="false">
      <c r="A604" s="0" t="s">
        <v>258</v>
      </c>
      <c r="B604" s="52" t="n">
        <v>44070</v>
      </c>
      <c r="C604" s="54" t="s">
        <v>591</v>
      </c>
      <c r="D604" s="0" t="n">
        <v>0.0331159833226436</v>
      </c>
      <c r="E604" s="0" t="n">
        <v>0.0614691155372135</v>
      </c>
      <c r="F604" s="0" t="n">
        <v>0</v>
      </c>
      <c r="G604" s="0" t="n">
        <v>2020</v>
      </c>
    </row>
    <row r="605" customFormat="false" ht="15" hidden="false" customHeight="false" outlineLevel="0" collapsed="false">
      <c r="A605" s="0" t="s">
        <v>258</v>
      </c>
      <c r="B605" s="52" t="n">
        <v>44070</v>
      </c>
      <c r="C605" s="54" t="s">
        <v>592</v>
      </c>
      <c r="D605" s="0" t="n">
        <v>0.0580297082645394</v>
      </c>
      <c r="E605" s="0" t="n">
        <v>0.0399853762827086</v>
      </c>
      <c r="F605" s="0" t="n">
        <v>0</v>
      </c>
      <c r="G605" s="0" t="n">
        <v>2020</v>
      </c>
    </row>
    <row r="606" customFormat="false" ht="15" hidden="false" customHeight="false" outlineLevel="0" collapsed="false">
      <c r="A606" s="0" t="s">
        <v>258</v>
      </c>
      <c r="B606" s="52" t="n">
        <v>44071</v>
      </c>
      <c r="C606" s="54" t="s">
        <v>590</v>
      </c>
      <c r="D606" s="0" t="n">
        <v>0.0015467519625377</v>
      </c>
      <c r="E606" s="0" t="n">
        <v>0.149614970737855</v>
      </c>
      <c r="F606" s="0" t="n">
        <v>0</v>
      </c>
      <c r="G606" s="0" t="n">
        <v>2020</v>
      </c>
    </row>
    <row r="607" customFormat="false" ht="15" hidden="false" customHeight="false" outlineLevel="0" collapsed="false">
      <c r="A607" s="0" t="s">
        <v>258</v>
      </c>
      <c r="B607" s="52" t="n">
        <v>44071</v>
      </c>
      <c r="C607" s="54" t="s">
        <v>591</v>
      </c>
      <c r="D607" s="0" t="n">
        <v>0</v>
      </c>
      <c r="E607" s="0" t="n">
        <v>0.0633154265285061</v>
      </c>
      <c r="F607" s="0" t="n">
        <v>0</v>
      </c>
      <c r="G607" s="0" t="n">
        <v>2020</v>
      </c>
    </row>
    <row r="608" customFormat="false" ht="15" hidden="false" customHeight="false" outlineLevel="0" collapsed="false">
      <c r="A608" s="0" t="s">
        <v>258</v>
      </c>
      <c r="B608" s="52" t="n">
        <v>44071</v>
      </c>
      <c r="C608" s="54" t="s">
        <v>592</v>
      </c>
      <c r="D608" s="0" t="n">
        <v>0.0012347313370422</v>
      </c>
      <c r="E608" s="0" t="n">
        <v>0.080322541205621</v>
      </c>
      <c r="F608" s="0" t="n">
        <v>0</v>
      </c>
      <c r="G608" s="0" t="n">
        <v>2020</v>
      </c>
    </row>
    <row r="609" customFormat="false" ht="15" hidden="false" customHeight="false" outlineLevel="0" collapsed="false">
      <c r="A609" s="0" t="s">
        <v>258</v>
      </c>
      <c r="B609" s="52" t="n">
        <v>44072</v>
      </c>
      <c r="C609" s="54" t="s">
        <v>590</v>
      </c>
      <c r="D609" s="0" t="n">
        <v>0.0561085551397063</v>
      </c>
      <c r="E609" s="0" t="n">
        <v>0.116579844059743</v>
      </c>
      <c r="F609" s="0" t="n">
        <v>1</v>
      </c>
      <c r="G609" s="0" t="n">
        <v>2020</v>
      </c>
    </row>
    <row r="610" customFormat="false" ht="15" hidden="false" customHeight="false" outlineLevel="0" collapsed="false">
      <c r="A610" s="0" t="s">
        <v>258</v>
      </c>
      <c r="B610" s="52" t="n">
        <v>44073</v>
      </c>
      <c r="C610" s="54" t="s">
        <v>590</v>
      </c>
      <c r="D610" s="0" t="n">
        <v>1</v>
      </c>
      <c r="E610" s="0" t="n">
        <v>0</v>
      </c>
      <c r="F610" s="0" t="n">
        <v>1</v>
      </c>
      <c r="G610" s="0" t="n">
        <v>2020</v>
      </c>
    </row>
    <row r="611" customFormat="false" ht="15" hidden="false" customHeight="false" outlineLevel="0" collapsed="false">
      <c r="A611" s="0" t="s">
        <v>258</v>
      </c>
      <c r="B611" s="52" t="n">
        <v>44073</v>
      </c>
      <c r="C611" s="54" t="s">
        <v>591</v>
      </c>
      <c r="D611" s="0" t="n">
        <v>0.127115126470238</v>
      </c>
      <c r="E611" s="0" t="n">
        <v>0.1230989600909</v>
      </c>
      <c r="F611" s="0" t="n">
        <v>1</v>
      </c>
      <c r="G611" s="0" t="n">
        <v>2020</v>
      </c>
    </row>
    <row r="612" customFormat="false" ht="15" hidden="false" customHeight="false" outlineLevel="0" collapsed="false">
      <c r="A612" s="0" t="s">
        <v>258</v>
      </c>
      <c r="B612" s="52" t="n">
        <v>44073</v>
      </c>
      <c r="C612" s="54" t="s">
        <v>592</v>
      </c>
      <c r="D612" s="0" t="n">
        <v>0</v>
      </c>
      <c r="E612" s="0" t="n">
        <v>0.0963848289802633</v>
      </c>
      <c r="F612" s="0" t="n">
        <v>1</v>
      </c>
      <c r="G612" s="0" t="n">
        <v>2020</v>
      </c>
    </row>
    <row r="613" customFormat="false" ht="15" hidden="false" customHeight="false" outlineLevel="0" collapsed="false">
      <c r="A613" s="0" t="s">
        <v>258</v>
      </c>
      <c r="B613" s="52" t="n">
        <v>44074</v>
      </c>
      <c r="C613" s="54" t="s">
        <v>590</v>
      </c>
      <c r="D613" s="0" t="n">
        <v>0</v>
      </c>
      <c r="E613" s="0" t="n">
        <v>0.0856720500242039</v>
      </c>
      <c r="F613" s="0" t="n">
        <v>0</v>
      </c>
      <c r="G613" s="0" t="n">
        <v>2020</v>
      </c>
    </row>
    <row r="614" customFormat="false" ht="15" hidden="false" customHeight="false" outlineLevel="0" collapsed="false">
      <c r="A614" s="0" t="s">
        <v>258</v>
      </c>
      <c r="B614" s="52" t="n">
        <v>44074</v>
      </c>
      <c r="C614" s="54" t="s">
        <v>591</v>
      </c>
      <c r="D614" s="0" t="n">
        <v>0</v>
      </c>
      <c r="E614" s="0" t="n">
        <v>0.170990789536068</v>
      </c>
      <c r="F614" s="0" t="n">
        <v>0</v>
      </c>
      <c r="G614" s="0" t="n">
        <v>2020</v>
      </c>
    </row>
    <row r="615" customFormat="false" ht="15" hidden="false" customHeight="false" outlineLevel="0" collapsed="false">
      <c r="A615" s="0" t="s">
        <v>258</v>
      </c>
      <c r="B615" s="52" t="n">
        <v>44074</v>
      </c>
      <c r="C615" s="54" t="s">
        <v>592</v>
      </c>
      <c r="D615" s="0" t="n">
        <v>0.0804260235678649</v>
      </c>
      <c r="E615" s="0" t="n">
        <v>0.108001049473877</v>
      </c>
      <c r="F615" s="0" t="n">
        <v>0</v>
      </c>
      <c r="G615" s="0" t="n">
        <v>2020</v>
      </c>
    </row>
    <row r="616" customFormat="false" ht="15" hidden="false" customHeight="false" outlineLevel="0" collapsed="false">
      <c r="A616" s="0" t="s">
        <v>258</v>
      </c>
      <c r="B616" s="52" t="n">
        <v>44075</v>
      </c>
      <c r="C616" s="54" t="s">
        <v>590</v>
      </c>
      <c r="D616" s="0" t="n">
        <v>0.0010879826695296</v>
      </c>
      <c r="E616" s="0" t="n">
        <v>0.149166850521818</v>
      </c>
      <c r="F616" s="0" t="n">
        <v>0</v>
      </c>
      <c r="G616" s="0" t="n">
        <v>2020</v>
      </c>
    </row>
    <row r="617" customFormat="false" ht="15" hidden="false" customHeight="false" outlineLevel="0" collapsed="false">
      <c r="A617" s="0" t="s">
        <v>258</v>
      </c>
      <c r="B617" s="52" t="n">
        <v>44075</v>
      </c>
      <c r="C617" s="54" t="s">
        <v>591</v>
      </c>
      <c r="D617" s="0" t="n">
        <v>0.00949861884379</v>
      </c>
      <c r="E617" s="0" t="n">
        <v>0.181254333136696</v>
      </c>
      <c r="F617" s="0" t="n">
        <v>0</v>
      </c>
      <c r="G617" s="0" t="n">
        <v>2020</v>
      </c>
    </row>
    <row r="618" customFormat="false" ht="15" hidden="false" customHeight="false" outlineLevel="0" collapsed="false">
      <c r="A618" s="0" t="s">
        <v>258</v>
      </c>
      <c r="B618" s="52" t="n">
        <v>44075</v>
      </c>
      <c r="C618" s="54" t="s">
        <v>592</v>
      </c>
      <c r="D618" s="0" t="n">
        <v>0.0125857133501421</v>
      </c>
      <c r="E618" s="0" t="n">
        <v>0.0510762079544636</v>
      </c>
      <c r="F618" s="0" t="n">
        <v>0</v>
      </c>
      <c r="G618" s="0" t="n">
        <v>2020</v>
      </c>
    </row>
    <row r="619" customFormat="false" ht="15" hidden="false" customHeight="false" outlineLevel="0" collapsed="false">
      <c r="A619" s="0" t="s">
        <v>258</v>
      </c>
      <c r="B619" s="52" t="n">
        <v>44076</v>
      </c>
      <c r="C619" s="54" t="s">
        <v>590</v>
      </c>
      <c r="D619" s="0" t="n">
        <v>0.05575047182539</v>
      </c>
      <c r="E619" s="0" t="n">
        <v>0.177736754510309</v>
      </c>
      <c r="F619" s="0" t="n">
        <v>0</v>
      </c>
      <c r="G619" s="0" t="n">
        <v>2020</v>
      </c>
    </row>
    <row r="620" customFormat="false" ht="15" hidden="false" customHeight="false" outlineLevel="0" collapsed="false">
      <c r="A620" s="0" t="s">
        <v>258</v>
      </c>
      <c r="B620" s="52" t="n">
        <v>44076</v>
      </c>
      <c r="C620" s="54" t="s">
        <v>591</v>
      </c>
      <c r="D620" s="0" t="n">
        <v>0.0245389379396173</v>
      </c>
      <c r="E620" s="0" t="n">
        <v>0.0464953682457684</v>
      </c>
      <c r="F620" s="0" t="n">
        <v>0</v>
      </c>
      <c r="G620" s="0" t="n">
        <v>2020</v>
      </c>
    </row>
    <row r="621" customFormat="false" ht="15" hidden="false" customHeight="false" outlineLevel="0" collapsed="false">
      <c r="A621" s="0" t="s">
        <v>258</v>
      </c>
      <c r="B621" s="52" t="n">
        <v>44076</v>
      </c>
      <c r="C621" s="54" t="s">
        <v>592</v>
      </c>
      <c r="D621" s="0" t="n">
        <v>0</v>
      </c>
      <c r="E621" s="0" t="n">
        <v>0.0830213115849059</v>
      </c>
      <c r="F621" s="0" t="n">
        <v>0</v>
      </c>
      <c r="G621" s="0" t="n">
        <v>2020</v>
      </c>
    </row>
    <row r="622" customFormat="false" ht="15" hidden="false" customHeight="false" outlineLevel="0" collapsed="false">
      <c r="A622" s="0" t="s">
        <v>258</v>
      </c>
      <c r="B622" s="52" t="n">
        <v>44077</v>
      </c>
      <c r="C622" s="54" t="s">
        <v>590</v>
      </c>
      <c r="D622" s="0" t="n">
        <v>0.0118356326515515</v>
      </c>
      <c r="E622" s="0" t="n">
        <v>0.0654970503384251</v>
      </c>
      <c r="F622" s="0" t="n">
        <v>0</v>
      </c>
      <c r="G622" s="0" t="n">
        <v>2020</v>
      </c>
    </row>
    <row r="623" customFormat="false" ht="15" hidden="false" customHeight="false" outlineLevel="0" collapsed="false">
      <c r="A623" s="0" t="s">
        <v>258</v>
      </c>
      <c r="B623" s="52" t="n">
        <v>44077</v>
      </c>
      <c r="C623" s="54" t="s">
        <v>591</v>
      </c>
      <c r="D623" s="0" t="n">
        <v>0.054467881899712</v>
      </c>
      <c r="E623" s="0" t="n">
        <v>0.0365340698111565</v>
      </c>
      <c r="F623" s="0" t="n">
        <v>0</v>
      </c>
      <c r="G623" s="0" t="n">
        <v>2020</v>
      </c>
    </row>
    <row r="624" customFormat="false" ht="15" hidden="false" customHeight="false" outlineLevel="0" collapsed="false">
      <c r="A624" s="0" t="s">
        <v>258</v>
      </c>
      <c r="B624" s="52" t="n">
        <v>44077</v>
      </c>
      <c r="C624" s="54" t="s">
        <v>592</v>
      </c>
      <c r="D624" s="0" t="n">
        <v>0.0591836042719819</v>
      </c>
      <c r="E624" s="0" t="n">
        <v>0.123024988446596</v>
      </c>
      <c r="F624" s="0" t="n">
        <v>0</v>
      </c>
      <c r="G624" s="0" t="n">
        <v>2020</v>
      </c>
    </row>
    <row r="625" customFormat="false" ht="15" hidden="false" customHeight="false" outlineLevel="0" collapsed="false">
      <c r="A625" s="0" t="s">
        <v>258</v>
      </c>
      <c r="B625" s="52" t="n">
        <v>44078</v>
      </c>
      <c r="C625" s="54" t="s">
        <v>590</v>
      </c>
      <c r="D625" s="0" t="n">
        <v>0.0153454648814277</v>
      </c>
      <c r="E625" s="0" t="n">
        <v>0.137504386779329</v>
      </c>
      <c r="F625" s="0" t="n">
        <v>0</v>
      </c>
      <c r="G625" s="0" t="n">
        <v>2020</v>
      </c>
    </row>
    <row r="626" customFormat="false" ht="15" hidden="false" customHeight="false" outlineLevel="0" collapsed="false">
      <c r="A626" s="0" t="s">
        <v>258</v>
      </c>
      <c r="B626" s="52" t="n">
        <v>44078</v>
      </c>
      <c r="C626" s="54" t="s">
        <v>591</v>
      </c>
      <c r="D626" s="0" t="n">
        <v>0.0627773933723082</v>
      </c>
      <c r="E626" s="0" t="n">
        <v>0.0671724856418817</v>
      </c>
      <c r="F626" s="0" t="n">
        <v>0</v>
      </c>
      <c r="G626" s="0" t="n">
        <v>2020</v>
      </c>
    </row>
    <row r="627" customFormat="false" ht="15" hidden="false" customHeight="false" outlineLevel="0" collapsed="false">
      <c r="A627" s="0" t="s">
        <v>258</v>
      </c>
      <c r="B627" s="52" t="n">
        <v>44078</v>
      </c>
      <c r="C627" s="54" t="s">
        <v>592</v>
      </c>
      <c r="D627" s="0" t="n">
        <v>0</v>
      </c>
      <c r="E627" s="0" t="n">
        <v>0.0606407555882854</v>
      </c>
      <c r="F627" s="0" t="n">
        <v>0</v>
      </c>
      <c r="G627" s="0" t="n">
        <v>2020</v>
      </c>
    </row>
    <row r="628" customFormat="false" ht="15" hidden="false" customHeight="false" outlineLevel="0" collapsed="false">
      <c r="A628" s="0" t="s">
        <v>258</v>
      </c>
      <c r="B628" s="52" t="n">
        <v>44079</v>
      </c>
      <c r="C628" s="54" t="s">
        <v>590</v>
      </c>
      <c r="D628" s="0" t="n">
        <v>0.291239248380235</v>
      </c>
      <c r="E628" s="0" t="n">
        <v>0.112965628690681</v>
      </c>
      <c r="F628" s="0" t="n">
        <v>1</v>
      </c>
      <c r="G628" s="0" t="n">
        <v>2020</v>
      </c>
    </row>
    <row r="629" customFormat="false" ht="15" hidden="false" customHeight="false" outlineLevel="0" collapsed="false">
      <c r="A629" s="0" t="s">
        <v>258</v>
      </c>
      <c r="B629" s="52" t="n">
        <v>44080</v>
      </c>
      <c r="C629" s="54" t="s">
        <v>591</v>
      </c>
      <c r="D629" s="0" t="n">
        <v>0.233278874916109</v>
      </c>
      <c r="E629" s="0" t="n">
        <v>0.0849457884677212</v>
      </c>
      <c r="F629" s="0" t="n">
        <v>1</v>
      </c>
      <c r="G629" s="0" t="n">
        <v>2020</v>
      </c>
    </row>
    <row r="630" customFormat="false" ht="15" hidden="false" customHeight="false" outlineLevel="0" collapsed="false">
      <c r="A630" s="0" t="s">
        <v>258</v>
      </c>
      <c r="B630" s="52" t="n">
        <v>44080</v>
      </c>
      <c r="C630" s="54" t="s">
        <v>592</v>
      </c>
      <c r="D630" s="0" t="n">
        <v>0.0882222701886573</v>
      </c>
      <c r="E630" s="0" t="n">
        <v>0.100790308334482</v>
      </c>
      <c r="F630" s="0" t="n">
        <v>1</v>
      </c>
      <c r="G630" s="0" t="n">
        <v>2020</v>
      </c>
    </row>
    <row r="631" customFormat="false" ht="15" hidden="false" customHeight="false" outlineLevel="0" collapsed="false">
      <c r="A631" s="0" t="s">
        <v>258</v>
      </c>
      <c r="B631" s="52" t="n">
        <v>44081</v>
      </c>
      <c r="C631" s="54" t="s">
        <v>590</v>
      </c>
      <c r="D631" s="0" t="n">
        <v>0.0125405084247417</v>
      </c>
      <c r="E631" s="0" t="n">
        <v>0.0612568868131693</v>
      </c>
      <c r="F631" s="0" t="n">
        <v>0</v>
      </c>
      <c r="G631" s="0" t="n">
        <v>2020</v>
      </c>
    </row>
    <row r="632" customFormat="false" ht="15" hidden="false" customHeight="false" outlineLevel="0" collapsed="false">
      <c r="A632" s="0" t="s">
        <v>258</v>
      </c>
      <c r="B632" s="52" t="n">
        <v>44081</v>
      </c>
      <c r="C632" s="54" t="s">
        <v>591</v>
      </c>
      <c r="D632" s="0" t="n">
        <v>0.03393171543724</v>
      </c>
      <c r="E632" s="0" t="n">
        <v>0.086349738229781</v>
      </c>
      <c r="F632" s="0" t="n">
        <v>0</v>
      </c>
      <c r="G632" s="0" t="n">
        <v>2020</v>
      </c>
    </row>
    <row r="633" customFormat="false" ht="15" hidden="false" customHeight="false" outlineLevel="0" collapsed="false">
      <c r="A633" s="0" t="s">
        <v>258</v>
      </c>
      <c r="B633" s="52" t="n">
        <v>44081</v>
      </c>
      <c r="C633" s="54" t="s">
        <v>592</v>
      </c>
      <c r="D633" s="0" t="n">
        <v>0.0854588661406092</v>
      </c>
      <c r="E633" s="0" t="n">
        <v>0.0583235901220538</v>
      </c>
      <c r="F633" s="0" t="n">
        <v>0</v>
      </c>
      <c r="G633" s="0" t="n">
        <v>2020</v>
      </c>
    </row>
    <row r="634" customFormat="false" ht="15" hidden="false" customHeight="false" outlineLevel="0" collapsed="false">
      <c r="A634" s="0" t="s">
        <v>258</v>
      </c>
      <c r="B634" s="52" t="n">
        <v>44082</v>
      </c>
      <c r="C634" s="54" t="s">
        <v>590</v>
      </c>
      <c r="D634" s="0" t="n">
        <v>0.0077659926096684</v>
      </c>
      <c r="E634" s="0" t="n">
        <v>0.0768191558184735</v>
      </c>
      <c r="F634" s="0" t="n">
        <v>0</v>
      </c>
      <c r="G634" s="0" t="n">
        <v>2020</v>
      </c>
    </row>
    <row r="635" customFormat="false" ht="15" hidden="false" customHeight="false" outlineLevel="0" collapsed="false">
      <c r="A635" s="0" t="s">
        <v>258</v>
      </c>
      <c r="B635" s="52" t="n">
        <v>44082</v>
      </c>
      <c r="C635" s="54" t="s">
        <v>591</v>
      </c>
      <c r="D635" s="0" t="n">
        <v>0.0249384508977361</v>
      </c>
      <c r="E635" s="0" t="n">
        <v>0.0408597179063046</v>
      </c>
      <c r="F635" s="0" t="n">
        <v>0</v>
      </c>
      <c r="G635" s="0" t="n">
        <v>2020</v>
      </c>
    </row>
    <row r="636" customFormat="false" ht="15" hidden="false" customHeight="false" outlineLevel="0" collapsed="false">
      <c r="A636" s="0" t="s">
        <v>258</v>
      </c>
      <c r="B636" s="52" t="n">
        <v>44082</v>
      </c>
      <c r="C636" s="54" t="s">
        <v>592</v>
      </c>
      <c r="D636" s="0" t="n">
        <v>0.0250175682559276</v>
      </c>
      <c r="E636" s="0" t="n">
        <v>0.279528688899328</v>
      </c>
      <c r="F636" s="0" t="n">
        <v>0</v>
      </c>
      <c r="G636" s="0" t="n">
        <v>2020</v>
      </c>
    </row>
    <row r="637" customFormat="false" ht="15" hidden="false" customHeight="false" outlineLevel="0" collapsed="false">
      <c r="A637" s="0" t="s">
        <v>258</v>
      </c>
      <c r="B637" s="52" t="n">
        <v>44083</v>
      </c>
      <c r="C637" s="54" t="s">
        <v>590</v>
      </c>
      <c r="D637" s="0" t="n">
        <v>0.117007572307257</v>
      </c>
      <c r="E637" s="0" t="n">
        <v>0.0540043835474354</v>
      </c>
      <c r="F637" s="0" t="n">
        <v>0</v>
      </c>
      <c r="G637" s="0" t="n">
        <v>2020</v>
      </c>
    </row>
    <row r="638" customFormat="false" ht="15" hidden="false" customHeight="false" outlineLevel="0" collapsed="false">
      <c r="A638" s="0" t="s">
        <v>258</v>
      </c>
      <c r="B638" s="52" t="n">
        <v>44083</v>
      </c>
      <c r="C638" s="54" t="s">
        <v>591</v>
      </c>
      <c r="D638" s="0" t="n">
        <v>0.0240881942480818</v>
      </c>
      <c r="E638" s="0" t="n">
        <v>0.0761619543850752</v>
      </c>
      <c r="F638" s="0" t="n">
        <v>0</v>
      </c>
      <c r="G638" s="0" t="n">
        <v>2020</v>
      </c>
    </row>
    <row r="639" customFormat="false" ht="15" hidden="false" customHeight="false" outlineLevel="0" collapsed="false">
      <c r="A639" s="0" t="s">
        <v>258</v>
      </c>
      <c r="B639" s="52" t="n">
        <v>44083</v>
      </c>
      <c r="C639" s="54" t="s">
        <v>592</v>
      </c>
      <c r="D639" s="0" t="n">
        <v>0.0009978329962964</v>
      </c>
      <c r="E639" s="0" t="n">
        <v>0.168617006377328</v>
      </c>
      <c r="F639" s="0" t="n">
        <v>0</v>
      </c>
      <c r="G639" s="0" t="n">
        <v>2020</v>
      </c>
    </row>
    <row r="640" customFormat="false" ht="15" hidden="false" customHeight="false" outlineLevel="0" collapsed="false">
      <c r="A640" s="0" t="s">
        <v>258</v>
      </c>
      <c r="B640" s="52" t="n">
        <v>44084</v>
      </c>
      <c r="C640" s="54" t="s">
        <v>590</v>
      </c>
      <c r="D640" s="0" t="n">
        <v>0</v>
      </c>
      <c r="E640" s="0" t="n">
        <v>0.0763006939984052</v>
      </c>
      <c r="F640" s="0" t="n">
        <v>0</v>
      </c>
      <c r="G640" s="0" t="n">
        <v>2020</v>
      </c>
    </row>
    <row r="641" customFormat="false" ht="15" hidden="false" customHeight="false" outlineLevel="0" collapsed="false">
      <c r="A641" s="0" t="s">
        <v>258</v>
      </c>
      <c r="B641" s="52" t="n">
        <v>44084</v>
      </c>
      <c r="C641" s="54" t="s">
        <v>591</v>
      </c>
      <c r="D641" s="0" t="n">
        <v>0.0423927165968335</v>
      </c>
      <c r="E641" s="0" t="n">
        <v>0.0529737967022935</v>
      </c>
      <c r="F641" s="0" t="n">
        <v>0</v>
      </c>
      <c r="G641" s="0" t="n">
        <v>2020</v>
      </c>
    </row>
    <row r="642" customFormat="false" ht="15" hidden="false" customHeight="false" outlineLevel="0" collapsed="false">
      <c r="A642" s="0" t="s">
        <v>258</v>
      </c>
      <c r="B642" s="52" t="n">
        <v>44084</v>
      </c>
      <c r="C642" s="54" t="s">
        <v>592</v>
      </c>
      <c r="D642" s="0" t="n">
        <v>0.043545558842261</v>
      </c>
      <c r="E642" s="0" t="n">
        <v>0.125482683401496</v>
      </c>
      <c r="F642" s="0" t="n">
        <v>0</v>
      </c>
      <c r="G642" s="0" t="n">
        <v>2020</v>
      </c>
    </row>
    <row r="643" customFormat="false" ht="15" hidden="false" customHeight="false" outlineLevel="0" collapsed="false">
      <c r="A643" s="0" t="s">
        <v>258</v>
      </c>
      <c r="B643" s="52" t="n">
        <v>44085</v>
      </c>
      <c r="C643" s="54" t="s">
        <v>590</v>
      </c>
      <c r="D643" s="0" t="n">
        <v>0</v>
      </c>
      <c r="E643" s="0" t="n">
        <v>0.15564637846198</v>
      </c>
      <c r="F643" s="0" t="n">
        <v>0</v>
      </c>
      <c r="G643" s="0" t="n">
        <v>2020</v>
      </c>
    </row>
    <row r="644" customFormat="false" ht="15" hidden="false" customHeight="false" outlineLevel="0" collapsed="false">
      <c r="A644" s="0" t="s">
        <v>258</v>
      </c>
      <c r="B644" s="52" t="n">
        <v>44085</v>
      </c>
      <c r="C644" s="54" t="s">
        <v>591</v>
      </c>
      <c r="D644" s="0" t="n">
        <v>0.0067025789366231</v>
      </c>
      <c r="E644" s="0" t="n">
        <v>0.136677823545209</v>
      </c>
      <c r="F644" s="0" t="n">
        <v>0</v>
      </c>
      <c r="G644" s="0" t="n">
        <v>2020</v>
      </c>
    </row>
    <row r="645" customFormat="false" ht="15" hidden="false" customHeight="false" outlineLevel="0" collapsed="false">
      <c r="A645" s="0" t="s">
        <v>258</v>
      </c>
      <c r="B645" s="52" t="n">
        <v>44085</v>
      </c>
      <c r="C645" s="54" t="s">
        <v>592</v>
      </c>
      <c r="D645" s="0" t="n">
        <v>0</v>
      </c>
      <c r="E645" s="0" t="n">
        <v>0.179453375799504</v>
      </c>
      <c r="F645" s="0" t="n">
        <v>0</v>
      </c>
      <c r="G645" s="0" t="n">
        <v>2020</v>
      </c>
    </row>
    <row r="646" customFormat="false" ht="15" hidden="false" customHeight="false" outlineLevel="0" collapsed="false">
      <c r="A646" s="0" t="s">
        <v>258</v>
      </c>
      <c r="B646" s="52" t="n">
        <v>44086</v>
      </c>
      <c r="C646" s="54" t="s">
        <v>590</v>
      </c>
      <c r="D646" s="0" t="n">
        <v>0.222579712210061</v>
      </c>
      <c r="E646" s="0" t="n">
        <v>0.125362877126544</v>
      </c>
      <c r="F646" s="0" t="n">
        <v>1</v>
      </c>
      <c r="G646" s="0" t="n">
        <v>2020</v>
      </c>
    </row>
    <row r="647" customFormat="false" ht="15" hidden="false" customHeight="false" outlineLevel="0" collapsed="false">
      <c r="A647" s="0" t="s">
        <v>258</v>
      </c>
      <c r="B647" s="52" t="n">
        <v>44087</v>
      </c>
      <c r="C647" s="54" t="s">
        <v>590</v>
      </c>
      <c r="D647" s="0" t="n">
        <v>1</v>
      </c>
      <c r="E647" s="0" t="n">
        <v>0</v>
      </c>
      <c r="F647" s="0" t="n">
        <v>1</v>
      </c>
      <c r="G647" s="0" t="n">
        <v>2020</v>
      </c>
    </row>
    <row r="648" customFormat="false" ht="15" hidden="false" customHeight="false" outlineLevel="0" collapsed="false">
      <c r="A648" s="0" t="s">
        <v>258</v>
      </c>
      <c r="B648" s="52" t="n">
        <v>44087</v>
      </c>
      <c r="C648" s="54" t="s">
        <v>592</v>
      </c>
      <c r="D648" s="0" t="n">
        <v>0.0499188549323134</v>
      </c>
      <c r="E648" s="0" t="n">
        <v>0.173091575948943</v>
      </c>
      <c r="F648" s="0" t="n">
        <v>1</v>
      </c>
      <c r="G648" s="0" t="n">
        <v>2020</v>
      </c>
    </row>
    <row r="649" customFormat="false" ht="15" hidden="false" customHeight="false" outlineLevel="0" collapsed="false">
      <c r="A649" s="0" t="s">
        <v>258</v>
      </c>
      <c r="B649" s="52" t="n">
        <v>44088</v>
      </c>
      <c r="C649" s="54" t="s">
        <v>590</v>
      </c>
      <c r="D649" s="0" t="n">
        <v>0.131225504494896</v>
      </c>
      <c r="E649" s="0" t="n">
        <v>0.0927701915467268</v>
      </c>
      <c r="F649" s="0" t="n">
        <v>0</v>
      </c>
      <c r="G649" s="0" t="n">
        <v>2020</v>
      </c>
    </row>
    <row r="650" customFormat="false" ht="15" hidden="false" customHeight="false" outlineLevel="0" collapsed="false">
      <c r="A650" s="0" t="s">
        <v>258</v>
      </c>
      <c r="B650" s="52" t="n">
        <v>44088</v>
      </c>
      <c r="C650" s="54" t="s">
        <v>591</v>
      </c>
      <c r="D650" s="0" t="n">
        <v>0.0038312868190878</v>
      </c>
      <c r="E650" s="0" t="n">
        <v>0.0663028309667642</v>
      </c>
      <c r="F650" s="0" t="n">
        <v>0</v>
      </c>
      <c r="G650" s="0" t="n">
        <v>2020</v>
      </c>
    </row>
    <row r="651" customFormat="false" ht="15" hidden="false" customHeight="false" outlineLevel="0" collapsed="false">
      <c r="A651" s="0" t="s">
        <v>258</v>
      </c>
      <c r="B651" s="52" t="n">
        <v>44088</v>
      </c>
      <c r="C651" s="54" t="s">
        <v>592</v>
      </c>
      <c r="D651" s="0" t="n">
        <v>0.105569724794826</v>
      </c>
      <c r="E651" s="0" t="n">
        <v>0.0963055033439503</v>
      </c>
      <c r="F651" s="0" t="n">
        <v>0</v>
      </c>
      <c r="G651" s="0" t="n">
        <v>2020</v>
      </c>
    </row>
    <row r="652" customFormat="false" ht="15" hidden="false" customHeight="false" outlineLevel="0" collapsed="false">
      <c r="A652" s="0" t="s">
        <v>258</v>
      </c>
      <c r="B652" s="52" t="n">
        <v>44089</v>
      </c>
      <c r="C652" s="54" t="s">
        <v>590</v>
      </c>
      <c r="D652" s="0" t="n">
        <v>0.0880635006496597</v>
      </c>
      <c r="E652" s="0" t="n">
        <v>0.0984119584543693</v>
      </c>
      <c r="F652" s="0" t="n">
        <v>0</v>
      </c>
      <c r="G652" s="0" t="n">
        <v>2020</v>
      </c>
    </row>
    <row r="653" customFormat="false" ht="15" hidden="false" customHeight="false" outlineLevel="0" collapsed="false">
      <c r="A653" s="0" t="s">
        <v>258</v>
      </c>
      <c r="B653" s="52" t="n">
        <v>44089</v>
      </c>
      <c r="C653" s="54" t="s">
        <v>591</v>
      </c>
      <c r="D653" s="0" t="n">
        <v>0.0449198591400127</v>
      </c>
      <c r="E653" s="0" t="n">
        <v>0.0498739836678736</v>
      </c>
      <c r="F653" s="0" t="n">
        <v>0</v>
      </c>
      <c r="G653" s="0" t="n">
        <v>2020</v>
      </c>
    </row>
    <row r="654" customFormat="false" ht="15" hidden="false" customHeight="false" outlineLevel="0" collapsed="false">
      <c r="A654" s="0" t="s">
        <v>258</v>
      </c>
      <c r="B654" s="52" t="n">
        <v>44089</v>
      </c>
      <c r="C654" s="54" t="s">
        <v>592</v>
      </c>
      <c r="D654" s="0" t="n">
        <v>0.090331410678181</v>
      </c>
      <c r="E654" s="0" t="n">
        <v>0.115434514719353</v>
      </c>
      <c r="F654" s="0" t="n">
        <v>0</v>
      </c>
      <c r="G654" s="0" t="n">
        <v>2020</v>
      </c>
    </row>
    <row r="655" customFormat="false" ht="15" hidden="false" customHeight="false" outlineLevel="0" collapsed="false">
      <c r="A655" s="0" t="s">
        <v>258</v>
      </c>
      <c r="B655" s="52" t="n">
        <v>44090</v>
      </c>
      <c r="C655" s="54" t="s">
        <v>590</v>
      </c>
      <c r="D655" s="0" t="n">
        <v>0.0742771254145454</v>
      </c>
      <c r="E655" s="0" t="n">
        <v>0.176690333357927</v>
      </c>
      <c r="F655" s="0" t="n">
        <v>0</v>
      </c>
      <c r="G655" s="0" t="n">
        <v>2020</v>
      </c>
    </row>
    <row r="656" customFormat="false" ht="15" hidden="false" customHeight="false" outlineLevel="0" collapsed="false">
      <c r="A656" s="0" t="s">
        <v>258</v>
      </c>
      <c r="B656" s="52" t="n">
        <v>44090</v>
      </c>
      <c r="C656" s="54" t="s">
        <v>591</v>
      </c>
      <c r="D656" s="0" t="n">
        <v>0.0553268152097649</v>
      </c>
      <c r="E656" s="0" t="n">
        <v>0.0688877983405441</v>
      </c>
      <c r="F656" s="0" t="n">
        <v>0</v>
      </c>
      <c r="G656" s="0" t="n">
        <v>2020</v>
      </c>
    </row>
    <row r="657" customFormat="false" ht="15" hidden="false" customHeight="false" outlineLevel="0" collapsed="false">
      <c r="A657" s="0" t="s">
        <v>258</v>
      </c>
      <c r="B657" s="52" t="n">
        <v>44090</v>
      </c>
      <c r="C657" s="54" t="s">
        <v>592</v>
      </c>
      <c r="D657" s="0" t="n">
        <v>0.0010939555515482</v>
      </c>
      <c r="E657" s="0" t="n">
        <v>0.213067196532772</v>
      </c>
      <c r="F657" s="0" t="n">
        <v>0</v>
      </c>
      <c r="G657" s="0" t="n">
        <v>2020</v>
      </c>
    </row>
    <row r="658" customFormat="false" ht="15" hidden="false" customHeight="false" outlineLevel="0" collapsed="false">
      <c r="A658" s="0" t="s">
        <v>258</v>
      </c>
      <c r="B658" s="52" t="n">
        <v>44091</v>
      </c>
      <c r="C658" s="54" t="s">
        <v>590</v>
      </c>
      <c r="D658" s="0" t="n">
        <v>0.004912317997221</v>
      </c>
      <c r="E658" s="0" t="n">
        <v>0.124525213771334</v>
      </c>
      <c r="F658" s="0" t="n">
        <v>0</v>
      </c>
      <c r="G658" s="0" t="n">
        <v>2020</v>
      </c>
    </row>
    <row r="659" customFormat="false" ht="15" hidden="false" customHeight="false" outlineLevel="0" collapsed="false">
      <c r="A659" s="0" t="s">
        <v>258</v>
      </c>
      <c r="B659" s="52" t="n">
        <v>44091</v>
      </c>
      <c r="C659" s="54" t="s">
        <v>591</v>
      </c>
      <c r="D659" s="0" t="n">
        <v>0.0163509045669846</v>
      </c>
      <c r="E659" s="0" t="n">
        <v>0.0840731957758523</v>
      </c>
      <c r="F659" s="0" t="n">
        <v>0</v>
      </c>
      <c r="G659" s="0" t="n">
        <v>2020</v>
      </c>
    </row>
    <row r="660" customFormat="false" ht="15" hidden="false" customHeight="false" outlineLevel="0" collapsed="false">
      <c r="A660" s="0" t="s">
        <v>258</v>
      </c>
      <c r="B660" s="52" t="n">
        <v>44091</v>
      </c>
      <c r="C660" s="54" t="s">
        <v>592</v>
      </c>
      <c r="D660" s="0" t="n">
        <v>0.019948131492863</v>
      </c>
      <c r="E660" s="0" t="n">
        <v>0.265936211535326</v>
      </c>
      <c r="F660" s="0" t="n">
        <v>0</v>
      </c>
      <c r="G660" s="0" t="n">
        <v>2020</v>
      </c>
    </row>
    <row r="661" customFormat="false" ht="15" hidden="false" customHeight="false" outlineLevel="0" collapsed="false">
      <c r="A661" s="0" t="s">
        <v>258</v>
      </c>
      <c r="B661" s="52" t="n">
        <v>44092</v>
      </c>
      <c r="C661" s="54" t="s">
        <v>590</v>
      </c>
      <c r="D661" s="0" t="n">
        <v>0</v>
      </c>
      <c r="E661" s="0" t="n">
        <v>0.12012558270268</v>
      </c>
      <c r="F661" s="0" t="n">
        <v>0</v>
      </c>
      <c r="G661" s="0" t="n">
        <v>2020</v>
      </c>
    </row>
    <row r="662" customFormat="false" ht="15" hidden="false" customHeight="false" outlineLevel="0" collapsed="false">
      <c r="A662" s="0" t="s">
        <v>258</v>
      </c>
      <c r="B662" s="52" t="n">
        <v>44092</v>
      </c>
      <c r="C662" s="54" t="s">
        <v>591</v>
      </c>
      <c r="D662" s="0" t="n">
        <v>0</v>
      </c>
      <c r="E662" s="0" t="n">
        <v>0.06212997106883</v>
      </c>
      <c r="F662" s="0" t="n">
        <v>0</v>
      </c>
      <c r="G662" s="0" t="n">
        <v>2020</v>
      </c>
    </row>
    <row r="663" customFormat="false" ht="15" hidden="false" customHeight="false" outlineLevel="0" collapsed="false">
      <c r="A663" s="0" t="s">
        <v>258</v>
      </c>
      <c r="B663" s="52" t="n">
        <v>44092</v>
      </c>
      <c r="C663" s="54" t="s">
        <v>592</v>
      </c>
      <c r="D663" s="0" t="n">
        <v>0.0114142754445755</v>
      </c>
      <c r="E663" s="0" t="n">
        <v>0.189671955408223</v>
      </c>
      <c r="F663" s="0" t="n">
        <v>0</v>
      </c>
      <c r="G663" s="0" t="n">
        <v>2020</v>
      </c>
    </row>
    <row r="664" customFormat="false" ht="15" hidden="false" customHeight="false" outlineLevel="0" collapsed="false">
      <c r="A664" s="0" t="s">
        <v>258</v>
      </c>
      <c r="B664" s="52" t="n">
        <v>44093</v>
      </c>
      <c r="C664" s="54" t="s">
        <v>590</v>
      </c>
      <c r="D664" s="0" t="n">
        <v>0.339870741453351</v>
      </c>
      <c r="E664" s="0" t="n">
        <v>0.215806839711134</v>
      </c>
      <c r="F664" s="0" t="n">
        <v>1</v>
      </c>
      <c r="G664" s="0" t="n">
        <v>2020</v>
      </c>
    </row>
    <row r="665" customFormat="false" ht="15" hidden="false" customHeight="false" outlineLevel="0" collapsed="false">
      <c r="A665" s="0" t="s">
        <v>258</v>
      </c>
      <c r="B665" s="52" t="n">
        <v>44094</v>
      </c>
      <c r="C665" s="54" t="s">
        <v>591</v>
      </c>
      <c r="D665" s="0" t="n">
        <v>1</v>
      </c>
      <c r="E665" s="0" t="n">
        <v>0</v>
      </c>
      <c r="F665" s="0" t="n">
        <v>1</v>
      </c>
      <c r="G665" s="0" t="n">
        <v>2020</v>
      </c>
    </row>
    <row r="666" customFormat="false" ht="15" hidden="false" customHeight="false" outlineLevel="0" collapsed="false">
      <c r="A666" s="0" t="s">
        <v>258</v>
      </c>
      <c r="B666" s="52" t="n">
        <v>44094</v>
      </c>
      <c r="C666" s="54" t="s">
        <v>592</v>
      </c>
      <c r="D666" s="0" t="n">
        <v>0.0390958096124376</v>
      </c>
      <c r="E666" s="0" t="n">
        <v>0.0600782703202189</v>
      </c>
      <c r="F666" s="0" t="n">
        <v>1</v>
      </c>
      <c r="G666" s="0" t="n">
        <v>2020</v>
      </c>
    </row>
    <row r="667" customFormat="false" ht="15" hidden="false" customHeight="false" outlineLevel="0" collapsed="false">
      <c r="A667" s="0" t="s">
        <v>258</v>
      </c>
      <c r="B667" s="52" t="n">
        <v>44095</v>
      </c>
      <c r="C667" s="54" t="s">
        <v>590</v>
      </c>
      <c r="D667" s="0" t="n">
        <v>0.0737588938556569</v>
      </c>
      <c r="E667" s="0" t="n">
        <v>0.219438162486049</v>
      </c>
      <c r="F667" s="0" t="n">
        <v>0</v>
      </c>
      <c r="G667" s="0" t="n">
        <v>2020</v>
      </c>
    </row>
    <row r="668" customFormat="false" ht="15" hidden="false" customHeight="false" outlineLevel="0" collapsed="false">
      <c r="A668" s="0" t="s">
        <v>258</v>
      </c>
      <c r="B668" s="52" t="n">
        <v>44095</v>
      </c>
      <c r="C668" s="54" t="s">
        <v>591</v>
      </c>
      <c r="D668" s="0" t="n">
        <v>0.00320693362186</v>
      </c>
      <c r="E668" s="0" t="n">
        <v>0.344587881341104</v>
      </c>
      <c r="F668" s="0" t="n">
        <v>0</v>
      </c>
      <c r="G668" s="0" t="n">
        <v>2020</v>
      </c>
    </row>
    <row r="669" customFormat="false" ht="15" hidden="false" customHeight="false" outlineLevel="0" collapsed="false">
      <c r="A669" s="0" t="s">
        <v>258</v>
      </c>
      <c r="B669" s="52" t="n">
        <v>44095</v>
      </c>
      <c r="C669" s="54" t="s">
        <v>592</v>
      </c>
      <c r="D669" s="0" t="n">
        <v>0.0693907714352957</v>
      </c>
      <c r="E669" s="0" t="n">
        <v>0.0372285222717654</v>
      </c>
      <c r="F669" s="0" t="n">
        <v>0</v>
      </c>
      <c r="G669" s="0" t="n">
        <v>2020</v>
      </c>
    </row>
    <row r="670" customFormat="false" ht="15" hidden="false" customHeight="false" outlineLevel="0" collapsed="false">
      <c r="A670" s="0" t="s">
        <v>258</v>
      </c>
      <c r="B670" s="52" t="n">
        <v>44096</v>
      </c>
      <c r="C670" s="54" t="s">
        <v>590</v>
      </c>
      <c r="D670" s="0" t="n">
        <v>0</v>
      </c>
      <c r="E670" s="0" t="n">
        <v>0.114296223011874</v>
      </c>
      <c r="F670" s="0" t="n">
        <v>0</v>
      </c>
      <c r="G670" s="0" t="n">
        <v>2020</v>
      </c>
    </row>
    <row r="671" customFormat="false" ht="15" hidden="false" customHeight="false" outlineLevel="0" collapsed="false">
      <c r="A671" s="0" t="s">
        <v>258</v>
      </c>
      <c r="B671" s="52" t="n">
        <v>44096</v>
      </c>
      <c r="C671" s="54" t="s">
        <v>591</v>
      </c>
      <c r="D671" s="0" t="n">
        <v>0</v>
      </c>
      <c r="E671" s="0" t="n">
        <v>0.0634621478438385</v>
      </c>
      <c r="F671" s="0" t="n">
        <v>0</v>
      </c>
      <c r="G671" s="0" t="n">
        <v>2020</v>
      </c>
    </row>
    <row r="672" customFormat="false" ht="15" hidden="false" customHeight="false" outlineLevel="0" collapsed="false">
      <c r="A672" s="0" t="s">
        <v>258</v>
      </c>
      <c r="B672" s="52" t="n">
        <v>44096</v>
      </c>
      <c r="C672" s="54" t="s">
        <v>592</v>
      </c>
      <c r="D672" s="0" t="n">
        <v>0.530619048199315</v>
      </c>
      <c r="E672" s="0" t="n">
        <v>0.0477358434112643</v>
      </c>
      <c r="F672" s="0" t="n">
        <v>0</v>
      </c>
      <c r="G672" s="0" t="n">
        <v>2020</v>
      </c>
    </row>
    <row r="673" customFormat="false" ht="15" hidden="false" customHeight="false" outlineLevel="0" collapsed="false">
      <c r="A673" s="0" t="s">
        <v>258</v>
      </c>
      <c r="B673" s="52" t="n">
        <v>44097</v>
      </c>
      <c r="C673" s="54" t="s">
        <v>590</v>
      </c>
      <c r="D673" s="0" t="n">
        <v>0.993362297946564</v>
      </c>
      <c r="E673" s="0" t="n">
        <v>0</v>
      </c>
      <c r="F673" s="0" t="n">
        <v>0</v>
      </c>
      <c r="G673" s="0" t="n">
        <v>2020</v>
      </c>
    </row>
    <row r="674" customFormat="false" ht="15" hidden="false" customHeight="false" outlineLevel="0" collapsed="false">
      <c r="A674" s="0" t="s">
        <v>258</v>
      </c>
      <c r="B674" s="52" t="n">
        <v>44097</v>
      </c>
      <c r="C674" s="54" t="s">
        <v>591</v>
      </c>
      <c r="D674" s="0" t="n">
        <v>0.160794951927436</v>
      </c>
      <c r="E674" s="0" t="n">
        <v>0.0052798736019373</v>
      </c>
      <c r="F674" s="0" t="n">
        <v>0</v>
      </c>
      <c r="G674" s="0" t="n">
        <v>2020</v>
      </c>
    </row>
    <row r="675" customFormat="false" ht="15" hidden="false" customHeight="false" outlineLevel="0" collapsed="false">
      <c r="A675" s="0" t="s">
        <v>258</v>
      </c>
      <c r="B675" s="52" t="n">
        <v>44097</v>
      </c>
      <c r="C675" s="54" t="s">
        <v>592</v>
      </c>
      <c r="D675" s="0" t="n">
        <v>0.0212211533653723</v>
      </c>
      <c r="E675" s="0" t="n">
        <v>0.0564544207809894</v>
      </c>
      <c r="F675" s="0" t="n">
        <v>0</v>
      </c>
      <c r="G675" s="0" t="n">
        <v>2020</v>
      </c>
    </row>
    <row r="676" customFormat="false" ht="15" hidden="false" customHeight="false" outlineLevel="0" collapsed="false">
      <c r="A676" s="0" t="s">
        <v>258</v>
      </c>
      <c r="B676" s="52" t="n">
        <v>44098</v>
      </c>
      <c r="C676" s="54" t="s">
        <v>590</v>
      </c>
      <c r="D676" s="0" t="n">
        <v>0.0130331657726364</v>
      </c>
      <c r="E676" s="0" t="n">
        <v>0.0713594963664337</v>
      </c>
      <c r="F676" s="0" t="n">
        <v>0</v>
      </c>
      <c r="G676" s="0" t="n">
        <v>2020</v>
      </c>
    </row>
    <row r="677" customFormat="false" ht="15" hidden="false" customHeight="false" outlineLevel="0" collapsed="false">
      <c r="A677" s="0" t="s">
        <v>258</v>
      </c>
      <c r="B677" s="52" t="n">
        <v>44098</v>
      </c>
      <c r="C677" s="54" t="s">
        <v>591</v>
      </c>
      <c r="D677" s="0" t="n">
        <v>0.0197757628157469</v>
      </c>
      <c r="E677" s="0" t="n">
        <v>0.046506967253073</v>
      </c>
      <c r="F677" s="0" t="n">
        <v>0</v>
      </c>
      <c r="G677" s="0" t="n">
        <v>2020</v>
      </c>
    </row>
    <row r="678" customFormat="false" ht="15" hidden="false" customHeight="false" outlineLevel="0" collapsed="false">
      <c r="A678" s="0" t="s">
        <v>258</v>
      </c>
      <c r="B678" s="52" t="n">
        <v>44098</v>
      </c>
      <c r="C678" s="54" t="s">
        <v>592</v>
      </c>
      <c r="D678" s="0" t="n">
        <v>0.105546409264544</v>
      </c>
      <c r="E678" s="0" t="n">
        <v>0.121963392249759</v>
      </c>
      <c r="F678" s="0" t="n">
        <v>0</v>
      </c>
      <c r="G678" s="0" t="n">
        <v>2020</v>
      </c>
    </row>
    <row r="679" customFormat="false" ht="15" hidden="false" customHeight="false" outlineLevel="0" collapsed="false">
      <c r="A679" s="0" t="s">
        <v>258</v>
      </c>
      <c r="B679" s="52" t="n">
        <v>44099</v>
      </c>
      <c r="C679" s="54" t="s">
        <v>590</v>
      </c>
      <c r="D679" s="0" t="n">
        <v>0.0118290886753838</v>
      </c>
      <c r="E679" s="0" t="n">
        <v>0.0838242707981974</v>
      </c>
      <c r="F679" s="0" t="n">
        <v>0</v>
      </c>
      <c r="G679" s="0" t="n">
        <v>2020</v>
      </c>
    </row>
    <row r="680" customFormat="false" ht="15" hidden="false" customHeight="false" outlineLevel="0" collapsed="false">
      <c r="A680" s="0" t="s">
        <v>258</v>
      </c>
      <c r="B680" s="52" t="n">
        <v>44099</v>
      </c>
      <c r="C680" s="54" t="s">
        <v>591</v>
      </c>
      <c r="D680" s="0" t="n">
        <v>0.0018621656608558</v>
      </c>
      <c r="E680" s="0" t="n">
        <v>0.0249014734911638</v>
      </c>
      <c r="F680" s="0" t="n">
        <v>0</v>
      </c>
      <c r="G680" s="0" t="n">
        <v>2020</v>
      </c>
    </row>
    <row r="681" customFormat="false" ht="15" hidden="false" customHeight="false" outlineLevel="0" collapsed="false">
      <c r="A681" s="0" t="s">
        <v>258</v>
      </c>
      <c r="B681" s="52" t="n">
        <v>44099</v>
      </c>
      <c r="C681" s="54" t="s">
        <v>592</v>
      </c>
      <c r="D681" s="0" t="n">
        <v>0</v>
      </c>
      <c r="E681" s="0" t="n">
        <v>0.127125733982638</v>
      </c>
      <c r="F681" s="0" t="n">
        <v>0</v>
      </c>
      <c r="G681" s="0" t="n">
        <v>2020</v>
      </c>
    </row>
    <row r="682" customFormat="false" ht="15" hidden="false" customHeight="false" outlineLevel="0" collapsed="false">
      <c r="A682" s="0" t="s">
        <v>258</v>
      </c>
      <c r="B682" s="52" t="n">
        <v>44100</v>
      </c>
      <c r="C682" s="54" t="s">
        <v>590</v>
      </c>
      <c r="D682" s="0" t="n">
        <v>0.28495562846457</v>
      </c>
      <c r="E682" s="0" t="n">
        <v>0.211756995926</v>
      </c>
      <c r="F682" s="0" t="n">
        <v>1</v>
      </c>
      <c r="G682" s="0" t="n">
        <v>2020</v>
      </c>
    </row>
    <row r="683" customFormat="false" ht="15" hidden="false" customHeight="false" outlineLevel="0" collapsed="false">
      <c r="A683" s="0" t="s">
        <v>258</v>
      </c>
      <c r="B683" s="52" t="n">
        <v>44101</v>
      </c>
      <c r="C683" s="54" t="s">
        <v>590</v>
      </c>
      <c r="D683" s="0" t="n">
        <v>1</v>
      </c>
      <c r="E683" s="0" t="n">
        <v>0</v>
      </c>
      <c r="F683" s="0" t="n">
        <v>1</v>
      </c>
      <c r="G683" s="0" t="n">
        <v>2020</v>
      </c>
    </row>
    <row r="684" customFormat="false" ht="15" hidden="false" customHeight="false" outlineLevel="0" collapsed="false">
      <c r="A684" s="0" t="s">
        <v>258</v>
      </c>
      <c r="B684" s="52" t="n">
        <v>44101</v>
      </c>
      <c r="C684" s="54" t="s">
        <v>592</v>
      </c>
      <c r="D684" s="0" t="n">
        <v>0.0066257602305065</v>
      </c>
      <c r="E684" s="0" t="n">
        <v>0.0614907778552644</v>
      </c>
      <c r="F684" s="0" t="n">
        <v>1</v>
      </c>
      <c r="G684" s="0" t="n">
        <v>2020</v>
      </c>
    </row>
    <row r="685" customFormat="false" ht="15" hidden="false" customHeight="false" outlineLevel="0" collapsed="false">
      <c r="A685" s="0" t="s">
        <v>258</v>
      </c>
      <c r="B685" s="52" t="n">
        <v>44102</v>
      </c>
      <c r="C685" s="54" t="s">
        <v>590</v>
      </c>
      <c r="D685" s="0" t="n">
        <v>0.016865127009228</v>
      </c>
      <c r="E685" s="0" t="n">
        <v>0.175905886546542</v>
      </c>
      <c r="F685" s="0" t="n">
        <v>0</v>
      </c>
      <c r="G685" s="0" t="n">
        <v>2020</v>
      </c>
    </row>
    <row r="686" customFormat="false" ht="15" hidden="false" customHeight="false" outlineLevel="0" collapsed="false">
      <c r="A686" s="0" t="s">
        <v>258</v>
      </c>
      <c r="B686" s="52" t="n">
        <v>44102</v>
      </c>
      <c r="C686" s="54" t="s">
        <v>591</v>
      </c>
      <c r="D686" s="0" t="n">
        <v>0.009305892485881</v>
      </c>
      <c r="E686" s="0" t="n">
        <v>0.031127763337142</v>
      </c>
      <c r="F686" s="0" t="n">
        <v>0</v>
      </c>
      <c r="G686" s="0" t="n">
        <v>2020</v>
      </c>
    </row>
    <row r="687" customFormat="false" ht="15" hidden="false" customHeight="false" outlineLevel="0" collapsed="false">
      <c r="A687" s="0" t="s">
        <v>258</v>
      </c>
      <c r="B687" s="52" t="n">
        <v>44102</v>
      </c>
      <c r="C687" s="54" t="s">
        <v>592</v>
      </c>
      <c r="D687" s="0" t="n">
        <v>0.0210373379925869</v>
      </c>
      <c r="E687" s="0" t="n">
        <v>0.162935320152955</v>
      </c>
      <c r="F687" s="0" t="n">
        <v>0</v>
      </c>
      <c r="G687" s="0" t="n">
        <v>2020</v>
      </c>
    </row>
    <row r="688" customFormat="false" ht="15" hidden="false" customHeight="false" outlineLevel="0" collapsed="false">
      <c r="A688" s="0" t="s">
        <v>258</v>
      </c>
      <c r="B688" s="52" t="n">
        <v>44103</v>
      </c>
      <c r="C688" s="54" t="s">
        <v>590</v>
      </c>
      <c r="D688" s="0" t="n">
        <v>0.0047790806379898</v>
      </c>
      <c r="E688" s="0" t="n">
        <v>0.194326382634273</v>
      </c>
      <c r="F688" s="0" t="n">
        <v>0</v>
      </c>
      <c r="G688" s="0" t="n">
        <v>2020</v>
      </c>
    </row>
    <row r="689" customFormat="false" ht="15" hidden="false" customHeight="false" outlineLevel="0" collapsed="false">
      <c r="A689" s="0" t="s">
        <v>258</v>
      </c>
      <c r="B689" s="52" t="n">
        <v>44103</v>
      </c>
      <c r="C689" s="54" t="s">
        <v>591</v>
      </c>
      <c r="D689" s="0" t="n">
        <v>0.0136721093834894</v>
      </c>
      <c r="E689" s="0" t="n">
        <v>0.0626108898432541</v>
      </c>
      <c r="F689" s="0" t="n">
        <v>0</v>
      </c>
      <c r="G689" s="0" t="n">
        <v>2020</v>
      </c>
    </row>
    <row r="690" customFormat="false" ht="15" hidden="false" customHeight="false" outlineLevel="0" collapsed="false">
      <c r="A690" s="0" t="s">
        <v>258</v>
      </c>
      <c r="B690" s="52" t="n">
        <v>44103</v>
      </c>
      <c r="C690" s="54" t="s">
        <v>592</v>
      </c>
      <c r="D690" s="0" t="n">
        <v>0.0008703638808151</v>
      </c>
      <c r="E690" s="0" t="n">
        <v>0.17066979607164</v>
      </c>
      <c r="F690" s="0" t="n">
        <v>0</v>
      </c>
      <c r="G690" s="0" t="n">
        <v>2020</v>
      </c>
    </row>
    <row r="691" customFormat="false" ht="15" hidden="false" customHeight="false" outlineLevel="0" collapsed="false">
      <c r="A691" s="0" t="s">
        <v>258</v>
      </c>
      <c r="B691" s="52" t="n">
        <v>44104</v>
      </c>
      <c r="C691" s="54" t="s">
        <v>590</v>
      </c>
      <c r="D691" s="0" t="n">
        <v>0.0857640849503056</v>
      </c>
      <c r="E691" s="0" t="n">
        <v>0.126354293891026</v>
      </c>
      <c r="F691" s="0" t="n">
        <v>0</v>
      </c>
      <c r="G691" s="0" t="n">
        <v>2020</v>
      </c>
    </row>
    <row r="692" customFormat="false" ht="15" hidden="false" customHeight="false" outlineLevel="0" collapsed="false">
      <c r="A692" s="0" t="s">
        <v>258</v>
      </c>
      <c r="B692" s="52" t="n">
        <v>44104</v>
      </c>
      <c r="C692" s="54" t="s">
        <v>591</v>
      </c>
      <c r="D692" s="0" t="n">
        <v>0.0208971993033057</v>
      </c>
      <c r="E692" s="0" t="n">
        <v>0.0203400193597097</v>
      </c>
      <c r="F692" s="0" t="n">
        <v>0</v>
      </c>
      <c r="G692" s="0" t="n">
        <v>2020</v>
      </c>
    </row>
    <row r="693" customFormat="false" ht="15" hidden="false" customHeight="false" outlineLevel="0" collapsed="false">
      <c r="A693" s="0" t="s">
        <v>258</v>
      </c>
      <c r="B693" s="52" t="n">
        <v>44104</v>
      </c>
      <c r="C693" s="54" t="s">
        <v>592</v>
      </c>
      <c r="D693" s="0" t="n">
        <v>0</v>
      </c>
      <c r="E693" s="0" t="n">
        <v>0.0434610254930282</v>
      </c>
      <c r="F693" s="0" t="n">
        <v>0</v>
      </c>
      <c r="G693" s="0" t="n">
        <v>2020</v>
      </c>
    </row>
    <row r="694" customFormat="false" ht="15" hidden="false" customHeight="false" outlineLevel="0" collapsed="false">
      <c r="A694" s="0" t="s">
        <v>258</v>
      </c>
      <c r="B694" s="52" t="n">
        <v>44105</v>
      </c>
      <c r="C694" s="54" t="s">
        <v>590</v>
      </c>
      <c r="D694" s="0" t="n">
        <v>0.0598538861361383</v>
      </c>
      <c r="E694" s="0" t="n">
        <v>0.239387625898467</v>
      </c>
      <c r="F694" s="0" t="n">
        <v>0</v>
      </c>
      <c r="G694" s="0" t="n">
        <v>2020</v>
      </c>
    </row>
    <row r="695" customFormat="false" ht="15" hidden="false" customHeight="false" outlineLevel="0" collapsed="false">
      <c r="A695" s="0" t="s">
        <v>258</v>
      </c>
      <c r="B695" s="52" t="n">
        <v>44105</v>
      </c>
      <c r="C695" s="54" t="s">
        <v>591</v>
      </c>
      <c r="D695" s="0" t="n">
        <v>0.0967756189656529</v>
      </c>
      <c r="E695" s="0" t="n">
        <v>0.0621672109704956</v>
      </c>
      <c r="F695" s="0" t="n">
        <v>0</v>
      </c>
      <c r="G695" s="0" t="n">
        <v>2020</v>
      </c>
    </row>
    <row r="696" customFormat="false" ht="15" hidden="false" customHeight="false" outlineLevel="0" collapsed="false">
      <c r="A696" s="0" t="s">
        <v>258</v>
      </c>
      <c r="B696" s="52" t="n">
        <v>44105</v>
      </c>
      <c r="C696" s="54" t="s">
        <v>592</v>
      </c>
      <c r="D696" s="0" t="n">
        <v>0.0008778990875067</v>
      </c>
      <c r="E696" s="0" t="n">
        <v>0.0212717576032318</v>
      </c>
      <c r="F696" s="0" t="n">
        <v>0</v>
      </c>
      <c r="G696" s="0" t="n">
        <v>2020</v>
      </c>
    </row>
    <row r="697" customFormat="false" ht="15" hidden="false" customHeight="false" outlineLevel="0" collapsed="false">
      <c r="A697" s="0" t="s">
        <v>258</v>
      </c>
      <c r="B697" s="52" t="n">
        <v>44106</v>
      </c>
      <c r="C697" s="54" t="s">
        <v>590</v>
      </c>
      <c r="D697" s="0" t="n">
        <v>0.0700590049891251</v>
      </c>
      <c r="E697" s="0" t="n">
        <v>0.21186492232405</v>
      </c>
      <c r="F697" s="0" t="n">
        <v>0</v>
      </c>
      <c r="G697" s="0" t="n">
        <v>2020</v>
      </c>
    </row>
    <row r="698" customFormat="false" ht="15" hidden="false" customHeight="false" outlineLevel="0" collapsed="false">
      <c r="A698" s="0" t="s">
        <v>258</v>
      </c>
      <c r="B698" s="52" t="n">
        <v>44106</v>
      </c>
      <c r="C698" s="54" t="s">
        <v>591</v>
      </c>
      <c r="D698" s="0" t="n">
        <v>0.363608413791564</v>
      </c>
      <c r="E698" s="0" t="n">
        <v>0.0453795081758369</v>
      </c>
      <c r="F698" s="0" t="n">
        <v>0</v>
      </c>
      <c r="G698" s="0" t="n">
        <v>2020</v>
      </c>
    </row>
    <row r="699" customFormat="false" ht="15" hidden="false" customHeight="false" outlineLevel="0" collapsed="false">
      <c r="A699" s="0" t="s">
        <v>258</v>
      </c>
      <c r="B699" s="52" t="n">
        <v>44106</v>
      </c>
      <c r="C699" s="54" t="s">
        <v>592</v>
      </c>
      <c r="D699" s="0" t="n">
        <v>0.0017643979177878</v>
      </c>
      <c r="E699" s="0" t="n">
        <v>0.0359722862806161</v>
      </c>
      <c r="F699" s="0" t="n">
        <v>0</v>
      </c>
      <c r="G699" s="0" t="n">
        <v>2020</v>
      </c>
    </row>
    <row r="700" customFormat="false" ht="15" hidden="false" customHeight="false" outlineLevel="0" collapsed="false">
      <c r="A700" s="0" t="s">
        <v>258</v>
      </c>
      <c r="B700" s="52" t="n">
        <v>44107</v>
      </c>
      <c r="C700" s="54" t="s">
        <v>590</v>
      </c>
      <c r="D700" s="0" t="n">
        <v>0.190106416774859</v>
      </c>
      <c r="E700" s="0" t="n">
        <v>0.0805313948801167</v>
      </c>
      <c r="F700" s="0" t="n">
        <v>1</v>
      </c>
      <c r="G700" s="0" t="n">
        <v>2020</v>
      </c>
    </row>
    <row r="701" customFormat="false" ht="15" hidden="false" customHeight="false" outlineLevel="0" collapsed="false">
      <c r="A701" s="0" t="s">
        <v>258</v>
      </c>
      <c r="B701" s="52" t="n">
        <v>44108</v>
      </c>
      <c r="C701" s="54" t="s">
        <v>591</v>
      </c>
      <c r="D701" s="0" t="n">
        <v>0.148378085097417</v>
      </c>
      <c r="E701" s="0" t="n">
        <v>0.16826353088258</v>
      </c>
      <c r="F701" s="0" t="n">
        <v>1</v>
      </c>
      <c r="G701" s="0" t="n">
        <v>2020</v>
      </c>
    </row>
    <row r="702" customFormat="false" ht="15" hidden="false" customHeight="false" outlineLevel="0" collapsed="false">
      <c r="A702" s="0" t="s">
        <v>258</v>
      </c>
      <c r="B702" s="52" t="n">
        <v>44108</v>
      </c>
      <c r="C702" s="54" t="s">
        <v>592</v>
      </c>
      <c r="D702" s="0" t="n">
        <v>0.0200027539338221</v>
      </c>
      <c r="E702" s="0" t="n">
        <v>0.198983147728832</v>
      </c>
      <c r="F702" s="0" t="n">
        <v>1</v>
      </c>
      <c r="G702" s="0" t="n">
        <v>2020</v>
      </c>
    </row>
    <row r="703" customFormat="false" ht="15" hidden="false" customHeight="false" outlineLevel="0" collapsed="false">
      <c r="A703" s="0" t="s">
        <v>258</v>
      </c>
      <c r="B703" s="52" t="n">
        <v>44109</v>
      </c>
      <c r="C703" s="54" t="s">
        <v>590</v>
      </c>
      <c r="D703" s="0" t="n">
        <v>0</v>
      </c>
      <c r="E703" s="0" t="n">
        <v>0.115415576980936</v>
      </c>
      <c r="F703" s="0" t="n">
        <v>0</v>
      </c>
      <c r="G703" s="0" t="n">
        <v>2020</v>
      </c>
    </row>
    <row r="704" customFormat="false" ht="15" hidden="false" customHeight="false" outlineLevel="0" collapsed="false">
      <c r="A704" s="0" t="s">
        <v>258</v>
      </c>
      <c r="B704" s="52" t="n">
        <v>44109</v>
      </c>
      <c r="C704" s="54" t="s">
        <v>591</v>
      </c>
      <c r="D704" s="0" t="n">
        <v>0</v>
      </c>
      <c r="E704" s="0" t="n">
        <v>0.13165130117957</v>
      </c>
      <c r="F704" s="0" t="n">
        <v>0</v>
      </c>
      <c r="G704" s="0" t="n">
        <v>2020</v>
      </c>
    </row>
    <row r="705" customFormat="false" ht="15" hidden="false" customHeight="false" outlineLevel="0" collapsed="false">
      <c r="A705" s="0" t="s">
        <v>258</v>
      </c>
      <c r="B705" s="52" t="n">
        <v>44109</v>
      </c>
      <c r="C705" s="54" t="s">
        <v>592</v>
      </c>
      <c r="D705" s="0" t="n">
        <v>0.073290633374151</v>
      </c>
      <c r="E705" s="0" t="n">
        <v>0.18371491097904</v>
      </c>
      <c r="F705" s="0" t="n">
        <v>0</v>
      </c>
      <c r="G705" s="0" t="n">
        <v>2020</v>
      </c>
    </row>
    <row r="706" customFormat="false" ht="15" hidden="false" customHeight="false" outlineLevel="0" collapsed="false">
      <c r="A706" s="0" t="s">
        <v>258</v>
      </c>
      <c r="B706" s="52" t="n">
        <v>44110</v>
      </c>
      <c r="C706" s="54" t="s">
        <v>590</v>
      </c>
      <c r="D706" s="0" t="n">
        <v>0.0040021032632655</v>
      </c>
      <c r="E706" s="0" t="n">
        <v>0.0941922090542685</v>
      </c>
      <c r="F706" s="0" t="n">
        <v>0</v>
      </c>
      <c r="G706" s="0" t="n">
        <v>2020</v>
      </c>
    </row>
    <row r="707" customFormat="false" ht="15" hidden="false" customHeight="false" outlineLevel="0" collapsed="false">
      <c r="A707" s="0" t="s">
        <v>258</v>
      </c>
      <c r="B707" s="52" t="n">
        <v>44110</v>
      </c>
      <c r="C707" s="54" t="s">
        <v>591</v>
      </c>
      <c r="D707" s="0" t="n">
        <v>0.0050011219101852</v>
      </c>
      <c r="E707" s="0" t="n">
        <v>0.187635815066646</v>
      </c>
      <c r="F707" s="0" t="n">
        <v>0</v>
      </c>
      <c r="G707" s="0" t="n">
        <v>2020</v>
      </c>
    </row>
    <row r="708" customFormat="false" ht="15" hidden="false" customHeight="false" outlineLevel="0" collapsed="false">
      <c r="A708" s="0" t="s">
        <v>258</v>
      </c>
      <c r="B708" s="52" t="n">
        <v>44110</v>
      </c>
      <c r="C708" s="54" t="s">
        <v>592</v>
      </c>
      <c r="D708" s="0" t="n">
        <v>0.0067508754033834</v>
      </c>
      <c r="E708" s="0" t="n">
        <v>0.235523367947858</v>
      </c>
      <c r="F708" s="0" t="n">
        <v>0</v>
      </c>
      <c r="G708" s="0" t="n">
        <v>2020</v>
      </c>
    </row>
    <row r="709" customFormat="false" ht="15" hidden="false" customHeight="false" outlineLevel="0" collapsed="false">
      <c r="A709" s="0" t="s">
        <v>258</v>
      </c>
      <c r="B709" s="52" t="n">
        <v>44111</v>
      </c>
      <c r="C709" s="54" t="s">
        <v>590</v>
      </c>
      <c r="D709" s="0" t="n">
        <v>0.0764505194686364</v>
      </c>
      <c r="E709" s="0" t="n">
        <v>0.121551418660944</v>
      </c>
      <c r="F709" s="0" t="n">
        <v>0</v>
      </c>
      <c r="G709" s="0" t="n">
        <v>2020</v>
      </c>
    </row>
    <row r="710" customFormat="false" ht="15" hidden="false" customHeight="false" outlineLevel="0" collapsed="false">
      <c r="A710" s="0" t="s">
        <v>258</v>
      </c>
      <c r="B710" s="52" t="n">
        <v>44111</v>
      </c>
      <c r="C710" s="54" t="s">
        <v>591</v>
      </c>
      <c r="D710" s="0" t="n">
        <v>0.0634550217453699</v>
      </c>
      <c r="E710" s="0" t="n">
        <v>0.0652120206559962</v>
      </c>
      <c r="F710" s="0" t="n">
        <v>0</v>
      </c>
      <c r="G710" s="0" t="n">
        <v>2020</v>
      </c>
    </row>
    <row r="711" customFormat="false" ht="15" hidden="false" customHeight="false" outlineLevel="0" collapsed="false">
      <c r="A711" s="0" t="s">
        <v>258</v>
      </c>
      <c r="B711" s="52" t="n">
        <v>44111</v>
      </c>
      <c r="C711" s="54" t="s">
        <v>592</v>
      </c>
      <c r="D711" s="0" t="n">
        <v>0.0046946211380126</v>
      </c>
      <c r="E711" s="0" t="n">
        <v>0.083165355017203</v>
      </c>
      <c r="F711" s="0" t="n">
        <v>0</v>
      </c>
      <c r="G711" s="0" t="n">
        <v>2020</v>
      </c>
    </row>
    <row r="712" customFormat="false" ht="15" hidden="false" customHeight="false" outlineLevel="0" collapsed="false">
      <c r="A712" s="0" t="s">
        <v>258</v>
      </c>
      <c r="B712" s="52" t="n">
        <v>44112</v>
      </c>
      <c r="C712" s="54" t="s">
        <v>590</v>
      </c>
      <c r="D712" s="0" t="n">
        <v>0.0747920402649712</v>
      </c>
      <c r="E712" s="0" t="n">
        <v>0.0969261170478914</v>
      </c>
      <c r="F712" s="0" t="n">
        <v>0</v>
      </c>
      <c r="G712" s="0" t="n">
        <v>2020</v>
      </c>
    </row>
    <row r="713" customFormat="false" ht="15" hidden="false" customHeight="false" outlineLevel="0" collapsed="false">
      <c r="A713" s="0" t="s">
        <v>258</v>
      </c>
      <c r="B713" s="52" t="n">
        <v>44112</v>
      </c>
      <c r="C713" s="54" t="s">
        <v>591</v>
      </c>
      <c r="D713" s="0" t="n">
        <v>0.0757289948833106</v>
      </c>
      <c r="E713" s="0" t="n">
        <v>0.0453031659097768</v>
      </c>
      <c r="F713" s="0" t="n">
        <v>0</v>
      </c>
      <c r="G713" s="0" t="n">
        <v>2020</v>
      </c>
    </row>
    <row r="714" customFormat="false" ht="15" hidden="false" customHeight="false" outlineLevel="0" collapsed="false">
      <c r="A714" s="0" t="s">
        <v>258</v>
      </c>
      <c r="B714" s="52" t="n">
        <v>44112</v>
      </c>
      <c r="C714" s="54" t="s">
        <v>592</v>
      </c>
      <c r="D714" s="0" t="n">
        <v>0.0034109691875427</v>
      </c>
      <c r="E714" s="0" t="n">
        <v>0.127807034527359</v>
      </c>
      <c r="F714" s="0" t="n">
        <v>0</v>
      </c>
      <c r="G714" s="0" t="n">
        <v>2020</v>
      </c>
    </row>
    <row r="715" customFormat="false" ht="15" hidden="false" customHeight="false" outlineLevel="0" collapsed="false">
      <c r="A715" s="0" t="s">
        <v>258</v>
      </c>
      <c r="B715" s="52" t="n">
        <v>44113</v>
      </c>
      <c r="C715" s="54" t="s">
        <v>590</v>
      </c>
      <c r="D715" s="0" t="n">
        <v>0.0046587931748627</v>
      </c>
      <c r="E715" s="0" t="n">
        <v>0.0668079170264088</v>
      </c>
      <c r="F715" s="0" t="n">
        <v>0</v>
      </c>
      <c r="G715" s="0" t="n">
        <v>2020</v>
      </c>
    </row>
    <row r="716" customFormat="false" ht="15" hidden="false" customHeight="false" outlineLevel="0" collapsed="false">
      <c r="A716" s="0" t="s">
        <v>258</v>
      </c>
      <c r="B716" s="52" t="n">
        <v>44113</v>
      </c>
      <c r="C716" s="54" t="s">
        <v>591</v>
      </c>
      <c r="D716" s="0" t="n">
        <v>0.0036723971388532</v>
      </c>
      <c r="E716" s="0" t="n">
        <v>0.0418831621354815</v>
      </c>
      <c r="F716" s="0" t="n">
        <v>0</v>
      </c>
      <c r="G716" s="0" t="n">
        <v>2020</v>
      </c>
    </row>
    <row r="717" customFormat="false" ht="15" hidden="false" customHeight="false" outlineLevel="0" collapsed="false">
      <c r="A717" s="0" t="s">
        <v>258</v>
      </c>
      <c r="B717" s="52" t="n">
        <v>44113</v>
      </c>
      <c r="C717" s="54" t="s">
        <v>592</v>
      </c>
      <c r="D717" s="0" t="n">
        <v>0.11483169229543</v>
      </c>
      <c r="E717" s="0" t="n">
        <v>0.138576058116635</v>
      </c>
      <c r="F717" s="0" t="n">
        <v>0</v>
      </c>
      <c r="G717" s="0" t="n">
        <v>2020</v>
      </c>
    </row>
    <row r="718" customFormat="false" ht="15" hidden="false" customHeight="false" outlineLevel="0" collapsed="false">
      <c r="A718" s="0" t="s">
        <v>258</v>
      </c>
      <c r="B718" s="52" t="n">
        <v>44114</v>
      </c>
      <c r="C718" s="54" t="s">
        <v>590</v>
      </c>
      <c r="D718" s="0" t="n">
        <v>0.162154316579088</v>
      </c>
      <c r="E718" s="0" t="n">
        <v>0.0844110197749599</v>
      </c>
      <c r="F718" s="0" t="n">
        <v>1</v>
      </c>
      <c r="G718" s="0" t="n">
        <v>2020</v>
      </c>
    </row>
    <row r="719" customFormat="false" ht="15" hidden="false" customHeight="false" outlineLevel="0" collapsed="false">
      <c r="A719" s="0" t="s">
        <v>258</v>
      </c>
      <c r="B719" s="52" t="n">
        <v>44115</v>
      </c>
      <c r="C719" s="54" t="s">
        <v>590</v>
      </c>
      <c r="D719" s="0" t="n">
        <v>1</v>
      </c>
      <c r="E719" s="0" t="n">
        <v>0</v>
      </c>
      <c r="F719" s="0" t="n">
        <v>1</v>
      </c>
      <c r="G719" s="0" t="n">
        <v>2020</v>
      </c>
    </row>
    <row r="720" customFormat="false" ht="15" hidden="false" customHeight="false" outlineLevel="0" collapsed="false">
      <c r="A720" s="0" t="s">
        <v>258</v>
      </c>
      <c r="B720" s="52" t="n">
        <v>44115</v>
      </c>
      <c r="C720" s="54" t="s">
        <v>592</v>
      </c>
      <c r="D720" s="0" t="n">
        <v>0.0214896859458901</v>
      </c>
      <c r="E720" s="0" t="n">
        <v>0.0328809745696517</v>
      </c>
      <c r="F720" s="0" t="n">
        <v>1</v>
      </c>
      <c r="G720" s="0" t="n">
        <v>2020</v>
      </c>
    </row>
    <row r="721" customFormat="false" ht="15" hidden="false" customHeight="false" outlineLevel="0" collapsed="false">
      <c r="A721" s="0" t="s">
        <v>258</v>
      </c>
      <c r="B721" s="52" t="n">
        <v>44116</v>
      </c>
      <c r="C721" s="54" t="s">
        <v>590</v>
      </c>
      <c r="D721" s="0" t="n">
        <v>0.0007812391866151</v>
      </c>
      <c r="E721" s="0" t="n">
        <v>0.154442461341503</v>
      </c>
      <c r="F721" s="0" t="n">
        <v>0</v>
      </c>
      <c r="G721" s="0" t="n">
        <v>2020</v>
      </c>
    </row>
    <row r="722" customFormat="false" ht="15" hidden="false" customHeight="false" outlineLevel="0" collapsed="false">
      <c r="A722" s="0" t="s">
        <v>258</v>
      </c>
      <c r="B722" s="52" t="n">
        <v>44116</v>
      </c>
      <c r="C722" s="54" t="s">
        <v>591</v>
      </c>
      <c r="D722" s="0" t="n">
        <v>0.0029537162666244</v>
      </c>
      <c r="E722" s="0" t="n">
        <v>0.153019705269815</v>
      </c>
      <c r="F722" s="0" t="n">
        <v>0</v>
      </c>
      <c r="G722" s="0" t="n">
        <v>2020</v>
      </c>
    </row>
    <row r="723" customFormat="false" ht="15" hidden="false" customHeight="false" outlineLevel="0" collapsed="false">
      <c r="A723" s="0" t="s">
        <v>258</v>
      </c>
      <c r="B723" s="52" t="n">
        <v>44116</v>
      </c>
      <c r="C723" s="54" t="s">
        <v>592</v>
      </c>
      <c r="D723" s="0" t="n">
        <v>0</v>
      </c>
      <c r="E723" s="0" t="n">
        <v>0.082350020542283</v>
      </c>
      <c r="F723" s="0" t="n">
        <v>0</v>
      </c>
      <c r="G723" s="0" t="n">
        <v>2020</v>
      </c>
    </row>
    <row r="724" customFormat="false" ht="15" hidden="false" customHeight="false" outlineLevel="0" collapsed="false">
      <c r="A724" s="0" t="s">
        <v>258</v>
      </c>
      <c r="B724" s="52" t="n">
        <v>44117</v>
      </c>
      <c r="C724" s="54" t="s">
        <v>590</v>
      </c>
      <c r="D724" s="0" t="n">
        <v>0.102294210563887</v>
      </c>
      <c r="E724" s="0" t="n">
        <v>0.0695176206413559</v>
      </c>
      <c r="F724" s="0" t="n">
        <v>0</v>
      </c>
      <c r="G724" s="0" t="n">
        <v>2020</v>
      </c>
    </row>
    <row r="725" customFormat="false" ht="15" hidden="false" customHeight="false" outlineLevel="0" collapsed="false">
      <c r="A725" s="0" t="s">
        <v>258</v>
      </c>
      <c r="B725" s="52" t="n">
        <v>44117</v>
      </c>
      <c r="C725" s="54" t="s">
        <v>591</v>
      </c>
      <c r="D725" s="0" t="n">
        <v>0.0133216381867396</v>
      </c>
      <c r="E725" s="0" t="n">
        <v>0.107823017866524</v>
      </c>
      <c r="F725" s="0" t="n">
        <v>0</v>
      </c>
      <c r="G725" s="0" t="n">
        <v>2020</v>
      </c>
    </row>
    <row r="726" customFormat="false" ht="15" hidden="false" customHeight="false" outlineLevel="0" collapsed="false">
      <c r="A726" s="0" t="s">
        <v>258</v>
      </c>
      <c r="B726" s="52" t="n">
        <v>44117</v>
      </c>
      <c r="C726" s="54" t="s">
        <v>592</v>
      </c>
      <c r="D726" s="0" t="n">
        <v>0.0032685628389985</v>
      </c>
      <c r="E726" s="0" t="n">
        <v>0.140867881236346</v>
      </c>
      <c r="F726" s="0" t="n">
        <v>0</v>
      </c>
      <c r="G726" s="0" t="n">
        <v>2020</v>
      </c>
    </row>
    <row r="727" customFormat="false" ht="15" hidden="false" customHeight="false" outlineLevel="0" collapsed="false">
      <c r="A727" s="0" t="s">
        <v>258</v>
      </c>
      <c r="B727" s="52" t="n">
        <v>44118</v>
      </c>
      <c r="C727" s="54" t="s">
        <v>590</v>
      </c>
      <c r="D727" s="0" t="n">
        <v>0</v>
      </c>
      <c r="E727" s="0" t="n">
        <v>0.0609800718656807</v>
      </c>
      <c r="F727" s="0" t="n">
        <v>0</v>
      </c>
      <c r="G727" s="0" t="n">
        <v>2020</v>
      </c>
    </row>
    <row r="728" customFormat="false" ht="15" hidden="false" customHeight="false" outlineLevel="0" collapsed="false">
      <c r="A728" s="0" t="s">
        <v>258</v>
      </c>
      <c r="B728" s="52" t="n">
        <v>44118</v>
      </c>
      <c r="C728" s="54" t="s">
        <v>591</v>
      </c>
      <c r="D728" s="0" t="n">
        <v>0.13810485164147</v>
      </c>
      <c r="E728" s="0" t="n">
        <v>0.0758015703084639</v>
      </c>
      <c r="F728" s="0" t="n">
        <v>0</v>
      </c>
      <c r="G728" s="0" t="n">
        <v>2020</v>
      </c>
    </row>
    <row r="729" customFormat="false" ht="15" hidden="false" customHeight="false" outlineLevel="0" collapsed="false">
      <c r="A729" s="0" t="s">
        <v>258</v>
      </c>
      <c r="B729" s="52" t="n">
        <v>44118</v>
      </c>
      <c r="C729" s="54" t="s">
        <v>592</v>
      </c>
      <c r="D729" s="0" t="n">
        <v>0</v>
      </c>
      <c r="E729" s="0" t="n">
        <v>0.0077377644101953</v>
      </c>
      <c r="F729" s="0" t="n">
        <v>0</v>
      </c>
      <c r="G729" s="0" t="n">
        <v>2020</v>
      </c>
    </row>
    <row r="730" customFormat="false" ht="15" hidden="false" customHeight="false" outlineLevel="0" collapsed="false">
      <c r="A730" s="0" t="s">
        <v>258</v>
      </c>
      <c r="B730" s="52" t="n">
        <v>44119</v>
      </c>
      <c r="C730" s="54" t="s">
        <v>590</v>
      </c>
      <c r="D730" s="0" t="n">
        <v>0.0051778377502111</v>
      </c>
      <c r="E730" s="0" t="n">
        <v>0.188314926008136</v>
      </c>
      <c r="F730" s="0" t="n">
        <v>0</v>
      </c>
      <c r="G730" s="0" t="n">
        <v>2020</v>
      </c>
    </row>
    <row r="731" customFormat="false" ht="15" hidden="false" customHeight="false" outlineLevel="0" collapsed="false">
      <c r="A731" s="0" t="s">
        <v>258</v>
      </c>
      <c r="B731" s="52" t="n">
        <v>44119</v>
      </c>
      <c r="C731" s="54" t="s">
        <v>591</v>
      </c>
      <c r="D731" s="0" t="n">
        <v>0.0073928439301027</v>
      </c>
      <c r="E731" s="0" t="n">
        <v>0.111990154219522</v>
      </c>
      <c r="F731" s="0" t="n">
        <v>0</v>
      </c>
      <c r="G731" s="0" t="n">
        <v>2020</v>
      </c>
    </row>
    <row r="732" customFormat="false" ht="15" hidden="false" customHeight="false" outlineLevel="0" collapsed="false">
      <c r="A732" s="0" t="s">
        <v>258</v>
      </c>
      <c r="B732" s="52" t="n">
        <v>44119</v>
      </c>
      <c r="C732" s="54" t="s">
        <v>592</v>
      </c>
      <c r="D732" s="0" t="n">
        <v>0.159196921883373</v>
      </c>
      <c r="E732" s="0" t="n">
        <v>0.0675460191658127</v>
      </c>
      <c r="F732" s="0" t="n">
        <v>0</v>
      </c>
      <c r="G732" s="0" t="n">
        <v>2020</v>
      </c>
    </row>
    <row r="733" customFormat="false" ht="15" hidden="false" customHeight="false" outlineLevel="0" collapsed="false">
      <c r="A733" s="0" t="s">
        <v>258</v>
      </c>
      <c r="B733" s="52" t="n">
        <v>44120</v>
      </c>
      <c r="C733" s="54" t="s">
        <v>590</v>
      </c>
      <c r="D733" s="0" t="n">
        <v>0</v>
      </c>
      <c r="E733" s="0" t="n">
        <v>0.129909910435952</v>
      </c>
      <c r="F733" s="0" t="n">
        <v>0</v>
      </c>
      <c r="G733" s="0" t="n">
        <v>2020</v>
      </c>
    </row>
    <row r="734" customFormat="false" ht="15" hidden="false" customHeight="false" outlineLevel="0" collapsed="false">
      <c r="A734" s="0" t="s">
        <v>258</v>
      </c>
      <c r="B734" s="52" t="n">
        <v>44120</v>
      </c>
      <c r="C734" s="54" t="s">
        <v>591</v>
      </c>
      <c r="D734" s="0" t="n">
        <v>0.0051076660549384</v>
      </c>
      <c r="E734" s="0" t="n">
        <v>0.108542770402361</v>
      </c>
      <c r="F734" s="0" t="n">
        <v>0</v>
      </c>
      <c r="G734" s="0" t="n">
        <v>2020</v>
      </c>
    </row>
    <row r="735" customFormat="false" ht="15" hidden="false" customHeight="false" outlineLevel="0" collapsed="false">
      <c r="A735" s="0" t="s">
        <v>258</v>
      </c>
      <c r="B735" s="52" t="n">
        <v>44120</v>
      </c>
      <c r="C735" s="54" t="s">
        <v>592</v>
      </c>
      <c r="D735" s="0" t="n">
        <v>0.0009883143474611</v>
      </c>
      <c r="E735" s="0" t="n">
        <v>0.0639375955816973</v>
      </c>
      <c r="F735" s="0" t="n">
        <v>0</v>
      </c>
      <c r="G735" s="0" t="n">
        <v>2020</v>
      </c>
    </row>
    <row r="736" customFormat="false" ht="15" hidden="false" customHeight="false" outlineLevel="0" collapsed="false">
      <c r="A736" s="0" t="s">
        <v>258</v>
      </c>
      <c r="B736" s="52" t="n">
        <v>44121</v>
      </c>
      <c r="C736" s="54" t="s">
        <v>590</v>
      </c>
      <c r="D736" s="0" t="n">
        <v>0.176009576362906</v>
      </c>
      <c r="E736" s="0" t="n">
        <v>0.242655955584331</v>
      </c>
      <c r="F736" s="0" t="n">
        <v>1</v>
      </c>
      <c r="G736" s="0" t="n">
        <v>2020</v>
      </c>
    </row>
    <row r="737" customFormat="false" ht="15" hidden="false" customHeight="false" outlineLevel="0" collapsed="false">
      <c r="A737" s="0" t="s">
        <v>258</v>
      </c>
      <c r="B737" s="52" t="n">
        <v>44122</v>
      </c>
      <c r="C737" s="54" t="s">
        <v>591</v>
      </c>
      <c r="D737" s="0" t="n">
        <v>0.260938906111035</v>
      </c>
      <c r="E737" s="0" t="n">
        <v>0.124453766493158</v>
      </c>
      <c r="F737" s="0" t="n">
        <v>1</v>
      </c>
      <c r="G737" s="0" t="n">
        <v>2020</v>
      </c>
    </row>
    <row r="738" customFormat="false" ht="15" hidden="false" customHeight="false" outlineLevel="0" collapsed="false">
      <c r="A738" s="0" t="s">
        <v>258</v>
      </c>
      <c r="B738" s="52" t="n">
        <v>44122</v>
      </c>
      <c r="C738" s="54" t="s">
        <v>592</v>
      </c>
      <c r="D738" s="0" t="n">
        <v>0.0004146242810038</v>
      </c>
      <c r="E738" s="0" t="n">
        <v>0.0193255778513274</v>
      </c>
      <c r="F738" s="0" t="n">
        <v>1</v>
      </c>
      <c r="G738" s="0" t="n">
        <v>2020</v>
      </c>
    </row>
    <row r="739" customFormat="false" ht="15" hidden="false" customHeight="false" outlineLevel="0" collapsed="false">
      <c r="A739" s="0" t="s">
        <v>258</v>
      </c>
      <c r="B739" s="52" t="n">
        <v>44123</v>
      </c>
      <c r="C739" s="54" t="s">
        <v>590</v>
      </c>
      <c r="D739" s="0" t="n">
        <v>0.050090753261211</v>
      </c>
      <c r="E739" s="0" t="n">
        <v>0.0528003314880353</v>
      </c>
      <c r="F739" s="0" t="n">
        <v>0</v>
      </c>
      <c r="G739" s="0" t="n">
        <v>2020</v>
      </c>
    </row>
    <row r="740" customFormat="false" ht="15" hidden="false" customHeight="false" outlineLevel="0" collapsed="false">
      <c r="A740" s="0" t="s">
        <v>258</v>
      </c>
      <c r="B740" s="52" t="n">
        <v>44123</v>
      </c>
      <c r="C740" s="54" t="s">
        <v>591</v>
      </c>
      <c r="D740" s="0" t="n">
        <v>0.0021653862198698</v>
      </c>
      <c r="E740" s="0" t="n">
        <v>0.155278025303937</v>
      </c>
      <c r="F740" s="0" t="n">
        <v>0</v>
      </c>
      <c r="G740" s="0" t="n">
        <v>2020</v>
      </c>
    </row>
    <row r="741" customFormat="false" ht="15" hidden="false" customHeight="false" outlineLevel="0" collapsed="false">
      <c r="A741" s="0" t="s">
        <v>258</v>
      </c>
      <c r="B741" s="52" t="n">
        <v>44123</v>
      </c>
      <c r="C741" s="54" t="s">
        <v>592</v>
      </c>
      <c r="D741" s="0" t="n">
        <v>0.111336449525692</v>
      </c>
      <c r="E741" s="0" t="n">
        <v>0.0187211633929987</v>
      </c>
      <c r="F741" s="0" t="n">
        <v>0</v>
      </c>
      <c r="G741" s="0" t="n">
        <v>2020</v>
      </c>
    </row>
    <row r="742" customFormat="false" ht="15" hidden="false" customHeight="false" outlineLevel="0" collapsed="false">
      <c r="A742" s="0" t="s">
        <v>258</v>
      </c>
      <c r="B742" s="52" t="n">
        <v>44124</v>
      </c>
      <c r="C742" s="54" t="s">
        <v>590</v>
      </c>
      <c r="D742" s="0" t="n">
        <v>0.0113559940225073</v>
      </c>
      <c r="E742" s="0" t="n">
        <v>0.118416580337373</v>
      </c>
      <c r="F742" s="0" t="n">
        <v>0</v>
      </c>
      <c r="G742" s="0" t="n">
        <v>2020</v>
      </c>
    </row>
    <row r="743" customFormat="false" ht="15" hidden="false" customHeight="false" outlineLevel="0" collapsed="false">
      <c r="A743" s="0" t="s">
        <v>258</v>
      </c>
      <c r="B743" s="52" t="n">
        <v>44124</v>
      </c>
      <c r="C743" s="54" t="s">
        <v>591</v>
      </c>
      <c r="D743" s="0" t="n">
        <v>0</v>
      </c>
      <c r="E743" s="0" t="n">
        <v>0.0742331166434836</v>
      </c>
      <c r="F743" s="0" t="n">
        <v>0</v>
      </c>
      <c r="G743" s="0" t="n">
        <v>2020</v>
      </c>
    </row>
    <row r="744" customFormat="false" ht="15" hidden="false" customHeight="false" outlineLevel="0" collapsed="false">
      <c r="A744" s="0" t="s">
        <v>258</v>
      </c>
      <c r="B744" s="52" t="n">
        <v>44124</v>
      </c>
      <c r="C744" s="54" t="s">
        <v>592</v>
      </c>
      <c r="D744" s="0" t="n">
        <v>0.0531070495037298</v>
      </c>
      <c r="E744" s="0" t="n">
        <v>0.0685908755320285</v>
      </c>
      <c r="F744" s="0" t="n">
        <v>0</v>
      </c>
      <c r="G744" s="0" t="n">
        <v>2020</v>
      </c>
    </row>
    <row r="745" customFormat="false" ht="15" hidden="false" customHeight="false" outlineLevel="0" collapsed="false">
      <c r="A745" s="0" t="s">
        <v>258</v>
      </c>
      <c r="B745" s="52" t="n">
        <v>44125</v>
      </c>
      <c r="C745" s="54" t="s">
        <v>590</v>
      </c>
      <c r="D745" s="0" t="n">
        <v>0.77061861885322</v>
      </c>
      <c r="E745" s="0" t="n">
        <v>0.0405767201661709</v>
      </c>
      <c r="F745" s="0" t="n">
        <v>0</v>
      </c>
      <c r="G745" s="0" t="n">
        <v>2020</v>
      </c>
    </row>
    <row r="746" customFormat="false" ht="15" hidden="false" customHeight="false" outlineLevel="0" collapsed="false">
      <c r="A746" s="0" t="s">
        <v>258</v>
      </c>
      <c r="B746" s="52" t="n">
        <v>44125</v>
      </c>
      <c r="C746" s="54" t="s">
        <v>591</v>
      </c>
      <c r="D746" s="0" t="n">
        <v>0.0018626818605581</v>
      </c>
      <c r="E746" s="0" t="n">
        <v>0.0729204363383159</v>
      </c>
      <c r="F746" s="0" t="n">
        <v>0</v>
      </c>
      <c r="G746" s="0" t="n">
        <v>2020</v>
      </c>
    </row>
    <row r="747" customFormat="false" ht="15" hidden="false" customHeight="false" outlineLevel="0" collapsed="false">
      <c r="A747" s="0" t="s">
        <v>258</v>
      </c>
      <c r="B747" s="52" t="n">
        <v>44125</v>
      </c>
      <c r="C747" s="54" t="s">
        <v>592</v>
      </c>
      <c r="D747" s="0" t="n">
        <v>0</v>
      </c>
      <c r="E747" s="0" t="n">
        <v>0.0129467967763175</v>
      </c>
      <c r="F747" s="0" t="n">
        <v>0</v>
      </c>
      <c r="G747" s="0" t="n">
        <v>2020</v>
      </c>
    </row>
    <row r="748" customFormat="false" ht="15" hidden="false" customHeight="false" outlineLevel="0" collapsed="false">
      <c r="A748" s="0" t="s">
        <v>258</v>
      </c>
      <c r="B748" s="52" t="n">
        <v>44126</v>
      </c>
      <c r="C748" s="54" t="s">
        <v>590</v>
      </c>
      <c r="D748" s="0" t="n">
        <v>0.0028228335385919</v>
      </c>
      <c r="E748" s="0" t="n">
        <v>0.106527947318688</v>
      </c>
      <c r="F748" s="0" t="n">
        <v>0</v>
      </c>
      <c r="G748" s="0" t="n">
        <v>2020</v>
      </c>
    </row>
    <row r="749" customFormat="false" ht="15" hidden="false" customHeight="false" outlineLevel="0" collapsed="false">
      <c r="A749" s="0" t="s">
        <v>258</v>
      </c>
      <c r="B749" s="52" t="n">
        <v>44126</v>
      </c>
      <c r="C749" s="54" t="s">
        <v>591</v>
      </c>
      <c r="D749" s="0" t="n">
        <v>0.0800961704983331</v>
      </c>
      <c r="E749" s="0" t="n">
        <v>0.071181141851034</v>
      </c>
      <c r="F749" s="0" t="n">
        <v>0</v>
      </c>
      <c r="G749" s="0" t="n">
        <v>2020</v>
      </c>
    </row>
    <row r="750" customFormat="false" ht="15" hidden="false" customHeight="false" outlineLevel="0" collapsed="false">
      <c r="A750" s="0" t="s">
        <v>258</v>
      </c>
      <c r="B750" s="52" t="n">
        <v>44126</v>
      </c>
      <c r="C750" s="54" t="s">
        <v>592</v>
      </c>
      <c r="D750" s="0" t="n">
        <v>0.012676019941224</v>
      </c>
      <c r="E750" s="0" t="n">
        <v>0.0142038390527528</v>
      </c>
      <c r="F750" s="0" t="n">
        <v>0</v>
      </c>
      <c r="G750" s="0" t="n">
        <v>2020</v>
      </c>
    </row>
    <row r="751" customFormat="false" ht="15" hidden="false" customHeight="false" outlineLevel="0" collapsed="false">
      <c r="A751" s="0" t="s">
        <v>258</v>
      </c>
      <c r="B751" s="52" t="n">
        <v>44127</v>
      </c>
      <c r="C751" s="54" t="s">
        <v>590</v>
      </c>
      <c r="D751" s="0" t="n">
        <v>0</v>
      </c>
      <c r="E751" s="0" t="n">
        <v>0.113487364059648</v>
      </c>
      <c r="F751" s="0" t="n">
        <v>0</v>
      </c>
      <c r="G751" s="0" t="n">
        <v>2020</v>
      </c>
    </row>
    <row r="752" customFormat="false" ht="15" hidden="false" customHeight="false" outlineLevel="0" collapsed="false">
      <c r="A752" s="0" t="s">
        <v>258</v>
      </c>
      <c r="B752" s="52" t="n">
        <v>44127</v>
      </c>
      <c r="C752" s="54" t="s">
        <v>591</v>
      </c>
      <c r="D752" s="0" t="n">
        <v>0.0013379229074121</v>
      </c>
      <c r="E752" s="0" t="n">
        <v>0.134088579052742</v>
      </c>
      <c r="F752" s="0" t="n">
        <v>0</v>
      </c>
      <c r="G752" s="0" t="n">
        <v>2020</v>
      </c>
    </row>
    <row r="753" customFormat="false" ht="15" hidden="false" customHeight="false" outlineLevel="0" collapsed="false">
      <c r="A753" s="0" t="s">
        <v>258</v>
      </c>
      <c r="B753" s="52" t="n">
        <v>44127</v>
      </c>
      <c r="C753" s="54" t="s">
        <v>592</v>
      </c>
      <c r="D753" s="0" t="n">
        <v>0.0839253925267654</v>
      </c>
      <c r="E753" s="0" t="n">
        <v>0.170936595532773</v>
      </c>
      <c r="F753" s="0" t="n">
        <v>0</v>
      </c>
      <c r="G753" s="0" t="n">
        <v>2020</v>
      </c>
    </row>
    <row r="754" customFormat="false" ht="15" hidden="false" customHeight="false" outlineLevel="0" collapsed="false">
      <c r="A754" s="0" t="s">
        <v>258</v>
      </c>
      <c r="B754" s="52" t="n">
        <v>44128</v>
      </c>
      <c r="C754" s="54" t="s">
        <v>590</v>
      </c>
      <c r="D754" s="0" t="n">
        <v>0.136826516770984</v>
      </c>
      <c r="E754" s="0" t="n">
        <v>0.25742181155509</v>
      </c>
      <c r="F754" s="0" t="n">
        <v>1</v>
      </c>
      <c r="G754" s="0" t="n">
        <v>2020</v>
      </c>
    </row>
    <row r="755" customFormat="false" ht="15" hidden="false" customHeight="false" outlineLevel="0" collapsed="false">
      <c r="A755" s="0" t="s">
        <v>258</v>
      </c>
      <c r="B755" s="52" t="n">
        <v>44129</v>
      </c>
      <c r="C755" s="54" t="s">
        <v>590</v>
      </c>
      <c r="D755" s="0" t="n">
        <v>1</v>
      </c>
      <c r="E755" s="0" t="n">
        <v>0</v>
      </c>
      <c r="F755" s="0" t="n">
        <v>1</v>
      </c>
      <c r="G755" s="0" t="n">
        <v>2020</v>
      </c>
    </row>
    <row r="756" customFormat="false" ht="15" hidden="false" customHeight="false" outlineLevel="0" collapsed="false">
      <c r="A756" s="0" t="s">
        <v>258</v>
      </c>
      <c r="B756" s="52" t="n">
        <v>44129</v>
      </c>
      <c r="C756" s="54" t="s">
        <v>592</v>
      </c>
      <c r="D756" s="0" t="n">
        <v>0.041634029332626</v>
      </c>
      <c r="E756" s="0" t="n">
        <v>0.0803575203367391</v>
      </c>
      <c r="F756" s="0" t="n">
        <v>1</v>
      </c>
      <c r="G756" s="0" t="n">
        <v>2020</v>
      </c>
    </row>
    <row r="757" customFormat="false" ht="15" hidden="false" customHeight="false" outlineLevel="0" collapsed="false">
      <c r="A757" s="0" t="s">
        <v>258</v>
      </c>
      <c r="B757" s="52" t="n">
        <v>44130</v>
      </c>
      <c r="C757" s="54" t="s">
        <v>590</v>
      </c>
      <c r="D757" s="0" t="n">
        <v>0</v>
      </c>
      <c r="E757" s="0" t="n">
        <v>0.119794458441178</v>
      </c>
      <c r="F757" s="0" t="n">
        <v>0</v>
      </c>
      <c r="G757" s="0" t="n">
        <v>2020</v>
      </c>
    </row>
    <row r="758" customFormat="false" ht="15" hidden="false" customHeight="false" outlineLevel="0" collapsed="false">
      <c r="A758" s="0" t="s">
        <v>258</v>
      </c>
      <c r="B758" s="52" t="n">
        <v>44130</v>
      </c>
      <c r="C758" s="54" t="s">
        <v>591</v>
      </c>
      <c r="D758" s="0" t="n">
        <v>0.0003703663716558</v>
      </c>
      <c r="E758" s="0" t="n">
        <v>0.0549378065764419</v>
      </c>
      <c r="F758" s="0" t="n">
        <v>0</v>
      </c>
      <c r="G758" s="0" t="n">
        <v>2020</v>
      </c>
    </row>
    <row r="759" customFormat="false" ht="15" hidden="false" customHeight="false" outlineLevel="0" collapsed="false">
      <c r="A759" s="0" t="s">
        <v>258</v>
      </c>
      <c r="B759" s="52" t="n">
        <v>44130</v>
      </c>
      <c r="C759" s="54" t="s">
        <v>592</v>
      </c>
      <c r="D759" s="0" t="n">
        <v>0.152593849213455</v>
      </c>
      <c r="E759" s="0" t="n">
        <v>0.0590636725226525</v>
      </c>
      <c r="F759" s="0" t="n">
        <v>0</v>
      </c>
      <c r="G759" s="0" t="n">
        <v>2020</v>
      </c>
    </row>
    <row r="760" customFormat="false" ht="15" hidden="false" customHeight="false" outlineLevel="0" collapsed="false">
      <c r="A760" s="0" t="s">
        <v>258</v>
      </c>
      <c r="B760" s="52" t="n">
        <v>44131</v>
      </c>
      <c r="C760" s="54" t="s">
        <v>590</v>
      </c>
      <c r="D760" s="0" t="n">
        <v>0.0300367100171374</v>
      </c>
      <c r="E760" s="0" t="n">
        <v>0.16602545543525</v>
      </c>
      <c r="F760" s="0" t="n">
        <v>0</v>
      </c>
      <c r="G760" s="0" t="n">
        <v>2020</v>
      </c>
    </row>
    <row r="761" customFormat="false" ht="15" hidden="false" customHeight="false" outlineLevel="0" collapsed="false">
      <c r="A761" s="0" t="s">
        <v>258</v>
      </c>
      <c r="B761" s="52" t="n">
        <v>44131</v>
      </c>
      <c r="C761" s="54" t="s">
        <v>591</v>
      </c>
      <c r="D761" s="0" t="n">
        <v>0.011173810601326</v>
      </c>
      <c r="E761" s="0" t="n">
        <v>0.117900423104828</v>
      </c>
      <c r="F761" s="0" t="n">
        <v>0</v>
      </c>
      <c r="G761" s="0" t="n">
        <v>2020</v>
      </c>
    </row>
    <row r="762" customFormat="false" ht="15" hidden="false" customHeight="false" outlineLevel="0" collapsed="false">
      <c r="A762" s="0" t="s">
        <v>258</v>
      </c>
      <c r="B762" s="52" t="n">
        <v>44131</v>
      </c>
      <c r="C762" s="54" t="s">
        <v>592</v>
      </c>
      <c r="D762" s="0" t="n">
        <v>0.0183386488463021</v>
      </c>
      <c r="E762" s="0" t="n">
        <v>0.0538665165029027</v>
      </c>
      <c r="F762" s="0" t="n">
        <v>0</v>
      </c>
      <c r="G762" s="0" t="n">
        <v>2020</v>
      </c>
    </row>
    <row r="763" customFormat="false" ht="15" hidden="false" customHeight="false" outlineLevel="0" collapsed="false">
      <c r="A763" s="0" t="s">
        <v>258</v>
      </c>
      <c r="B763" s="52" t="n">
        <v>44132</v>
      </c>
      <c r="C763" s="54" t="s">
        <v>590</v>
      </c>
      <c r="D763" s="0" t="n">
        <v>0.0707052682406254</v>
      </c>
      <c r="E763" s="0" t="n">
        <v>0.207935956185266</v>
      </c>
      <c r="F763" s="0" t="n">
        <v>0</v>
      </c>
      <c r="G763" s="0" t="n">
        <v>2020</v>
      </c>
    </row>
    <row r="764" customFormat="false" ht="15" hidden="false" customHeight="false" outlineLevel="0" collapsed="false">
      <c r="A764" s="0" t="s">
        <v>258</v>
      </c>
      <c r="B764" s="52" t="n">
        <v>44132</v>
      </c>
      <c r="C764" s="54" t="s">
        <v>591</v>
      </c>
      <c r="D764" s="0" t="n">
        <v>0.174767267979947</v>
      </c>
      <c r="E764" s="0" t="n">
        <v>0.0293118779307325</v>
      </c>
      <c r="F764" s="0" t="n">
        <v>0</v>
      </c>
      <c r="G764" s="0" t="n">
        <v>2020</v>
      </c>
    </row>
    <row r="765" customFormat="false" ht="15" hidden="false" customHeight="false" outlineLevel="0" collapsed="false">
      <c r="A765" s="0" t="s">
        <v>258</v>
      </c>
      <c r="B765" s="52" t="n">
        <v>44132</v>
      </c>
      <c r="C765" s="54" t="s">
        <v>592</v>
      </c>
      <c r="D765" s="0" t="n">
        <v>0.0172187972483026</v>
      </c>
      <c r="E765" s="0" t="n">
        <v>0.0502870601012674</v>
      </c>
      <c r="F765" s="0" t="n">
        <v>0</v>
      </c>
      <c r="G765" s="0" t="n">
        <v>2020</v>
      </c>
    </row>
    <row r="766" customFormat="false" ht="15" hidden="false" customHeight="false" outlineLevel="0" collapsed="false">
      <c r="A766" s="0" t="s">
        <v>258</v>
      </c>
      <c r="B766" s="52" t="n">
        <v>44133</v>
      </c>
      <c r="C766" s="54" t="s">
        <v>590</v>
      </c>
      <c r="D766" s="0" t="n">
        <v>0.0034317724962475</v>
      </c>
      <c r="E766" s="0" t="n">
        <v>0.0833622914350299</v>
      </c>
      <c r="F766" s="0" t="n">
        <v>0</v>
      </c>
      <c r="G766" s="0" t="n">
        <v>2020</v>
      </c>
    </row>
    <row r="767" customFormat="false" ht="15" hidden="false" customHeight="false" outlineLevel="0" collapsed="false">
      <c r="A767" s="0" t="s">
        <v>258</v>
      </c>
      <c r="B767" s="52" t="n">
        <v>44133</v>
      </c>
      <c r="C767" s="54" t="s">
        <v>591</v>
      </c>
      <c r="D767" s="0" t="n">
        <v>0.141430981969457</v>
      </c>
      <c r="E767" s="0" t="n">
        <v>0.137022522133263</v>
      </c>
      <c r="F767" s="0" t="n">
        <v>0</v>
      </c>
      <c r="G767" s="0" t="n">
        <v>2020</v>
      </c>
    </row>
    <row r="768" customFormat="false" ht="15" hidden="false" customHeight="false" outlineLevel="0" collapsed="false">
      <c r="A768" s="0" t="s">
        <v>258</v>
      </c>
      <c r="B768" s="52" t="n">
        <v>44133</v>
      </c>
      <c r="C768" s="54" t="s">
        <v>592</v>
      </c>
      <c r="D768" s="0" t="n">
        <v>0.237100480894732</v>
      </c>
      <c r="E768" s="0" t="n">
        <v>0.0346549019626332</v>
      </c>
      <c r="F768" s="0" t="n">
        <v>0</v>
      </c>
      <c r="G768" s="0" t="n">
        <v>2020</v>
      </c>
    </row>
    <row r="769" customFormat="false" ht="15" hidden="false" customHeight="false" outlineLevel="0" collapsed="false">
      <c r="A769" s="0" t="s">
        <v>258</v>
      </c>
      <c r="B769" s="52" t="n">
        <v>44134</v>
      </c>
      <c r="C769" s="54" t="s">
        <v>590</v>
      </c>
      <c r="D769" s="0" t="n">
        <v>0.0052333310521156</v>
      </c>
      <c r="E769" s="0" t="n">
        <v>0.148281440132743</v>
      </c>
      <c r="F769" s="0" t="n">
        <v>0</v>
      </c>
      <c r="G769" s="0" t="n">
        <v>2020</v>
      </c>
    </row>
    <row r="770" customFormat="false" ht="15" hidden="false" customHeight="false" outlineLevel="0" collapsed="false">
      <c r="A770" s="0" t="s">
        <v>258</v>
      </c>
      <c r="B770" s="52" t="n">
        <v>44134</v>
      </c>
      <c r="C770" s="54" t="s">
        <v>591</v>
      </c>
      <c r="D770" s="0" t="n">
        <v>0.0385363472361648</v>
      </c>
      <c r="E770" s="0" t="n">
        <v>0.061391216106594</v>
      </c>
      <c r="F770" s="0" t="n">
        <v>0</v>
      </c>
      <c r="G770" s="0" t="n">
        <v>2020</v>
      </c>
    </row>
    <row r="771" customFormat="false" ht="15" hidden="false" customHeight="false" outlineLevel="0" collapsed="false">
      <c r="A771" s="0" t="s">
        <v>258</v>
      </c>
      <c r="B771" s="52" t="n">
        <v>44134</v>
      </c>
      <c r="C771" s="54" t="s">
        <v>592</v>
      </c>
      <c r="D771" s="0" t="n">
        <v>0.0131940234165198</v>
      </c>
      <c r="E771" s="0" t="n">
        <v>0.0236351709936387</v>
      </c>
      <c r="F771" s="0" t="n">
        <v>0</v>
      </c>
      <c r="G771" s="0" t="n">
        <v>2020</v>
      </c>
    </row>
    <row r="772" customFormat="false" ht="15" hidden="false" customHeight="false" outlineLevel="0" collapsed="false">
      <c r="A772" s="0" t="s">
        <v>258</v>
      </c>
      <c r="B772" s="52" t="n">
        <v>44135</v>
      </c>
      <c r="C772" s="54" t="s">
        <v>590</v>
      </c>
      <c r="D772" s="0" t="n">
        <v>0.389054186931727</v>
      </c>
      <c r="E772" s="0" t="n">
        <v>0.139791483151366</v>
      </c>
      <c r="F772" s="0" t="n">
        <v>1</v>
      </c>
      <c r="G772" s="0" t="n">
        <v>2020</v>
      </c>
    </row>
    <row r="773" customFormat="false" ht="15" hidden="false" customHeight="false" outlineLevel="0" collapsed="false">
      <c r="A773" s="0" t="s">
        <v>258</v>
      </c>
      <c r="B773" s="52" t="n">
        <v>44136</v>
      </c>
      <c r="C773" s="54" t="s">
        <v>590</v>
      </c>
      <c r="D773" s="0" t="n">
        <v>1</v>
      </c>
      <c r="E773" s="0" t="n">
        <v>0</v>
      </c>
      <c r="F773" s="0" t="n">
        <v>1</v>
      </c>
      <c r="G773" s="0" t="n">
        <v>2020</v>
      </c>
    </row>
    <row r="774" customFormat="false" ht="15" hidden="false" customHeight="false" outlineLevel="0" collapsed="false">
      <c r="A774" s="0" t="s">
        <v>258</v>
      </c>
      <c r="B774" s="52" t="n">
        <v>44136</v>
      </c>
      <c r="C774" s="54" t="s">
        <v>591</v>
      </c>
      <c r="D774" s="0" t="n">
        <v>0.0873164568388361</v>
      </c>
      <c r="E774" s="0" t="n">
        <v>0.0684048444342612</v>
      </c>
      <c r="F774" s="0" t="n">
        <v>1</v>
      </c>
      <c r="G774" s="0" t="n">
        <v>2020</v>
      </c>
    </row>
    <row r="775" customFormat="false" ht="15" hidden="false" customHeight="false" outlineLevel="0" collapsed="false">
      <c r="A775" s="0" t="s">
        <v>258</v>
      </c>
      <c r="B775" s="52" t="n">
        <v>44136</v>
      </c>
      <c r="C775" s="54" t="s">
        <v>592</v>
      </c>
      <c r="D775" s="0" t="n">
        <v>0.0008465720662321</v>
      </c>
      <c r="E775" s="0" t="n">
        <v>0.301504721077232</v>
      </c>
      <c r="F775" s="0" t="n">
        <v>1</v>
      </c>
      <c r="G775" s="0" t="n">
        <v>2020</v>
      </c>
    </row>
    <row r="776" customFormat="false" ht="15" hidden="false" customHeight="false" outlineLevel="0" collapsed="false">
      <c r="A776" s="0" t="s">
        <v>258</v>
      </c>
      <c r="B776" s="52" t="n">
        <v>44137</v>
      </c>
      <c r="C776" s="54" t="s">
        <v>590</v>
      </c>
      <c r="D776" s="0" t="n">
        <v>0.002023932357273</v>
      </c>
      <c r="E776" s="0" t="n">
        <v>0.400009591694518</v>
      </c>
      <c r="F776" s="0" t="n">
        <v>0</v>
      </c>
      <c r="G776" s="0" t="n">
        <v>2020</v>
      </c>
    </row>
    <row r="777" customFormat="false" ht="15" hidden="false" customHeight="false" outlineLevel="0" collapsed="false">
      <c r="A777" s="0" t="s">
        <v>258</v>
      </c>
      <c r="B777" s="52" t="n">
        <v>44137</v>
      </c>
      <c r="C777" s="54" t="s">
        <v>591</v>
      </c>
      <c r="D777" s="0" t="n">
        <v>0</v>
      </c>
      <c r="E777" s="0" t="n">
        <v>0.0916060450948686</v>
      </c>
      <c r="F777" s="0" t="n">
        <v>0</v>
      </c>
      <c r="G777" s="0" t="n">
        <v>2020</v>
      </c>
    </row>
    <row r="778" customFormat="false" ht="15" hidden="false" customHeight="false" outlineLevel="0" collapsed="false">
      <c r="A778" s="0" t="s">
        <v>258</v>
      </c>
      <c r="B778" s="52" t="n">
        <v>44137</v>
      </c>
      <c r="C778" s="54" t="s">
        <v>592</v>
      </c>
      <c r="D778" s="0" t="n">
        <v>0.104950850938536</v>
      </c>
      <c r="E778" s="0" t="n">
        <v>0.180028746028767</v>
      </c>
      <c r="F778" s="0" t="n">
        <v>0</v>
      </c>
      <c r="G778" s="0" t="n">
        <v>2020</v>
      </c>
    </row>
    <row r="779" customFormat="false" ht="15" hidden="false" customHeight="false" outlineLevel="0" collapsed="false">
      <c r="A779" s="0" t="s">
        <v>258</v>
      </c>
      <c r="B779" s="52" t="n">
        <v>44138</v>
      </c>
      <c r="C779" s="54" t="s">
        <v>590</v>
      </c>
      <c r="D779" s="0" t="n">
        <v>0</v>
      </c>
      <c r="E779" s="0" t="n">
        <v>0.0985793662505592</v>
      </c>
      <c r="F779" s="0" t="n">
        <v>0</v>
      </c>
      <c r="G779" s="0" t="n">
        <v>2020</v>
      </c>
    </row>
    <row r="780" customFormat="false" ht="15" hidden="false" customHeight="false" outlineLevel="0" collapsed="false">
      <c r="A780" s="0" t="s">
        <v>258</v>
      </c>
      <c r="B780" s="52" t="n">
        <v>44138</v>
      </c>
      <c r="C780" s="54" t="s">
        <v>591</v>
      </c>
      <c r="D780" s="0" t="n">
        <v>0</v>
      </c>
      <c r="E780" s="0" t="n">
        <v>0.0409067401277317</v>
      </c>
      <c r="F780" s="0" t="n">
        <v>0</v>
      </c>
      <c r="G780" s="0" t="n">
        <v>2020</v>
      </c>
    </row>
    <row r="781" customFormat="false" ht="15" hidden="false" customHeight="false" outlineLevel="0" collapsed="false">
      <c r="A781" s="0" t="s">
        <v>258</v>
      </c>
      <c r="B781" s="52" t="n">
        <v>44138</v>
      </c>
      <c r="C781" s="54" t="s">
        <v>592</v>
      </c>
      <c r="D781" s="0" t="n">
        <v>0.009804678669306</v>
      </c>
      <c r="E781" s="0" t="n">
        <v>0.247032682031638</v>
      </c>
      <c r="F781" s="0" t="n">
        <v>0</v>
      </c>
      <c r="G781" s="0" t="n">
        <v>2020</v>
      </c>
    </row>
    <row r="782" customFormat="false" ht="15" hidden="false" customHeight="false" outlineLevel="0" collapsed="false">
      <c r="A782" s="0" t="s">
        <v>258</v>
      </c>
      <c r="B782" s="52" t="n">
        <v>44139</v>
      </c>
      <c r="C782" s="54" t="s">
        <v>590</v>
      </c>
      <c r="D782" s="0" t="n">
        <v>0.065675603434593</v>
      </c>
      <c r="E782" s="0" t="n">
        <v>0.226064866716606</v>
      </c>
      <c r="F782" s="0" t="n">
        <v>0</v>
      </c>
      <c r="G782" s="0" t="n">
        <v>2020</v>
      </c>
    </row>
    <row r="783" customFormat="false" ht="15" hidden="false" customHeight="false" outlineLevel="0" collapsed="false">
      <c r="A783" s="0" t="s">
        <v>258</v>
      </c>
      <c r="B783" s="52" t="n">
        <v>44139</v>
      </c>
      <c r="C783" s="54" t="s">
        <v>591</v>
      </c>
      <c r="D783" s="0" t="n">
        <v>0.0224644825321313</v>
      </c>
      <c r="E783" s="0" t="n">
        <v>0.116716401064932</v>
      </c>
      <c r="F783" s="0" t="n">
        <v>0</v>
      </c>
      <c r="G783" s="0" t="n">
        <v>2020</v>
      </c>
    </row>
    <row r="784" customFormat="false" ht="15" hidden="false" customHeight="false" outlineLevel="0" collapsed="false">
      <c r="A784" s="0" t="s">
        <v>258</v>
      </c>
      <c r="B784" s="52" t="n">
        <v>44139</v>
      </c>
      <c r="C784" s="54" t="s">
        <v>592</v>
      </c>
      <c r="D784" s="0" t="n">
        <v>0</v>
      </c>
      <c r="E784" s="0" t="n">
        <v>0.171484003886359</v>
      </c>
      <c r="F784" s="0" t="n">
        <v>0</v>
      </c>
      <c r="G784" s="0" t="n">
        <v>2020</v>
      </c>
    </row>
    <row r="785" customFormat="false" ht="15" hidden="false" customHeight="false" outlineLevel="0" collapsed="false">
      <c r="A785" s="0" t="s">
        <v>258</v>
      </c>
      <c r="B785" s="52" t="n">
        <v>44140</v>
      </c>
      <c r="C785" s="54" t="s">
        <v>590</v>
      </c>
      <c r="D785" s="0" t="n">
        <v>0.0034974194635767</v>
      </c>
      <c r="E785" s="0" t="n">
        <v>0.188925907379562</v>
      </c>
      <c r="F785" s="0" t="n">
        <v>0</v>
      </c>
      <c r="G785" s="0" t="n">
        <v>2020</v>
      </c>
    </row>
    <row r="786" customFormat="false" ht="15" hidden="false" customHeight="false" outlineLevel="0" collapsed="false">
      <c r="A786" s="0" t="s">
        <v>258</v>
      </c>
      <c r="B786" s="52" t="n">
        <v>44140</v>
      </c>
      <c r="C786" s="54" t="s">
        <v>591</v>
      </c>
      <c r="D786" s="0" t="n">
        <v>0</v>
      </c>
      <c r="E786" s="0" t="n">
        <v>0.10183903271823</v>
      </c>
      <c r="F786" s="0" t="n">
        <v>0</v>
      </c>
      <c r="G786" s="0" t="n">
        <v>2020</v>
      </c>
    </row>
    <row r="787" customFormat="false" ht="15" hidden="false" customHeight="false" outlineLevel="0" collapsed="false">
      <c r="A787" s="0" t="s">
        <v>258</v>
      </c>
      <c r="B787" s="52" t="n">
        <v>44140</v>
      </c>
      <c r="C787" s="54" t="s">
        <v>592</v>
      </c>
      <c r="D787" s="0" t="n">
        <v>0.0974467853475635</v>
      </c>
      <c r="E787" s="0" t="n">
        <v>0.0868399131676442</v>
      </c>
      <c r="F787" s="0" t="n">
        <v>0</v>
      </c>
      <c r="G787" s="0" t="n">
        <v>2020</v>
      </c>
    </row>
    <row r="788" customFormat="false" ht="15" hidden="false" customHeight="false" outlineLevel="0" collapsed="false">
      <c r="A788" s="0" t="s">
        <v>258</v>
      </c>
      <c r="B788" s="52" t="n">
        <v>44141</v>
      </c>
      <c r="C788" s="54" t="s">
        <v>590</v>
      </c>
      <c r="D788" s="0" t="n">
        <v>0.0571041551249967</v>
      </c>
      <c r="E788" s="0" t="n">
        <v>0.162393649251943</v>
      </c>
      <c r="F788" s="0" t="n">
        <v>0</v>
      </c>
      <c r="G788" s="0" t="n">
        <v>2020</v>
      </c>
    </row>
    <row r="789" customFormat="false" ht="15" hidden="false" customHeight="false" outlineLevel="0" collapsed="false">
      <c r="A789" s="0" t="s">
        <v>258</v>
      </c>
      <c r="B789" s="52" t="n">
        <v>44141</v>
      </c>
      <c r="C789" s="54" t="s">
        <v>591</v>
      </c>
      <c r="D789" s="0" t="n">
        <v>0.0129680696758131</v>
      </c>
      <c r="E789" s="0" t="n">
        <v>0.127253774482547</v>
      </c>
      <c r="F789" s="0" t="n">
        <v>0</v>
      </c>
      <c r="G789" s="0" t="n">
        <v>2020</v>
      </c>
    </row>
    <row r="790" customFormat="false" ht="15" hidden="false" customHeight="false" outlineLevel="0" collapsed="false">
      <c r="A790" s="0" t="s">
        <v>258</v>
      </c>
      <c r="B790" s="52" t="n">
        <v>44141</v>
      </c>
      <c r="C790" s="54" t="s">
        <v>592</v>
      </c>
      <c r="D790" s="0" t="n">
        <v>0</v>
      </c>
      <c r="E790" s="0" t="n">
        <v>0.0851705754461438</v>
      </c>
      <c r="F790" s="0" t="n">
        <v>0</v>
      </c>
      <c r="G790" s="0" t="n">
        <v>2020</v>
      </c>
    </row>
    <row r="791" customFormat="false" ht="15" hidden="false" customHeight="false" outlineLevel="0" collapsed="false">
      <c r="A791" s="0" t="s">
        <v>258</v>
      </c>
      <c r="B791" s="52" t="n">
        <v>44142</v>
      </c>
      <c r="C791" s="54" t="s">
        <v>590</v>
      </c>
      <c r="D791" s="0" t="n">
        <v>0.399062411828222</v>
      </c>
      <c r="E791" s="0" t="n">
        <v>0.114732035958969</v>
      </c>
      <c r="F791" s="0" t="n">
        <v>1</v>
      </c>
      <c r="G791" s="0" t="n">
        <v>2020</v>
      </c>
    </row>
    <row r="792" customFormat="false" ht="15" hidden="false" customHeight="false" outlineLevel="0" collapsed="false">
      <c r="A792" s="0" t="s">
        <v>258</v>
      </c>
      <c r="B792" s="52" t="n">
        <v>44143</v>
      </c>
      <c r="C792" s="54" t="s">
        <v>590</v>
      </c>
      <c r="D792" s="0" t="n">
        <v>1</v>
      </c>
      <c r="E792" s="0" t="n">
        <v>0</v>
      </c>
      <c r="F792" s="0" t="n">
        <v>1</v>
      </c>
      <c r="G792" s="0" t="n">
        <v>2020</v>
      </c>
    </row>
    <row r="793" customFormat="false" ht="15" hidden="false" customHeight="false" outlineLevel="0" collapsed="false">
      <c r="A793" s="0" t="s">
        <v>258</v>
      </c>
      <c r="B793" s="52" t="n">
        <v>44143</v>
      </c>
      <c r="C793" s="54" t="s">
        <v>591</v>
      </c>
      <c r="D793" s="0" t="n">
        <v>0.713013189847876</v>
      </c>
      <c r="E793" s="0" t="n">
        <v>0.0411661328392572</v>
      </c>
      <c r="F793" s="0" t="n">
        <v>1</v>
      </c>
      <c r="G793" s="0" t="n">
        <v>2020</v>
      </c>
    </row>
    <row r="794" customFormat="false" ht="15" hidden="false" customHeight="false" outlineLevel="0" collapsed="false">
      <c r="A794" s="0" t="s">
        <v>258</v>
      </c>
      <c r="B794" s="52" t="n">
        <v>44143</v>
      </c>
      <c r="C794" s="54" t="s">
        <v>592</v>
      </c>
      <c r="D794" s="0" t="n">
        <v>0.0113598124280327</v>
      </c>
      <c r="E794" s="0" t="n">
        <v>0.0706715058620402</v>
      </c>
      <c r="F794" s="0" t="n">
        <v>1</v>
      </c>
      <c r="G794" s="0" t="n">
        <v>2020</v>
      </c>
    </row>
    <row r="795" customFormat="false" ht="15" hidden="false" customHeight="false" outlineLevel="0" collapsed="false">
      <c r="A795" s="0" t="s">
        <v>258</v>
      </c>
      <c r="B795" s="52" t="n">
        <v>44144</v>
      </c>
      <c r="C795" s="54" t="s">
        <v>590</v>
      </c>
      <c r="D795" s="0" t="n">
        <v>0.0056788482504218</v>
      </c>
      <c r="E795" s="0" t="n">
        <v>0.221356522105115</v>
      </c>
      <c r="F795" s="0" t="n">
        <v>0</v>
      </c>
      <c r="G795" s="0" t="n">
        <v>2020</v>
      </c>
    </row>
    <row r="796" customFormat="false" ht="15" hidden="false" customHeight="false" outlineLevel="0" collapsed="false">
      <c r="A796" s="0" t="s">
        <v>258</v>
      </c>
      <c r="B796" s="52" t="n">
        <v>44144</v>
      </c>
      <c r="C796" s="54" t="s">
        <v>591</v>
      </c>
      <c r="D796" s="0" t="n">
        <v>0.005279143283837</v>
      </c>
      <c r="E796" s="0" t="n">
        <v>0.0963892680775253</v>
      </c>
      <c r="F796" s="0" t="n">
        <v>0</v>
      </c>
      <c r="G796" s="0" t="n">
        <v>2020</v>
      </c>
    </row>
    <row r="797" customFormat="false" ht="15" hidden="false" customHeight="false" outlineLevel="0" collapsed="false">
      <c r="A797" s="0" t="s">
        <v>258</v>
      </c>
      <c r="B797" s="52" t="n">
        <v>44144</v>
      </c>
      <c r="C797" s="54" t="s">
        <v>592</v>
      </c>
      <c r="D797" s="0" t="n">
        <v>0.0862491221038859</v>
      </c>
      <c r="E797" s="0" t="n">
        <v>0.075392132919063</v>
      </c>
      <c r="F797" s="0" t="n">
        <v>0</v>
      </c>
      <c r="G797" s="0" t="n">
        <v>2020</v>
      </c>
    </row>
    <row r="798" customFormat="false" ht="15" hidden="false" customHeight="false" outlineLevel="0" collapsed="false">
      <c r="A798" s="0" t="s">
        <v>258</v>
      </c>
      <c r="B798" s="52" t="n">
        <v>44145</v>
      </c>
      <c r="C798" s="54" t="s">
        <v>590</v>
      </c>
      <c r="D798" s="0" t="n">
        <v>0.0124199934057503</v>
      </c>
      <c r="E798" s="0" t="n">
        <v>0.153068731581966</v>
      </c>
      <c r="F798" s="0" t="n">
        <v>0</v>
      </c>
      <c r="G798" s="0" t="n">
        <v>2020</v>
      </c>
    </row>
    <row r="799" customFormat="false" ht="15" hidden="false" customHeight="false" outlineLevel="0" collapsed="false">
      <c r="A799" s="0" t="s">
        <v>258</v>
      </c>
      <c r="B799" s="52" t="n">
        <v>44145</v>
      </c>
      <c r="C799" s="54" t="s">
        <v>591</v>
      </c>
      <c r="D799" s="0" t="n">
        <v>0.0198136956435883</v>
      </c>
      <c r="E799" s="0" t="n">
        <v>0.110694950107536</v>
      </c>
      <c r="F799" s="0" t="n">
        <v>0</v>
      </c>
      <c r="G799" s="0" t="n">
        <v>2020</v>
      </c>
    </row>
    <row r="800" customFormat="false" ht="15" hidden="false" customHeight="false" outlineLevel="0" collapsed="false">
      <c r="A800" s="0" t="s">
        <v>258</v>
      </c>
      <c r="B800" s="52" t="n">
        <v>44145</v>
      </c>
      <c r="C800" s="54" t="s">
        <v>592</v>
      </c>
      <c r="D800" s="0" t="n">
        <v>0.0236451356839922</v>
      </c>
      <c r="E800" s="0" t="n">
        <v>0.0558735845222086</v>
      </c>
      <c r="F800" s="0" t="n">
        <v>0</v>
      </c>
      <c r="G800" s="0" t="n">
        <v>2020</v>
      </c>
    </row>
    <row r="801" customFormat="false" ht="15" hidden="false" customHeight="false" outlineLevel="0" collapsed="false">
      <c r="A801" s="0" t="s">
        <v>258</v>
      </c>
      <c r="B801" s="52" t="n">
        <v>44146</v>
      </c>
      <c r="C801" s="54" t="s">
        <v>590</v>
      </c>
      <c r="D801" s="0" t="n">
        <v>0.0720288776532746</v>
      </c>
      <c r="E801" s="0" t="n">
        <v>0.19292381648974</v>
      </c>
      <c r="F801" s="0" t="n">
        <v>0</v>
      </c>
      <c r="G801" s="0" t="n">
        <v>2020</v>
      </c>
    </row>
    <row r="802" customFormat="false" ht="15" hidden="false" customHeight="false" outlineLevel="0" collapsed="false">
      <c r="A802" s="0" t="s">
        <v>258</v>
      </c>
      <c r="B802" s="52" t="n">
        <v>44146</v>
      </c>
      <c r="C802" s="54" t="s">
        <v>591</v>
      </c>
      <c r="D802" s="0" t="n">
        <v>0.0242718036983906</v>
      </c>
      <c r="E802" s="0" t="n">
        <v>0.0691754939861359</v>
      </c>
      <c r="F802" s="0" t="n">
        <v>0</v>
      </c>
      <c r="G802" s="0" t="n">
        <v>2020</v>
      </c>
    </row>
    <row r="803" customFormat="false" ht="15" hidden="false" customHeight="false" outlineLevel="0" collapsed="false">
      <c r="A803" s="0" t="s">
        <v>258</v>
      </c>
      <c r="B803" s="52" t="n">
        <v>44146</v>
      </c>
      <c r="C803" s="54" t="s">
        <v>592</v>
      </c>
      <c r="D803" s="0" t="n">
        <v>0.0138739051796405</v>
      </c>
      <c r="E803" s="0" t="n">
        <v>0.09653829038266</v>
      </c>
      <c r="F803" s="0" t="n">
        <v>0</v>
      </c>
      <c r="G803" s="0" t="n">
        <v>2020</v>
      </c>
    </row>
    <row r="804" customFormat="false" ht="15" hidden="false" customHeight="false" outlineLevel="0" collapsed="false">
      <c r="A804" s="0" t="s">
        <v>258</v>
      </c>
      <c r="B804" s="52" t="n">
        <v>44147</v>
      </c>
      <c r="C804" s="54" t="s">
        <v>590</v>
      </c>
      <c r="D804" s="0" t="n">
        <v>0.0001493122785858</v>
      </c>
      <c r="E804" s="0" t="n">
        <v>0.167635212082967</v>
      </c>
      <c r="F804" s="0" t="n">
        <v>0</v>
      </c>
      <c r="G804" s="0" t="n">
        <v>2020</v>
      </c>
    </row>
    <row r="805" customFormat="false" ht="15" hidden="false" customHeight="false" outlineLevel="0" collapsed="false">
      <c r="A805" s="0" t="s">
        <v>258</v>
      </c>
      <c r="B805" s="52" t="n">
        <v>44147</v>
      </c>
      <c r="C805" s="54" t="s">
        <v>591</v>
      </c>
      <c r="D805" s="0" t="n">
        <v>0.0275004900352173</v>
      </c>
      <c r="E805" s="0" t="n">
        <v>0.0699257740346451</v>
      </c>
      <c r="F805" s="0" t="n">
        <v>0</v>
      </c>
      <c r="G805" s="0" t="n">
        <v>2020</v>
      </c>
    </row>
    <row r="806" customFormat="false" ht="15" hidden="false" customHeight="false" outlineLevel="0" collapsed="false">
      <c r="A806" s="0" t="s">
        <v>258</v>
      </c>
      <c r="B806" s="52" t="n">
        <v>44147</v>
      </c>
      <c r="C806" s="54" t="s">
        <v>592</v>
      </c>
      <c r="D806" s="0" t="n">
        <v>0.0505040631583678</v>
      </c>
      <c r="E806" s="0" t="n">
        <v>0.149828542632909</v>
      </c>
      <c r="F806" s="0" t="n">
        <v>0</v>
      </c>
      <c r="G806" s="0" t="n">
        <v>2020</v>
      </c>
    </row>
    <row r="807" customFormat="false" ht="15" hidden="false" customHeight="false" outlineLevel="0" collapsed="false">
      <c r="A807" s="0" t="s">
        <v>258</v>
      </c>
      <c r="B807" s="52" t="n">
        <v>44148</v>
      </c>
      <c r="C807" s="54" t="s">
        <v>590</v>
      </c>
      <c r="D807" s="0" t="n">
        <v>0.0042993376271023</v>
      </c>
      <c r="E807" s="0" t="n">
        <v>0.259134484386966</v>
      </c>
      <c r="F807" s="0" t="n">
        <v>0</v>
      </c>
      <c r="G807" s="0" t="n">
        <v>2020</v>
      </c>
    </row>
    <row r="808" customFormat="false" ht="15" hidden="false" customHeight="false" outlineLevel="0" collapsed="false">
      <c r="A808" s="0" t="s">
        <v>258</v>
      </c>
      <c r="B808" s="52" t="n">
        <v>44148</v>
      </c>
      <c r="C808" s="54" t="s">
        <v>591</v>
      </c>
      <c r="D808" s="0" t="n">
        <v>0.437484798146043</v>
      </c>
      <c r="E808" s="0" t="n">
        <v>0.0436160719145365</v>
      </c>
      <c r="F808" s="0" t="n">
        <v>0</v>
      </c>
      <c r="G808" s="0" t="n">
        <v>2020</v>
      </c>
    </row>
    <row r="809" customFormat="false" ht="15" hidden="false" customHeight="false" outlineLevel="0" collapsed="false">
      <c r="A809" s="0" t="s">
        <v>258</v>
      </c>
      <c r="B809" s="52" t="n">
        <v>44148</v>
      </c>
      <c r="C809" s="54" t="s">
        <v>592</v>
      </c>
      <c r="D809" s="0" t="n">
        <v>0.0013702711068381</v>
      </c>
      <c r="E809" s="0" t="n">
        <v>0.106869686770735</v>
      </c>
      <c r="F809" s="0" t="n">
        <v>0</v>
      </c>
      <c r="G809" s="0" t="n">
        <v>2020</v>
      </c>
    </row>
    <row r="810" customFormat="false" ht="15" hidden="false" customHeight="false" outlineLevel="0" collapsed="false">
      <c r="A810" s="0" t="s">
        <v>258</v>
      </c>
      <c r="B810" s="52" t="n">
        <v>44149</v>
      </c>
      <c r="C810" s="54" t="s">
        <v>590</v>
      </c>
      <c r="D810" s="0" t="n">
        <v>0.139943799714841</v>
      </c>
      <c r="E810" s="0" t="n">
        <v>0.164815163044105</v>
      </c>
      <c r="F810" s="0" t="n">
        <v>1</v>
      </c>
      <c r="G810" s="0" t="n">
        <v>2020</v>
      </c>
    </row>
    <row r="811" customFormat="false" ht="15" hidden="false" customHeight="false" outlineLevel="0" collapsed="false">
      <c r="A811" s="0" t="s">
        <v>258</v>
      </c>
      <c r="B811" s="52" t="n">
        <v>44150</v>
      </c>
      <c r="C811" s="54" t="s">
        <v>592</v>
      </c>
      <c r="D811" s="0" t="n">
        <v>0.0210003732054614</v>
      </c>
      <c r="E811" s="0" t="n">
        <v>0.09319061200961</v>
      </c>
      <c r="F811" s="0" t="n">
        <v>1</v>
      </c>
      <c r="G811" s="0" t="n">
        <v>2020</v>
      </c>
    </row>
    <row r="812" customFormat="false" ht="15" hidden="false" customHeight="false" outlineLevel="0" collapsed="false">
      <c r="A812" s="0" t="s">
        <v>258</v>
      </c>
      <c r="B812" s="52" t="n">
        <v>44151</v>
      </c>
      <c r="C812" s="54" t="s">
        <v>590</v>
      </c>
      <c r="D812" s="0" t="n">
        <v>0</v>
      </c>
      <c r="E812" s="0" t="n">
        <v>0.0838424951420074</v>
      </c>
      <c r="F812" s="0" t="n">
        <v>0</v>
      </c>
      <c r="G812" s="0" t="n">
        <v>2020</v>
      </c>
    </row>
    <row r="813" customFormat="false" ht="15" hidden="false" customHeight="false" outlineLevel="0" collapsed="false">
      <c r="A813" s="0" t="s">
        <v>258</v>
      </c>
      <c r="B813" s="52" t="n">
        <v>44151</v>
      </c>
      <c r="C813" s="54" t="s">
        <v>591</v>
      </c>
      <c r="D813" s="0" t="n">
        <v>0.0001703054517912</v>
      </c>
      <c r="E813" s="0" t="n">
        <v>0.0357170494431086</v>
      </c>
      <c r="F813" s="0" t="n">
        <v>0</v>
      </c>
      <c r="G813" s="0" t="n">
        <v>2020</v>
      </c>
    </row>
    <row r="814" customFormat="false" ht="15" hidden="false" customHeight="false" outlineLevel="0" collapsed="false">
      <c r="A814" s="0" t="s">
        <v>258</v>
      </c>
      <c r="B814" s="52" t="n">
        <v>44151</v>
      </c>
      <c r="C814" s="54" t="s">
        <v>592</v>
      </c>
      <c r="D814" s="0" t="n">
        <v>0.142903028281651</v>
      </c>
      <c r="E814" s="0" t="n">
        <v>0.104246544165224</v>
      </c>
      <c r="F814" s="0" t="n">
        <v>0</v>
      </c>
      <c r="G814" s="0" t="n">
        <v>2020</v>
      </c>
    </row>
    <row r="815" customFormat="false" ht="15" hidden="false" customHeight="false" outlineLevel="0" collapsed="false">
      <c r="A815" s="0" t="s">
        <v>258</v>
      </c>
      <c r="B815" s="52" t="n">
        <v>44152</v>
      </c>
      <c r="C815" s="54" t="s">
        <v>590</v>
      </c>
      <c r="D815" s="0" t="n">
        <v>0</v>
      </c>
      <c r="E815" s="0" t="n">
        <v>0.144036547399961</v>
      </c>
      <c r="F815" s="0" t="n">
        <v>0</v>
      </c>
      <c r="G815" s="0" t="n">
        <v>2020</v>
      </c>
    </row>
    <row r="816" customFormat="false" ht="15" hidden="false" customHeight="false" outlineLevel="0" collapsed="false">
      <c r="A816" s="0" t="s">
        <v>258</v>
      </c>
      <c r="B816" s="52" t="n">
        <v>44152</v>
      </c>
      <c r="C816" s="54" t="s">
        <v>591</v>
      </c>
      <c r="D816" s="0" t="n">
        <v>0.0085233697179778</v>
      </c>
      <c r="E816" s="0" t="n">
        <v>0.0273473362950237</v>
      </c>
      <c r="F816" s="0" t="n">
        <v>0</v>
      </c>
      <c r="G816" s="0" t="n">
        <v>2020</v>
      </c>
    </row>
    <row r="817" customFormat="false" ht="15" hidden="false" customHeight="false" outlineLevel="0" collapsed="false">
      <c r="A817" s="0" t="s">
        <v>258</v>
      </c>
      <c r="B817" s="52" t="n">
        <v>44152</v>
      </c>
      <c r="C817" s="54" t="s">
        <v>592</v>
      </c>
      <c r="D817" s="0" t="n">
        <v>0.277436586240644</v>
      </c>
      <c r="E817" s="0" t="n">
        <v>0.0165421721233895</v>
      </c>
      <c r="F817" s="0" t="n">
        <v>0</v>
      </c>
      <c r="G817" s="0" t="n">
        <v>2020</v>
      </c>
    </row>
    <row r="818" customFormat="false" ht="15" hidden="false" customHeight="false" outlineLevel="0" collapsed="false">
      <c r="A818" s="0" t="s">
        <v>258</v>
      </c>
      <c r="B818" s="52" t="n">
        <v>44153</v>
      </c>
      <c r="C818" s="54" t="s">
        <v>590</v>
      </c>
      <c r="D818" s="0" t="n">
        <v>0.993905495405588</v>
      </c>
      <c r="E818" s="0" t="n">
        <v>0</v>
      </c>
      <c r="F818" s="0" t="n">
        <v>0</v>
      </c>
      <c r="G818" s="0" t="n">
        <v>2020</v>
      </c>
    </row>
    <row r="819" customFormat="false" ht="15" hidden="false" customHeight="false" outlineLevel="0" collapsed="false">
      <c r="A819" s="0" t="s">
        <v>258</v>
      </c>
      <c r="B819" s="52" t="n">
        <v>44153</v>
      </c>
      <c r="C819" s="54" t="s">
        <v>591</v>
      </c>
      <c r="D819" s="0" t="n">
        <v>0.128039816048935</v>
      </c>
      <c r="E819" s="0" t="n">
        <v>0.0862016492170403</v>
      </c>
      <c r="F819" s="0" t="n">
        <v>0</v>
      </c>
      <c r="G819" s="0" t="n">
        <v>2020</v>
      </c>
    </row>
    <row r="820" customFormat="false" ht="15" hidden="false" customHeight="false" outlineLevel="0" collapsed="false">
      <c r="A820" s="0" t="s">
        <v>258</v>
      </c>
      <c r="B820" s="52" t="n">
        <v>44153</v>
      </c>
      <c r="C820" s="54" t="s">
        <v>592</v>
      </c>
      <c r="D820" s="0" t="n">
        <v>0</v>
      </c>
      <c r="E820" s="0" t="n">
        <v>0.0272278097640139</v>
      </c>
      <c r="F820" s="0" t="n">
        <v>0</v>
      </c>
      <c r="G820" s="0" t="n">
        <v>2020</v>
      </c>
    </row>
    <row r="821" customFormat="false" ht="15" hidden="false" customHeight="false" outlineLevel="0" collapsed="false">
      <c r="A821" s="0" t="s">
        <v>258</v>
      </c>
      <c r="B821" s="52" t="n">
        <v>44154</v>
      </c>
      <c r="C821" s="54" t="s">
        <v>590</v>
      </c>
      <c r="D821" s="0" t="n">
        <v>0</v>
      </c>
      <c r="E821" s="0" t="n">
        <v>0.42494402502012</v>
      </c>
      <c r="F821" s="0" t="n">
        <v>0</v>
      </c>
      <c r="G821" s="0" t="n">
        <v>2020</v>
      </c>
    </row>
    <row r="822" customFormat="false" ht="15" hidden="false" customHeight="false" outlineLevel="0" collapsed="false">
      <c r="A822" s="0" t="s">
        <v>258</v>
      </c>
      <c r="B822" s="52" t="n">
        <v>44154</v>
      </c>
      <c r="C822" s="54" t="s">
        <v>591</v>
      </c>
      <c r="D822" s="0" t="n">
        <v>0.003940736872688</v>
      </c>
      <c r="E822" s="0" t="n">
        <v>0.0033171111057781</v>
      </c>
      <c r="F822" s="0" t="n">
        <v>0</v>
      </c>
      <c r="G822" s="0" t="n">
        <v>2020</v>
      </c>
    </row>
    <row r="823" customFormat="false" ht="15" hidden="false" customHeight="false" outlineLevel="0" collapsed="false">
      <c r="A823" s="0" t="s">
        <v>258</v>
      </c>
      <c r="B823" s="52" t="n">
        <v>44154</v>
      </c>
      <c r="C823" s="54" t="s">
        <v>592</v>
      </c>
      <c r="D823" s="0" t="n">
        <v>0.12540357789426</v>
      </c>
      <c r="E823" s="0" t="n">
        <v>0.105081217607337</v>
      </c>
      <c r="F823" s="0" t="n">
        <v>0</v>
      </c>
      <c r="G823" s="0" t="n">
        <v>2020</v>
      </c>
    </row>
    <row r="824" customFormat="false" ht="15" hidden="false" customHeight="false" outlineLevel="0" collapsed="false">
      <c r="A824" s="0" t="s">
        <v>258</v>
      </c>
      <c r="B824" s="52" t="n">
        <v>44155</v>
      </c>
      <c r="C824" s="54" t="s">
        <v>590</v>
      </c>
      <c r="D824" s="0" t="n">
        <v>0</v>
      </c>
      <c r="E824" s="0" t="n">
        <v>0.301355334452936</v>
      </c>
      <c r="F824" s="0" t="n">
        <v>0</v>
      </c>
      <c r="G824" s="0" t="n">
        <v>2020</v>
      </c>
    </row>
    <row r="825" customFormat="false" ht="15" hidden="false" customHeight="false" outlineLevel="0" collapsed="false">
      <c r="A825" s="0" t="s">
        <v>258</v>
      </c>
      <c r="B825" s="52" t="n">
        <v>44155</v>
      </c>
      <c r="C825" s="54" t="s">
        <v>591</v>
      </c>
      <c r="D825" s="0" t="n">
        <v>0.0002669622217108</v>
      </c>
      <c r="E825" s="0" t="n">
        <v>0.0539581548177967</v>
      </c>
      <c r="F825" s="0" t="n">
        <v>0</v>
      </c>
      <c r="G825" s="0" t="n">
        <v>2020</v>
      </c>
    </row>
    <row r="826" customFormat="false" ht="15" hidden="false" customHeight="false" outlineLevel="0" collapsed="false">
      <c r="A826" s="0" t="s">
        <v>258</v>
      </c>
      <c r="B826" s="52" t="n">
        <v>44155</v>
      </c>
      <c r="C826" s="54" t="s">
        <v>592</v>
      </c>
      <c r="D826" s="0" t="n">
        <v>0.0010569042411907</v>
      </c>
      <c r="E826" s="0" t="n">
        <v>0.0877506024857879</v>
      </c>
      <c r="F826" s="0" t="n">
        <v>0</v>
      </c>
      <c r="G826" s="0" t="n">
        <v>2020</v>
      </c>
    </row>
    <row r="827" customFormat="false" ht="15" hidden="false" customHeight="false" outlineLevel="0" collapsed="false">
      <c r="A827" s="0" t="s">
        <v>258</v>
      </c>
      <c r="B827" s="52" t="n">
        <v>44156</v>
      </c>
      <c r="C827" s="54" t="s">
        <v>590</v>
      </c>
      <c r="D827" s="0" t="n">
        <v>0.0392315002443904</v>
      </c>
      <c r="E827" s="0" t="n">
        <v>0.0887010271547803</v>
      </c>
      <c r="F827" s="0" t="n">
        <v>1</v>
      </c>
      <c r="G827" s="0" t="n">
        <v>2020</v>
      </c>
    </row>
    <row r="828" customFormat="false" ht="15" hidden="false" customHeight="false" outlineLevel="0" collapsed="false">
      <c r="A828" s="0" t="s">
        <v>258</v>
      </c>
      <c r="B828" s="52" t="n">
        <v>44158</v>
      </c>
      <c r="C828" s="54" t="s">
        <v>590</v>
      </c>
      <c r="D828" s="0" t="n">
        <v>0.0044573707294778</v>
      </c>
      <c r="E828" s="0" t="n">
        <v>0.03146655524205</v>
      </c>
      <c r="F828" s="0" t="n">
        <v>0</v>
      </c>
      <c r="G828" s="0" t="n">
        <v>2020</v>
      </c>
    </row>
    <row r="829" customFormat="false" ht="15" hidden="false" customHeight="false" outlineLevel="0" collapsed="false">
      <c r="A829" s="0" t="s">
        <v>258</v>
      </c>
      <c r="B829" s="52" t="n">
        <v>44158</v>
      </c>
      <c r="C829" s="54" t="s">
        <v>591</v>
      </c>
      <c r="D829" s="0" t="n">
        <v>0.006998166917653</v>
      </c>
      <c r="E829" s="0" t="n">
        <v>0.0171723913298229</v>
      </c>
      <c r="F829" s="0" t="n">
        <v>0</v>
      </c>
      <c r="G829" s="0" t="n">
        <v>2020</v>
      </c>
    </row>
    <row r="830" customFormat="false" ht="15" hidden="false" customHeight="false" outlineLevel="0" collapsed="false">
      <c r="A830" s="0" t="s">
        <v>258</v>
      </c>
      <c r="B830" s="52" t="n">
        <v>44158</v>
      </c>
      <c r="C830" s="54" t="s">
        <v>592</v>
      </c>
      <c r="D830" s="0" t="n">
        <v>0.0113505132842768</v>
      </c>
      <c r="E830" s="0" t="n">
        <v>0.0754534600201848</v>
      </c>
      <c r="F830" s="0" t="n">
        <v>0</v>
      </c>
      <c r="G830" s="0" t="n">
        <v>2020</v>
      </c>
    </row>
    <row r="831" customFormat="false" ht="15" hidden="false" customHeight="false" outlineLevel="0" collapsed="false">
      <c r="A831" s="0" t="s">
        <v>258</v>
      </c>
      <c r="B831" s="52" t="n">
        <v>44159</v>
      </c>
      <c r="C831" s="54" t="s">
        <v>590</v>
      </c>
      <c r="D831" s="0" t="n">
        <v>0.139083863749309</v>
      </c>
      <c r="E831" s="0" t="n">
        <v>0.265486650338851</v>
      </c>
      <c r="F831" s="0" t="n">
        <v>0</v>
      </c>
      <c r="G831" s="0" t="n">
        <v>2020</v>
      </c>
    </row>
    <row r="832" customFormat="false" ht="15" hidden="false" customHeight="false" outlineLevel="0" collapsed="false">
      <c r="A832" s="0" t="s">
        <v>258</v>
      </c>
      <c r="B832" s="52" t="n">
        <v>44159</v>
      </c>
      <c r="C832" s="54" t="s">
        <v>591</v>
      </c>
      <c r="D832" s="0" t="n">
        <v>0.0441448243060805</v>
      </c>
      <c r="E832" s="0" t="n">
        <v>0.0064525890007004</v>
      </c>
      <c r="F832" s="0" t="n">
        <v>0</v>
      </c>
      <c r="G832" s="0" t="n">
        <v>2020</v>
      </c>
    </row>
    <row r="833" customFormat="false" ht="15" hidden="false" customHeight="false" outlineLevel="0" collapsed="false">
      <c r="A833" s="0" t="s">
        <v>258</v>
      </c>
      <c r="B833" s="52" t="n">
        <v>44159</v>
      </c>
      <c r="C833" s="54" t="s">
        <v>592</v>
      </c>
      <c r="D833" s="0" t="n">
        <v>0.0122003189045236</v>
      </c>
      <c r="E833" s="0" t="n">
        <v>0.0311720481536818</v>
      </c>
      <c r="F833" s="0" t="n">
        <v>0</v>
      </c>
      <c r="G833" s="0" t="n">
        <v>2020</v>
      </c>
    </row>
    <row r="834" customFormat="false" ht="15" hidden="false" customHeight="false" outlineLevel="0" collapsed="false">
      <c r="A834" s="0" t="s">
        <v>258</v>
      </c>
      <c r="B834" s="52" t="n">
        <v>44160</v>
      </c>
      <c r="C834" s="54" t="s">
        <v>590</v>
      </c>
      <c r="D834" s="0" t="n">
        <v>0.0596285582422687</v>
      </c>
      <c r="E834" s="0" t="n">
        <v>0.0814508031771381</v>
      </c>
      <c r="F834" s="0" t="n">
        <v>0</v>
      </c>
      <c r="G834" s="0" t="n">
        <v>2020</v>
      </c>
    </row>
    <row r="835" customFormat="false" ht="15" hidden="false" customHeight="false" outlineLevel="0" collapsed="false">
      <c r="A835" s="0" t="s">
        <v>258</v>
      </c>
      <c r="B835" s="52" t="n">
        <v>44160</v>
      </c>
      <c r="C835" s="54" t="s">
        <v>591</v>
      </c>
      <c r="D835" s="0" t="n">
        <v>0.172776283377048</v>
      </c>
      <c r="E835" s="0" t="n">
        <v>0.0350301981732461</v>
      </c>
      <c r="F835" s="0" t="n">
        <v>0</v>
      </c>
      <c r="G835" s="0" t="n">
        <v>2020</v>
      </c>
    </row>
    <row r="836" customFormat="false" ht="15" hidden="false" customHeight="false" outlineLevel="0" collapsed="false">
      <c r="A836" s="0" t="s">
        <v>258</v>
      </c>
      <c r="B836" s="52" t="n">
        <v>44160</v>
      </c>
      <c r="C836" s="54" t="s">
        <v>592</v>
      </c>
      <c r="D836" s="0" t="n">
        <v>0</v>
      </c>
      <c r="E836" s="0" t="n">
        <v>0.0551250200305438</v>
      </c>
      <c r="F836" s="0" t="n">
        <v>0</v>
      </c>
      <c r="G836" s="0" t="n">
        <v>2020</v>
      </c>
    </row>
    <row r="837" customFormat="false" ht="15" hidden="false" customHeight="false" outlineLevel="0" collapsed="false">
      <c r="A837" s="0" t="s">
        <v>258</v>
      </c>
      <c r="B837" s="52" t="n">
        <v>44161</v>
      </c>
      <c r="C837" s="54" t="s">
        <v>590</v>
      </c>
      <c r="D837" s="0" t="n">
        <v>0.0640000112470639</v>
      </c>
      <c r="E837" s="0" t="n">
        <v>0.166590807563791</v>
      </c>
      <c r="F837" s="0" t="n">
        <v>0</v>
      </c>
      <c r="G837" s="0" t="n">
        <v>2020</v>
      </c>
    </row>
    <row r="838" customFormat="false" ht="15" hidden="false" customHeight="false" outlineLevel="0" collapsed="false">
      <c r="A838" s="0" t="s">
        <v>258</v>
      </c>
      <c r="B838" s="52" t="n">
        <v>44161</v>
      </c>
      <c r="C838" s="54" t="s">
        <v>591</v>
      </c>
      <c r="D838" s="0" t="n">
        <v>0.112966073513347</v>
      </c>
      <c r="E838" s="0" t="n">
        <v>0.0580988402133278</v>
      </c>
      <c r="F838" s="0" t="n">
        <v>0</v>
      </c>
      <c r="G838" s="0" t="n">
        <v>2020</v>
      </c>
    </row>
    <row r="839" customFormat="false" ht="15" hidden="false" customHeight="false" outlineLevel="0" collapsed="false">
      <c r="A839" s="0" t="s">
        <v>258</v>
      </c>
      <c r="B839" s="52" t="n">
        <v>44161</v>
      </c>
      <c r="C839" s="54" t="s">
        <v>592</v>
      </c>
      <c r="D839" s="0" t="n">
        <v>0.0294897670705022</v>
      </c>
      <c r="E839" s="0" t="n">
        <v>0.166532215890321</v>
      </c>
      <c r="F839" s="0" t="n">
        <v>0</v>
      </c>
      <c r="G839" s="0" t="n">
        <v>2020</v>
      </c>
    </row>
    <row r="840" customFormat="false" ht="15" hidden="false" customHeight="false" outlineLevel="0" collapsed="false">
      <c r="A840" s="0" t="s">
        <v>258</v>
      </c>
      <c r="B840" s="52" t="n">
        <v>44162</v>
      </c>
      <c r="C840" s="54" t="s">
        <v>590</v>
      </c>
      <c r="D840" s="0" t="n">
        <v>0</v>
      </c>
      <c r="E840" s="0" t="n">
        <v>0.122900687998625</v>
      </c>
      <c r="F840" s="0" t="n">
        <v>0</v>
      </c>
      <c r="G840" s="0" t="n">
        <v>2020</v>
      </c>
    </row>
    <row r="841" customFormat="false" ht="15" hidden="false" customHeight="false" outlineLevel="0" collapsed="false">
      <c r="A841" s="0" t="s">
        <v>258</v>
      </c>
      <c r="B841" s="52" t="n">
        <v>44162</v>
      </c>
      <c r="C841" s="54" t="s">
        <v>591</v>
      </c>
      <c r="D841" s="0" t="n">
        <v>0</v>
      </c>
      <c r="E841" s="0" t="n">
        <v>0.0385901302612838</v>
      </c>
      <c r="F841" s="0" t="n">
        <v>0</v>
      </c>
      <c r="G841" s="0" t="n">
        <v>2020</v>
      </c>
    </row>
    <row r="842" customFormat="false" ht="15" hidden="false" customHeight="false" outlineLevel="0" collapsed="false">
      <c r="A842" s="0" t="s">
        <v>258</v>
      </c>
      <c r="B842" s="52" t="n">
        <v>44162</v>
      </c>
      <c r="C842" s="54" t="s">
        <v>592</v>
      </c>
      <c r="D842" s="0" t="n">
        <v>0.105682584668286</v>
      </c>
      <c r="E842" s="0" t="n">
        <v>0.0364238362663928</v>
      </c>
      <c r="F842" s="0" t="n">
        <v>0</v>
      </c>
      <c r="G842" s="0" t="n">
        <v>2020</v>
      </c>
    </row>
    <row r="843" customFormat="false" ht="15" hidden="false" customHeight="false" outlineLevel="0" collapsed="false">
      <c r="A843" s="0" t="s">
        <v>258</v>
      </c>
      <c r="B843" s="52" t="n">
        <v>44163</v>
      </c>
      <c r="C843" s="54" t="s">
        <v>590</v>
      </c>
      <c r="D843" s="0" t="n">
        <v>0.313554192400513</v>
      </c>
      <c r="E843" s="0" t="n">
        <v>0.100899385357409</v>
      </c>
      <c r="F843" s="0" t="n">
        <v>1</v>
      </c>
      <c r="G843" s="0" t="n">
        <v>2020</v>
      </c>
    </row>
    <row r="844" customFormat="false" ht="15" hidden="false" customHeight="false" outlineLevel="0" collapsed="false">
      <c r="A844" s="0" t="s">
        <v>258</v>
      </c>
      <c r="B844" s="52" t="n">
        <v>44164</v>
      </c>
      <c r="C844" s="54" t="s">
        <v>591</v>
      </c>
      <c r="D844" s="0" t="n">
        <v>0.680579949595628</v>
      </c>
      <c r="E844" s="0" t="n">
        <v>0.0291387556944369</v>
      </c>
      <c r="F844" s="0" t="n">
        <v>1</v>
      </c>
      <c r="G844" s="0" t="n">
        <v>2020</v>
      </c>
    </row>
    <row r="845" customFormat="false" ht="15" hidden="false" customHeight="false" outlineLevel="0" collapsed="false">
      <c r="A845" s="0" t="s">
        <v>258</v>
      </c>
      <c r="B845" s="52" t="n">
        <v>44164</v>
      </c>
      <c r="C845" s="54" t="s">
        <v>592</v>
      </c>
      <c r="D845" s="0" t="n">
        <v>0.012344582986099</v>
      </c>
      <c r="E845" s="0" t="n">
        <v>0.21779822086441</v>
      </c>
      <c r="F845" s="0" t="n">
        <v>1</v>
      </c>
      <c r="G845" s="0" t="n">
        <v>2020</v>
      </c>
    </row>
    <row r="846" customFormat="false" ht="15" hidden="false" customHeight="false" outlineLevel="0" collapsed="false">
      <c r="A846" s="0" t="s">
        <v>258</v>
      </c>
      <c r="B846" s="52" t="n">
        <v>44165</v>
      </c>
      <c r="C846" s="54" t="s">
        <v>590</v>
      </c>
      <c r="D846" s="0" t="n">
        <v>0.0048870730044985</v>
      </c>
      <c r="E846" s="0" t="n">
        <v>0.157618250478526</v>
      </c>
      <c r="F846" s="0" t="n">
        <v>0</v>
      </c>
      <c r="G846" s="0" t="n">
        <v>2020</v>
      </c>
    </row>
    <row r="847" customFormat="false" ht="15" hidden="false" customHeight="false" outlineLevel="0" collapsed="false">
      <c r="A847" s="0" t="s">
        <v>258</v>
      </c>
      <c r="B847" s="52" t="n">
        <v>44165</v>
      </c>
      <c r="C847" s="54" t="s">
        <v>591</v>
      </c>
      <c r="D847" s="0" t="n">
        <v>0.0241580275844259</v>
      </c>
      <c r="E847" s="0" t="n">
        <v>0.240436155531703</v>
      </c>
      <c r="F847" s="0" t="n">
        <v>0</v>
      </c>
      <c r="G847" s="0" t="n">
        <v>2020</v>
      </c>
    </row>
    <row r="848" customFormat="false" ht="15" hidden="false" customHeight="false" outlineLevel="0" collapsed="false">
      <c r="A848" s="0" t="s">
        <v>258</v>
      </c>
      <c r="B848" s="52" t="n">
        <v>44165</v>
      </c>
      <c r="C848" s="54" t="s">
        <v>592</v>
      </c>
      <c r="D848" s="0" t="n">
        <v>0.0863531453865295</v>
      </c>
      <c r="E848" s="0" t="n">
        <v>0.20502092028197</v>
      </c>
      <c r="F848" s="0" t="n">
        <v>0</v>
      </c>
      <c r="G848" s="0" t="n">
        <v>2020</v>
      </c>
    </row>
    <row r="849" customFormat="false" ht="15" hidden="false" customHeight="false" outlineLevel="0" collapsed="false">
      <c r="A849" s="0" t="s">
        <v>258</v>
      </c>
      <c r="B849" s="52" t="n">
        <v>44166</v>
      </c>
      <c r="C849" s="54" t="s">
        <v>590</v>
      </c>
      <c r="D849" s="0" t="n">
        <v>0.0022190353787461</v>
      </c>
      <c r="E849" s="0" t="n">
        <v>0.232242794309204</v>
      </c>
      <c r="F849" s="0" t="n">
        <v>0</v>
      </c>
      <c r="G849" s="0" t="n">
        <v>2020</v>
      </c>
    </row>
    <row r="850" customFormat="false" ht="15" hidden="false" customHeight="false" outlineLevel="0" collapsed="false">
      <c r="A850" s="0" t="s">
        <v>258</v>
      </c>
      <c r="B850" s="52" t="n">
        <v>44166</v>
      </c>
      <c r="C850" s="54" t="s">
        <v>591</v>
      </c>
      <c r="D850" s="0" t="n">
        <v>0.0012597984322508</v>
      </c>
      <c r="E850" s="0" t="n">
        <v>0.0632976082317395</v>
      </c>
      <c r="F850" s="0" t="n">
        <v>0</v>
      </c>
      <c r="G850" s="0" t="n">
        <v>2020</v>
      </c>
    </row>
    <row r="851" customFormat="false" ht="15" hidden="false" customHeight="false" outlineLevel="0" collapsed="false">
      <c r="A851" s="0" t="s">
        <v>258</v>
      </c>
      <c r="B851" s="52" t="n">
        <v>44166</v>
      </c>
      <c r="C851" s="54" t="s">
        <v>592</v>
      </c>
      <c r="D851" s="0" t="n">
        <v>0.0073393334338432</v>
      </c>
      <c r="E851" s="0" t="n">
        <v>0.043523364204843</v>
      </c>
      <c r="F851" s="0" t="n">
        <v>0</v>
      </c>
      <c r="G851" s="0" t="n">
        <v>2020</v>
      </c>
    </row>
    <row r="852" customFormat="false" ht="15" hidden="false" customHeight="false" outlineLevel="0" collapsed="false">
      <c r="A852" s="0" t="s">
        <v>258</v>
      </c>
      <c r="B852" s="52" t="n">
        <v>44167</v>
      </c>
      <c r="C852" s="54" t="s">
        <v>590</v>
      </c>
      <c r="D852" s="0" t="n">
        <v>0.0852077424480438</v>
      </c>
      <c r="E852" s="0" t="n">
        <v>0.0737471526302243</v>
      </c>
      <c r="F852" s="0" t="n">
        <v>0</v>
      </c>
      <c r="G852" s="0" t="n">
        <v>2020</v>
      </c>
    </row>
    <row r="853" customFormat="false" ht="15" hidden="false" customHeight="false" outlineLevel="0" collapsed="false">
      <c r="A853" s="0" t="s">
        <v>258</v>
      </c>
      <c r="B853" s="52" t="n">
        <v>44167</v>
      </c>
      <c r="C853" s="54" t="s">
        <v>591</v>
      </c>
      <c r="D853" s="0" t="n">
        <v>0.0987675999474306</v>
      </c>
      <c r="E853" s="0" t="n">
        <v>0.0281576870024745</v>
      </c>
      <c r="F853" s="0" t="n">
        <v>0</v>
      </c>
      <c r="G853" s="0" t="n">
        <v>2020</v>
      </c>
    </row>
    <row r="854" customFormat="false" ht="15" hidden="false" customHeight="false" outlineLevel="0" collapsed="false">
      <c r="A854" s="0" t="s">
        <v>258</v>
      </c>
      <c r="B854" s="52" t="n">
        <v>44167</v>
      </c>
      <c r="C854" s="54" t="s">
        <v>592</v>
      </c>
      <c r="D854" s="0" t="n">
        <v>0.0020263259160042</v>
      </c>
      <c r="E854" s="0" t="n">
        <v>0.0757550774872172</v>
      </c>
      <c r="F854" s="0" t="n">
        <v>0</v>
      </c>
      <c r="G854" s="0" t="n">
        <v>2020</v>
      </c>
    </row>
    <row r="855" customFormat="false" ht="15" hidden="false" customHeight="false" outlineLevel="0" collapsed="false">
      <c r="A855" s="0" t="s">
        <v>258</v>
      </c>
      <c r="B855" s="52" t="n">
        <v>44168</v>
      </c>
      <c r="C855" s="54" t="s">
        <v>590</v>
      </c>
      <c r="D855" s="0" t="n">
        <v>0</v>
      </c>
      <c r="E855" s="0" t="n">
        <v>0.366850934208624</v>
      </c>
      <c r="F855" s="0" t="n">
        <v>0</v>
      </c>
      <c r="G855" s="0" t="n">
        <v>2020</v>
      </c>
    </row>
    <row r="856" customFormat="false" ht="15" hidden="false" customHeight="false" outlineLevel="0" collapsed="false">
      <c r="A856" s="0" t="s">
        <v>258</v>
      </c>
      <c r="B856" s="52" t="n">
        <v>44168</v>
      </c>
      <c r="C856" s="54" t="s">
        <v>591</v>
      </c>
      <c r="D856" s="0" t="n">
        <v>0.103485311340284</v>
      </c>
      <c r="E856" s="0" t="n">
        <v>0.125064906844824</v>
      </c>
      <c r="F856" s="0" t="n">
        <v>0</v>
      </c>
      <c r="G856" s="0" t="n">
        <v>2020</v>
      </c>
    </row>
    <row r="857" customFormat="false" ht="15" hidden="false" customHeight="false" outlineLevel="0" collapsed="false">
      <c r="A857" s="0" t="s">
        <v>258</v>
      </c>
      <c r="B857" s="52" t="n">
        <v>44168</v>
      </c>
      <c r="C857" s="54" t="s">
        <v>592</v>
      </c>
      <c r="D857" s="0" t="n">
        <v>0.0212547474751001</v>
      </c>
      <c r="E857" s="0" t="n">
        <v>0.332869673344784</v>
      </c>
      <c r="F857" s="0" t="n">
        <v>0</v>
      </c>
      <c r="G857" s="0" t="n">
        <v>2020</v>
      </c>
    </row>
    <row r="858" customFormat="false" ht="15" hidden="false" customHeight="false" outlineLevel="0" collapsed="false">
      <c r="A858" s="0" t="s">
        <v>258</v>
      </c>
      <c r="B858" s="52" t="n">
        <v>44169</v>
      </c>
      <c r="C858" s="54" t="s">
        <v>590</v>
      </c>
      <c r="D858" s="0" t="n">
        <v>0.0010729343156403</v>
      </c>
      <c r="E858" s="0" t="n">
        <v>0.199315252042055</v>
      </c>
      <c r="F858" s="0" t="n">
        <v>0</v>
      </c>
      <c r="G858" s="0" t="n">
        <v>2020</v>
      </c>
    </row>
    <row r="859" customFormat="false" ht="15" hidden="false" customHeight="false" outlineLevel="0" collapsed="false">
      <c r="A859" s="0" t="s">
        <v>258</v>
      </c>
      <c r="B859" s="52" t="n">
        <v>44169</v>
      </c>
      <c r="C859" s="54" t="s">
        <v>591</v>
      </c>
      <c r="D859" s="0" t="n">
        <v>0.0045892050914314</v>
      </c>
      <c r="E859" s="0" t="n">
        <v>0.135738008037745</v>
      </c>
      <c r="F859" s="0" t="n">
        <v>0</v>
      </c>
      <c r="G859" s="0" t="n">
        <v>2020</v>
      </c>
    </row>
    <row r="860" customFormat="false" ht="15" hidden="false" customHeight="false" outlineLevel="0" collapsed="false">
      <c r="A860" s="0" t="s">
        <v>258</v>
      </c>
      <c r="B860" s="52" t="n">
        <v>44169</v>
      </c>
      <c r="C860" s="54" t="s">
        <v>592</v>
      </c>
      <c r="D860" s="0" t="n">
        <v>0.321913943052056</v>
      </c>
      <c r="E860" s="0" t="n">
        <v>0.0503415589658171</v>
      </c>
      <c r="F860" s="0" t="n">
        <v>0</v>
      </c>
      <c r="G860" s="0" t="n">
        <v>2020</v>
      </c>
    </row>
    <row r="861" customFormat="false" ht="15" hidden="false" customHeight="false" outlineLevel="0" collapsed="false">
      <c r="A861" s="0" t="s">
        <v>258</v>
      </c>
      <c r="B861" s="52" t="n">
        <v>44170</v>
      </c>
      <c r="C861" s="54" t="s">
        <v>590</v>
      </c>
      <c r="D861" s="0" t="n">
        <v>0.0453299551658988</v>
      </c>
      <c r="E861" s="0" t="n">
        <v>0.097995904013407</v>
      </c>
      <c r="F861" s="0" t="n">
        <v>1</v>
      </c>
      <c r="G861" s="0" t="n">
        <v>2020</v>
      </c>
    </row>
    <row r="862" customFormat="false" ht="15" hidden="false" customHeight="false" outlineLevel="0" collapsed="false">
      <c r="A862" s="0" t="s">
        <v>258</v>
      </c>
      <c r="B862" s="52" t="n">
        <v>44171</v>
      </c>
      <c r="C862" s="54" t="s">
        <v>590</v>
      </c>
      <c r="D862" s="0" t="n">
        <v>1</v>
      </c>
      <c r="E862" s="0" t="n">
        <v>0</v>
      </c>
      <c r="F862" s="0" t="n">
        <v>1</v>
      </c>
      <c r="G862" s="0" t="n">
        <v>2020</v>
      </c>
    </row>
    <row r="863" customFormat="false" ht="15" hidden="false" customHeight="false" outlineLevel="0" collapsed="false">
      <c r="A863" s="0" t="s">
        <v>258</v>
      </c>
      <c r="B863" s="52" t="n">
        <v>44171</v>
      </c>
      <c r="C863" s="54" t="s">
        <v>591</v>
      </c>
      <c r="D863" s="0" t="n">
        <v>0.311873333189952</v>
      </c>
      <c r="E863" s="0" t="n">
        <v>0</v>
      </c>
      <c r="F863" s="0" t="n">
        <v>1</v>
      </c>
      <c r="G863" s="0" t="n">
        <v>2020</v>
      </c>
    </row>
    <row r="864" customFormat="false" ht="15" hidden="false" customHeight="false" outlineLevel="0" collapsed="false">
      <c r="A864" s="0" t="s">
        <v>258</v>
      </c>
      <c r="B864" s="52" t="n">
        <v>44171</v>
      </c>
      <c r="C864" s="54" t="s">
        <v>592</v>
      </c>
      <c r="D864" s="0" t="n">
        <v>0.0463519319254544</v>
      </c>
      <c r="E864" s="0" t="n">
        <v>0.0541908542273834</v>
      </c>
      <c r="F864" s="0" t="n">
        <v>1</v>
      </c>
      <c r="G864" s="0" t="n">
        <v>2020</v>
      </c>
    </row>
    <row r="865" customFormat="false" ht="15" hidden="false" customHeight="false" outlineLevel="0" collapsed="false">
      <c r="A865" s="0" t="s">
        <v>258</v>
      </c>
      <c r="B865" s="52" t="n">
        <v>44172</v>
      </c>
      <c r="C865" s="54" t="s">
        <v>590</v>
      </c>
      <c r="D865" s="0" t="n">
        <v>0.0092709498822108</v>
      </c>
      <c r="E865" s="0" t="n">
        <v>0.182554159163496</v>
      </c>
      <c r="F865" s="0" t="n">
        <v>0</v>
      </c>
      <c r="G865" s="0" t="n">
        <v>2020</v>
      </c>
    </row>
    <row r="866" customFormat="false" ht="15" hidden="false" customHeight="false" outlineLevel="0" collapsed="false">
      <c r="A866" s="0" t="s">
        <v>258</v>
      </c>
      <c r="B866" s="52" t="n">
        <v>44172</v>
      </c>
      <c r="C866" s="54" t="s">
        <v>591</v>
      </c>
      <c r="D866" s="0" t="n">
        <v>0.0127267769139731</v>
      </c>
      <c r="E866" s="0" t="n">
        <v>0.18256983724098</v>
      </c>
      <c r="F866" s="0" t="n">
        <v>0</v>
      </c>
      <c r="G866" s="0" t="n">
        <v>2020</v>
      </c>
    </row>
    <row r="867" customFormat="false" ht="15" hidden="false" customHeight="false" outlineLevel="0" collapsed="false">
      <c r="A867" s="0" t="s">
        <v>258</v>
      </c>
      <c r="B867" s="52" t="n">
        <v>44172</v>
      </c>
      <c r="C867" s="54" t="s">
        <v>592</v>
      </c>
      <c r="D867" s="0" t="n">
        <v>0.0956337645412121</v>
      </c>
      <c r="E867" s="0" t="n">
        <v>0.071414677431766</v>
      </c>
      <c r="F867" s="0" t="n">
        <v>0</v>
      </c>
      <c r="G867" s="0" t="n">
        <v>2020</v>
      </c>
    </row>
    <row r="868" customFormat="false" ht="15" hidden="false" customHeight="false" outlineLevel="0" collapsed="false">
      <c r="A868" s="0" t="s">
        <v>258</v>
      </c>
      <c r="B868" s="52" t="n">
        <v>44173</v>
      </c>
      <c r="C868" s="54" t="s">
        <v>590</v>
      </c>
      <c r="D868" s="0" t="n">
        <v>0.000165452212506</v>
      </c>
      <c r="E868" s="0" t="n">
        <v>0.1538701963813</v>
      </c>
      <c r="F868" s="0" t="n">
        <v>0</v>
      </c>
      <c r="G868" s="0" t="n">
        <v>2020</v>
      </c>
    </row>
    <row r="869" customFormat="false" ht="15" hidden="false" customHeight="false" outlineLevel="0" collapsed="false">
      <c r="A869" s="0" t="s">
        <v>258</v>
      </c>
      <c r="B869" s="52" t="n">
        <v>44173</v>
      </c>
      <c r="C869" s="54" t="s">
        <v>591</v>
      </c>
      <c r="D869" s="0" t="n">
        <v>0.0326869743213865</v>
      </c>
      <c r="E869" s="0" t="n">
        <v>0.0412135937902412</v>
      </c>
      <c r="F869" s="0" t="n">
        <v>0</v>
      </c>
      <c r="G869" s="0" t="n">
        <v>2020</v>
      </c>
    </row>
    <row r="870" customFormat="false" ht="15" hidden="false" customHeight="false" outlineLevel="0" collapsed="false">
      <c r="A870" s="0" t="s">
        <v>258</v>
      </c>
      <c r="B870" s="52" t="n">
        <v>44173</v>
      </c>
      <c r="C870" s="54" t="s">
        <v>592</v>
      </c>
      <c r="D870" s="0" t="n">
        <v>0</v>
      </c>
      <c r="E870" s="0" t="n">
        <v>0.0624573685480709</v>
      </c>
      <c r="F870" s="0" t="n">
        <v>0</v>
      </c>
      <c r="G870" s="0" t="n">
        <v>2020</v>
      </c>
    </row>
    <row r="871" customFormat="false" ht="15" hidden="false" customHeight="false" outlineLevel="0" collapsed="false">
      <c r="A871" s="0" t="s">
        <v>258</v>
      </c>
      <c r="B871" s="52" t="n">
        <v>44174</v>
      </c>
      <c r="C871" s="54" t="s">
        <v>590</v>
      </c>
      <c r="D871" s="0" t="n">
        <v>0</v>
      </c>
      <c r="E871" s="0" t="n">
        <v>0.0899631863465246</v>
      </c>
      <c r="F871" s="0" t="n">
        <v>0</v>
      </c>
      <c r="G871" s="0" t="n">
        <v>2020</v>
      </c>
    </row>
    <row r="872" customFormat="false" ht="15" hidden="false" customHeight="false" outlineLevel="0" collapsed="false">
      <c r="A872" s="0" t="s">
        <v>258</v>
      </c>
      <c r="B872" s="52" t="n">
        <v>44174</v>
      </c>
      <c r="C872" s="54" t="s">
        <v>591</v>
      </c>
      <c r="D872" s="0" t="n">
        <v>0.087081152955128</v>
      </c>
      <c r="E872" s="0" t="n">
        <v>0.0951860112891877</v>
      </c>
      <c r="F872" s="0" t="n">
        <v>0</v>
      </c>
      <c r="G872" s="0" t="n">
        <v>2020</v>
      </c>
    </row>
    <row r="873" customFormat="false" ht="15" hidden="false" customHeight="false" outlineLevel="0" collapsed="false">
      <c r="A873" s="0" t="s">
        <v>258</v>
      </c>
      <c r="B873" s="52" t="n">
        <v>44174</v>
      </c>
      <c r="C873" s="54" t="s">
        <v>592</v>
      </c>
      <c r="D873" s="0" t="n">
        <v>0.0090984042545581</v>
      </c>
      <c r="E873" s="0" t="n">
        <v>0.0314929465997096</v>
      </c>
      <c r="F873" s="0" t="n">
        <v>0</v>
      </c>
      <c r="G873" s="0" t="n">
        <v>2020</v>
      </c>
    </row>
    <row r="874" customFormat="false" ht="15" hidden="false" customHeight="false" outlineLevel="0" collapsed="false">
      <c r="A874" s="0" t="s">
        <v>258</v>
      </c>
      <c r="B874" s="52" t="n">
        <v>44175</v>
      </c>
      <c r="C874" s="54" t="s">
        <v>590</v>
      </c>
      <c r="D874" s="0" t="n">
        <v>0.0094402423651667</v>
      </c>
      <c r="E874" s="0" t="n">
        <v>0.209144222454732</v>
      </c>
      <c r="F874" s="0" t="n">
        <v>0</v>
      </c>
      <c r="G874" s="0" t="n">
        <v>2020</v>
      </c>
    </row>
    <row r="875" customFormat="false" ht="15" hidden="false" customHeight="false" outlineLevel="0" collapsed="false">
      <c r="A875" s="0" t="s">
        <v>258</v>
      </c>
      <c r="B875" s="52" t="n">
        <v>44175</v>
      </c>
      <c r="C875" s="54" t="s">
        <v>591</v>
      </c>
      <c r="D875" s="0" t="n">
        <v>0.0768410094010103</v>
      </c>
      <c r="E875" s="0" t="n">
        <v>0.0443951946903735</v>
      </c>
      <c r="F875" s="0" t="n">
        <v>0</v>
      </c>
      <c r="G875" s="0" t="n">
        <v>2020</v>
      </c>
    </row>
    <row r="876" customFormat="false" ht="15" hidden="false" customHeight="false" outlineLevel="0" collapsed="false">
      <c r="A876" s="0" t="s">
        <v>258</v>
      </c>
      <c r="B876" s="52" t="n">
        <v>44175</v>
      </c>
      <c r="C876" s="54" t="s">
        <v>592</v>
      </c>
      <c r="D876" s="0" t="n">
        <v>0.135121614882088</v>
      </c>
      <c r="E876" s="0" t="n">
        <v>0.11105778715873</v>
      </c>
      <c r="F876" s="0" t="n">
        <v>0</v>
      </c>
      <c r="G876" s="0" t="n">
        <v>2020</v>
      </c>
    </row>
    <row r="877" customFormat="false" ht="15" hidden="false" customHeight="false" outlineLevel="0" collapsed="false">
      <c r="A877" s="0" t="s">
        <v>258</v>
      </c>
      <c r="B877" s="52" t="n">
        <v>44176</v>
      </c>
      <c r="C877" s="54" t="s">
        <v>590</v>
      </c>
      <c r="D877" s="0" t="n">
        <v>0.0176636993146369</v>
      </c>
      <c r="E877" s="0" t="n">
        <v>0.448751571167589</v>
      </c>
      <c r="F877" s="0" t="n">
        <v>0</v>
      </c>
      <c r="G877" s="0" t="n">
        <v>2020</v>
      </c>
    </row>
    <row r="878" customFormat="false" ht="15" hidden="false" customHeight="false" outlineLevel="0" collapsed="false">
      <c r="A878" s="0" t="s">
        <v>258</v>
      </c>
      <c r="B878" s="52" t="n">
        <v>44176</v>
      </c>
      <c r="C878" s="54" t="s">
        <v>591</v>
      </c>
      <c r="D878" s="0" t="n">
        <v>0</v>
      </c>
      <c r="E878" s="0" t="n">
        <v>0.0622440256707962</v>
      </c>
      <c r="F878" s="0" t="n">
        <v>0</v>
      </c>
      <c r="G878" s="0" t="n">
        <v>2020</v>
      </c>
    </row>
    <row r="879" customFormat="false" ht="15" hidden="false" customHeight="false" outlineLevel="0" collapsed="false">
      <c r="A879" s="0" t="s">
        <v>258</v>
      </c>
      <c r="B879" s="52" t="n">
        <v>44176</v>
      </c>
      <c r="C879" s="54" t="s">
        <v>592</v>
      </c>
      <c r="D879" s="0" t="n">
        <v>0.0011145532331636</v>
      </c>
      <c r="E879" s="0" t="n">
        <v>0.0511050499484725</v>
      </c>
      <c r="F879" s="0" t="n">
        <v>0</v>
      </c>
      <c r="G879" s="0" t="n">
        <v>2020</v>
      </c>
    </row>
    <row r="880" customFormat="false" ht="15" hidden="false" customHeight="false" outlineLevel="0" collapsed="false">
      <c r="A880" s="0" t="s">
        <v>258</v>
      </c>
      <c r="B880" s="52" t="n">
        <v>44177</v>
      </c>
      <c r="C880" s="54" t="s">
        <v>590</v>
      </c>
      <c r="D880" s="0" t="n">
        <v>0.098666728522303</v>
      </c>
      <c r="E880" s="0" t="n">
        <v>0.256752828891697</v>
      </c>
      <c r="F880" s="0" t="n">
        <v>1</v>
      </c>
      <c r="G880" s="0" t="n">
        <v>2020</v>
      </c>
    </row>
    <row r="881" customFormat="false" ht="15" hidden="false" customHeight="false" outlineLevel="0" collapsed="false">
      <c r="A881" s="0" t="s">
        <v>258</v>
      </c>
      <c r="B881" s="52" t="n">
        <v>44178</v>
      </c>
      <c r="C881" s="54" t="s">
        <v>591</v>
      </c>
      <c r="D881" s="0" t="n">
        <v>0.185789146794936</v>
      </c>
      <c r="E881" s="0" t="n">
        <v>0.0166107865253127</v>
      </c>
      <c r="F881" s="0" t="n">
        <v>1</v>
      </c>
      <c r="G881" s="0" t="n">
        <v>2020</v>
      </c>
    </row>
    <row r="882" customFormat="false" ht="15" hidden="false" customHeight="false" outlineLevel="0" collapsed="false">
      <c r="A882" s="0" t="s">
        <v>258</v>
      </c>
      <c r="B882" s="52" t="n">
        <v>44178</v>
      </c>
      <c r="C882" s="54" t="s">
        <v>592</v>
      </c>
      <c r="D882" s="0" t="n">
        <v>0.0130743002564742</v>
      </c>
      <c r="E882" s="0" t="n">
        <v>0.120613624439831</v>
      </c>
      <c r="F882" s="0" t="n">
        <v>1</v>
      </c>
      <c r="G882" s="0" t="n">
        <v>2020</v>
      </c>
    </row>
    <row r="883" customFormat="false" ht="15" hidden="false" customHeight="false" outlineLevel="0" collapsed="false">
      <c r="A883" s="0" t="s">
        <v>258</v>
      </c>
      <c r="B883" s="52" t="n">
        <v>44179</v>
      </c>
      <c r="C883" s="54" t="s">
        <v>590</v>
      </c>
      <c r="D883" s="0" t="n">
        <v>0.0059425393461668</v>
      </c>
      <c r="E883" s="0" t="n">
        <v>0.111566949871133</v>
      </c>
      <c r="F883" s="0" t="n">
        <v>0</v>
      </c>
      <c r="G883" s="0" t="n">
        <v>2020</v>
      </c>
    </row>
    <row r="884" customFormat="false" ht="15" hidden="false" customHeight="false" outlineLevel="0" collapsed="false">
      <c r="A884" s="0" t="s">
        <v>258</v>
      </c>
      <c r="B884" s="52" t="n">
        <v>44179</v>
      </c>
      <c r="C884" s="54" t="s">
        <v>591</v>
      </c>
      <c r="D884" s="0" t="n">
        <v>0</v>
      </c>
      <c r="E884" s="0" t="n">
        <v>0.0189481347261138</v>
      </c>
      <c r="F884" s="0" t="n">
        <v>0</v>
      </c>
      <c r="G884" s="0" t="n">
        <v>2020</v>
      </c>
    </row>
    <row r="885" customFormat="false" ht="15" hidden="false" customHeight="false" outlineLevel="0" collapsed="false">
      <c r="A885" s="0" t="s">
        <v>258</v>
      </c>
      <c r="B885" s="52" t="n">
        <v>44179</v>
      </c>
      <c r="C885" s="54" t="s">
        <v>592</v>
      </c>
      <c r="D885" s="0" t="n">
        <v>0.0952267418468848</v>
      </c>
      <c r="E885" s="0" t="n">
        <v>0.151378832152451</v>
      </c>
      <c r="F885" s="0" t="n">
        <v>0</v>
      </c>
      <c r="G885" s="0" t="n">
        <v>2020</v>
      </c>
    </row>
    <row r="886" customFormat="false" ht="15" hidden="false" customHeight="false" outlineLevel="0" collapsed="false">
      <c r="A886" s="0" t="s">
        <v>258</v>
      </c>
      <c r="B886" s="52" t="n">
        <v>44180</v>
      </c>
      <c r="C886" s="54" t="s">
        <v>590</v>
      </c>
      <c r="D886" s="0" t="n">
        <v>0.0063524383863104</v>
      </c>
      <c r="E886" s="0" t="n">
        <v>0.223968685881847</v>
      </c>
      <c r="F886" s="0" t="n">
        <v>0</v>
      </c>
      <c r="G886" s="0" t="n">
        <v>2020</v>
      </c>
    </row>
    <row r="887" customFormat="false" ht="15" hidden="false" customHeight="false" outlineLevel="0" collapsed="false">
      <c r="A887" s="0" t="s">
        <v>258</v>
      </c>
      <c r="B887" s="52" t="n">
        <v>44180</v>
      </c>
      <c r="C887" s="54" t="s">
        <v>591</v>
      </c>
      <c r="D887" s="0" t="n">
        <v>0</v>
      </c>
      <c r="E887" s="0" t="n">
        <v>0.0725233297834015</v>
      </c>
      <c r="F887" s="0" t="n">
        <v>0</v>
      </c>
      <c r="G887" s="0" t="n">
        <v>2020</v>
      </c>
    </row>
    <row r="888" customFormat="false" ht="15" hidden="false" customHeight="false" outlineLevel="0" collapsed="false">
      <c r="A888" s="0" t="s">
        <v>258</v>
      </c>
      <c r="B888" s="52" t="n">
        <v>44180</v>
      </c>
      <c r="C888" s="54" t="s">
        <v>592</v>
      </c>
      <c r="D888" s="0" t="n">
        <v>0.0715727570320049</v>
      </c>
      <c r="E888" s="0" t="n">
        <v>0.184062878845218</v>
      </c>
      <c r="F888" s="0" t="n">
        <v>0</v>
      </c>
      <c r="G888" s="0" t="n">
        <v>2020</v>
      </c>
    </row>
    <row r="889" customFormat="false" ht="15" hidden="false" customHeight="false" outlineLevel="0" collapsed="false">
      <c r="A889" s="0" t="s">
        <v>258</v>
      </c>
      <c r="B889" s="52" t="n">
        <v>44181</v>
      </c>
      <c r="C889" s="54" t="s">
        <v>590</v>
      </c>
      <c r="D889" s="0" t="n">
        <v>0.995096273757631</v>
      </c>
      <c r="E889" s="0" t="n">
        <v>0</v>
      </c>
      <c r="F889" s="0" t="n">
        <v>0</v>
      </c>
      <c r="G889" s="0" t="n">
        <v>2020</v>
      </c>
    </row>
    <row r="890" customFormat="false" ht="15" hidden="false" customHeight="false" outlineLevel="0" collapsed="false">
      <c r="A890" s="0" t="s">
        <v>258</v>
      </c>
      <c r="B890" s="52" t="n">
        <v>44181</v>
      </c>
      <c r="C890" s="54" t="s">
        <v>591</v>
      </c>
      <c r="D890" s="0" t="n">
        <v>0.0562138911238376</v>
      </c>
      <c r="E890" s="0" t="n">
        <v>0.0612951929409359</v>
      </c>
      <c r="F890" s="0" t="n">
        <v>0</v>
      </c>
      <c r="G890" s="0" t="n">
        <v>2020</v>
      </c>
    </row>
    <row r="891" customFormat="false" ht="15" hidden="false" customHeight="false" outlineLevel="0" collapsed="false">
      <c r="A891" s="0" t="s">
        <v>258</v>
      </c>
      <c r="B891" s="52" t="n">
        <v>44181</v>
      </c>
      <c r="C891" s="54" t="s">
        <v>592</v>
      </c>
      <c r="D891" s="0" t="n">
        <v>0.0016864084855063</v>
      </c>
      <c r="E891" s="0" t="n">
        <v>0.0380588029671953</v>
      </c>
      <c r="F891" s="0" t="n">
        <v>0</v>
      </c>
      <c r="G891" s="0" t="n">
        <v>2020</v>
      </c>
    </row>
    <row r="892" customFormat="false" ht="15" hidden="false" customHeight="false" outlineLevel="0" collapsed="false">
      <c r="A892" s="0" t="s">
        <v>258</v>
      </c>
      <c r="B892" s="52" t="n">
        <v>44182</v>
      </c>
      <c r="C892" s="54" t="s">
        <v>590</v>
      </c>
      <c r="D892" s="0" t="n">
        <v>0.0181466923237639</v>
      </c>
      <c r="E892" s="0" t="n">
        <v>0.150908606852895</v>
      </c>
      <c r="F892" s="0" t="n">
        <v>0</v>
      </c>
      <c r="G892" s="0" t="n">
        <v>2020</v>
      </c>
    </row>
    <row r="893" customFormat="false" ht="15" hidden="false" customHeight="false" outlineLevel="0" collapsed="false">
      <c r="A893" s="0" t="s">
        <v>258</v>
      </c>
      <c r="B893" s="52" t="n">
        <v>44182</v>
      </c>
      <c r="C893" s="54" t="s">
        <v>591</v>
      </c>
      <c r="D893" s="0" t="n">
        <v>0.100849504107208</v>
      </c>
      <c r="E893" s="0" t="n">
        <v>0.0377941940295935</v>
      </c>
      <c r="F893" s="0" t="n">
        <v>0</v>
      </c>
      <c r="G893" s="0" t="n">
        <v>2020</v>
      </c>
    </row>
    <row r="894" customFormat="false" ht="15" hidden="false" customHeight="false" outlineLevel="0" collapsed="false">
      <c r="A894" s="0" t="s">
        <v>258</v>
      </c>
      <c r="B894" s="52" t="n">
        <v>44182</v>
      </c>
      <c r="C894" s="54" t="s">
        <v>592</v>
      </c>
      <c r="D894" s="0" t="n">
        <v>0.0424207714743479</v>
      </c>
      <c r="E894" s="0" t="n">
        <v>0.0939849563500897</v>
      </c>
      <c r="F894" s="0" t="n">
        <v>0</v>
      </c>
      <c r="G894" s="0" t="n">
        <v>2020</v>
      </c>
    </row>
    <row r="895" customFormat="false" ht="15" hidden="false" customHeight="false" outlineLevel="0" collapsed="false">
      <c r="A895" s="0" t="s">
        <v>258</v>
      </c>
      <c r="B895" s="52" t="n">
        <v>44183</v>
      </c>
      <c r="C895" s="54" t="s">
        <v>590</v>
      </c>
      <c r="D895" s="0" t="n">
        <v>0</v>
      </c>
      <c r="E895" s="0" t="n">
        <v>0.179507923965445</v>
      </c>
      <c r="F895" s="0" t="n">
        <v>0</v>
      </c>
      <c r="G895" s="0" t="n">
        <v>2020</v>
      </c>
    </row>
    <row r="896" customFormat="false" ht="15" hidden="false" customHeight="false" outlineLevel="0" collapsed="false">
      <c r="A896" s="0" t="s">
        <v>258</v>
      </c>
      <c r="B896" s="52" t="n">
        <v>44183</v>
      </c>
      <c r="C896" s="54" t="s">
        <v>591</v>
      </c>
      <c r="D896" s="0" t="n">
        <v>0.155733000216516</v>
      </c>
      <c r="E896" s="0" t="n">
        <v>0.0988111887324662</v>
      </c>
      <c r="F896" s="0" t="n">
        <v>0</v>
      </c>
      <c r="G896" s="0" t="n">
        <v>2020</v>
      </c>
    </row>
    <row r="897" customFormat="false" ht="15" hidden="false" customHeight="false" outlineLevel="0" collapsed="false">
      <c r="A897" s="0" t="s">
        <v>258</v>
      </c>
      <c r="B897" s="52" t="n">
        <v>44183</v>
      </c>
      <c r="C897" s="54" t="s">
        <v>592</v>
      </c>
      <c r="D897" s="0" t="n">
        <v>0.0914441847826651</v>
      </c>
      <c r="E897" s="0" t="n">
        <v>0.106553867927175</v>
      </c>
      <c r="F897" s="0" t="n">
        <v>0</v>
      </c>
      <c r="G897" s="0" t="n">
        <v>2020</v>
      </c>
    </row>
    <row r="898" customFormat="false" ht="15" hidden="false" customHeight="false" outlineLevel="0" collapsed="false">
      <c r="A898" s="0" t="s">
        <v>258</v>
      </c>
      <c r="B898" s="52" t="n">
        <v>44184</v>
      </c>
      <c r="C898" s="54" t="s">
        <v>590</v>
      </c>
      <c r="D898" s="0" t="n">
        <v>0.0536914395699694</v>
      </c>
      <c r="E898" s="0" t="n">
        <v>0.238071211999042</v>
      </c>
      <c r="F898" s="0" t="n">
        <v>1</v>
      </c>
      <c r="G898" s="0" t="n">
        <v>2020</v>
      </c>
    </row>
    <row r="899" customFormat="false" ht="15" hidden="false" customHeight="false" outlineLevel="0" collapsed="false">
      <c r="A899" s="0" t="s">
        <v>258</v>
      </c>
      <c r="B899" s="52" t="n">
        <v>44185</v>
      </c>
      <c r="C899" s="54" t="s">
        <v>590</v>
      </c>
      <c r="D899" s="0" t="n">
        <v>0.66243296913876</v>
      </c>
      <c r="E899" s="0" t="n">
        <v>0.0163607458004296</v>
      </c>
      <c r="F899" s="0" t="n">
        <v>1</v>
      </c>
      <c r="G899" s="0" t="n">
        <v>2020</v>
      </c>
    </row>
    <row r="900" customFormat="false" ht="15" hidden="false" customHeight="false" outlineLevel="0" collapsed="false">
      <c r="A900" s="0" t="s">
        <v>258</v>
      </c>
      <c r="B900" s="52" t="n">
        <v>44185</v>
      </c>
      <c r="C900" s="54" t="s">
        <v>591</v>
      </c>
      <c r="D900" s="0" t="n">
        <v>0.0448273146430826</v>
      </c>
      <c r="E900" s="0" t="n">
        <v>0.094572836926135</v>
      </c>
      <c r="F900" s="0" t="n">
        <v>1</v>
      </c>
      <c r="G900" s="0" t="n">
        <v>2020</v>
      </c>
    </row>
    <row r="901" customFormat="false" ht="15" hidden="false" customHeight="false" outlineLevel="0" collapsed="false">
      <c r="A901" s="0" t="s">
        <v>258</v>
      </c>
      <c r="B901" s="52" t="n">
        <v>44185</v>
      </c>
      <c r="C901" s="54" t="s">
        <v>592</v>
      </c>
      <c r="D901" s="0" t="n">
        <v>0.0111221157790558</v>
      </c>
      <c r="E901" s="0" t="n">
        <v>0.153443411558687</v>
      </c>
      <c r="F901" s="0" t="n">
        <v>1</v>
      </c>
      <c r="G901" s="0" t="n">
        <v>2020</v>
      </c>
    </row>
    <row r="902" customFormat="false" ht="15" hidden="false" customHeight="false" outlineLevel="0" collapsed="false">
      <c r="A902" s="0" t="s">
        <v>258</v>
      </c>
      <c r="B902" s="52" t="n">
        <v>44186</v>
      </c>
      <c r="C902" s="54" t="s">
        <v>590</v>
      </c>
      <c r="D902" s="0" t="n">
        <v>0.0116308961766331</v>
      </c>
      <c r="E902" s="0" t="n">
        <v>0.117693901301045</v>
      </c>
      <c r="F902" s="0" t="n">
        <v>0</v>
      </c>
      <c r="G902" s="0" t="n">
        <v>2020</v>
      </c>
    </row>
    <row r="903" customFormat="false" ht="15" hidden="false" customHeight="false" outlineLevel="0" collapsed="false">
      <c r="A903" s="0" t="s">
        <v>258</v>
      </c>
      <c r="B903" s="52" t="n">
        <v>44186</v>
      </c>
      <c r="C903" s="54" t="s">
        <v>591</v>
      </c>
      <c r="D903" s="0" t="n">
        <v>0.104717945637852</v>
      </c>
      <c r="E903" s="0" t="n">
        <v>0.127410638484826</v>
      </c>
      <c r="F903" s="0" t="n">
        <v>0</v>
      </c>
      <c r="G903" s="0" t="n">
        <v>2020</v>
      </c>
    </row>
    <row r="904" customFormat="false" ht="15" hidden="false" customHeight="false" outlineLevel="0" collapsed="false">
      <c r="A904" s="0" t="s">
        <v>258</v>
      </c>
      <c r="B904" s="52" t="n">
        <v>44186</v>
      </c>
      <c r="C904" s="54" t="s">
        <v>592</v>
      </c>
      <c r="D904" s="0" t="n">
        <v>0.0052919902116462</v>
      </c>
      <c r="E904" s="0" t="n">
        <v>0.109317461642009</v>
      </c>
      <c r="F904" s="0" t="n">
        <v>0</v>
      </c>
      <c r="G904" s="0" t="n">
        <v>2020</v>
      </c>
    </row>
    <row r="905" customFormat="false" ht="15" hidden="false" customHeight="false" outlineLevel="0" collapsed="false">
      <c r="A905" s="0" t="s">
        <v>258</v>
      </c>
      <c r="B905" s="52" t="n">
        <v>44187</v>
      </c>
      <c r="C905" s="54" t="s">
        <v>590</v>
      </c>
      <c r="D905" s="0" t="n">
        <v>0.0009629329085919</v>
      </c>
      <c r="E905" s="0" t="n">
        <v>0.108788390524466</v>
      </c>
      <c r="F905" s="0" t="n">
        <v>0</v>
      </c>
      <c r="G905" s="0" t="n">
        <v>2020</v>
      </c>
    </row>
    <row r="906" customFormat="false" ht="15" hidden="false" customHeight="false" outlineLevel="0" collapsed="false">
      <c r="A906" s="0" t="s">
        <v>258</v>
      </c>
      <c r="B906" s="52" t="n">
        <v>44187</v>
      </c>
      <c r="C906" s="54" t="s">
        <v>591</v>
      </c>
      <c r="D906" s="0" t="n">
        <v>0.0226417099539104</v>
      </c>
      <c r="E906" s="0" t="n">
        <v>0.211885381757861</v>
      </c>
      <c r="F906" s="0" t="n">
        <v>0</v>
      </c>
      <c r="G906" s="0" t="n">
        <v>2020</v>
      </c>
    </row>
    <row r="907" customFormat="false" ht="15" hidden="false" customHeight="false" outlineLevel="0" collapsed="false">
      <c r="A907" s="0" t="s">
        <v>258</v>
      </c>
      <c r="B907" s="52" t="n">
        <v>44187</v>
      </c>
      <c r="C907" s="54" t="s">
        <v>592</v>
      </c>
      <c r="D907" s="0" t="n">
        <v>0.0450008241407438</v>
      </c>
      <c r="E907" s="0" t="n">
        <v>0.269391798335981</v>
      </c>
      <c r="F907" s="0" t="n">
        <v>0</v>
      </c>
      <c r="G907" s="0" t="n">
        <v>2020</v>
      </c>
    </row>
    <row r="908" customFormat="false" ht="15" hidden="false" customHeight="false" outlineLevel="0" collapsed="false">
      <c r="A908" s="0" t="s">
        <v>258</v>
      </c>
      <c r="B908" s="52" t="n">
        <v>44188</v>
      </c>
      <c r="C908" s="54" t="s">
        <v>590</v>
      </c>
      <c r="D908" s="0" t="n">
        <v>0.0115069529631923</v>
      </c>
      <c r="E908" s="0" t="n">
        <v>0.106310537569762</v>
      </c>
      <c r="F908" s="0" t="n">
        <v>0</v>
      </c>
      <c r="G908" s="0" t="n">
        <v>2020</v>
      </c>
    </row>
    <row r="909" customFormat="false" ht="15" hidden="false" customHeight="false" outlineLevel="0" collapsed="false">
      <c r="A909" s="0" t="s">
        <v>258</v>
      </c>
      <c r="B909" s="52" t="n">
        <v>44188</v>
      </c>
      <c r="C909" s="54" t="s">
        <v>591</v>
      </c>
      <c r="D909" s="0" t="n">
        <v>0</v>
      </c>
      <c r="E909" s="0" t="n">
        <v>0.0669744302512851</v>
      </c>
      <c r="F909" s="0" t="n">
        <v>0</v>
      </c>
      <c r="G909" s="0" t="n">
        <v>2020</v>
      </c>
    </row>
    <row r="910" customFormat="false" ht="15" hidden="false" customHeight="false" outlineLevel="0" collapsed="false">
      <c r="A910" s="0" t="s">
        <v>258</v>
      </c>
      <c r="B910" s="52" t="n">
        <v>44188</v>
      </c>
      <c r="C910" s="54" t="s">
        <v>592</v>
      </c>
      <c r="D910" s="0" t="n">
        <v>0.0129751584970209</v>
      </c>
      <c r="E910" s="0" t="n">
        <v>0.0396219077235117</v>
      </c>
      <c r="F910" s="0" t="n">
        <v>0</v>
      </c>
      <c r="G910" s="0" t="n">
        <v>2020</v>
      </c>
    </row>
    <row r="911" customFormat="false" ht="15" hidden="false" customHeight="false" outlineLevel="0" collapsed="false">
      <c r="A911" s="0" t="s">
        <v>258</v>
      </c>
      <c r="B911" s="52" t="n">
        <v>44189</v>
      </c>
      <c r="C911" s="54" t="s">
        <v>590</v>
      </c>
      <c r="D911" s="0" t="n">
        <v>0.0845884084968702</v>
      </c>
      <c r="E911" s="0" t="n">
        <v>0.143175606846755</v>
      </c>
      <c r="F911" s="0" t="n">
        <v>0</v>
      </c>
      <c r="G911" s="0" t="n">
        <v>2020</v>
      </c>
    </row>
    <row r="912" customFormat="false" ht="15" hidden="false" customHeight="false" outlineLevel="0" collapsed="false">
      <c r="A912" s="0" t="s">
        <v>258</v>
      </c>
      <c r="B912" s="52" t="n">
        <v>44191</v>
      </c>
      <c r="C912" s="54" t="s">
        <v>590</v>
      </c>
      <c r="D912" s="0" t="n">
        <v>0</v>
      </c>
      <c r="E912" s="0" t="n">
        <v>0.262408200329835</v>
      </c>
      <c r="F912" s="0" t="n">
        <v>1</v>
      </c>
      <c r="G912" s="0" t="n">
        <v>2020</v>
      </c>
    </row>
    <row r="913" customFormat="false" ht="15" hidden="false" customHeight="false" outlineLevel="0" collapsed="false">
      <c r="A913" s="0" t="s">
        <v>258</v>
      </c>
      <c r="B913" s="52" t="n">
        <v>44191</v>
      </c>
      <c r="C913" s="54" t="s">
        <v>591</v>
      </c>
      <c r="D913" s="0" t="n">
        <v>0.0605399195582011</v>
      </c>
      <c r="E913" s="0" t="n">
        <v>0.207459092744093</v>
      </c>
      <c r="F913" s="0" t="n">
        <v>1</v>
      </c>
      <c r="G913" s="0" t="n">
        <v>2020</v>
      </c>
    </row>
    <row r="914" customFormat="false" ht="15" hidden="false" customHeight="false" outlineLevel="0" collapsed="false">
      <c r="A914" s="0" t="s">
        <v>258</v>
      </c>
      <c r="B914" s="52" t="n">
        <v>44192</v>
      </c>
      <c r="C914" s="54" t="s">
        <v>590</v>
      </c>
      <c r="D914" s="0" t="n">
        <v>0.18081685516746</v>
      </c>
      <c r="E914" s="0" t="n">
        <v>0.0181156882496997</v>
      </c>
      <c r="F914" s="0" t="n">
        <v>1</v>
      </c>
      <c r="G914" s="0" t="n">
        <v>2020</v>
      </c>
    </row>
    <row r="915" customFormat="false" ht="15" hidden="false" customHeight="false" outlineLevel="0" collapsed="false">
      <c r="A915" s="0" t="s">
        <v>258</v>
      </c>
      <c r="B915" s="52" t="n">
        <v>44192</v>
      </c>
      <c r="C915" s="54" t="s">
        <v>591</v>
      </c>
      <c r="D915" s="0" t="n">
        <v>0.0226968396657018</v>
      </c>
      <c r="E915" s="0" t="n">
        <v>0.0532526153498321</v>
      </c>
      <c r="F915" s="0" t="n">
        <v>1</v>
      </c>
      <c r="G915" s="0" t="n">
        <v>2020</v>
      </c>
    </row>
    <row r="916" customFormat="false" ht="15" hidden="false" customHeight="false" outlineLevel="0" collapsed="false">
      <c r="A916" s="0" t="s">
        <v>258</v>
      </c>
      <c r="B916" s="52" t="n">
        <v>44192</v>
      </c>
      <c r="C916" s="54" t="s">
        <v>592</v>
      </c>
      <c r="D916" s="0" t="n">
        <v>0.0041867897342836</v>
      </c>
      <c r="E916" s="0" t="n">
        <v>0.0342542772169835</v>
      </c>
      <c r="F916" s="0" t="n">
        <v>1</v>
      </c>
      <c r="G916" s="0" t="n">
        <v>2020</v>
      </c>
    </row>
    <row r="917" customFormat="false" ht="15" hidden="false" customHeight="false" outlineLevel="0" collapsed="false">
      <c r="A917" s="0" t="s">
        <v>258</v>
      </c>
      <c r="B917" s="52" t="n">
        <v>44193</v>
      </c>
      <c r="C917" s="54" t="s">
        <v>590</v>
      </c>
      <c r="D917" s="0" t="n">
        <v>0.0074820453249293</v>
      </c>
      <c r="E917" s="0" t="n">
        <v>0.234309522910905</v>
      </c>
      <c r="F917" s="0" t="n">
        <v>0</v>
      </c>
      <c r="G917" s="0" t="n">
        <v>2020</v>
      </c>
    </row>
    <row r="918" customFormat="false" ht="15" hidden="false" customHeight="false" outlineLevel="0" collapsed="false">
      <c r="A918" s="0" t="s">
        <v>258</v>
      </c>
      <c r="B918" s="52" t="n">
        <v>44193</v>
      </c>
      <c r="C918" s="54" t="s">
        <v>591</v>
      </c>
      <c r="D918" s="0" t="n">
        <v>0.137086301717136</v>
      </c>
      <c r="E918" s="0" t="n">
        <v>0.0637465154266594</v>
      </c>
      <c r="F918" s="0" t="n">
        <v>0</v>
      </c>
      <c r="G918" s="0" t="n">
        <v>2020</v>
      </c>
    </row>
    <row r="919" customFormat="false" ht="15" hidden="false" customHeight="false" outlineLevel="0" collapsed="false">
      <c r="A919" s="0" t="s">
        <v>258</v>
      </c>
      <c r="B919" s="52" t="n">
        <v>44193</v>
      </c>
      <c r="C919" s="54" t="s">
        <v>592</v>
      </c>
      <c r="D919" s="0" t="n">
        <v>0</v>
      </c>
      <c r="E919" s="0" t="n">
        <v>0.0931467429686784</v>
      </c>
      <c r="F919" s="0" t="n">
        <v>0</v>
      </c>
      <c r="G919" s="0" t="n">
        <v>2020</v>
      </c>
    </row>
    <row r="920" customFormat="false" ht="15" hidden="false" customHeight="false" outlineLevel="0" collapsed="false">
      <c r="A920" s="0" t="s">
        <v>258</v>
      </c>
      <c r="B920" s="52" t="n">
        <v>44194</v>
      </c>
      <c r="C920" s="54" t="s">
        <v>590</v>
      </c>
      <c r="D920" s="0" t="n">
        <v>0.0051269744379321</v>
      </c>
      <c r="E920" s="0" t="n">
        <v>0.0504160126355938</v>
      </c>
      <c r="F920" s="0" t="n">
        <v>0</v>
      </c>
      <c r="G920" s="0" t="n">
        <v>2020</v>
      </c>
    </row>
    <row r="921" customFormat="false" ht="15" hidden="false" customHeight="false" outlineLevel="0" collapsed="false">
      <c r="A921" s="0" t="s">
        <v>258</v>
      </c>
      <c r="B921" s="52" t="n">
        <v>44194</v>
      </c>
      <c r="C921" s="54" t="s">
        <v>591</v>
      </c>
      <c r="D921" s="0" t="n">
        <v>0.0173953443307392</v>
      </c>
      <c r="E921" s="0" t="n">
        <v>0.152968997720833</v>
      </c>
      <c r="F921" s="0" t="n">
        <v>0</v>
      </c>
      <c r="G921" s="0" t="n">
        <v>2020</v>
      </c>
    </row>
    <row r="922" customFormat="false" ht="15" hidden="false" customHeight="false" outlineLevel="0" collapsed="false">
      <c r="A922" s="0" t="s">
        <v>258</v>
      </c>
      <c r="B922" s="52" t="n">
        <v>44194</v>
      </c>
      <c r="C922" s="54" t="s">
        <v>592</v>
      </c>
      <c r="D922" s="0" t="n">
        <v>0.0699212866403445</v>
      </c>
      <c r="E922" s="0" t="n">
        <v>0.0180169200379884</v>
      </c>
      <c r="F922" s="0" t="n">
        <v>0</v>
      </c>
      <c r="G922" s="0" t="n">
        <v>2020</v>
      </c>
    </row>
    <row r="923" customFormat="false" ht="15" hidden="false" customHeight="false" outlineLevel="0" collapsed="false">
      <c r="A923" s="0" t="s">
        <v>258</v>
      </c>
      <c r="B923" s="52" t="n">
        <v>44195</v>
      </c>
      <c r="C923" s="54" t="s">
        <v>590</v>
      </c>
      <c r="D923" s="0" t="n">
        <v>0.0820496193387638</v>
      </c>
      <c r="E923" s="0" t="n">
        <v>0.131452187125396</v>
      </c>
      <c r="F923" s="0" t="n">
        <v>0</v>
      </c>
      <c r="G923" s="0" t="n">
        <v>2020</v>
      </c>
    </row>
    <row r="924" customFormat="false" ht="15" hidden="false" customHeight="false" outlineLevel="0" collapsed="false">
      <c r="A924" s="0" t="s">
        <v>258</v>
      </c>
      <c r="B924" s="52" t="n">
        <v>44195</v>
      </c>
      <c r="C924" s="54" t="s">
        <v>591</v>
      </c>
      <c r="D924" s="0" t="n">
        <v>0.0568009290643628</v>
      </c>
      <c r="E924" s="0" t="n">
        <v>0.119632095883739</v>
      </c>
      <c r="F924" s="0" t="n">
        <v>0</v>
      </c>
      <c r="G924" s="0" t="n">
        <v>2020</v>
      </c>
    </row>
    <row r="925" customFormat="false" ht="15" hidden="false" customHeight="false" outlineLevel="0" collapsed="false">
      <c r="A925" s="0" t="s">
        <v>258</v>
      </c>
      <c r="B925" s="52" t="n">
        <v>44195</v>
      </c>
      <c r="C925" s="54" t="s">
        <v>592</v>
      </c>
      <c r="D925" s="0" t="n">
        <v>0</v>
      </c>
      <c r="E925" s="0" t="n">
        <v>0.0776599699055504</v>
      </c>
      <c r="F925" s="0" t="n">
        <v>0</v>
      </c>
      <c r="G925" s="0" t="n">
        <v>2020</v>
      </c>
    </row>
    <row r="926" customFormat="false" ht="15" hidden="false" customHeight="false" outlineLevel="0" collapsed="false">
      <c r="A926" s="0" t="s">
        <v>258</v>
      </c>
      <c r="B926" s="52" t="n">
        <v>44196</v>
      </c>
      <c r="C926" s="54" t="s">
        <v>590</v>
      </c>
      <c r="D926" s="0" t="n">
        <v>0.0068482300011969</v>
      </c>
      <c r="E926" s="0" t="n">
        <v>0.157690916675791</v>
      </c>
      <c r="F926" s="0" t="n">
        <v>0</v>
      </c>
      <c r="G926" s="0" t="n">
        <v>2020</v>
      </c>
    </row>
    <row r="927" customFormat="false" ht="15" hidden="false" customHeight="false" outlineLevel="0" collapsed="false">
      <c r="A927" s="0" t="s">
        <v>258</v>
      </c>
      <c r="B927" s="52" t="n">
        <v>44196</v>
      </c>
      <c r="C927" s="54" t="s">
        <v>591</v>
      </c>
      <c r="D927" s="0" t="n">
        <v>0.229711017473427</v>
      </c>
      <c r="E927" s="0" t="n">
        <v>0.111117769479348</v>
      </c>
      <c r="F927" s="0" t="n">
        <v>0</v>
      </c>
      <c r="G927" s="0" t="n">
        <v>2020</v>
      </c>
    </row>
    <row r="928" customFormat="false" ht="15" hidden="false" customHeight="false" outlineLevel="0" collapsed="false">
      <c r="A928" s="0" t="s">
        <v>258</v>
      </c>
      <c r="B928" s="52" t="n">
        <v>44197</v>
      </c>
      <c r="C928" s="54" t="s">
        <v>592</v>
      </c>
      <c r="D928" s="0" t="n">
        <v>0.0099510695886434</v>
      </c>
      <c r="E928" s="0" t="n">
        <v>0.0518489460000862</v>
      </c>
      <c r="F928" s="0" t="n">
        <v>0</v>
      </c>
      <c r="G928" s="0" t="n">
        <v>2021</v>
      </c>
    </row>
    <row r="929" customFormat="false" ht="15" hidden="false" customHeight="false" outlineLevel="0" collapsed="false">
      <c r="A929" s="0" t="s">
        <v>258</v>
      </c>
      <c r="B929" s="52" t="n">
        <v>44198</v>
      </c>
      <c r="C929" s="54" t="s">
        <v>590</v>
      </c>
      <c r="D929" s="0" t="n">
        <v>0</v>
      </c>
      <c r="E929" s="0" t="n">
        <v>0.112041069283875</v>
      </c>
      <c r="F929" s="0" t="n">
        <v>1</v>
      </c>
      <c r="G929" s="0" t="n">
        <v>2021</v>
      </c>
    </row>
    <row r="930" customFormat="false" ht="15" hidden="false" customHeight="false" outlineLevel="0" collapsed="false">
      <c r="A930" s="0" t="s">
        <v>258</v>
      </c>
      <c r="B930" s="52" t="n">
        <v>44198</v>
      </c>
      <c r="C930" s="54" t="s">
        <v>591</v>
      </c>
      <c r="D930" s="0" t="n">
        <v>0.419909570533312</v>
      </c>
      <c r="E930" s="0" t="n">
        <v>0.20643502007362</v>
      </c>
      <c r="F930" s="0" t="n">
        <v>1</v>
      </c>
      <c r="G930" s="0" t="n">
        <v>2021</v>
      </c>
    </row>
    <row r="931" customFormat="false" ht="15" hidden="false" customHeight="false" outlineLevel="0" collapsed="false">
      <c r="A931" s="0" t="s">
        <v>258</v>
      </c>
      <c r="B931" s="52" t="n">
        <v>44199</v>
      </c>
      <c r="C931" s="54" t="s">
        <v>590</v>
      </c>
      <c r="D931" s="0" t="n">
        <v>1</v>
      </c>
      <c r="E931" s="0" t="n">
        <v>0</v>
      </c>
      <c r="F931" s="0" t="n">
        <v>1</v>
      </c>
      <c r="G931" s="0" t="n">
        <v>2021</v>
      </c>
    </row>
    <row r="932" customFormat="false" ht="15" hidden="false" customHeight="false" outlineLevel="0" collapsed="false">
      <c r="A932" s="0" t="s">
        <v>258</v>
      </c>
      <c r="B932" s="52" t="n">
        <v>44199</v>
      </c>
      <c r="C932" s="54" t="s">
        <v>592</v>
      </c>
      <c r="D932" s="0" t="n">
        <v>0.0659266874212229</v>
      </c>
      <c r="E932" s="0" t="n">
        <v>0.118290512331686</v>
      </c>
      <c r="F932" s="0" t="n">
        <v>1</v>
      </c>
      <c r="G932" s="0" t="n">
        <v>2021</v>
      </c>
    </row>
    <row r="933" customFormat="false" ht="15" hidden="false" customHeight="false" outlineLevel="0" collapsed="false">
      <c r="A933" s="0" t="s">
        <v>258</v>
      </c>
      <c r="B933" s="52" t="n">
        <v>44200</v>
      </c>
      <c r="C933" s="54" t="s">
        <v>590</v>
      </c>
      <c r="D933" s="0" t="n">
        <v>0</v>
      </c>
      <c r="E933" s="0" t="n">
        <v>0.185829290445128</v>
      </c>
      <c r="F933" s="0" t="n">
        <v>0</v>
      </c>
      <c r="G933" s="0" t="n">
        <v>2021</v>
      </c>
    </row>
    <row r="934" customFormat="false" ht="15" hidden="false" customHeight="false" outlineLevel="0" collapsed="false">
      <c r="A934" s="0" t="s">
        <v>258</v>
      </c>
      <c r="B934" s="52" t="n">
        <v>44200</v>
      </c>
      <c r="C934" s="54" t="s">
        <v>591</v>
      </c>
      <c r="D934" s="0" t="n">
        <v>0.0200353386534723</v>
      </c>
      <c r="E934" s="0" t="n">
        <v>0.11395222666409</v>
      </c>
      <c r="F934" s="0" t="n">
        <v>0</v>
      </c>
      <c r="G934" s="0" t="n">
        <v>2021</v>
      </c>
    </row>
    <row r="935" customFormat="false" ht="15" hidden="false" customHeight="false" outlineLevel="0" collapsed="false">
      <c r="A935" s="0" t="s">
        <v>258</v>
      </c>
      <c r="B935" s="52" t="n">
        <v>44200</v>
      </c>
      <c r="C935" s="54" t="s">
        <v>592</v>
      </c>
      <c r="D935" s="0" t="n">
        <v>0.0740127736802606</v>
      </c>
      <c r="E935" s="0" t="n">
        <v>0.124039921131841</v>
      </c>
      <c r="F935" s="0" t="n">
        <v>0</v>
      </c>
      <c r="G935" s="0" t="n">
        <v>2021</v>
      </c>
    </row>
    <row r="936" customFormat="false" ht="15" hidden="false" customHeight="false" outlineLevel="0" collapsed="false">
      <c r="A936" s="0" t="s">
        <v>258</v>
      </c>
      <c r="B936" s="52" t="n">
        <v>44201</v>
      </c>
      <c r="C936" s="54" t="s">
        <v>590</v>
      </c>
      <c r="D936" s="0" t="n">
        <v>0</v>
      </c>
      <c r="E936" s="0" t="n">
        <v>0.216174500582285</v>
      </c>
      <c r="F936" s="0" t="n">
        <v>0</v>
      </c>
      <c r="G936" s="0" t="n">
        <v>2021</v>
      </c>
    </row>
    <row r="937" customFormat="false" ht="15" hidden="false" customHeight="false" outlineLevel="0" collapsed="false">
      <c r="A937" s="0" t="s">
        <v>258</v>
      </c>
      <c r="B937" s="52" t="n">
        <v>44201</v>
      </c>
      <c r="C937" s="54" t="s">
        <v>591</v>
      </c>
      <c r="D937" s="0" t="n">
        <v>0.0163335609431077</v>
      </c>
      <c r="E937" s="0" t="n">
        <v>0.0214461062695748</v>
      </c>
      <c r="F937" s="0" t="n">
        <v>0</v>
      </c>
      <c r="G937" s="0" t="n">
        <v>2021</v>
      </c>
    </row>
    <row r="938" customFormat="false" ht="15" hidden="false" customHeight="false" outlineLevel="0" collapsed="false">
      <c r="A938" s="0" t="s">
        <v>258</v>
      </c>
      <c r="B938" s="52" t="n">
        <v>44201</v>
      </c>
      <c r="C938" s="54" t="s">
        <v>592</v>
      </c>
      <c r="D938" s="0" t="n">
        <v>0.0189823193864128</v>
      </c>
      <c r="E938" s="0" t="n">
        <v>0.125912635964613</v>
      </c>
      <c r="F938" s="0" t="n">
        <v>0</v>
      </c>
      <c r="G938" s="0" t="n">
        <v>2021</v>
      </c>
    </row>
    <row r="939" customFormat="false" ht="15" hidden="false" customHeight="false" outlineLevel="0" collapsed="false">
      <c r="A939" s="0" t="s">
        <v>258</v>
      </c>
      <c r="B939" s="52" t="n">
        <v>44202</v>
      </c>
      <c r="C939" s="54" t="s">
        <v>590</v>
      </c>
      <c r="D939" s="0" t="n">
        <v>0.0961164838697441</v>
      </c>
      <c r="E939" s="0" t="n">
        <v>0.0784017242457285</v>
      </c>
      <c r="F939" s="0" t="n">
        <v>0</v>
      </c>
      <c r="G939" s="0" t="n">
        <v>2021</v>
      </c>
    </row>
    <row r="940" customFormat="false" ht="15" hidden="false" customHeight="false" outlineLevel="0" collapsed="false">
      <c r="A940" s="0" t="s">
        <v>258</v>
      </c>
      <c r="B940" s="52" t="n">
        <v>44202</v>
      </c>
      <c r="C940" s="54" t="s">
        <v>591</v>
      </c>
      <c r="D940" s="0" t="n">
        <v>0.223110146428269</v>
      </c>
      <c r="E940" s="0" t="n">
        <v>0.0038918179775752</v>
      </c>
      <c r="F940" s="0" t="n">
        <v>0</v>
      </c>
      <c r="G940" s="0" t="n">
        <v>2021</v>
      </c>
    </row>
    <row r="941" customFormat="false" ht="15" hidden="false" customHeight="false" outlineLevel="0" collapsed="false">
      <c r="A941" s="0" t="s">
        <v>258</v>
      </c>
      <c r="B941" s="52" t="n">
        <v>44202</v>
      </c>
      <c r="C941" s="54" t="s">
        <v>592</v>
      </c>
      <c r="D941" s="0" t="n">
        <v>0.0015049453941249</v>
      </c>
      <c r="E941" s="0" t="n">
        <v>0.0387609209925161</v>
      </c>
      <c r="F941" s="0" t="n">
        <v>0</v>
      </c>
      <c r="G941" s="0" t="n">
        <v>2021</v>
      </c>
    </row>
    <row r="942" customFormat="false" ht="15" hidden="false" customHeight="false" outlineLevel="0" collapsed="false">
      <c r="A942" s="0" t="s">
        <v>258</v>
      </c>
      <c r="B942" s="52" t="n">
        <v>44203</v>
      </c>
      <c r="C942" s="54" t="s">
        <v>590</v>
      </c>
      <c r="D942" s="0" t="n">
        <v>0.0013385036600707</v>
      </c>
      <c r="E942" s="0" t="n">
        <v>0.210238120728496</v>
      </c>
      <c r="F942" s="0" t="n">
        <v>0</v>
      </c>
      <c r="G942" s="0" t="n">
        <v>2021</v>
      </c>
    </row>
    <row r="943" customFormat="false" ht="15" hidden="false" customHeight="false" outlineLevel="0" collapsed="false">
      <c r="A943" s="0" t="s">
        <v>258</v>
      </c>
      <c r="B943" s="52" t="n">
        <v>44203</v>
      </c>
      <c r="C943" s="54" t="s">
        <v>591</v>
      </c>
      <c r="D943" s="0" t="n">
        <v>0.0006649586328479</v>
      </c>
      <c r="E943" s="0" t="n">
        <v>0.163231017094328</v>
      </c>
      <c r="F943" s="0" t="n">
        <v>0</v>
      </c>
      <c r="G943" s="0" t="n">
        <v>2021</v>
      </c>
    </row>
    <row r="944" customFormat="false" ht="15" hidden="false" customHeight="false" outlineLevel="0" collapsed="false">
      <c r="A944" s="0" t="s">
        <v>258</v>
      </c>
      <c r="B944" s="52" t="n">
        <v>44203</v>
      </c>
      <c r="C944" s="54" t="s">
        <v>592</v>
      </c>
      <c r="D944" s="0" t="n">
        <v>0.184544077209255</v>
      </c>
      <c r="E944" s="0" t="n">
        <v>0.106594587183995</v>
      </c>
      <c r="F944" s="0" t="n">
        <v>0</v>
      </c>
      <c r="G944" s="0" t="n">
        <v>2021</v>
      </c>
    </row>
    <row r="945" customFormat="false" ht="15" hidden="false" customHeight="false" outlineLevel="0" collapsed="false">
      <c r="A945" s="0" t="s">
        <v>258</v>
      </c>
      <c r="B945" s="52" t="n">
        <v>44204</v>
      </c>
      <c r="C945" s="54" t="s">
        <v>590</v>
      </c>
      <c r="D945" s="0" t="n">
        <v>0</v>
      </c>
      <c r="E945" s="0" t="n">
        <v>0.157998866296498</v>
      </c>
      <c r="F945" s="0" t="n">
        <v>0</v>
      </c>
      <c r="G945" s="0" t="n">
        <v>2021</v>
      </c>
    </row>
    <row r="946" customFormat="false" ht="15" hidden="false" customHeight="false" outlineLevel="0" collapsed="false">
      <c r="A946" s="0" t="s">
        <v>258</v>
      </c>
      <c r="B946" s="52" t="n">
        <v>44204</v>
      </c>
      <c r="C946" s="54" t="s">
        <v>591</v>
      </c>
      <c r="D946" s="0" t="n">
        <v>0</v>
      </c>
      <c r="E946" s="0" t="n">
        <v>0.0292324310244021</v>
      </c>
      <c r="F946" s="0" t="n">
        <v>0</v>
      </c>
      <c r="G946" s="0" t="n">
        <v>2021</v>
      </c>
    </row>
    <row r="947" customFormat="false" ht="15" hidden="false" customHeight="false" outlineLevel="0" collapsed="false">
      <c r="A947" s="0" t="s">
        <v>258</v>
      </c>
      <c r="B947" s="52" t="n">
        <v>44204</v>
      </c>
      <c r="C947" s="54" t="s">
        <v>592</v>
      </c>
      <c r="D947" s="0" t="n">
        <v>0</v>
      </c>
      <c r="E947" s="0" t="n">
        <v>0.0585506217960984</v>
      </c>
      <c r="F947" s="0" t="n">
        <v>0</v>
      </c>
      <c r="G947" s="0" t="n">
        <v>2021</v>
      </c>
    </row>
    <row r="948" customFormat="false" ht="15" hidden="false" customHeight="false" outlineLevel="0" collapsed="false">
      <c r="A948" s="0" t="s">
        <v>258</v>
      </c>
      <c r="B948" s="52" t="n">
        <v>44205</v>
      </c>
      <c r="C948" s="54" t="s">
        <v>590</v>
      </c>
      <c r="D948" s="0" t="n">
        <v>0.291810492928211</v>
      </c>
      <c r="E948" s="0" t="n">
        <v>0.127799644668127</v>
      </c>
      <c r="F948" s="0" t="n">
        <v>1</v>
      </c>
      <c r="G948" s="0" t="n">
        <v>2021</v>
      </c>
    </row>
    <row r="949" customFormat="false" ht="15" hidden="false" customHeight="false" outlineLevel="0" collapsed="false">
      <c r="A949" s="0" t="s">
        <v>258</v>
      </c>
      <c r="B949" s="52" t="n">
        <v>44206</v>
      </c>
      <c r="C949" s="54" t="s">
        <v>591</v>
      </c>
      <c r="D949" s="0" t="n">
        <v>0.231775010057116</v>
      </c>
      <c r="E949" s="0" t="n">
        <v>0.0113800574857485</v>
      </c>
      <c r="F949" s="0" t="n">
        <v>1</v>
      </c>
      <c r="G949" s="0" t="n">
        <v>2021</v>
      </c>
    </row>
    <row r="950" customFormat="false" ht="15" hidden="false" customHeight="false" outlineLevel="0" collapsed="false">
      <c r="A950" s="0" t="s">
        <v>258</v>
      </c>
      <c r="B950" s="52" t="n">
        <v>44206</v>
      </c>
      <c r="C950" s="54" t="s">
        <v>592</v>
      </c>
      <c r="D950" s="0" t="n">
        <v>0.0078146470155345</v>
      </c>
      <c r="E950" s="0" t="n">
        <v>0.0782524640821062</v>
      </c>
      <c r="F950" s="0" t="n">
        <v>1</v>
      </c>
      <c r="G950" s="0" t="n">
        <v>2021</v>
      </c>
    </row>
    <row r="951" customFormat="false" ht="15" hidden="false" customHeight="false" outlineLevel="0" collapsed="false">
      <c r="A951" s="0" t="s">
        <v>258</v>
      </c>
      <c r="B951" s="52" t="n">
        <v>44207</v>
      </c>
      <c r="C951" s="54" t="s">
        <v>590</v>
      </c>
      <c r="D951" s="0" t="n">
        <v>0.0031894676059338</v>
      </c>
      <c r="E951" s="0" t="n">
        <v>0.165630072343546</v>
      </c>
      <c r="F951" s="0" t="n">
        <v>0</v>
      </c>
      <c r="G951" s="0" t="n">
        <v>2021</v>
      </c>
    </row>
    <row r="952" customFormat="false" ht="15" hidden="false" customHeight="false" outlineLevel="0" collapsed="false">
      <c r="A952" s="0" t="s">
        <v>258</v>
      </c>
      <c r="B952" s="52" t="n">
        <v>44207</v>
      </c>
      <c r="C952" s="54" t="s">
        <v>591</v>
      </c>
      <c r="D952" s="0" t="n">
        <v>0.0017083724991498</v>
      </c>
      <c r="E952" s="0" t="n">
        <v>0.0729480410299184</v>
      </c>
      <c r="F952" s="0" t="n">
        <v>0</v>
      </c>
      <c r="G952" s="0" t="n">
        <v>2021</v>
      </c>
    </row>
    <row r="953" customFormat="false" ht="15" hidden="false" customHeight="false" outlineLevel="0" collapsed="false">
      <c r="A953" s="0" t="s">
        <v>258</v>
      </c>
      <c r="B953" s="52" t="n">
        <v>44207</v>
      </c>
      <c r="C953" s="54" t="s">
        <v>592</v>
      </c>
      <c r="D953" s="0" t="n">
        <v>0.126620658317839</v>
      </c>
      <c r="E953" s="0" t="n">
        <v>0.0601892348511279</v>
      </c>
      <c r="F953" s="0" t="n">
        <v>0</v>
      </c>
      <c r="G953" s="0" t="n">
        <v>2021</v>
      </c>
    </row>
    <row r="954" customFormat="false" ht="15" hidden="false" customHeight="false" outlineLevel="0" collapsed="false">
      <c r="A954" s="0" t="s">
        <v>258</v>
      </c>
      <c r="B954" s="52" t="n">
        <v>44208</v>
      </c>
      <c r="C954" s="54" t="s">
        <v>590</v>
      </c>
      <c r="D954" s="0" t="n">
        <v>0</v>
      </c>
      <c r="E954" s="0" t="n">
        <v>0.443706430212688</v>
      </c>
      <c r="F954" s="0" t="n">
        <v>0</v>
      </c>
      <c r="G954" s="0" t="n">
        <v>2021</v>
      </c>
    </row>
    <row r="955" customFormat="false" ht="15" hidden="false" customHeight="false" outlineLevel="0" collapsed="false">
      <c r="A955" s="0" t="s">
        <v>258</v>
      </c>
      <c r="B955" s="52" t="n">
        <v>44208</v>
      </c>
      <c r="C955" s="54" t="s">
        <v>591</v>
      </c>
      <c r="D955" s="0" t="n">
        <v>0</v>
      </c>
      <c r="E955" s="0" t="n">
        <v>0.210827080424963</v>
      </c>
      <c r="F955" s="0" t="n">
        <v>0</v>
      </c>
      <c r="G955" s="0" t="n">
        <v>2021</v>
      </c>
    </row>
    <row r="956" customFormat="false" ht="15" hidden="false" customHeight="false" outlineLevel="0" collapsed="false">
      <c r="A956" s="0" t="s">
        <v>258</v>
      </c>
      <c r="B956" s="52" t="n">
        <v>44208</v>
      </c>
      <c r="C956" s="54" t="s">
        <v>592</v>
      </c>
      <c r="D956" s="0" t="n">
        <v>0.0127831637477126</v>
      </c>
      <c r="E956" s="0" t="n">
        <v>0.0768645107387951</v>
      </c>
      <c r="F956" s="0" t="n">
        <v>0</v>
      </c>
      <c r="G956" s="0" t="n">
        <v>2021</v>
      </c>
    </row>
    <row r="957" customFormat="false" ht="15" hidden="false" customHeight="false" outlineLevel="0" collapsed="false">
      <c r="A957" s="0" t="s">
        <v>258</v>
      </c>
      <c r="B957" s="52" t="n">
        <v>44209</v>
      </c>
      <c r="C957" s="54" t="s">
        <v>590</v>
      </c>
      <c r="D957" s="0" t="n">
        <v>0.0974377951455799</v>
      </c>
      <c r="E957" s="0" t="n">
        <v>0.137589458954566</v>
      </c>
      <c r="F957" s="0" t="n">
        <v>0</v>
      </c>
      <c r="G957" s="0" t="n">
        <v>2021</v>
      </c>
    </row>
    <row r="958" customFormat="false" ht="15" hidden="false" customHeight="false" outlineLevel="0" collapsed="false">
      <c r="A958" s="0" t="s">
        <v>258</v>
      </c>
      <c r="B958" s="52" t="n">
        <v>44209</v>
      </c>
      <c r="C958" s="54" t="s">
        <v>591</v>
      </c>
      <c r="D958" s="0" t="n">
        <v>0.0577882292633184</v>
      </c>
      <c r="E958" s="0" t="n">
        <v>0.046686196301115</v>
      </c>
      <c r="F958" s="0" t="n">
        <v>0</v>
      </c>
      <c r="G958" s="0" t="n">
        <v>2021</v>
      </c>
    </row>
    <row r="959" customFormat="false" ht="15" hidden="false" customHeight="false" outlineLevel="0" collapsed="false">
      <c r="A959" s="0" t="s">
        <v>258</v>
      </c>
      <c r="B959" s="52" t="n">
        <v>44209</v>
      </c>
      <c r="C959" s="54" t="s">
        <v>592</v>
      </c>
      <c r="D959" s="0" t="n">
        <v>0.0556598239709605</v>
      </c>
      <c r="E959" s="0" t="n">
        <v>0.116511295160168</v>
      </c>
      <c r="F959" s="0" t="n">
        <v>0</v>
      </c>
      <c r="G959" s="0" t="n">
        <v>2021</v>
      </c>
    </row>
    <row r="960" customFormat="false" ht="15" hidden="false" customHeight="false" outlineLevel="0" collapsed="false">
      <c r="A960" s="0" t="s">
        <v>258</v>
      </c>
      <c r="B960" s="52" t="n">
        <v>44210</v>
      </c>
      <c r="C960" s="54" t="s">
        <v>590</v>
      </c>
      <c r="D960" s="0" t="n">
        <v>0</v>
      </c>
      <c r="E960" s="0" t="n">
        <v>0.16675346603435</v>
      </c>
      <c r="F960" s="0" t="n">
        <v>0</v>
      </c>
      <c r="G960" s="0" t="n">
        <v>2021</v>
      </c>
    </row>
    <row r="961" customFormat="false" ht="15" hidden="false" customHeight="false" outlineLevel="0" collapsed="false">
      <c r="A961" s="0" t="s">
        <v>258</v>
      </c>
      <c r="B961" s="52" t="n">
        <v>44210</v>
      </c>
      <c r="C961" s="54" t="s">
        <v>591</v>
      </c>
      <c r="D961" s="0" t="n">
        <v>0.0113684778049667</v>
      </c>
      <c r="E961" s="0" t="n">
        <v>0.11267393221529</v>
      </c>
      <c r="F961" s="0" t="n">
        <v>0</v>
      </c>
      <c r="G961" s="0" t="n">
        <v>2021</v>
      </c>
    </row>
    <row r="962" customFormat="false" ht="15" hidden="false" customHeight="false" outlineLevel="0" collapsed="false">
      <c r="A962" s="0" t="s">
        <v>258</v>
      </c>
      <c r="B962" s="52" t="n">
        <v>44210</v>
      </c>
      <c r="C962" s="54" t="s">
        <v>592</v>
      </c>
      <c r="D962" s="0" t="n">
        <v>0.121706021626165</v>
      </c>
      <c r="E962" s="0" t="n">
        <v>0.096821987168828</v>
      </c>
      <c r="F962" s="0" t="n">
        <v>0</v>
      </c>
      <c r="G962" s="0" t="n">
        <v>2021</v>
      </c>
    </row>
    <row r="963" customFormat="false" ht="15" hidden="false" customHeight="false" outlineLevel="0" collapsed="false">
      <c r="A963" s="0" t="s">
        <v>258</v>
      </c>
      <c r="B963" s="52" t="n">
        <v>44211</v>
      </c>
      <c r="C963" s="54" t="s">
        <v>590</v>
      </c>
      <c r="D963" s="0" t="n">
        <v>0</v>
      </c>
      <c r="E963" s="0" t="n">
        <v>0.179031988386855</v>
      </c>
      <c r="F963" s="0" t="n">
        <v>0</v>
      </c>
      <c r="G963" s="0" t="n">
        <v>2021</v>
      </c>
    </row>
    <row r="964" customFormat="false" ht="15" hidden="false" customHeight="false" outlineLevel="0" collapsed="false">
      <c r="A964" s="0" t="s">
        <v>258</v>
      </c>
      <c r="B964" s="52" t="n">
        <v>44211</v>
      </c>
      <c r="C964" s="54" t="s">
        <v>591</v>
      </c>
      <c r="D964" s="0" t="n">
        <v>0.0205649164957517</v>
      </c>
      <c r="E964" s="0" t="n">
        <v>0.0436825404899012</v>
      </c>
      <c r="F964" s="0" t="n">
        <v>0</v>
      </c>
      <c r="G964" s="0" t="n">
        <v>2021</v>
      </c>
    </row>
    <row r="965" customFormat="false" ht="15" hidden="false" customHeight="false" outlineLevel="0" collapsed="false">
      <c r="A965" s="0" t="s">
        <v>258</v>
      </c>
      <c r="B965" s="52" t="n">
        <v>44211</v>
      </c>
      <c r="C965" s="54" t="s">
        <v>592</v>
      </c>
      <c r="D965" s="0" t="n">
        <v>0</v>
      </c>
      <c r="E965" s="0" t="n">
        <v>0.0961058171308727</v>
      </c>
      <c r="F965" s="0" t="n">
        <v>0</v>
      </c>
      <c r="G965" s="0" t="n">
        <v>2021</v>
      </c>
    </row>
    <row r="966" customFormat="false" ht="15" hidden="false" customHeight="false" outlineLevel="0" collapsed="false">
      <c r="A966" s="0" t="s">
        <v>258</v>
      </c>
      <c r="B966" s="52" t="n">
        <v>44212</v>
      </c>
      <c r="C966" s="54" t="s">
        <v>590</v>
      </c>
      <c r="D966" s="0" t="n">
        <v>0.0477717640251204</v>
      </c>
      <c r="E966" s="0" t="n">
        <v>0.180200059748658</v>
      </c>
      <c r="F966" s="0" t="n">
        <v>1</v>
      </c>
      <c r="G966" s="0" t="n">
        <v>2021</v>
      </c>
    </row>
    <row r="967" customFormat="false" ht="15" hidden="false" customHeight="false" outlineLevel="0" collapsed="false">
      <c r="A967" s="0" t="s">
        <v>258</v>
      </c>
      <c r="B967" s="52" t="n">
        <v>44213</v>
      </c>
      <c r="C967" s="54" t="s">
        <v>590</v>
      </c>
      <c r="D967" s="0" t="n">
        <v>0.999512349311267</v>
      </c>
      <c r="E967" s="0" t="n">
        <v>0</v>
      </c>
      <c r="F967" s="0" t="n">
        <v>1</v>
      </c>
      <c r="G967" s="0" t="n">
        <v>2021</v>
      </c>
    </row>
    <row r="968" customFormat="false" ht="15" hidden="false" customHeight="false" outlineLevel="0" collapsed="false">
      <c r="A968" s="0" t="s">
        <v>258</v>
      </c>
      <c r="B968" s="52" t="n">
        <v>44213</v>
      </c>
      <c r="C968" s="54" t="s">
        <v>592</v>
      </c>
      <c r="D968" s="0" t="n">
        <v>0.103019913863871</v>
      </c>
      <c r="E968" s="0" t="n">
        <v>0.0993964963898094</v>
      </c>
      <c r="F968" s="0" t="n">
        <v>1</v>
      </c>
      <c r="G968" s="0" t="n">
        <v>2021</v>
      </c>
    </row>
    <row r="969" customFormat="false" ht="15" hidden="false" customHeight="false" outlineLevel="0" collapsed="false">
      <c r="A969" s="0" t="s">
        <v>258</v>
      </c>
      <c r="B969" s="52" t="n">
        <v>44214</v>
      </c>
      <c r="C969" s="54" t="s">
        <v>590</v>
      </c>
      <c r="D969" s="0" t="n">
        <v>0.0077405533047652</v>
      </c>
      <c r="E969" s="0" t="n">
        <v>0.189432357413262</v>
      </c>
      <c r="F969" s="0" t="n">
        <v>0</v>
      </c>
      <c r="G969" s="0" t="n">
        <v>2021</v>
      </c>
    </row>
    <row r="970" customFormat="false" ht="15" hidden="false" customHeight="false" outlineLevel="0" collapsed="false">
      <c r="A970" s="0" t="s">
        <v>258</v>
      </c>
      <c r="B970" s="52" t="n">
        <v>44214</v>
      </c>
      <c r="C970" s="54" t="s">
        <v>591</v>
      </c>
      <c r="D970" s="0" t="n">
        <v>0.0113306853740476</v>
      </c>
      <c r="E970" s="0" t="n">
        <v>0.0193987275886086</v>
      </c>
      <c r="F970" s="0" t="n">
        <v>0</v>
      </c>
      <c r="G970" s="0" t="n">
        <v>2021</v>
      </c>
    </row>
    <row r="971" customFormat="false" ht="15" hidden="false" customHeight="false" outlineLevel="0" collapsed="false">
      <c r="A971" s="0" t="s">
        <v>258</v>
      </c>
      <c r="B971" s="52" t="n">
        <v>44214</v>
      </c>
      <c r="C971" s="54" t="s">
        <v>592</v>
      </c>
      <c r="D971" s="0" t="n">
        <v>0</v>
      </c>
      <c r="E971" s="0" t="n">
        <v>0.0652977704021003</v>
      </c>
      <c r="F971" s="0" t="n">
        <v>0</v>
      </c>
      <c r="G971" s="0" t="n">
        <v>2021</v>
      </c>
    </row>
    <row r="972" customFormat="false" ht="15" hidden="false" customHeight="false" outlineLevel="0" collapsed="false">
      <c r="A972" s="0" t="s">
        <v>258</v>
      </c>
      <c r="B972" s="52" t="n">
        <v>44215</v>
      </c>
      <c r="C972" s="54" t="s">
        <v>590</v>
      </c>
      <c r="D972" s="0" t="n">
        <v>0.133850408503811</v>
      </c>
      <c r="E972" s="0" t="n">
        <v>0.282714581567116</v>
      </c>
      <c r="F972" s="0" t="n">
        <v>0</v>
      </c>
      <c r="G972" s="0" t="n">
        <v>2021</v>
      </c>
    </row>
    <row r="973" customFormat="false" ht="15" hidden="false" customHeight="false" outlineLevel="0" collapsed="false">
      <c r="A973" s="0" t="s">
        <v>258</v>
      </c>
      <c r="B973" s="52" t="n">
        <v>44215</v>
      </c>
      <c r="C973" s="54" t="s">
        <v>591</v>
      </c>
      <c r="D973" s="0" t="n">
        <v>0.0124441341051901</v>
      </c>
      <c r="E973" s="0" t="n">
        <v>0.0130221133197428</v>
      </c>
      <c r="F973" s="0" t="n">
        <v>0</v>
      </c>
      <c r="G973" s="0" t="n">
        <v>2021</v>
      </c>
    </row>
    <row r="974" customFormat="false" ht="15" hidden="false" customHeight="false" outlineLevel="0" collapsed="false">
      <c r="A974" s="0" t="s">
        <v>258</v>
      </c>
      <c r="B974" s="52" t="n">
        <v>44215</v>
      </c>
      <c r="C974" s="54" t="s">
        <v>592</v>
      </c>
      <c r="D974" s="0" t="n">
        <v>0.057089962076331</v>
      </c>
      <c r="E974" s="0" t="n">
        <v>0.135228779190047</v>
      </c>
      <c r="F974" s="0" t="n">
        <v>0</v>
      </c>
      <c r="G974" s="0" t="n">
        <v>2021</v>
      </c>
    </row>
    <row r="975" customFormat="false" ht="15" hidden="false" customHeight="false" outlineLevel="0" collapsed="false">
      <c r="A975" s="0" t="s">
        <v>258</v>
      </c>
      <c r="B975" s="52" t="n">
        <v>44216</v>
      </c>
      <c r="C975" s="54" t="s">
        <v>590</v>
      </c>
      <c r="D975" s="0" t="n">
        <v>0.783399642244042</v>
      </c>
      <c r="E975" s="0" t="n">
        <v>0.0146665345699336</v>
      </c>
      <c r="F975" s="0" t="n">
        <v>0</v>
      </c>
      <c r="G975" s="0" t="n">
        <v>2021</v>
      </c>
    </row>
    <row r="976" customFormat="false" ht="15" hidden="false" customHeight="false" outlineLevel="0" collapsed="false">
      <c r="A976" s="0" t="s">
        <v>258</v>
      </c>
      <c r="B976" s="52" t="n">
        <v>44216</v>
      </c>
      <c r="C976" s="54" t="s">
        <v>591</v>
      </c>
      <c r="D976" s="0" t="n">
        <v>0.282487880332036</v>
      </c>
      <c r="E976" s="0" t="n">
        <v>0.259149031435637</v>
      </c>
      <c r="F976" s="0" t="n">
        <v>0</v>
      </c>
      <c r="G976" s="0" t="n">
        <v>2021</v>
      </c>
    </row>
    <row r="977" customFormat="false" ht="15" hidden="false" customHeight="false" outlineLevel="0" collapsed="false">
      <c r="A977" s="0" t="s">
        <v>258</v>
      </c>
      <c r="B977" s="52" t="n">
        <v>44216</v>
      </c>
      <c r="C977" s="54" t="s">
        <v>592</v>
      </c>
      <c r="D977" s="0" t="n">
        <v>0.0056940924134519</v>
      </c>
      <c r="E977" s="0" t="n">
        <v>0.0161115615897504</v>
      </c>
      <c r="F977" s="0" t="n">
        <v>0</v>
      </c>
      <c r="G977" s="0" t="n">
        <v>2021</v>
      </c>
    </row>
    <row r="978" customFormat="false" ht="15" hidden="false" customHeight="false" outlineLevel="0" collapsed="false">
      <c r="A978" s="0" t="s">
        <v>258</v>
      </c>
      <c r="B978" s="52" t="n">
        <v>44217</v>
      </c>
      <c r="C978" s="54" t="s">
        <v>590</v>
      </c>
      <c r="D978" s="0" t="n">
        <v>0.017130311401867</v>
      </c>
      <c r="E978" s="0" t="n">
        <v>0.218884049981173</v>
      </c>
      <c r="F978" s="0" t="n">
        <v>0</v>
      </c>
      <c r="G978" s="0" t="n">
        <v>2021</v>
      </c>
    </row>
    <row r="979" customFormat="false" ht="15" hidden="false" customHeight="false" outlineLevel="0" collapsed="false">
      <c r="A979" s="0" t="s">
        <v>258</v>
      </c>
      <c r="B979" s="52" t="n">
        <v>44217</v>
      </c>
      <c r="C979" s="54" t="s">
        <v>591</v>
      </c>
      <c r="D979" s="0" t="n">
        <v>0</v>
      </c>
      <c r="E979" s="0" t="n">
        <v>0.0511759882993518</v>
      </c>
      <c r="F979" s="0" t="n">
        <v>0</v>
      </c>
      <c r="G979" s="0" t="n">
        <v>2021</v>
      </c>
    </row>
    <row r="980" customFormat="false" ht="15" hidden="false" customHeight="false" outlineLevel="0" collapsed="false">
      <c r="A980" s="0" t="s">
        <v>258</v>
      </c>
      <c r="B980" s="52" t="n">
        <v>44217</v>
      </c>
      <c r="C980" s="54" t="s">
        <v>592</v>
      </c>
      <c r="D980" s="0" t="n">
        <v>0.10863470990413</v>
      </c>
      <c r="E980" s="0" t="n">
        <v>0.0611989855303299</v>
      </c>
      <c r="F980" s="0" t="n">
        <v>0</v>
      </c>
      <c r="G980" s="0" t="n">
        <v>2021</v>
      </c>
    </row>
    <row r="981" customFormat="false" ht="15" hidden="false" customHeight="false" outlineLevel="0" collapsed="false">
      <c r="A981" s="0" t="s">
        <v>258</v>
      </c>
      <c r="B981" s="52" t="n">
        <v>44218</v>
      </c>
      <c r="C981" s="54" t="s">
        <v>590</v>
      </c>
      <c r="D981" s="0" t="n">
        <v>0.0386064381235446</v>
      </c>
      <c r="E981" s="0" t="n">
        <v>0.220033245797182</v>
      </c>
      <c r="F981" s="0" t="n">
        <v>0</v>
      </c>
      <c r="G981" s="0" t="n">
        <v>2021</v>
      </c>
    </row>
    <row r="982" customFormat="false" ht="15" hidden="false" customHeight="false" outlineLevel="0" collapsed="false">
      <c r="A982" s="0" t="s">
        <v>258</v>
      </c>
      <c r="B982" s="52" t="n">
        <v>44218</v>
      </c>
      <c r="C982" s="54" t="s">
        <v>591</v>
      </c>
      <c r="D982" s="0" t="n">
        <v>0</v>
      </c>
      <c r="E982" s="0" t="n">
        <v>0.0217595017716329</v>
      </c>
      <c r="F982" s="0" t="n">
        <v>0</v>
      </c>
      <c r="G982" s="0" t="n">
        <v>2021</v>
      </c>
    </row>
    <row r="983" customFormat="false" ht="15" hidden="false" customHeight="false" outlineLevel="0" collapsed="false">
      <c r="A983" s="0" t="s">
        <v>258</v>
      </c>
      <c r="B983" s="52" t="n">
        <v>44218</v>
      </c>
      <c r="C983" s="54" t="s">
        <v>592</v>
      </c>
      <c r="D983" s="0" t="n">
        <v>0</v>
      </c>
      <c r="E983" s="0" t="n">
        <v>0.0189625071692119</v>
      </c>
      <c r="F983" s="0" t="n">
        <v>0</v>
      </c>
      <c r="G983" s="0" t="n">
        <v>2021</v>
      </c>
    </row>
    <row r="984" customFormat="false" ht="15" hidden="false" customHeight="false" outlineLevel="0" collapsed="false">
      <c r="A984" s="0" t="s">
        <v>258</v>
      </c>
      <c r="B984" s="52" t="n">
        <v>44219</v>
      </c>
      <c r="C984" s="54" t="s">
        <v>590</v>
      </c>
      <c r="D984" s="0" t="n">
        <v>0.665956447465621</v>
      </c>
      <c r="E984" s="0" t="n">
        <v>0.0970883587623593</v>
      </c>
      <c r="F984" s="0" t="n">
        <v>1</v>
      </c>
      <c r="G984" s="0" t="n">
        <v>2021</v>
      </c>
    </row>
    <row r="985" customFormat="false" ht="15" hidden="false" customHeight="false" outlineLevel="0" collapsed="false">
      <c r="A985" s="0" t="s">
        <v>258</v>
      </c>
      <c r="B985" s="52" t="n">
        <v>44220</v>
      </c>
      <c r="C985" s="54" t="s">
        <v>592</v>
      </c>
      <c r="D985" s="0" t="n">
        <v>0.0193932140681525</v>
      </c>
      <c r="E985" s="0" t="n">
        <v>0.125817689908622</v>
      </c>
      <c r="F985" s="0" t="n">
        <v>1</v>
      </c>
      <c r="G985" s="0" t="n">
        <v>2021</v>
      </c>
    </row>
    <row r="986" customFormat="false" ht="15" hidden="false" customHeight="false" outlineLevel="0" collapsed="false">
      <c r="A986" s="0" t="s">
        <v>258</v>
      </c>
      <c r="B986" s="52" t="n">
        <v>44221</v>
      </c>
      <c r="C986" s="54" t="s">
        <v>590</v>
      </c>
      <c r="D986" s="0" t="n">
        <v>0.11715939151918</v>
      </c>
      <c r="E986" s="0" t="n">
        <v>0.209827203427616</v>
      </c>
      <c r="F986" s="0" t="n">
        <v>0</v>
      </c>
      <c r="G986" s="0" t="n">
        <v>2021</v>
      </c>
    </row>
    <row r="987" customFormat="false" ht="15" hidden="false" customHeight="false" outlineLevel="0" collapsed="false">
      <c r="A987" s="0" t="s">
        <v>258</v>
      </c>
      <c r="B987" s="52" t="n">
        <v>44221</v>
      </c>
      <c r="C987" s="54" t="s">
        <v>591</v>
      </c>
      <c r="D987" s="0" t="n">
        <v>0</v>
      </c>
      <c r="E987" s="0" t="n">
        <v>0.142110954706642</v>
      </c>
      <c r="F987" s="0" t="n">
        <v>0</v>
      </c>
      <c r="G987" s="0" t="n">
        <v>2021</v>
      </c>
    </row>
    <row r="988" customFormat="false" ht="15" hidden="false" customHeight="false" outlineLevel="0" collapsed="false">
      <c r="A988" s="0" t="s">
        <v>258</v>
      </c>
      <c r="B988" s="52" t="n">
        <v>44221</v>
      </c>
      <c r="C988" s="54" t="s">
        <v>592</v>
      </c>
      <c r="D988" s="0" t="n">
        <v>0.152584741521298</v>
      </c>
      <c r="E988" s="0" t="n">
        <v>0.118093281646693</v>
      </c>
      <c r="F988" s="0" t="n">
        <v>0</v>
      </c>
      <c r="G988" s="0" t="n">
        <v>2021</v>
      </c>
    </row>
    <row r="989" customFormat="false" ht="15" hidden="false" customHeight="false" outlineLevel="0" collapsed="false">
      <c r="A989" s="0" t="s">
        <v>258</v>
      </c>
      <c r="B989" s="52" t="n">
        <v>44222</v>
      </c>
      <c r="C989" s="54" t="s">
        <v>590</v>
      </c>
      <c r="D989" s="0" t="n">
        <v>0.156341146200656</v>
      </c>
      <c r="E989" s="0" t="n">
        <v>0.242839680487852</v>
      </c>
      <c r="F989" s="0" t="n">
        <v>0</v>
      </c>
      <c r="G989" s="0" t="n">
        <v>2021</v>
      </c>
    </row>
    <row r="990" customFormat="false" ht="15" hidden="false" customHeight="false" outlineLevel="0" collapsed="false">
      <c r="A990" s="0" t="s">
        <v>258</v>
      </c>
      <c r="B990" s="52" t="n">
        <v>44222</v>
      </c>
      <c r="C990" s="54" t="s">
        <v>591</v>
      </c>
      <c r="D990" s="0" t="n">
        <v>0.0029853854187356</v>
      </c>
      <c r="E990" s="0" t="n">
        <v>0.0361997247797205</v>
      </c>
      <c r="F990" s="0" t="n">
        <v>0</v>
      </c>
      <c r="G990" s="0" t="n">
        <v>2021</v>
      </c>
    </row>
    <row r="991" customFormat="false" ht="15" hidden="false" customHeight="false" outlineLevel="0" collapsed="false">
      <c r="A991" s="0" t="s">
        <v>258</v>
      </c>
      <c r="B991" s="52" t="n">
        <v>44222</v>
      </c>
      <c r="C991" s="54" t="s">
        <v>592</v>
      </c>
      <c r="D991" s="0" t="n">
        <v>0.51867241257267</v>
      </c>
      <c r="E991" s="0" t="n">
        <v>0.0544269010119218</v>
      </c>
      <c r="F991" s="0" t="n">
        <v>0</v>
      </c>
      <c r="G991" s="0" t="n">
        <v>2021</v>
      </c>
    </row>
    <row r="992" customFormat="false" ht="15" hidden="false" customHeight="false" outlineLevel="0" collapsed="false">
      <c r="A992" s="0" t="s">
        <v>258</v>
      </c>
      <c r="B992" s="52" t="n">
        <v>44223</v>
      </c>
      <c r="C992" s="54" t="s">
        <v>590</v>
      </c>
      <c r="D992" s="0" t="n">
        <v>0.385919947020115</v>
      </c>
      <c r="E992" s="0" t="n">
        <v>0.115122185597125</v>
      </c>
      <c r="F992" s="0" t="n">
        <v>0</v>
      </c>
      <c r="G992" s="0" t="n">
        <v>2021</v>
      </c>
    </row>
    <row r="993" customFormat="false" ht="15" hidden="false" customHeight="false" outlineLevel="0" collapsed="false">
      <c r="A993" s="0" t="s">
        <v>258</v>
      </c>
      <c r="B993" s="52" t="n">
        <v>44223</v>
      </c>
      <c r="C993" s="54" t="s">
        <v>591</v>
      </c>
      <c r="D993" s="0" t="n">
        <v>0.0039594433643196</v>
      </c>
      <c r="E993" s="0" t="n">
        <v>0.0388617185937435</v>
      </c>
      <c r="F993" s="0" t="n">
        <v>0</v>
      </c>
      <c r="G993" s="0" t="n">
        <v>2021</v>
      </c>
    </row>
    <row r="994" customFormat="false" ht="15" hidden="false" customHeight="false" outlineLevel="0" collapsed="false">
      <c r="A994" s="0" t="s">
        <v>258</v>
      </c>
      <c r="B994" s="52" t="n">
        <v>44223</v>
      </c>
      <c r="C994" s="54" t="s">
        <v>592</v>
      </c>
      <c r="D994" s="0" t="n">
        <v>0.0040305944591142</v>
      </c>
      <c r="E994" s="0" t="n">
        <v>0.0777787924205949</v>
      </c>
      <c r="F994" s="0" t="n">
        <v>0</v>
      </c>
      <c r="G994" s="0" t="n">
        <v>2021</v>
      </c>
    </row>
    <row r="995" customFormat="false" ht="15" hidden="false" customHeight="false" outlineLevel="0" collapsed="false">
      <c r="A995" s="0" t="s">
        <v>258</v>
      </c>
      <c r="B995" s="52" t="n">
        <v>44224</v>
      </c>
      <c r="C995" s="54" t="s">
        <v>590</v>
      </c>
      <c r="D995" s="0" t="n">
        <v>0</v>
      </c>
      <c r="E995" s="0" t="n">
        <v>0.179663306594456</v>
      </c>
      <c r="F995" s="0" t="n">
        <v>0</v>
      </c>
      <c r="G995" s="0" t="n">
        <v>2021</v>
      </c>
    </row>
    <row r="996" customFormat="false" ht="15" hidden="false" customHeight="false" outlineLevel="0" collapsed="false">
      <c r="A996" s="0" t="s">
        <v>258</v>
      </c>
      <c r="B996" s="52" t="n">
        <v>44224</v>
      </c>
      <c r="C996" s="54" t="s">
        <v>591</v>
      </c>
      <c r="D996" s="0" t="n">
        <v>0.185456964003839</v>
      </c>
      <c r="E996" s="0" t="n">
        <v>0.169529648028023</v>
      </c>
      <c r="F996" s="0" t="n">
        <v>0</v>
      </c>
      <c r="G996" s="0" t="n">
        <v>2021</v>
      </c>
    </row>
    <row r="997" customFormat="false" ht="15" hidden="false" customHeight="false" outlineLevel="0" collapsed="false">
      <c r="A997" s="0" t="s">
        <v>258</v>
      </c>
      <c r="B997" s="52" t="n">
        <v>44224</v>
      </c>
      <c r="C997" s="54" t="s">
        <v>592</v>
      </c>
      <c r="D997" s="0" t="n">
        <v>0.0832016415290074</v>
      </c>
      <c r="E997" s="0" t="n">
        <v>0.0475724750520203</v>
      </c>
      <c r="F997" s="0" t="n">
        <v>0</v>
      </c>
      <c r="G997" s="0" t="n">
        <v>2021</v>
      </c>
    </row>
    <row r="998" customFormat="false" ht="15" hidden="false" customHeight="false" outlineLevel="0" collapsed="false">
      <c r="A998" s="0" t="s">
        <v>258</v>
      </c>
      <c r="B998" s="52" t="n">
        <v>44225</v>
      </c>
      <c r="C998" s="54" t="s">
        <v>590</v>
      </c>
      <c r="D998" s="0" t="n">
        <v>0.005058249949437</v>
      </c>
      <c r="E998" s="0" t="n">
        <v>0.234712406656106</v>
      </c>
      <c r="F998" s="0" t="n">
        <v>0</v>
      </c>
      <c r="G998" s="0" t="n">
        <v>2021</v>
      </c>
    </row>
    <row r="999" customFormat="false" ht="15" hidden="false" customHeight="false" outlineLevel="0" collapsed="false">
      <c r="A999" s="0" t="s">
        <v>258</v>
      </c>
      <c r="B999" s="52" t="n">
        <v>44225</v>
      </c>
      <c r="C999" s="54" t="s">
        <v>591</v>
      </c>
      <c r="D999" s="0" t="n">
        <v>0</v>
      </c>
      <c r="E999" s="0" t="n">
        <v>0.0222539841859079</v>
      </c>
      <c r="F999" s="0" t="n">
        <v>0</v>
      </c>
      <c r="G999" s="0" t="n">
        <v>2021</v>
      </c>
    </row>
    <row r="1000" customFormat="false" ht="15" hidden="false" customHeight="false" outlineLevel="0" collapsed="false">
      <c r="A1000" s="0" t="s">
        <v>258</v>
      </c>
      <c r="B1000" s="52" t="n">
        <v>44225</v>
      </c>
      <c r="C1000" s="54" t="s">
        <v>592</v>
      </c>
      <c r="D1000" s="0" t="n">
        <v>0.0061654074315452</v>
      </c>
      <c r="E1000" s="0" t="n">
        <v>0.122829241029637</v>
      </c>
      <c r="F1000" s="0" t="n">
        <v>0</v>
      </c>
      <c r="G1000" s="0" t="n">
        <v>2021</v>
      </c>
    </row>
    <row r="1001" customFormat="false" ht="15" hidden="false" customHeight="false" outlineLevel="0" collapsed="false">
      <c r="A1001" s="0" t="s">
        <v>258</v>
      </c>
      <c r="B1001" s="52" t="n">
        <v>44226</v>
      </c>
      <c r="C1001" s="54" t="s">
        <v>590</v>
      </c>
      <c r="D1001" s="0" t="n">
        <v>0.357092084393349</v>
      </c>
      <c r="E1001" s="0" t="n">
        <v>0.206872305889322</v>
      </c>
      <c r="F1001" s="0" t="n">
        <v>1</v>
      </c>
      <c r="G1001" s="0" t="n">
        <v>2021</v>
      </c>
    </row>
    <row r="1002" customFormat="false" ht="15" hidden="false" customHeight="false" outlineLevel="0" collapsed="false">
      <c r="A1002" s="0" t="s">
        <v>258</v>
      </c>
      <c r="B1002" s="52" t="n">
        <v>44227</v>
      </c>
      <c r="C1002" s="54" t="s">
        <v>590</v>
      </c>
      <c r="D1002" s="0" t="n">
        <v>0.999325559953855</v>
      </c>
      <c r="E1002" s="0" t="n">
        <v>0</v>
      </c>
      <c r="F1002" s="0" t="n">
        <v>1</v>
      </c>
      <c r="G1002" s="0" t="n">
        <v>2021</v>
      </c>
    </row>
    <row r="1003" customFormat="false" ht="15" hidden="false" customHeight="false" outlineLevel="0" collapsed="false">
      <c r="A1003" s="0" t="s">
        <v>258</v>
      </c>
      <c r="B1003" s="52" t="n">
        <v>44227</v>
      </c>
      <c r="C1003" s="54" t="s">
        <v>591</v>
      </c>
      <c r="D1003" s="0" t="n">
        <v>0.0508287774599376</v>
      </c>
      <c r="E1003" s="0" t="n">
        <v>0.0222962149783283</v>
      </c>
      <c r="F1003" s="0" t="n">
        <v>1</v>
      </c>
      <c r="G1003" s="0" t="n">
        <v>2021</v>
      </c>
    </row>
    <row r="1004" customFormat="false" ht="15" hidden="false" customHeight="false" outlineLevel="0" collapsed="false">
      <c r="A1004" s="0" t="s">
        <v>258</v>
      </c>
      <c r="B1004" s="52" t="n">
        <v>44227</v>
      </c>
      <c r="C1004" s="54" t="s">
        <v>592</v>
      </c>
      <c r="D1004" s="0" t="n">
        <v>0.0276388798946169</v>
      </c>
      <c r="E1004" s="0" t="n">
        <v>0.0819530767517638</v>
      </c>
      <c r="F1004" s="0" t="n">
        <v>1</v>
      </c>
      <c r="G1004" s="0" t="n">
        <v>2021</v>
      </c>
    </row>
    <row r="1005" customFormat="false" ht="15" hidden="false" customHeight="false" outlineLevel="0" collapsed="false">
      <c r="A1005" s="0" t="s">
        <v>258</v>
      </c>
      <c r="B1005" s="52" t="n">
        <v>44228</v>
      </c>
      <c r="C1005" s="54" t="s">
        <v>590</v>
      </c>
      <c r="D1005" s="0" t="n">
        <v>0.002329000034515</v>
      </c>
      <c r="E1005" s="0" t="n">
        <v>0.151213621707373</v>
      </c>
      <c r="F1005" s="0" t="n">
        <v>0</v>
      </c>
      <c r="G1005" s="0" t="n">
        <v>2021</v>
      </c>
    </row>
    <row r="1006" customFormat="false" ht="15" hidden="false" customHeight="false" outlineLevel="0" collapsed="false">
      <c r="A1006" s="0" t="s">
        <v>258</v>
      </c>
      <c r="B1006" s="52" t="n">
        <v>44228</v>
      </c>
      <c r="C1006" s="54" t="s">
        <v>591</v>
      </c>
      <c r="D1006" s="0" t="n">
        <v>0</v>
      </c>
      <c r="E1006" s="0" t="n">
        <v>0.0494606329202851</v>
      </c>
      <c r="F1006" s="0" t="n">
        <v>0</v>
      </c>
      <c r="G1006" s="0" t="n">
        <v>2021</v>
      </c>
    </row>
    <row r="1007" customFormat="false" ht="15" hidden="false" customHeight="false" outlineLevel="0" collapsed="false">
      <c r="A1007" s="0" t="s">
        <v>258</v>
      </c>
      <c r="B1007" s="52" t="n">
        <v>44228</v>
      </c>
      <c r="C1007" s="54" t="s">
        <v>592</v>
      </c>
      <c r="D1007" s="0" t="n">
        <v>0.0481360948784387</v>
      </c>
      <c r="E1007" s="0" t="n">
        <v>0.227657966107405</v>
      </c>
      <c r="F1007" s="0" t="n">
        <v>0</v>
      </c>
      <c r="G1007" s="0" t="n">
        <v>2021</v>
      </c>
    </row>
    <row r="1008" customFormat="false" ht="15" hidden="false" customHeight="false" outlineLevel="0" collapsed="false">
      <c r="A1008" s="0" t="s">
        <v>258</v>
      </c>
      <c r="B1008" s="52" t="n">
        <v>44229</v>
      </c>
      <c r="C1008" s="54" t="s">
        <v>590</v>
      </c>
      <c r="D1008" s="0" t="n">
        <v>0.0021993858708357</v>
      </c>
      <c r="E1008" s="0" t="n">
        <v>0.192455010717309</v>
      </c>
      <c r="F1008" s="0" t="n">
        <v>0</v>
      </c>
      <c r="G1008" s="0" t="n">
        <v>2021</v>
      </c>
    </row>
    <row r="1009" customFormat="false" ht="15" hidden="false" customHeight="false" outlineLevel="0" collapsed="false">
      <c r="A1009" s="0" t="s">
        <v>258</v>
      </c>
      <c r="B1009" s="52" t="n">
        <v>44229</v>
      </c>
      <c r="C1009" s="54" t="s">
        <v>591</v>
      </c>
      <c r="D1009" s="0" t="n">
        <v>0.0395755670981819</v>
      </c>
      <c r="E1009" s="0" t="n">
        <v>0.0314386127323256</v>
      </c>
      <c r="F1009" s="0" t="n">
        <v>0</v>
      </c>
      <c r="G1009" s="0" t="n">
        <v>2021</v>
      </c>
    </row>
    <row r="1010" customFormat="false" ht="15" hidden="false" customHeight="false" outlineLevel="0" collapsed="false">
      <c r="A1010" s="0" t="s">
        <v>258</v>
      </c>
      <c r="B1010" s="52" t="n">
        <v>44229</v>
      </c>
      <c r="C1010" s="54" t="s">
        <v>592</v>
      </c>
      <c r="D1010" s="0" t="n">
        <v>0.0023224755275424</v>
      </c>
      <c r="E1010" s="0" t="n">
        <v>0.0678185592122954</v>
      </c>
      <c r="F1010" s="0" t="n">
        <v>0</v>
      </c>
      <c r="G1010" s="0" t="n">
        <v>2021</v>
      </c>
    </row>
    <row r="1011" customFormat="false" ht="15" hidden="false" customHeight="false" outlineLevel="0" collapsed="false">
      <c r="A1011" s="0" t="s">
        <v>258</v>
      </c>
      <c r="B1011" s="52" t="n">
        <v>44230</v>
      </c>
      <c r="C1011" s="54" t="s">
        <v>590</v>
      </c>
      <c r="D1011" s="0" t="n">
        <v>0.170044375729538</v>
      </c>
      <c r="E1011" s="0" t="n">
        <v>0.219769503887298</v>
      </c>
      <c r="F1011" s="0" t="n">
        <v>0</v>
      </c>
      <c r="G1011" s="0" t="n">
        <v>2021</v>
      </c>
    </row>
    <row r="1012" customFormat="false" ht="15" hidden="false" customHeight="false" outlineLevel="0" collapsed="false">
      <c r="A1012" s="0" t="s">
        <v>258</v>
      </c>
      <c r="B1012" s="52" t="n">
        <v>44230</v>
      </c>
      <c r="C1012" s="54" t="s">
        <v>591</v>
      </c>
      <c r="D1012" s="0" t="n">
        <v>0.0114992191723919</v>
      </c>
      <c r="E1012" s="0" t="n">
        <v>0.0300076636619457</v>
      </c>
      <c r="F1012" s="0" t="n">
        <v>0</v>
      </c>
      <c r="G1012" s="0" t="n">
        <v>2021</v>
      </c>
    </row>
    <row r="1013" customFormat="false" ht="15" hidden="false" customHeight="false" outlineLevel="0" collapsed="false">
      <c r="A1013" s="0" t="s">
        <v>258</v>
      </c>
      <c r="B1013" s="52" t="n">
        <v>44230</v>
      </c>
      <c r="C1013" s="54" t="s">
        <v>592</v>
      </c>
      <c r="D1013" s="0" t="n">
        <v>0.0013739714621184</v>
      </c>
      <c r="E1013" s="0" t="n">
        <v>0.0641384315610352</v>
      </c>
      <c r="F1013" s="0" t="n">
        <v>0</v>
      </c>
      <c r="G1013" s="0" t="n">
        <v>2021</v>
      </c>
    </row>
    <row r="1014" customFormat="false" ht="15" hidden="false" customHeight="false" outlineLevel="0" collapsed="false">
      <c r="A1014" s="0" t="s">
        <v>258</v>
      </c>
      <c r="B1014" s="52" t="n">
        <v>44231</v>
      </c>
      <c r="C1014" s="54" t="s">
        <v>590</v>
      </c>
      <c r="D1014" s="0" t="n">
        <v>0.620321902638566</v>
      </c>
      <c r="E1014" s="0" t="n">
        <v>0.101415644393433</v>
      </c>
      <c r="F1014" s="0" t="n">
        <v>0</v>
      </c>
      <c r="G1014" s="0" t="n">
        <v>2021</v>
      </c>
    </row>
    <row r="1015" customFormat="false" ht="15" hidden="false" customHeight="false" outlineLevel="0" collapsed="false">
      <c r="A1015" s="0" t="s">
        <v>258</v>
      </c>
      <c r="B1015" s="52" t="n">
        <v>44231</v>
      </c>
      <c r="C1015" s="54" t="s">
        <v>591</v>
      </c>
      <c r="D1015" s="0" t="n">
        <v>0.044419955917483</v>
      </c>
      <c r="E1015" s="0" t="n">
        <v>0.0227398996839955</v>
      </c>
      <c r="F1015" s="0" t="n">
        <v>0</v>
      </c>
      <c r="G1015" s="0" t="n">
        <v>2021</v>
      </c>
    </row>
    <row r="1016" customFormat="false" ht="15" hidden="false" customHeight="false" outlineLevel="0" collapsed="false">
      <c r="A1016" s="0" t="s">
        <v>258</v>
      </c>
      <c r="B1016" s="52" t="n">
        <v>44231</v>
      </c>
      <c r="C1016" s="54" t="s">
        <v>592</v>
      </c>
      <c r="D1016" s="0" t="n">
        <v>0.0657059773546414</v>
      </c>
      <c r="E1016" s="0" t="n">
        <v>0.131426651233992</v>
      </c>
      <c r="F1016" s="0" t="n">
        <v>0</v>
      </c>
      <c r="G1016" s="0" t="n">
        <v>2021</v>
      </c>
    </row>
    <row r="1017" customFormat="false" ht="15" hidden="false" customHeight="false" outlineLevel="0" collapsed="false">
      <c r="A1017" s="0" t="s">
        <v>258</v>
      </c>
      <c r="B1017" s="52" t="n">
        <v>44232</v>
      </c>
      <c r="C1017" s="54" t="s">
        <v>590</v>
      </c>
      <c r="D1017" s="0" t="n">
        <v>0.0029358618767792</v>
      </c>
      <c r="E1017" s="0" t="n">
        <v>0.265031420660576</v>
      </c>
      <c r="F1017" s="0" t="n">
        <v>0</v>
      </c>
      <c r="G1017" s="0" t="n">
        <v>2021</v>
      </c>
    </row>
    <row r="1018" customFormat="false" ht="15" hidden="false" customHeight="false" outlineLevel="0" collapsed="false">
      <c r="A1018" s="0" t="s">
        <v>258</v>
      </c>
      <c r="B1018" s="52" t="n">
        <v>44232</v>
      </c>
      <c r="C1018" s="54" t="s">
        <v>591</v>
      </c>
      <c r="D1018" s="0" t="n">
        <v>0.0013400281517789</v>
      </c>
      <c r="E1018" s="0" t="n">
        <v>0.0381805740705077</v>
      </c>
      <c r="F1018" s="0" t="n">
        <v>0</v>
      </c>
      <c r="G1018" s="0" t="n">
        <v>2021</v>
      </c>
    </row>
    <row r="1019" customFormat="false" ht="15" hidden="false" customHeight="false" outlineLevel="0" collapsed="false">
      <c r="A1019" s="0" t="s">
        <v>258</v>
      </c>
      <c r="B1019" s="52" t="n">
        <v>44232</v>
      </c>
      <c r="C1019" s="54" t="s">
        <v>592</v>
      </c>
      <c r="D1019" s="0" t="n">
        <v>0.224365980944492</v>
      </c>
      <c r="E1019" s="0" t="n">
        <v>0.0298240654781613</v>
      </c>
      <c r="F1019" s="0" t="n">
        <v>0</v>
      </c>
      <c r="G1019" s="0" t="n">
        <v>2021</v>
      </c>
    </row>
    <row r="1020" customFormat="false" ht="15" hidden="false" customHeight="false" outlineLevel="0" collapsed="false">
      <c r="A1020" s="0" t="s">
        <v>258</v>
      </c>
      <c r="B1020" s="52" t="n">
        <v>44233</v>
      </c>
      <c r="C1020" s="54" t="s">
        <v>590</v>
      </c>
      <c r="D1020" s="0" t="n">
        <v>0.0819483250344775</v>
      </c>
      <c r="E1020" s="0" t="n">
        <v>0.301723340803332</v>
      </c>
      <c r="F1020" s="0" t="n">
        <v>1</v>
      </c>
      <c r="G1020" s="0" t="n">
        <v>2021</v>
      </c>
    </row>
    <row r="1021" customFormat="false" ht="15" hidden="false" customHeight="false" outlineLevel="0" collapsed="false">
      <c r="A1021" s="0" t="s">
        <v>258</v>
      </c>
      <c r="B1021" s="52" t="n">
        <v>44234</v>
      </c>
      <c r="C1021" s="54" t="s">
        <v>592</v>
      </c>
      <c r="D1021" s="0" t="n">
        <v>0.0197293585521955</v>
      </c>
      <c r="E1021" s="0" t="n">
        <v>0.166372305206914</v>
      </c>
      <c r="F1021" s="0" t="n">
        <v>1</v>
      </c>
      <c r="G1021" s="0" t="n">
        <v>2021</v>
      </c>
    </row>
    <row r="1022" customFormat="false" ht="15" hidden="false" customHeight="false" outlineLevel="0" collapsed="false">
      <c r="A1022" s="0" t="s">
        <v>258</v>
      </c>
      <c r="B1022" s="52" t="n">
        <v>44235</v>
      </c>
      <c r="C1022" s="54" t="s">
        <v>590</v>
      </c>
      <c r="D1022" s="0" t="n">
        <v>0.206122584955817</v>
      </c>
      <c r="E1022" s="0" t="n">
        <v>0.184257713476923</v>
      </c>
      <c r="F1022" s="0" t="n">
        <v>0</v>
      </c>
      <c r="G1022" s="0" t="n">
        <v>2021</v>
      </c>
    </row>
    <row r="1023" customFormat="false" ht="15" hidden="false" customHeight="false" outlineLevel="0" collapsed="false">
      <c r="A1023" s="0" t="s">
        <v>258</v>
      </c>
      <c r="B1023" s="52" t="n">
        <v>44235</v>
      </c>
      <c r="C1023" s="54" t="s">
        <v>591</v>
      </c>
      <c r="D1023" s="0" t="n">
        <v>0.561814172450927</v>
      </c>
      <c r="E1023" s="0" t="n">
        <v>0.11925432858677</v>
      </c>
      <c r="F1023" s="0" t="n">
        <v>0</v>
      </c>
      <c r="G1023" s="0" t="n">
        <v>2021</v>
      </c>
    </row>
    <row r="1024" customFormat="false" ht="15" hidden="false" customHeight="false" outlineLevel="0" collapsed="false">
      <c r="A1024" s="0" t="s">
        <v>258</v>
      </c>
      <c r="B1024" s="52" t="n">
        <v>44235</v>
      </c>
      <c r="C1024" s="54" t="s">
        <v>592</v>
      </c>
      <c r="D1024" s="0" t="n">
        <v>0.103168860437433</v>
      </c>
      <c r="E1024" s="0" t="n">
        <v>0.0598037098882229</v>
      </c>
      <c r="F1024" s="0" t="n">
        <v>0</v>
      </c>
      <c r="G1024" s="0" t="n">
        <v>2021</v>
      </c>
    </row>
    <row r="1025" customFormat="false" ht="15" hidden="false" customHeight="false" outlineLevel="0" collapsed="false">
      <c r="A1025" s="0" t="s">
        <v>258</v>
      </c>
      <c r="B1025" s="52" t="n">
        <v>44236</v>
      </c>
      <c r="C1025" s="54" t="s">
        <v>590</v>
      </c>
      <c r="D1025" s="0" t="n">
        <v>0.0085155813690138</v>
      </c>
      <c r="E1025" s="0" t="n">
        <v>0.230365772006808</v>
      </c>
      <c r="F1025" s="0" t="n">
        <v>0</v>
      </c>
      <c r="G1025" s="0" t="n">
        <v>2021</v>
      </c>
    </row>
    <row r="1026" customFormat="false" ht="15" hidden="false" customHeight="false" outlineLevel="0" collapsed="false">
      <c r="A1026" s="0" t="s">
        <v>258</v>
      </c>
      <c r="B1026" s="52" t="n">
        <v>44236</v>
      </c>
      <c r="C1026" s="54" t="s">
        <v>591</v>
      </c>
      <c r="D1026" s="0" t="n">
        <v>0.0007424849682021</v>
      </c>
      <c r="E1026" s="0" t="n">
        <v>0.117016678777662</v>
      </c>
      <c r="F1026" s="0" t="n">
        <v>0</v>
      </c>
      <c r="G1026" s="0" t="n">
        <v>2021</v>
      </c>
    </row>
    <row r="1027" customFormat="false" ht="15" hidden="false" customHeight="false" outlineLevel="0" collapsed="false">
      <c r="A1027" s="0" t="s">
        <v>258</v>
      </c>
      <c r="B1027" s="52" t="n">
        <v>44236</v>
      </c>
      <c r="C1027" s="54" t="s">
        <v>592</v>
      </c>
      <c r="D1027" s="0" t="n">
        <v>0.0774367262278572</v>
      </c>
      <c r="E1027" s="0" t="n">
        <v>0.0906000575408247</v>
      </c>
      <c r="F1027" s="0" t="n">
        <v>0</v>
      </c>
      <c r="G1027" s="0" t="n">
        <v>2021</v>
      </c>
    </row>
    <row r="1028" customFormat="false" ht="15" hidden="false" customHeight="false" outlineLevel="0" collapsed="false">
      <c r="A1028" s="0" t="s">
        <v>258</v>
      </c>
      <c r="B1028" s="52" t="n">
        <v>44237</v>
      </c>
      <c r="C1028" s="54" t="s">
        <v>590</v>
      </c>
      <c r="D1028" s="0" t="n">
        <v>0.0177256971233681</v>
      </c>
      <c r="E1028" s="0" t="n">
        <v>0.38796416821504</v>
      </c>
      <c r="F1028" s="0" t="n">
        <v>0</v>
      </c>
      <c r="G1028" s="0" t="n">
        <v>2021</v>
      </c>
    </row>
    <row r="1029" customFormat="false" ht="15" hidden="false" customHeight="false" outlineLevel="0" collapsed="false">
      <c r="A1029" s="0" t="s">
        <v>258</v>
      </c>
      <c r="B1029" s="52" t="n">
        <v>44237</v>
      </c>
      <c r="C1029" s="54" t="s">
        <v>591</v>
      </c>
      <c r="D1029" s="0" t="n">
        <v>0.0132972304870989</v>
      </c>
      <c r="E1029" s="0" t="n">
        <v>0.116088951148023</v>
      </c>
      <c r="F1029" s="0" t="n">
        <v>0</v>
      </c>
      <c r="G1029" s="0" t="n">
        <v>2021</v>
      </c>
    </row>
    <row r="1030" customFormat="false" ht="15" hidden="false" customHeight="false" outlineLevel="0" collapsed="false">
      <c r="A1030" s="0" t="s">
        <v>258</v>
      </c>
      <c r="B1030" s="52" t="n">
        <v>44237</v>
      </c>
      <c r="C1030" s="54" t="s">
        <v>592</v>
      </c>
      <c r="D1030" s="0" t="n">
        <v>0.100488452601129</v>
      </c>
      <c r="E1030" s="0" t="n">
        <v>0.0506354626072935</v>
      </c>
      <c r="F1030" s="0" t="n">
        <v>0</v>
      </c>
      <c r="G1030" s="0" t="n">
        <v>2021</v>
      </c>
    </row>
    <row r="1031" customFormat="false" ht="15" hidden="false" customHeight="false" outlineLevel="0" collapsed="false">
      <c r="A1031" s="0" t="s">
        <v>258</v>
      </c>
      <c r="B1031" s="52" t="n">
        <v>44238</v>
      </c>
      <c r="C1031" s="54" t="s">
        <v>590</v>
      </c>
      <c r="D1031" s="0" t="n">
        <v>0.0007812804643674</v>
      </c>
      <c r="E1031" s="0" t="n">
        <v>0.492789171257792</v>
      </c>
      <c r="F1031" s="0" t="n">
        <v>0</v>
      </c>
      <c r="G1031" s="0" t="n">
        <v>2021</v>
      </c>
    </row>
    <row r="1032" customFormat="false" ht="15" hidden="false" customHeight="false" outlineLevel="0" collapsed="false">
      <c r="A1032" s="0" t="s">
        <v>258</v>
      </c>
      <c r="B1032" s="52" t="n">
        <v>44238</v>
      </c>
      <c r="C1032" s="54" t="s">
        <v>591</v>
      </c>
      <c r="D1032" s="0" t="n">
        <v>0.119400637129815</v>
      </c>
      <c r="E1032" s="0" t="n">
        <v>0.0553684482830987</v>
      </c>
      <c r="F1032" s="0" t="n">
        <v>0</v>
      </c>
      <c r="G1032" s="0" t="n">
        <v>2021</v>
      </c>
    </row>
    <row r="1033" customFormat="false" ht="15" hidden="false" customHeight="false" outlineLevel="0" collapsed="false">
      <c r="A1033" s="0" t="s">
        <v>258</v>
      </c>
      <c r="B1033" s="52" t="n">
        <v>44238</v>
      </c>
      <c r="C1033" s="54" t="s">
        <v>592</v>
      </c>
      <c r="D1033" s="0" t="n">
        <v>0.0028501486014185</v>
      </c>
      <c r="E1033" s="0" t="n">
        <v>0.0856569181177027</v>
      </c>
      <c r="F1033" s="0" t="n">
        <v>0</v>
      </c>
      <c r="G1033" s="0" t="n">
        <v>2021</v>
      </c>
    </row>
    <row r="1034" customFormat="false" ht="15" hidden="false" customHeight="false" outlineLevel="0" collapsed="false">
      <c r="A1034" s="0" t="s">
        <v>258</v>
      </c>
      <c r="B1034" s="52" t="n">
        <v>44239</v>
      </c>
      <c r="C1034" s="54" t="s">
        <v>590</v>
      </c>
      <c r="D1034" s="0" t="n">
        <v>0.0110101153154545</v>
      </c>
      <c r="E1034" s="0" t="n">
        <v>0.374587970056034</v>
      </c>
      <c r="F1034" s="0" t="n">
        <v>0</v>
      </c>
      <c r="G1034" s="0" t="n">
        <v>2021</v>
      </c>
    </row>
    <row r="1035" customFormat="false" ht="15" hidden="false" customHeight="false" outlineLevel="0" collapsed="false">
      <c r="A1035" s="0" t="s">
        <v>258</v>
      </c>
      <c r="B1035" s="52" t="n">
        <v>44239</v>
      </c>
      <c r="C1035" s="54" t="s">
        <v>591</v>
      </c>
      <c r="D1035" s="0" t="n">
        <v>0.0919441162690653</v>
      </c>
      <c r="E1035" s="0" t="n">
        <v>0.0506475646636367</v>
      </c>
      <c r="F1035" s="0" t="n">
        <v>0</v>
      </c>
      <c r="G1035" s="0" t="n">
        <v>2021</v>
      </c>
    </row>
    <row r="1036" customFormat="false" ht="15" hidden="false" customHeight="false" outlineLevel="0" collapsed="false">
      <c r="A1036" s="0" t="s">
        <v>258</v>
      </c>
      <c r="B1036" s="52" t="n">
        <v>44239</v>
      </c>
      <c r="C1036" s="54" t="s">
        <v>592</v>
      </c>
      <c r="D1036" s="0" t="n">
        <v>0</v>
      </c>
      <c r="E1036" s="0" t="n">
        <v>0.158924310706137</v>
      </c>
      <c r="F1036" s="0" t="n">
        <v>0</v>
      </c>
      <c r="G1036" s="0" t="n">
        <v>2021</v>
      </c>
    </row>
    <row r="1037" customFormat="false" ht="15" hidden="false" customHeight="false" outlineLevel="0" collapsed="false">
      <c r="A1037" s="0" t="s">
        <v>258</v>
      </c>
      <c r="B1037" s="52" t="n">
        <v>44240</v>
      </c>
      <c r="C1037" s="54" t="s">
        <v>590</v>
      </c>
      <c r="D1037" s="0" t="n">
        <v>0.384137873363917</v>
      </c>
      <c r="E1037" s="0" t="n">
        <v>0.249647351209848</v>
      </c>
      <c r="F1037" s="0" t="n">
        <v>1</v>
      </c>
      <c r="G1037" s="0" t="n">
        <v>2021</v>
      </c>
    </row>
    <row r="1038" customFormat="false" ht="15" hidden="false" customHeight="false" outlineLevel="0" collapsed="false">
      <c r="A1038" s="0" t="s">
        <v>258</v>
      </c>
      <c r="B1038" s="52" t="n">
        <v>44240</v>
      </c>
      <c r="C1038" s="54" t="s">
        <v>591</v>
      </c>
      <c r="D1038" s="0" t="n">
        <v>0.213438909312397</v>
      </c>
      <c r="E1038" s="0" t="n">
        <v>0.221718821787738</v>
      </c>
      <c r="F1038" s="0" t="n">
        <v>1</v>
      </c>
      <c r="G1038" s="0" t="n">
        <v>2021</v>
      </c>
    </row>
    <row r="1039" customFormat="false" ht="15" hidden="false" customHeight="false" outlineLevel="0" collapsed="false">
      <c r="A1039" s="0" t="s">
        <v>258</v>
      </c>
      <c r="B1039" s="52" t="n">
        <v>44241</v>
      </c>
      <c r="C1039" s="54" t="s">
        <v>590</v>
      </c>
      <c r="D1039" s="0" t="n">
        <v>0.494351746245809</v>
      </c>
      <c r="E1039" s="0" t="n">
        <v>0</v>
      </c>
      <c r="F1039" s="0" t="n">
        <v>1</v>
      </c>
      <c r="G1039" s="0" t="n">
        <v>2021</v>
      </c>
    </row>
    <row r="1040" customFormat="false" ht="15" hidden="false" customHeight="false" outlineLevel="0" collapsed="false">
      <c r="A1040" s="0" t="s">
        <v>258</v>
      </c>
      <c r="B1040" s="52" t="n">
        <v>44241</v>
      </c>
      <c r="C1040" s="54" t="s">
        <v>591</v>
      </c>
      <c r="D1040" s="0" t="n">
        <v>0.0023861189474364</v>
      </c>
      <c r="E1040" s="0" t="n">
        <v>0.0215269140245887</v>
      </c>
      <c r="F1040" s="0" t="n">
        <v>1</v>
      </c>
      <c r="G1040" s="0" t="n">
        <v>2021</v>
      </c>
    </row>
    <row r="1041" customFormat="false" ht="15" hidden="false" customHeight="false" outlineLevel="0" collapsed="false">
      <c r="A1041" s="0" t="s">
        <v>258</v>
      </c>
      <c r="B1041" s="52" t="n">
        <v>44241</v>
      </c>
      <c r="C1041" s="54" t="s">
        <v>592</v>
      </c>
      <c r="D1041" s="0" t="n">
        <v>0.0100649427481853</v>
      </c>
      <c r="E1041" s="0" t="n">
        <v>0.150243128746688</v>
      </c>
      <c r="F1041" s="0" t="n">
        <v>1</v>
      </c>
      <c r="G1041" s="0" t="n">
        <v>2021</v>
      </c>
    </row>
    <row r="1042" customFormat="false" ht="15" hidden="false" customHeight="false" outlineLevel="0" collapsed="false">
      <c r="A1042" s="0" t="s">
        <v>258</v>
      </c>
      <c r="B1042" s="52" t="n">
        <v>44242</v>
      </c>
      <c r="C1042" s="54" t="s">
        <v>590</v>
      </c>
      <c r="D1042" s="0" t="n">
        <v>0</v>
      </c>
      <c r="E1042" s="0" t="n">
        <v>0.157081679388136</v>
      </c>
      <c r="F1042" s="0" t="n">
        <v>0</v>
      </c>
      <c r="G1042" s="0" t="n">
        <v>2021</v>
      </c>
    </row>
    <row r="1043" customFormat="false" ht="15" hidden="false" customHeight="false" outlineLevel="0" collapsed="false">
      <c r="A1043" s="0" t="s">
        <v>258</v>
      </c>
      <c r="B1043" s="52" t="n">
        <v>44242</v>
      </c>
      <c r="C1043" s="54" t="s">
        <v>591</v>
      </c>
      <c r="D1043" s="0" t="n">
        <v>0</v>
      </c>
      <c r="E1043" s="0" t="n">
        <v>0.054569062531301</v>
      </c>
      <c r="F1043" s="0" t="n">
        <v>0</v>
      </c>
      <c r="G1043" s="0" t="n">
        <v>2021</v>
      </c>
    </row>
    <row r="1044" customFormat="false" ht="15" hidden="false" customHeight="false" outlineLevel="0" collapsed="false">
      <c r="A1044" s="0" t="s">
        <v>258</v>
      </c>
      <c r="B1044" s="52" t="n">
        <v>44242</v>
      </c>
      <c r="C1044" s="54" t="s">
        <v>592</v>
      </c>
      <c r="D1044" s="0" t="n">
        <v>0.0630935806240981</v>
      </c>
      <c r="E1044" s="0" t="n">
        <v>0.24742417983076</v>
      </c>
      <c r="F1044" s="0" t="n">
        <v>0</v>
      </c>
      <c r="G1044" s="0" t="n">
        <v>2021</v>
      </c>
    </row>
    <row r="1045" customFormat="false" ht="15" hidden="false" customHeight="false" outlineLevel="0" collapsed="false">
      <c r="A1045" s="0" t="s">
        <v>258</v>
      </c>
      <c r="B1045" s="52" t="n">
        <v>44243</v>
      </c>
      <c r="C1045" s="54" t="s">
        <v>590</v>
      </c>
      <c r="D1045" s="0" t="n">
        <v>0.0209871959802607</v>
      </c>
      <c r="E1045" s="0" t="n">
        <v>0.406527445550088</v>
      </c>
      <c r="F1045" s="0" t="n">
        <v>0</v>
      </c>
      <c r="G1045" s="0" t="n">
        <v>2021</v>
      </c>
    </row>
    <row r="1046" customFormat="false" ht="15" hidden="false" customHeight="false" outlineLevel="0" collapsed="false">
      <c r="A1046" s="0" t="s">
        <v>258</v>
      </c>
      <c r="B1046" s="52" t="n">
        <v>44243</v>
      </c>
      <c r="C1046" s="54" t="s">
        <v>591</v>
      </c>
      <c r="D1046" s="0" t="n">
        <v>0.0477273421274393</v>
      </c>
      <c r="E1046" s="0" t="n">
        <v>0.065834345701318</v>
      </c>
      <c r="F1046" s="0" t="n">
        <v>0</v>
      </c>
      <c r="G1046" s="0" t="n">
        <v>2021</v>
      </c>
    </row>
    <row r="1047" customFormat="false" ht="15" hidden="false" customHeight="false" outlineLevel="0" collapsed="false">
      <c r="A1047" s="0" t="s">
        <v>258</v>
      </c>
      <c r="B1047" s="52" t="n">
        <v>44243</v>
      </c>
      <c r="C1047" s="54" t="s">
        <v>592</v>
      </c>
      <c r="D1047" s="0" t="n">
        <v>0.0053912653653776</v>
      </c>
      <c r="E1047" s="0" t="n">
        <v>0.0636876405366721</v>
      </c>
      <c r="F1047" s="0" t="n">
        <v>0</v>
      </c>
      <c r="G1047" s="0" t="n">
        <v>2021</v>
      </c>
    </row>
    <row r="1048" customFormat="false" ht="15" hidden="false" customHeight="false" outlineLevel="0" collapsed="false">
      <c r="A1048" s="0" t="s">
        <v>258</v>
      </c>
      <c r="B1048" s="52" t="n">
        <v>44244</v>
      </c>
      <c r="C1048" s="54" t="s">
        <v>590</v>
      </c>
      <c r="D1048" s="0" t="n">
        <v>0.328445867387823</v>
      </c>
      <c r="E1048" s="0" t="n">
        <v>0.0672485925513736</v>
      </c>
      <c r="F1048" s="0" t="n">
        <v>0</v>
      </c>
      <c r="G1048" s="0" t="n">
        <v>2021</v>
      </c>
    </row>
    <row r="1049" customFormat="false" ht="15" hidden="false" customHeight="false" outlineLevel="0" collapsed="false">
      <c r="A1049" s="0" t="s">
        <v>258</v>
      </c>
      <c r="B1049" s="52" t="n">
        <v>44244</v>
      </c>
      <c r="C1049" s="54" t="s">
        <v>591</v>
      </c>
      <c r="D1049" s="0" t="n">
        <v>0.0300538286389617</v>
      </c>
      <c r="E1049" s="0" t="n">
        <v>0.0099339598335549</v>
      </c>
      <c r="F1049" s="0" t="n">
        <v>0</v>
      </c>
      <c r="G1049" s="0" t="n">
        <v>2021</v>
      </c>
    </row>
    <row r="1050" customFormat="false" ht="15" hidden="false" customHeight="false" outlineLevel="0" collapsed="false">
      <c r="A1050" s="0" t="s">
        <v>258</v>
      </c>
      <c r="B1050" s="52" t="n">
        <v>44244</v>
      </c>
      <c r="C1050" s="54" t="s">
        <v>592</v>
      </c>
      <c r="D1050" s="0" t="n">
        <v>0.0595678853274874</v>
      </c>
      <c r="E1050" s="0" t="n">
        <v>0.062777513623968</v>
      </c>
      <c r="F1050" s="0" t="n">
        <v>0</v>
      </c>
      <c r="G1050" s="0" t="n">
        <v>2021</v>
      </c>
    </row>
    <row r="1051" customFormat="false" ht="15" hidden="false" customHeight="false" outlineLevel="0" collapsed="false">
      <c r="A1051" s="0" t="s">
        <v>258</v>
      </c>
      <c r="B1051" s="52" t="n">
        <v>44245</v>
      </c>
      <c r="C1051" s="54" t="s">
        <v>590</v>
      </c>
      <c r="D1051" s="0" t="n">
        <v>0.0418276623250353</v>
      </c>
      <c r="E1051" s="0" t="n">
        <v>0.0409814223313731</v>
      </c>
      <c r="F1051" s="0" t="n">
        <v>0</v>
      </c>
      <c r="G1051" s="0" t="n">
        <v>2021</v>
      </c>
    </row>
    <row r="1052" customFormat="false" ht="15" hidden="false" customHeight="false" outlineLevel="0" collapsed="false">
      <c r="A1052" s="0" t="s">
        <v>258</v>
      </c>
      <c r="B1052" s="52" t="n">
        <v>44272</v>
      </c>
      <c r="C1052" s="54" t="s">
        <v>590</v>
      </c>
      <c r="D1052" s="0" t="n">
        <v>1</v>
      </c>
      <c r="E1052" s="0" t="n">
        <v>0</v>
      </c>
      <c r="F1052" s="0" t="n">
        <v>0</v>
      </c>
      <c r="G1052" s="0" t="n">
        <v>2021</v>
      </c>
    </row>
    <row r="1053" customFormat="false" ht="15" hidden="false" customHeight="false" outlineLevel="0" collapsed="false">
      <c r="A1053" s="0" t="s">
        <v>258</v>
      </c>
      <c r="B1053" s="52" t="n">
        <v>44272</v>
      </c>
      <c r="C1053" s="54" t="s">
        <v>591</v>
      </c>
      <c r="D1053" s="0" t="n">
        <v>0.291886715518949</v>
      </c>
      <c r="E1053" s="0" t="n">
        <v>0.0774248867038689</v>
      </c>
      <c r="F1053" s="0" t="n">
        <v>0</v>
      </c>
      <c r="G1053" s="0" t="n">
        <v>2021</v>
      </c>
    </row>
    <row r="1054" customFormat="false" ht="15" hidden="false" customHeight="false" outlineLevel="0" collapsed="false">
      <c r="A1054" s="0" t="s">
        <v>258</v>
      </c>
      <c r="B1054" s="52" t="n">
        <v>44272</v>
      </c>
      <c r="C1054" s="54" t="s">
        <v>592</v>
      </c>
      <c r="D1054" s="0" t="n">
        <v>0.0813968481075342</v>
      </c>
      <c r="E1054" s="0" t="n">
        <v>0.374895169928922</v>
      </c>
      <c r="F1054" s="0" t="n">
        <v>0</v>
      </c>
      <c r="G1054" s="0" t="n">
        <v>2021</v>
      </c>
    </row>
    <row r="1055" customFormat="false" ht="15" hidden="false" customHeight="false" outlineLevel="0" collapsed="false">
      <c r="A1055" s="0" t="s">
        <v>258</v>
      </c>
      <c r="B1055" s="52" t="n">
        <v>44273</v>
      </c>
      <c r="C1055" s="54" t="s">
        <v>590</v>
      </c>
      <c r="D1055" s="0" t="n">
        <v>0.309836277849516</v>
      </c>
      <c r="E1055" s="0" t="n">
        <v>0.0883301119464087</v>
      </c>
      <c r="F1055" s="0" t="n">
        <v>0</v>
      </c>
      <c r="G1055" s="0" t="n">
        <v>2021</v>
      </c>
    </row>
    <row r="1056" customFormat="false" ht="15" hidden="false" customHeight="false" outlineLevel="0" collapsed="false">
      <c r="A1056" s="0" t="s">
        <v>258</v>
      </c>
      <c r="B1056" s="52" t="n">
        <v>44273</v>
      </c>
      <c r="C1056" s="54" t="s">
        <v>591</v>
      </c>
      <c r="D1056" s="0" t="n">
        <v>0.0413169095958779</v>
      </c>
      <c r="E1056" s="0" t="n">
        <v>0.373858295569169</v>
      </c>
      <c r="F1056" s="0" t="n">
        <v>0</v>
      </c>
      <c r="G1056" s="0" t="n">
        <v>2021</v>
      </c>
    </row>
    <row r="1057" customFormat="false" ht="15" hidden="false" customHeight="false" outlineLevel="0" collapsed="false">
      <c r="A1057" s="0" t="s">
        <v>258</v>
      </c>
      <c r="B1057" s="52" t="n">
        <v>44273</v>
      </c>
      <c r="C1057" s="54" t="s">
        <v>592</v>
      </c>
      <c r="D1057" s="0" t="n">
        <v>0.0062077578592369</v>
      </c>
      <c r="E1057" s="0" t="n">
        <v>0.118326575018896</v>
      </c>
      <c r="F1057" s="0" t="n">
        <v>0</v>
      </c>
      <c r="G1057" s="0" t="n">
        <v>2021</v>
      </c>
    </row>
    <row r="1058" customFormat="false" ht="15" hidden="false" customHeight="false" outlineLevel="0" collapsed="false">
      <c r="A1058" s="0" t="s">
        <v>258</v>
      </c>
      <c r="B1058" s="52" t="n">
        <v>44274</v>
      </c>
      <c r="C1058" s="54" t="s">
        <v>590</v>
      </c>
      <c r="D1058" s="0" t="n">
        <v>0.0158882474788528</v>
      </c>
      <c r="E1058" s="0" t="n">
        <v>0.379447560267895</v>
      </c>
      <c r="F1058" s="0" t="n">
        <v>0</v>
      </c>
      <c r="G1058" s="0" t="n">
        <v>2021</v>
      </c>
    </row>
    <row r="1059" customFormat="false" ht="15" hidden="false" customHeight="false" outlineLevel="0" collapsed="false">
      <c r="A1059" s="0" t="s">
        <v>258</v>
      </c>
      <c r="B1059" s="52" t="n">
        <v>44274</v>
      </c>
      <c r="C1059" s="54" t="s">
        <v>591</v>
      </c>
      <c r="D1059" s="0" t="n">
        <v>0.0021841759717435</v>
      </c>
      <c r="E1059" s="0" t="n">
        <v>0.22339790688835</v>
      </c>
      <c r="F1059" s="0" t="n">
        <v>0</v>
      </c>
      <c r="G1059" s="0" t="n">
        <v>2021</v>
      </c>
    </row>
    <row r="1060" customFormat="false" ht="15" hidden="false" customHeight="false" outlineLevel="0" collapsed="false">
      <c r="A1060" s="0" t="s">
        <v>258</v>
      </c>
      <c r="B1060" s="52" t="n">
        <v>44274</v>
      </c>
      <c r="C1060" s="54" t="s">
        <v>592</v>
      </c>
      <c r="D1060" s="0" t="n">
        <v>0.0899171658593091</v>
      </c>
      <c r="E1060" s="0" t="n">
        <v>0.238732221654897</v>
      </c>
      <c r="F1060" s="0" t="n">
        <v>0</v>
      </c>
      <c r="G1060" s="0" t="n">
        <v>2021</v>
      </c>
    </row>
    <row r="1061" customFormat="false" ht="15" hidden="false" customHeight="false" outlineLevel="0" collapsed="false">
      <c r="A1061" s="0" t="s">
        <v>258</v>
      </c>
      <c r="B1061" s="52" t="n">
        <v>44275</v>
      </c>
      <c r="C1061" s="54" t="s">
        <v>590</v>
      </c>
      <c r="D1061" s="0" t="n">
        <v>0.0453413401756498</v>
      </c>
      <c r="E1061" s="0" t="n">
        <v>0.118961993959891</v>
      </c>
      <c r="F1061" s="0" t="n">
        <v>1</v>
      </c>
      <c r="G1061" s="0" t="n">
        <v>2021</v>
      </c>
    </row>
    <row r="1062" customFormat="false" ht="15" hidden="false" customHeight="false" outlineLevel="0" collapsed="false">
      <c r="A1062" s="0" t="s">
        <v>258</v>
      </c>
      <c r="B1062" s="52" t="n">
        <v>44276</v>
      </c>
      <c r="C1062" s="54" t="s">
        <v>590</v>
      </c>
      <c r="D1062" s="0" t="n">
        <v>0.999754065191411</v>
      </c>
      <c r="E1062" s="0" t="n">
        <v>0</v>
      </c>
      <c r="F1062" s="0" t="n">
        <v>1</v>
      </c>
      <c r="G1062" s="0" t="n">
        <v>2021</v>
      </c>
    </row>
    <row r="1063" customFormat="false" ht="15" hidden="false" customHeight="false" outlineLevel="0" collapsed="false">
      <c r="A1063" s="0" t="s">
        <v>258</v>
      </c>
      <c r="B1063" s="52" t="n">
        <v>44276</v>
      </c>
      <c r="C1063" s="54" t="s">
        <v>591</v>
      </c>
      <c r="D1063" s="0" t="n">
        <v>0.332289620308352</v>
      </c>
      <c r="E1063" s="0" t="n">
        <v>0.0238827370185732</v>
      </c>
      <c r="F1063" s="0" t="n">
        <v>1</v>
      </c>
      <c r="G1063" s="0" t="n">
        <v>2021</v>
      </c>
    </row>
    <row r="1064" customFormat="false" ht="15" hidden="false" customHeight="false" outlineLevel="0" collapsed="false">
      <c r="A1064" s="0" t="s">
        <v>258</v>
      </c>
      <c r="B1064" s="52" t="n">
        <v>44276</v>
      </c>
      <c r="C1064" s="54" t="s">
        <v>592</v>
      </c>
      <c r="D1064" s="0" t="n">
        <v>0</v>
      </c>
      <c r="E1064" s="0" t="n">
        <v>0.143002160623492</v>
      </c>
      <c r="F1064" s="0" t="n">
        <v>1</v>
      </c>
      <c r="G1064" s="0" t="n">
        <v>2021</v>
      </c>
    </row>
    <row r="1065" customFormat="false" ht="15" hidden="false" customHeight="false" outlineLevel="0" collapsed="false">
      <c r="A1065" s="0" t="s">
        <v>258</v>
      </c>
      <c r="B1065" s="52" t="n">
        <v>44277</v>
      </c>
      <c r="C1065" s="54" t="s">
        <v>590</v>
      </c>
      <c r="D1065" s="0" t="n">
        <v>0</v>
      </c>
      <c r="E1065" s="0" t="n">
        <v>0.188789650787135</v>
      </c>
      <c r="F1065" s="0" t="n">
        <v>0</v>
      </c>
      <c r="G1065" s="0" t="n">
        <v>2021</v>
      </c>
    </row>
    <row r="1066" customFormat="false" ht="15" hidden="false" customHeight="false" outlineLevel="0" collapsed="false">
      <c r="A1066" s="0" t="s">
        <v>258</v>
      </c>
      <c r="B1066" s="52" t="n">
        <v>44277</v>
      </c>
      <c r="C1066" s="54" t="s">
        <v>591</v>
      </c>
      <c r="D1066" s="0" t="n">
        <v>0.0706053278764633</v>
      </c>
      <c r="E1066" s="0" t="n">
        <v>0.144799788468744</v>
      </c>
      <c r="F1066" s="0" t="n">
        <v>0</v>
      </c>
      <c r="G1066" s="0" t="n">
        <v>2021</v>
      </c>
    </row>
    <row r="1067" customFormat="false" ht="15" hidden="false" customHeight="false" outlineLevel="0" collapsed="false">
      <c r="A1067" s="0" t="s">
        <v>258</v>
      </c>
      <c r="B1067" s="52" t="n">
        <v>44277</v>
      </c>
      <c r="C1067" s="54" t="s">
        <v>592</v>
      </c>
      <c r="D1067" s="0" t="n">
        <v>0.575631210823209</v>
      </c>
      <c r="E1067" s="0" t="n">
        <v>0.031977585390605</v>
      </c>
      <c r="F1067" s="0" t="n">
        <v>0</v>
      </c>
      <c r="G1067" s="0" t="n">
        <v>2021</v>
      </c>
    </row>
    <row r="1068" customFormat="false" ht="15" hidden="false" customHeight="false" outlineLevel="0" collapsed="false">
      <c r="A1068" s="0" t="s">
        <v>258</v>
      </c>
      <c r="B1068" s="52" t="n">
        <v>44278</v>
      </c>
      <c r="C1068" s="54" t="s">
        <v>590</v>
      </c>
      <c r="D1068" s="0" t="n">
        <v>0.0472847106459</v>
      </c>
      <c r="E1068" s="0" t="n">
        <v>0.156357855452083</v>
      </c>
      <c r="F1068" s="0" t="n">
        <v>0</v>
      </c>
      <c r="G1068" s="0" t="n">
        <v>2021</v>
      </c>
    </row>
    <row r="1069" customFormat="false" ht="15" hidden="false" customHeight="false" outlineLevel="0" collapsed="false">
      <c r="A1069" s="0" t="s">
        <v>258</v>
      </c>
      <c r="B1069" s="52" t="n">
        <v>44278</v>
      </c>
      <c r="C1069" s="54" t="s">
        <v>591</v>
      </c>
      <c r="D1069" s="0" t="n">
        <v>0</v>
      </c>
      <c r="E1069" s="0" t="n">
        <v>0.0768048887260901</v>
      </c>
      <c r="F1069" s="0" t="n">
        <v>0</v>
      </c>
      <c r="G1069" s="0" t="n">
        <v>2021</v>
      </c>
    </row>
    <row r="1070" customFormat="false" ht="15" hidden="false" customHeight="false" outlineLevel="0" collapsed="false">
      <c r="A1070" s="0" t="s">
        <v>258</v>
      </c>
      <c r="B1070" s="52" t="n">
        <v>44278</v>
      </c>
      <c r="C1070" s="54" t="s">
        <v>592</v>
      </c>
      <c r="D1070" s="0" t="n">
        <v>0.113203334749854</v>
      </c>
      <c r="E1070" s="0" t="n">
        <v>0.192424723378453</v>
      </c>
      <c r="F1070" s="0" t="n">
        <v>0</v>
      </c>
      <c r="G1070" s="0" t="n">
        <v>2021</v>
      </c>
    </row>
    <row r="1071" customFormat="false" ht="15" hidden="false" customHeight="false" outlineLevel="0" collapsed="false">
      <c r="A1071" s="0" t="s">
        <v>258</v>
      </c>
      <c r="B1071" s="52" t="n">
        <v>44279</v>
      </c>
      <c r="C1071" s="54" t="s">
        <v>590</v>
      </c>
      <c r="D1071" s="0" t="n">
        <v>0.599597223255344</v>
      </c>
      <c r="E1071" s="0" t="n">
        <v>0.0602622969524578</v>
      </c>
      <c r="F1071" s="0" t="n">
        <v>0</v>
      </c>
      <c r="G1071" s="0" t="n">
        <v>2021</v>
      </c>
    </row>
    <row r="1072" customFormat="false" ht="15" hidden="false" customHeight="false" outlineLevel="0" collapsed="false">
      <c r="A1072" s="0" t="s">
        <v>258</v>
      </c>
      <c r="B1072" s="52" t="n">
        <v>44279</v>
      </c>
      <c r="C1072" s="54" t="s">
        <v>591</v>
      </c>
      <c r="D1072" s="0" t="n">
        <v>0</v>
      </c>
      <c r="E1072" s="0" t="n">
        <v>0.164359105037044</v>
      </c>
      <c r="F1072" s="0" t="n">
        <v>0</v>
      </c>
      <c r="G1072" s="0" t="n">
        <v>2021</v>
      </c>
    </row>
    <row r="1073" customFormat="false" ht="15" hidden="false" customHeight="false" outlineLevel="0" collapsed="false">
      <c r="A1073" s="0" t="s">
        <v>258</v>
      </c>
      <c r="B1073" s="52" t="n">
        <v>44279</v>
      </c>
      <c r="C1073" s="54" t="s">
        <v>592</v>
      </c>
      <c r="D1073" s="0" t="n">
        <v>0.0011295326503028</v>
      </c>
      <c r="E1073" s="0" t="n">
        <v>0.0805355404062004</v>
      </c>
      <c r="F1073" s="0" t="n">
        <v>0</v>
      </c>
      <c r="G1073" s="0" t="n">
        <v>2021</v>
      </c>
    </row>
    <row r="1074" customFormat="false" ht="15" hidden="false" customHeight="false" outlineLevel="0" collapsed="false">
      <c r="A1074" s="0" t="s">
        <v>258</v>
      </c>
      <c r="B1074" s="52" t="n">
        <v>44280</v>
      </c>
      <c r="C1074" s="54" t="s">
        <v>590</v>
      </c>
      <c r="D1074" s="0" t="n">
        <v>0.0008692719830808</v>
      </c>
      <c r="E1074" s="0" t="n">
        <v>0.304376474110159</v>
      </c>
      <c r="F1074" s="0" t="n">
        <v>0</v>
      </c>
      <c r="G1074" s="0" t="n">
        <v>2021</v>
      </c>
    </row>
    <row r="1075" customFormat="false" ht="15" hidden="false" customHeight="false" outlineLevel="0" collapsed="false">
      <c r="A1075" s="0" t="s">
        <v>258</v>
      </c>
      <c r="B1075" s="52" t="n">
        <v>44280</v>
      </c>
      <c r="C1075" s="54" t="s">
        <v>591</v>
      </c>
      <c r="D1075" s="0" t="n">
        <v>0.0050809755531121</v>
      </c>
      <c r="E1075" s="0" t="n">
        <v>0.270550553928666</v>
      </c>
      <c r="F1075" s="0" t="n">
        <v>0</v>
      </c>
      <c r="G1075" s="0" t="n">
        <v>2021</v>
      </c>
    </row>
    <row r="1076" customFormat="false" ht="15" hidden="false" customHeight="false" outlineLevel="0" collapsed="false">
      <c r="A1076" s="0" t="s">
        <v>258</v>
      </c>
      <c r="B1076" s="52" t="n">
        <v>44280</v>
      </c>
      <c r="C1076" s="54" t="s">
        <v>592</v>
      </c>
      <c r="D1076" s="0" t="n">
        <v>0.0220252556547569</v>
      </c>
      <c r="E1076" s="0" t="n">
        <v>0.0690804639184242</v>
      </c>
      <c r="F1076" s="0" t="n">
        <v>0</v>
      </c>
      <c r="G1076" s="0" t="n">
        <v>2021</v>
      </c>
    </row>
    <row r="1077" customFormat="false" ht="15" hidden="false" customHeight="false" outlineLevel="0" collapsed="false">
      <c r="A1077" s="0" t="s">
        <v>258</v>
      </c>
      <c r="B1077" s="52" t="n">
        <v>44281</v>
      </c>
      <c r="C1077" s="54" t="s">
        <v>590</v>
      </c>
      <c r="D1077" s="0" t="n">
        <v>0</v>
      </c>
      <c r="E1077" s="0" t="n">
        <v>0.305647597945412</v>
      </c>
      <c r="F1077" s="0" t="n">
        <v>0</v>
      </c>
      <c r="G1077" s="0" t="n">
        <v>2021</v>
      </c>
    </row>
    <row r="1078" customFormat="false" ht="15" hidden="false" customHeight="false" outlineLevel="0" collapsed="false">
      <c r="A1078" s="0" t="s">
        <v>258</v>
      </c>
      <c r="B1078" s="52" t="n">
        <v>44300</v>
      </c>
      <c r="C1078" s="54" t="s">
        <v>590</v>
      </c>
      <c r="D1078" s="0" t="n">
        <v>0.996977792008162</v>
      </c>
      <c r="E1078" s="0" t="n">
        <v>0</v>
      </c>
      <c r="F1078" s="0" t="n">
        <v>0</v>
      </c>
      <c r="G1078" s="0" t="n">
        <v>2021</v>
      </c>
    </row>
    <row r="1079" customFormat="false" ht="15" hidden="false" customHeight="false" outlineLevel="0" collapsed="false">
      <c r="A1079" s="0" t="s">
        <v>258</v>
      </c>
      <c r="B1079" s="52" t="n">
        <v>44300</v>
      </c>
      <c r="C1079" s="54" t="s">
        <v>591</v>
      </c>
      <c r="D1079" s="0" t="n">
        <v>0.084604630679852</v>
      </c>
      <c r="E1079" s="0" t="n">
        <v>0.0190968845716942</v>
      </c>
      <c r="F1079" s="0" t="n">
        <v>0</v>
      </c>
      <c r="G1079" s="0" t="n">
        <v>2021</v>
      </c>
    </row>
    <row r="1080" customFormat="false" ht="15" hidden="false" customHeight="false" outlineLevel="0" collapsed="false">
      <c r="A1080" s="0" t="s">
        <v>258</v>
      </c>
      <c r="B1080" s="52" t="n">
        <v>44300</v>
      </c>
      <c r="C1080" s="54" t="s">
        <v>592</v>
      </c>
      <c r="D1080" s="0" t="n">
        <v>0.0319203538954785</v>
      </c>
      <c r="E1080" s="0" t="n">
        <v>0.0945274672276449</v>
      </c>
      <c r="F1080" s="0" t="n">
        <v>0</v>
      </c>
      <c r="G1080" s="0" t="n">
        <v>2021</v>
      </c>
    </row>
    <row r="1081" customFormat="false" ht="15" hidden="false" customHeight="false" outlineLevel="0" collapsed="false">
      <c r="A1081" s="0" t="s">
        <v>258</v>
      </c>
      <c r="B1081" s="52" t="n">
        <v>44301</v>
      </c>
      <c r="C1081" s="54" t="s">
        <v>590</v>
      </c>
      <c r="D1081" s="0" t="n">
        <v>0</v>
      </c>
      <c r="E1081" s="0" t="n">
        <v>0.0813203962193797</v>
      </c>
      <c r="F1081" s="0" t="n">
        <v>0</v>
      </c>
      <c r="G1081" s="0" t="n">
        <v>2021</v>
      </c>
    </row>
    <row r="1082" customFormat="false" ht="15" hidden="false" customHeight="false" outlineLevel="0" collapsed="false">
      <c r="A1082" s="0" t="s">
        <v>258</v>
      </c>
      <c r="B1082" s="52" t="n">
        <v>44301</v>
      </c>
      <c r="C1082" s="54" t="s">
        <v>591</v>
      </c>
      <c r="D1082" s="0" t="n">
        <v>0</v>
      </c>
      <c r="E1082" s="0" t="n">
        <v>0.267572732676186</v>
      </c>
      <c r="F1082" s="0" t="n">
        <v>0</v>
      </c>
      <c r="G1082" s="0" t="n">
        <v>2021</v>
      </c>
    </row>
    <row r="1083" customFormat="false" ht="15" hidden="false" customHeight="false" outlineLevel="0" collapsed="false">
      <c r="A1083" s="0" t="s">
        <v>258</v>
      </c>
      <c r="B1083" s="52" t="n">
        <v>44301</v>
      </c>
      <c r="C1083" s="54" t="s">
        <v>592</v>
      </c>
      <c r="D1083" s="0" t="n">
        <v>0.116263673126954</v>
      </c>
      <c r="E1083" s="0" t="n">
        <v>0.0808044205114658</v>
      </c>
      <c r="F1083" s="0" t="n">
        <v>0</v>
      </c>
      <c r="G1083" s="0" t="n">
        <v>2021</v>
      </c>
    </row>
    <row r="1084" customFormat="false" ht="15" hidden="false" customHeight="false" outlineLevel="0" collapsed="false">
      <c r="A1084" s="0" t="s">
        <v>258</v>
      </c>
      <c r="B1084" s="52" t="n">
        <v>44302</v>
      </c>
      <c r="C1084" s="54" t="s">
        <v>590</v>
      </c>
      <c r="D1084" s="0" t="n">
        <v>0.0163523357884118</v>
      </c>
      <c r="E1084" s="0" t="n">
        <v>0.0582521610392413</v>
      </c>
      <c r="F1084" s="0" t="n">
        <v>0</v>
      </c>
      <c r="G1084" s="0" t="n">
        <v>2021</v>
      </c>
    </row>
    <row r="1085" customFormat="false" ht="15" hidden="false" customHeight="false" outlineLevel="0" collapsed="false">
      <c r="A1085" s="0" t="s">
        <v>258</v>
      </c>
      <c r="B1085" s="52" t="n">
        <v>44302</v>
      </c>
      <c r="C1085" s="54" t="s">
        <v>591</v>
      </c>
      <c r="D1085" s="0" t="n">
        <v>0.0223676066549499</v>
      </c>
      <c r="E1085" s="0" t="n">
        <v>0.0707214185337434</v>
      </c>
      <c r="F1085" s="0" t="n">
        <v>0</v>
      </c>
      <c r="G1085" s="0" t="n">
        <v>2021</v>
      </c>
    </row>
    <row r="1086" customFormat="false" ht="15" hidden="false" customHeight="false" outlineLevel="0" collapsed="false">
      <c r="A1086" s="0" t="s">
        <v>258</v>
      </c>
      <c r="B1086" s="52" t="n">
        <v>44302</v>
      </c>
      <c r="C1086" s="54" t="s">
        <v>592</v>
      </c>
      <c r="D1086" s="0" t="n">
        <v>0</v>
      </c>
      <c r="E1086" s="0" t="n">
        <v>0.0382691135799084</v>
      </c>
      <c r="F1086" s="0" t="n">
        <v>0</v>
      </c>
      <c r="G1086" s="0" t="n">
        <v>2021</v>
      </c>
    </row>
    <row r="1087" customFormat="false" ht="15" hidden="false" customHeight="false" outlineLevel="0" collapsed="false">
      <c r="A1087" s="0" t="s">
        <v>258</v>
      </c>
      <c r="B1087" s="52" t="n">
        <v>44303</v>
      </c>
      <c r="C1087" s="54" t="s">
        <v>590</v>
      </c>
      <c r="D1087" s="0" t="n">
        <v>0.0379856320612915</v>
      </c>
      <c r="E1087" s="0" t="n">
        <v>0.168329783153955</v>
      </c>
      <c r="F1087" s="0" t="n">
        <v>1</v>
      </c>
      <c r="G1087" s="0" t="n">
        <v>2021</v>
      </c>
    </row>
    <row r="1088" customFormat="false" ht="15" hidden="false" customHeight="false" outlineLevel="0" collapsed="false">
      <c r="A1088" s="0" t="s">
        <v>258</v>
      </c>
      <c r="B1088" s="52" t="n">
        <v>44304</v>
      </c>
      <c r="C1088" s="54" t="s">
        <v>590</v>
      </c>
      <c r="D1088" s="0" t="n">
        <v>1</v>
      </c>
      <c r="E1088" s="0" t="n">
        <v>0</v>
      </c>
      <c r="F1088" s="0" t="n">
        <v>1</v>
      </c>
      <c r="G1088" s="0" t="n">
        <v>2021</v>
      </c>
    </row>
    <row r="1089" customFormat="false" ht="15" hidden="false" customHeight="false" outlineLevel="0" collapsed="false">
      <c r="A1089" s="0" t="s">
        <v>258</v>
      </c>
      <c r="B1089" s="52" t="n">
        <v>44304</v>
      </c>
      <c r="C1089" s="54" t="s">
        <v>591</v>
      </c>
      <c r="D1089" s="0" t="n">
        <v>0.591264625362746</v>
      </c>
      <c r="E1089" s="0" t="n">
        <v>0</v>
      </c>
      <c r="F1089" s="0" t="n">
        <v>1</v>
      </c>
      <c r="G1089" s="0" t="n">
        <v>2021</v>
      </c>
    </row>
    <row r="1090" customFormat="false" ht="15" hidden="false" customHeight="false" outlineLevel="0" collapsed="false">
      <c r="A1090" s="0" t="s">
        <v>258</v>
      </c>
      <c r="B1090" s="52" t="n">
        <v>44304</v>
      </c>
      <c r="C1090" s="54" t="s">
        <v>592</v>
      </c>
      <c r="D1090" s="0" t="n">
        <v>0.0045933057418094</v>
      </c>
      <c r="E1090" s="0" t="n">
        <v>0.17585117999056</v>
      </c>
      <c r="F1090" s="0" t="n">
        <v>1</v>
      </c>
      <c r="G1090" s="0" t="n">
        <v>2021</v>
      </c>
    </row>
    <row r="1091" customFormat="false" ht="15" hidden="false" customHeight="false" outlineLevel="0" collapsed="false">
      <c r="A1091" s="0" t="s">
        <v>258</v>
      </c>
      <c r="B1091" s="52" t="n">
        <v>44305</v>
      </c>
      <c r="C1091" s="54" t="s">
        <v>590</v>
      </c>
      <c r="D1091" s="0" t="n">
        <v>0.0049557032587369</v>
      </c>
      <c r="E1091" s="0" t="n">
        <v>0.0359134273448732</v>
      </c>
      <c r="F1091" s="0" t="n">
        <v>0</v>
      </c>
      <c r="G1091" s="0" t="n">
        <v>2021</v>
      </c>
    </row>
    <row r="1092" customFormat="false" ht="15" hidden="false" customHeight="false" outlineLevel="0" collapsed="false">
      <c r="A1092" s="0" t="s">
        <v>258</v>
      </c>
      <c r="B1092" s="52" t="n">
        <v>44305</v>
      </c>
      <c r="C1092" s="54" t="s">
        <v>591</v>
      </c>
      <c r="D1092" s="0" t="n">
        <v>0.0009620616106853</v>
      </c>
      <c r="E1092" s="0" t="n">
        <v>0.172266476508443</v>
      </c>
      <c r="F1092" s="0" t="n">
        <v>0</v>
      </c>
      <c r="G1092" s="0" t="n">
        <v>2021</v>
      </c>
    </row>
    <row r="1093" customFormat="false" ht="15" hidden="false" customHeight="false" outlineLevel="0" collapsed="false">
      <c r="A1093" s="0" t="s">
        <v>258</v>
      </c>
      <c r="B1093" s="52" t="n">
        <v>44305</v>
      </c>
      <c r="C1093" s="54" t="s">
        <v>592</v>
      </c>
      <c r="D1093" s="0" t="n">
        <v>0.153669825266077</v>
      </c>
      <c r="E1093" s="0" t="n">
        <v>0.115757942709165</v>
      </c>
      <c r="F1093" s="0" t="n">
        <v>0</v>
      </c>
      <c r="G1093" s="0" t="n">
        <v>2021</v>
      </c>
    </row>
    <row r="1094" customFormat="false" ht="15" hidden="false" customHeight="false" outlineLevel="0" collapsed="false">
      <c r="A1094" s="0" t="s">
        <v>258</v>
      </c>
      <c r="B1094" s="52" t="n">
        <v>44306</v>
      </c>
      <c r="C1094" s="54" t="s">
        <v>590</v>
      </c>
      <c r="D1094" s="0" t="n">
        <v>0</v>
      </c>
      <c r="E1094" s="0" t="n">
        <v>0.0805680681819085</v>
      </c>
      <c r="F1094" s="0" t="n">
        <v>0</v>
      </c>
      <c r="G1094" s="0" t="n">
        <v>2021</v>
      </c>
    </row>
    <row r="1095" customFormat="false" ht="15" hidden="false" customHeight="false" outlineLevel="0" collapsed="false">
      <c r="A1095" s="0" t="s">
        <v>258</v>
      </c>
      <c r="B1095" s="52" t="n">
        <v>44306</v>
      </c>
      <c r="C1095" s="54" t="s">
        <v>591</v>
      </c>
      <c r="D1095" s="0" t="n">
        <v>0</v>
      </c>
      <c r="E1095" s="0" t="n">
        <v>0.064800343671337</v>
      </c>
      <c r="F1095" s="0" t="n">
        <v>0</v>
      </c>
      <c r="G1095" s="0" t="n">
        <v>2021</v>
      </c>
    </row>
    <row r="1096" customFormat="false" ht="15" hidden="false" customHeight="false" outlineLevel="0" collapsed="false">
      <c r="A1096" s="0" t="s">
        <v>258</v>
      </c>
      <c r="B1096" s="52" t="n">
        <v>44306</v>
      </c>
      <c r="C1096" s="54" t="s">
        <v>592</v>
      </c>
      <c r="D1096" s="0" t="n">
        <v>0.0132173034201536</v>
      </c>
      <c r="E1096" s="0" t="n">
        <v>0.0806252210293078</v>
      </c>
      <c r="F1096" s="0" t="n">
        <v>0</v>
      </c>
      <c r="G1096" s="0" t="n">
        <v>2021</v>
      </c>
    </row>
    <row r="1097" customFormat="false" ht="15" hidden="false" customHeight="false" outlineLevel="0" collapsed="false">
      <c r="A1097" s="0" t="s">
        <v>258</v>
      </c>
      <c r="B1097" s="52" t="n">
        <v>44307</v>
      </c>
      <c r="C1097" s="54" t="s">
        <v>590</v>
      </c>
      <c r="D1097" s="0" t="n">
        <v>0.0043114172152235</v>
      </c>
      <c r="E1097" s="0" t="n">
        <v>0.0892639473399158</v>
      </c>
      <c r="F1097" s="0" t="n">
        <v>0</v>
      </c>
      <c r="G1097" s="0" t="n">
        <v>2021</v>
      </c>
    </row>
    <row r="1098" customFormat="false" ht="15" hidden="false" customHeight="false" outlineLevel="0" collapsed="false">
      <c r="A1098" s="0" t="s">
        <v>258</v>
      </c>
      <c r="B1098" s="52" t="n">
        <v>44307</v>
      </c>
      <c r="C1098" s="54" t="s">
        <v>591</v>
      </c>
      <c r="D1098" s="0" t="n">
        <v>0.0665037069735485</v>
      </c>
      <c r="E1098" s="0" t="n">
        <v>0.0709387508804017</v>
      </c>
      <c r="F1098" s="0" t="n">
        <v>0</v>
      </c>
      <c r="G1098" s="0" t="n">
        <v>2021</v>
      </c>
    </row>
    <row r="1099" customFormat="false" ht="15" hidden="false" customHeight="false" outlineLevel="0" collapsed="false">
      <c r="A1099" s="0" t="s">
        <v>258</v>
      </c>
      <c r="B1099" s="52" t="n">
        <v>44307</v>
      </c>
      <c r="C1099" s="54" t="s">
        <v>592</v>
      </c>
      <c r="D1099" s="0" t="n">
        <v>0</v>
      </c>
      <c r="E1099" s="0" t="n">
        <v>0.057353908765372</v>
      </c>
      <c r="F1099" s="0" t="n">
        <v>0</v>
      </c>
      <c r="G1099" s="0" t="n">
        <v>2021</v>
      </c>
    </row>
    <row r="1100" customFormat="false" ht="15" hidden="false" customHeight="false" outlineLevel="0" collapsed="false">
      <c r="A1100" s="0" t="s">
        <v>258</v>
      </c>
      <c r="B1100" s="52" t="n">
        <v>44308</v>
      </c>
      <c r="C1100" s="54" t="s">
        <v>590</v>
      </c>
      <c r="D1100" s="0" t="n">
        <v>0</v>
      </c>
      <c r="E1100" s="0" t="n">
        <v>0.0801968105988845</v>
      </c>
      <c r="F1100" s="0" t="n">
        <v>0</v>
      </c>
      <c r="G1100" s="0" t="n">
        <v>2021</v>
      </c>
    </row>
    <row r="1101" customFormat="false" ht="15" hidden="false" customHeight="false" outlineLevel="0" collapsed="false">
      <c r="A1101" s="0" t="s">
        <v>258</v>
      </c>
      <c r="B1101" s="52" t="n">
        <v>44308</v>
      </c>
      <c r="C1101" s="54" t="s">
        <v>591</v>
      </c>
      <c r="D1101" s="0" t="n">
        <v>0.0088616579287512</v>
      </c>
      <c r="E1101" s="0" t="n">
        <v>0.0754372441972192</v>
      </c>
      <c r="F1101" s="0" t="n">
        <v>0</v>
      </c>
      <c r="G1101" s="0" t="n">
        <v>2021</v>
      </c>
    </row>
    <row r="1102" customFormat="false" ht="15" hidden="false" customHeight="false" outlineLevel="0" collapsed="false">
      <c r="A1102" s="0" t="s">
        <v>258</v>
      </c>
      <c r="B1102" s="52" t="n">
        <v>44308</v>
      </c>
      <c r="C1102" s="54" t="s">
        <v>592</v>
      </c>
      <c r="D1102" s="0" t="n">
        <v>0.162952542212724</v>
      </c>
      <c r="E1102" s="0" t="n">
        <v>0.0653696644382035</v>
      </c>
      <c r="F1102" s="0" t="n">
        <v>0</v>
      </c>
      <c r="G1102" s="0" t="n">
        <v>2021</v>
      </c>
    </row>
    <row r="1103" customFormat="false" ht="15" hidden="false" customHeight="false" outlineLevel="0" collapsed="false">
      <c r="A1103" s="0" t="s">
        <v>258</v>
      </c>
      <c r="B1103" s="52" t="n">
        <v>44309</v>
      </c>
      <c r="C1103" s="54" t="s">
        <v>590</v>
      </c>
      <c r="D1103" s="0" t="n">
        <v>0.00688394922158</v>
      </c>
      <c r="E1103" s="0" t="n">
        <v>0.0867934427233598</v>
      </c>
      <c r="F1103" s="0" t="n">
        <v>0</v>
      </c>
      <c r="G1103" s="0" t="n">
        <v>2021</v>
      </c>
    </row>
    <row r="1104" customFormat="false" ht="15" hidden="false" customHeight="false" outlineLevel="0" collapsed="false">
      <c r="A1104" s="0" t="s">
        <v>258</v>
      </c>
      <c r="B1104" s="52" t="n">
        <v>44309</v>
      </c>
      <c r="C1104" s="54" t="s">
        <v>591</v>
      </c>
      <c r="D1104" s="0" t="n">
        <v>0</v>
      </c>
      <c r="E1104" s="0" t="n">
        <v>0.440851467448754</v>
      </c>
      <c r="F1104" s="0" t="n">
        <v>0</v>
      </c>
      <c r="G1104" s="0" t="n">
        <v>2021</v>
      </c>
    </row>
    <row r="1105" customFormat="false" ht="15" hidden="false" customHeight="false" outlineLevel="0" collapsed="false">
      <c r="A1105" s="0" t="s">
        <v>258</v>
      </c>
      <c r="B1105" s="52" t="n">
        <v>44309</v>
      </c>
      <c r="C1105" s="54" t="s">
        <v>592</v>
      </c>
      <c r="D1105" s="0" t="n">
        <v>0</v>
      </c>
      <c r="E1105" s="0" t="n">
        <v>0.135755510400542</v>
      </c>
      <c r="F1105" s="0" t="n">
        <v>0</v>
      </c>
      <c r="G1105" s="0" t="n">
        <v>2021</v>
      </c>
    </row>
    <row r="1106" customFormat="false" ht="15" hidden="false" customHeight="false" outlineLevel="0" collapsed="false">
      <c r="A1106" s="0" t="s">
        <v>258</v>
      </c>
      <c r="B1106" s="52" t="n">
        <v>44310</v>
      </c>
      <c r="C1106" s="54" t="s">
        <v>590</v>
      </c>
      <c r="D1106" s="0" t="n">
        <v>0.303789971193225</v>
      </c>
      <c r="E1106" s="0" t="n">
        <v>0.153791792946008</v>
      </c>
      <c r="F1106" s="0" t="n">
        <v>1</v>
      </c>
      <c r="G1106" s="0" t="n">
        <v>2021</v>
      </c>
    </row>
    <row r="1107" customFormat="false" ht="15" hidden="false" customHeight="false" outlineLevel="0" collapsed="false">
      <c r="A1107" s="0" t="s">
        <v>258</v>
      </c>
      <c r="B1107" s="52" t="n">
        <v>44311</v>
      </c>
      <c r="C1107" s="54" t="s">
        <v>592</v>
      </c>
      <c r="D1107" s="0" t="n">
        <v>0.0342327974072228</v>
      </c>
      <c r="E1107" s="0" t="n">
        <v>0.114970721107227</v>
      </c>
      <c r="F1107" s="0" t="n">
        <v>1</v>
      </c>
      <c r="G1107" s="0" t="n">
        <v>2021</v>
      </c>
    </row>
    <row r="1108" customFormat="false" ht="15" hidden="false" customHeight="false" outlineLevel="0" collapsed="false">
      <c r="A1108" s="0" t="s">
        <v>258</v>
      </c>
      <c r="B1108" s="52" t="n">
        <v>44312</v>
      </c>
      <c r="C1108" s="54" t="s">
        <v>590</v>
      </c>
      <c r="D1108" s="0" t="n">
        <v>0.0137151017439157</v>
      </c>
      <c r="E1108" s="0" t="n">
        <v>0.0441567256498304</v>
      </c>
      <c r="F1108" s="0" t="n">
        <v>0</v>
      </c>
      <c r="G1108" s="0" t="n">
        <v>2021</v>
      </c>
    </row>
    <row r="1109" customFormat="false" ht="15" hidden="false" customHeight="false" outlineLevel="0" collapsed="false">
      <c r="A1109" s="0" t="s">
        <v>258</v>
      </c>
      <c r="B1109" s="52" t="n">
        <v>44312</v>
      </c>
      <c r="C1109" s="54" t="s">
        <v>591</v>
      </c>
      <c r="D1109" s="0" t="n">
        <v>0.0001876417490925</v>
      </c>
      <c r="E1109" s="0" t="n">
        <v>0.0417397823865628</v>
      </c>
      <c r="F1109" s="0" t="n">
        <v>0</v>
      </c>
      <c r="G1109" s="0" t="n">
        <v>2021</v>
      </c>
    </row>
    <row r="1110" customFormat="false" ht="15" hidden="false" customHeight="false" outlineLevel="0" collapsed="false">
      <c r="A1110" s="0" t="s">
        <v>258</v>
      </c>
      <c r="B1110" s="52" t="n">
        <v>44312</v>
      </c>
      <c r="C1110" s="54" t="s">
        <v>592</v>
      </c>
      <c r="D1110" s="0" t="n">
        <v>0.0092046565661121</v>
      </c>
      <c r="E1110" s="0" t="n">
        <v>0.078539332304221</v>
      </c>
      <c r="F1110" s="0" t="n">
        <v>0</v>
      </c>
      <c r="G1110" s="0" t="n">
        <v>2021</v>
      </c>
    </row>
    <row r="1111" customFormat="false" ht="15" hidden="false" customHeight="false" outlineLevel="0" collapsed="false">
      <c r="A1111" s="0" t="s">
        <v>258</v>
      </c>
      <c r="B1111" s="52" t="n">
        <v>44313</v>
      </c>
      <c r="C1111" s="54" t="s">
        <v>590</v>
      </c>
      <c r="D1111" s="0" t="n">
        <v>0.545734645295711</v>
      </c>
      <c r="E1111" s="0" t="n">
        <v>0.0738448712122878</v>
      </c>
      <c r="F1111" s="0" t="n">
        <v>0</v>
      </c>
      <c r="G1111" s="0" t="n">
        <v>2021</v>
      </c>
    </row>
    <row r="1112" customFormat="false" ht="15" hidden="false" customHeight="false" outlineLevel="0" collapsed="false">
      <c r="A1112" s="0" t="s">
        <v>258</v>
      </c>
      <c r="B1112" s="52" t="n">
        <v>44313</v>
      </c>
      <c r="C1112" s="54" t="s">
        <v>591</v>
      </c>
      <c r="D1112" s="0" t="n">
        <v>0.0314511600384029</v>
      </c>
      <c r="E1112" s="0" t="n">
        <v>0.141047466271634</v>
      </c>
      <c r="F1112" s="0" t="n">
        <v>0</v>
      </c>
      <c r="G1112" s="0" t="n">
        <v>2021</v>
      </c>
    </row>
    <row r="1113" customFormat="false" ht="15" hidden="false" customHeight="false" outlineLevel="0" collapsed="false">
      <c r="A1113" s="0" t="s">
        <v>258</v>
      </c>
      <c r="B1113" s="52" t="n">
        <v>44313</v>
      </c>
      <c r="C1113" s="54" t="s">
        <v>592</v>
      </c>
      <c r="D1113" s="0" t="n">
        <v>0.0054760418193733</v>
      </c>
      <c r="E1113" s="0" t="n">
        <v>0.0630961960193191</v>
      </c>
      <c r="F1113" s="0" t="n">
        <v>0</v>
      </c>
      <c r="G1113" s="0" t="n">
        <v>2021</v>
      </c>
    </row>
    <row r="1114" customFormat="false" ht="15" hidden="false" customHeight="false" outlineLevel="0" collapsed="false">
      <c r="A1114" s="0" t="s">
        <v>258</v>
      </c>
      <c r="B1114" s="52" t="n">
        <v>44314</v>
      </c>
      <c r="C1114" s="54" t="s">
        <v>590</v>
      </c>
      <c r="D1114" s="0" t="n">
        <v>0.0053588596178691</v>
      </c>
      <c r="E1114" s="0" t="n">
        <v>0.139474489155489</v>
      </c>
      <c r="F1114" s="0" t="n">
        <v>0</v>
      </c>
      <c r="G1114" s="0" t="n">
        <v>2021</v>
      </c>
    </row>
    <row r="1115" customFormat="false" ht="15" hidden="false" customHeight="false" outlineLevel="0" collapsed="false">
      <c r="A1115" s="0" t="s">
        <v>258</v>
      </c>
      <c r="B1115" s="52" t="n">
        <v>44314</v>
      </c>
      <c r="C1115" s="54" t="s">
        <v>591</v>
      </c>
      <c r="D1115" s="0" t="n">
        <v>0.0865249246415005</v>
      </c>
      <c r="E1115" s="0" t="n">
        <v>0.0600801145729687</v>
      </c>
      <c r="F1115" s="0" t="n">
        <v>0</v>
      </c>
      <c r="G1115" s="0" t="n">
        <v>2021</v>
      </c>
    </row>
    <row r="1116" customFormat="false" ht="15" hidden="false" customHeight="false" outlineLevel="0" collapsed="false">
      <c r="A1116" s="0" t="s">
        <v>258</v>
      </c>
      <c r="B1116" s="52" t="n">
        <v>44314</v>
      </c>
      <c r="C1116" s="54" t="s">
        <v>592</v>
      </c>
      <c r="D1116" s="0" t="n">
        <v>0.161065034238341</v>
      </c>
      <c r="E1116" s="0" t="n">
        <v>0.195984029427331</v>
      </c>
      <c r="F1116" s="0" t="n">
        <v>0</v>
      </c>
      <c r="G1116" s="0" t="n">
        <v>2021</v>
      </c>
    </row>
    <row r="1117" customFormat="false" ht="15" hidden="false" customHeight="false" outlineLevel="0" collapsed="false">
      <c r="A1117" s="0" t="s">
        <v>258</v>
      </c>
      <c r="B1117" s="52" t="n">
        <v>44315</v>
      </c>
      <c r="C1117" s="54" t="s">
        <v>590</v>
      </c>
      <c r="D1117" s="0" t="n">
        <v>0.147217269407541</v>
      </c>
      <c r="E1117" s="0" t="n">
        <v>0.130159343079568</v>
      </c>
      <c r="F1117" s="0" t="n">
        <v>0</v>
      </c>
      <c r="G1117" s="0" t="n">
        <v>2021</v>
      </c>
    </row>
    <row r="1118" customFormat="false" ht="15" hidden="false" customHeight="false" outlineLevel="0" collapsed="false">
      <c r="A1118" s="0" t="s">
        <v>258</v>
      </c>
      <c r="B1118" s="52" t="n">
        <v>44315</v>
      </c>
      <c r="C1118" s="54" t="s">
        <v>591</v>
      </c>
      <c r="D1118" s="0" t="n">
        <v>0.023146796675654</v>
      </c>
      <c r="E1118" s="0" t="n">
        <v>0.0949193676359597</v>
      </c>
      <c r="F1118" s="0" t="n">
        <v>0</v>
      </c>
      <c r="G1118" s="0" t="n">
        <v>2021</v>
      </c>
    </row>
    <row r="1119" customFormat="false" ht="15" hidden="false" customHeight="false" outlineLevel="0" collapsed="false">
      <c r="A1119" s="0" t="s">
        <v>258</v>
      </c>
      <c r="B1119" s="52" t="n">
        <v>44315</v>
      </c>
      <c r="C1119" s="54" t="s">
        <v>592</v>
      </c>
      <c r="D1119" s="0" t="n">
        <v>0.060799103709624</v>
      </c>
      <c r="E1119" s="0" t="n">
        <v>0.259599889601129</v>
      </c>
      <c r="F1119" s="0" t="n">
        <v>0</v>
      </c>
      <c r="G1119" s="0" t="n">
        <v>2021</v>
      </c>
    </row>
    <row r="1120" customFormat="false" ht="15" hidden="false" customHeight="false" outlineLevel="0" collapsed="false">
      <c r="A1120" s="0" t="s">
        <v>258</v>
      </c>
      <c r="B1120" s="52" t="n">
        <v>44316</v>
      </c>
      <c r="C1120" s="54" t="s">
        <v>590</v>
      </c>
      <c r="D1120" s="0" t="n">
        <v>0</v>
      </c>
      <c r="E1120" s="0" t="n">
        <v>0.171298445917759</v>
      </c>
      <c r="F1120" s="0" t="n">
        <v>0</v>
      </c>
      <c r="G1120" s="0" t="n">
        <v>2021</v>
      </c>
    </row>
    <row r="1121" customFormat="false" ht="15" hidden="false" customHeight="false" outlineLevel="0" collapsed="false">
      <c r="A1121" s="0" t="s">
        <v>258</v>
      </c>
      <c r="B1121" s="52" t="n">
        <v>44316</v>
      </c>
      <c r="C1121" s="54" t="s">
        <v>591</v>
      </c>
      <c r="D1121" s="0" t="n">
        <v>0.111830856914014</v>
      </c>
      <c r="E1121" s="0" t="n">
        <v>0.0641785464221858</v>
      </c>
      <c r="F1121" s="0" t="n">
        <v>0</v>
      </c>
      <c r="G1121" s="0" t="n">
        <v>2021</v>
      </c>
    </row>
    <row r="1122" customFormat="false" ht="15" hidden="false" customHeight="false" outlineLevel="0" collapsed="false">
      <c r="A1122" s="0" t="s">
        <v>258</v>
      </c>
      <c r="B1122" s="52" t="n">
        <v>44316</v>
      </c>
      <c r="C1122" s="54" t="s">
        <v>592</v>
      </c>
      <c r="D1122" s="0" t="n">
        <v>0</v>
      </c>
      <c r="E1122" s="0" t="n">
        <v>0.0917362352544949</v>
      </c>
      <c r="F1122" s="0" t="n">
        <v>0</v>
      </c>
      <c r="G1122" s="0" t="n">
        <v>2021</v>
      </c>
    </row>
    <row r="1123" customFormat="false" ht="15" hidden="false" customHeight="false" outlineLevel="0" collapsed="false">
      <c r="A1123" s="0" t="s">
        <v>258</v>
      </c>
      <c r="B1123" s="52" t="n">
        <v>44317</v>
      </c>
      <c r="C1123" s="54" t="s">
        <v>590</v>
      </c>
      <c r="D1123" s="0" t="n">
        <v>0.167055078278543</v>
      </c>
      <c r="E1123" s="0" t="n">
        <v>0.0934984590339587</v>
      </c>
      <c r="F1123" s="0" t="n">
        <v>1</v>
      </c>
      <c r="G1123" s="0" t="n">
        <v>2021</v>
      </c>
    </row>
    <row r="1124" customFormat="false" ht="15" hidden="false" customHeight="false" outlineLevel="0" collapsed="false">
      <c r="A1124" s="0" t="s">
        <v>258</v>
      </c>
      <c r="B1124" s="52" t="n">
        <v>44318</v>
      </c>
      <c r="C1124" s="54" t="s">
        <v>590</v>
      </c>
      <c r="D1124" s="0" t="n">
        <v>1</v>
      </c>
      <c r="E1124" s="0" t="n">
        <v>0</v>
      </c>
      <c r="F1124" s="0" t="n">
        <v>1</v>
      </c>
      <c r="G1124" s="0" t="n">
        <v>2021</v>
      </c>
    </row>
    <row r="1125" customFormat="false" ht="15" hidden="false" customHeight="false" outlineLevel="0" collapsed="false">
      <c r="A1125" s="0" t="s">
        <v>258</v>
      </c>
      <c r="B1125" s="52" t="n">
        <v>44318</v>
      </c>
      <c r="C1125" s="54" t="s">
        <v>591</v>
      </c>
      <c r="D1125" s="0" t="n">
        <v>0.0662805302108031</v>
      </c>
      <c r="E1125" s="0" t="n">
        <v>0.259258052550583</v>
      </c>
      <c r="F1125" s="0" t="n">
        <v>1</v>
      </c>
      <c r="G1125" s="0" t="n">
        <v>2021</v>
      </c>
    </row>
    <row r="1126" customFormat="false" ht="15" hidden="false" customHeight="false" outlineLevel="0" collapsed="false">
      <c r="A1126" s="0" t="s">
        <v>258</v>
      </c>
      <c r="B1126" s="52" t="n">
        <v>44318</v>
      </c>
      <c r="C1126" s="54" t="s">
        <v>592</v>
      </c>
      <c r="D1126" s="0" t="n">
        <v>0.034845641841552</v>
      </c>
      <c r="E1126" s="0" t="n">
        <v>0.0367553747026244</v>
      </c>
      <c r="F1126" s="0" t="n">
        <v>1</v>
      </c>
      <c r="G1126" s="0" t="n">
        <v>2021</v>
      </c>
    </row>
    <row r="1127" customFormat="false" ht="15" hidden="false" customHeight="false" outlineLevel="0" collapsed="false">
      <c r="A1127" s="0" t="s">
        <v>258</v>
      </c>
      <c r="B1127" s="52" t="n">
        <v>44319</v>
      </c>
      <c r="C1127" s="54" t="s">
        <v>590</v>
      </c>
      <c r="D1127" s="0" t="n">
        <v>0.0069158711909</v>
      </c>
      <c r="E1127" s="0" t="n">
        <v>0.078765883327572</v>
      </c>
      <c r="F1127" s="0" t="n">
        <v>0</v>
      </c>
      <c r="G1127" s="0" t="n">
        <v>2021</v>
      </c>
    </row>
    <row r="1128" customFormat="false" ht="15" hidden="false" customHeight="false" outlineLevel="0" collapsed="false">
      <c r="A1128" s="0" t="s">
        <v>258</v>
      </c>
      <c r="B1128" s="52" t="n">
        <v>44319</v>
      </c>
      <c r="C1128" s="54" t="s">
        <v>591</v>
      </c>
      <c r="D1128" s="0" t="n">
        <v>0</v>
      </c>
      <c r="E1128" s="0" t="n">
        <v>0.129465383202315</v>
      </c>
      <c r="F1128" s="0" t="n">
        <v>0</v>
      </c>
      <c r="G1128" s="0" t="n">
        <v>2021</v>
      </c>
    </row>
    <row r="1129" customFormat="false" ht="15" hidden="false" customHeight="false" outlineLevel="0" collapsed="false">
      <c r="A1129" s="0" t="s">
        <v>258</v>
      </c>
      <c r="B1129" s="52" t="n">
        <v>44319</v>
      </c>
      <c r="C1129" s="54" t="s">
        <v>592</v>
      </c>
      <c r="D1129" s="0" t="n">
        <v>0.104507372976463</v>
      </c>
      <c r="E1129" s="0" t="n">
        <v>0.158748807397885</v>
      </c>
      <c r="F1129" s="0" t="n">
        <v>0</v>
      </c>
      <c r="G1129" s="0" t="n">
        <v>2021</v>
      </c>
    </row>
    <row r="1130" customFormat="false" ht="15" hidden="false" customHeight="false" outlineLevel="0" collapsed="false">
      <c r="A1130" s="0" t="s">
        <v>258</v>
      </c>
      <c r="B1130" s="52" t="n">
        <v>44320</v>
      </c>
      <c r="C1130" s="54" t="s">
        <v>590</v>
      </c>
      <c r="D1130" s="0" t="n">
        <v>0</v>
      </c>
      <c r="E1130" s="0" t="n">
        <v>0.228471839558997</v>
      </c>
      <c r="F1130" s="0" t="n">
        <v>0</v>
      </c>
      <c r="G1130" s="0" t="n">
        <v>2021</v>
      </c>
    </row>
    <row r="1131" customFormat="false" ht="15" hidden="false" customHeight="false" outlineLevel="0" collapsed="false">
      <c r="A1131" s="0" t="s">
        <v>258</v>
      </c>
      <c r="B1131" s="52" t="n">
        <v>44320</v>
      </c>
      <c r="C1131" s="54" t="s">
        <v>591</v>
      </c>
      <c r="D1131" s="0" t="n">
        <v>0</v>
      </c>
      <c r="E1131" s="0" t="n">
        <v>0.0727677214379084</v>
      </c>
      <c r="F1131" s="0" t="n">
        <v>0</v>
      </c>
      <c r="G1131" s="0" t="n">
        <v>2021</v>
      </c>
    </row>
    <row r="1132" customFormat="false" ht="15" hidden="false" customHeight="false" outlineLevel="0" collapsed="false">
      <c r="A1132" s="0" t="s">
        <v>258</v>
      </c>
      <c r="B1132" s="52" t="n">
        <v>44320</v>
      </c>
      <c r="C1132" s="54" t="s">
        <v>592</v>
      </c>
      <c r="D1132" s="0" t="n">
        <v>0.0151891035290877</v>
      </c>
      <c r="E1132" s="0" t="n">
        <v>0.126229417830108</v>
      </c>
      <c r="F1132" s="0" t="n">
        <v>0</v>
      </c>
      <c r="G1132" s="0" t="n">
        <v>2021</v>
      </c>
    </row>
    <row r="1133" customFormat="false" ht="15" hidden="false" customHeight="false" outlineLevel="0" collapsed="false">
      <c r="A1133" s="0" t="s">
        <v>258</v>
      </c>
      <c r="B1133" s="52" t="n">
        <v>44321</v>
      </c>
      <c r="C1133" s="54" t="s">
        <v>590</v>
      </c>
      <c r="D1133" s="0" t="n">
        <v>0.107582263287105</v>
      </c>
      <c r="E1133" s="0" t="n">
        <v>0.0921814679258134</v>
      </c>
      <c r="F1133" s="0" t="n">
        <v>0</v>
      </c>
      <c r="G1133" s="0" t="n">
        <v>2021</v>
      </c>
    </row>
    <row r="1134" customFormat="false" ht="15" hidden="false" customHeight="false" outlineLevel="0" collapsed="false">
      <c r="A1134" s="0" t="s">
        <v>258</v>
      </c>
      <c r="B1134" s="52" t="n">
        <v>44321</v>
      </c>
      <c r="C1134" s="54" t="s">
        <v>591</v>
      </c>
      <c r="D1134" s="0" t="n">
        <v>0.0055579927562468</v>
      </c>
      <c r="E1134" s="0" t="n">
        <v>0.0645854737892658</v>
      </c>
      <c r="F1134" s="0" t="n">
        <v>0</v>
      </c>
      <c r="G1134" s="0" t="n">
        <v>2021</v>
      </c>
    </row>
    <row r="1135" customFormat="false" ht="15" hidden="false" customHeight="false" outlineLevel="0" collapsed="false">
      <c r="A1135" s="0" t="s">
        <v>258</v>
      </c>
      <c r="B1135" s="52" t="n">
        <v>44321</v>
      </c>
      <c r="C1135" s="54" t="s">
        <v>592</v>
      </c>
      <c r="D1135" s="0" t="n">
        <v>0</v>
      </c>
      <c r="E1135" s="0" t="n">
        <v>0.083622030260203</v>
      </c>
      <c r="F1135" s="0" t="n">
        <v>0</v>
      </c>
      <c r="G1135" s="0" t="n">
        <v>2021</v>
      </c>
    </row>
    <row r="1136" customFormat="false" ht="15" hidden="false" customHeight="false" outlineLevel="0" collapsed="false">
      <c r="A1136" s="0" t="s">
        <v>258</v>
      </c>
      <c r="B1136" s="52" t="n">
        <v>44322</v>
      </c>
      <c r="C1136" s="54" t="s">
        <v>590</v>
      </c>
      <c r="D1136" s="0" t="n">
        <v>0.008333299497364</v>
      </c>
      <c r="E1136" s="0" t="n">
        <v>0.070749543760996</v>
      </c>
      <c r="F1136" s="0" t="n">
        <v>0</v>
      </c>
      <c r="G1136" s="0" t="n">
        <v>2021</v>
      </c>
    </row>
    <row r="1137" customFormat="false" ht="15" hidden="false" customHeight="false" outlineLevel="0" collapsed="false">
      <c r="A1137" s="0" t="s">
        <v>258</v>
      </c>
      <c r="B1137" s="52" t="n">
        <v>44322</v>
      </c>
      <c r="C1137" s="54" t="s">
        <v>591</v>
      </c>
      <c r="D1137" s="0" t="n">
        <v>0.0334142824539096</v>
      </c>
      <c r="E1137" s="0" t="n">
        <v>0.0834699700469137</v>
      </c>
      <c r="F1137" s="0" t="n">
        <v>0</v>
      </c>
      <c r="G1137" s="0" t="n">
        <v>2021</v>
      </c>
    </row>
    <row r="1138" customFormat="false" ht="15" hidden="false" customHeight="false" outlineLevel="0" collapsed="false">
      <c r="A1138" s="0" t="s">
        <v>258</v>
      </c>
      <c r="B1138" s="52" t="n">
        <v>44322</v>
      </c>
      <c r="C1138" s="54" t="s">
        <v>592</v>
      </c>
      <c r="D1138" s="0" t="n">
        <v>0</v>
      </c>
      <c r="E1138" s="0" t="n">
        <v>0.0765796050972866</v>
      </c>
      <c r="F1138" s="0" t="n">
        <v>0</v>
      </c>
      <c r="G1138" s="0" t="n">
        <v>2021</v>
      </c>
    </row>
    <row r="1139" customFormat="false" ht="15" hidden="false" customHeight="false" outlineLevel="0" collapsed="false">
      <c r="A1139" s="0" t="s">
        <v>258</v>
      </c>
      <c r="B1139" s="52" t="n">
        <v>44323</v>
      </c>
      <c r="C1139" s="54" t="s">
        <v>590</v>
      </c>
      <c r="D1139" s="0" t="n">
        <v>0</v>
      </c>
      <c r="E1139" s="0" t="n">
        <v>0.157731407469406</v>
      </c>
      <c r="F1139" s="0" t="n">
        <v>0</v>
      </c>
      <c r="G1139" s="0" t="n">
        <v>2021</v>
      </c>
    </row>
    <row r="1140" customFormat="false" ht="15" hidden="false" customHeight="false" outlineLevel="0" collapsed="false">
      <c r="A1140" s="0" t="s">
        <v>258</v>
      </c>
      <c r="B1140" s="52" t="n">
        <v>44323</v>
      </c>
      <c r="C1140" s="54" t="s">
        <v>591</v>
      </c>
      <c r="D1140" s="0" t="n">
        <v>0.0252801834808519</v>
      </c>
      <c r="E1140" s="0" t="n">
        <v>0.0631168459294796</v>
      </c>
      <c r="F1140" s="0" t="n">
        <v>0</v>
      </c>
      <c r="G1140" s="0" t="n">
        <v>2021</v>
      </c>
    </row>
    <row r="1141" customFormat="false" ht="15" hidden="false" customHeight="false" outlineLevel="0" collapsed="false">
      <c r="A1141" s="0" t="s">
        <v>258</v>
      </c>
      <c r="B1141" s="52" t="n">
        <v>44323</v>
      </c>
      <c r="C1141" s="54" t="s">
        <v>592</v>
      </c>
      <c r="D1141" s="0" t="n">
        <v>0.0586980796276707</v>
      </c>
      <c r="E1141" s="0" t="n">
        <v>0.194641093131276</v>
      </c>
      <c r="F1141" s="0" t="n">
        <v>0</v>
      </c>
      <c r="G1141" s="0" t="n">
        <v>2021</v>
      </c>
    </row>
    <row r="1142" customFormat="false" ht="15" hidden="false" customHeight="false" outlineLevel="0" collapsed="false">
      <c r="A1142" s="0" t="s">
        <v>258</v>
      </c>
      <c r="B1142" s="52" t="n">
        <v>44324</v>
      </c>
      <c r="C1142" s="54" t="s">
        <v>590</v>
      </c>
      <c r="D1142" s="0" t="n">
        <v>0.0498198961502896</v>
      </c>
      <c r="E1142" s="0" t="n">
        <v>0.190360336742051</v>
      </c>
      <c r="F1142" s="0" t="n">
        <v>1</v>
      </c>
      <c r="G1142" s="0" t="n">
        <v>2021</v>
      </c>
    </row>
    <row r="1143" customFormat="false" ht="15" hidden="false" customHeight="false" outlineLevel="0" collapsed="false">
      <c r="A1143" s="0" t="s">
        <v>258</v>
      </c>
      <c r="B1143" s="52" t="n">
        <v>44325</v>
      </c>
      <c r="C1143" s="54" t="s">
        <v>591</v>
      </c>
      <c r="D1143" s="0" t="n">
        <v>0.0207104693050801</v>
      </c>
      <c r="E1143" s="0" t="n">
        <v>0.0803381105012475</v>
      </c>
      <c r="F1143" s="0" t="n">
        <v>1</v>
      </c>
      <c r="G1143" s="0" t="n">
        <v>2021</v>
      </c>
    </row>
    <row r="1144" customFormat="false" ht="15" hidden="false" customHeight="false" outlineLevel="0" collapsed="false">
      <c r="A1144" s="0" t="s">
        <v>258</v>
      </c>
      <c r="B1144" s="52" t="n">
        <v>44325</v>
      </c>
      <c r="C1144" s="54" t="s">
        <v>592</v>
      </c>
      <c r="D1144" s="0" t="n">
        <v>0</v>
      </c>
      <c r="E1144" s="0" t="n">
        <v>0.11711047716554</v>
      </c>
      <c r="F1144" s="0" t="n">
        <v>1</v>
      </c>
      <c r="G1144" s="0" t="n">
        <v>2021</v>
      </c>
    </row>
    <row r="1145" customFormat="false" ht="15" hidden="false" customHeight="false" outlineLevel="0" collapsed="false">
      <c r="A1145" s="0" t="s">
        <v>258</v>
      </c>
      <c r="B1145" s="52" t="n">
        <v>44326</v>
      </c>
      <c r="C1145" s="54" t="s">
        <v>590</v>
      </c>
      <c r="D1145" s="0" t="n">
        <v>0.0180911074579379</v>
      </c>
      <c r="E1145" s="0" t="n">
        <v>0.111547059834599</v>
      </c>
      <c r="F1145" s="0" t="n">
        <v>0</v>
      </c>
      <c r="G1145" s="0" t="n">
        <v>2021</v>
      </c>
    </row>
    <row r="1146" customFormat="false" ht="15" hidden="false" customHeight="false" outlineLevel="0" collapsed="false">
      <c r="A1146" s="0" t="s">
        <v>258</v>
      </c>
      <c r="B1146" s="52" t="n">
        <v>44326</v>
      </c>
      <c r="C1146" s="54" t="s">
        <v>591</v>
      </c>
      <c r="D1146" s="0" t="n">
        <v>0</v>
      </c>
      <c r="E1146" s="0" t="n">
        <v>0.0518292821369043</v>
      </c>
      <c r="F1146" s="0" t="n">
        <v>0</v>
      </c>
      <c r="G1146" s="0" t="n">
        <v>2021</v>
      </c>
    </row>
    <row r="1147" customFormat="false" ht="15" hidden="false" customHeight="false" outlineLevel="0" collapsed="false">
      <c r="A1147" s="0" t="s">
        <v>258</v>
      </c>
      <c r="B1147" s="52" t="n">
        <v>44326</v>
      </c>
      <c r="C1147" s="54" t="s">
        <v>592</v>
      </c>
      <c r="D1147" s="0" t="n">
        <v>0.394470623617903</v>
      </c>
      <c r="E1147" s="0" t="n">
        <v>0.269602677756312</v>
      </c>
      <c r="F1147" s="0" t="n">
        <v>0</v>
      </c>
      <c r="G1147" s="0" t="n">
        <v>2021</v>
      </c>
    </row>
    <row r="1148" customFormat="false" ht="15" hidden="false" customHeight="false" outlineLevel="0" collapsed="false">
      <c r="A1148" s="0" t="s">
        <v>258</v>
      </c>
      <c r="B1148" s="52" t="n">
        <v>44327</v>
      </c>
      <c r="C1148" s="54" t="s">
        <v>590</v>
      </c>
      <c r="D1148" s="0" t="n">
        <v>0.292984611952849</v>
      </c>
      <c r="E1148" s="0" t="n">
        <v>0.183579723735546</v>
      </c>
      <c r="F1148" s="0" t="n">
        <v>0</v>
      </c>
      <c r="G1148" s="0" t="n">
        <v>2021</v>
      </c>
    </row>
    <row r="1149" customFormat="false" ht="15" hidden="false" customHeight="false" outlineLevel="0" collapsed="false">
      <c r="A1149" s="0" t="s">
        <v>258</v>
      </c>
      <c r="B1149" s="52" t="n">
        <v>44332</v>
      </c>
      <c r="C1149" s="54" t="s">
        <v>590</v>
      </c>
      <c r="D1149" s="0" t="n">
        <v>0.0962332301677925</v>
      </c>
      <c r="E1149" s="0" t="n">
        <v>0.0491693025134264</v>
      </c>
      <c r="F1149" s="0" t="n">
        <v>1</v>
      </c>
      <c r="G1149" s="0" t="n">
        <v>2021</v>
      </c>
    </row>
    <row r="1150" customFormat="false" ht="15" hidden="false" customHeight="false" outlineLevel="0" collapsed="false">
      <c r="A1150" s="0" t="s">
        <v>258</v>
      </c>
      <c r="B1150" s="52" t="n">
        <v>44332</v>
      </c>
      <c r="C1150" s="54" t="s">
        <v>591</v>
      </c>
      <c r="D1150" s="0" t="n">
        <v>0.0178223318439842</v>
      </c>
      <c r="E1150" s="0" t="n">
        <v>0.0561915958349424</v>
      </c>
      <c r="F1150" s="0" t="n">
        <v>1</v>
      </c>
      <c r="G1150" s="0" t="n">
        <v>2021</v>
      </c>
    </row>
    <row r="1151" customFormat="false" ht="15" hidden="false" customHeight="false" outlineLevel="0" collapsed="false">
      <c r="A1151" s="0" t="s">
        <v>258</v>
      </c>
      <c r="B1151" s="52" t="n">
        <v>44332</v>
      </c>
      <c r="C1151" s="54" t="s">
        <v>592</v>
      </c>
      <c r="D1151" s="0" t="n">
        <v>0</v>
      </c>
      <c r="E1151" s="0" t="n">
        <v>0.120412413311235</v>
      </c>
      <c r="F1151" s="0" t="n">
        <v>1</v>
      </c>
      <c r="G1151" s="0" t="n">
        <v>2021</v>
      </c>
    </row>
    <row r="1152" customFormat="false" ht="15" hidden="false" customHeight="false" outlineLevel="0" collapsed="false">
      <c r="A1152" s="0" t="s">
        <v>258</v>
      </c>
      <c r="B1152" s="52" t="n">
        <v>44333</v>
      </c>
      <c r="C1152" s="54" t="s">
        <v>590</v>
      </c>
      <c r="D1152" s="0" t="n">
        <v>0.125721136436622</v>
      </c>
      <c r="E1152" s="0" t="n">
        <v>0.158890462582232</v>
      </c>
      <c r="F1152" s="0" t="n">
        <v>0</v>
      </c>
      <c r="G1152" s="0" t="n">
        <v>2021</v>
      </c>
    </row>
    <row r="1153" customFormat="false" ht="15" hidden="false" customHeight="false" outlineLevel="0" collapsed="false">
      <c r="A1153" s="0" t="s">
        <v>258</v>
      </c>
      <c r="B1153" s="52" t="n">
        <v>44333</v>
      </c>
      <c r="C1153" s="54" t="s">
        <v>591</v>
      </c>
      <c r="D1153" s="0" t="n">
        <v>0.105997247258329</v>
      </c>
      <c r="E1153" s="0" t="n">
        <v>0.0536267512322055</v>
      </c>
      <c r="F1153" s="0" t="n">
        <v>0</v>
      </c>
      <c r="G1153" s="0" t="n">
        <v>2021</v>
      </c>
    </row>
    <row r="1154" customFormat="false" ht="15" hidden="false" customHeight="false" outlineLevel="0" collapsed="false">
      <c r="A1154" s="0" t="s">
        <v>258</v>
      </c>
      <c r="B1154" s="52" t="n">
        <v>44333</v>
      </c>
      <c r="C1154" s="54" t="s">
        <v>592</v>
      </c>
      <c r="D1154" s="0" t="n">
        <v>0.0921695755590976</v>
      </c>
      <c r="E1154" s="0" t="n">
        <v>0.158258156019907</v>
      </c>
      <c r="F1154" s="0" t="n">
        <v>0</v>
      </c>
      <c r="G1154" s="0" t="n">
        <v>2021</v>
      </c>
    </row>
    <row r="1155" customFormat="false" ht="15" hidden="false" customHeight="false" outlineLevel="0" collapsed="false">
      <c r="A1155" s="0" t="s">
        <v>258</v>
      </c>
      <c r="B1155" s="52" t="n">
        <v>44334</v>
      </c>
      <c r="C1155" s="54" t="s">
        <v>590</v>
      </c>
      <c r="D1155" s="0" t="n">
        <v>0.0136316223498326</v>
      </c>
      <c r="E1155" s="0" t="n">
        <v>0.277214797951509</v>
      </c>
      <c r="F1155" s="0" t="n">
        <v>0</v>
      </c>
      <c r="G1155" s="0" t="n">
        <v>2021</v>
      </c>
    </row>
    <row r="1156" customFormat="false" ht="15" hidden="false" customHeight="false" outlineLevel="0" collapsed="false">
      <c r="A1156" s="0" t="s">
        <v>258</v>
      </c>
      <c r="B1156" s="52" t="n">
        <v>44334</v>
      </c>
      <c r="C1156" s="54" t="s">
        <v>591</v>
      </c>
      <c r="D1156" s="0" t="n">
        <v>0.0046201765273924</v>
      </c>
      <c r="E1156" s="0" t="n">
        <v>0.0397964794710264</v>
      </c>
      <c r="F1156" s="0" t="n">
        <v>0</v>
      </c>
      <c r="G1156" s="0" t="n">
        <v>2021</v>
      </c>
    </row>
    <row r="1157" customFormat="false" ht="15" hidden="false" customHeight="false" outlineLevel="0" collapsed="false">
      <c r="A1157" s="0" t="s">
        <v>258</v>
      </c>
      <c r="B1157" s="52" t="n">
        <v>44334</v>
      </c>
      <c r="C1157" s="54" t="s">
        <v>592</v>
      </c>
      <c r="D1157" s="0" t="n">
        <v>0.327574255971244</v>
      </c>
      <c r="E1157" s="0" t="n">
        <v>0.097830499197902</v>
      </c>
      <c r="F1157" s="0" t="n">
        <v>0</v>
      </c>
      <c r="G1157" s="0" t="n">
        <v>2021</v>
      </c>
    </row>
    <row r="1158" customFormat="false" ht="15" hidden="false" customHeight="false" outlineLevel="0" collapsed="false">
      <c r="A1158" s="0" t="s">
        <v>258</v>
      </c>
      <c r="B1158" s="52" t="n">
        <v>44335</v>
      </c>
      <c r="C1158" s="54" t="s">
        <v>590</v>
      </c>
      <c r="D1158" s="0" t="n">
        <v>0.635669910581936</v>
      </c>
      <c r="E1158" s="0" t="n">
        <v>0</v>
      </c>
      <c r="F1158" s="0" t="n">
        <v>0</v>
      </c>
      <c r="G1158" s="0" t="n">
        <v>2021</v>
      </c>
    </row>
    <row r="1159" customFormat="false" ht="15" hidden="false" customHeight="false" outlineLevel="0" collapsed="false">
      <c r="A1159" s="0" t="s">
        <v>258</v>
      </c>
      <c r="B1159" s="52" t="n">
        <v>44335</v>
      </c>
      <c r="C1159" s="54" t="s">
        <v>591</v>
      </c>
      <c r="D1159" s="0" t="n">
        <v>0.0154715497248703</v>
      </c>
      <c r="E1159" s="0" t="n">
        <v>0.05486285184377</v>
      </c>
      <c r="F1159" s="0" t="n">
        <v>0</v>
      </c>
      <c r="G1159" s="0" t="n">
        <v>2021</v>
      </c>
    </row>
    <row r="1160" customFormat="false" ht="15" hidden="false" customHeight="false" outlineLevel="0" collapsed="false">
      <c r="A1160" s="0" t="s">
        <v>258</v>
      </c>
      <c r="B1160" s="52" t="n">
        <v>44335</v>
      </c>
      <c r="C1160" s="54" t="s">
        <v>592</v>
      </c>
      <c r="D1160" s="0" t="n">
        <v>0.0042235597713198</v>
      </c>
      <c r="E1160" s="0" t="n">
        <v>0.248999737112583</v>
      </c>
      <c r="F1160" s="0" t="n">
        <v>0</v>
      </c>
      <c r="G1160" s="0" t="n">
        <v>2021</v>
      </c>
    </row>
    <row r="1161" customFormat="false" ht="15" hidden="false" customHeight="false" outlineLevel="0" collapsed="false">
      <c r="A1161" s="0" t="s">
        <v>258</v>
      </c>
      <c r="B1161" s="52" t="n">
        <v>44336</v>
      </c>
      <c r="C1161" s="54" t="s">
        <v>590</v>
      </c>
      <c r="D1161" s="0" t="n">
        <v>0.0043644730739651</v>
      </c>
      <c r="E1161" s="0" t="n">
        <v>0.160259221425762</v>
      </c>
      <c r="F1161" s="0" t="n">
        <v>0</v>
      </c>
      <c r="G1161" s="0" t="n">
        <v>2021</v>
      </c>
    </row>
    <row r="1162" customFormat="false" ht="15" hidden="false" customHeight="false" outlineLevel="0" collapsed="false">
      <c r="A1162" s="0" t="s">
        <v>258</v>
      </c>
      <c r="B1162" s="52" t="n">
        <v>44336</v>
      </c>
      <c r="C1162" s="54" t="s">
        <v>591</v>
      </c>
      <c r="D1162" s="0" t="n">
        <v>0.0007657457572641</v>
      </c>
      <c r="E1162" s="0" t="n">
        <v>0.11525414220164</v>
      </c>
      <c r="F1162" s="0" t="n">
        <v>0</v>
      </c>
      <c r="G1162" s="0" t="n">
        <v>2021</v>
      </c>
    </row>
    <row r="1163" customFormat="false" ht="15" hidden="false" customHeight="false" outlineLevel="0" collapsed="false">
      <c r="A1163" s="0" t="s">
        <v>258</v>
      </c>
      <c r="B1163" s="52" t="n">
        <v>44336</v>
      </c>
      <c r="C1163" s="54" t="s">
        <v>592</v>
      </c>
      <c r="D1163" s="0" t="n">
        <v>0.0087830567085077</v>
      </c>
      <c r="E1163" s="0" t="n">
        <v>0.0578400547795521</v>
      </c>
      <c r="F1163" s="0" t="n">
        <v>0</v>
      </c>
      <c r="G1163" s="0" t="n">
        <v>2021</v>
      </c>
    </row>
    <row r="1164" customFormat="false" ht="15" hidden="false" customHeight="false" outlineLevel="0" collapsed="false">
      <c r="A1164" s="0" t="s">
        <v>258</v>
      </c>
      <c r="B1164" s="52" t="n">
        <v>44337</v>
      </c>
      <c r="C1164" s="54" t="s">
        <v>590</v>
      </c>
      <c r="D1164" s="0" t="n">
        <v>0.00920512903904</v>
      </c>
      <c r="E1164" s="0" t="n">
        <v>0.12836196651669</v>
      </c>
      <c r="F1164" s="0" t="n">
        <v>0</v>
      </c>
      <c r="G1164" s="0" t="n">
        <v>2021</v>
      </c>
    </row>
    <row r="1165" customFormat="false" ht="15" hidden="false" customHeight="false" outlineLevel="0" collapsed="false">
      <c r="A1165" s="0" t="s">
        <v>258</v>
      </c>
      <c r="B1165" s="52" t="n">
        <v>44337</v>
      </c>
      <c r="C1165" s="54" t="s">
        <v>591</v>
      </c>
      <c r="D1165" s="0" t="n">
        <v>0</v>
      </c>
      <c r="E1165" s="0" t="n">
        <v>0.0192873158690145</v>
      </c>
      <c r="F1165" s="0" t="n">
        <v>0</v>
      </c>
      <c r="G1165" s="0" t="n">
        <v>2021</v>
      </c>
    </row>
    <row r="1166" customFormat="false" ht="15" hidden="false" customHeight="false" outlineLevel="0" collapsed="false">
      <c r="A1166" s="0" t="s">
        <v>258</v>
      </c>
      <c r="B1166" s="52" t="n">
        <v>44337</v>
      </c>
      <c r="C1166" s="54" t="s">
        <v>592</v>
      </c>
      <c r="D1166" s="0" t="n">
        <v>0.0016945314506557</v>
      </c>
      <c r="E1166" s="0" t="n">
        <v>0.119128562505414</v>
      </c>
      <c r="F1166" s="0" t="n">
        <v>0</v>
      </c>
      <c r="G1166" s="0" t="n">
        <v>2021</v>
      </c>
    </row>
    <row r="1167" customFormat="false" ht="15" hidden="false" customHeight="false" outlineLevel="0" collapsed="false">
      <c r="A1167" s="0" t="s">
        <v>258</v>
      </c>
      <c r="B1167" s="52" t="n">
        <v>44338</v>
      </c>
      <c r="C1167" s="54" t="s">
        <v>590</v>
      </c>
      <c r="D1167" s="0" t="n">
        <v>0.217101533326781</v>
      </c>
      <c r="E1167" s="0" t="n">
        <v>0.0464747671547713</v>
      </c>
      <c r="F1167" s="0" t="n">
        <v>1</v>
      </c>
      <c r="G1167" s="0" t="n">
        <v>2021</v>
      </c>
    </row>
    <row r="1168" customFormat="false" ht="15" hidden="false" customHeight="false" outlineLevel="0" collapsed="false">
      <c r="A1168" s="0" t="s">
        <v>258</v>
      </c>
      <c r="B1168" s="52" t="n">
        <v>44339</v>
      </c>
      <c r="C1168" s="54" t="s">
        <v>592</v>
      </c>
      <c r="D1168" s="0" t="n">
        <v>0.198311622939535</v>
      </c>
      <c r="E1168" s="0" t="n">
        <v>0.0753417969001398</v>
      </c>
      <c r="F1168" s="0" t="n">
        <v>1</v>
      </c>
      <c r="G1168" s="0" t="n">
        <v>2021</v>
      </c>
    </row>
    <row r="1169" customFormat="false" ht="15" hidden="false" customHeight="false" outlineLevel="0" collapsed="false">
      <c r="A1169" s="0" t="s">
        <v>258</v>
      </c>
      <c r="B1169" s="52" t="n">
        <v>44340</v>
      </c>
      <c r="C1169" s="54" t="s">
        <v>590</v>
      </c>
      <c r="D1169" s="0" t="n">
        <v>0.0193710991147939</v>
      </c>
      <c r="E1169" s="0" t="n">
        <v>0.29972549616675</v>
      </c>
      <c r="F1169" s="0" t="n">
        <v>0</v>
      </c>
      <c r="G1169" s="0" t="n">
        <v>2021</v>
      </c>
    </row>
    <row r="1170" customFormat="false" ht="15" hidden="false" customHeight="false" outlineLevel="0" collapsed="false">
      <c r="A1170" s="0" t="s">
        <v>258</v>
      </c>
      <c r="B1170" s="52" t="n">
        <v>44340</v>
      </c>
      <c r="C1170" s="54" t="s">
        <v>591</v>
      </c>
      <c r="D1170" s="0" t="n">
        <v>0</v>
      </c>
      <c r="E1170" s="0" t="n">
        <v>0.192309830934758</v>
      </c>
      <c r="F1170" s="0" t="n">
        <v>0</v>
      </c>
      <c r="G1170" s="0" t="n">
        <v>2021</v>
      </c>
    </row>
    <row r="1171" customFormat="false" ht="15" hidden="false" customHeight="false" outlineLevel="0" collapsed="false">
      <c r="A1171" s="0" t="s">
        <v>258</v>
      </c>
      <c r="B1171" s="52" t="n">
        <v>44340</v>
      </c>
      <c r="C1171" s="54" t="s">
        <v>592</v>
      </c>
      <c r="D1171" s="0" t="n">
        <v>0.233326025863255</v>
      </c>
      <c r="E1171" s="0" t="n">
        <v>0.151349576514617</v>
      </c>
      <c r="F1171" s="0" t="n">
        <v>0</v>
      </c>
      <c r="G1171" s="0" t="n">
        <v>2021</v>
      </c>
    </row>
    <row r="1172" customFormat="false" ht="15" hidden="false" customHeight="false" outlineLevel="0" collapsed="false">
      <c r="A1172" s="0" t="s">
        <v>258</v>
      </c>
      <c r="B1172" s="52" t="n">
        <v>44341</v>
      </c>
      <c r="C1172" s="54" t="s">
        <v>590</v>
      </c>
      <c r="D1172" s="0" t="n">
        <v>0.296059439577134</v>
      </c>
      <c r="E1172" s="0" t="n">
        <v>0.0733279186984947</v>
      </c>
      <c r="F1172" s="0" t="n">
        <v>0</v>
      </c>
      <c r="G1172" s="0" t="n">
        <v>2021</v>
      </c>
    </row>
    <row r="1173" customFormat="false" ht="15" hidden="false" customHeight="false" outlineLevel="0" collapsed="false">
      <c r="A1173" s="0" t="s">
        <v>258</v>
      </c>
      <c r="B1173" s="52" t="n">
        <v>44341</v>
      </c>
      <c r="C1173" s="54" t="s">
        <v>591</v>
      </c>
      <c r="D1173" s="0" t="n">
        <v>0.0336872224753563</v>
      </c>
      <c r="E1173" s="0" t="n">
        <v>0.0226744925867797</v>
      </c>
      <c r="F1173" s="0" t="n">
        <v>0</v>
      </c>
      <c r="G1173" s="0" t="n">
        <v>2021</v>
      </c>
    </row>
    <row r="1174" customFormat="false" ht="15" hidden="false" customHeight="false" outlineLevel="0" collapsed="false">
      <c r="A1174" s="0" t="s">
        <v>258</v>
      </c>
      <c r="B1174" s="52" t="n">
        <v>44341</v>
      </c>
      <c r="C1174" s="54" t="s">
        <v>592</v>
      </c>
      <c r="D1174" s="0" t="n">
        <v>0.0098267646465432</v>
      </c>
      <c r="E1174" s="0" t="n">
        <v>0.0194723912564847</v>
      </c>
      <c r="F1174" s="0" t="n">
        <v>0</v>
      </c>
      <c r="G1174" s="0" t="n">
        <v>2021</v>
      </c>
    </row>
    <row r="1175" customFormat="false" ht="15" hidden="false" customHeight="false" outlineLevel="0" collapsed="false">
      <c r="A1175" s="0" t="s">
        <v>258</v>
      </c>
      <c r="B1175" s="52" t="n">
        <v>44342</v>
      </c>
      <c r="C1175" s="54" t="s">
        <v>590</v>
      </c>
      <c r="D1175" s="0" t="n">
        <v>0.0263387652232639</v>
      </c>
      <c r="E1175" s="0" t="n">
        <v>0.0935769119507652</v>
      </c>
      <c r="F1175" s="0" t="n">
        <v>0</v>
      </c>
      <c r="G1175" s="0" t="n">
        <v>2021</v>
      </c>
    </row>
    <row r="1176" customFormat="false" ht="15" hidden="false" customHeight="false" outlineLevel="0" collapsed="false">
      <c r="A1176" s="0" t="s">
        <v>258</v>
      </c>
      <c r="B1176" s="52" t="n">
        <v>44342</v>
      </c>
      <c r="C1176" s="54" t="s">
        <v>591</v>
      </c>
      <c r="D1176" s="0" t="n">
        <v>0.147398753545148</v>
      </c>
      <c r="E1176" s="0" t="n">
        <v>0.028707320432584</v>
      </c>
      <c r="F1176" s="0" t="n">
        <v>0</v>
      </c>
      <c r="G1176" s="0" t="n">
        <v>2021</v>
      </c>
    </row>
    <row r="1177" customFormat="false" ht="15" hidden="false" customHeight="false" outlineLevel="0" collapsed="false">
      <c r="A1177" s="0" t="s">
        <v>258</v>
      </c>
      <c r="B1177" s="52" t="n">
        <v>44342</v>
      </c>
      <c r="C1177" s="54" t="s">
        <v>592</v>
      </c>
      <c r="D1177" s="0" t="n">
        <v>0.000850128628488</v>
      </c>
      <c r="E1177" s="0" t="n">
        <v>0.225168456900302</v>
      </c>
      <c r="F1177" s="0" t="n">
        <v>0</v>
      </c>
      <c r="G1177" s="0" t="n">
        <v>2021</v>
      </c>
    </row>
    <row r="1178" customFormat="false" ht="15" hidden="false" customHeight="false" outlineLevel="0" collapsed="false">
      <c r="A1178" s="0" t="s">
        <v>258</v>
      </c>
      <c r="B1178" s="52" t="n">
        <v>44343</v>
      </c>
      <c r="C1178" s="54" t="s">
        <v>590</v>
      </c>
      <c r="D1178" s="0" t="n">
        <v>0.0052857939502541</v>
      </c>
      <c r="E1178" s="0" t="n">
        <v>0.145834320518378</v>
      </c>
      <c r="F1178" s="0" t="n">
        <v>0</v>
      </c>
      <c r="G1178" s="0" t="n">
        <v>2021</v>
      </c>
    </row>
    <row r="1179" customFormat="false" ht="15" hidden="false" customHeight="false" outlineLevel="0" collapsed="false">
      <c r="A1179" s="0" t="s">
        <v>258</v>
      </c>
      <c r="B1179" s="52" t="n">
        <v>44343</v>
      </c>
      <c r="C1179" s="54" t="s">
        <v>591</v>
      </c>
      <c r="D1179" s="0" t="n">
        <v>0</v>
      </c>
      <c r="E1179" s="0" t="n">
        <v>0.215649693784491</v>
      </c>
      <c r="F1179" s="0" t="n">
        <v>0</v>
      </c>
      <c r="G1179" s="0" t="n">
        <v>2021</v>
      </c>
    </row>
    <row r="1180" customFormat="false" ht="15" hidden="false" customHeight="false" outlineLevel="0" collapsed="false">
      <c r="A1180" s="0" t="s">
        <v>258</v>
      </c>
      <c r="B1180" s="52" t="n">
        <v>44343</v>
      </c>
      <c r="C1180" s="54" t="s">
        <v>592</v>
      </c>
      <c r="D1180" s="0" t="n">
        <v>0.0759490803792748</v>
      </c>
      <c r="E1180" s="0" t="n">
        <v>0.0531571208369152</v>
      </c>
      <c r="F1180" s="0" t="n">
        <v>0</v>
      </c>
      <c r="G1180" s="0" t="n">
        <v>2021</v>
      </c>
    </row>
    <row r="1181" customFormat="false" ht="15" hidden="false" customHeight="false" outlineLevel="0" collapsed="false">
      <c r="A1181" s="0" t="s">
        <v>258</v>
      </c>
      <c r="B1181" s="52" t="n">
        <v>44344</v>
      </c>
      <c r="C1181" s="54" t="s">
        <v>590</v>
      </c>
      <c r="D1181" s="0" t="n">
        <v>0.0091552050639881</v>
      </c>
      <c r="E1181" s="0" t="n">
        <v>0.325899199522224</v>
      </c>
      <c r="F1181" s="0" t="n">
        <v>0</v>
      </c>
      <c r="G1181" s="0" t="n">
        <v>2021</v>
      </c>
    </row>
    <row r="1182" customFormat="false" ht="15" hidden="false" customHeight="false" outlineLevel="0" collapsed="false">
      <c r="A1182" s="0" t="s">
        <v>258</v>
      </c>
      <c r="B1182" s="52" t="n">
        <v>44344</v>
      </c>
      <c r="C1182" s="54" t="s">
        <v>591</v>
      </c>
      <c r="D1182" s="0" t="n">
        <v>0.0103877393798156</v>
      </c>
      <c r="E1182" s="0" t="n">
        <v>0.244220060992019</v>
      </c>
      <c r="F1182" s="0" t="n">
        <v>0</v>
      </c>
      <c r="G1182" s="0" t="n">
        <v>2021</v>
      </c>
    </row>
    <row r="1183" customFormat="false" ht="15" hidden="false" customHeight="false" outlineLevel="0" collapsed="false">
      <c r="A1183" s="0" t="s">
        <v>258</v>
      </c>
      <c r="B1183" s="52" t="n">
        <v>44344</v>
      </c>
      <c r="C1183" s="54" t="s">
        <v>592</v>
      </c>
      <c r="D1183" s="0" t="n">
        <v>0.0010261517239503</v>
      </c>
      <c r="E1183" s="0" t="n">
        <v>0.0662675338266897</v>
      </c>
      <c r="F1183" s="0" t="n">
        <v>0</v>
      </c>
      <c r="G1183" s="0" t="n">
        <v>2021</v>
      </c>
    </row>
    <row r="1184" customFormat="false" ht="15" hidden="false" customHeight="false" outlineLevel="0" collapsed="false">
      <c r="A1184" s="0" t="s">
        <v>258</v>
      </c>
      <c r="B1184" s="52" t="n">
        <v>44345</v>
      </c>
      <c r="C1184" s="54" t="s">
        <v>590</v>
      </c>
      <c r="D1184" s="0" t="n">
        <v>0.132574120434936</v>
      </c>
      <c r="E1184" s="0" t="n">
        <v>0.0564613572784177</v>
      </c>
      <c r="F1184" s="0" t="n">
        <v>1</v>
      </c>
      <c r="G1184" s="0" t="n">
        <v>2021</v>
      </c>
    </row>
    <row r="1185" customFormat="false" ht="15" hidden="false" customHeight="false" outlineLevel="0" collapsed="false">
      <c r="A1185" s="0" t="s">
        <v>258</v>
      </c>
      <c r="B1185" s="52" t="n">
        <v>44346</v>
      </c>
      <c r="C1185" s="54" t="s">
        <v>591</v>
      </c>
      <c r="D1185" s="0" t="n">
        <v>0.0904790389798388</v>
      </c>
      <c r="E1185" s="0" t="n">
        <v>0.0615811904530974</v>
      </c>
      <c r="F1185" s="0" t="n">
        <v>1</v>
      </c>
      <c r="G1185" s="0" t="n">
        <v>2021</v>
      </c>
    </row>
    <row r="1186" customFormat="false" ht="15" hidden="false" customHeight="false" outlineLevel="0" collapsed="false">
      <c r="A1186" s="0" t="s">
        <v>258</v>
      </c>
      <c r="B1186" s="52" t="n">
        <v>44346</v>
      </c>
      <c r="C1186" s="54" t="s">
        <v>592</v>
      </c>
      <c r="D1186" s="0" t="n">
        <v>0.0947975115327757</v>
      </c>
      <c r="E1186" s="0" t="n">
        <v>0.10496936749812</v>
      </c>
      <c r="F1186" s="0" t="n">
        <v>1</v>
      </c>
      <c r="G1186" s="0" t="n">
        <v>2021</v>
      </c>
    </row>
    <row r="1187" customFormat="false" ht="15" hidden="false" customHeight="false" outlineLevel="0" collapsed="false">
      <c r="A1187" s="0" t="s">
        <v>258</v>
      </c>
      <c r="B1187" s="52" t="n">
        <v>44347</v>
      </c>
      <c r="C1187" s="54" t="s">
        <v>590</v>
      </c>
      <c r="D1187" s="0" t="n">
        <v>0.233375488201611</v>
      </c>
      <c r="E1187" s="0" t="n">
        <v>0.136215827092197</v>
      </c>
      <c r="F1187" s="0" t="n">
        <v>0</v>
      </c>
      <c r="G1187" s="0" t="n">
        <v>2021</v>
      </c>
    </row>
    <row r="1188" customFormat="false" ht="15" hidden="false" customHeight="false" outlineLevel="0" collapsed="false">
      <c r="A1188" s="0" t="s">
        <v>258</v>
      </c>
      <c r="B1188" s="52" t="n">
        <v>44347</v>
      </c>
      <c r="C1188" s="54" t="s">
        <v>591</v>
      </c>
      <c r="D1188" s="0" t="n">
        <v>0.0097539718453403</v>
      </c>
      <c r="E1188" s="0" t="n">
        <v>0.109318955789462</v>
      </c>
      <c r="F1188" s="0" t="n">
        <v>0</v>
      </c>
      <c r="G1188" s="0" t="n">
        <v>2021</v>
      </c>
    </row>
    <row r="1189" customFormat="false" ht="15" hidden="false" customHeight="false" outlineLevel="0" collapsed="false">
      <c r="A1189" s="0" t="s">
        <v>258</v>
      </c>
      <c r="B1189" s="52" t="n">
        <v>44347</v>
      </c>
      <c r="C1189" s="54" t="s">
        <v>592</v>
      </c>
      <c r="D1189" s="0" t="n">
        <v>0.102127311093481</v>
      </c>
      <c r="E1189" s="0" t="n">
        <v>0.473863885405592</v>
      </c>
      <c r="F1189" s="0" t="n">
        <v>0</v>
      </c>
      <c r="G1189" s="0" t="n">
        <v>2021</v>
      </c>
    </row>
    <row r="1190" customFormat="false" ht="15" hidden="false" customHeight="false" outlineLevel="0" collapsed="false">
      <c r="A1190" s="0" t="s">
        <v>258</v>
      </c>
      <c r="B1190" s="52" t="n">
        <v>44348</v>
      </c>
      <c r="C1190" s="54" t="s">
        <v>590</v>
      </c>
      <c r="D1190" s="0" t="n">
        <v>0.134696014039924</v>
      </c>
      <c r="E1190" s="0" t="n">
        <v>0.105143343592439</v>
      </c>
      <c r="F1190" s="0" t="n">
        <v>0</v>
      </c>
      <c r="G1190" s="0" t="n">
        <v>2021</v>
      </c>
    </row>
    <row r="1191" customFormat="false" ht="15" hidden="false" customHeight="false" outlineLevel="0" collapsed="false">
      <c r="A1191" s="0" t="s">
        <v>258</v>
      </c>
      <c r="B1191" s="52" t="n">
        <v>44348</v>
      </c>
      <c r="C1191" s="54" t="s">
        <v>591</v>
      </c>
      <c r="D1191" s="0" t="n">
        <v>0</v>
      </c>
      <c r="E1191" s="0" t="n">
        <v>0.116477019893247</v>
      </c>
      <c r="F1191" s="0" t="n">
        <v>0</v>
      </c>
      <c r="G1191" s="0" t="n">
        <v>2021</v>
      </c>
    </row>
    <row r="1192" customFormat="false" ht="15" hidden="false" customHeight="false" outlineLevel="0" collapsed="false">
      <c r="A1192" s="0" t="s">
        <v>258</v>
      </c>
      <c r="B1192" s="52" t="n">
        <v>44348</v>
      </c>
      <c r="C1192" s="54" t="s">
        <v>592</v>
      </c>
      <c r="D1192" s="0" t="n">
        <v>0.283854218428756</v>
      </c>
      <c r="E1192" s="0" t="n">
        <v>0.0254888421048856</v>
      </c>
      <c r="F1192" s="0" t="n">
        <v>0</v>
      </c>
      <c r="G1192" s="0" t="n">
        <v>2021</v>
      </c>
    </row>
    <row r="1193" customFormat="false" ht="15" hidden="false" customHeight="false" outlineLevel="0" collapsed="false">
      <c r="A1193" s="0" t="s">
        <v>258</v>
      </c>
      <c r="B1193" s="52" t="n">
        <v>44349</v>
      </c>
      <c r="C1193" s="54" t="s">
        <v>590</v>
      </c>
      <c r="D1193" s="0" t="n">
        <v>0.515504681278435</v>
      </c>
      <c r="E1193" s="0" t="n">
        <v>0.0954544264551004</v>
      </c>
      <c r="F1193" s="0" t="n">
        <v>0</v>
      </c>
      <c r="G1193" s="0" t="n">
        <v>2021</v>
      </c>
    </row>
    <row r="1194" customFormat="false" ht="15" hidden="false" customHeight="false" outlineLevel="0" collapsed="false">
      <c r="A1194" s="0" t="s">
        <v>258</v>
      </c>
      <c r="B1194" s="52" t="n">
        <v>44349</v>
      </c>
      <c r="C1194" s="54" t="s">
        <v>591</v>
      </c>
      <c r="D1194" s="0" t="n">
        <v>0.0109216965978587</v>
      </c>
      <c r="E1194" s="0" t="n">
        <v>0.392568947372514</v>
      </c>
      <c r="F1194" s="0" t="n">
        <v>0</v>
      </c>
      <c r="G1194" s="0" t="n">
        <v>2021</v>
      </c>
    </row>
    <row r="1195" customFormat="false" ht="15" hidden="false" customHeight="false" outlineLevel="0" collapsed="false">
      <c r="A1195" s="0" t="s">
        <v>258</v>
      </c>
      <c r="B1195" s="52" t="n">
        <v>44349</v>
      </c>
      <c r="C1195" s="54" t="s">
        <v>592</v>
      </c>
      <c r="D1195" s="0" t="n">
        <v>0.044134361704505</v>
      </c>
      <c r="E1195" s="0" t="n">
        <v>0.11456362751384</v>
      </c>
      <c r="F1195" s="0" t="n">
        <v>0</v>
      </c>
      <c r="G1195" s="0" t="n">
        <v>2021</v>
      </c>
    </row>
    <row r="1196" customFormat="false" ht="15" hidden="false" customHeight="false" outlineLevel="0" collapsed="false">
      <c r="A1196" s="0" t="s">
        <v>258</v>
      </c>
      <c r="B1196" s="52" t="n">
        <v>44350</v>
      </c>
      <c r="C1196" s="54" t="s">
        <v>590</v>
      </c>
      <c r="D1196" s="0" t="n">
        <v>0</v>
      </c>
      <c r="E1196" s="0" t="n">
        <v>0.297926737256024</v>
      </c>
      <c r="F1196" s="0" t="n">
        <v>0</v>
      </c>
      <c r="G1196" s="0" t="n">
        <v>2021</v>
      </c>
    </row>
    <row r="1197" customFormat="false" ht="15" hidden="false" customHeight="false" outlineLevel="0" collapsed="false">
      <c r="A1197" s="0" t="s">
        <v>258</v>
      </c>
      <c r="B1197" s="52" t="n">
        <v>44350</v>
      </c>
      <c r="C1197" s="54" t="s">
        <v>591</v>
      </c>
      <c r="D1197" s="0" t="n">
        <v>0.0610944257791063</v>
      </c>
      <c r="E1197" s="0" t="n">
        <v>0.348062535953345</v>
      </c>
      <c r="F1197" s="0" t="n">
        <v>0</v>
      </c>
      <c r="G1197" s="0" t="n">
        <v>2021</v>
      </c>
    </row>
    <row r="1198" customFormat="false" ht="15" hidden="false" customHeight="false" outlineLevel="0" collapsed="false">
      <c r="A1198" s="0" t="s">
        <v>258</v>
      </c>
      <c r="B1198" s="52" t="n">
        <v>44350</v>
      </c>
      <c r="C1198" s="54" t="s">
        <v>592</v>
      </c>
      <c r="D1198" s="0" t="n">
        <v>0.0818644094500423</v>
      </c>
      <c r="E1198" s="0" t="n">
        <v>0.111231978522165</v>
      </c>
      <c r="F1198" s="0" t="n">
        <v>0</v>
      </c>
      <c r="G1198" s="0" t="n">
        <v>2021</v>
      </c>
    </row>
    <row r="1199" customFormat="false" ht="15" hidden="false" customHeight="false" outlineLevel="0" collapsed="false">
      <c r="A1199" s="0" t="s">
        <v>258</v>
      </c>
      <c r="B1199" s="52" t="n">
        <v>44351</v>
      </c>
      <c r="C1199" s="54" t="s">
        <v>590</v>
      </c>
      <c r="D1199" s="0" t="n">
        <v>0.0437302082498016</v>
      </c>
      <c r="E1199" s="0" t="n">
        <v>0.42889239262056</v>
      </c>
      <c r="F1199" s="0" t="n">
        <v>0</v>
      </c>
      <c r="G1199" s="0" t="n">
        <v>2021</v>
      </c>
    </row>
    <row r="1200" customFormat="false" ht="15" hidden="false" customHeight="false" outlineLevel="0" collapsed="false">
      <c r="A1200" s="0" t="s">
        <v>258</v>
      </c>
      <c r="B1200" s="52" t="n">
        <v>44351</v>
      </c>
      <c r="C1200" s="54" t="s">
        <v>591</v>
      </c>
      <c r="D1200" s="0" t="n">
        <v>0.0113892581205193</v>
      </c>
      <c r="E1200" s="0" t="n">
        <v>0.149656516510112</v>
      </c>
      <c r="F1200" s="0" t="n">
        <v>0</v>
      </c>
      <c r="G1200" s="0" t="n">
        <v>2021</v>
      </c>
    </row>
    <row r="1201" customFormat="false" ht="15" hidden="false" customHeight="false" outlineLevel="0" collapsed="false">
      <c r="A1201" s="0" t="s">
        <v>258</v>
      </c>
      <c r="B1201" s="52" t="n">
        <v>44351</v>
      </c>
      <c r="C1201" s="54" t="s">
        <v>592</v>
      </c>
      <c r="D1201" s="0" t="n">
        <v>0.0065016031509427</v>
      </c>
      <c r="E1201" s="0" t="n">
        <v>0.142608222477138</v>
      </c>
      <c r="F1201" s="0" t="n">
        <v>0</v>
      </c>
      <c r="G1201" s="0" t="n">
        <v>2021</v>
      </c>
    </row>
    <row r="1202" customFormat="false" ht="15" hidden="false" customHeight="false" outlineLevel="0" collapsed="false">
      <c r="A1202" s="0" t="s">
        <v>258</v>
      </c>
      <c r="B1202" s="52" t="n">
        <v>44352</v>
      </c>
      <c r="C1202" s="54" t="s">
        <v>590</v>
      </c>
      <c r="D1202" s="0" t="n">
        <v>0.0523052173946808</v>
      </c>
      <c r="E1202" s="0" t="n">
        <v>0.162186287567215</v>
      </c>
      <c r="F1202" s="0" t="n">
        <v>1</v>
      </c>
      <c r="G1202" s="0" t="n">
        <v>2021</v>
      </c>
    </row>
    <row r="1203" customFormat="false" ht="15" hidden="false" customHeight="false" outlineLevel="0" collapsed="false">
      <c r="A1203" s="0" t="s">
        <v>258</v>
      </c>
      <c r="B1203" s="52" t="n">
        <v>44353</v>
      </c>
      <c r="C1203" s="54" t="s">
        <v>590</v>
      </c>
      <c r="D1203" s="0" t="n">
        <v>0.236174451259267</v>
      </c>
      <c r="E1203" s="0" t="n">
        <v>0.0491065367106428</v>
      </c>
      <c r="F1203" s="0" t="n">
        <v>1</v>
      </c>
      <c r="G1203" s="0" t="n">
        <v>2021</v>
      </c>
    </row>
    <row r="1204" customFormat="false" ht="15" hidden="false" customHeight="false" outlineLevel="0" collapsed="false">
      <c r="A1204" s="0" t="s">
        <v>258</v>
      </c>
      <c r="B1204" s="52" t="n">
        <v>44353</v>
      </c>
      <c r="C1204" s="54" t="s">
        <v>591</v>
      </c>
      <c r="D1204" s="0" t="n">
        <v>0.0047680703897067</v>
      </c>
      <c r="E1204" s="0" t="n">
        <v>0.0534696577702313</v>
      </c>
      <c r="F1204" s="0" t="n">
        <v>1</v>
      </c>
      <c r="G1204" s="0" t="n">
        <v>2021</v>
      </c>
    </row>
    <row r="1205" customFormat="false" ht="15" hidden="false" customHeight="false" outlineLevel="0" collapsed="false">
      <c r="A1205" s="0" t="s">
        <v>258</v>
      </c>
      <c r="B1205" s="52" t="n">
        <v>44353</v>
      </c>
      <c r="C1205" s="54" t="s">
        <v>592</v>
      </c>
      <c r="D1205" s="0" t="n">
        <v>0.151013255509492</v>
      </c>
      <c r="E1205" s="0" t="n">
        <v>0.124442876148568</v>
      </c>
      <c r="F1205" s="0" t="n">
        <v>1</v>
      </c>
      <c r="G1205" s="0" t="n">
        <v>2021</v>
      </c>
    </row>
    <row r="1206" customFormat="false" ht="15" hidden="false" customHeight="false" outlineLevel="0" collapsed="false">
      <c r="A1206" s="0" t="s">
        <v>258</v>
      </c>
      <c r="B1206" s="52" t="n">
        <v>44354</v>
      </c>
      <c r="C1206" s="54" t="s">
        <v>590</v>
      </c>
      <c r="D1206" s="0" t="n">
        <v>0.147449023596358</v>
      </c>
      <c r="E1206" s="0" t="n">
        <v>0.0489394015962925</v>
      </c>
      <c r="F1206" s="0" t="n">
        <v>0</v>
      </c>
      <c r="G1206" s="0" t="n">
        <v>2021</v>
      </c>
    </row>
    <row r="1207" customFormat="false" ht="15" hidden="false" customHeight="false" outlineLevel="0" collapsed="false">
      <c r="A1207" s="0" t="s">
        <v>258</v>
      </c>
      <c r="B1207" s="52" t="n">
        <v>44354</v>
      </c>
      <c r="C1207" s="54" t="s">
        <v>591</v>
      </c>
      <c r="D1207" s="0" t="n">
        <v>0.307735027013194</v>
      </c>
      <c r="E1207" s="0" t="n">
        <v>0.158338051924757</v>
      </c>
      <c r="F1207" s="0" t="n">
        <v>0</v>
      </c>
      <c r="G1207" s="0" t="n">
        <v>2021</v>
      </c>
    </row>
    <row r="1208" customFormat="false" ht="15" hidden="false" customHeight="false" outlineLevel="0" collapsed="false">
      <c r="A1208" s="0" t="s">
        <v>258</v>
      </c>
      <c r="B1208" s="52" t="n">
        <v>44354</v>
      </c>
      <c r="C1208" s="54" t="s">
        <v>592</v>
      </c>
      <c r="D1208" s="0" t="n">
        <v>0</v>
      </c>
      <c r="E1208" s="0" t="n">
        <v>0.185085129955607</v>
      </c>
      <c r="F1208" s="0" t="n">
        <v>0</v>
      </c>
      <c r="G1208" s="0" t="n">
        <v>2021</v>
      </c>
    </row>
    <row r="1209" customFormat="false" ht="15" hidden="false" customHeight="false" outlineLevel="0" collapsed="false">
      <c r="A1209" s="0" t="s">
        <v>258</v>
      </c>
      <c r="B1209" s="52" t="n">
        <v>44355</v>
      </c>
      <c r="C1209" s="54" t="s">
        <v>590</v>
      </c>
      <c r="D1209" s="0" t="n">
        <v>0.296838230707839</v>
      </c>
      <c r="E1209" s="0" t="n">
        <v>0.0738180250919938</v>
      </c>
      <c r="F1209" s="0" t="n">
        <v>0</v>
      </c>
      <c r="G1209" s="0" t="n">
        <v>2021</v>
      </c>
    </row>
    <row r="1210" customFormat="false" ht="15" hidden="false" customHeight="false" outlineLevel="0" collapsed="false">
      <c r="A1210" s="0" t="s">
        <v>258</v>
      </c>
      <c r="B1210" s="52" t="n">
        <v>44355</v>
      </c>
      <c r="C1210" s="54" t="s">
        <v>591</v>
      </c>
      <c r="D1210" s="0" t="n">
        <v>0.0034317946487077</v>
      </c>
      <c r="E1210" s="0" t="n">
        <v>0.330209220775304</v>
      </c>
      <c r="F1210" s="0" t="n">
        <v>0</v>
      </c>
      <c r="G1210" s="0" t="n">
        <v>2021</v>
      </c>
    </row>
    <row r="1211" customFormat="false" ht="15" hidden="false" customHeight="false" outlineLevel="0" collapsed="false">
      <c r="A1211" s="0" t="s">
        <v>258</v>
      </c>
      <c r="B1211" s="52" t="n">
        <v>44355</v>
      </c>
      <c r="C1211" s="54" t="s">
        <v>592</v>
      </c>
      <c r="D1211" s="0" t="n">
        <v>0.554675613071261</v>
      </c>
      <c r="E1211" s="0" t="n">
        <v>0.103299256277386</v>
      </c>
      <c r="F1211" s="0" t="n">
        <v>0</v>
      </c>
      <c r="G1211" s="0" t="n">
        <v>2021</v>
      </c>
    </row>
    <row r="1212" customFormat="false" ht="15" hidden="false" customHeight="false" outlineLevel="0" collapsed="false">
      <c r="A1212" s="0" t="s">
        <v>258</v>
      </c>
      <c r="B1212" s="52" t="n">
        <v>44356</v>
      </c>
      <c r="C1212" s="54" t="s">
        <v>591</v>
      </c>
      <c r="D1212" s="0" t="n">
        <v>0.0354470244944694</v>
      </c>
      <c r="E1212" s="0" t="n">
        <v>0.197354062985872</v>
      </c>
      <c r="F1212" s="0" t="n">
        <v>0</v>
      </c>
      <c r="G1212" s="0" t="n">
        <v>2021</v>
      </c>
    </row>
    <row r="1213" customFormat="false" ht="15" hidden="false" customHeight="false" outlineLevel="0" collapsed="false">
      <c r="A1213" s="0" t="s">
        <v>258</v>
      </c>
      <c r="B1213" s="52" t="n">
        <v>44356</v>
      </c>
      <c r="C1213" s="54" t="s">
        <v>592</v>
      </c>
      <c r="D1213" s="0" t="n">
        <v>0.0915258531504458</v>
      </c>
      <c r="E1213" s="0" t="n">
        <v>0.0151162026031629</v>
      </c>
      <c r="F1213" s="0" t="n">
        <v>0</v>
      </c>
      <c r="G1213" s="0" t="n">
        <v>2021</v>
      </c>
    </row>
    <row r="1214" customFormat="false" ht="15" hidden="false" customHeight="false" outlineLevel="0" collapsed="false">
      <c r="A1214" s="0" t="s">
        <v>258</v>
      </c>
      <c r="B1214" s="52" t="n">
        <v>44357</v>
      </c>
      <c r="C1214" s="54" t="s">
        <v>590</v>
      </c>
      <c r="D1214" s="0" t="n">
        <v>0.0951818841168477</v>
      </c>
      <c r="E1214" s="0" t="n">
        <v>0.0682480445994568</v>
      </c>
      <c r="F1214" s="0" t="n">
        <v>0</v>
      </c>
      <c r="G1214" s="0" t="n">
        <v>2021</v>
      </c>
    </row>
    <row r="1215" customFormat="false" ht="15" hidden="false" customHeight="false" outlineLevel="0" collapsed="false">
      <c r="A1215" s="0" t="s">
        <v>258</v>
      </c>
      <c r="B1215" s="52" t="n">
        <v>44357</v>
      </c>
      <c r="C1215" s="54" t="s">
        <v>591</v>
      </c>
      <c r="D1215" s="0" t="n">
        <v>0.0722077448740602</v>
      </c>
      <c r="E1215" s="0" t="n">
        <v>0.0239742369498987</v>
      </c>
      <c r="F1215" s="0" t="n">
        <v>0</v>
      </c>
      <c r="G1215" s="0" t="n">
        <v>2021</v>
      </c>
    </row>
    <row r="1216" customFormat="false" ht="15" hidden="false" customHeight="false" outlineLevel="0" collapsed="false">
      <c r="A1216" s="0" t="s">
        <v>258</v>
      </c>
      <c r="B1216" s="52" t="n">
        <v>44357</v>
      </c>
      <c r="C1216" s="54" t="s">
        <v>592</v>
      </c>
      <c r="D1216" s="0" t="n">
        <v>0.0670477907892886</v>
      </c>
      <c r="E1216" s="0" t="n">
        <v>0.0662128553910892</v>
      </c>
      <c r="F1216" s="0" t="n">
        <v>0</v>
      </c>
      <c r="G1216" s="0" t="n">
        <v>2021</v>
      </c>
    </row>
    <row r="1217" customFormat="false" ht="15" hidden="false" customHeight="false" outlineLevel="0" collapsed="false">
      <c r="A1217" s="0" t="s">
        <v>258</v>
      </c>
      <c r="B1217" s="52" t="n">
        <v>44358</v>
      </c>
      <c r="C1217" s="54" t="s">
        <v>590</v>
      </c>
      <c r="D1217" s="0" t="n">
        <v>0.0978711257192973</v>
      </c>
      <c r="E1217" s="0" t="n">
        <v>0.19398302857573</v>
      </c>
      <c r="F1217" s="0" t="n">
        <v>0</v>
      </c>
      <c r="G1217" s="0" t="n">
        <v>2021</v>
      </c>
    </row>
    <row r="1218" customFormat="false" ht="15" hidden="false" customHeight="false" outlineLevel="0" collapsed="false">
      <c r="A1218" s="0" t="s">
        <v>258</v>
      </c>
      <c r="B1218" s="52" t="n">
        <v>44358</v>
      </c>
      <c r="C1218" s="54" t="s">
        <v>591</v>
      </c>
      <c r="D1218" s="0" t="n">
        <v>0.0353732503924984</v>
      </c>
      <c r="E1218" s="0" t="n">
        <v>0.148550533483836</v>
      </c>
      <c r="F1218" s="0" t="n">
        <v>0</v>
      </c>
      <c r="G1218" s="0" t="n">
        <v>2021</v>
      </c>
    </row>
    <row r="1219" customFormat="false" ht="15" hidden="false" customHeight="false" outlineLevel="0" collapsed="false">
      <c r="A1219" s="0" t="s">
        <v>258</v>
      </c>
      <c r="B1219" s="52" t="n">
        <v>44358</v>
      </c>
      <c r="C1219" s="54" t="s">
        <v>592</v>
      </c>
      <c r="D1219" s="0" t="n">
        <v>0.0044708176232326</v>
      </c>
      <c r="E1219" s="0" t="n">
        <v>0.248219348114419</v>
      </c>
      <c r="F1219" s="0" t="n">
        <v>0</v>
      </c>
      <c r="G1219" s="0" t="n">
        <v>2021</v>
      </c>
    </row>
    <row r="1220" customFormat="false" ht="15" hidden="false" customHeight="false" outlineLevel="0" collapsed="false">
      <c r="A1220" s="0" t="s">
        <v>258</v>
      </c>
      <c r="B1220" s="52" t="n">
        <v>44359</v>
      </c>
      <c r="C1220" s="54" t="s">
        <v>590</v>
      </c>
      <c r="D1220" s="0" t="n">
        <v>0.0163542937686821</v>
      </c>
      <c r="E1220" s="0" t="n">
        <v>0.345470702339924</v>
      </c>
      <c r="F1220" s="0" t="n">
        <v>1</v>
      </c>
      <c r="G1220" s="0" t="n">
        <v>2021</v>
      </c>
    </row>
    <row r="1221" customFormat="false" ht="15" hidden="false" customHeight="false" outlineLevel="0" collapsed="false">
      <c r="A1221" s="0" t="s">
        <v>258</v>
      </c>
      <c r="B1221" s="52" t="n">
        <v>44359</v>
      </c>
      <c r="C1221" s="54" t="s">
        <v>591</v>
      </c>
      <c r="D1221" s="0" t="n">
        <v>0.0702086801983531</v>
      </c>
      <c r="E1221" s="0" t="n">
        <v>0.128308929805902</v>
      </c>
      <c r="F1221" s="0" t="n">
        <v>1</v>
      </c>
      <c r="G1221" s="0" t="n">
        <v>2021</v>
      </c>
    </row>
    <row r="1222" customFormat="false" ht="15" hidden="false" customHeight="false" outlineLevel="0" collapsed="false">
      <c r="A1222" s="0" t="s">
        <v>258</v>
      </c>
      <c r="B1222" s="52" t="n">
        <v>44360</v>
      </c>
      <c r="C1222" s="54" t="s">
        <v>590</v>
      </c>
      <c r="D1222" s="0" t="n">
        <v>0.059681119206966</v>
      </c>
      <c r="E1222" s="0" t="n">
        <v>0.136043569696766</v>
      </c>
      <c r="F1222" s="0" t="n">
        <v>1</v>
      </c>
      <c r="G1222" s="0" t="n">
        <v>2021</v>
      </c>
    </row>
    <row r="1223" customFormat="false" ht="15" hidden="false" customHeight="false" outlineLevel="0" collapsed="false">
      <c r="A1223" s="0" t="s">
        <v>258</v>
      </c>
      <c r="B1223" s="52" t="n">
        <v>44360</v>
      </c>
      <c r="C1223" s="54" t="s">
        <v>591</v>
      </c>
      <c r="D1223" s="0" t="n">
        <v>0.018060059113506</v>
      </c>
      <c r="E1223" s="0" t="n">
        <v>0.0670638739577546</v>
      </c>
      <c r="F1223" s="0" t="n">
        <v>1</v>
      </c>
      <c r="G1223" s="0" t="n">
        <v>2021</v>
      </c>
    </row>
    <row r="1224" customFormat="false" ht="15" hidden="false" customHeight="false" outlineLevel="0" collapsed="false">
      <c r="A1224" s="0" t="s">
        <v>258</v>
      </c>
      <c r="B1224" s="52" t="n">
        <v>44360</v>
      </c>
      <c r="C1224" s="54" t="s">
        <v>592</v>
      </c>
      <c r="D1224" s="0" t="n">
        <v>0</v>
      </c>
      <c r="E1224" s="0" t="n">
        <v>0.0866964867570038</v>
      </c>
      <c r="F1224" s="0" t="n">
        <v>1</v>
      </c>
      <c r="G1224" s="0" t="n">
        <v>2021</v>
      </c>
    </row>
    <row r="1225" customFormat="false" ht="15" hidden="false" customHeight="false" outlineLevel="0" collapsed="false">
      <c r="A1225" s="0" t="s">
        <v>258</v>
      </c>
      <c r="B1225" s="52" t="n">
        <v>44361</v>
      </c>
      <c r="C1225" s="54" t="s">
        <v>590</v>
      </c>
      <c r="D1225" s="0" t="n">
        <v>0.0310395226215575</v>
      </c>
      <c r="E1225" s="0" t="n">
        <v>0.0507116376119046</v>
      </c>
      <c r="F1225" s="0" t="n">
        <v>0</v>
      </c>
      <c r="G1225" s="0" t="n">
        <v>2021</v>
      </c>
    </row>
    <row r="1226" customFormat="false" ht="15" hidden="false" customHeight="false" outlineLevel="0" collapsed="false">
      <c r="A1226" s="0" t="s">
        <v>258</v>
      </c>
      <c r="B1226" s="52" t="n">
        <v>44361</v>
      </c>
      <c r="C1226" s="54" t="s">
        <v>591</v>
      </c>
      <c r="D1226" s="0" t="n">
        <v>0.0952546955774032</v>
      </c>
      <c r="E1226" s="0" t="n">
        <v>0.0666944340584876</v>
      </c>
      <c r="F1226" s="0" t="n">
        <v>0</v>
      </c>
      <c r="G1226" s="0" t="n">
        <v>2021</v>
      </c>
    </row>
    <row r="1227" customFormat="false" ht="15" hidden="false" customHeight="false" outlineLevel="0" collapsed="false">
      <c r="A1227" s="0" t="s">
        <v>258</v>
      </c>
      <c r="B1227" s="52" t="n">
        <v>44361</v>
      </c>
      <c r="C1227" s="54" t="s">
        <v>592</v>
      </c>
      <c r="D1227" s="0" t="n">
        <v>0.0135896143933714</v>
      </c>
      <c r="E1227" s="0" t="n">
        <v>0.151672134522951</v>
      </c>
      <c r="F1227" s="0" t="n">
        <v>0</v>
      </c>
      <c r="G1227" s="0" t="n">
        <v>2021</v>
      </c>
    </row>
    <row r="1228" customFormat="false" ht="15" hidden="false" customHeight="false" outlineLevel="0" collapsed="false">
      <c r="A1228" s="0" t="s">
        <v>258</v>
      </c>
      <c r="B1228" s="52" t="n">
        <v>44362</v>
      </c>
      <c r="C1228" s="54" t="s">
        <v>590</v>
      </c>
      <c r="D1228" s="0" t="n">
        <v>0.109852588403375</v>
      </c>
      <c r="E1228" s="0" t="n">
        <v>0.164433392881684</v>
      </c>
      <c r="F1228" s="0" t="n">
        <v>0</v>
      </c>
      <c r="G1228" s="0" t="n">
        <v>2021</v>
      </c>
    </row>
    <row r="1229" customFormat="false" ht="15" hidden="false" customHeight="false" outlineLevel="0" collapsed="false">
      <c r="A1229" s="0" t="s">
        <v>258</v>
      </c>
      <c r="B1229" s="52" t="n">
        <v>44362</v>
      </c>
      <c r="C1229" s="54" t="s">
        <v>591</v>
      </c>
      <c r="D1229" s="0" t="n">
        <v>0.0790862928278217</v>
      </c>
      <c r="E1229" s="0" t="n">
        <v>0.18102818329196</v>
      </c>
      <c r="F1229" s="0" t="n">
        <v>0</v>
      </c>
      <c r="G1229" s="0" t="n">
        <v>2021</v>
      </c>
    </row>
    <row r="1230" customFormat="false" ht="15" hidden="false" customHeight="false" outlineLevel="0" collapsed="false">
      <c r="A1230" s="0" t="s">
        <v>258</v>
      </c>
      <c r="B1230" s="52" t="n">
        <v>44362</v>
      </c>
      <c r="C1230" s="54" t="s">
        <v>592</v>
      </c>
      <c r="D1230" s="0" t="n">
        <v>0.0747292670939434</v>
      </c>
      <c r="E1230" s="0" t="n">
        <v>0.0541409425606769</v>
      </c>
      <c r="F1230" s="0" t="n">
        <v>0</v>
      </c>
      <c r="G1230" s="0" t="n">
        <v>2021</v>
      </c>
    </row>
    <row r="1231" customFormat="false" ht="15" hidden="false" customHeight="false" outlineLevel="0" collapsed="false">
      <c r="A1231" s="0" t="s">
        <v>258</v>
      </c>
      <c r="B1231" s="52" t="n">
        <v>44363</v>
      </c>
      <c r="C1231" s="54" t="s">
        <v>590</v>
      </c>
      <c r="D1231" s="0" t="n">
        <v>0.0952453068993759</v>
      </c>
      <c r="E1231" s="0" t="n">
        <v>0.0358755702407252</v>
      </c>
      <c r="F1231" s="0" t="n">
        <v>0</v>
      </c>
      <c r="G1231" s="0" t="n">
        <v>2021</v>
      </c>
    </row>
    <row r="1232" customFormat="false" ht="15" hidden="false" customHeight="false" outlineLevel="0" collapsed="false">
      <c r="A1232" s="0" t="s">
        <v>258</v>
      </c>
      <c r="B1232" s="52" t="n">
        <v>44363</v>
      </c>
      <c r="C1232" s="54" t="s">
        <v>591</v>
      </c>
      <c r="D1232" s="0" t="n">
        <v>0</v>
      </c>
      <c r="E1232" s="0" t="n">
        <v>0.0471697729222989</v>
      </c>
      <c r="F1232" s="0" t="n">
        <v>0</v>
      </c>
      <c r="G1232" s="0" t="n">
        <v>2021</v>
      </c>
    </row>
    <row r="1233" customFormat="false" ht="15" hidden="false" customHeight="false" outlineLevel="0" collapsed="false">
      <c r="A1233" s="0" t="s">
        <v>258</v>
      </c>
      <c r="B1233" s="52" t="n">
        <v>44363</v>
      </c>
      <c r="C1233" s="54" t="s">
        <v>592</v>
      </c>
      <c r="D1233" s="0" t="n">
        <v>0</v>
      </c>
      <c r="E1233" s="0" t="n">
        <v>0.0366967911449792</v>
      </c>
      <c r="F1233" s="0" t="n">
        <v>0</v>
      </c>
      <c r="G1233" s="0" t="n">
        <v>2021</v>
      </c>
    </row>
    <row r="1234" customFormat="false" ht="15" hidden="false" customHeight="false" outlineLevel="0" collapsed="false">
      <c r="A1234" s="0" t="s">
        <v>258</v>
      </c>
      <c r="B1234" s="52" t="n">
        <v>44364</v>
      </c>
      <c r="C1234" s="54" t="s">
        <v>590</v>
      </c>
      <c r="D1234" s="0" t="n">
        <v>0.0408976948952569</v>
      </c>
      <c r="E1234" s="0" t="n">
        <v>0.500586547796726</v>
      </c>
      <c r="F1234" s="0" t="n">
        <v>0</v>
      </c>
      <c r="G1234" s="0" t="n">
        <v>2021</v>
      </c>
    </row>
    <row r="1235" customFormat="false" ht="15" hidden="false" customHeight="false" outlineLevel="0" collapsed="false">
      <c r="A1235" s="0" t="s">
        <v>258</v>
      </c>
      <c r="B1235" s="52" t="n">
        <v>44364</v>
      </c>
      <c r="C1235" s="54" t="s">
        <v>591</v>
      </c>
      <c r="D1235" s="0" t="n">
        <v>0.224655323809733</v>
      </c>
      <c r="E1235" s="0" t="n">
        <v>0.120135957451788</v>
      </c>
      <c r="F1235" s="0" t="n">
        <v>0</v>
      </c>
      <c r="G1235" s="0" t="n">
        <v>2021</v>
      </c>
    </row>
    <row r="1236" customFormat="false" ht="15" hidden="false" customHeight="false" outlineLevel="0" collapsed="false">
      <c r="A1236" s="0" t="s">
        <v>258</v>
      </c>
      <c r="B1236" s="52" t="n">
        <v>44364</v>
      </c>
      <c r="C1236" s="54" t="s">
        <v>592</v>
      </c>
      <c r="D1236" s="0" t="n">
        <v>0.007258802786589</v>
      </c>
      <c r="E1236" s="0" t="n">
        <v>0.0797726490948567</v>
      </c>
      <c r="F1236" s="0" t="n">
        <v>0</v>
      </c>
      <c r="G1236" s="0" t="n">
        <v>2021</v>
      </c>
    </row>
    <row r="1237" customFormat="false" ht="15" hidden="false" customHeight="false" outlineLevel="0" collapsed="false">
      <c r="A1237" s="0" t="s">
        <v>258</v>
      </c>
      <c r="B1237" s="52" t="n">
        <v>44365</v>
      </c>
      <c r="C1237" s="54" t="s">
        <v>590</v>
      </c>
      <c r="D1237" s="0" t="n">
        <v>0</v>
      </c>
      <c r="E1237" s="0" t="n">
        <v>0.0719793417547339</v>
      </c>
      <c r="F1237" s="0" t="n">
        <v>0</v>
      </c>
      <c r="G1237" s="0" t="n">
        <v>2021</v>
      </c>
    </row>
    <row r="1238" customFormat="false" ht="15" hidden="false" customHeight="false" outlineLevel="0" collapsed="false">
      <c r="A1238" s="0" t="s">
        <v>258</v>
      </c>
      <c r="B1238" s="52" t="n">
        <v>44365</v>
      </c>
      <c r="C1238" s="54" t="s">
        <v>591</v>
      </c>
      <c r="D1238" s="0" t="n">
        <v>0.0637168986874545</v>
      </c>
      <c r="E1238" s="0" t="n">
        <v>0.0998899965874655</v>
      </c>
      <c r="F1238" s="0" t="n">
        <v>0</v>
      </c>
      <c r="G1238" s="0" t="n">
        <v>2021</v>
      </c>
    </row>
    <row r="1239" customFormat="false" ht="15" hidden="false" customHeight="false" outlineLevel="0" collapsed="false">
      <c r="A1239" s="0" t="s">
        <v>258</v>
      </c>
      <c r="B1239" s="52" t="n">
        <v>44365</v>
      </c>
      <c r="C1239" s="54" t="s">
        <v>592</v>
      </c>
      <c r="D1239" s="0" t="n">
        <v>0.0955025322996339</v>
      </c>
      <c r="E1239" s="0" t="n">
        <v>0.0896093684066176</v>
      </c>
      <c r="F1239" s="0" t="n">
        <v>0</v>
      </c>
      <c r="G1239" s="0" t="n">
        <v>2021</v>
      </c>
    </row>
    <row r="1240" customFormat="false" ht="15" hidden="false" customHeight="false" outlineLevel="0" collapsed="false">
      <c r="A1240" s="0" t="s">
        <v>258</v>
      </c>
      <c r="B1240" s="52" t="n">
        <v>44366</v>
      </c>
      <c r="C1240" s="54" t="s">
        <v>590</v>
      </c>
      <c r="D1240" s="0" t="n">
        <v>0.275113604422374</v>
      </c>
      <c r="E1240" s="0" t="n">
        <v>0.0701336109258657</v>
      </c>
      <c r="F1240" s="0" t="n">
        <v>1</v>
      </c>
      <c r="G1240" s="0" t="n">
        <v>2021</v>
      </c>
    </row>
    <row r="1241" customFormat="false" ht="15" hidden="false" customHeight="false" outlineLevel="0" collapsed="false">
      <c r="A1241" s="0" t="s">
        <v>258</v>
      </c>
      <c r="B1241" s="52" t="n">
        <v>44367</v>
      </c>
      <c r="C1241" s="54" t="s">
        <v>591</v>
      </c>
      <c r="D1241" s="0" t="n">
        <v>0.0296338467593109</v>
      </c>
      <c r="E1241" s="0" t="n">
        <v>0.23718748713793</v>
      </c>
      <c r="F1241" s="0" t="n">
        <v>1</v>
      </c>
      <c r="G1241" s="0" t="n">
        <v>2021</v>
      </c>
    </row>
    <row r="1242" customFormat="false" ht="15" hidden="false" customHeight="false" outlineLevel="0" collapsed="false">
      <c r="A1242" s="0" t="s">
        <v>258</v>
      </c>
      <c r="B1242" s="52" t="n">
        <v>44367</v>
      </c>
      <c r="C1242" s="54" t="s">
        <v>592</v>
      </c>
      <c r="D1242" s="0" t="n">
        <v>0.0171975137924753</v>
      </c>
      <c r="E1242" s="0" t="n">
        <v>0.162828907352254</v>
      </c>
      <c r="F1242" s="0" t="n">
        <v>1</v>
      </c>
      <c r="G1242" s="0" t="n">
        <v>2021</v>
      </c>
    </row>
    <row r="1243" customFormat="false" ht="15" hidden="false" customHeight="false" outlineLevel="0" collapsed="false">
      <c r="A1243" s="0" t="s">
        <v>258</v>
      </c>
      <c r="B1243" s="52" t="n">
        <v>44368</v>
      </c>
      <c r="C1243" s="54" t="s">
        <v>590</v>
      </c>
      <c r="D1243" s="0" t="n">
        <v>0.0223478958805686</v>
      </c>
      <c r="E1243" s="0" t="n">
        <v>0.108618471823439</v>
      </c>
      <c r="F1243" s="0" t="n">
        <v>0</v>
      </c>
      <c r="G1243" s="0" t="n">
        <v>2021</v>
      </c>
    </row>
    <row r="1244" customFormat="false" ht="15" hidden="false" customHeight="false" outlineLevel="0" collapsed="false">
      <c r="A1244" s="0" t="s">
        <v>258</v>
      </c>
      <c r="B1244" s="52" t="n">
        <v>44368</v>
      </c>
      <c r="C1244" s="54" t="s">
        <v>591</v>
      </c>
      <c r="D1244" s="0" t="n">
        <v>0.0594094176196236</v>
      </c>
      <c r="E1244" s="0" t="n">
        <v>0.166581211828877</v>
      </c>
      <c r="F1244" s="0" t="n">
        <v>0</v>
      </c>
      <c r="G1244" s="0" t="n">
        <v>2021</v>
      </c>
    </row>
    <row r="1245" customFormat="false" ht="15" hidden="false" customHeight="false" outlineLevel="0" collapsed="false">
      <c r="A1245" s="0" t="s">
        <v>258</v>
      </c>
      <c r="B1245" s="52" t="n">
        <v>44368</v>
      </c>
      <c r="C1245" s="54" t="s">
        <v>592</v>
      </c>
      <c r="D1245" s="0" t="n">
        <v>0.16862479041036</v>
      </c>
      <c r="E1245" s="0" t="n">
        <v>0.197996569443398</v>
      </c>
      <c r="F1245" s="0" t="n">
        <v>0</v>
      </c>
      <c r="G1245" s="0" t="n">
        <v>2021</v>
      </c>
    </row>
    <row r="1246" customFormat="false" ht="15" hidden="false" customHeight="false" outlineLevel="0" collapsed="false">
      <c r="A1246" s="0" t="s">
        <v>258</v>
      </c>
      <c r="B1246" s="52" t="n">
        <v>44369</v>
      </c>
      <c r="C1246" s="54" t="s">
        <v>590</v>
      </c>
      <c r="D1246" s="0" t="n">
        <v>0.0042742973756026</v>
      </c>
      <c r="E1246" s="0" t="n">
        <v>0.191650613629962</v>
      </c>
      <c r="F1246" s="0" t="n">
        <v>0</v>
      </c>
      <c r="G1246" s="0" t="n">
        <v>2021</v>
      </c>
    </row>
    <row r="1247" customFormat="false" ht="15" hidden="false" customHeight="false" outlineLevel="0" collapsed="false">
      <c r="A1247" s="0" t="s">
        <v>258</v>
      </c>
      <c r="B1247" s="52" t="n">
        <v>44369</v>
      </c>
      <c r="C1247" s="54" t="s">
        <v>591</v>
      </c>
      <c r="D1247" s="0" t="n">
        <v>0.081051356016801</v>
      </c>
      <c r="E1247" s="0" t="n">
        <v>0.107752773323717</v>
      </c>
      <c r="F1247" s="0" t="n">
        <v>0</v>
      </c>
      <c r="G1247" s="0" t="n">
        <v>2021</v>
      </c>
    </row>
    <row r="1248" customFormat="false" ht="15" hidden="false" customHeight="false" outlineLevel="0" collapsed="false">
      <c r="A1248" s="0" t="s">
        <v>258</v>
      </c>
      <c r="B1248" s="52" t="n">
        <v>44369</v>
      </c>
      <c r="C1248" s="54" t="s">
        <v>592</v>
      </c>
      <c r="D1248" s="0" t="n">
        <v>0.711284249900208</v>
      </c>
      <c r="E1248" s="0" t="n">
        <v>0.0434292126144191</v>
      </c>
      <c r="F1248" s="0" t="n">
        <v>0</v>
      </c>
      <c r="G1248" s="0" t="n">
        <v>2021</v>
      </c>
    </row>
    <row r="1249" customFormat="false" ht="15" hidden="false" customHeight="false" outlineLevel="0" collapsed="false">
      <c r="A1249" s="0" t="s">
        <v>258</v>
      </c>
      <c r="B1249" s="52" t="n">
        <v>44370</v>
      </c>
      <c r="C1249" s="54" t="s">
        <v>591</v>
      </c>
      <c r="D1249" s="0" t="n">
        <v>0.38986721174332</v>
      </c>
      <c r="E1249" s="0" t="n">
        <v>0.0018047132360391</v>
      </c>
      <c r="F1249" s="0" t="n">
        <v>0</v>
      </c>
      <c r="G1249" s="0" t="n">
        <v>2021</v>
      </c>
    </row>
    <row r="1250" customFormat="false" ht="15" hidden="false" customHeight="false" outlineLevel="0" collapsed="false">
      <c r="A1250" s="0" t="s">
        <v>258</v>
      </c>
      <c r="B1250" s="52" t="n">
        <v>44370</v>
      </c>
      <c r="C1250" s="54" t="s">
        <v>592</v>
      </c>
      <c r="D1250" s="0" t="n">
        <v>0.0001847498737745</v>
      </c>
      <c r="E1250" s="0" t="n">
        <v>0.0693213469973991</v>
      </c>
      <c r="F1250" s="0" t="n">
        <v>0</v>
      </c>
      <c r="G1250" s="0" t="n">
        <v>2021</v>
      </c>
    </row>
    <row r="1251" customFormat="false" ht="15" hidden="false" customHeight="false" outlineLevel="0" collapsed="false">
      <c r="A1251" s="0" t="s">
        <v>258</v>
      </c>
      <c r="B1251" s="52" t="n">
        <v>44371</v>
      </c>
      <c r="C1251" s="54" t="s">
        <v>590</v>
      </c>
      <c r="D1251" s="0" t="n">
        <v>0</v>
      </c>
      <c r="E1251" s="0" t="n">
        <v>0.192423201330547</v>
      </c>
      <c r="F1251" s="0" t="n">
        <v>0</v>
      </c>
      <c r="G1251" s="0" t="n">
        <v>2021</v>
      </c>
    </row>
    <row r="1252" customFormat="false" ht="15" hidden="false" customHeight="false" outlineLevel="0" collapsed="false">
      <c r="A1252" s="0" t="s">
        <v>258</v>
      </c>
      <c r="B1252" s="52" t="n">
        <v>44372</v>
      </c>
      <c r="C1252" s="54" t="s">
        <v>592</v>
      </c>
      <c r="D1252" s="0" t="n">
        <v>0.0244947936364839</v>
      </c>
      <c r="E1252" s="0" t="n">
        <v>0.113966450927964</v>
      </c>
      <c r="F1252" s="0" t="n">
        <v>0</v>
      </c>
      <c r="G1252" s="0" t="n">
        <v>2021</v>
      </c>
    </row>
    <row r="1253" customFormat="false" ht="15" hidden="false" customHeight="false" outlineLevel="0" collapsed="false">
      <c r="A1253" s="0" t="s">
        <v>258</v>
      </c>
      <c r="B1253" s="52" t="n">
        <v>44373</v>
      </c>
      <c r="C1253" s="54" t="s">
        <v>590</v>
      </c>
      <c r="D1253" s="0" t="n">
        <v>0.229372271720885</v>
      </c>
      <c r="E1253" s="0" t="n">
        <v>0.0558016162352626</v>
      </c>
      <c r="F1253" s="0" t="n">
        <v>1</v>
      </c>
      <c r="G1253" s="0" t="n">
        <v>2021</v>
      </c>
    </row>
    <row r="1254" customFormat="false" ht="15" hidden="false" customHeight="false" outlineLevel="0" collapsed="false">
      <c r="A1254" s="0" t="s">
        <v>258</v>
      </c>
      <c r="B1254" s="52" t="n">
        <v>44374</v>
      </c>
      <c r="C1254" s="54" t="s">
        <v>590</v>
      </c>
      <c r="D1254" s="0" t="n">
        <v>0.711224545381364</v>
      </c>
      <c r="E1254" s="0" t="n">
        <v>0.0077536823588637</v>
      </c>
      <c r="F1254" s="0" t="n">
        <v>1</v>
      </c>
      <c r="G1254" s="0" t="n">
        <v>2021</v>
      </c>
    </row>
    <row r="1255" customFormat="false" ht="15" hidden="false" customHeight="false" outlineLevel="0" collapsed="false">
      <c r="A1255" s="0" t="s">
        <v>258</v>
      </c>
      <c r="B1255" s="52" t="n">
        <v>44374</v>
      </c>
      <c r="C1255" s="54" t="s">
        <v>591</v>
      </c>
      <c r="D1255" s="0" t="n">
        <v>0.0132338941683253</v>
      </c>
      <c r="E1255" s="0" t="n">
        <v>0.0590901197880377</v>
      </c>
      <c r="F1255" s="0" t="n">
        <v>1</v>
      </c>
      <c r="G1255" s="0" t="n">
        <v>2021</v>
      </c>
    </row>
    <row r="1256" customFormat="false" ht="15" hidden="false" customHeight="false" outlineLevel="0" collapsed="false">
      <c r="A1256" s="0" t="s">
        <v>258</v>
      </c>
      <c r="B1256" s="52" t="n">
        <v>44374</v>
      </c>
      <c r="C1256" s="54" t="s">
        <v>592</v>
      </c>
      <c r="D1256" s="0" t="n">
        <v>0.0053541176675408</v>
      </c>
      <c r="E1256" s="0" t="n">
        <v>0.0755693115860182</v>
      </c>
      <c r="F1256" s="0" t="n">
        <v>1</v>
      </c>
      <c r="G1256" s="0" t="n">
        <v>2021</v>
      </c>
    </row>
    <row r="1257" customFormat="false" ht="15" hidden="false" customHeight="false" outlineLevel="0" collapsed="false">
      <c r="A1257" s="0" t="s">
        <v>258</v>
      </c>
      <c r="B1257" s="52" t="n">
        <v>44375</v>
      </c>
      <c r="C1257" s="54" t="s">
        <v>590</v>
      </c>
      <c r="D1257" s="0" t="n">
        <v>0.0110165611694943</v>
      </c>
      <c r="E1257" s="0" t="n">
        <v>0.0543675947650334</v>
      </c>
      <c r="F1257" s="0" t="n">
        <v>0</v>
      </c>
      <c r="G1257" s="0" t="n">
        <v>2021</v>
      </c>
    </row>
    <row r="1258" customFormat="false" ht="15" hidden="false" customHeight="false" outlineLevel="0" collapsed="false">
      <c r="A1258" s="0" t="s">
        <v>258</v>
      </c>
      <c r="B1258" s="52" t="n">
        <v>44375</v>
      </c>
      <c r="C1258" s="54" t="s">
        <v>591</v>
      </c>
      <c r="D1258" s="0" t="n">
        <v>0.0365893339425921</v>
      </c>
      <c r="E1258" s="0" t="n">
        <v>0.0464683183544596</v>
      </c>
      <c r="F1258" s="0" t="n">
        <v>0</v>
      </c>
      <c r="G1258" s="0" t="n">
        <v>2021</v>
      </c>
    </row>
    <row r="1259" customFormat="false" ht="15" hidden="false" customHeight="false" outlineLevel="0" collapsed="false">
      <c r="A1259" s="0" t="s">
        <v>258</v>
      </c>
      <c r="B1259" s="52" t="n">
        <v>44375</v>
      </c>
      <c r="C1259" s="54" t="s">
        <v>592</v>
      </c>
      <c r="D1259" s="0" t="n">
        <v>0.160599237881017</v>
      </c>
      <c r="E1259" s="0" t="n">
        <v>0.0853789989726926</v>
      </c>
      <c r="F1259" s="0" t="n">
        <v>0</v>
      </c>
      <c r="G1259" s="0" t="n">
        <v>2021</v>
      </c>
    </row>
    <row r="1260" customFormat="false" ht="15" hidden="false" customHeight="false" outlineLevel="0" collapsed="false">
      <c r="A1260" s="0" t="s">
        <v>258</v>
      </c>
      <c r="B1260" s="52" t="n">
        <v>44376</v>
      </c>
      <c r="C1260" s="54" t="s">
        <v>590</v>
      </c>
      <c r="D1260" s="0" t="n">
        <v>0.0057003398492562</v>
      </c>
      <c r="E1260" s="0" t="n">
        <v>0.0826966409537073</v>
      </c>
      <c r="F1260" s="0" t="n">
        <v>0</v>
      </c>
      <c r="G1260" s="0" t="n">
        <v>2021</v>
      </c>
    </row>
    <row r="1261" customFormat="false" ht="15" hidden="false" customHeight="false" outlineLevel="0" collapsed="false">
      <c r="A1261" s="0" t="s">
        <v>258</v>
      </c>
      <c r="B1261" s="52" t="n">
        <v>44376</v>
      </c>
      <c r="C1261" s="54" t="s">
        <v>591</v>
      </c>
      <c r="D1261" s="0" t="n">
        <v>0</v>
      </c>
      <c r="E1261" s="0" t="n">
        <v>0.0118094332246256</v>
      </c>
      <c r="F1261" s="0" t="n">
        <v>0</v>
      </c>
      <c r="G1261" s="0" t="n">
        <v>2021</v>
      </c>
    </row>
    <row r="1262" customFormat="false" ht="15" hidden="false" customHeight="false" outlineLevel="0" collapsed="false">
      <c r="A1262" s="0" t="s">
        <v>258</v>
      </c>
      <c r="B1262" s="52" t="n">
        <v>44376</v>
      </c>
      <c r="C1262" s="54" t="s">
        <v>592</v>
      </c>
      <c r="D1262" s="0" t="n">
        <v>0</v>
      </c>
      <c r="E1262" s="0" t="n">
        <v>0.075227231549704</v>
      </c>
      <c r="F1262" s="0" t="n">
        <v>0</v>
      </c>
      <c r="G1262" s="0" t="n">
        <v>2021</v>
      </c>
    </row>
    <row r="1263" customFormat="false" ht="15" hidden="false" customHeight="false" outlineLevel="0" collapsed="false">
      <c r="A1263" s="0" t="s">
        <v>258</v>
      </c>
      <c r="B1263" s="52" t="n">
        <v>44377</v>
      </c>
      <c r="C1263" s="54" t="s">
        <v>590</v>
      </c>
      <c r="D1263" s="0" t="n">
        <v>0.714384156722936</v>
      </c>
      <c r="E1263" s="0" t="n">
        <v>0.117186145570422</v>
      </c>
      <c r="F1263" s="0" t="n">
        <v>0</v>
      </c>
      <c r="G1263" s="0" t="n">
        <v>2021</v>
      </c>
    </row>
    <row r="1264" customFormat="false" ht="15" hidden="false" customHeight="false" outlineLevel="0" collapsed="false">
      <c r="A1264" s="0" t="s">
        <v>258</v>
      </c>
      <c r="B1264" s="52" t="n">
        <v>44377</v>
      </c>
      <c r="C1264" s="54" t="s">
        <v>591</v>
      </c>
      <c r="D1264" s="0" t="n">
        <v>0.0213145972033464</v>
      </c>
      <c r="E1264" s="0" t="n">
        <v>0.0646853191210825</v>
      </c>
      <c r="F1264" s="0" t="n">
        <v>0</v>
      </c>
      <c r="G1264" s="0" t="n">
        <v>2021</v>
      </c>
    </row>
    <row r="1265" customFormat="false" ht="15" hidden="false" customHeight="false" outlineLevel="0" collapsed="false">
      <c r="A1265" s="0" t="s">
        <v>258</v>
      </c>
      <c r="B1265" s="52" t="n">
        <v>44377</v>
      </c>
      <c r="C1265" s="54" t="s">
        <v>592</v>
      </c>
      <c r="D1265" s="0" t="n">
        <v>0</v>
      </c>
      <c r="E1265" s="0" t="n">
        <v>0.279160430751477</v>
      </c>
      <c r="F1265" s="0" t="n">
        <v>0</v>
      </c>
      <c r="G1265" s="0" t="n">
        <v>2021</v>
      </c>
    </row>
    <row r="1266" customFormat="false" ht="15" hidden="false" customHeight="false" outlineLevel="0" collapsed="false">
      <c r="A1266" s="0" t="s">
        <v>258</v>
      </c>
      <c r="B1266" s="52" t="n">
        <v>44378</v>
      </c>
      <c r="C1266" s="54" t="s">
        <v>590</v>
      </c>
      <c r="D1266" s="0" t="n">
        <v>0.345220289461804</v>
      </c>
      <c r="E1266" s="0" t="n">
        <v>0.236417228100921</v>
      </c>
      <c r="F1266" s="0" t="n">
        <v>0</v>
      </c>
      <c r="G1266" s="0" t="n">
        <v>2021</v>
      </c>
    </row>
    <row r="1267" customFormat="false" ht="15" hidden="false" customHeight="false" outlineLevel="0" collapsed="false">
      <c r="A1267" s="0" t="s">
        <v>258</v>
      </c>
      <c r="B1267" s="52" t="n">
        <v>44378</v>
      </c>
      <c r="C1267" s="54" t="s">
        <v>591</v>
      </c>
      <c r="D1267" s="0" t="n">
        <v>0.0237238902614724</v>
      </c>
      <c r="E1267" s="0" t="n">
        <v>0.195236650479939</v>
      </c>
      <c r="F1267" s="0" t="n">
        <v>0</v>
      </c>
      <c r="G1267" s="0" t="n">
        <v>2021</v>
      </c>
    </row>
    <row r="1268" customFormat="false" ht="15" hidden="false" customHeight="false" outlineLevel="0" collapsed="false">
      <c r="A1268" s="0" t="s">
        <v>258</v>
      </c>
      <c r="B1268" s="52" t="n">
        <v>44378</v>
      </c>
      <c r="C1268" s="54" t="s">
        <v>592</v>
      </c>
      <c r="D1268" s="0" t="n">
        <v>0.299872556649413</v>
      </c>
      <c r="E1268" s="0" t="n">
        <v>0.218864518718543</v>
      </c>
      <c r="F1268" s="0" t="n">
        <v>0</v>
      </c>
      <c r="G1268" s="0" t="n">
        <v>2021</v>
      </c>
    </row>
    <row r="1269" customFormat="false" ht="15" hidden="false" customHeight="false" outlineLevel="0" collapsed="false">
      <c r="A1269" s="0" t="s">
        <v>258</v>
      </c>
      <c r="B1269" s="52" t="n">
        <v>44379</v>
      </c>
      <c r="C1269" s="54" t="s">
        <v>590</v>
      </c>
      <c r="D1269" s="0" t="n">
        <v>0.938689480989458</v>
      </c>
      <c r="E1269" s="0" t="n">
        <v>0</v>
      </c>
      <c r="F1269" s="0" t="n">
        <v>0</v>
      </c>
      <c r="G1269" s="0" t="n">
        <v>2021</v>
      </c>
    </row>
    <row r="1270" customFormat="false" ht="15" hidden="false" customHeight="false" outlineLevel="0" collapsed="false">
      <c r="A1270" s="0" t="s">
        <v>258</v>
      </c>
      <c r="B1270" s="52" t="n">
        <v>44379</v>
      </c>
      <c r="C1270" s="54" t="s">
        <v>591</v>
      </c>
      <c r="D1270" s="0" t="n">
        <v>0.144821937452071</v>
      </c>
      <c r="E1270" s="0" t="n">
        <v>0.230485099113265</v>
      </c>
      <c r="F1270" s="0" t="n">
        <v>0</v>
      </c>
      <c r="G1270" s="0" t="n">
        <v>2021</v>
      </c>
    </row>
    <row r="1271" customFormat="false" ht="15" hidden="false" customHeight="false" outlineLevel="0" collapsed="false">
      <c r="A1271" s="0" t="s">
        <v>258</v>
      </c>
      <c r="B1271" s="52" t="n">
        <v>44379</v>
      </c>
      <c r="C1271" s="54" t="s">
        <v>592</v>
      </c>
      <c r="D1271" s="0" t="n">
        <v>0.783826513201657</v>
      </c>
      <c r="E1271" s="0" t="n">
        <v>0.0214207240878537</v>
      </c>
      <c r="F1271" s="0" t="n">
        <v>0</v>
      </c>
      <c r="G1271" s="0" t="n">
        <v>2021</v>
      </c>
    </row>
    <row r="1272" customFormat="false" ht="15" hidden="false" customHeight="false" outlineLevel="0" collapsed="false">
      <c r="A1272" s="0" t="s">
        <v>258</v>
      </c>
      <c r="B1272" s="52" t="n">
        <v>44380</v>
      </c>
      <c r="C1272" s="54" t="s">
        <v>590</v>
      </c>
      <c r="D1272" s="0" t="n">
        <v>0.18598098548877</v>
      </c>
      <c r="E1272" s="0" t="n">
        <v>0.178959682457218</v>
      </c>
      <c r="F1272" s="0" t="n">
        <v>1</v>
      </c>
      <c r="G1272" s="0" t="n">
        <v>2021</v>
      </c>
    </row>
    <row r="1273" customFormat="false" ht="15" hidden="false" customHeight="false" outlineLevel="0" collapsed="false">
      <c r="A1273" s="0" t="s">
        <v>258</v>
      </c>
      <c r="B1273" s="52" t="n">
        <v>44380</v>
      </c>
      <c r="C1273" s="54" t="s">
        <v>591</v>
      </c>
      <c r="D1273" s="0" t="n">
        <v>0.539136673518802</v>
      </c>
      <c r="E1273" s="0" t="n">
        <v>0.137570815432397</v>
      </c>
      <c r="F1273" s="0" t="n">
        <v>1</v>
      </c>
      <c r="G1273" s="0" t="n">
        <v>2021</v>
      </c>
    </row>
    <row r="1274" customFormat="false" ht="15" hidden="false" customHeight="false" outlineLevel="0" collapsed="false">
      <c r="A1274" s="0" t="s">
        <v>258</v>
      </c>
      <c r="B1274" s="52" t="n">
        <v>44381</v>
      </c>
      <c r="C1274" s="54" t="s">
        <v>590</v>
      </c>
      <c r="D1274" s="0" t="n">
        <v>0.743344379424738</v>
      </c>
      <c r="E1274" s="0" t="n">
        <v>0.0759076781819857</v>
      </c>
      <c r="F1274" s="0" t="n">
        <v>1</v>
      </c>
      <c r="G1274" s="0" t="n">
        <v>2021</v>
      </c>
    </row>
    <row r="1275" customFormat="false" ht="15" hidden="false" customHeight="false" outlineLevel="0" collapsed="false">
      <c r="A1275" s="0" t="s">
        <v>258</v>
      </c>
      <c r="B1275" s="52" t="n">
        <v>44381</v>
      </c>
      <c r="C1275" s="54" t="s">
        <v>591</v>
      </c>
      <c r="D1275" s="0" t="n">
        <v>0.0010877997351288</v>
      </c>
      <c r="E1275" s="0" t="n">
        <v>0.149279127407817</v>
      </c>
      <c r="F1275" s="0" t="n">
        <v>1</v>
      </c>
      <c r="G1275" s="0" t="n">
        <v>2021</v>
      </c>
    </row>
    <row r="1276" customFormat="false" ht="15" hidden="false" customHeight="false" outlineLevel="0" collapsed="false">
      <c r="A1276" s="0" t="s">
        <v>258</v>
      </c>
      <c r="B1276" s="52" t="n">
        <v>44381</v>
      </c>
      <c r="C1276" s="54" t="s">
        <v>592</v>
      </c>
      <c r="D1276" s="0" t="n">
        <v>0.0114729220207254</v>
      </c>
      <c r="E1276" s="0" t="n">
        <v>0.147856586921978</v>
      </c>
      <c r="F1276" s="0" t="n">
        <v>1</v>
      </c>
      <c r="G1276" s="0" t="n">
        <v>2021</v>
      </c>
    </row>
    <row r="1277" customFormat="false" ht="15" hidden="false" customHeight="false" outlineLevel="0" collapsed="false">
      <c r="A1277" s="0" t="s">
        <v>258</v>
      </c>
      <c r="B1277" s="52" t="n">
        <v>44382</v>
      </c>
      <c r="C1277" s="54" t="s">
        <v>590</v>
      </c>
      <c r="D1277" s="0" t="n">
        <v>0.0037472370121195</v>
      </c>
      <c r="E1277" s="0" t="n">
        <v>0.258365162876857</v>
      </c>
      <c r="F1277" s="0" t="n">
        <v>0</v>
      </c>
      <c r="G1277" s="0" t="n">
        <v>2021</v>
      </c>
    </row>
    <row r="1278" customFormat="false" ht="15" hidden="false" customHeight="false" outlineLevel="0" collapsed="false">
      <c r="A1278" s="0" t="s">
        <v>258</v>
      </c>
      <c r="B1278" s="52" t="n">
        <v>44382</v>
      </c>
      <c r="C1278" s="54" t="s">
        <v>591</v>
      </c>
      <c r="D1278" s="0" t="n">
        <v>0</v>
      </c>
      <c r="E1278" s="0" t="n">
        <v>0.121039796652498</v>
      </c>
      <c r="F1278" s="0" t="n">
        <v>0</v>
      </c>
      <c r="G1278" s="0" t="n">
        <v>2021</v>
      </c>
    </row>
    <row r="1279" customFormat="false" ht="15" hidden="false" customHeight="false" outlineLevel="0" collapsed="false">
      <c r="A1279" s="0" t="s">
        <v>258</v>
      </c>
      <c r="B1279" s="52" t="n">
        <v>44382</v>
      </c>
      <c r="C1279" s="54" t="s">
        <v>592</v>
      </c>
      <c r="D1279" s="0" t="n">
        <v>0.0207978871241974</v>
      </c>
      <c r="E1279" s="0" t="n">
        <v>0.175454655963474</v>
      </c>
      <c r="F1279" s="0" t="n">
        <v>0</v>
      </c>
      <c r="G1279" s="0" t="n">
        <v>2021</v>
      </c>
    </row>
    <row r="1280" customFormat="false" ht="15" hidden="false" customHeight="false" outlineLevel="0" collapsed="false">
      <c r="A1280" s="0" t="s">
        <v>258</v>
      </c>
      <c r="B1280" s="52" t="n">
        <v>44383</v>
      </c>
      <c r="C1280" s="54" t="s">
        <v>590</v>
      </c>
      <c r="D1280" s="0" t="n">
        <v>0.0123830658509373</v>
      </c>
      <c r="E1280" s="0" t="n">
        <v>0.300067116848289</v>
      </c>
      <c r="F1280" s="0" t="n">
        <v>0</v>
      </c>
      <c r="G1280" s="0" t="n">
        <v>2021</v>
      </c>
    </row>
    <row r="1281" customFormat="false" ht="15" hidden="false" customHeight="false" outlineLevel="0" collapsed="false">
      <c r="A1281" s="0" t="s">
        <v>258</v>
      </c>
      <c r="B1281" s="52" t="n">
        <v>44383</v>
      </c>
      <c r="C1281" s="54" t="s">
        <v>591</v>
      </c>
      <c r="D1281" s="0" t="n">
        <v>0.0016308499372765</v>
      </c>
      <c r="E1281" s="0" t="n">
        <v>0.23710357340957</v>
      </c>
      <c r="F1281" s="0" t="n">
        <v>0</v>
      </c>
      <c r="G1281" s="0" t="n">
        <v>2021</v>
      </c>
    </row>
    <row r="1282" customFormat="false" ht="15" hidden="false" customHeight="false" outlineLevel="0" collapsed="false">
      <c r="A1282" s="0" t="s">
        <v>258</v>
      </c>
      <c r="B1282" s="52" t="n">
        <v>44383</v>
      </c>
      <c r="C1282" s="54" t="s">
        <v>592</v>
      </c>
      <c r="D1282" s="0" t="n">
        <v>0.395149130595269</v>
      </c>
      <c r="E1282" s="0" t="n">
        <v>0.244417594907675</v>
      </c>
      <c r="F1282" s="0" t="n">
        <v>0</v>
      </c>
      <c r="G1282" s="0" t="n">
        <v>2021</v>
      </c>
    </row>
    <row r="1283" customFormat="false" ht="15" hidden="false" customHeight="false" outlineLevel="0" collapsed="false">
      <c r="A1283" s="0" t="s">
        <v>258</v>
      </c>
      <c r="B1283" s="52" t="n">
        <v>44384</v>
      </c>
      <c r="C1283" s="54" t="s">
        <v>590</v>
      </c>
      <c r="D1283" s="0" t="n">
        <v>0.679753675132205</v>
      </c>
      <c r="E1283" s="0" t="n">
        <v>0.064906325033512</v>
      </c>
      <c r="F1283" s="0" t="n">
        <v>0</v>
      </c>
      <c r="G1283" s="0" t="n">
        <v>2021</v>
      </c>
    </row>
    <row r="1284" customFormat="false" ht="15" hidden="false" customHeight="false" outlineLevel="0" collapsed="false">
      <c r="A1284" s="0" t="s">
        <v>258</v>
      </c>
      <c r="B1284" s="52" t="n">
        <v>44384</v>
      </c>
      <c r="C1284" s="54" t="s">
        <v>591</v>
      </c>
      <c r="D1284" s="0" t="n">
        <v>0.0721461573038916</v>
      </c>
      <c r="E1284" s="0" t="n">
        <v>0.142620667509495</v>
      </c>
      <c r="F1284" s="0" t="n">
        <v>0</v>
      </c>
      <c r="G1284" s="0" t="n">
        <v>2021</v>
      </c>
    </row>
    <row r="1285" customFormat="false" ht="15" hidden="false" customHeight="false" outlineLevel="0" collapsed="false">
      <c r="A1285" s="0" t="s">
        <v>258</v>
      </c>
      <c r="B1285" s="52" t="n">
        <v>44384</v>
      </c>
      <c r="C1285" s="54" t="s">
        <v>592</v>
      </c>
      <c r="D1285" s="0" t="n">
        <v>0</v>
      </c>
      <c r="E1285" s="0" t="n">
        <v>0.0983662262332906</v>
      </c>
      <c r="F1285" s="0" t="n">
        <v>0</v>
      </c>
      <c r="G1285" s="0" t="n">
        <v>2021</v>
      </c>
    </row>
    <row r="1286" customFormat="false" ht="15" hidden="false" customHeight="false" outlineLevel="0" collapsed="false">
      <c r="A1286" s="0" t="s">
        <v>258</v>
      </c>
      <c r="B1286" s="52" t="n">
        <v>44385</v>
      </c>
      <c r="C1286" s="54" t="s">
        <v>590</v>
      </c>
      <c r="D1286" s="0" t="n">
        <v>0.010790743451178</v>
      </c>
      <c r="E1286" s="0" t="n">
        <v>0.214932670927916</v>
      </c>
      <c r="F1286" s="0" t="n">
        <v>0</v>
      </c>
      <c r="G1286" s="0" t="n">
        <v>2021</v>
      </c>
    </row>
    <row r="1287" customFormat="false" ht="15" hidden="false" customHeight="false" outlineLevel="0" collapsed="false">
      <c r="A1287" s="0" t="s">
        <v>258</v>
      </c>
      <c r="B1287" s="52" t="n">
        <v>44385</v>
      </c>
      <c r="C1287" s="54" t="s">
        <v>591</v>
      </c>
      <c r="D1287" s="0" t="n">
        <v>0</v>
      </c>
      <c r="E1287" s="0" t="n">
        <v>0.131449245945131</v>
      </c>
      <c r="F1287" s="0" t="n">
        <v>0</v>
      </c>
      <c r="G1287" s="0" t="n">
        <v>2021</v>
      </c>
    </row>
    <row r="1288" customFormat="false" ht="15" hidden="false" customHeight="false" outlineLevel="0" collapsed="false">
      <c r="A1288" s="0" t="s">
        <v>258</v>
      </c>
      <c r="B1288" s="52" t="n">
        <v>44385</v>
      </c>
      <c r="C1288" s="54" t="s">
        <v>592</v>
      </c>
      <c r="D1288" s="0" t="n">
        <v>0.0360830695578585</v>
      </c>
      <c r="E1288" s="0" t="n">
        <v>0.746118421464863</v>
      </c>
      <c r="F1288" s="0" t="n">
        <v>0</v>
      </c>
      <c r="G1288" s="0" t="n">
        <v>2021</v>
      </c>
    </row>
    <row r="1289" customFormat="false" ht="15" hidden="false" customHeight="false" outlineLevel="0" collapsed="false">
      <c r="A1289" s="0" t="s">
        <v>258</v>
      </c>
      <c r="B1289" s="52" t="n">
        <v>44386</v>
      </c>
      <c r="C1289" s="54" t="s">
        <v>591</v>
      </c>
      <c r="D1289" s="0" t="n">
        <v>0</v>
      </c>
      <c r="E1289" s="0" t="n">
        <v>0.154016767473588</v>
      </c>
      <c r="F1289" s="0" t="n">
        <v>0</v>
      </c>
      <c r="G1289" s="0" t="n">
        <v>2021</v>
      </c>
    </row>
    <row r="1290" customFormat="false" ht="15" hidden="false" customHeight="false" outlineLevel="0" collapsed="false">
      <c r="A1290" s="0" t="s">
        <v>258</v>
      </c>
      <c r="B1290" s="52" t="n">
        <v>44386</v>
      </c>
      <c r="C1290" s="54" t="s">
        <v>592</v>
      </c>
      <c r="D1290" s="0" t="n">
        <v>0.0050811898111555</v>
      </c>
      <c r="E1290" s="0" t="n">
        <v>0.120539753708224</v>
      </c>
      <c r="F1290" s="0" t="n">
        <v>0</v>
      </c>
      <c r="G1290" s="0" t="n">
        <v>2021</v>
      </c>
    </row>
    <row r="1291" customFormat="false" ht="15" hidden="false" customHeight="false" outlineLevel="0" collapsed="false">
      <c r="A1291" s="0" t="s">
        <v>258</v>
      </c>
      <c r="B1291" s="52" t="n">
        <v>44387</v>
      </c>
      <c r="C1291" s="54" t="s">
        <v>590</v>
      </c>
      <c r="D1291" s="0" t="n">
        <v>0.143066194306645</v>
      </c>
      <c r="E1291" s="0" t="n">
        <v>0.102636238040058</v>
      </c>
      <c r="F1291" s="0" t="n">
        <v>1</v>
      </c>
      <c r="G1291" s="0" t="n">
        <v>2021</v>
      </c>
    </row>
    <row r="1292" customFormat="false" ht="15" hidden="false" customHeight="false" outlineLevel="0" collapsed="false">
      <c r="A1292" s="0" t="s">
        <v>258</v>
      </c>
      <c r="B1292" s="52" t="n">
        <v>44388</v>
      </c>
      <c r="C1292" s="54" t="s">
        <v>590</v>
      </c>
      <c r="D1292" s="0" t="n">
        <v>0.762363340125994</v>
      </c>
      <c r="E1292" s="0" t="n">
        <v>0.0220929628291647</v>
      </c>
      <c r="F1292" s="0" t="n">
        <v>1</v>
      </c>
      <c r="G1292" s="0" t="n">
        <v>2021</v>
      </c>
    </row>
    <row r="1293" customFormat="false" ht="15" hidden="false" customHeight="false" outlineLevel="0" collapsed="false">
      <c r="A1293" s="0" t="s">
        <v>258</v>
      </c>
      <c r="B1293" s="52" t="n">
        <v>44388</v>
      </c>
      <c r="C1293" s="54" t="s">
        <v>591</v>
      </c>
      <c r="D1293" s="0" t="n">
        <v>0.0170122687095887</v>
      </c>
      <c r="E1293" s="0" t="n">
        <v>0.14214605167528</v>
      </c>
      <c r="F1293" s="0" t="n">
        <v>1</v>
      </c>
      <c r="G1293" s="0" t="n">
        <v>2021</v>
      </c>
    </row>
    <row r="1294" customFormat="false" ht="15" hidden="false" customHeight="false" outlineLevel="0" collapsed="false">
      <c r="A1294" s="0" t="s">
        <v>258</v>
      </c>
      <c r="B1294" s="52" t="n">
        <v>44388</v>
      </c>
      <c r="C1294" s="54" t="s">
        <v>592</v>
      </c>
      <c r="D1294" s="0" t="n">
        <v>0</v>
      </c>
      <c r="E1294" s="0" t="n">
        <v>0.084776552240702</v>
      </c>
      <c r="F1294" s="0" t="n">
        <v>1</v>
      </c>
      <c r="G1294" s="0" t="n">
        <v>2021</v>
      </c>
    </row>
    <row r="1295" customFormat="false" ht="15" hidden="false" customHeight="false" outlineLevel="0" collapsed="false">
      <c r="A1295" s="0" t="s">
        <v>258</v>
      </c>
      <c r="B1295" s="52" t="n">
        <v>44389</v>
      </c>
      <c r="C1295" s="54" t="s">
        <v>590</v>
      </c>
      <c r="D1295" s="0" t="n">
        <v>0.0073666943951532</v>
      </c>
      <c r="E1295" s="0" t="n">
        <v>0.135894432524647</v>
      </c>
      <c r="F1295" s="0" t="n">
        <v>0</v>
      </c>
      <c r="G1295" s="0" t="n">
        <v>2021</v>
      </c>
    </row>
    <row r="1296" customFormat="false" ht="15" hidden="false" customHeight="false" outlineLevel="0" collapsed="false">
      <c r="A1296" s="0" t="s">
        <v>258</v>
      </c>
      <c r="B1296" s="52" t="n">
        <v>44389</v>
      </c>
      <c r="C1296" s="54" t="s">
        <v>591</v>
      </c>
      <c r="D1296" s="0" t="n">
        <v>0.012308416610136</v>
      </c>
      <c r="E1296" s="0" t="n">
        <v>0.120403196450284</v>
      </c>
      <c r="F1296" s="0" t="n">
        <v>0</v>
      </c>
      <c r="G1296" s="0" t="n">
        <v>2021</v>
      </c>
    </row>
    <row r="1297" customFormat="false" ht="15" hidden="false" customHeight="false" outlineLevel="0" collapsed="false">
      <c r="A1297" s="0" t="s">
        <v>258</v>
      </c>
      <c r="B1297" s="52" t="n">
        <v>44389</v>
      </c>
      <c r="C1297" s="54" t="s">
        <v>592</v>
      </c>
      <c r="D1297" s="0" t="n">
        <v>0.379088689246351</v>
      </c>
      <c r="E1297" s="0" t="n">
        <v>0.115471984969939</v>
      </c>
      <c r="F1297" s="0" t="n">
        <v>0</v>
      </c>
      <c r="G1297" s="0" t="n">
        <v>2021</v>
      </c>
    </row>
    <row r="1298" customFormat="false" ht="15" hidden="false" customHeight="false" outlineLevel="0" collapsed="false">
      <c r="A1298" s="0" t="s">
        <v>258</v>
      </c>
      <c r="B1298" s="52" t="n">
        <v>44390</v>
      </c>
      <c r="C1298" s="54" t="s">
        <v>590</v>
      </c>
      <c r="D1298" s="0" t="n">
        <v>0.0245836266517149</v>
      </c>
      <c r="E1298" s="0" t="n">
        <v>0.1957118360931</v>
      </c>
      <c r="F1298" s="0" t="n">
        <v>0</v>
      </c>
      <c r="G1298" s="0" t="n">
        <v>2021</v>
      </c>
    </row>
    <row r="1299" customFormat="false" ht="15" hidden="false" customHeight="false" outlineLevel="0" collapsed="false">
      <c r="A1299" s="0" t="s">
        <v>258</v>
      </c>
      <c r="B1299" s="52" t="n">
        <v>44390</v>
      </c>
      <c r="C1299" s="54" t="s">
        <v>591</v>
      </c>
      <c r="D1299" s="0" t="n">
        <v>0.423145004691082</v>
      </c>
      <c r="E1299" s="0" t="n">
        <v>0.0531068491717312</v>
      </c>
      <c r="F1299" s="0" t="n">
        <v>0</v>
      </c>
      <c r="G1299" s="0" t="n">
        <v>2021</v>
      </c>
    </row>
    <row r="1300" customFormat="false" ht="15" hidden="false" customHeight="false" outlineLevel="0" collapsed="false">
      <c r="A1300" s="0" t="s">
        <v>258</v>
      </c>
      <c r="B1300" s="52" t="n">
        <v>44390</v>
      </c>
      <c r="C1300" s="54" t="s">
        <v>592</v>
      </c>
      <c r="D1300" s="0" t="n">
        <v>0.443182090874526</v>
      </c>
      <c r="E1300" s="0" t="n">
        <v>0.08777554062925</v>
      </c>
      <c r="F1300" s="0" t="n">
        <v>0</v>
      </c>
      <c r="G1300" s="0" t="n">
        <v>2021</v>
      </c>
    </row>
    <row r="1301" customFormat="false" ht="15" hidden="false" customHeight="false" outlineLevel="0" collapsed="false">
      <c r="A1301" s="0" t="s">
        <v>258</v>
      </c>
      <c r="B1301" s="52" t="n">
        <v>44391</v>
      </c>
      <c r="C1301" s="54" t="s">
        <v>590</v>
      </c>
      <c r="D1301" s="0" t="n">
        <v>0.0180727764273629</v>
      </c>
      <c r="E1301" s="0" t="n">
        <v>0.233762999754329</v>
      </c>
      <c r="F1301" s="0" t="n">
        <v>0</v>
      </c>
      <c r="G1301" s="0" t="n">
        <v>2021</v>
      </c>
    </row>
    <row r="1302" customFormat="false" ht="15" hidden="false" customHeight="false" outlineLevel="0" collapsed="false">
      <c r="A1302" s="0" t="s">
        <v>258</v>
      </c>
      <c r="B1302" s="52" t="n">
        <v>44391</v>
      </c>
      <c r="C1302" s="54" t="s">
        <v>591</v>
      </c>
      <c r="D1302" s="0" t="n">
        <v>0.153755449693253</v>
      </c>
      <c r="E1302" s="0" t="n">
        <v>0.145676311335017</v>
      </c>
      <c r="F1302" s="0" t="n">
        <v>0</v>
      </c>
      <c r="G1302" s="0" t="n">
        <v>2021</v>
      </c>
    </row>
    <row r="1303" customFormat="false" ht="15" hidden="false" customHeight="false" outlineLevel="0" collapsed="false">
      <c r="A1303" s="0" t="s">
        <v>258</v>
      </c>
      <c r="B1303" s="52" t="n">
        <v>44391</v>
      </c>
      <c r="C1303" s="54" t="s">
        <v>592</v>
      </c>
      <c r="D1303" s="0" t="n">
        <v>0.531519036519037</v>
      </c>
      <c r="E1303" s="0" t="n">
        <v>0.0683119409080947</v>
      </c>
      <c r="F1303" s="0" t="n">
        <v>0</v>
      </c>
      <c r="G1303" s="0" t="n">
        <v>2021</v>
      </c>
    </row>
    <row r="1304" customFormat="false" ht="15" hidden="false" customHeight="false" outlineLevel="0" collapsed="false">
      <c r="A1304" s="0" t="s">
        <v>258</v>
      </c>
      <c r="B1304" s="52" t="n">
        <v>44392</v>
      </c>
      <c r="C1304" s="54" t="s">
        <v>590</v>
      </c>
      <c r="D1304" s="0" t="n">
        <v>0.990967729000364</v>
      </c>
      <c r="E1304" s="0" t="n">
        <v>0</v>
      </c>
      <c r="F1304" s="0" t="n">
        <v>0</v>
      </c>
      <c r="G1304" s="0" t="n">
        <v>2021</v>
      </c>
    </row>
    <row r="1305" customFormat="false" ht="15" hidden="false" customHeight="false" outlineLevel="0" collapsed="false">
      <c r="A1305" s="0" t="s">
        <v>258</v>
      </c>
      <c r="B1305" s="52" t="n">
        <v>44392</v>
      </c>
      <c r="C1305" s="54" t="s">
        <v>591</v>
      </c>
      <c r="D1305" s="0" t="n">
        <v>0.293981333925662</v>
      </c>
      <c r="E1305" s="0" t="n">
        <v>0.177631487743944</v>
      </c>
      <c r="F1305" s="0" t="n">
        <v>0</v>
      </c>
      <c r="G1305" s="0" t="n">
        <v>2021</v>
      </c>
    </row>
    <row r="1306" customFormat="false" ht="15" hidden="false" customHeight="false" outlineLevel="0" collapsed="false">
      <c r="A1306" s="0" t="s">
        <v>258</v>
      </c>
      <c r="B1306" s="52" t="n">
        <v>44392</v>
      </c>
      <c r="C1306" s="54" t="s">
        <v>592</v>
      </c>
      <c r="D1306" s="0" t="n">
        <v>0.0099547008554418</v>
      </c>
      <c r="E1306" s="0" t="n">
        <v>0.219069846102543</v>
      </c>
      <c r="F1306" s="0" t="n">
        <v>0</v>
      </c>
      <c r="G1306" s="0" t="n">
        <v>2021</v>
      </c>
    </row>
    <row r="1307" customFormat="false" ht="15" hidden="false" customHeight="false" outlineLevel="0" collapsed="false">
      <c r="A1307" s="0" t="s">
        <v>258</v>
      </c>
      <c r="B1307" s="52" t="n">
        <v>44393</v>
      </c>
      <c r="C1307" s="54" t="s">
        <v>590</v>
      </c>
      <c r="D1307" s="0" t="n">
        <v>0.0006178541690127</v>
      </c>
      <c r="E1307" s="0" t="n">
        <v>0.228774347156091</v>
      </c>
      <c r="F1307" s="0" t="n">
        <v>0</v>
      </c>
      <c r="G1307" s="0" t="n">
        <v>2021</v>
      </c>
    </row>
    <row r="1308" customFormat="false" ht="15" hidden="false" customHeight="false" outlineLevel="0" collapsed="false">
      <c r="A1308" s="0" t="s">
        <v>258</v>
      </c>
      <c r="B1308" s="52" t="n">
        <v>44393</v>
      </c>
      <c r="C1308" s="54" t="s">
        <v>591</v>
      </c>
      <c r="D1308" s="0" t="n">
        <v>0.0263906730687987</v>
      </c>
      <c r="E1308" s="0" t="n">
        <v>0.182659915689807</v>
      </c>
      <c r="F1308" s="0" t="n">
        <v>0</v>
      </c>
      <c r="G1308" s="0" t="n">
        <v>2021</v>
      </c>
    </row>
    <row r="1309" customFormat="false" ht="15" hidden="false" customHeight="false" outlineLevel="0" collapsed="false">
      <c r="A1309" s="0" t="s">
        <v>258</v>
      </c>
      <c r="B1309" s="52" t="n">
        <v>44393</v>
      </c>
      <c r="C1309" s="54" t="s">
        <v>592</v>
      </c>
      <c r="D1309" s="0" t="n">
        <v>0.0903164374661149</v>
      </c>
      <c r="E1309" s="0" t="n">
        <v>0.224677993460025</v>
      </c>
      <c r="F1309" s="0" t="n">
        <v>0</v>
      </c>
      <c r="G1309" s="0" t="n">
        <v>2021</v>
      </c>
    </row>
    <row r="1310" customFormat="false" ht="15" hidden="false" customHeight="false" outlineLevel="0" collapsed="false">
      <c r="A1310" s="0" t="s">
        <v>258</v>
      </c>
      <c r="B1310" s="52" t="n">
        <v>44394</v>
      </c>
      <c r="C1310" s="54" t="s">
        <v>590</v>
      </c>
      <c r="D1310" s="0" t="n">
        <v>0.0012175840809254</v>
      </c>
      <c r="E1310" s="0" t="n">
        <v>0.245187940599741</v>
      </c>
      <c r="F1310" s="0" t="n">
        <v>1</v>
      </c>
      <c r="G1310" s="0" t="n">
        <v>2021</v>
      </c>
    </row>
    <row r="1311" customFormat="false" ht="15" hidden="false" customHeight="false" outlineLevel="0" collapsed="false">
      <c r="A1311" s="0" t="s">
        <v>258</v>
      </c>
      <c r="B1311" s="52" t="n">
        <v>44394</v>
      </c>
      <c r="C1311" s="54" t="s">
        <v>591</v>
      </c>
      <c r="D1311" s="0" t="n">
        <v>0.206561357539163</v>
      </c>
      <c r="E1311" s="0" t="n">
        <v>0.230061591939378</v>
      </c>
      <c r="F1311" s="0" t="n">
        <v>1</v>
      </c>
      <c r="G1311" s="0" t="n">
        <v>2021</v>
      </c>
    </row>
    <row r="1312" customFormat="false" ht="15" hidden="false" customHeight="false" outlineLevel="0" collapsed="false">
      <c r="A1312" s="0" t="s">
        <v>258</v>
      </c>
      <c r="B1312" s="52" t="n">
        <v>44395</v>
      </c>
      <c r="C1312" s="54" t="s">
        <v>590</v>
      </c>
      <c r="D1312" s="0" t="n">
        <v>0.451057441610184</v>
      </c>
      <c r="E1312" s="0" t="n">
        <v>0.11327053516103</v>
      </c>
      <c r="F1312" s="0" t="n">
        <v>1</v>
      </c>
      <c r="G1312" s="0" t="n">
        <v>2021</v>
      </c>
    </row>
    <row r="1313" customFormat="false" ht="15" hidden="false" customHeight="false" outlineLevel="0" collapsed="false">
      <c r="A1313" s="0" t="s">
        <v>258</v>
      </c>
      <c r="B1313" s="52" t="n">
        <v>44395</v>
      </c>
      <c r="C1313" s="54" t="s">
        <v>591</v>
      </c>
      <c r="D1313" s="0" t="n">
        <v>0.0118889332904644</v>
      </c>
      <c r="E1313" s="0" t="n">
        <v>0.282615085068748</v>
      </c>
      <c r="F1313" s="0" t="n">
        <v>1</v>
      </c>
      <c r="G1313" s="0" t="n">
        <v>2021</v>
      </c>
    </row>
    <row r="1314" customFormat="false" ht="15" hidden="false" customHeight="false" outlineLevel="0" collapsed="false">
      <c r="A1314" s="0" t="s">
        <v>258</v>
      </c>
      <c r="B1314" s="52" t="n">
        <v>44395</v>
      </c>
      <c r="C1314" s="54" t="s">
        <v>592</v>
      </c>
      <c r="D1314" s="0" t="n">
        <v>0.0719328807136307</v>
      </c>
      <c r="E1314" s="0" t="n">
        <v>0.222699038307854</v>
      </c>
      <c r="F1314" s="0" t="n">
        <v>1</v>
      </c>
      <c r="G1314" s="0" t="n">
        <v>2021</v>
      </c>
    </row>
    <row r="1315" customFormat="false" ht="15" hidden="false" customHeight="false" outlineLevel="0" collapsed="false">
      <c r="A1315" s="0" t="s">
        <v>258</v>
      </c>
      <c r="B1315" s="52" t="n">
        <v>44400</v>
      </c>
      <c r="C1315" s="54" t="s">
        <v>592</v>
      </c>
      <c r="D1315" s="0" t="n">
        <v>0</v>
      </c>
      <c r="E1315" s="0" t="n">
        <v>0.0049186293449334</v>
      </c>
      <c r="F1315" s="0" t="n">
        <v>0</v>
      </c>
      <c r="G1315" s="0" t="n">
        <v>2021</v>
      </c>
    </row>
    <row r="1316" customFormat="false" ht="15" hidden="false" customHeight="false" outlineLevel="0" collapsed="false">
      <c r="A1316" s="0" t="s">
        <v>258</v>
      </c>
      <c r="B1316" s="52" t="n">
        <v>44401</v>
      </c>
      <c r="C1316" s="54" t="s">
        <v>590</v>
      </c>
      <c r="D1316" s="0" t="n">
        <v>0.350856687767162</v>
      </c>
      <c r="E1316" s="0" t="n">
        <v>0.192331112379499</v>
      </c>
      <c r="F1316" s="0" t="n">
        <v>1</v>
      </c>
      <c r="G1316" s="0" t="n">
        <v>2021</v>
      </c>
    </row>
    <row r="1317" customFormat="false" ht="15" hidden="false" customHeight="false" outlineLevel="0" collapsed="false">
      <c r="A1317" s="0" t="s">
        <v>258</v>
      </c>
      <c r="B1317" s="52" t="n">
        <v>44402</v>
      </c>
      <c r="C1317" s="54" t="s">
        <v>590</v>
      </c>
      <c r="D1317" s="0" t="n">
        <v>0.293040413734213</v>
      </c>
      <c r="E1317" s="0" t="n">
        <v>0.079020510057332</v>
      </c>
      <c r="F1317" s="0" t="n">
        <v>1</v>
      </c>
      <c r="G1317" s="0" t="n">
        <v>2021</v>
      </c>
    </row>
    <row r="1318" customFormat="false" ht="15" hidden="false" customHeight="false" outlineLevel="0" collapsed="false">
      <c r="A1318" s="0" t="s">
        <v>258</v>
      </c>
      <c r="B1318" s="52" t="n">
        <v>44402</v>
      </c>
      <c r="C1318" s="54" t="s">
        <v>591</v>
      </c>
      <c r="D1318" s="0" t="n">
        <v>0.158387433636989</v>
      </c>
      <c r="E1318" s="0" t="n">
        <v>0.0769183841332133</v>
      </c>
      <c r="F1318" s="0" t="n">
        <v>1</v>
      </c>
      <c r="G1318" s="0" t="n">
        <v>2021</v>
      </c>
    </row>
    <row r="1319" customFormat="false" ht="15" hidden="false" customHeight="false" outlineLevel="0" collapsed="false">
      <c r="A1319" s="0" t="s">
        <v>258</v>
      </c>
      <c r="B1319" s="52" t="n">
        <v>44402</v>
      </c>
      <c r="C1319" s="54" t="s">
        <v>592</v>
      </c>
      <c r="D1319" s="0" t="n">
        <v>0.0097935266084474</v>
      </c>
      <c r="E1319" s="0" t="n">
        <v>0.153161515714751</v>
      </c>
      <c r="F1319" s="0" t="n">
        <v>1</v>
      </c>
      <c r="G1319" s="0" t="n">
        <v>2021</v>
      </c>
    </row>
    <row r="1320" customFormat="false" ht="15" hidden="false" customHeight="false" outlineLevel="0" collapsed="false">
      <c r="A1320" s="0" t="s">
        <v>258</v>
      </c>
      <c r="B1320" s="52" t="n">
        <v>44403</v>
      </c>
      <c r="C1320" s="54" t="s">
        <v>590</v>
      </c>
      <c r="D1320" s="0" t="n">
        <v>0</v>
      </c>
      <c r="E1320" s="0" t="n">
        <v>0.276195763562753</v>
      </c>
      <c r="F1320" s="0" t="n">
        <v>0</v>
      </c>
      <c r="G1320" s="0" t="n">
        <v>2021</v>
      </c>
    </row>
    <row r="1321" customFormat="false" ht="15" hidden="false" customHeight="false" outlineLevel="0" collapsed="false">
      <c r="A1321" s="0" t="s">
        <v>258</v>
      </c>
      <c r="B1321" s="52" t="n">
        <v>44403</v>
      </c>
      <c r="C1321" s="54" t="s">
        <v>591</v>
      </c>
      <c r="D1321" s="0" t="n">
        <v>0.0814415937882004</v>
      </c>
      <c r="E1321" s="0" t="n">
        <v>0.115078452726807</v>
      </c>
      <c r="F1321" s="0" t="n">
        <v>0</v>
      </c>
      <c r="G1321" s="0" t="n">
        <v>2021</v>
      </c>
    </row>
    <row r="1322" customFormat="false" ht="15" hidden="false" customHeight="false" outlineLevel="0" collapsed="false">
      <c r="A1322" s="0" t="s">
        <v>258</v>
      </c>
      <c r="B1322" s="52" t="n">
        <v>44403</v>
      </c>
      <c r="C1322" s="54" t="s">
        <v>592</v>
      </c>
      <c r="D1322" s="0" t="n">
        <v>0.219844856891123</v>
      </c>
      <c r="E1322" s="0" t="n">
        <v>0.144562256613063</v>
      </c>
      <c r="F1322" s="0" t="n">
        <v>0</v>
      </c>
      <c r="G1322" s="0" t="n">
        <v>2021</v>
      </c>
    </row>
    <row r="1323" customFormat="false" ht="15" hidden="false" customHeight="false" outlineLevel="0" collapsed="false">
      <c r="A1323" s="0" t="s">
        <v>258</v>
      </c>
      <c r="B1323" s="52" t="n">
        <v>44404</v>
      </c>
      <c r="C1323" s="54" t="s">
        <v>590</v>
      </c>
      <c r="D1323" s="0" t="n">
        <v>0</v>
      </c>
      <c r="E1323" s="0" t="n">
        <v>0.141631494123607</v>
      </c>
      <c r="F1323" s="0" t="n">
        <v>0</v>
      </c>
      <c r="G1323" s="0" t="n">
        <v>2021</v>
      </c>
    </row>
    <row r="1324" customFormat="false" ht="15" hidden="false" customHeight="false" outlineLevel="0" collapsed="false">
      <c r="A1324" s="0" t="s">
        <v>258</v>
      </c>
      <c r="B1324" s="52" t="n">
        <v>44404</v>
      </c>
      <c r="C1324" s="54" t="s">
        <v>591</v>
      </c>
      <c r="D1324" s="0" t="n">
        <v>0.0066665044536485</v>
      </c>
      <c r="E1324" s="0" t="n">
        <v>0.0852432414246388</v>
      </c>
      <c r="F1324" s="0" t="n">
        <v>0</v>
      </c>
      <c r="G1324" s="0" t="n">
        <v>2021</v>
      </c>
    </row>
    <row r="1325" customFormat="false" ht="15" hidden="false" customHeight="false" outlineLevel="0" collapsed="false">
      <c r="A1325" s="0" t="s">
        <v>258</v>
      </c>
      <c r="B1325" s="52" t="n">
        <v>44404</v>
      </c>
      <c r="C1325" s="54" t="s">
        <v>592</v>
      </c>
      <c r="D1325" s="0" t="n">
        <v>0.015923201832975</v>
      </c>
      <c r="E1325" s="0" t="n">
        <v>0.142321366938676</v>
      </c>
      <c r="F1325" s="0" t="n">
        <v>0</v>
      </c>
      <c r="G1325" s="0" t="n">
        <v>2021</v>
      </c>
    </row>
    <row r="1326" customFormat="false" ht="15" hidden="false" customHeight="false" outlineLevel="0" collapsed="false">
      <c r="A1326" s="0" t="s">
        <v>258</v>
      </c>
      <c r="B1326" s="52" t="n">
        <v>44405</v>
      </c>
      <c r="C1326" s="54" t="s">
        <v>590</v>
      </c>
      <c r="D1326" s="0" t="n">
        <v>0.0925403922312416</v>
      </c>
      <c r="E1326" s="0" t="n">
        <v>0.159109656086415</v>
      </c>
      <c r="F1326" s="0" t="n">
        <v>0</v>
      </c>
      <c r="G1326" s="0" t="n">
        <v>2021</v>
      </c>
    </row>
    <row r="1327" customFormat="false" ht="15" hidden="false" customHeight="false" outlineLevel="0" collapsed="false">
      <c r="A1327" s="0" t="s">
        <v>258</v>
      </c>
      <c r="B1327" s="52" t="n">
        <v>44405</v>
      </c>
      <c r="C1327" s="54" t="s">
        <v>591</v>
      </c>
      <c r="D1327" s="0" t="n">
        <v>0.0934150833463697</v>
      </c>
      <c r="E1327" s="0" t="n">
        <v>0.0615994440165398</v>
      </c>
      <c r="F1327" s="0" t="n">
        <v>0</v>
      </c>
      <c r="G1327" s="0" t="n">
        <v>2021</v>
      </c>
    </row>
    <row r="1328" customFormat="false" ht="15" hidden="false" customHeight="false" outlineLevel="0" collapsed="false">
      <c r="A1328" s="0" t="s">
        <v>258</v>
      </c>
      <c r="B1328" s="52" t="n">
        <v>44405</v>
      </c>
      <c r="C1328" s="54" t="s">
        <v>592</v>
      </c>
      <c r="D1328" s="0" t="n">
        <v>0.39222294947341</v>
      </c>
      <c r="E1328" s="0" t="n">
        <v>0.0460465280693957</v>
      </c>
      <c r="F1328" s="0" t="n">
        <v>0</v>
      </c>
      <c r="G1328" s="0" t="n">
        <v>2021</v>
      </c>
    </row>
    <row r="1329" customFormat="false" ht="15" hidden="false" customHeight="false" outlineLevel="0" collapsed="false">
      <c r="A1329" s="0" t="s">
        <v>258</v>
      </c>
      <c r="B1329" s="52" t="n">
        <v>44406</v>
      </c>
      <c r="C1329" s="54" t="s">
        <v>590</v>
      </c>
      <c r="D1329" s="0" t="n">
        <v>0.533370506788383</v>
      </c>
      <c r="E1329" s="0" t="n">
        <v>0.0061930162759213</v>
      </c>
      <c r="F1329" s="0" t="n">
        <v>0</v>
      </c>
      <c r="G1329" s="0" t="n">
        <v>2021</v>
      </c>
    </row>
    <row r="1330" customFormat="false" ht="15" hidden="false" customHeight="false" outlineLevel="0" collapsed="false">
      <c r="A1330" s="0" t="s">
        <v>258</v>
      </c>
      <c r="B1330" s="52" t="n">
        <v>44406</v>
      </c>
      <c r="C1330" s="54" t="s">
        <v>591</v>
      </c>
      <c r="D1330" s="0" t="n">
        <v>0.0113084922708777</v>
      </c>
      <c r="E1330" s="0" t="n">
        <v>0.154840498828866</v>
      </c>
      <c r="F1330" s="0" t="n">
        <v>0</v>
      </c>
      <c r="G1330" s="0" t="n">
        <v>2021</v>
      </c>
    </row>
    <row r="1331" customFormat="false" ht="15" hidden="false" customHeight="false" outlineLevel="0" collapsed="false">
      <c r="A1331" s="0" t="s">
        <v>258</v>
      </c>
      <c r="B1331" s="52" t="n">
        <v>44406</v>
      </c>
      <c r="C1331" s="54" t="s">
        <v>592</v>
      </c>
      <c r="D1331" s="0" t="n">
        <v>0.0250715598222684</v>
      </c>
      <c r="E1331" s="0" t="n">
        <v>0.106633011961436</v>
      </c>
      <c r="F1331" s="0" t="n">
        <v>0</v>
      </c>
      <c r="G1331" s="0" t="n">
        <v>2021</v>
      </c>
    </row>
    <row r="1332" customFormat="false" ht="15" hidden="false" customHeight="false" outlineLevel="0" collapsed="false">
      <c r="A1332" s="0" t="s">
        <v>258</v>
      </c>
      <c r="B1332" s="52" t="n">
        <v>44407</v>
      </c>
      <c r="C1332" s="54" t="s">
        <v>590</v>
      </c>
      <c r="D1332" s="0" t="n">
        <v>0.0334261282618724</v>
      </c>
      <c r="E1332" s="0" t="n">
        <v>0.178783655932322</v>
      </c>
      <c r="F1332" s="0" t="n">
        <v>0</v>
      </c>
      <c r="G1332" s="0" t="n">
        <v>2021</v>
      </c>
    </row>
    <row r="1333" customFormat="false" ht="15" hidden="false" customHeight="false" outlineLevel="0" collapsed="false">
      <c r="A1333" s="0" t="s">
        <v>258</v>
      </c>
      <c r="B1333" s="52" t="n">
        <v>44407</v>
      </c>
      <c r="C1333" s="54" t="s">
        <v>591</v>
      </c>
      <c r="D1333" s="0" t="n">
        <v>0.0838981132127979</v>
      </c>
      <c r="E1333" s="0" t="n">
        <v>0.130893643276978</v>
      </c>
      <c r="F1333" s="0" t="n">
        <v>0</v>
      </c>
      <c r="G1333" s="0" t="n">
        <v>2021</v>
      </c>
    </row>
    <row r="1334" customFormat="false" ht="15" hidden="false" customHeight="false" outlineLevel="0" collapsed="false">
      <c r="A1334" s="0" t="s">
        <v>258</v>
      </c>
      <c r="B1334" s="52" t="n">
        <v>44407</v>
      </c>
      <c r="C1334" s="54" t="s">
        <v>592</v>
      </c>
      <c r="D1334" s="0" t="n">
        <v>0.0356342963415006</v>
      </c>
      <c r="E1334" s="0" t="n">
        <v>0.189915980847696</v>
      </c>
      <c r="F1334" s="0" t="n">
        <v>0</v>
      </c>
      <c r="G1334" s="0" t="n">
        <v>2021</v>
      </c>
    </row>
    <row r="1335" customFormat="false" ht="15" hidden="false" customHeight="false" outlineLevel="0" collapsed="false">
      <c r="A1335" s="0" t="s">
        <v>258</v>
      </c>
      <c r="B1335" s="52" t="n">
        <v>44408</v>
      </c>
      <c r="C1335" s="54" t="s">
        <v>590</v>
      </c>
      <c r="D1335" s="0" t="n">
        <v>0.0020658545707288</v>
      </c>
      <c r="E1335" s="0" t="n">
        <v>0.0627128460378036</v>
      </c>
      <c r="F1335" s="0" t="n">
        <v>1</v>
      </c>
      <c r="G1335" s="0" t="n">
        <v>2021</v>
      </c>
    </row>
    <row r="1336" customFormat="false" ht="15" hidden="false" customHeight="false" outlineLevel="0" collapsed="false">
      <c r="A1336" s="0" t="s">
        <v>258</v>
      </c>
      <c r="B1336" s="52" t="n">
        <v>44408</v>
      </c>
      <c r="C1336" s="54" t="s">
        <v>591</v>
      </c>
      <c r="D1336" s="0" t="n">
        <v>0.275718839592202</v>
      </c>
      <c r="E1336" s="0" t="n">
        <v>0.0413299656345029</v>
      </c>
      <c r="F1336" s="0" t="n">
        <v>1</v>
      </c>
      <c r="G1336" s="0" t="n">
        <v>2021</v>
      </c>
    </row>
    <row r="1337" customFormat="false" ht="15" hidden="false" customHeight="false" outlineLevel="0" collapsed="false">
      <c r="A1337" s="0" t="s">
        <v>258</v>
      </c>
      <c r="B1337" s="52" t="n">
        <v>44409</v>
      </c>
      <c r="C1337" s="54" t="s">
        <v>591</v>
      </c>
      <c r="D1337" s="0" t="n">
        <v>0.0859011521235631</v>
      </c>
      <c r="E1337" s="0" t="n">
        <v>0.11952018799527</v>
      </c>
      <c r="F1337" s="0" t="n">
        <v>1</v>
      </c>
      <c r="G1337" s="0" t="n">
        <v>2021</v>
      </c>
    </row>
    <row r="1338" customFormat="false" ht="15" hidden="false" customHeight="false" outlineLevel="0" collapsed="false">
      <c r="A1338" s="0" t="s">
        <v>258</v>
      </c>
      <c r="B1338" s="52" t="n">
        <v>44409</v>
      </c>
      <c r="C1338" s="54" t="s">
        <v>592</v>
      </c>
      <c r="D1338" s="0" t="n">
        <v>0.00775733467125</v>
      </c>
      <c r="E1338" s="0" t="n">
        <v>0.0814256025600872</v>
      </c>
      <c r="F1338" s="0" t="n">
        <v>1</v>
      </c>
      <c r="G1338" s="0" t="n">
        <v>2021</v>
      </c>
    </row>
    <row r="1339" customFormat="false" ht="15" hidden="false" customHeight="false" outlineLevel="0" collapsed="false">
      <c r="A1339" s="0" t="s">
        <v>258</v>
      </c>
      <c r="B1339" s="52" t="n">
        <v>44410</v>
      </c>
      <c r="C1339" s="54" t="s">
        <v>590</v>
      </c>
      <c r="D1339" s="0" t="n">
        <v>0.0077881411190017</v>
      </c>
      <c r="E1339" s="0" t="n">
        <v>0.207671568923962</v>
      </c>
      <c r="F1339" s="0" t="n">
        <v>0</v>
      </c>
      <c r="G1339" s="0" t="n">
        <v>2021</v>
      </c>
    </row>
    <row r="1340" customFormat="false" ht="15" hidden="false" customHeight="false" outlineLevel="0" collapsed="false">
      <c r="A1340" s="0" t="s">
        <v>258</v>
      </c>
      <c r="B1340" s="52" t="n">
        <v>44410</v>
      </c>
      <c r="C1340" s="54" t="s">
        <v>591</v>
      </c>
      <c r="D1340" s="0" t="n">
        <v>0.0862763801396607</v>
      </c>
      <c r="E1340" s="0" t="n">
        <v>0.0929175061395339</v>
      </c>
      <c r="F1340" s="0" t="n">
        <v>0</v>
      </c>
      <c r="G1340" s="0" t="n">
        <v>2021</v>
      </c>
    </row>
    <row r="1341" customFormat="false" ht="15" hidden="false" customHeight="false" outlineLevel="0" collapsed="false">
      <c r="A1341" s="0" t="s">
        <v>258</v>
      </c>
      <c r="B1341" s="52" t="n">
        <v>44410</v>
      </c>
      <c r="C1341" s="54" t="s">
        <v>592</v>
      </c>
      <c r="D1341" s="0" t="n">
        <v>0.0116427590028327</v>
      </c>
      <c r="E1341" s="0" t="n">
        <v>0.123407405492772</v>
      </c>
      <c r="F1341" s="0" t="n">
        <v>0</v>
      </c>
      <c r="G1341" s="0" t="n">
        <v>2021</v>
      </c>
    </row>
    <row r="1342" customFormat="false" ht="15" hidden="false" customHeight="false" outlineLevel="0" collapsed="false">
      <c r="A1342" s="0" t="s">
        <v>258</v>
      </c>
      <c r="B1342" s="52" t="n">
        <v>44411</v>
      </c>
      <c r="C1342" s="54" t="s">
        <v>590</v>
      </c>
      <c r="D1342" s="0" t="n">
        <v>0.0044421334488977</v>
      </c>
      <c r="E1342" s="0" t="n">
        <v>0.217471980365151</v>
      </c>
      <c r="F1342" s="0" t="n">
        <v>0</v>
      </c>
      <c r="G1342" s="0" t="n">
        <v>2021</v>
      </c>
    </row>
    <row r="1343" customFormat="false" ht="15" hidden="false" customHeight="false" outlineLevel="0" collapsed="false">
      <c r="A1343" s="0" t="s">
        <v>258</v>
      </c>
      <c r="B1343" s="52" t="n">
        <v>44411</v>
      </c>
      <c r="C1343" s="54" t="s">
        <v>591</v>
      </c>
      <c r="D1343" s="0" t="n">
        <v>0.0472741921584827</v>
      </c>
      <c r="E1343" s="0" t="n">
        <v>0.131579506086659</v>
      </c>
      <c r="F1343" s="0" t="n">
        <v>0</v>
      </c>
      <c r="G1343" s="0" t="n">
        <v>2021</v>
      </c>
    </row>
    <row r="1344" customFormat="false" ht="15" hidden="false" customHeight="false" outlineLevel="0" collapsed="false">
      <c r="A1344" s="0" t="s">
        <v>258</v>
      </c>
      <c r="B1344" s="52" t="n">
        <v>44411</v>
      </c>
      <c r="C1344" s="54" t="s">
        <v>592</v>
      </c>
      <c r="D1344" s="0" t="n">
        <v>0.21990711006789</v>
      </c>
      <c r="E1344" s="0" t="n">
        <v>0.0515798267274757</v>
      </c>
      <c r="F1344" s="0" t="n">
        <v>0</v>
      </c>
      <c r="G1344" s="0" t="n">
        <v>2021</v>
      </c>
    </row>
    <row r="1345" customFormat="false" ht="15" hidden="false" customHeight="false" outlineLevel="0" collapsed="false">
      <c r="A1345" s="0" t="s">
        <v>258</v>
      </c>
      <c r="B1345" s="52" t="n">
        <v>44412</v>
      </c>
      <c r="C1345" s="54" t="s">
        <v>590</v>
      </c>
      <c r="D1345" s="0" t="n">
        <v>0.0017617533632207</v>
      </c>
      <c r="E1345" s="0" t="n">
        <v>0.0927814897541259</v>
      </c>
      <c r="F1345" s="0" t="n">
        <v>0</v>
      </c>
      <c r="G1345" s="0" t="n">
        <v>2021</v>
      </c>
    </row>
    <row r="1346" customFormat="false" ht="15" hidden="false" customHeight="false" outlineLevel="0" collapsed="false">
      <c r="A1346" s="0" t="s">
        <v>258</v>
      </c>
      <c r="B1346" s="52" t="n">
        <v>44412</v>
      </c>
      <c r="C1346" s="54" t="s">
        <v>591</v>
      </c>
      <c r="D1346" s="0" t="n">
        <v>0.0120043322458148</v>
      </c>
      <c r="E1346" s="0" t="n">
        <v>0.0705499354365482</v>
      </c>
      <c r="F1346" s="0" t="n">
        <v>0</v>
      </c>
      <c r="G1346" s="0" t="n">
        <v>2021</v>
      </c>
    </row>
    <row r="1347" customFormat="false" ht="15" hidden="false" customHeight="false" outlineLevel="0" collapsed="false">
      <c r="A1347" s="0" t="s">
        <v>258</v>
      </c>
      <c r="B1347" s="52" t="n">
        <v>44412</v>
      </c>
      <c r="C1347" s="54" t="s">
        <v>592</v>
      </c>
      <c r="D1347" s="0" t="n">
        <v>0.069882527057905</v>
      </c>
      <c r="E1347" s="0" t="n">
        <v>0.19460668533248</v>
      </c>
      <c r="F1347" s="0" t="n">
        <v>0</v>
      </c>
      <c r="G1347" s="0" t="n">
        <v>2021</v>
      </c>
    </row>
    <row r="1348" customFormat="false" ht="15" hidden="false" customHeight="false" outlineLevel="0" collapsed="false">
      <c r="A1348" s="0" t="s">
        <v>258</v>
      </c>
      <c r="B1348" s="52" t="n">
        <v>44413</v>
      </c>
      <c r="C1348" s="54" t="s">
        <v>590</v>
      </c>
      <c r="D1348" s="0" t="n">
        <v>0</v>
      </c>
      <c r="E1348" s="0" t="n">
        <v>0.0757530550924541</v>
      </c>
      <c r="F1348" s="0" t="n">
        <v>0</v>
      </c>
      <c r="G1348" s="0" t="n">
        <v>2021</v>
      </c>
    </row>
    <row r="1349" customFormat="false" ht="15" hidden="false" customHeight="false" outlineLevel="0" collapsed="false">
      <c r="A1349" s="0" t="s">
        <v>258</v>
      </c>
      <c r="B1349" s="52" t="n">
        <v>44413</v>
      </c>
      <c r="C1349" s="54" t="s">
        <v>591</v>
      </c>
      <c r="D1349" s="0" t="n">
        <v>0.0211421316710746</v>
      </c>
      <c r="E1349" s="0" t="n">
        <v>0.0744560100574922</v>
      </c>
      <c r="F1349" s="0" t="n">
        <v>0</v>
      </c>
      <c r="G1349" s="0" t="n">
        <v>2021</v>
      </c>
    </row>
    <row r="1350" customFormat="false" ht="15" hidden="false" customHeight="false" outlineLevel="0" collapsed="false">
      <c r="A1350" s="0" t="s">
        <v>258</v>
      </c>
      <c r="B1350" s="52" t="n">
        <v>44413</v>
      </c>
      <c r="C1350" s="54" t="s">
        <v>592</v>
      </c>
      <c r="D1350" s="0" t="n">
        <v>0</v>
      </c>
      <c r="E1350" s="0" t="n">
        <v>0.0786008767962808</v>
      </c>
      <c r="F1350" s="0" t="n">
        <v>0</v>
      </c>
      <c r="G1350" s="0" t="n">
        <v>2021</v>
      </c>
    </row>
    <row r="1351" customFormat="false" ht="15" hidden="false" customHeight="false" outlineLevel="0" collapsed="false">
      <c r="A1351" s="0" t="s">
        <v>258</v>
      </c>
      <c r="B1351" s="52" t="n">
        <v>44414</v>
      </c>
      <c r="C1351" s="54" t="s">
        <v>590</v>
      </c>
      <c r="D1351" s="0" t="n">
        <v>0.0855029028174018</v>
      </c>
      <c r="E1351" s="0" t="n">
        <v>0.120375648305374</v>
      </c>
      <c r="F1351" s="0" t="n">
        <v>0</v>
      </c>
      <c r="G1351" s="0" t="n">
        <v>2021</v>
      </c>
    </row>
    <row r="1352" customFormat="false" ht="15" hidden="false" customHeight="false" outlineLevel="0" collapsed="false">
      <c r="A1352" s="0" t="s">
        <v>258</v>
      </c>
      <c r="B1352" s="52" t="n">
        <v>44414</v>
      </c>
      <c r="C1352" s="54" t="s">
        <v>591</v>
      </c>
      <c r="D1352" s="0" t="n">
        <v>0.0370230735500131</v>
      </c>
      <c r="E1352" s="0" t="n">
        <v>0.139843614952228</v>
      </c>
      <c r="F1352" s="0" t="n">
        <v>0</v>
      </c>
      <c r="G1352" s="0" t="n">
        <v>2021</v>
      </c>
    </row>
    <row r="1353" customFormat="false" ht="15" hidden="false" customHeight="false" outlineLevel="0" collapsed="false">
      <c r="A1353" s="0" t="s">
        <v>258</v>
      </c>
      <c r="B1353" s="52" t="n">
        <v>44414</v>
      </c>
      <c r="C1353" s="54" t="s">
        <v>592</v>
      </c>
      <c r="D1353" s="0" t="n">
        <v>0.0040362770701334</v>
      </c>
      <c r="E1353" s="0" t="n">
        <v>0.0559732065972757</v>
      </c>
      <c r="F1353" s="0" t="n">
        <v>0</v>
      </c>
      <c r="G1353" s="0" t="n">
        <v>2021</v>
      </c>
    </row>
    <row r="1354" customFormat="false" ht="15" hidden="false" customHeight="false" outlineLevel="0" collapsed="false">
      <c r="A1354" s="0" t="s">
        <v>258</v>
      </c>
      <c r="B1354" s="52" t="n">
        <v>44415</v>
      </c>
      <c r="C1354" s="54" t="s">
        <v>590</v>
      </c>
      <c r="D1354" s="0" t="n">
        <v>0.114492346971122</v>
      </c>
      <c r="E1354" s="0" t="n">
        <v>0.213482714065368</v>
      </c>
      <c r="F1354" s="0" t="n">
        <v>1</v>
      </c>
      <c r="G1354" s="0" t="n">
        <v>2021</v>
      </c>
    </row>
    <row r="1355" customFormat="false" ht="15" hidden="false" customHeight="false" outlineLevel="0" collapsed="false">
      <c r="A1355" s="0" t="s">
        <v>258</v>
      </c>
      <c r="B1355" s="52" t="n">
        <v>44416</v>
      </c>
      <c r="C1355" s="54" t="s">
        <v>590</v>
      </c>
      <c r="D1355" s="0" t="n">
        <v>0.723069942994567</v>
      </c>
      <c r="E1355" s="0" t="n">
        <v>0.0527238908389578</v>
      </c>
      <c r="F1355" s="0" t="n">
        <v>1</v>
      </c>
      <c r="G1355" s="0" t="n">
        <v>2021</v>
      </c>
    </row>
    <row r="1356" customFormat="false" ht="15" hidden="false" customHeight="false" outlineLevel="0" collapsed="false">
      <c r="A1356" s="0" t="s">
        <v>258</v>
      </c>
      <c r="B1356" s="52" t="n">
        <v>44416</v>
      </c>
      <c r="C1356" s="54" t="s">
        <v>591</v>
      </c>
      <c r="D1356" s="0" t="n">
        <v>0.009727447962755</v>
      </c>
      <c r="E1356" s="0" t="n">
        <v>0.108470495722668</v>
      </c>
      <c r="F1356" s="0" t="n">
        <v>1</v>
      </c>
      <c r="G1356" s="0" t="n">
        <v>2021</v>
      </c>
    </row>
    <row r="1357" customFormat="false" ht="15" hidden="false" customHeight="false" outlineLevel="0" collapsed="false">
      <c r="A1357" s="0" t="s">
        <v>258</v>
      </c>
      <c r="B1357" s="52" t="n">
        <v>44416</v>
      </c>
      <c r="C1357" s="54" t="s">
        <v>592</v>
      </c>
      <c r="D1357" s="0" t="n">
        <v>0.001274752594475</v>
      </c>
      <c r="E1357" s="0" t="n">
        <v>0.108012096627092</v>
      </c>
      <c r="F1357" s="0" t="n">
        <v>1</v>
      </c>
      <c r="G1357" s="0" t="n">
        <v>2021</v>
      </c>
    </row>
    <row r="1358" customFormat="false" ht="15" hidden="false" customHeight="false" outlineLevel="0" collapsed="false">
      <c r="A1358" s="0" t="s">
        <v>258</v>
      </c>
      <c r="B1358" s="52" t="n">
        <v>44417</v>
      </c>
      <c r="C1358" s="54" t="s">
        <v>590</v>
      </c>
      <c r="D1358" s="0" t="n">
        <v>0.0269949718869983</v>
      </c>
      <c r="E1358" s="0" t="n">
        <v>0.0977708969456919</v>
      </c>
      <c r="F1358" s="0" t="n">
        <v>0</v>
      </c>
      <c r="G1358" s="0" t="n">
        <v>2021</v>
      </c>
    </row>
    <row r="1359" customFormat="false" ht="15" hidden="false" customHeight="false" outlineLevel="0" collapsed="false">
      <c r="A1359" s="0" t="s">
        <v>258</v>
      </c>
      <c r="B1359" s="52" t="n">
        <v>44417</v>
      </c>
      <c r="C1359" s="54" t="s">
        <v>591</v>
      </c>
      <c r="D1359" s="0" t="n">
        <v>0.230005149128291</v>
      </c>
      <c r="E1359" s="0" t="n">
        <v>0.0637773649127638</v>
      </c>
      <c r="F1359" s="0" t="n">
        <v>0</v>
      </c>
      <c r="G1359" s="0" t="n">
        <v>2021</v>
      </c>
    </row>
    <row r="1360" customFormat="false" ht="15" hidden="false" customHeight="false" outlineLevel="0" collapsed="false">
      <c r="A1360" s="0" t="s">
        <v>258</v>
      </c>
      <c r="B1360" s="52" t="n">
        <v>44417</v>
      </c>
      <c r="C1360" s="54" t="s">
        <v>592</v>
      </c>
      <c r="D1360" s="0" t="n">
        <v>0</v>
      </c>
      <c r="E1360" s="0" t="n">
        <v>0.14402031282805</v>
      </c>
      <c r="F1360" s="0" t="n">
        <v>0</v>
      </c>
      <c r="G1360" s="0" t="n">
        <v>2021</v>
      </c>
    </row>
    <row r="1361" customFormat="false" ht="15" hidden="false" customHeight="false" outlineLevel="0" collapsed="false">
      <c r="A1361" s="0" t="s">
        <v>258</v>
      </c>
      <c r="B1361" s="52" t="n">
        <v>44418</v>
      </c>
      <c r="C1361" s="54" t="s">
        <v>590</v>
      </c>
      <c r="D1361" s="0" t="n">
        <v>0.0048489807011135</v>
      </c>
      <c r="E1361" s="0" t="n">
        <v>0.259103529303657</v>
      </c>
      <c r="F1361" s="0" t="n">
        <v>0</v>
      </c>
      <c r="G1361" s="0" t="n">
        <v>2021</v>
      </c>
    </row>
    <row r="1362" customFormat="false" ht="15" hidden="false" customHeight="false" outlineLevel="0" collapsed="false">
      <c r="A1362" s="0" t="s">
        <v>258</v>
      </c>
      <c r="B1362" s="52" t="n">
        <v>44418</v>
      </c>
      <c r="C1362" s="54" t="s">
        <v>591</v>
      </c>
      <c r="D1362" s="0" t="n">
        <v>0.0441449458527319</v>
      </c>
      <c r="E1362" s="0" t="n">
        <v>0.0249383680059901</v>
      </c>
      <c r="F1362" s="0" t="n">
        <v>0</v>
      </c>
      <c r="G1362" s="0" t="n">
        <v>2021</v>
      </c>
    </row>
    <row r="1363" customFormat="false" ht="15" hidden="false" customHeight="false" outlineLevel="0" collapsed="false">
      <c r="A1363" s="0" t="s">
        <v>258</v>
      </c>
      <c r="B1363" s="52" t="n">
        <v>44418</v>
      </c>
      <c r="C1363" s="54" t="s">
        <v>592</v>
      </c>
      <c r="D1363" s="0" t="n">
        <v>0.0741065340494061</v>
      </c>
      <c r="E1363" s="0" t="n">
        <v>0.149779395277636</v>
      </c>
      <c r="F1363" s="0" t="n">
        <v>0</v>
      </c>
      <c r="G1363" s="0" t="n">
        <v>2021</v>
      </c>
    </row>
    <row r="1364" customFormat="false" ht="15" hidden="false" customHeight="false" outlineLevel="0" collapsed="false">
      <c r="A1364" s="0" t="s">
        <v>258</v>
      </c>
      <c r="B1364" s="52" t="n">
        <v>44419</v>
      </c>
      <c r="C1364" s="54" t="s">
        <v>590</v>
      </c>
      <c r="D1364" s="0" t="n">
        <v>0.0223247891168287</v>
      </c>
      <c r="E1364" s="0" t="n">
        <v>0.0931693595003163</v>
      </c>
      <c r="F1364" s="0" t="n">
        <v>0</v>
      </c>
      <c r="G1364" s="0" t="n">
        <v>2021</v>
      </c>
    </row>
    <row r="1365" customFormat="false" ht="15" hidden="false" customHeight="false" outlineLevel="0" collapsed="false">
      <c r="A1365" s="0" t="s">
        <v>258</v>
      </c>
      <c r="B1365" s="52" t="n">
        <v>44419</v>
      </c>
      <c r="C1365" s="54" t="s">
        <v>591</v>
      </c>
      <c r="D1365" s="0" t="n">
        <v>0.0011146298701019</v>
      </c>
      <c r="E1365" s="0" t="n">
        <v>0.0964530696067377</v>
      </c>
      <c r="F1365" s="0" t="n">
        <v>0</v>
      </c>
      <c r="G1365" s="0" t="n">
        <v>2021</v>
      </c>
    </row>
    <row r="1366" customFormat="false" ht="15" hidden="false" customHeight="false" outlineLevel="0" collapsed="false">
      <c r="A1366" s="0" t="s">
        <v>258</v>
      </c>
      <c r="B1366" s="52" t="n">
        <v>44419</v>
      </c>
      <c r="C1366" s="54" t="s">
        <v>592</v>
      </c>
      <c r="D1366" s="0" t="n">
        <v>0.171541995208915</v>
      </c>
      <c r="E1366" s="0" t="n">
        <v>0.0968000922520604</v>
      </c>
      <c r="F1366" s="0" t="n">
        <v>0</v>
      </c>
      <c r="G1366" s="0" t="n">
        <v>2021</v>
      </c>
    </row>
    <row r="1367" customFormat="false" ht="15" hidden="false" customHeight="false" outlineLevel="0" collapsed="false">
      <c r="A1367" s="0" t="s">
        <v>258</v>
      </c>
      <c r="B1367" s="52" t="n">
        <v>44420</v>
      </c>
      <c r="C1367" s="54" t="s">
        <v>590</v>
      </c>
      <c r="D1367" s="0" t="n">
        <v>0</v>
      </c>
      <c r="E1367" s="0" t="n">
        <v>0.140460536369738</v>
      </c>
      <c r="F1367" s="0" t="n">
        <v>0</v>
      </c>
      <c r="G1367" s="0" t="n">
        <v>2021</v>
      </c>
    </row>
    <row r="1368" customFormat="false" ht="15" hidden="false" customHeight="false" outlineLevel="0" collapsed="false">
      <c r="A1368" s="0" t="s">
        <v>258</v>
      </c>
      <c r="B1368" s="52" t="n">
        <v>44420</v>
      </c>
      <c r="C1368" s="54" t="s">
        <v>591</v>
      </c>
      <c r="D1368" s="0" t="n">
        <v>0.0136004058516594</v>
      </c>
      <c r="E1368" s="0" t="n">
        <v>0.0632900837661453</v>
      </c>
      <c r="F1368" s="0" t="n">
        <v>0</v>
      </c>
      <c r="G1368" s="0" t="n">
        <v>2021</v>
      </c>
    </row>
    <row r="1369" customFormat="false" ht="15" hidden="false" customHeight="false" outlineLevel="0" collapsed="false">
      <c r="A1369" s="0" t="s">
        <v>258</v>
      </c>
      <c r="B1369" s="52" t="n">
        <v>44420</v>
      </c>
      <c r="C1369" s="54" t="s">
        <v>592</v>
      </c>
      <c r="D1369" s="0" t="n">
        <v>0.156139826443511</v>
      </c>
      <c r="E1369" s="0" t="n">
        <v>0.150943808062583</v>
      </c>
      <c r="F1369" s="0" t="n">
        <v>0</v>
      </c>
      <c r="G1369" s="0" t="n">
        <v>2021</v>
      </c>
    </row>
    <row r="1370" customFormat="false" ht="15" hidden="false" customHeight="false" outlineLevel="0" collapsed="false">
      <c r="A1370" s="0" t="s">
        <v>258</v>
      </c>
      <c r="B1370" s="52" t="n">
        <v>44421</v>
      </c>
      <c r="C1370" s="54" t="s">
        <v>590</v>
      </c>
      <c r="D1370" s="0" t="n">
        <v>0</v>
      </c>
      <c r="E1370" s="0" t="n">
        <v>0.264841472748266</v>
      </c>
      <c r="F1370" s="0" t="n">
        <v>0</v>
      </c>
      <c r="G1370" s="0" t="n">
        <v>2021</v>
      </c>
    </row>
    <row r="1371" customFormat="false" ht="15" hidden="false" customHeight="false" outlineLevel="0" collapsed="false">
      <c r="A1371" s="0" t="s">
        <v>258</v>
      </c>
      <c r="B1371" s="52" t="n">
        <v>44421</v>
      </c>
      <c r="C1371" s="54" t="s">
        <v>591</v>
      </c>
      <c r="D1371" s="0" t="n">
        <v>0.0017955219008728</v>
      </c>
      <c r="E1371" s="0" t="n">
        <v>0.0831165945663486</v>
      </c>
      <c r="F1371" s="0" t="n">
        <v>0</v>
      </c>
      <c r="G1371" s="0" t="n">
        <v>2021</v>
      </c>
    </row>
    <row r="1372" customFormat="false" ht="15" hidden="false" customHeight="false" outlineLevel="0" collapsed="false">
      <c r="A1372" s="0" t="s">
        <v>258</v>
      </c>
      <c r="B1372" s="52" t="n">
        <v>44421</v>
      </c>
      <c r="C1372" s="54" t="s">
        <v>592</v>
      </c>
      <c r="D1372" s="0" t="n">
        <v>0.0023352803052795</v>
      </c>
      <c r="E1372" s="0" t="n">
        <v>0.0637872151469687</v>
      </c>
      <c r="F1372" s="0" t="n">
        <v>0</v>
      </c>
      <c r="G1372" s="0" t="n">
        <v>2021</v>
      </c>
    </row>
    <row r="1373" customFormat="false" ht="15" hidden="false" customHeight="false" outlineLevel="0" collapsed="false">
      <c r="A1373" s="0" t="s">
        <v>258</v>
      </c>
      <c r="B1373" s="52" t="n">
        <v>44422</v>
      </c>
      <c r="C1373" s="54" t="s">
        <v>590</v>
      </c>
      <c r="D1373" s="0" t="n">
        <v>0</v>
      </c>
      <c r="E1373" s="0" t="n">
        <v>0.334129235835795</v>
      </c>
      <c r="F1373" s="0" t="n">
        <v>1</v>
      </c>
      <c r="G1373" s="0" t="n">
        <v>2021</v>
      </c>
    </row>
    <row r="1374" customFormat="false" ht="15" hidden="false" customHeight="false" outlineLevel="0" collapsed="false">
      <c r="A1374" s="0" t="s">
        <v>258</v>
      </c>
      <c r="B1374" s="52" t="n">
        <v>44422</v>
      </c>
      <c r="C1374" s="54" t="s">
        <v>591</v>
      </c>
      <c r="D1374" s="0" t="n">
        <v>0.630981322868541</v>
      </c>
      <c r="E1374" s="0" t="n">
        <v>0.0762816636438383</v>
      </c>
      <c r="F1374" s="0" t="n">
        <v>1</v>
      </c>
      <c r="G1374" s="0" t="n">
        <v>2021</v>
      </c>
    </row>
    <row r="1375" customFormat="false" ht="15" hidden="false" customHeight="false" outlineLevel="0" collapsed="false">
      <c r="A1375" s="0" t="s">
        <v>258</v>
      </c>
      <c r="B1375" s="52" t="n">
        <v>44423</v>
      </c>
      <c r="C1375" s="54" t="s">
        <v>590</v>
      </c>
      <c r="D1375" s="0" t="n">
        <v>0.361961019414721</v>
      </c>
      <c r="E1375" s="0" t="n">
        <v>0.102709781867293</v>
      </c>
      <c r="F1375" s="0" t="n">
        <v>1</v>
      </c>
      <c r="G1375" s="0" t="n">
        <v>2021</v>
      </c>
    </row>
    <row r="1376" customFormat="false" ht="15" hidden="false" customHeight="false" outlineLevel="0" collapsed="false">
      <c r="A1376" s="0" t="s">
        <v>258</v>
      </c>
      <c r="B1376" s="52" t="n">
        <v>44423</v>
      </c>
      <c r="C1376" s="54" t="s">
        <v>591</v>
      </c>
      <c r="D1376" s="0" t="n">
        <v>0.0032930290514775</v>
      </c>
      <c r="E1376" s="0" t="n">
        <v>0.0329027123335452</v>
      </c>
      <c r="F1376" s="0" t="n">
        <v>1</v>
      </c>
      <c r="G1376" s="0" t="n">
        <v>2021</v>
      </c>
    </row>
    <row r="1377" customFormat="false" ht="15" hidden="false" customHeight="false" outlineLevel="0" collapsed="false">
      <c r="A1377" s="0" t="s">
        <v>258</v>
      </c>
      <c r="B1377" s="52" t="n">
        <v>44423</v>
      </c>
      <c r="C1377" s="54" t="s">
        <v>592</v>
      </c>
      <c r="D1377" s="0" t="n">
        <v>0.0108564466033888</v>
      </c>
      <c r="E1377" s="0" t="n">
        <v>0.239689575561528</v>
      </c>
      <c r="F1377" s="0" t="n">
        <v>1</v>
      </c>
      <c r="G1377" s="0" t="n">
        <v>2021</v>
      </c>
    </row>
    <row r="1378" customFormat="false" ht="15" hidden="false" customHeight="false" outlineLevel="0" collapsed="false">
      <c r="A1378" s="0" t="s">
        <v>258</v>
      </c>
      <c r="B1378" s="52" t="n">
        <v>44424</v>
      </c>
      <c r="C1378" s="54" t="s">
        <v>590</v>
      </c>
      <c r="D1378" s="0" t="n">
        <v>0.0041816199224315</v>
      </c>
      <c r="E1378" s="0" t="n">
        <v>0.103783532546085</v>
      </c>
      <c r="F1378" s="0" t="n">
        <v>0</v>
      </c>
      <c r="G1378" s="0" t="n">
        <v>2021</v>
      </c>
    </row>
    <row r="1379" customFormat="false" ht="15" hidden="false" customHeight="false" outlineLevel="0" collapsed="false">
      <c r="A1379" s="0" t="s">
        <v>258</v>
      </c>
      <c r="B1379" s="52" t="n">
        <v>44424</v>
      </c>
      <c r="C1379" s="54" t="s">
        <v>591</v>
      </c>
      <c r="D1379" s="0" t="n">
        <v>0.125289893062942</v>
      </c>
      <c r="E1379" s="0" t="n">
        <v>0.0196091586051369</v>
      </c>
      <c r="F1379" s="0" t="n">
        <v>0</v>
      </c>
      <c r="G1379" s="0" t="n">
        <v>2021</v>
      </c>
    </row>
    <row r="1380" customFormat="false" ht="15" hidden="false" customHeight="false" outlineLevel="0" collapsed="false">
      <c r="A1380" s="0" t="s">
        <v>258</v>
      </c>
      <c r="B1380" s="52" t="n">
        <v>44424</v>
      </c>
      <c r="C1380" s="54" t="s">
        <v>592</v>
      </c>
      <c r="D1380" s="0" t="n">
        <v>0</v>
      </c>
      <c r="E1380" s="0" t="n">
        <v>0.107628399188167</v>
      </c>
      <c r="F1380" s="0" t="n">
        <v>0</v>
      </c>
      <c r="G1380" s="0" t="n">
        <v>2021</v>
      </c>
    </row>
    <row r="1381" customFormat="false" ht="15" hidden="false" customHeight="false" outlineLevel="0" collapsed="false">
      <c r="A1381" s="0" t="s">
        <v>258</v>
      </c>
      <c r="B1381" s="52" t="n">
        <v>44425</v>
      </c>
      <c r="C1381" s="54" t="s">
        <v>590</v>
      </c>
      <c r="D1381" s="0" t="n">
        <v>0.0197251914034406</v>
      </c>
      <c r="E1381" s="0" t="n">
        <v>0.131902016879925</v>
      </c>
      <c r="F1381" s="0" t="n">
        <v>0</v>
      </c>
      <c r="G1381" s="0" t="n">
        <v>2021</v>
      </c>
    </row>
    <row r="1382" customFormat="false" ht="15" hidden="false" customHeight="false" outlineLevel="0" collapsed="false">
      <c r="A1382" s="0" t="s">
        <v>258</v>
      </c>
      <c r="B1382" s="52" t="n">
        <v>44425</v>
      </c>
      <c r="C1382" s="54" t="s">
        <v>591</v>
      </c>
      <c r="D1382" s="0" t="n">
        <v>0.0017583327731776</v>
      </c>
      <c r="E1382" s="0" t="n">
        <v>0.108592145138969</v>
      </c>
      <c r="F1382" s="0" t="n">
        <v>0</v>
      </c>
      <c r="G1382" s="0" t="n">
        <v>2021</v>
      </c>
    </row>
    <row r="1383" customFormat="false" ht="15" hidden="false" customHeight="false" outlineLevel="0" collapsed="false">
      <c r="A1383" s="0" t="s">
        <v>258</v>
      </c>
      <c r="B1383" s="52" t="n">
        <v>44425</v>
      </c>
      <c r="C1383" s="54" t="s">
        <v>592</v>
      </c>
      <c r="D1383" s="0" t="n">
        <v>0.116296241508692</v>
      </c>
      <c r="E1383" s="0" t="n">
        <v>0.198995261316864</v>
      </c>
      <c r="F1383" s="0" t="n">
        <v>0</v>
      </c>
      <c r="G1383" s="0" t="n">
        <v>2021</v>
      </c>
    </row>
    <row r="1384" customFormat="false" ht="15" hidden="false" customHeight="false" outlineLevel="0" collapsed="false">
      <c r="A1384" s="0" t="s">
        <v>258</v>
      </c>
      <c r="B1384" s="52" t="n">
        <v>44426</v>
      </c>
      <c r="C1384" s="54" t="s">
        <v>590</v>
      </c>
      <c r="D1384" s="0" t="n">
        <v>0.0514601143351382</v>
      </c>
      <c r="E1384" s="0" t="n">
        <v>0.0806306334767612</v>
      </c>
      <c r="F1384" s="0" t="n">
        <v>0</v>
      </c>
      <c r="G1384" s="0" t="n">
        <v>2021</v>
      </c>
    </row>
    <row r="1385" customFormat="false" ht="15" hidden="false" customHeight="false" outlineLevel="0" collapsed="false">
      <c r="A1385" s="0" t="s">
        <v>258</v>
      </c>
      <c r="B1385" s="52" t="n">
        <v>44426</v>
      </c>
      <c r="C1385" s="54" t="s">
        <v>591</v>
      </c>
      <c r="D1385" s="0" t="n">
        <v>0.0120785888264523</v>
      </c>
      <c r="E1385" s="0" t="n">
        <v>0.164169870707449</v>
      </c>
      <c r="F1385" s="0" t="n">
        <v>0</v>
      </c>
      <c r="G1385" s="0" t="n">
        <v>2021</v>
      </c>
    </row>
    <row r="1386" customFormat="false" ht="15" hidden="false" customHeight="false" outlineLevel="0" collapsed="false">
      <c r="A1386" s="0" t="s">
        <v>258</v>
      </c>
      <c r="B1386" s="52" t="n">
        <v>44426</v>
      </c>
      <c r="C1386" s="54" t="s">
        <v>592</v>
      </c>
      <c r="D1386" s="0" t="n">
        <v>0.0333784545018875</v>
      </c>
      <c r="E1386" s="0" t="n">
        <v>0.402615382638756</v>
      </c>
      <c r="F1386" s="0" t="n">
        <v>0</v>
      </c>
      <c r="G1386" s="0" t="n">
        <v>2021</v>
      </c>
    </row>
    <row r="1387" customFormat="false" ht="15" hidden="false" customHeight="false" outlineLevel="0" collapsed="false">
      <c r="A1387" s="0" t="s">
        <v>258</v>
      </c>
      <c r="B1387" s="52" t="n">
        <v>44427</v>
      </c>
      <c r="C1387" s="54" t="s">
        <v>590</v>
      </c>
      <c r="D1387" s="0" t="n">
        <v>0</v>
      </c>
      <c r="E1387" s="0" t="n">
        <v>0.132967231825861</v>
      </c>
      <c r="F1387" s="0" t="n">
        <v>0</v>
      </c>
      <c r="G1387" s="0" t="n">
        <v>2021</v>
      </c>
    </row>
    <row r="1388" customFormat="false" ht="15" hidden="false" customHeight="false" outlineLevel="0" collapsed="false">
      <c r="A1388" s="0" t="s">
        <v>258</v>
      </c>
      <c r="B1388" s="52" t="n">
        <v>44427</v>
      </c>
      <c r="C1388" s="54" t="s">
        <v>591</v>
      </c>
      <c r="D1388" s="0" t="n">
        <v>0.0059685105621203</v>
      </c>
      <c r="E1388" s="0" t="n">
        <v>0.0605202739086772</v>
      </c>
      <c r="F1388" s="0" t="n">
        <v>0</v>
      </c>
      <c r="G1388" s="0" t="n">
        <v>2021</v>
      </c>
    </row>
    <row r="1389" customFormat="false" ht="15" hidden="false" customHeight="false" outlineLevel="0" collapsed="false">
      <c r="A1389" s="0" t="s">
        <v>258</v>
      </c>
      <c r="B1389" s="52" t="n">
        <v>44427</v>
      </c>
      <c r="C1389" s="54" t="s">
        <v>592</v>
      </c>
      <c r="D1389" s="0" t="n">
        <v>0.0946509238440653</v>
      </c>
      <c r="E1389" s="0" t="n">
        <v>0.0971905755507069</v>
      </c>
      <c r="F1389" s="0" t="n">
        <v>0</v>
      </c>
      <c r="G1389" s="0" t="n">
        <v>2021</v>
      </c>
    </row>
    <row r="1390" customFormat="false" ht="15" hidden="false" customHeight="false" outlineLevel="0" collapsed="false">
      <c r="A1390" s="0" t="s">
        <v>258</v>
      </c>
      <c r="B1390" s="52" t="n">
        <v>44428</v>
      </c>
      <c r="C1390" s="54" t="s">
        <v>590</v>
      </c>
      <c r="D1390" s="0" t="n">
        <v>0.008766057984566</v>
      </c>
      <c r="E1390" s="0" t="n">
        <v>0.231947716328525</v>
      </c>
      <c r="F1390" s="0" t="n">
        <v>0</v>
      </c>
      <c r="G1390" s="0" t="n">
        <v>2021</v>
      </c>
    </row>
    <row r="1391" customFormat="false" ht="15" hidden="false" customHeight="false" outlineLevel="0" collapsed="false">
      <c r="A1391" s="0" t="s">
        <v>258</v>
      </c>
      <c r="B1391" s="52" t="n">
        <v>44428</v>
      </c>
      <c r="C1391" s="54" t="s">
        <v>591</v>
      </c>
      <c r="D1391" s="0" t="n">
        <v>0.0018303138805129</v>
      </c>
      <c r="E1391" s="0" t="n">
        <v>0.131548954080265</v>
      </c>
      <c r="F1391" s="0" t="n">
        <v>0</v>
      </c>
      <c r="G1391" s="0" t="n">
        <v>2021</v>
      </c>
    </row>
    <row r="1392" customFormat="false" ht="15" hidden="false" customHeight="false" outlineLevel="0" collapsed="false">
      <c r="A1392" s="0" t="s">
        <v>258</v>
      </c>
      <c r="B1392" s="52" t="n">
        <v>44428</v>
      </c>
      <c r="C1392" s="54" t="s">
        <v>592</v>
      </c>
      <c r="D1392" s="0" t="n">
        <v>0</v>
      </c>
      <c r="E1392" s="0" t="n">
        <v>0.191238131818772</v>
      </c>
      <c r="F1392" s="0" t="n">
        <v>0</v>
      </c>
      <c r="G1392" s="0" t="n">
        <v>2021</v>
      </c>
    </row>
    <row r="1393" customFormat="false" ht="15" hidden="false" customHeight="false" outlineLevel="0" collapsed="false">
      <c r="A1393" s="0" t="s">
        <v>258</v>
      </c>
      <c r="B1393" s="52" t="n">
        <v>44429</v>
      </c>
      <c r="C1393" s="54" t="s">
        <v>590</v>
      </c>
      <c r="D1393" s="0" t="n">
        <v>0.023263302533014</v>
      </c>
      <c r="E1393" s="0" t="n">
        <v>0.293920431148129</v>
      </c>
      <c r="F1393" s="0" t="n">
        <v>1</v>
      </c>
      <c r="G1393" s="0" t="n">
        <v>2021</v>
      </c>
    </row>
    <row r="1394" customFormat="false" ht="15" hidden="false" customHeight="false" outlineLevel="0" collapsed="false">
      <c r="A1394" s="0" t="s">
        <v>258</v>
      </c>
      <c r="B1394" s="52" t="n">
        <v>44429</v>
      </c>
      <c r="C1394" s="54" t="s">
        <v>591</v>
      </c>
      <c r="D1394" s="0" t="n">
        <v>0.525232440594482</v>
      </c>
      <c r="E1394" s="0" t="n">
        <v>0.0155987920167114</v>
      </c>
      <c r="F1394" s="0" t="n">
        <v>1</v>
      </c>
      <c r="G1394" s="0" t="n">
        <v>2021</v>
      </c>
    </row>
    <row r="1395" customFormat="false" ht="15" hidden="false" customHeight="false" outlineLevel="0" collapsed="false">
      <c r="A1395" s="0" t="s">
        <v>258</v>
      </c>
      <c r="B1395" s="52" t="n">
        <v>44430</v>
      </c>
      <c r="C1395" s="54" t="s">
        <v>590</v>
      </c>
      <c r="D1395" s="0" t="n">
        <v>0.718220035146211</v>
      </c>
      <c r="E1395" s="0" t="n">
        <v>0.0593448524254749</v>
      </c>
      <c r="F1395" s="0" t="n">
        <v>1</v>
      </c>
      <c r="G1395" s="0" t="n">
        <v>2021</v>
      </c>
    </row>
    <row r="1396" customFormat="false" ht="15" hidden="false" customHeight="false" outlineLevel="0" collapsed="false">
      <c r="A1396" s="0" t="s">
        <v>258</v>
      </c>
      <c r="B1396" s="52" t="n">
        <v>44430</v>
      </c>
      <c r="C1396" s="54" t="s">
        <v>591</v>
      </c>
      <c r="D1396" s="0" t="n">
        <v>0.0116344632502323</v>
      </c>
      <c r="E1396" s="0" t="n">
        <v>0.145212689511626</v>
      </c>
      <c r="F1396" s="0" t="n">
        <v>1</v>
      </c>
      <c r="G1396" s="0" t="n">
        <v>2021</v>
      </c>
    </row>
    <row r="1397" customFormat="false" ht="15" hidden="false" customHeight="false" outlineLevel="0" collapsed="false">
      <c r="A1397" s="0" t="s">
        <v>258</v>
      </c>
      <c r="B1397" s="52" t="n">
        <v>44430</v>
      </c>
      <c r="C1397" s="54" t="s">
        <v>592</v>
      </c>
      <c r="D1397" s="0" t="n">
        <v>0.0178655279094069</v>
      </c>
      <c r="E1397" s="0" t="n">
        <v>0.0456922446107275</v>
      </c>
      <c r="F1397" s="0" t="n">
        <v>1</v>
      </c>
      <c r="G1397" s="0" t="n">
        <v>2021</v>
      </c>
    </row>
    <row r="1398" customFormat="false" ht="15" hidden="false" customHeight="false" outlineLevel="0" collapsed="false">
      <c r="A1398" s="0" t="s">
        <v>258</v>
      </c>
      <c r="B1398" s="52" t="n">
        <v>44431</v>
      </c>
      <c r="C1398" s="54" t="s">
        <v>590</v>
      </c>
      <c r="D1398" s="0" t="n">
        <v>0.0012870460304432</v>
      </c>
      <c r="E1398" s="0" t="n">
        <v>0.0940572235503259</v>
      </c>
      <c r="F1398" s="0" t="n">
        <v>0</v>
      </c>
      <c r="G1398" s="0" t="n">
        <v>2021</v>
      </c>
    </row>
    <row r="1399" customFormat="false" ht="15" hidden="false" customHeight="false" outlineLevel="0" collapsed="false">
      <c r="A1399" s="0" t="s">
        <v>258</v>
      </c>
      <c r="B1399" s="52" t="n">
        <v>44431</v>
      </c>
      <c r="C1399" s="54" t="s">
        <v>591</v>
      </c>
      <c r="D1399" s="0" t="n">
        <v>0.0008754742383085</v>
      </c>
      <c r="E1399" s="0" t="n">
        <v>0.0916061417634876</v>
      </c>
      <c r="F1399" s="0" t="n">
        <v>0</v>
      </c>
      <c r="G1399" s="0" t="n">
        <v>2021</v>
      </c>
    </row>
    <row r="1400" customFormat="false" ht="15" hidden="false" customHeight="false" outlineLevel="0" collapsed="false">
      <c r="A1400" s="0" t="s">
        <v>258</v>
      </c>
      <c r="B1400" s="52" t="n">
        <v>44431</v>
      </c>
      <c r="C1400" s="54" t="s">
        <v>592</v>
      </c>
      <c r="D1400" s="0" t="n">
        <v>0.0642272221471661</v>
      </c>
      <c r="E1400" s="0" t="n">
        <v>0.136650539936894</v>
      </c>
      <c r="F1400" s="0" t="n">
        <v>0</v>
      </c>
      <c r="G1400" s="0" t="n">
        <v>2021</v>
      </c>
    </row>
    <row r="1401" customFormat="false" ht="15" hidden="false" customHeight="false" outlineLevel="0" collapsed="false">
      <c r="A1401" s="0" t="s">
        <v>258</v>
      </c>
      <c r="B1401" s="52" t="n">
        <v>44432</v>
      </c>
      <c r="C1401" s="54" t="s">
        <v>590</v>
      </c>
      <c r="D1401" s="0" t="n">
        <v>0.0002880528477317</v>
      </c>
      <c r="E1401" s="0" t="n">
        <v>0.128936857348209</v>
      </c>
      <c r="F1401" s="0" t="n">
        <v>0</v>
      </c>
      <c r="G1401" s="0" t="n">
        <v>2021</v>
      </c>
    </row>
    <row r="1402" customFormat="false" ht="15" hidden="false" customHeight="false" outlineLevel="0" collapsed="false">
      <c r="A1402" s="0" t="s">
        <v>258</v>
      </c>
      <c r="B1402" s="52" t="n">
        <v>44432</v>
      </c>
      <c r="C1402" s="54" t="s">
        <v>591</v>
      </c>
      <c r="D1402" s="0" t="n">
        <v>0.01300989242477</v>
      </c>
      <c r="E1402" s="0" t="n">
        <v>0.130416709231677</v>
      </c>
      <c r="F1402" s="0" t="n">
        <v>0</v>
      </c>
      <c r="G1402" s="0" t="n">
        <v>2021</v>
      </c>
    </row>
    <row r="1403" customFormat="false" ht="15" hidden="false" customHeight="false" outlineLevel="0" collapsed="false">
      <c r="A1403" s="0" t="s">
        <v>258</v>
      </c>
      <c r="B1403" s="52" t="n">
        <v>44432</v>
      </c>
      <c r="C1403" s="54" t="s">
        <v>592</v>
      </c>
      <c r="D1403" s="0" t="n">
        <v>0</v>
      </c>
      <c r="E1403" s="0" t="n">
        <v>0.111911469636355</v>
      </c>
      <c r="F1403" s="0" t="n">
        <v>0</v>
      </c>
      <c r="G1403" s="0" t="n">
        <v>2021</v>
      </c>
    </row>
    <row r="1404" customFormat="false" ht="15" hidden="false" customHeight="false" outlineLevel="0" collapsed="false">
      <c r="A1404" s="0" t="s">
        <v>258</v>
      </c>
      <c r="B1404" s="52" t="n">
        <v>44433</v>
      </c>
      <c r="C1404" s="54" t="s">
        <v>590</v>
      </c>
      <c r="D1404" s="0" t="n">
        <v>0.131036917823532</v>
      </c>
      <c r="E1404" s="0" t="n">
        <v>0.0829185266722166</v>
      </c>
      <c r="F1404" s="0" t="n">
        <v>0</v>
      </c>
      <c r="G1404" s="0" t="n">
        <v>2021</v>
      </c>
    </row>
    <row r="1405" customFormat="false" ht="15" hidden="false" customHeight="false" outlineLevel="0" collapsed="false">
      <c r="A1405" s="0" t="s">
        <v>258</v>
      </c>
      <c r="B1405" s="52" t="n">
        <v>44433</v>
      </c>
      <c r="C1405" s="54" t="s">
        <v>591</v>
      </c>
      <c r="D1405" s="0" t="n">
        <v>0</v>
      </c>
      <c r="E1405" s="0" t="n">
        <v>0.0353983296239425</v>
      </c>
      <c r="F1405" s="0" t="n">
        <v>0</v>
      </c>
      <c r="G1405" s="0" t="n">
        <v>2021</v>
      </c>
    </row>
    <row r="1406" customFormat="false" ht="15" hidden="false" customHeight="false" outlineLevel="0" collapsed="false">
      <c r="A1406" s="0" t="s">
        <v>258</v>
      </c>
      <c r="B1406" s="52" t="n">
        <v>44433</v>
      </c>
      <c r="C1406" s="54" t="s">
        <v>592</v>
      </c>
      <c r="D1406" s="0" t="n">
        <v>0.0010003272666845</v>
      </c>
      <c r="E1406" s="0" t="n">
        <v>0.177372106487594</v>
      </c>
      <c r="F1406" s="0" t="n">
        <v>0</v>
      </c>
      <c r="G1406" s="0" t="n">
        <v>2021</v>
      </c>
    </row>
    <row r="1407" customFormat="false" ht="15" hidden="false" customHeight="false" outlineLevel="0" collapsed="false">
      <c r="A1407" s="0" t="s">
        <v>258</v>
      </c>
      <c r="B1407" s="52" t="n">
        <v>44434</v>
      </c>
      <c r="C1407" s="54" t="s">
        <v>590</v>
      </c>
      <c r="D1407" s="0" t="n">
        <v>0.0092312149636031</v>
      </c>
      <c r="E1407" s="0" t="n">
        <v>0.241328488465058</v>
      </c>
      <c r="F1407" s="0" t="n">
        <v>0</v>
      </c>
      <c r="G1407" s="0" t="n">
        <v>2021</v>
      </c>
    </row>
    <row r="1408" customFormat="false" ht="15" hidden="false" customHeight="false" outlineLevel="0" collapsed="false">
      <c r="A1408" s="0" t="s">
        <v>258</v>
      </c>
      <c r="B1408" s="52" t="n">
        <v>44434</v>
      </c>
      <c r="C1408" s="54" t="s">
        <v>591</v>
      </c>
      <c r="D1408" s="0" t="n">
        <v>0.031820502116306</v>
      </c>
      <c r="E1408" s="0" t="n">
        <v>0.0940208324184771</v>
      </c>
      <c r="F1408" s="0" t="n">
        <v>0</v>
      </c>
      <c r="G1408" s="0" t="n">
        <v>2021</v>
      </c>
    </row>
    <row r="1409" customFormat="false" ht="15" hidden="false" customHeight="false" outlineLevel="0" collapsed="false">
      <c r="A1409" s="0" t="s">
        <v>258</v>
      </c>
      <c r="B1409" s="52" t="n">
        <v>44434</v>
      </c>
      <c r="C1409" s="54" t="s">
        <v>592</v>
      </c>
      <c r="D1409" s="0" t="n">
        <v>0.073207252787952</v>
      </c>
      <c r="E1409" s="0" t="n">
        <v>0.11854923775059</v>
      </c>
      <c r="F1409" s="0" t="n">
        <v>0</v>
      </c>
      <c r="G1409" s="0" t="n">
        <v>2021</v>
      </c>
    </row>
    <row r="1410" customFormat="false" ht="15" hidden="false" customHeight="false" outlineLevel="0" collapsed="false">
      <c r="A1410" s="0" t="s">
        <v>258</v>
      </c>
      <c r="B1410" s="52" t="n">
        <v>44435</v>
      </c>
      <c r="C1410" s="54" t="s">
        <v>590</v>
      </c>
      <c r="D1410" s="0" t="n">
        <v>0.0008821315400315</v>
      </c>
      <c r="E1410" s="0" t="n">
        <v>0.131370592403558</v>
      </c>
      <c r="F1410" s="0" t="n">
        <v>0</v>
      </c>
      <c r="G1410" s="0" t="n">
        <v>2021</v>
      </c>
    </row>
    <row r="1411" customFormat="false" ht="15" hidden="false" customHeight="false" outlineLevel="0" collapsed="false">
      <c r="A1411" s="0" t="s">
        <v>258</v>
      </c>
      <c r="B1411" s="52" t="n">
        <v>44435</v>
      </c>
      <c r="C1411" s="54" t="s">
        <v>591</v>
      </c>
      <c r="D1411" s="0" t="n">
        <v>0.004679273207685</v>
      </c>
      <c r="E1411" s="0" t="n">
        <v>0.0115125985659756</v>
      </c>
      <c r="F1411" s="0" t="n">
        <v>0</v>
      </c>
      <c r="G1411" s="0" t="n">
        <v>2021</v>
      </c>
    </row>
    <row r="1412" customFormat="false" ht="15" hidden="false" customHeight="false" outlineLevel="0" collapsed="false">
      <c r="A1412" s="0" t="s">
        <v>258</v>
      </c>
      <c r="B1412" s="52" t="n">
        <v>44435</v>
      </c>
      <c r="C1412" s="54" t="s">
        <v>592</v>
      </c>
      <c r="D1412" s="0" t="n">
        <v>0.0009795758081989</v>
      </c>
      <c r="E1412" s="0" t="n">
        <v>0.0306796554702286</v>
      </c>
      <c r="F1412" s="0" t="n">
        <v>0</v>
      </c>
      <c r="G1412" s="0" t="n">
        <v>2021</v>
      </c>
    </row>
    <row r="1413" customFormat="false" ht="15" hidden="false" customHeight="false" outlineLevel="0" collapsed="false">
      <c r="A1413" s="0" t="s">
        <v>258</v>
      </c>
      <c r="B1413" s="52" t="n">
        <v>44436</v>
      </c>
      <c r="C1413" s="54" t="s">
        <v>590</v>
      </c>
      <c r="D1413" s="0" t="n">
        <v>0.383392418831145</v>
      </c>
      <c r="E1413" s="0" t="n">
        <v>0.0998159821764027</v>
      </c>
      <c r="F1413" s="0" t="n">
        <v>1</v>
      </c>
      <c r="G1413" s="0" t="n">
        <v>2021</v>
      </c>
    </row>
    <row r="1414" customFormat="false" ht="15" hidden="false" customHeight="false" outlineLevel="0" collapsed="false">
      <c r="A1414" s="0" t="s">
        <v>258</v>
      </c>
      <c r="B1414" s="52" t="n">
        <v>44437</v>
      </c>
      <c r="C1414" s="54" t="s">
        <v>590</v>
      </c>
      <c r="D1414" s="0" t="n">
        <v>0.340474627611577</v>
      </c>
      <c r="E1414" s="0" t="n">
        <v>0.0416884710870371</v>
      </c>
      <c r="F1414" s="0" t="n">
        <v>1</v>
      </c>
      <c r="G1414" s="0" t="n">
        <v>2021</v>
      </c>
    </row>
    <row r="1415" customFormat="false" ht="15" hidden="false" customHeight="false" outlineLevel="0" collapsed="false">
      <c r="A1415" s="0" t="s">
        <v>258</v>
      </c>
      <c r="B1415" s="52" t="n">
        <v>44437</v>
      </c>
      <c r="C1415" s="54" t="s">
        <v>591</v>
      </c>
      <c r="D1415" s="0" t="n">
        <v>0.0157727821033357</v>
      </c>
      <c r="E1415" s="0" t="n">
        <v>0.0450800527426542</v>
      </c>
      <c r="F1415" s="0" t="n">
        <v>1</v>
      </c>
      <c r="G1415" s="0" t="n">
        <v>2021</v>
      </c>
    </row>
    <row r="1416" customFormat="false" ht="15" hidden="false" customHeight="false" outlineLevel="0" collapsed="false">
      <c r="A1416" s="0" t="s">
        <v>258</v>
      </c>
      <c r="B1416" s="52" t="n">
        <v>44437</v>
      </c>
      <c r="C1416" s="54" t="s">
        <v>592</v>
      </c>
      <c r="D1416" s="0" t="n">
        <v>0.0118491999011142</v>
      </c>
      <c r="E1416" s="0" t="n">
        <v>0.111730714659367</v>
      </c>
      <c r="F1416" s="0" t="n">
        <v>1</v>
      </c>
      <c r="G1416" s="0" t="n">
        <v>2021</v>
      </c>
    </row>
    <row r="1417" customFormat="false" ht="15" hidden="false" customHeight="false" outlineLevel="0" collapsed="false">
      <c r="A1417" s="0" t="s">
        <v>258</v>
      </c>
      <c r="B1417" s="52" t="n">
        <v>44438</v>
      </c>
      <c r="C1417" s="54" t="s">
        <v>590</v>
      </c>
      <c r="D1417" s="0" t="n">
        <v>0</v>
      </c>
      <c r="E1417" s="0" t="n">
        <v>0.232011608460822</v>
      </c>
      <c r="F1417" s="0" t="n">
        <v>0</v>
      </c>
      <c r="G1417" s="0" t="n">
        <v>2021</v>
      </c>
    </row>
    <row r="1418" customFormat="false" ht="15" hidden="false" customHeight="false" outlineLevel="0" collapsed="false">
      <c r="A1418" s="0" t="s">
        <v>258</v>
      </c>
      <c r="B1418" s="52" t="n">
        <v>44438</v>
      </c>
      <c r="C1418" s="54" t="s">
        <v>591</v>
      </c>
      <c r="D1418" s="0" t="n">
        <v>0.0175333843338506</v>
      </c>
      <c r="E1418" s="0" t="n">
        <v>0.0169071786202024</v>
      </c>
      <c r="F1418" s="0" t="n">
        <v>0</v>
      </c>
      <c r="G1418" s="0" t="n">
        <v>2021</v>
      </c>
    </row>
    <row r="1419" customFormat="false" ht="15" hidden="false" customHeight="false" outlineLevel="0" collapsed="false">
      <c r="A1419" s="0" t="s">
        <v>258</v>
      </c>
      <c r="B1419" s="52" t="n">
        <v>44438</v>
      </c>
      <c r="C1419" s="54" t="s">
        <v>592</v>
      </c>
      <c r="D1419" s="0" t="n">
        <v>0.166992681790769</v>
      </c>
      <c r="E1419" s="0" t="n">
        <v>0.140118579082313</v>
      </c>
      <c r="F1419" s="0" t="n">
        <v>0</v>
      </c>
      <c r="G1419" s="0" t="n">
        <v>2021</v>
      </c>
    </row>
    <row r="1420" customFormat="false" ht="15" hidden="false" customHeight="false" outlineLevel="0" collapsed="false">
      <c r="A1420" s="0" t="s">
        <v>258</v>
      </c>
      <c r="B1420" s="52" t="n">
        <v>44439</v>
      </c>
      <c r="C1420" s="54" t="s">
        <v>590</v>
      </c>
      <c r="D1420" s="0" t="n">
        <v>0</v>
      </c>
      <c r="E1420" s="0" t="n">
        <v>0.120888644509593</v>
      </c>
      <c r="F1420" s="0" t="n">
        <v>0</v>
      </c>
      <c r="G1420" s="0" t="n">
        <v>2021</v>
      </c>
    </row>
    <row r="1421" customFormat="false" ht="15" hidden="false" customHeight="false" outlineLevel="0" collapsed="false">
      <c r="A1421" s="0" t="s">
        <v>258</v>
      </c>
      <c r="B1421" s="52" t="n">
        <v>44439</v>
      </c>
      <c r="C1421" s="54" t="s">
        <v>591</v>
      </c>
      <c r="D1421" s="0" t="n">
        <v>0</v>
      </c>
      <c r="E1421" s="0" t="n">
        <v>0.0521388534071932</v>
      </c>
      <c r="F1421" s="0" t="n">
        <v>0</v>
      </c>
      <c r="G1421" s="0" t="n">
        <v>2021</v>
      </c>
    </row>
    <row r="1422" customFormat="false" ht="15" hidden="false" customHeight="false" outlineLevel="0" collapsed="false">
      <c r="A1422" s="0" t="s">
        <v>258</v>
      </c>
      <c r="B1422" s="52" t="n">
        <v>44439</v>
      </c>
      <c r="C1422" s="54" t="s">
        <v>592</v>
      </c>
      <c r="D1422" s="0" t="n">
        <v>0.616122914417788</v>
      </c>
      <c r="E1422" s="0" t="n">
        <v>0.0131933393959835</v>
      </c>
      <c r="F1422" s="0" t="n">
        <v>0</v>
      </c>
      <c r="G1422" s="0" t="n">
        <v>2021</v>
      </c>
    </row>
    <row r="1423" customFormat="false" ht="15" hidden="false" customHeight="false" outlineLevel="0" collapsed="false">
      <c r="A1423" s="0" t="s">
        <v>258</v>
      </c>
      <c r="B1423" s="52" t="n">
        <v>44440</v>
      </c>
      <c r="C1423" s="54" t="s">
        <v>590</v>
      </c>
      <c r="D1423" s="0" t="n">
        <v>0.996345485557061</v>
      </c>
      <c r="E1423" s="0" t="n">
        <v>0</v>
      </c>
      <c r="F1423" s="0" t="n">
        <v>0</v>
      </c>
      <c r="G1423" s="0" t="n">
        <v>2021</v>
      </c>
    </row>
    <row r="1424" customFormat="false" ht="15" hidden="false" customHeight="false" outlineLevel="0" collapsed="false">
      <c r="A1424" s="0" t="s">
        <v>258</v>
      </c>
      <c r="B1424" s="52" t="n">
        <v>44440</v>
      </c>
      <c r="C1424" s="54" t="s">
        <v>591</v>
      </c>
      <c r="D1424" s="0" t="n">
        <v>0.052098801467951</v>
      </c>
      <c r="E1424" s="0" t="n">
        <v>0.172158502871259</v>
      </c>
      <c r="F1424" s="0" t="n">
        <v>0</v>
      </c>
      <c r="G1424" s="0" t="n">
        <v>2021</v>
      </c>
    </row>
    <row r="1425" customFormat="false" ht="15" hidden="false" customHeight="false" outlineLevel="0" collapsed="false">
      <c r="A1425" s="0" t="s">
        <v>258</v>
      </c>
      <c r="B1425" s="52" t="n">
        <v>44440</v>
      </c>
      <c r="C1425" s="54" t="s">
        <v>592</v>
      </c>
      <c r="D1425" s="0" t="n">
        <v>0.070012158283605</v>
      </c>
      <c r="E1425" s="0" t="n">
        <v>0.120209067415517</v>
      </c>
      <c r="F1425" s="0" t="n">
        <v>0</v>
      </c>
      <c r="G1425" s="0" t="n">
        <v>2021</v>
      </c>
    </row>
    <row r="1426" customFormat="false" ht="15" hidden="false" customHeight="false" outlineLevel="0" collapsed="false">
      <c r="A1426" s="0" t="s">
        <v>258</v>
      </c>
      <c r="B1426" s="52" t="n">
        <v>44441</v>
      </c>
      <c r="C1426" s="54" t="s">
        <v>590</v>
      </c>
      <c r="D1426" s="0" t="n">
        <v>0.160483506344503</v>
      </c>
      <c r="E1426" s="0" t="n">
        <v>0.16805518115348</v>
      </c>
      <c r="F1426" s="0" t="n">
        <v>0</v>
      </c>
      <c r="G1426" s="0" t="n">
        <v>2021</v>
      </c>
    </row>
    <row r="1427" customFormat="false" ht="15" hidden="false" customHeight="false" outlineLevel="0" collapsed="false">
      <c r="A1427" s="0" t="s">
        <v>258</v>
      </c>
      <c r="B1427" s="52" t="n">
        <v>44441</v>
      </c>
      <c r="C1427" s="54" t="s">
        <v>591</v>
      </c>
      <c r="D1427" s="0" t="n">
        <v>0.0008537708709653</v>
      </c>
      <c r="E1427" s="0" t="n">
        <v>0.0556749465056259</v>
      </c>
      <c r="F1427" s="0" t="n">
        <v>0</v>
      </c>
      <c r="G1427" s="0" t="n">
        <v>2021</v>
      </c>
    </row>
    <row r="1428" customFormat="false" ht="15" hidden="false" customHeight="false" outlineLevel="0" collapsed="false">
      <c r="A1428" s="0" t="s">
        <v>258</v>
      </c>
      <c r="B1428" s="52" t="n">
        <v>44441</v>
      </c>
      <c r="C1428" s="54" t="s">
        <v>592</v>
      </c>
      <c r="D1428" s="0" t="n">
        <v>0.407305034939462</v>
      </c>
      <c r="E1428" s="0" t="n">
        <v>0.0116408752543075</v>
      </c>
      <c r="F1428" s="0" t="n">
        <v>0</v>
      </c>
      <c r="G1428" s="0" t="n">
        <v>2021</v>
      </c>
    </row>
    <row r="1429" customFormat="false" ht="15" hidden="false" customHeight="false" outlineLevel="0" collapsed="false">
      <c r="A1429" s="0" t="s">
        <v>258</v>
      </c>
      <c r="B1429" s="52" t="n">
        <v>44442</v>
      </c>
      <c r="C1429" s="54" t="s">
        <v>590</v>
      </c>
      <c r="D1429" s="0" t="n">
        <v>0.0180668652297637</v>
      </c>
      <c r="E1429" s="0" t="n">
        <v>0.243755667215244</v>
      </c>
      <c r="F1429" s="0" t="n">
        <v>0</v>
      </c>
      <c r="G1429" s="0" t="n">
        <v>2021</v>
      </c>
    </row>
    <row r="1430" customFormat="false" ht="15" hidden="false" customHeight="false" outlineLevel="0" collapsed="false">
      <c r="A1430" s="0" t="s">
        <v>258</v>
      </c>
      <c r="B1430" s="52" t="n">
        <v>44442</v>
      </c>
      <c r="C1430" s="54" t="s">
        <v>591</v>
      </c>
      <c r="D1430" s="0" t="n">
        <v>0.0070422695052631</v>
      </c>
      <c r="E1430" s="0" t="n">
        <v>0.0711783696102011</v>
      </c>
      <c r="F1430" s="0" t="n">
        <v>0</v>
      </c>
      <c r="G1430" s="0" t="n">
        <v>2021</v>
      </c>
    </row>
    <row r="1431" customFormat="false" ht="15" hidden="false" customHeight="false" outlineLevel="0" collapsed="false">
      <c r="A1431" s="0" t="s">
        <v>258</v>
      </c>
      <c r="B1431" s="52" t="n">
        <v>44442</v>
      </c>
      <c r="C1431" s="54" t="s">
        <v>592</v>
      </c>
      <c r="D1431" s="0" t="n">
        <v>0.0245270871648099</v>
      </c>
      <c r="E1431" s="0" t="n">
        <v>0.0822041631201677</v>
      </c>
      <c r="F1431" s="0" t="n">
        <v>0</v>
      </c>
      <c r="G1431" s="0" t="n">
        <v>2021</v>
      </c>
    </row>
    <row r="1432" customFormat="false" ht="15" hidden="false" customHeight="false" outlineLevel="0" collapsed="false">
      <c r="A1432" s="0" t="s">
        <v>258</v>
      </c>
      <c r="B1432" s="52" t="n">
        <v>44443</v>
      </c>
      <c r="C1432" s="54" t="s">
        <v>590</v>
      </c>
      <c r="D1432" s="0" t="n">
        <v>0.0822993462866361</v>
      </c>
      <c r="E1432" s="0" t="n">
        <v>0.150966830204455</v>
      </c>
      <c r="F1432" s="0" t="n">
        <v>1</v>
      </c>
      <c r="G1432" s="0" t="n">
        <v>2021</v>
      </c>
    </row>
    <row r="1433" customFormat="false" ht="15" hidden="false" customHeight="false" outlineLevel="0" collapsed="false">
      <c r="A1433" s="0" t="s">
        <v>258</v>
      </c>
      <c r="B1433" s="52" t="n">
        <v>44443</v>
      </c>
      <c r="C1433" s="54" t="s">
        <v>591</v>
      </c>
      <c r="D1433" s="0" t="n">
        <v>0.0656475348840059</v>
      </c>
      <c r="E1433" s="0" t="n">
        <v>0.103728502802931</v>
      </c>
      <c r="F1433" s="0" t="n">
        <v>1</v>
      </c>
      <c r="G1433" s="0" t="n">
        <v>2021</v>
      </c>
    </row>
    <row r="1434" customFormat="false" ht="15" hidden="false" customHeight="false" outlineLevel="0" collapsed="false">
      <c r="A1434" s="0" t="s">
        <v>258</v>
      </c>
      <c r="B1434" s="52" t="n">
        <v>44443</v>
      </c>
      <c r="C1434" s="54" t="s">
        <v>592</v>
      </c>
      <c r="D1434" s="0" t="n">
        <v>1</v>
      </c>
      <c r="E1434" s="0" t="n">
        <v>0</v>
      </c>
      <c r="F1434" s="0" t="n">
        <v>1</v>
      </c>
      <c r="G1434" s="0" t="n">
        <v>2021</v>
      </c>
    </row>
    <row r="1435" customFormat="false" ht="15" hidden="false" customHeight="false" outlineLevel="0" collapsed="false">
      <c r="A1435" s="0" t="s">
        <v>258</v>
      </c>
      <c r="B1435" s="52" t="n">
        <v>44444</v>
      </c>
      <c r="C1435" s="54" t="s">
        <v>591</v>
      </c>
      <c r="D1435" s="0" t="n">
        <v>0.021161246246424</v>
      </c>
      <c r="E1435" s="0" t="n">
        <v>0.0885513785686911</v>
      </c>
      <c r="F1435" s="0" t="n">
        <v>1</v>
      </c>
      <c r="G1435" s="0" t="n">
        <v>2021</v>
      </c>
    </row>
    <row r="1436" customFormat="false" ht="15" hidden="false" customHeight="false" outlineLevel="0" collapsed="false">
      <c r="A1436" s="0" t="s">
        <v>258</v>
      </c>
      <c r="B1436" s="52" t="n">
        <v>44444</v>
      </c>
      <c r="C1436" s="54" t="s">
        <v>592</v>
      </c>
      <c r="D1436" s="0" t="n">
        <v>0.251757117677245</v>
      </c>
      <c r="E1436" s="0" t="n">
        <v>0.293900233153033</v>
      </c>
      <c r="F1436" s="0" t="n">
        <v>1</v>
      </c>
      <c r="G1436" s="0" t="n">
        <v>2021</v>
      </c>
    </row>
    <row r="1437" customFormat="false" ht="15" hidden="false" customHeight="false" outlineLevel="0" collapsed="false">
      <c r="A1437" s="0" t="s">
        <v>258</v>
      </c>
      <c r="B1437" s="52" t="n">
        <v>44445</v>
      </c>
      <c r="C1437" s="54" t="s">
        <v>590</v>
      </c>
      <c r="D1437" s="0" t="n">
        <v>0</v>
      </c>
      <c r="E1437" s="0" t="n">
        <v>0.106199532787861</v>
      </c>
      <c r="F1437" s="0" t="n">
        <v>0</v>
      </c>
      <c r="G1437" s="0" t="n">
        <v>2021</v>
      </c>
    </row>
    <row r="1438" customFormat="false" ht="15" hidden="false" customHeight="false" outlineLevel="0" collapsed="false">
      <c r="A1438" s="0" t="s">
        <v>258</v>
      </c>
      <c r="B1438" s="52" t="n">
        <v>44445</v>
      </c>
      <c r="C1438" s="54" t="s">
        <v>591</v>
      </c>
      <c r="D1438" s="0" t="n">
        <v>0.0057424870873197</v>
      </c>
      <c r="E1438" s="0" t="n">
        <v>0.0767207396267918</v>
      </c>
      <c r="F1438" s="0" t="n">
        <v>0</v>
      </c>
      <c r="G1438" s="0" t="n">
        <v>2021</v>
      </c>
    </row>
    <row r="1439" customFormat="false" ht="15" hidden="false" customHeight="false" outlineLevel="0" collapsed="false">
      <c r="A1439" s="0" t="s">
        <v>258</v>
      </c>
      <c r="B1439" s="52" t="n">
        <v>44445</v>
      </c>
      <c r="C1439" s="54" t="s">
        <v>592</v>
      </c>
      <c r="D1439" s="0" t="n">
        <v>0.0767641398948654</v>
      </c>
      <c r="E1439" s="0" t="n">
        <v>0.0327198281242477</v>
      </c>
      <c r="F1439" s="0" t="n">
        <v>0</v>
      </c>
      <c r="G1439" s="0" t="n">
        <v>2021</v>
      </c>
    </row>
    <row r="1440" customFormat="false" ht="15" hidden="false" customHeight="false" outlineLevel="0" collapsed="false">
      <c r="A1440" s="0" t="s">
        <v>258</v>
      </c>
      <c r="B1440" s="52" t="n">
        <v>44446</v>
      </c>
      <c r="C1440" s="54" t="s">
        <v>590</v>
      </c>
      <c r="D1440" s="0" t="n">
        <v>0.117399793884171</v>
      </c>
      <c r="E1440" s="0" t="n">
        <v>0.131582659312912</v>
      </c>
      <c r="F1440" s="0" t="n">
        <v>0</v>
      </c>
      <c r="G1440" s="0" t="n">
        <v>2021</v>
      </c>
    </row>
    <row r="1441" customFormat="false" ht="15" hidden="false" customHeight="false" outlineLevel="0" collapsed="false">
      <c r="A1441" s="0" t="s">
        <v>258</v>
      </c>
      <c r="B1441" s="52" t="n">
        <v>44446</v>
      </c>
      <c r="C1441" s="54" t="s">
        <v>591</v>
      </c>
      <c r="D1441" s="0" t="n">
        <v>0.0441137133468259</v>
      </c>
      <c r="E1441" s="0" t="n">
        <v>0.309680373890554</v>
      </c>
      <c r="F1441" s="0" t="n">
        <v>0</v>
      </c>
      <c r="G1441" s="0" t="n">
        <v>2021</v>
      </c>
    </row>
    <row r="1442" customFormat="false" ht="15" hidden="false" customHeight="false" outlineLevel="0" collapsed="false">
      <c r="A1442" s="0" t="s">
        <v>258</v>
      </c>
      <c r="B1442" s="52" t="n">
        <v>44446</v>
      </c>
      <c r="C1442" s="54" t="s">
        <v>592</v>
      </c>
      <c r="D1442" s="0" t="n">
        <v>0.0179624062306221</v>
      </c>
      <c r="E1442" s="0" t="n">
        <v>0.0800077923738229</v>
      </c>
      <c r="F1442" s="0" t="n">
        <v>0</v>
      </c>
      <c r="G1442" s="0" t="n">
        <v>2021</v>
      </c>
    </row>
    <row r="1443" customFormat="false" ht="15" hidden="false" customHeight="false" outlineLevel="0" collapsed="false">
      <c r="A1443" s="0" t="s">
        <v>258</v>
      </c>
      <c r="B1443" s="52" t="n">
        <v>44447</v>
      </c>
      <c r="C1443" s="54" t="s">
        <v>590</v>
      </c>
      <c r="D1443" s="0" t="n">
        <v>0.251972207476796</v>
      </c>
      <c r="E1443" s="0" t="n">
        <v>0.105580743644345</v>
      </c>
      <c r="F1443" s="0" t="n">
        <v>0</v>
      </c>
      <c r="G1443" s="0" t="n">
        <v>2021</v>
      </c>
    </row>
    <row r="1444" customFormat="false" ht="15" hidden="false" customHeight="false" outlineLevel="0" collapsed="false">
      <c r="A1444" s="0" t="s">
        <v>258</v>
      </c>
      <c r="B1444" s="52" t="n">
        <v>44447</v>
      </c>
      <c r="C1444" s="54" t="s">
        <v>591</v>
      </c>
      <c r="D1444" s="0" t="n">
        <v>0.0283458810822039</v>
      </c>
      <c r="E1444" s="0" t="n">
        <v>0.204017882070972</v>
      </c>
      <c r="F1444" s="0" t="n">
        <v>0</v>
      </c>
      <c r="G1444" s="0" t="n">
        <v>2021</v>
      </c>
    </row>
    <row r="1445" customFormat="false" ht="15" hidden="false" customHeight="false" outlineLevel="0" collapsed="false">
      <c r="A1445" s="0" t="s">
        <v>258</v>
      </c>
      <c r="B1445" s="52" t="n">
        <v>44447</v>
      </c>
      <c r="C1445" s="54" t="s">
        <v>592</v>
      </c>
      <c r="D1445" s="0" t="n">
        <v>0.139820211100714</v>
      </c>
      <c r="E1445" s="0" t="n">
        <v>0.109196358180517</v>
      </c>
      <c r="F1445" s="0" t="n">
        <v>0</v>
      </c>
      <c r="G1445" s="0" t="n">
        <v>2021</v>
      </c>
    </row>
    <row r="1446" customFormat="false" ht="15" hidden="false" customHeight="false" outlineLevel="0" collapsed="false">
      <c r="A1446" s="0" t="s">
        <v>258</v>
      </c>
      <c r="B1446" s="52" t="n">
        <v>44448</v>
      </c>
      <c r="C1446" s="54" t="s">
        <v>590</v>
      </c>
      <c r="D1446" s="0" t="n">
        <v>0.24058034599534</v>
      </c>
      <c r="E1446" s="0" t="n">
        <v>0.068177962866276</v>
      </c>
      <c r="F1446" s="0" t="n">
        <v>0</v>
      </c>
      <c r="G1446" s="0" t="n">
        <v>2021</v>
      </c>
    </row>
    <row r="1447" customFormat="false" ht="15" hidden="false" customHeight="false" outlineLevel="0" collapsed="false">
      <c r="A1447" s="0" t="s">
        <v>258</v>
      </c>
      <c r="B1447" s="52" t="n">
        <v>44448</v>
      </c>
      <c r="C1447" s="54" t="s">
        <v>591</v>
      </c>
      <c r="D1447" s="0" t="n">
        <v>0.514553254510544</v>
      </c>
      <c r="E1447" s="0" t="n">
        <v>0.0473649236011125</v>
      </c>
      <c r="F1447" s="0" t="n">
        <v>0</v>
      </c>
      <c r="G1447" s="0" t="n">
        <v>2021</v>
      </c>
    </row>
    <row r="1448" customFormat="false" ht="15" hidden="false" customHeight="false" outlineLevel="0" collapsed="false">
      <c r="A1448" s="0" t="s">
        <v>258</v>
      </c>
      <c r="B1448" s="52" t="n">
        <v>44448</v>
      </c>
      <c r="C1448" s="54" t="s">
        <v>592</v>
      </c>
      <c r="D1448" s="0" t="n">
        <v>0.0963314150319692</v>
      </c>
      <c r="E1448" s="0" t="n">
        <v>0.055833561220654</v>
      </c>
      <c r="F1448" s="0" t="n">
        <v>0</v>
      </c>
      <c r="G1448" s="0" t="n">
        <v>2021</v>
      </c>
    </row>
    <row r="1449" customFormat="false" ht="15" hidden="false" customHeight="false" outlineLevel="0" collapsed="false">
      <c r="A1449" s="0" t="s">
        <v>258</v>
      </c>
      <c r="B1449" s="52" t="n">
        <v>44449</v>
      </c>
      <c r="C1449" s="54" t="s">
        <v>590</v>
      </c>
      <c r="D1449" s="0" t="n">
        <v>0.0922098914489972</v>
      </c>
      <c r="E1449" s="0" t="n">
        <v>0.189192408371912</v>
      </c>
      <c r="F1449" s="0" t="n">
        <v>0</v>
      </c>
      <c r="G1449" s="0" t="n">
        <v>2021</v>
      </c>
    </row>
    <row r="1450" customFormat="false" ht="15" hidden="false" customHeight="false" outlineLevel="0" collapsed="false">
      <c r="A1450" s="0" t="s">
        <v>258</v>
      </c>
      <c r="B1450" s="52" t="n">
        <v>44449</v>
      </c>
      <c r="C1450" s="54" t="s">
        <v>591</v>
      </c>
      <c r="D1450" s="0" t="n">
        <v>0.0348254896364439</v>
      </c>
      <c r="E1450" s="0" t="n">
        <v>0.128327243400742</v>
      </c>
      <c r="F1450" s="0" t="n">
        <v>0</v>
      </c>
      <c r="G1450" s="0" t="n">
        <v>2021</v>
      </c>
    </row>
    <row r="1451" customFormat="false" ht="15" hidden="false" customHeight="false" outlineLevel="0" collapsed="false">
      <c r="A1451" s="0" t="s">
        <v>258</v>
      </c>
      <c r="B1451" s="52" t="n">
        <v>44449</v>
      </c>
      <c r="C1451" s="54" t="s">
        <v>592</v>
      </c>
      <c r="D1451" s="0" t="n">
        <v>0.252503253591941</v>
      </c>
      <c r="E1451" s="0" t="n">
        <v>0.108861053506021</v>
      </c>
      <c r="F1451" s="0" t="n">
        <v>0</v>
      </c>
      <c r="G1451" s="0" t="n">
        <v>2021</v>
      </c>
    </row>
    <row r="1452" customFormat="false" ht="15" hidden="false" customHeight="false" outlineLevel="0" collapsed="false">
      <c r="A1452" s="0" t="s">
        <v>258</v>
      </c>
      <c r="B1452" s="52" t="n">
        <v>44450</v>
      </c>
      <c r="C1452" s="54" t="s">
        <v>590</v>
      </c>
      <c r="D1452" s="0" t="n">
        <v>0.0150908573117464</v>
      </c>
      <c r="E1452" s="0" t="n">
        <v>0.0870830045318007</v>
      </c>
      <c r="F1452" s="0" t="n">
        <v>1</v>
      </c>
      <c r="G1452" s="0" t="n">
        <v>2021</v>
      </c>
    </row>
    <row r="1453" customFormat="false" ht="15" hidden="false" customHeight="false" outlineLevel="0" collapsed="false">
      <c r="A1453" s="0" t="s">
        <v>258</v>
      </c>
      <c r="B1453" s="52" t="n">
        <v>44450</v>
      </c>
      <c r="C1453" s="54" t="s">
        <v>591</v>
      </c>
      <c r="D1453" s="0" t="n">
        <v>0.334112651134958</v>
      </c>
      <c r="E1453" s="0" t="n">
        <v>0.0968292185794658</v>
      </c>
      <c r="F1453" s="0" t="n">
        <v>1</v>
      </c>
      <c r="G1453" s="0" t="n">
        <v>2021</v>
      </c>
    </row>
    <row r="1454" customFormat="false" ht="15" hidden="false" customHeight="false" outlineLevel="0" collapsed="false">
      <c r="A1454" s="0" t="s">
        <v>258</v>
      </c>
      <c r="B1454" s="52" t="n">
        <v>44451</v>
      </c>
      <c r="C1454" s="54" t="s">
        <v>590</v>
      </c>
      <c r="D1454" s="0" t="n">
        <v>0.407910815706254</v>
      </c>
      <c r="E1454" s="0" t="n">
        <v>0</v>
      </c>
      <c r="F1454" s="0" t="n">
        <v>1</v>
      </c>
      <c r="G1454" s="0" t="n">
        <v>2021</v>
      </c>
    </row>
    <row r="1455" customFormat="false" ht="15" hidden="false" customHeight="false" outlineLevel="0" collapsed="false">
      <c r="A1455" s="0" t="s">
        <v>258</v>
      </c>
      <c r="B1455" s="52" t="n">
        <v>44451</v>
      </c>
      <c r="C1455" s="54" t="s">
        <v>591</v>
      </c>
      <c r="D1455" s="0" t="n">
        <v>0.0045984463119927</v>
      </c>
      <c r="E1455" s="0" t="n">
        <v>0.0562084108541024</v>
      </c>
      <c r="F1455" s="0" t="n">
        <v>1</v>
      </c>
      <c r="G1455" s="0" t="n">
        <v>2021</v>
      </c>
    </row>
    <row r="1456" customFormat="false" ht="15" hidden="false" customHeight="false" outlineLevel="0" collapsed="false">
      <c r="A1456" s="0" t="s">
        <v>258</v>
      </c>
      <c r="B1456" s="52" t="n">
        <v>44451</v>
      </c>
      <c r="C1456" s="54" t="s">
        <v>592</v>
      </c>
      <c r="D1456" s="0" t="n">
        <v>0.0005835448189199</v>
      </c>
      <c r="E1456" s="0" t="n">
        <v>0.142602534711287</v>
      </c>
      <c r="F1456" s="0" t="n">
        <v>1</v>
      </c>
      <c r="G1456" s="0" t="n">
        <v>2021</v>
      </c>
    </row>
    <row r="1457" customFormat="false" ht="15" hidden="false" customHeight="false" outlineLevel="0" collapsed="false">
      <c r="A1457" s="0" t="s">
        <v>258</v>
      </c>
      <c r="B1457" s="52" t="n">
        <v>44452</v>
      </c>
      <c r="C1457" s="54" t="s">
        <v>590</v>
      </c>
      <c r="D1457" s="0" t="n">
        <v>0.228148623432181</v>
      </c>
      <c r="E1457" s="0" t="n">
        <v>0.0605144518427987</v>
      </c>
      <c r="F1457" s="0" t="n">
        <v>0</v>
      </c>
      <c r="G1457" s="0" t="n">
        <v>2021</v>
      </c>
    </row>
    <row r="1458" customFormat="false" ht="15" hidden="false" customHeight="false" outlineLevel="0" collapsed="false">
      <c r="A1458" s="0" t="s">
        <v>258</v>
      </c>
      <c r="B1458" s="52" t="n">
        <v>44452</v>
      </c>
      <c r="C1458" s="54" t="s">
        <v>591</v>
      </c>
      <c r="D1458" s="0" t="n">
        <v>0.021792607951448</v>
      </c>
      <c r="E1458" s="0" t="n">
        <v>0.030409981406743</v>
      </c>
      <c r="F1458" s="0" t="n">
        <v>0</v>
      </c>
      <c r="G1458" s="0" t="n">
        <v>2021</v>
      </c>
    </row>
    <row r="1459" customFormat="false" ht="15" hidden="false" customHeight="false" outlineLevel="0" collapsed="false">
      <c r="A1459" s="0" t="s">
        <v>258</v>
      </c>
      <c r="B1459" s="52" t="n">
        <v>44452</v>
      </c>
      <c r="C1459" s="54" t="s">
        <v>592</v>
      </c>
      <c r="D1459" s="0" t="n">
        <v>0.0975080598583108</v>
      </c>
      <c r="E1459" s="0" t="n">
        <v>0.102322886894505</v>
      </c>
      <c r="F1459" s="0" t="n">
        <v>0</v>
      </c>
      <c r="G1459" s="0" t="n">
        <v>2021</v>
      </c>
    </row>
    <row r="1460" customFormat="false" ht="15" hidden="false" customHeight="false" outlineLevel="0" collapsed="false">
      <c r="A1460" s="0" t="s">
        <v>258</v>
      </c>
      <c r="B1460" s="52" t="n">
        <v>44453</v>
      </c>
      <c r="C1460" s="54" t="s">
        <v>590</v>
      </c>
      <c r="D1460" s="0" t="n">
        <v>0.262949636154535</v>
      </c>
      <c r="E1460" s="0" t="n">
        <v>0.0697902814258966</v>
      </c>
      <c r="F1460" s="0" t="n">
        <v>0</v>
      </c>
      <c r="G1460" s="0" t="n">
        <v>2021</v>
      </c>
    </row>
    <row r="1461" customFormat="false" ht="15" hidden="false" customHeight="false" outlineLevel="0" collapsed="false">
      <c r="A1461" s="0" t="s">
        <v>258</v>
      </c>
      <c r="B1461" s="52" t="n">
        <v>44453</v>
      </c>
      <c r="C1461" s="54" t="s">
        <v>591</v>
      </c>
      <c r="D1461" s="0" t="n">
        <v>0</v>
      </c>
      <c r="E1461" s="0" t="n">
        <v>0.0301982203916006</v>
      </c>
      <c r="F1461" s="0" t="n">
        <v>0</v>
      </c>
      <c r="G1461" s="0" t="n">
        <v>2021</v>
      </c>
    </row>
    <row r="1462" customFormat="false" ht="15" hidden="false" customHeight="false" outlineLevel="0" collapsed="false">
      <c r="A1462" s="0" t="s">
        <v>258</v>
      </c>
      <c r="B1462" s="52" t="n">
        <v>44453</v>
      </c>
      <c r="C1462" s="54" t="s">
        <v>592</v>
      </c>
      <c r="D1462" s="0" t="n">
        <v>0.0115463903189764</v>
      </c>
      <c r="E1462" s="0" t="n">
        <v>0.0844305181774606</v>
      </c>
      <c r="F1462" s="0" t="n">
        <v>0</v>
      </c>
      <c r="G1462" s="0" t="n">
        <v>2021</v>
      </c>
    </row>
    <row r="1463" customFormat="false" ht="15" hidden="false" customHeight="false" outlineLevel="0" collapsed="false">
      <c r="A1463" s="0" t="s">
        <v>258</v>
      </c>
      <c r="B1463" s="52" t="n">
        <v>44454</v>
      </c>
      <c r="C1463" s="54" t="s">
        <v>590</v>
      </c>
      <c r="D1463" s="0" t="n">
        <v>0.198360351760746</v>
      </c>
      <c r="E1463" s="0" t="n">
        <v>0.141730934780629</v>
      </c>
      <c r="F1463" s="0" t="n">
        <v>0</v>
      </c>
      <c r="G1463" s="0" t="n">
        <v>2021</v>
      </c>
    </row>
    <row r="1464" customFormat="false" ht="15" hidden="false" customHeight="false" outlineLevel="0" collapsed="false">
      <c r="A1464" s="0" t="s">
        <v>258</v>
      </c>
      <c r="B1464" s="52" t="n">
        <v>44454</v>
      </c>
      <c r="C1464" s="54" t="s">
        <v>591</v>
      </c>
      <c r="D1464" s="0" t="n">
        <v>0.0170327292565881</v>
      </c>
      <c r="E1464" s="0" t="n">
        <v>0.061762589503926</v>
      </c>
      <c r="F1464" s="0" t="n">
        <v>0</v>
      </c>
      <c r="G1464" s="0" t="n">
        <v>2021</v>
      </c>
    </row>
    <row r="1465" customFormat="false" ht="15" hidden="false" customHeight="false" outlineLevel="0" collapsed="false">
      <c r="A1465" s="0" t="s">
        <v>258</v>
      </c>
      <c r="B1465" s="52" t="n">
        <v>44454</v>
      </c>
      <c r="C1465" s="54" t="s">
        <v>592</v>
      </c>
      <c r="D1465" s="0" t="n">
        <v>0.005128495391155</v>
      </c>
      <c r="E1465" s="0" t="n">
        <v>0.0465629261805693</v>
      </c>
      <c r="F1465" s="0" t="n">
        <v>0</v>
      </c>
      <c r="G1465" s="0" t="n">
        <v>2021</v>
      </c>
    </row>
    <row r="1466" customFormat="false" ht="15" hidden="false" customHeight="false" outlineLevel="0" collapsed="false">
      <c r="A1466" s="0" t="s">
        <v>258</v>
      </c>
      <c r="B1466" s="52" t="n">
        <v>44455</v>
      </c>
      <c r="C1466" s="54" t="s">
        <v>590</v>
      </c>
      <c r="D1466" s="0" t="n">
        <v>0.0024075876107103</v>
      </c>
      <c r="E1466" s="0" t="n">
        <v>0.155142305112867</v>
      </c>
      <c r="F1466" s="0" t="n">
        <v>0</v>
      </c>
      <c r="G1466" s="0" t="n">
        <v>2021</v>
      </c>
    </row>
    <row r="1467" customFormat="false" ht="15" hidden="false" customHeight="false" outlineLevel="0" collapsed="false">
      <c r="A1467" s="0" t="s">
        <v>258</v>
      </c>
      <c r="B1467" s="52" t="n">
        <v>44455</v>
      </c>
      <c r="C1467" s="54" t="s">
        <v>591</v>
      </c>
      <c r="D1467" s="0" t="n">
        <v>0</v>
      </c>
      <c r="E1467" s="0" t="n">
        <v>0.0245849408395129</v>
      </c>
      <c r="F1467" s="0" t="n">
        <v>0</v>
      </c>
      <c r="G1467" s="0" t="n">
        <v>2021</v>
      </c>
    </row>
    <row r="1468" customFormat="false" ht="15" hidden="false" customHeight="false" outlineLevel="0" collapsed="false">
      <c r="A1468" s="0" t="s">
        <v>258</v>
      </c>
      <c r="B1468" s="52" t="n">
        <v>44455</v>
      </c>
      <c r="C1468" s="54" t="s">
        <v>592</v>
      </c>
      <c r="D1468" s="0" t="n">
        <v>0.0609337948723735</v>
      </c>
      <c r="E1468" s="0" t="n">
        <v>0.112361660316856</v>
      </c>
      <c r="F1468" s="0" t="n">
        <v>0</v>
      </c>
      <c r="G1468" s="0" t="n">
        <v>2021</v>
      </c>
    </row>
    <row r="1469" customFormat="false" ht="15" hidden="false" customHeight="false" outlineLevel="0" collapsed="false">
      <c r="A1469" s="0" t="s">
        <v>258</v>
      </c>
      <c r="B1469" s="52" t="n">
        <v>44456</v>
      </c>
      <c r="C1469" s="54" t="s">
        <v>590</v>
      </c>
      <c r="D1469" s="0" t="n">
        <v>0</v>
      </c>
      <c r="E1469" s="0" t="n">
        <v>0.10612936651212</v>
      </c>
      <c r="F1469" s="0" t="n">
        <v>0</v>
      </c>
      <c r="G1469" s="0" t="n">
        <v>2021</v>
      </c>
    </row>
    <row r="1470" customFormat="false" ht="15" hidden="false" customHeight="false" outlineLevel="0" collapsed="false">
      <c r="A1470" s="0" t="s">
        <v>258</v>
      </c>
      <c r="B1470" s="52" t="n">
        <v>44456</v>
      </c>
      <c r="C1470" s="54" t="s">
        <v>591</v>
      </c>
      <c r="D1470" s="0" t="n">
        <v>0</v>
      </c>
      <c r="E1470" s="0" t="n">
        <v>0.0335940314974712</v>
      </c>
      <c r="F1470" s="0" t="n">
        <v>0</v>
      </c>
      <c r="G1470" s="0" t="n">
        <v>2021</v>
      </c>
    </row>
    <row r="1471" customFormat="false" ht="15" hidden="false" customHeight="false" outlineLevel="0" collapsed="false">
      <c r="A1471" s="0" t="s">
        <v>258</v>
      </c>
      <c r="B1471" s="52" t="n">
        <v>44456</v>
      </c>
      <c r="C1471" s="54" t="s">
        <v>592</v>
      </c>
      <c r="D1471" s="0" t="n">
        <v>0</v>
      </c>
      <c r="E1471" s="0" t="n">
        <v>0.0532153238296474</v>
      </c>
      <c r="F1471" s="0" t="n">
        <v>0</v>
      </c>
      <c r="G1471" s="0" t="n">
        <v>2021</v>
      </c>
    </row>
    <row r="1472" customFormat="false" ht="15" hidden="false" customHeight="false" outlineLevel="0" collapsed="false">
      <c r="A1472" s="0" t="s">
        <v>258</v>
      </c>
      <c r="B1472" s="52" t="n">
        <v>44457</v>
      </c>
      <c r="C1472" s="54" t="s">
        <v>590</v>
      </c>
      <c r="D1472" s="0" t="n">
        <v>0.0157996413375597</v>
      </c>
      <c r="E1472" s="0" t="n">
        <v>0.237282814963734</v>
      </c>
      <c r="F1472" s="0" t="n">
        <v>1</v>
      </c>
      <c r="G1472" s="0" t="n">
        <v>2021</v>
      </c>
    </row>
    <row r="1473" customFormat="false" ht="15" hidden="false" customHeight="false" outlineLevel="0" collapsed="false">
      <c r="A1473" s="0" t="s">
        <v>258</v>
      </c>
      <c r="B1473" s="52" t="n">
        <v>44458</v>
      </c>
      <c r="C1473" s="54" t="s">
        <v>590</v>
      </c>
      <c r="D1473" s="0" t="n">
        <v>0.0744546826772678</v>
      </c>
      <c r="E1473" s="0" t="n">
        <v>0.444302150303052</v>
      </c>
      <c r="F1473" s="0" t="n">
        <v>1</v>
      </c>
      <c r="G1473" s="0" t="n">
        <v>2021</v>
      </c>
    </row>
    <row r="1474" customFormat="false" ht="15" hidden="false" customHeight="false" outlineLevel="0" collapsed="false">
      <c r="A1474" s="0" t="s">
        <v>258</v>
      </c>
      <c r="B1474" s="52" t="n">
        <v>44458</v>
      </c>
      <c r="C1474" s="54" t="s">
        <v>591</v>
      </c>
      <c r="D1474" s="0" t="n">
        <v>0.0051032484858134</v>
      </c>
      <c r="E1474" s="0" t="n">
        <v>0.0650959681146482</v>
      </c>
      <c r="F1474" s="0" t="n">
        <v>1</v>
      </c>
      <c r="G1474" s="0" t="n">
        <v>2021</v>
      </c>
    </row>
    <row r="1475" customFormat="false" ht="15" hidden="false" customHeight="false" outlineLevel="0" collapsed="false">
      <c r="A1475" s="0" t="s">
        <v>258</v>
      </c>
      <c r="B1475" s="52" t="n">
        <v>44458</v>
      </c>
      <c r="C1475" s="54" t="s">
        <v>592</v>
      </c>
      <c r="D1475" s="0" t="n">
        <v>0.0262365628004198</v>
      </c>
      <c r="E1475" s="0" t="n">
        <v>0.120064197283852</v>
      </c>
      <c r="F1475" s="0" t="n">
        <v>1</v>
      </c>
      <c r="G1475" s="0" t="n">
        <v>2021</v>
      </c>
    </row>
    <row r="1476" customFormat="false" ht="15" hidden="false" customHeight="false" outlineLevel="0" collapsed="false">
      <c r="A1476" s="0" t="s">
        <v>258</v>
      </c>
      <c r="B1476" s="52" t="n">
        <v>44459</v>
      </c>
      <c r="C1476" s="54" t="s">
        <v>590</v>
      </c>
      <c r="D1476" s="0" t="n">
        <v>0.0040728665608368</v>
      </c>
      <c r="E1476" s="0" t="n">
        <v>0.107177908731924</v>
      </c>
      <c r="F1476" s="0" t="n">
        <v>0</v>
      </c>
      <c r="G1476" s="0" t="n">
        <v>2021</v>
      </c>
    </row>
    <row r="1477" customFormat="false" ht="15" hidden="false" customHeight="false" outlineLevel="0" collapsed="false">
      <c r="A1477" s="0" t="s">
        <v>258</v>
      </c>
      <c r="B1477" s="52" t="n">
        <v>44459</v>
      </c>
      <c r="C1477" s="54" t="s">
        <v>591</v>
      </c>
      <c r="D1477" s="0" t="n">
        <v>0.0092668400910244</v>
      </c>
      <c r="E1477" s="0" t="n">
        <v>0.312527948296893</v>
      </c>
      <c r="F1477" s="0" t="n">
        <v>0</v>
      </c>
      <c r="G1477" s="0" t="n">
        <v>2021</v>
      </c>
    </row>
    <row r="1478" customFormat="false" ht="15" hidden="false" customHeight="false" outlineLevel="0" collapsed="false">
      <c r="A1478" s="0" t="s">
        <v>258</v>
      </c>
      <c r="B1478" s="52" t="n">
        <v>44459</v>
      </c>
      <c r="C1478" s="54" t="s">
        <v>592</v>
      </c>
      <c r="D1478" s="0" t="n">
        <v>0.118103427967047</v>
      </c>
      <c r="E1478" s="0" t="n">
        <v>0.0637890191869924</v>
      </c>
      <c r="F1478" s="0" t="n">
        <v>0</v>
      </c>
      <c r="G1478" s="0" t="n">
        <v>2021</v>
      </c>
    </row>
    <row r="1479" customFormat="false" ht="15" hidden="false" customHeight="false" outlineLevel="0" collapsed="false">
      <c r="A1479" s="0" t="s">
        <v>258</v>
      </c>
      <c r="B1479" s="52" t="n">
        <v>44460</v>
      </c>
      <c r="C1479" s="54" t="s">
        <v>590</v>
      </c>
      <c r="D1479" s="0" t="n">
        <v>0.016175242133308</v>
      </c>
      <c r="E1479" s="0" t="n">
        <v>0.0672766168904899</v>
      </c>
      <c r="F1479" s="0" t="n">
        <v>0</v>
      </c>
      <c r="G1479" s="0" t="n">
        <v>2021</v>
      </c>
    </row>
    <row r="1480" customFormat="false" ht="15" hidden="false" customHeight="false" outlineLevel="0" collapsed="false">
      <c r="A1480" s="0" t="s">
        <v>258</v>
      </c>
      <c r="B1480" s="52" t="n">
        <v>44460</v>
      </c>
      <c r="C1480" s="54" t="s">
        <v>591</v>
      </c>
      <c r="D1480" s="0" t="n">
        <v>0.0130266690560872</v>
      </c>
      <c r="E1480" s="0" t="n">
        <v>0.107251221646984</v>
      </c>
      <c r="F1480" s="0" t="n">
        <v>0</v>
      </c>
      <c r="G1480" s="0" t="n">
        <v>2021</v>
      </c>
    </row>
    <row r="1481" customFormat="false" ht="15" hidden="false" customHeight="false" outlineLevel="0" collapsed="false">
      <c r="A1481" s="0" t="s">
        <v>258</v>
      </c>
      <c r="B1481" s="52" t="n">
        <v>44460</v>
      </c>
      <c r="C1481" s="54" t="s">
        <v>592</v>
      </c>
      <c r="D1481" s="0" t="n">
        <v>0.0019251598985074</v>
      </c>
      <c r="E1481" s="0" t="n">
        <v>0.0282031198326954</v>
      </c>
      <c r="F1481" s="0" t="n">
        <v>0</v>
      </c>
      <c r="G1481" s="0" t="n">
        <v>2021</v>
      </c>
    </row>
    <row r="1482" customFormat="false" ht="15" hidden="false" customHeight="false" outlineLevel="0" collapsed="false">
      <c r="A1482" s="0" t="s">
        <v>258</v>
      </c>
      <c r="B1482" s="52" t="n">
        <v>44461</v>
      </c>
      <c r="C1482" s="54" t="s">
        <v>590</v>
      </c>
      <c r="D1482" s="0" t="n">
        <v>0.207772445673048</v>
      </c>
      <c r="E1482" s="0" t="n">
        <v>0.0911111004730133</v>
      </c>
      <c r="F1482" s="0" t="n">
        <v>0</v>
      </c>
      <c r="G1482" s="0" t="n">
        <v>2021</v>
      </c>
    </row>
    <row r="1483" customFormat="false" ht="15" hidden="false" customHeight="false" outlineLevel="0" collapsed="false">
      <c r="A1483" s="0" t="s">
        <v>258</v>
      </c>
      <c r="B1483" s="52" t="n">
        <v>44461</v>
      </c>
      <c r="C1483" s="54" t="s">
        <v>591</v>
      </c>
      <c r="D1483" s="0" t="n">
        <v>0</v>
      </c>
      <c r="E1483" s="0" t="n">
        <v>0.0244128623747486</v>
      </c>
      <c r="F1483" s="0" t="n">
        <v>0</v>
      </c>
      <c r="G1483" s="0" t="n">
        <v>2021</v>
      </c>
    </row>
    <row r="1484" customFormat="false" ht="15" hidden="false" customHeight="false" outlineLevel="0" collapsed="false">
      <c r="A1484" s="0" t="s">
        <v>258</v>
      </c>
      <c r="B1484" s="52" t="n">
        <v>44461</v>
      </c>
      <c r="C1484" s="54" t="s">
        <v>592</v>
      </c>
      <c r="D1484" s="0" t="n">
        <v>0.0055145777694175</v>
      </c>
      <c r="E1484" s="0" t="n">
        <v>0.0683909494827995</v>
      </c>
      <c r="F1484" s="0" t="n">
        <v>0</v>
      </c>
      <c r="G1484" s="0" t="n">
        <v>2021</v>
      </c>
    </row>
    <row r="1485" customFormat="false" ht="15" hidden="false" customHeight="false" outlineLevel="0" collapsed="false">
      <c r="A1485" s="0" t="s">
        <v>258</v>
      </c>
      <c r="B1485" s="52" t="n">
        <v>44462</v>
      </c>
      <c r="C1485" s="54" t="s">
        <v>590</v>
      </c>
      <c r="D1485" s="0" t="n">
        <v>0</v>
      </c>
      <c r="E1485" s="0" t="n">
        <v>0.132716547787841</v>
      </c>
      <c r="F1485" s="0" t="n">
        <v>0</v>
      </c>
      <c r="G1485" s="0" t="n">
        <v>2021</v>
      </c>
    </row>
    <row r="1486" customFormat="false" ht="15" hidden="false" customHeight="false" outlineLevel="0" collapsed="false">
      <c r="A1486" s="0" t="s">
        <v>258</v>
      </c>
      <c r="B1486" s="52" t="n">
        <v>44462</v>
      </c>
      <c r="C1486" s="54" t="s">
        <v>591</v>
      </c>
      <c r="D1486" s="0" t="n">
        <v>0.144833278234446</v>
      </c>
      <c r="E1486" s="0" t="n">
        <v>0.0871948974891633</v>
      </c>
      <c r="F1486" s="0" t="n">
        <v>0</v>
      </c>
      <c r="G1486" s="0" t="n">
        <v>2021</v>
      </c>
    </row>
    <row r="1487" customFormat="false" ht="15" hidden="false" customHeight="false" outlineLevel="0" collapsed="false">
      <c r="A1487" s="0" t="s">
        <v>258</v>
      </c>
      <c r="B1487" s="52" t="n">
        <v>44462</v>
      </c>
      <c r="C1487" s="54" t="s">
        <v>592</v>
      </c>
      <c r="D1487" s="0" t="n">
        <v>0.0144907642077569</v>
      </c>
      <c r="E1487" s="0" t="n">
        <v>0.192756955243949</v>
      </c>
      <c r="F1487" s="0" t="n">
        <v>0</v>
      </c>
      <c r="G1487" s="0" t="n">
        <v>2021</v>
      </c>
    </row>
    <row r="1488" customFormat="false" ht="15" hidden="false" customHeight="false" outlineLevel="0" collapsed="false">
      <c r="A1488" s="0" t="s">
        <v>258</v>
      </c>
      <c r="B1488" s="52" t="n">
        <v>44463</v>
      </c>
      <c r="C1488" s="54" t="s">
        <v>590</v>
      </c>
      <c r="D1488" s="0" t="n">
        <v>0.0204655692098114</v>
      </c>
      <c r="E1488" s="0" t="n">
        <v>0.153310790221377</v>
      </c>
      <c r="F1488" s="0" t="n">
        <v>0</v>
      </c>
      <c r="G1488" s="0" t="n">
        <v>2021</v>
      </c>
    </row>
    <row r="1489" customFormat="false" ht="15" hidden="false" customHeight="false" outlineLevel="0" collapsed="false">
      <c r="A1489" s="0" t="s">
        <v>258</v>
      </c>
      <c r="B1489" s="52" t="n">
        <v>44463</v>
      </c>
      <c r="C1489" s="54" t="s">
        <v>591</v>
      </c>
      <c r="D1489" s="0" t="n">
        <v>0.000607201362418</v>
      </c>
      <c r="E1489" s="0" t="n">
        <v>0.0413239978061467</v>
      </c>
      <c r="F1489" s="0" t="n">
        <v>0</v>
      </c>
      <c r="G1489" s="0" t="n">
        <v>2021</v>
      </c>
    </row>
    <row r="1490" customFormat="false" ht="15" hidden="false" customHeight="false" outlineLevel="0" collapsed="false">
      <c r="A1490" s="0" t="s">
        <v>258</v>
      </c>
      <c r="B1490" s="52" t="n">
        <v>44463</v>
      </c>
      <c r="C1490" s="54" t="s">
        <v>592</v>
      </c>
      <c r="D1490" s="0" t="n">
        <v>0.17254632099018</v>
      </c>
      <c r="E1490" s="0" t="n">
        <v>0.0511731345502257</v>
      </c>
      <c r="F1490" s="0" t="n">
        <v>0</v>
      </c>
      <c r="G1490" s="0" t="n">
        <v>2021</v>
      </c>
    </row>
    <row r="1491" customFormat="false" ht="15" hidden="false" customHeight="false" outlineLevel="0" collapsed="false">
      <c r="A1491" s="0" t="s">
        <v>258</v>
      </c>
      <c r="B1491" s="52" t="n">
        <v>44464</v>
      </c>
      <c r="C1491" s="54" t="s">
        <v>590</v>
      </c>
      <c r="D1491" s="0" t="n">
        <v>0.0005456242516536</v>
      </c>
      <c r="E1491" s="0" t="n">
        <v>0.10434535441566</v>
      </c>
      <c r="F1491" s="0" t="n">
        <v>1</v>
      </c>
      <c r="G1491" s="0" t="n">
        <v>2021</v>
      </c>
    </row>
    <row r="1492" customFormat="false" ht="15" hidden="false" customHeight="false" outlineLevel="0" collapsed="false">
      <c r="A1492" s="0" t="s">
        <v>258</v>
      </c>
      <c r="B1492" s="52" t="n">
        <v>44465</v>
      </c>
      <c r="C1492" s="54" t="s">
        <v>591</v>
      </c>
      <c r="D1492" s="0" t="n">
        <v>0.204698927984572</v>
      </c>
      <c r="E1492" s="0" t="n">
        <v>0.0340110330636106</v>
      </c>
      <c r="F1492" s="0" t="n">
        <v>1</v>
      </c>
      <c r="G1492" s="0" t="n">
        <v>2021</v>
      </c>
    </row>
    <row r="1493" customFormat="false" ht="15" hidden="false" customHeight="false" outlineLevel="0" collapsed="false">
      <c r="A1493" s="0" t="s">
        <v>258</v>
      </c>
      <c r="B1493" s="52" t="n">
        <v>44465</v>
      </c>
      <c r="C1493" s="54" t="s">
        <v>592</v>
      </c>
      <c r="D1493" s="0" t="n">
        <v>0.0285470645258948</v>
      </c>
      <c r="E1493" s="0" t="n">
        <v>0.164054813906154</v>
      </c>
      <c r="F1493" s="0" t="n">
        <v>1</v>
      </c>
      <c r="G1493" s="0" t="n">
        <v>2021</v>
      </c>
    </row>
    <row r="1494" customFormat="false" ht="15" hidden="false" customHeight="false" outlineLevel="0" collapsed="false">
      <c r="A1494" s="0" t="s">
        <v>258</v>
      </c>
      <c r="B1494" s="52" t="n">
        <v>44466</v>
      </c>
      <c r="C1494" s="54" t="s">
        <v>590</v>
      </c>
      <c r="D1494" s="0" t="n">
        <v>0.05335228438563</v>
      </c>
      <c r="E1494" s="0" t="n">
        <v>0.048782823042139</v>
      </c>
      <c r="F1494" s="0" t="n">
        <v>0</v>
      </c>
      <c r="G1494" s="0" t="n">
        <v>2021</v>
      </c>
    </row>
    <row r="1495" customFormat="false" ht="15" hidden="false" customHeight="false" outlineLevel="0" collapsed="false">
      <c r="A1495" s="0" t="s">
        <v>258</v>
      </c>
      <c r="B1495" s="52" t="n">
        <v>44466</v>
      </c>
      <c r="C1495" s="54" t="s">
        <v>591</v>
      </c>
      <c r="D1495" s="0" t="n">
        <v>0.198197943435287</v>
      </c>
      <c r="E1495" s="0" t="n">
        <v>0.0099468506679731</v>
      </c>
      <c r="F1495" s="0" t="n">
        <v>0</v>
      </c>
      <c r="G1495" s="0" t="n">
        <v>2021</v>
      </c>
    </row>
    <row r="1496" customFormat="false" ht="15" hidden="false" customHeight="false" outlineLevel="0" collapsed="false">
      <c r="A1496" s="0" t="s">
        <v>258</v>
      </c>
      <c r="B1496" s="52" t="n">
        <v>44466</v>
      </c>
      <c r="C1496" s="54" t="s">
        <v>592</v>
      </c>
      <c r="D1496" s="0" t="n">
        <v>0.0013424584512463</v>
      </c>
      <c r="E1496" s="0" t="n">
        <v>0.252293123194932</v>
      </c>
      <c r="F1496" s="0" t="n">
        <v>0</v>
      </c>
      <c r="G1496" s="0" t="n">
        <v>2021</v>
      </c>
    </row>
    <row r="1497" customFormat="false" ht="15" hidden="false" customHeight="false" outlineLevel="0" collapsed="false">
      <c r="A1497" s="0" t="s">
        <v>258</v>
      </c>
      <c r="B1497" s="52" t="n">
        <v>44467</v>
      </c>
      <c r="C1497" s="54" t="s">
        <v>590</v>
      </c>
      <c r="D1497" s="0" t="n">
        <v>0</v>
      </c>
      <c r="E1497" s="0" t="n">
        <v>0.433649910837323</v>
      </c>
      <c r="F1497" s="0" t="n">
        <v>0</v>
      </c>
      <c r="G1497" s="0" t="n">
        <v>2021</v>
      </c>
    </row>
    <row r="1498" customFormat="false" ht="15" hidden="false" customHeight="false" outlineLevel="0" collapsed="false">
      <c r="A1498" s="0" t="s">
        <v>258</v>
      </c>
      <c r="B1498" s="52" t="n">
        <v>44467</v>
      </c>
      <c r="C1498" s="54" t="s">
        <v>591</v>
      </c>
      <c r="D1498" s="0" t="n">
        <v>0.0153180968984627</v>
      </c>
      <c r="E1498" s="0" t="n">
        <v>0.0726563907576626</v>
      </c>
      <c r="F1498" s="0" t="n">
        <v>0</v>
      </c>
      <c r="G1498" s="0" t="n">
        <v>2021</v>
      </c>
    </row>
    <row r="1499" customFormat="false" ht="15" hidden="false" customHeight="false" outlineLevel="0" collapsed="false">
      <c r="A1499" s="0" t="s">
        <v>258</v>
      </c>
      <c r="B1499" s="52" t="n">
        <v>44467</v>
      </c>
      <c r="C1499" s="54" t="s">
        <v>592</v>
      </c>
      <c r="D1499" s="0" t="n">
        <v>0.727427608392916</v>
      </c>
      <c r="E1499" s="0" t="n">
        <v>0.0371348223086914</v>
      </c>
      <c r="F1499" s="0" t="n">
        <v>0</v>
      </c>
      <c r="G1499" s="0" t="n">
        <v>2021</v>
      </c>
    </row>
    <row r="1500" customFormat="false" ht="15" hidden="false" customHeight="false" outlineLevel="0" collapsed="false">
      <c r="A1500" s="0" t="s">
        <v>258</v>
      </c>
      <c r="B1500" s="52" t="n">
        <v>44468</v>
      </c>
      <c r="C1500" s="54" t="s">
        <v>590</v>
      </c>
      <c r="D1500" s="0" t="n">
        <v>0.856079261166328</v>
      </c>
      <c r="E1500" s="0" t="n">
        <v>0</v>
      </c>
      <c r="F1500" s="0" t="n">
        <v>0</v>
      </c>
      <c r="G1500" s="0" t="n">
        <v>2021</v>
      </c>
    </row>
    <row r="1501" customFormat="false" ht="15" hidden="false" customHeight="false" outlineLevel="0" collapsed="false">
      <c r="A1501" s="0" t="s">
        <v>258</v>
      </c>
      <c r="B1501" s="52" t="n">
        <v>44468</v>
      </c>
      <c r="C1501" s="54" t="s">
        <v>591</v>
      </c>
      <c r="D1501" s="0" t="n">
        <v>0.228436877632274</v>
      </c>
      <c r="E1501" s="0" t="n">
        <v>0.02119398425725</v>
      </c>
      <c r="F1501" s="0" t="n">
        <v>0</v>
      </c>
      <c r="G1501" s="0" t="n">
        <v>2021</v>
      </c>
    </row>
    <row r="1502" customFormat="false" ht="15" hidden="false" customHeight="false" outlineLevel="0" collapsed="false">
      <c r="A1502" s="0" t="s">
        <v>258</v>
      </c>
      <c r="B1502" s="52" t="n">
        <v>44468</v>
      </c>
      <c r="C1502" s="54" t="s">
        <v>592</v>
      </c>
      <c r="D1502" s="0" t="n">
        <v>0.0136506273130956</v>
      </c>
      <c r="E1502" s="0" t="n">
        <v>0.0876467987598283</v>
      </c>
      <c r="F1502" s="0" t="n">
        <v>0</v>
      </c>
      <c r="G1502" s="0" t="n">
        <v>2021</v>
      </c>
    </row>
    <row r="1503" customFormat="false" ht="15" hidden="false" customHeight="false" outlineLevel="0" collapsed="false">
      <c r="A1503" s="0" t="s">
        <v>258</v>
      </c>
      <c r="B1503" s="52" t="n">
        <v>44469</v>
      </c>
      <c r="C1503" s="54" t="s">
        <v>590</v>
      </c>
      <c r="D1503" s="0" t="n">
        <v>0.0092725179931763</v>
      </c>
      <c r="E1503" s="0" t="n">
        <v>0.110498476236614</v>
      </c>
      <c r="F1503" s="0" t="n">
        <v>0</v>
      </c>
      <c r="G1503" s="0" t="n">
        <v>2021</v>
      </c>
    </row>
    <row r="1504" customFormat="false" ht="15" hidden="false" customHeight="false" outlineLevel="0" collapsed="false">
      <c r="A1504" s="0" t="s">
        <v>258</v>
      </c>
      <c r="B1504" s="52" t="n">
        <v>44469</v>
      </c>
      <c r="C1504" s="54" t="s">
        <v>591</v>
      </c>
      <c r="D1504" s="0" t="n">
        <v>0.0239740632161565</v>
      </c>
      <c r="E1504" s="0" t="n">
        <v>0.0143155248481473</v>
      </c>
      <c r="F1504" s="0" t="n">
        <v>0</v>
      </c>
      <c r="G1504" s="0" t="n">
        <v>2021</v>
      </c>
    </row>
    <row r="1505" customFormat="false" ht="15" hidden="false" customHeight="false" outlineLevel="0" collapsed="false">
      <c r="A1505" s="0" t="s">
        <v>258</v>
      </c>
      <c r="B1505" s="52" t="n">
        <v>44469</v>
      </c>
      <c r="C1505" s="54" t="s">
        <v>592</v>
      </c>
      <c r="D1505" s="0" t="n">
        <v>0.46387778462347</v>
      </c>
      <c r="E1505" s="0" t="n">
        <v>0.0165962311260045</v>
      </c>
      <c r="F1505" s="0" t="n">
        <v>0</v>
      </c>
      <c r="G1505" s="0" t="n">
        <v>2021</v>
      </c>
    </row>
    <row r="1506" customFormat="false" ht="15" hidden="false" customHeight="false" outlineLevel="0" collapsed="false">
      <c r="A1506" s="0" t="s">
        <v>258</v>
      </c>
      <c r="B1506" s="52" t="n">
        <v>44470</v>
      </c>
      <c r="C1506" s="54" t="s">
        <v>590</v>
      </c>
      <c r="D1506" s="0" t="n">
        <v>0.249187265570697</v>
      </c>
      <c r="E1506" s="0" t="n">
        <v>0.20891025306094</v>
      </c>
      <c r="F1506" s="0" t="n">
        <v>0</v>
      </c>
      <c r="G1506" s="0" t="n">
        <v>2021</v>
      </c>
    </row>
    <row r="1507" customFormat="false" ht="15" hidden="false" customHeight="false" outlineLevel="0" collapsed="false">
      <c r="A1507" s="0" t="s">
        <v>258</v>
      </c>
      <c r="B1507" s="52" t="n">
        <v>44470</v>
      </c>
      <c r="C1507" s="54" t="s">
        <v>591</v>
      </c>
      <c r="D1507" s="0" t="n">
        <v>0.0743014962212084</v>
      </c>
      <c r="E1507" s="0" t="n">
        <v>0.0895241874665274</v>
      </c>
      <c r="F1507" s="0" t="n">
        <v>0</v>
      </c>
      <c r="G1507" s="0" t="n">
        <v>2021</v>
      </c>
    </row>
    <row r="1508" customFormat="false" ht="15" hidden="false" customHeight="false" outlineLevel="0" collapsed="false">
      <c r="A1508" s="0" t="s">
        <v>258</v>
      </c>
      <c r="B1508" s="52" t="n">
        <v>44470</v>
      </c>
      <c r="C1508" s="54" t="s">
        <v>592</v>
      </c>
      <c r="D1508" s="0" t="n">
        <v>0.0051370231042304</v>
      </c>
      <c r="E1508" s="0" t="n">
        <v>0.0955251010997387</v>
      </c>
      <c r="F1508" s="0" t="n">
        <v>0</v>
      </c>
      <c r="G1508" s="0" t="n">
        <v>2021</v>
      </c>
    </row>
    <row r="1509" customFormat="false" ht="15" hidden="false" customHeight="false" outlineLevel="0" collapsed="false">
      <c r="A1509" s="0" t="s">
        <v>258</v>
      </c>
      <c r="B1509" s="52" t="n">
        <v>44471</v>
      </c>
      <c r="C1509" s="54" t="s">
        <v>590</v>
      </c>
      <c r="D1509" s="0" t="n">
        <v>0.002981533180619</v>
      </c>
      <c r="E1509" s="0" t="n">
        <v>0.13109446030703</v>
      </c>
      <c r="F1509" s="0" t="n">
        <v>1</v>
      </c>
      <c r="G1509" s="0" t="n">
        <v>2021</v>
      </c>
    </row>
    <row r="1510" customFormat="false" ht="15" hidden="false" customHeight="false" outlineLevel="0" collapsed="false">
      <c r="A1510" s="0" t="s">
        <v>258</v>
      </c>
      <c r="B1510" s="52" t="n">
        <v>44471</v>
      </c>
      <c r="C1510" s="54" t="s">
        <v>591</v>
      </c>
      <c r="D1510" s="0" t="n">
        <v>0.295995402675844</v>
      </c>
      <c r="E1510" s="0" t="n">
        <v>0.168003651598398</v>
      </c>
      <c r="F1510" s="0" t="n">
        <v>1</v>
      </c>
      <c r="G1510" s="0" t="n">
        <v>2021</v>
      </c>
    </row>
    <row r="1511" customFormat="false" ht="15" hidden="false" customHeight="false" outlineLevel="0" collapsed="false">
      <c r="A1511" s="0" t="s">
        <v>258</v>
      </c>
      <c r="B1511" s="52" t="n">
        <v>44471</v>
      </c>
      <c r="C1511" s="54" t="s">
        <v>592</v>
      </c>
      <c r="D1511" s="0" t="n">
        <v>1</v>
      </c>
      <c r="E1511" s="0" t="n">
        <v>0</v>
      </c>
      <c r="F1511" s="0" t="n">
        <v>1</v>
      </c>
      <c r="G1511" s="0" t="n">
        <v>2021</v>
      </c>
    </row>
    <row r="1512" customFormat="false" ht="15" hidden="false" customHeight="false" outlineLevel="0" collapsed="false">
      <c r="A1512" s="0" t="s">
        <v>258</v>
      </c>
      <c r="B1512" s="52" t="n">
        <v>44472</v>
      </c>
      <c r="C1512" s="54" t="s">
        <v>590</v>
      </c>
      <c r="D1512" s="0" t="n">
        <v>0.428933539089036</v>
      </c>
      <c r="E1512" s="0" t="n">
        <v>0.0359831888622881</v>
      </c>
      <c r="F1512" s="0" t="n">
        <v>1</v>
      </c>
      <c r="G1512" s="0" t="n">
        <v>2021</v>
      </c>
    </row>
    <row r="1513" customFormat="false" ht="15" hidden="false" customHeight="false" outlineLevel="0" collapsed="false">
      <c r="A1513" s="0" t="s">
        <v>258</v>
      </c>
      <c r="B1513" s="52" t="n">
        <v>44472</v>
      </c>
      <c r="C1513" s="54" t="s">
        <v>591</v>
      </c>
      <c r="D1513" s="0" t="n">
        <v>0.0368918959182046</v>
      </c>
      <c r="E1513" s="0" t="n">
        <v>0.0589554053651422</v>
      </c>
      <c r="F1513" s="0" t="n">
        <v>1</v>
      </c>
      <c r="G1513" s="0" t="n">
        <v>2021</v>
      </c>
    </row>
    <row r="1514" customFormat="false" ht="15" hidden="false" customHeight="false" outlineLevel="0" collapsed="false">
      <c r="A1514" s="0" t="s">
        <v>258</v>
      </c>
      <c r="B1514" s="52" t="n">
        <v>44472</v>
      </c>
      <c r="C1514" s="54" t="s">
        <v>592</v>
      </c>
      <c r="D1514" s="0" t="n">
        <v>0.0060418309253052</v>
      </c>
      <c r="E1514" s="0" t="n">
        <v>0.0729751251940297</v>
      </c>
      <c r="F1514" s="0" t="n">
        <v>1</v>
      </c>
      <c r="G1514" s="0" t="n">
        <v>2021</v>
      </c>
    </row>
    <row r="1515" customFormat="false" ht="15" hidden="false" customHeight="false" outlineLevel="0" collapsed="false">
      <c r="A1515" s="0" t="s">
        <v>258</v>
      </c>
      <c r="B1515" s="52" t="n">
        <v>44473</v>
      </c>
      <c r="C1515" s="54" t="s">
        <v>590</v>
      </c>
      <c r="D1515" s="0" t="n">
        <v>0.157791070608346</v>
      </c>
      <c r="E1515" s="0" t="n">
        <v>0.0964747011530331</v>
      </c>
      <c r="F1515" s="0" t="n">
        <v>0</v>
      </c>
      <c r="G1515" s="0" t="n">
        <v>2021</v>
      </c>
    </row>
    <row r="1516" customFormat="false" ht="15" hidden="false" customHeight="false" outlineLevel="0" collapsed="false">
      <c r="A1516" s="0" t="s">
        <v>258</v>
      </c>
      <c r="B1516" s="52" t="n">
        <v>44473</v>
      </c>
      <c r="C1516" s="54" t="s">
        <v>591</v>
      </c>
      <c r="D1516" s="0" t="n">
        <v>0.290938072375545</v>
      </c>
      <c r="E1516" s="0" t="n">
        <v>0.0221487185789361</v>
      </c>
      <c r="F1516" s="0" t="n">
        <v>0</v>
      </c>
      <c r="G1516" s="0" t="n">
        <v>2021</v>
      </c>
    </row>
    <row r="1517" customFormat="false" ht="15" hidden="false" customHeight="false" outlineLevel="0" collapsed="false">
      <c r="A1517" s="0" t="s">
        <v>258</v>
      </c>
      <c r="B1517" s="52" t="n">
        <v>44473</v>
      </c>
      <c r="C1517" s="54" t="s">
        <v>592</v>
      </c>
      <c r="D1517" s="0" t="n">
        <v>0.0360251594468663</v>
      </c>
      <c r="E1517" s="0" t="n">
        <v>0.0666871332856559</v>
      </c>
      <c r="F1517" s="0" t="n">
        <v>0</v>
      </c>
      <c r="G1517" s="0" t="n">
        <v>2021</v>
      </c>
    </row>
    <row r="1518" customFormat="false" ht="15" hidden="false" customHeight="false" outlineLevel="0" collapsed="false">
      <c r="A1518" s="0" t="s">
        <v>258</v>
      </c>
      <c r="B1518" s="52" t="n">
        <v>44474</v>
      </c>
      <c r="C1518" s="54" t="s">
        <v>590</v>
      </c>
      <c r="D1518" s="0" t="n">
        <v>0.0010018587042502</v>
      </c>
      <c r="E1518" s="0" t="n">
        <v>0.243091557206444</v>
      </c>
      <c r="F1518" s="0" t="n">
        <v>0</v>
      </c>
      <c r="G1518" s="0" t="n">
        <v>2021</v>
      </c>
    </row>
    <row r="1519" customFormat="false" ht="15" hidden="false" customHeight="false" outlineLevel="0" collapsed="false">
      <c r="A1519" s="0" t="s">
        <v>258</v>
      </c>
      <c r="B1519" s="52" t="n">
        <v>44474</v>
      </c>
      <c r="C1519" s="54" t="s">
        <v>591</v>
      </c>
      <c r="D1519" s="0" t="n">
        <v>0.0069694242740914</v>
      </c>
      <c r="E1519" s="0" t="n">
        <v>0.0512821382234361</v>
      </c>
      <c r="F1519" s="0" t="n">
        <v>0</v>
      </c>
      <c r="G1519" s="0" t="n">
        <v>2021</v>
      </c>
    </row>
    <row r="1520" customFormat="false" ht="15" hidden="false" customHeight="false" outlineLevel="0" collapsed="false">
      <c r="A1520" s="0" t="s">
        <v>258</v>
      </c>
      <c r="B1520" s="52" t="n">
        <v>44474</v>
      </c>
      <c r="C1520" s="54" t="s">
        <v>592</v>
      </c>
      <c r="D1520" s="0" t="n">
        <v>0.571411375706534</v>
      </c>
      <c r="E1520" s="0" t="n">
        <v>0.163985517313978</v>
      </c>
      <c r="F1520" s="0" t="n">
        <v>0</v>
      </c>
      <c r="G1520" s="0" t="n">
        <v>2021</v>
      </c>
    </row>
    <row r="1521" customFormat="false" ht="15" hidden="false" customHeight="false" outlineLevel="0" collapsed="false">
      <c r="A1521" s="0" t="s">
        <v>258</v>
      </c>
      <c r="B1521" s="52" t="n">
        <v>44475</v>
      </c>
      <c r="C1521" s="54" t="s">
        <v>590</v>
      </c>
      <c r="D1521" s="0" t="n">
        <v>0.694964851179547</v>
      </c>
      <c r="E1521" s="0" t="n">
        <v>0.0040050367591295</v>
      </c>
      <c r="F1521" s="0" t="n">
        <v>0</v>
      </c>
      <c r="G1521" s="0" t="n">
        <v>2021</v>
      </c>
    </row>
    <row r="1522" customFormat="false" ht="15" hidden="false" customHeight="false" outlineLevel="0" collapsed="false">
      <c r="A1522" s="0" t="s">
        <v>258</v>
      </c>
      <c r="B1522" s="52" t="n">
        <v>44475</v>
      </c>
      <c r="C1522" s="54" t="s">
        <v>591</v>
      </c>
      <c r="D1522" s="0" t="n">
        <v>0.0047244929393519</v>
      </c>
      <c r="E1522" s="0" t="n">
        <v>0.256270791397474</v>
      </c>
      <c r="F1522" s="0" t="n">
        <v>0</v>
      </c>
      <c r="G1522" s="0" t="n">
        <v>2021</v>
      </c>
    </row>
    <row r="1523" customFormat="false" ht="15" hidden="false" customHeight="false" outlineLevel="0" collapsed="false">
      <c r="A1523" s="0" t="s">
        <v>258</v>
      </c>
      <c r="B1523" s="52" t="n">
        <v>44475</v>
      </c>
      <c r="C1523" s="54" t="s">
        <v>592</v>
      </c>
      <c r="D1523" s="0" t="n">
        <v>0.0019778779099103</v>
      </c>
      <c r="E1523" s="0" t="n">
        <v>0.0812963666937674</v>
      </c>
      <c r="F1523" s="0" t="n">
        <v>0</v>
      </c>
      <c r="G1523" s="0" t="n">
        <v>2021</v>
      </c>
    </row>
    <row r="1524" customFormat="false" ht="15" hidden="false" customHeight="false" outlineLevel="0" collapsed="false">
      <c r="A1524" s="0" t="s">
        <v>258</v>
      </c>
      <c r="B1524" s="52" t="n">
        <v>44476</v>
      </c>
      <c r="C1524" s="54" t="s">
        <v>590</v>
      </c>
      <c r="D1524" s="0" t="n">
        <v>0.0161821258397513</v>
      </c>
      <c r="E1524" s="0" t="n">
        <v>0.17811329579636</v>
      </c>
      <c r="F1524" s="0" t="n">
        <v>0</v>
      </c>
      <c r="G1524" s="0" t="n">
        <v>2021</v>
      </c>
    </row>
    <row r="1525" customFormat="false" ht="15" hidden="false" customHeight="false" outlineLevel="0" collapsed="false">
      <c r="A1525" s="0" t="s">
        <v>258</v>
      </c>
      <c r="B1525" s="52" t="n">
        <v>44476</v>
      </c>
      <c r="C1525" s="54" t="s">
        <v>591</v>
      </c>
      <c r="D1525" s="0" t="n">
        <v>0</v>
      </c>
      <c r="E1525" s="0" t="n">
        <v>0.11127192083403</v>
      </c>
      <c r="F1525" s="0" t="n">
        <v>0</v>
      </c>
      <c r="G1525" s="0" t="n">
        <v>2021</v>
      </c>
    </row>
    <row r="1526" customFormat="false" ht="15" hidden="false" customHeight="false" outlineLevel="0" collapsed="false">
      <c r="A1526" s="0" t="s">
        <v>258</v>
      </c>
      <c r="B1526" s="52" t="n">
        <v>44476</v>
      </c>
      <c r="C1526" s="54" t="s">
        <v>592</v>
      </c>
      <c r="D1526" s="0" t="n">
        <v>0.289329198443262</v>
      </c>
      <c r="E1526" s="0" t="n">
        <v>0.165233578255612</v>
      </c>
      <c r="F1526" s="0" t="n">
        <v>0</v>
      </c>
      <c r="G1526" s="0" t="n">
        <v>2021</v>
      </c>
    </row>
    <row r="1527" customFormat="false" ht="15" hidden="false" customHeight="false" outlineLevel="0" collapsed="false">
      <c r="A1527" s="0" t="s">
        <v>258</v>
      </c>
      <c r="B1527" s="52" t="n">
        <v>44477</v>
      </c>
      <c r="C1527" s="54" t="s">
        <v>590</v>
      </c>
      <c r="D1527" s="0" t="n">
        <v>0.0292332077832889</v>
      </c>
      <c r="E1527" s="0" t="n">
        <v>0.248528228874656</v>
      </c>
      <c r="F1527" s="0" t="n">
        <v>0</v>
      </c>
      <c r="G1527" s="0" t="n">
        <v>2021</v>
      </c>
    </row>
    <row r="1528" customFormat="false" ht="15" hidden="false" customHeight="false" outlineLevel="0" collapsed="false">
      <c r="A1528" s="0" t="s">
        <v>258</v>
      </c>
      <c r="B1528" s="52" t="n">
        <v>44477</v>
      </c>
      <c r="C1528" s="54" t="s">
        <v>591</v>
      </c>
      <c r="D1528" s="0" t="n">
        <v>0</v>
      </c>
      <c r="E1528" s="0" t="n">
        <v>0.100622421913046</v>
      </c>
      <c r="F1528" s="0" t="n">
        <v>0</v>
      </c>
      <c r="G1528" s="0" t="n">
        <v>2021</v>
      </c>
    </row>
    <row r="1529" customFormat="false" ht="15" hidden="false" customHeight="false" outlineLevel="0" collapsed="false">
      <c r="A1529" s="0" t="s">
        <v>258</v>
      </c>
      <c r="B1529" s="52" t="n">
        <v>44477</v>
      </c>
      <c r="C1529" s="54" t="s">
        <v>592</v>
      </c>
      <c r="D1529" s="0" t="n">
        <v>0.036317823411019</v>
      </c>
      <c r="E1529" s="0" t="n">
        <v>0.200859323325547</v>
      </c>
      <c r="F1529" s="0" t="n">
        <v>0</v>
      </c>
      <c r="G1529" s="0" t="n">
        <v>2021</v>
      </c>
    </row>
    <row r="1530" customFormat="false" ht="15" hidden="false" customHeight="false" outlineLevel="0" collapsed="false">
      <c r="A1530" s="0" t="s">
        <v>258</v>
      </c>
      <c r="B1530" s="52" t="n">
        <v>44478</v>
      </c>
      <c r="C1530" s="54" t="s">
        <v>590</v>
      </c>
      <c r="D1530" s="0" t="n">
        <v>0.0594311005556788</v>
      </c>
      <c r="E1530" s="0" t="n">
        <v>0.104718053530216</v>
      </c>
      <c r="F1530" s="0" t="n">
        <v>1</v>
      </c>
      <c r="G1530" s="0" t="n">
        <v>2021</v>
      </c>
    </row>
    <row r="1531" customFormat="false" ht="15" hidden="false" customHeight="false" outlineLevel="0" collapsed="false">
      <c r="A1531" s="0" t="s">
        <v>258</v>
      </c>
      <c r="B1531" s="52" t="n">
        <v>44478</v>
      </c>
      <c r="C1531" s="54" t="s">
        <v>591</v>
      </c>
      <c r="D1531" s="0" t="n">
        <v>0.0755706999418715</v>
      </c>
      <c r="E1531" s="0" t="n">
        <v>0.1055628879343</v>
      </c>
      <c r="F1531" s="0" t="n">
        <v>1</v>
      </c>
      <c r="G1531" s="0" t="n">
        <v>2021</v>
      </c>
    </row>
    <row r="1532" customFormat="false" ht="15" hidden="false" customHeight="false" outlineLevel="0" collapsed="false">
      <c r="A1532" s="0" t="s">
        <v>258</v>
      </c>
      <c r="B1532" s="52" t="n">
        <v>44484</v>
      </c>
      <c r="C1532" s="54" t="s">
        <v>592</v>
      </c>
      <c r="D1532" s="0" t="n">
        <v>0.99525090869749</v>
      </c>
      <c r="E1532" s="0" t="n">
        <v>0</v>
      </c>
      <c r="F1532" s="0" t="n">
        <v>0</v>
      </c>
      <c r="G1532" s="0" t="n">
        <v>2021</v>
      </c>
    </row>
    <row r="1533" customFormat="false" ht="15" hidden="false" customHeight="false" outlineLevel="0" collapsed="false">
      <c r="A1533" s="0" t="s">
        <v>258</v>
      </c>
      <c r="B1533" s="52" t="n">
        <v>44485</v>
      </c>
      <c r="C1533" s="54" t="s">
        <v>590</v>
      </c>
      <c r="D1533" s="0" t="n">
        <v>0.0399378930967524</v>
      </c>
      <c r="E1533" s="0" t="n">
        <v>0.0947452533610081</v>
      </c>
      <c r="F1533" s="0" t="n">
        <v>1</v>
      </c>
      <c r="G1533" s="0" t="n">
        <v>2021</v>
      </c>
    </row>
    <row r="1534" customFormat="false" ht="15" hidden="false" customHeight="false" outlineLevel="0" collapsed="false">
      <c r="A1534" s="0" t="s">
        <v>258</v>
      </c>
      <c r="B1534" s="52" t="n">
        <v>44485</v>
      </c>
      <c r="C1534" s="54" t="s">
        <v>591</v>
      </c>
      <c r="D1534" s="0" t="n">
        <v>0.305284364595045</v>
      </c>
      <c r="E1534" s="0" t="n">
        <v>0.142920524400711</v>
      </c>
      <c r="F1534" s="0" t="n">
        <v>1</v>
      </c>
      <c r="G1534" s="0" t="n">
        <v>2021</v>
      </c>
    </row>
    <row r="1535" customFormat="false" ht="15" hidden="false" customHeight="false" outlineLevel="0" collapsed="false">
      <c r="A1535" s="0" t="s">
        <v>258</v>
      </c>
      <c r="B1535" s="52" t="n">
        <v>44486</v>
      </c>
      <c r="C1535" s="54" t="s">
        <v>590</v>
      </c>
      <c r="D1535" s="0" t="n">
        <v>0.27343310689017</v>
      </c>
      <c r="E1535" s="0" t="n">
        <v>0.0093958336594456</v>
      </c>
      <c r="F1535" s="0" t="n">
        <v>1</v>
      </c>
      <c r="G1535" s="0" t="n">
        <v>2021</v>
      </c>
    </row>
    <row r="1536" customFormat="false" ht="15" hidden="false" customHeight="false" outlineLevel="0" collapsed="false">
      <c r="A1536" s="0" t="s">
        <v>258</v>
      </c>
      <c r="B1536" s="52" t="n">
        <v>44486</v>
      </c>
      <c r="C1536" s="54" t="s">
        <v>591</v>
      </c>
      <c r="D1536" s="0" t="n">
        <v>0.0202520538682559</v>
      </c>
      <c r="E1536" s="0" t="n">
        <v>0.0863518909512743</v>
      </c>
      <c r="F1536" s="0" t="n">
        <v>1</v>
      </c>
      <c r="G1536" s="0" t="n">
        <v>2021</v>
      </c>
    </row>
    <row r="1537" customFormat="false" ht="15" hidden="false" customHeight="false" outlineLevel="0" collapsed="false">
      <c r="A1537" s="0" t="s">
        <v>258</v>
      </c>
      <c r="B1537" s="52" t="n">
        <v>44486</v>
      </c>
      <c r="C1537" s="54" t="s">
        <v>592</v>
      </c>
      <c r="D1537" s="0" t="n">
        <v>0.142663167430799</v>
      </c>
      <c r="E1537" s="0" t="n">
        <v>0.130325155854709</v>
      </c>
      <c r="F1537" s="0" t="n">
        <v>1</v>
      </c>
      <c r="G1537" s="0" t="n">
        <v>2021</v>
      </c>
    </row>
    <row r="1538" customFormat="false" ht="15" hidden="false" customHeight="false" outlineLevel="0" collapsed="false">
      <c r="A1538" s="0" t="s">
        <v>258</v>
      </c>
      <c r="B1538" s="52" t="n">
        <v>44487</v>
      </c>
      <c r="C1538" s="54" t="s">
        <v>590</v>
      </c>
      <c r="D1538" s="0" t="n">
        <v>0.0007609834843747</v>
      </c>
      <c r="E1538" s="0" t="n">
        <v>0.32378139790277</v>
      </c>
      <c r="F1538" s="0" t="n">
        <v>0</v>
      </c>
      <c r="G1538" s="0" t="n">
        <v>2021</v>
      </c>
    </row>
    <row r="1539" customFormat="false" ht="15" hidden="false" customHeight="false" outlineLevel="0" collapsed="false">
      <c r="A1539" s="0" t="s">
        <v>258</v>
      </c>
      <c r="B1539" s="52" t="n">
        <v>44487</v>
      </c>
      <c r="C1539" s="54" t="s">
        <v>591</v>
      </c>
      <c r="D1539" s="0" t="n">
        <v>0.0628638305899571</v>
      </c>
      <c r="E1539" s="0" t="n">
        <v>0.178378025226099</v>
      </c>
      <c r="F1539" s="0" t="n">
        <v>0</v>
      </c>
      <c r="G1539" s="0" t="n">
        <v>2021</v>
      </c>
    </row>
    <row r="1540" customFormat="false" ht="15" hidden="false" customHeight="false" outlineLevel="0" collapsed="false">
      <c r="A1540" s="0" t="s">
        <v>258</v>
      </c>
      <c r="B1540" s="52" t="n">
        <v>44487</v>
      </c>
      <c r="C1540" s="54" t="s">
        <v>592</v>
      </c>
      <c r="D1540" s="0" t="n">
        <v>0.0262141159986771</v>
      </c>
      <c r="E1540" s="0" t="n">
        <v>0.0849102346377271</v>
      </c>
      <c r="F1540" s="0" t="n">
        <v>0</v>
      </c>
      <c r="G1540" s="0" t="n">
        <v>2021</v>
      </c>
    </row>
    <row r="1541" customFormat="false" ht="15" hidden="false" customHeight="false" outlineLevel="0" collapsed="false">
      <c r="A1541" s="0" t="s">
        <v>258</v>
      </c>
      <c r="B1541" s="52" t="n">
        <v>44488</v>
      </c>
      <c r="C1541" s="54" t="s">
        <v>590</v>
      </c>
      <c r="D1541" s="0" t="n">
        <v>0.0020256757591347</v>
      </c>
      <c r="E1541" s="0" t="n">
        <v>0.115973270217824</v>
      </c>
      <c r="F1541" s="0" t="n">
        <v>0</v>
      </c>
      <c r="G1541" s="0" t="n">
        <v>2021</v>
      </c>
    </row>
    <row r="1542" customFormat="false" ht="15" hidden="false" customHeight="false" outlineLevel="0" collapsed="false">
      <c r="A1542" s="0" t="s">
        <v>258</v>
      </c>
      <c r="B1542" s="52" t="n">
        <v>44488</v>
      </c>
      <c r="C1542" s="54" t="s">
        <v>591</v>
      </c>
      <c r="D1542" s="0" t="n">
        <v>0.189522451466079</v>
      </c>
      <c r="E1542" s="0" t="n">
        <v>0.15944874717964</v>
      </c>
      <c r="F1542" s="0" t="n">
        <v>0</v>
      </c>
      <c r="G1542" s="0" t="n">
        <v>2021</v>
      </c>
    </row>
    <row r="1543" customFormat="false" ht="15" hidden="false" customHeight="false" outlineLevel="0" collapsed="false">
      <c r="A1543" s="0" t="s">
        <v>258</v>
      </c>
      <c r="B1543" s="52" t="n">
        <v>44488</v>
      </c>
      <c r="C1543" s="54" t="s">
        <v>592</v>
      </c>
      <c r="D1543" s="0" t="n">
        <v>0.194652022489172</v>
      </c>
      <c r="E1543" s="0" t="n">
        <v>0.0862232065713007</v>
      </c>
      <c r="F1543" s="0" t="n">
        <v>0</v>
      </c>
      <c r="G1543" s="0" t="n">
        <v>2021</v>
      </c>
    </row>
    <row r="1544" customFormat="false" ht="15" hidden="false" customHeight="false" outlineLevel="0" collapsed="false">
      <c r="A1544" s="0" t="s">
        <v>258</v>
      </c>
      <c r="B1544" s="52" t="n">
        <v>44489</v>
      </c>
      <c r="C1544" s="54" t="s">
        <v>590</v>
      </c>
      <c r="D1544" s="0" t="n">
        <v>0.313078328082325</v>
      </c>
      <c r="E1544" s="0" t="n">
        <v>0.0955199683798583</v>
      </c>
      <c r="F1544" s="0" t="n">
        <v>0</v>
      </c>
      <c r="G1544" s="0" t="n">
        <v>2021</v>
      </c>
    </row>
    <row r="1545" customFormat="false" ht="15" hidden="false" customHeight="false" outlineLevel="0" collapsed="false">
      <c r="A1545" s="0" t="s">
        <v>258</v>
      </c>
      <c r="B1545" s="52" t="n">
        <v>44489</v>
      </c>
      <c r="C1545" s="54" t="s">
        <v>591</v>
      </c>
      <c r="D1545" s="0" t="n">
        <v>0.0076439368756767</v>
      </c>
      <c r="E1545" s="0" t="n">
        <v>0.0575344959783607</v>
      </c>
      <c r="F1545" s="0" t="n">
        <v>0</v>
      </c>
      <c r="G1545" s="0" t="n">
        <v>2021</v>
      </c>
    </row>
    <row r="1546" customFormat="false" ht="15" hidden="false" customHeight="false" outlineLevel="0" collapsed="false">
      <c r="A1546" s="0" t="s">
        <v>258</v>
      </c>
      <c r="B1546" s="52" t="n">
        <v>44489</v>
      </c>
      <c r="C1546" s="54" t="s">
        <v>592</v>
      </c>
      <c r="D1546" s="0" t="n">
        <v>0.0012352164912346</v>
      </c>
      <c r="E1546" s="0" t="n">
        <v>0.141554850435041</v>
      </c>
      <c r="F1546" s="0" t="n">
        <v>0</v>
      </c>
      <c r="G1546" s="0" t="n">
        <v>2021</v>
      </c>
    </row>
    <row r="1547" customFormat="false" ht="15" hidden="false" customHeight="false" outlineLevel="0" collapsed="false">
      <c r="A1547" s="0" t="s">
        <v>258</v>
      </c>
      <c r="B1547" s="52" t="n">
        <v>44490</v>
      </c>
      <c r="C1547" s="54" t="s">
        <v>590</v>
      </c>
      <c r="D1547" s="0" t="n">
        <v>0.0023931988850144</v>
      </c>
      <c r="E1547" s="0" t="n">
        <v>0.0510214737660766</v>
      </c>
      <c r="F1547" s="0" t="n">
        <v>0</v>
      </c>
      <c r="G1547" s="0" t="n">
        <v>2021</v>
      </c>
    </row>
    <row r="1548" customFormat="false" ht="15" hidden="false" customHeight="false" outlineLevel="0" collapsed="false">
      <c r="A1548" s="0" t="s">
        <v>258</v>
      </c>
      <c r="B1548" s="52" t="n">
        <v>44490</v>
      </c>
      <c r="C1548" s="54" t="s">
        <v>591</v>
      </c>
      <c r="D1548" s="0" t="n">
        <v>0.314824478590151</v>
      </c>
      <c r="E1548" s="0" t="n">
        <v>0.0383307829115582</v>
      </c>
      <c r="F1548" s="0" t="n">
        <v>0</v>
      </c>
      <c r="G1548" s="0" t="n">
        <v>2021</v>
      </c>
    </row>
    <row r="1549" customFormat="false" ht="15" hidden="false" customHeight="false" outlineLevel="0" collapsed="false">
      <c r="A1549" s="0" t="s">
        <v>258</v>
      </c>
      <c r="B1549" s="52" t="n">
        <v>44490</v>
      </c>
      <c r="C1549" s="54" t="s">
        <v>592</v>
      </c>
      <c r="D1549" s="0" t="n">
        <v>0</v>
      </c>
      <c r="E1549" s="0" t="n">
        <v>0.146577224141284</v>
      </c>
      <c r="F1549" s="0" t="n">
        <v>0</v>
      </c>
      <c r="G1549" s="0" t="n">
        <v>2021</v>
      </c>
    </row>
    <row r="1550" customFormat="false" ht="15" hidden="false" customHeight="false" outlineLevel="0" collapsed="false">
      <c r="A1550" s="0" t="s">
        <v>258</v>
      </c>
      <c r="B1550" s="52" t="n">
        <v>44491</v>
      </c>
      <c r="C1550" s="54" t="s">
        <v>590</v>
      </c>
      <c r="D1550" s="0" t="n">
        <v>0.0574003653011831</v>
      </c>
      <c r="E1550" s="0" t="n">
        <v>0.231825694887461</v>
      </c>
      <c r="F1550" s="0" t="n">
        <v>0</v>
      </c>
      <c r="G1550" s="0" t="n">
        <v>2021</v>
      </c>
    </row>
    <row r="1551" customFormat="false" ht="15" hidden="false" customHeight="false" outlineLevel="0" collapsed="false">
      <c r="A1551" s="0" t="s">
        <v>258</v>
      </c>
      <c r="B1551" s="52" t="n">
        <v>44491</v>
      </c>
      <c r="C1551" s="54" t="s">
        <v>591</v>
      </c>
      <c r="D1551" s="0" t="n">
        <v>0.12353678712999</v>
      </c>
      <c r="E1551" s="0" t="n">
        <v>0.112001947936792</v>
      </c>
      <c r="F1551" s="0" t="n">
        <v>0</v>
      </c>
      <c r="G1551" s="0" t="n">
        <v>2021</v>
      </c>
    </row>
    <row r="1552" customFormat="false" ht="15" hidden="false" customHeight="false" outlineLevel="0" collapsed="false">
      <c r="A1552" s="0" t="s">
        <v>258</v>
      </c>
      <c r="B1552" s="52" t="n">
        <v>44491</v>
      </c>
      <c r="C1552" s="54" t="s">
        <v>592</v>
      </c>
      <c r="D1552" s="0" t="n">
        <v>0</v>
      </c>
      <c r="E1552" s="0" t="n">
        <v>0.0957680057527501</v>
      </c>
      <c r="F1552" s="0" t="n">
        <v>0</v>
      </c>
      <c r="G1552" s="0" t="n">
        <v>2021</v>
      </c>
    </row>
    <row r="1553" customFormat="false" ht="15" hidden="false" customHeight="false" outlineLevel="0" collapsed="false">
      <c r="A1553" s="0" t="s">
        <v>258</v>
      </c>
      <c r="B1553" s="52" t="n">
        <v>44492</v>
      </c>
      <c r="C1553" s="54" t="s">
        <v>590</v>
      </c>
      <c r="D1553" s="0" t="n">
        <v>0.221137256403636</v>
      </c>
      <c r="E1553" s="0" t="n">
        <v>0.153931453199592</v>
      </c>
      <c r="F1553" s="0" t="n">
        <v>1</v>
      </c>
      <c r="G1553" s="0" t="n">
        <v>2021</v>
      </c>
    </row>
    <row r="1554" customFormat="false" ht="15" hidden="false" customHeight="false" outlineLevel="0" collapsed="false">
      <c r="A1554" s="0" t="s">
        <v>258</v>
      </c>
      <c r="B1554" s="52" t="n">
        <v>44492</v>
      </c>
      <c r="C1554" s="54" t="s">
        <v>591</v>
      </c>
      <c r="D1554" s="0" t="n">
        <v>0</v>
      </c>
      <c r="E1554" s="0" t="n">
        <v>0.113534300517643</v>
      </c>
      <c r="F1554" s="0" t="n">
        <v>1</v>
      </c>
      <c r="G1554" s="0" t="n">
        <v>2021</v>
      </c>
    </row>
    <row r="1555" customFormat="false" ht="15" hidden="false" customHeight="false" outlineLevel="0" collapsed="false">
      <c r="A1555" s="0" t="s">
        <v>258</v>
      </c>
      <c r="B1555" s="52" t="n">
        <v>44493</v>
      </c>
      <c r="C1555" s="54" t="s">
        <v>590</v>
      </c>
      <c r="D1555" s="0" t="n">
        <v>0.295839454318523</v>
      </c>
      <c r="E1555" s="0" t="n">
        <v>0.0090091565458409</v>
      </c>
      <c r="F1555" s="0" t="n">
        <v>1</v>
      </c>
      <c r="G1555" s="0" t="n">
        <v>2021</v>
      </c>
    </row>
    <row r="1556" customFormat="false" ht="15" hidden="false" customHeight="false" outlineLevel="0" collapsed="false">
      <c r="A1556" s="0" t="s">
        <v>258</v>
      </c>
      <c r="B1556" s="52" t="n">
        <v>44493</v>
      </c>
      <c r="C1556" s="54" t="s">
        <v>591</v>
      </c>
      <c r="D1556" s="0" t="n">
        <v>0.0334911096016263</v>
      </c>
      <c r="E1556" s="0" t="n">
        <v>0.211598860036107</v>
      </c>
      <c r="F1556" s="0" t="n">
        <v>1</v>
      </c>
      <c r="G1556" s="0" t="n">
        <v>2021</v>
      </c>
    </row>
    <row r="1557" customFormat="false" ht="15" hidden="false" customHeight="false" outlineLevel="0" collapsed="false">
      <c r="A1557" s="0" t="s">
        <v>258</v>
      </c>
      <c r="B1557" s="52" t="n">
        <v>44493</v>
      </c>
      <c r="C1557" s="54" t="s">
        <v>592</v>
      </c>
      <c r="D1557" s="0" t="n">
        <v>0</v>
      </c>
      <c r="E1557" s="0" t="n">
        <v>0.076734482314161</v>
      </c>
      <c r="F1557" s="0" t="n">
        <v>1</v>
      </c>
      <c r="G1557" s="0" t="n">
        <v>2021</v>
      </c>
    </row>
    <row r="1558" customFormat="false" ht="15" hidden="false" customHeight="false" outlineLevel="0" collapsed="false">
      <c r="A1558" s="0" t="s">
        <v>258</v>
      </c>
      <c r="B1558" s="52" t="n">
        <v>44494</v>
      </c>
      <c r="C1558" s="54" t="s">
        <v>590</v>
      </c>
      <c r="D1558" s="0" t="n">
        <v>0.0105713353159784</v>
      </c>
      <c r="E1558" s="0" t="n">
        <v>0.238745710014675</v>
      </c>
      <c r="F1558" s="0" t="n">
        <v>0</v>
      </c>
      <c r="G1558" s="0" t="n">
        <v>2021</v>
      </c>
    </row>
    <row r="1559" customFormat="false" ht="15" hidden="false" customHeight="false" outlineLevel="0" collapsed="false">
      <c r="A1559" s="0" t="s">
        <v>258</v>
      </c>
      <c r="B1559" s="52" t="n">
        <v>44494</v>
      </c>
      <c r="C1559" s="54" t="s">
        <v>591</v>
      </c>
      <c r="D1559" s="0" t="n">
        <v>0.0048146914486954</v>
      </c>
      <c r="E1559" s="0" t="n">
        <v>0.144277194872864</v>
      </c>
      <c r="F1559" s="0" t="n">
        <v>0</v>
      </c>
      <c r="G1559" s="0" t="n">
        <v>2021</v>
      </c>
    </row>
    <row r="1560" customFormat="false" ht="15" hidden="false" customHeight="false" outlineLevel="0" collapsed="false">
      <c r="A1560" s="0" t="s">
        <v>258</v>
      </c>
      <c r="B1560" s="52" t="n">
        <v>44494</v>
      </c>
      <c r="C1560" s="54" t="s">
        <v>592</v>
      </c>
      <c r="D1560" s="0" t="n">
        <v>0.0173968663904261</v>
      </c>
      <c r="E1560" s="0" t="n">
        <v>0.278153211151858</v>
      </c>
      <c r="F1560" s="0" t="n">
        <v>0</v>
      </c>
      <c r="G1560" s="0" t="n">
        <v>2021</v>
      </c>
    </row>
    <row r="1561" customFormat="false" ht="15" hidden="false" customHeight="false" outlineLevel="0" collapsed="false">
      <c r="A1561" s="0" t="s">
        <v>258</v>
      </c>
      <c r="B1561" s="52" t="n">
        <v>44495</v>
      </c>
      <c r="C1561" s="54" t="s">
        <v>590</v>
      </c>
      <c r="D1561" s="0" t="n">
        <v>0.168248826871796</v>
      </c>
      <c r="E1561" s="0" t="n">
        <v>0.232571390590866</v>
      </c>
      <c r="F1561" s="0" t="n">
        <v>0</v>
      </c>
      <c r="G1561" s="0" t="n">
        <v>2021</v>
      </c>
    </row>
    <row r="1562" customFormat="false" ht="15" hidden="false" customHeight="false" outlineLevel="0" collapsed="false">
      <c r="A1562" s="0" t="s">
        <v>258</v>
      </c>
      <c r="B1562" s="52" t="n">
        <v>44495</v>
      </c>
      <c r="C1562" s="54" t="s">
        <v>591</v>
      </c>
      <c r="D1562" s="0" t="n">
        <v>0.0036898987364861</v>
      </c>
      <c r="E1562" s="0" t="n">
        <v>0.0870884649106321</v>
      </c>
      <c r="F1562" s="0" t="n">
        <v>0</v>
      </c>
      <c r="G1562" s="0" t="n">
        <v>2021</v>
      </c>
    </row>
    <row r="1563" customFormat="false" ht="15" hidden="false" customHeight="false" outlineLevel="0" collapsed="false">
      <c r="A1563" s="0" t="s">
        <v>258</v>
      </c>
      <c r="B1563" s="52" t="n">
        <v>44495</v>
      </c>
      <c r="C1563" s="54" t="s">
        <v>592</v>
      </c>
      <c r="D1563" s="0" t="n">
        <v>0.545807450469159</v>
      </c>
      <c r="E1563" s="0" t="n">
        <v>0.0397178281088239</v>
      </c>
      <c r="F1563" s="0" t="n">
        <v>0</v>
      </c>
      <c r="G1563" s="0" t="n">
        <v>2021</v>
      </c>
    </row>
    <row r="1564" customFormat="false" ht="15" hidden="false" customHeight="false" outlineLevel="0" collapsed="false">
      <c r="A1564" s="0" t="s">
        <v>258</v>
      </c>
      <c r="B1564" s="52" t="n">
        <v>44496</v>
      </c>
      <c r="C1564" s="54" t="s">
        <v>590</v>
      </c>
      <c r="D1564" s="0" t="n">
        <v>0.274951002844596</v>
      </c>
      <c r="E1564" s="0" t="n">
        <v>0.0308647904518382</v>
      </c>
      <c r="F1564" s="0" t="n">
        <v>0</v>
      </c>
      <c r="G1564" s="0" t="n">
        <v>2021</v>
      </c>
    </row>
    <row r="1565" customFormat="false" ht="15" hidden="false" customHeight="false" outlineLevel="0" collapsed="false">
      <c r="A1565" s="0" t="s">
        <v>258</v>
      </c>
      <c r="B1565" s="52" t="n">
        <v>44496</v>
      </c>
      <c r="C1565" s="54" t="s">
        <v>591</v>
      </c>
      <c r="D1565" s="0" t="n">
        <v>0</v>
      </c>
      <c r="E1565" s="0" t="n">
        <v>0.0828387703159538</v>
      </c>
      <c r="F1565" s="0" t="n">
        <v>0</v>
      </c>
      <c r="G1565" s="0" t="n">
        <v>2021</v>
      </c>
    </row>
    <row r="1566" customFormat="false" ht="15" hidden="false" customHeight="false" outlineLevel="0" collapsed="false">
      <c r="A1566" s="0" t="s">
        <v>258</v>
      </c>
      <c r="B1566" s="52" t="n">
        <v>44496</v>
      </c>
      <c r="C1566" s="54" t="s">
        <v>592</v>
      </c>
      <c r="D1566" s="0" t="n">
        <v>0</v>
      </c>
      <c r="E1566" s="0" t="n">
        <v>0.101379800787962</v>
      </c>
      <c r="F1566" s="0" t="n">
        <v>0</v>
      </c>
      <c r="G1566" s="0" t="n">
        <v>2021</v>
      </c>
    </row>
    <row r="1567" customFormat="false" ht="15" hidden="false" customHeight="false" outlineLevel="0" collapsed="false">
      <c r="A1567" s="0" t="s">
        <v>258</v>
      </c>
      <c r="B1567" s="52" t="n">
        <v>44497</v>
      </c>
      <c r="C1567" s="54" t="s">
        <v>590</v>
      </c>
      <c r="D1567" s="0" t="n">
        <v>0.0086466831430158</v>
      </c>
      <c r="E1567" s="0" t="n">
        <v>0.107325507243352</v>
      </c>
      <c r="F1567" s="0" t="n">
        <v>0</v>
      </c>
      <c r="G1567" s="0" t="n">
        <v>2021</v>
      </c>
    </row>
    <row r="1568" customFormat="false" ht="15" hidden="false" customHeight="false" outlineLevel="0" collapsed="false">
      <c r="A1568" s="0" t="s">
        <v>258</v>
      </c>
      <c r="B1568" s="52" t="n">
        <v>44497</v>
      </c>
      <c r="C1568" s="54" t="s">
        <v>591</v>
      </c>
      <c r="D1568" s="0" t="n">
        <v>0.0614716482650712</v>
      </c>
      <c r="E1568" s="0" t="n">
        <v>0.0318466240207761</v>
      </c>
      <c r="F1568" s="0" t="n">
        <v>0</v>
      </c>
      <c r="G1568" s="0" t="n">
        <v>2021</v>
      </c>
    </row>
    <row r="1569" customFormat="false" ht="15" hidden="false" customHeight="false" outlineLevel="0" collapsed="false">
      <c r="A1569" s="0" t="s">
        <v>258</v>
      </c>
      <c r="B1569" s="52" t="n">
        <v>44497</v>
      </c>
      <c r="C1569" s="54" t="s">
        <v>592</v>
      </c>
      <c r="D1569" s="0" t="n">
        <v>0.204324459604957</v>
      </c>
      <c r="E1569" s="0" t="n">
        <v>0.0460651461893086</v>
      </c>
      <c r="F1569" s="0" t="n">
        <v>0</v>
      </c>
      <c r="G1569" s="0" t="n">
        <v>2021</v>
      </c>
    </row>
    <row r="1570" customFormat="false" ht="15" hidden="false" customHeight="false" outlineLevel="0" collapsed="false">
      <c r="A1570" s="0" t="s">
        <v>258</v>
      </c>
      <c r="B1570" s="52" t="n">
        <v>44498</v>
      </c>
      <c r="C1570" s="54" t="s">
        <v>590</v>
      </c>
      <c r="D1570" s="0" t="n">
        <v>0</v>
      </c>
      <c r="E1570" s="0" t="n">
        <v>0.239917569370477</v>
      </c>
      <c r="F1570" s="0" t="n">
        <v>0</v>
      </c>
      <c r="G1570" s="0" t="n">
        <v>2021</v>
      </c>
    </row>
    <row r="1571" customFormat="false" ht="15" hidden="false" customHeight="false" outlineLevel="0" collapsed="false">
      <c r="A1571" s="0" t="s">
        <v>258</v>
      </c>
      <c r="B1571" s="52" t="n">
        <v>44498</v>
      </c>
      <c r="C1571" s="54" t="s">
        <v>591</v>
      </c>
      <c r="D1571" s="0" t="n">
        <v>0</v>
      </c>
      <c r="E1571" s="0" t="n">
        <v>0.0382124931811496</v>
      </c>
      <c r="F1571" s="0" t="n">
        <v>0</v>
      </c>
      <c r="G1571" s="0" t="n">
        <v>2021</v>
      </c>
    </row>
    <row r="1572" customFormat="false" ht="15" hidden="false" customHeight="false" outlineLevel="0" collapsed="false">
      <c r="A1572" s="0" t="s">
        <v>258</v>
      </c>
      <c r="B1572" s="52" t="n">
        <v>44498</v>
      </c>
      <c r="C1572" s="54" t="s">
        <v>592</v>
      </c>
      <c r="D1572" s="0" t="n">
        <v>0.090334599079625</v>
      </c>
      <c r="E1572" s="0" t="n">
        <v>0.112251739326924</v>
      </c>
      <c r="F1572" s="0" t="n">
        <v>0</v>
      </c>
      <c r="G1572" s="0" t="n">
        <v>2021</v>
      </c>
    </row>
    <row r="1573" customFormat="false" ht="15" hidden="false" customHeight="false" outlineLevel="0" collapsed="false">
      <c r="A1573" s="0" t="s">
        <v>258</v>
      </c>
      <c r="B1573" s="52" t="n">
        <v>44499</v>
      </c>
      <c r="C1573" s="54" t="s">
        <v>590</v>
      </c>
      <c r="D1573" s="0" t="n">
        <v>0.349541204051981</v>
      </c>
      <c r="E1573" s="0" t="n">
        <v>0.0150554267229693</v>
      </c>
      <c r="F1573" s="0" t="n">
        <v>1</v>
      </c>
      <c r="G1573" s="0" t="n">
        <v>2021</v>
      </c>
    </row>
    <row r="1574" customFormat="false" ht="15" hidden="false" customHeight="false" outlineLevel="0" collapsed="false">
      <c r="A1574" s="0" t="s">
        <v>258</v>
      </c>
      <c r="B1574" s="52" t="n">
        <v>44500</v>
      </c>
      <c r="C1574" s="54" t="s">
        <v>590</v>
      </c>
      <c r="D1574" s="0" t="n">
        <v>1</v>
      </c>
      <c r="E1574" s="0" t="n">
        <v>0</v>
      </c>
      <c r="F1574" s="0" t="n">
        <v>1</v>
      </c>
      <c r="G1574" s="0" t="n">
        <v>2021</v>
      </c>
    </row>
    <row r="1575" customFormat="false" ht="15" hidden="false" customHeight="false" outlineLevel="0" collapsed="false">
      <c r="A1575" s="0" t="s">
        <v>258</v>
      </c>
      <c r="B1575" s="52" t="n">
        <v>44500</v>
      </c>
      <c r="C1575" s="54" t="s">
        <v>591</v>
      </c>
      <c r="D1575" s="0" t="n">
        <v>1</v>
      </c>
      <c r="E1575" s="0" t="n">
        <v>0</v>
      </c>
      <c r="F1575" s="0" t="n">
        <v>1</v>
      </c>
      <c r="G1575" s="0" t="n">
        <v>2021</v>
      </c>
    </row>
    <row r="1576" customFormat="false" ht="15" hidden="false" customHeight="false" outlineLevel="0" collapsed="false">
      <c r="A1576" s="0" t="s">
        <v>258</v>
      </c>
      <c r="B1576" s="52" t="n">
        <v>44500</v>
      </c>
      <c r="C1576" s="54" t="s">
        <v>592</v>
      </c>
      <c r="D1576" s="0" t="n">
        <v>0.99954940856641</v>
      </c>
      <c r="E1576" s="0" t="n">
        <v>0</v>
      </c>
      <c r="F1576" s="0" t="n">
        <v>1</v>
      </c>
      <c r="G1576" s="0" t="n">
        <v>2021</v>
      </c>
    </row>
    <row r="1577" customFormat="false" ht="15" hidden="false" customHeight="false" outlineLevel="0" collapsed="false">
      <c r="A1577" s="0" t="s">
        <v>258</v>
      </c>
      <c r="B1577" s="52" t="n">
        <v>44501</v>
      </c>
      <c r="C1577" s="54" t="s">
        <v>590</v>
      </c>
      <c r="D1577" s="0" t="n">
        <v>0.3593474546905</v>
      </c>
      <c r="E1577" s="0" t="n">
        <v>0.132079059707686</v>
      </c>
      <c r="F1577" s="0" t="n">
        <v>0</v>
      </c>
      <c r="G1577" s="0" t="n">
        <v>2021</v>
      </c>
    </row>
    <row r="1578" customFormat="false" ht="15" hidden="false" customHeight="false" outlineLevel="0" collapsed="false">
      <c r="A1578" s="0" t="s">
        <v>258</v>
      </c>
      <c r="B1578" s="52" t="n">
        <v>44501</v>
      </c>
      <c r="C1578" s="54" t="s">
        <v>591</v>
      </c>
      <c r="D1578" s="0" t="n">
        <v>0.001631726646631</v>
      </c>
      <c r="E1578" s="0" t="n">
        <v>0.0578541710175434</v>
      </c>
      <c r="F1578" s="0" t="n">
        <v>0</v>
      </c>
      <c r="G1578" s="0" t="n">
        <v>2021</v>
      </c>
    </row>
    <row r="1579" customFormat="false" ht="15" hidden="false" customHeight="false" outlineLevel="0" collapsed="false">
      <c r="A1579" s="0" t="s">
        <v>258</v>
      </c>
      <c r="B1579" s="52" t="n">
        <v>44501</v>
      </c>
      <c r="C1579" s="54" t="s">
        <v>592</v>
      </c>
      <c r="D1579" s="0" t="n">
        <v>0.0150643708547493</v>
      </c>
      <c r="E1579" s="0" t="n">
        <v>0.107434944083104</v>
      </c>
      <c r="F1579" s="0" t="n">
        <v>0</v>
      </c>
      <c r="G1579" s="0" t="n">
        <v>2021</v>
      </c>
    </row>
    <row r="1580" customFormat="false" ht="15" hidden="false" customHeight="false" outlineLevel="0" collapsed="false">
      <c r="A1580" s="0" t="s">
        <v>258</v>
      </c>
      <c r="B1580" s="52" t="n">
        <v>44502</v>
      </c>
      <c r="C1580" s="54" t="s">
        <v>590</v>
      </c>
      <c r="D1580" s="0" t="n">
        <v>0</v>
      </c>
      <c r="E1580" s="0" t="n">
        <v>0.163194837643141</v>
      </c>
      <c r="F1580" s="0" t="n">
        <v>0</v>
      </c>
      <c r="G1580" s="0" t="n">
        <v>2021</v>
      </c>
    </row>
    <row r="1581" customFormat="false" ht="15" hidden="false" customHeight="false" outlineLevel="0" collapsed="false">
      <c r="A1581" s="0" t="s">
        <v>258</v>
      </c>
      <c r="B1581" s="52" t="n">
        <v>44502</v>
      </c>
      <c r="C1581" s="54" t="s">
        <v>591</v>
      </c>
      <c r="D1581" s="0" t="n">
        <v>0.243480441537981</v>
      </c>
      <c r="E1581" s="0" t="n">
        <v>0.164048611168404</v>
      </c>
      <c r="F1581" s="0" t="n">
        <v>0</v>
      </c>
      <c r="G1581" s="0" t="n">
        <v>2021</v>
      </c>
    </row>
    <row r="1582" customFormat="false" ht="15" hidden="false" customHeight="false" outlineLevel="0" collapsed="false">
      <c r="A1582" s="0" t="s">
        <v>258</v>
      </c>
      <c r="B1582" s="52" t="n">
        <v>44502</v>
      </c>
      <c r="C1582" s="54" t="s">
        <v>592</v>
      </c>
      <c r="D1582" s="0" t="n">
        <v>0.0957169226262218</v>
      </c>
      <c r="E1582" s="0" t="n">
        <v>0.0556698484062089</v>
      </c>
      <c r="F1582" s="0" t="n">
        <v>0</v>
      </c>
      <c r="G1582" s="0" t="n">
        <v>2021</v>
      </c>
    </row>
    <row r="1583" customFormat="false" ht="15" hidden="false" customHeight="false" outlineLevel="0" collapsed="false">
      <c r="A1583" s="0" t="s">
        <v>258</v>
      </c>
      <c r="B1583" s="52" t="n">
        <v>44503</v>
      </c>
      <c r="C1583" s="54" t="s">
        <v>590</v>
      </c>
      <c r="D1583" s="0" t="n">
        <v>0</v>
      </c>
      <c r="E1583" s="0" t="n">
        <v>0.203503611615719</v>
      </c>
      <c r="F1583" s="0" t="n">
        <v>0</v>
      </c>
      <c r="G1583" s="0" t="n">
        <v>2021</v>
      </c>
    </row>
    <row r="1584" customFormat="false" ht="15" hidden="false" customHeight="false" outlineLevel="0" collapsed="false">
      <c r="A1584" s="0" t="s">
        <v>258</v>
      </c>
      <c r="B1584" s="52" t="n">
        <v>44503</v>
      </c>
      <c r="C1584" s="54" t="s">
        <v>591</v>
      </c>
      <c r="D1584" s="0" t="n">
        <v>0.0153810663993032</v>
      </c>
      <c r="E1584" s="0" t="n">
        <v>0.0797874980323694</v>
      </c>
      <c r="F1584" s="0" t="n">
        <v>0</v>
      </c>
      <c r="G1584" s="0" t="n">
        <v>2021</v>
      </c>
    </row>
    <row r="1585" customFormat="false" ht="15" hidden="false" customHeight="false" outlineLevel="0" collapsed="false">
      <c r="A1585" s="0" t="s">
        <v>258</v>
      </c>
      <c r="B1585" s="52" t="n">
        <v>44503</v>
      </c>
      <c r="C1585" s="54" t="s">
        <v>592</v>
      </c>
      <c r="D1585" s="0" t="n">
        <v>0.180864873843284</v>
      </c>
      <c r="E1585" s="0" t="n">
        <v>0.0615082800160564</v>
      </c>
      <c r="F1585" s="0" t="n">
        <v>0</v>
      </c>
      <c r="G1585" s="0" t="n">
        <v>2021</v>
      </c>
    </row>
    <row r="1586" customFormat="false" ht="15" hidden="false" customHeight="false" outlineLevel="0" collapsed="false">
      <c r="A1586" s="0" t="s">
        <v>258</v>
      </c>
      <c r="B1586" s="52" t="n">
        <v>44504</v>
      </c>
      <c r="C1586" s="54" t="s">
        <v>590</v>
      </c>
      <c r="D1586" s="0" t="n">
        <v>0</v>
      </c>
      <c r="E1586" s="0" t="n">
        <v>0.154624803314016</v>
      </c>
      <c r="F1586" s="0" t="n">
        <v>0</v>
      </c>
      <c r="G1586" s="0" t="n">
        <v>2021</v>
      </c>
    </row>
    <row r="1587" customFormat="false" ht="15" hidden="false" customHeight="false" outlineLevel="0" collapsed="false">
      <c r="A1587" s="0" t="s">
        <v>258</v>
      </c>
      <c r="B1587" s="52" t="n">
        <v>44504</v>
      </c>
      <c r="C1587" s="54" t="s">
        <v>591</v>
      </c>
      <c r="D1587" s="0" t="n">
        <v>0</v>
      </c>
      <c r="E1587" s="0" t="n">
        <v>0.465244131729026</v>
      </c>
      <c r="F1587" s="0" t="n">
        <v>0</v>
      </c>
      <c r="G1587" s="0" t="n">
        <v>2021</v>
      </c>
    </row>
    <row r="1588" customFormat="false" ht="15" hidden="false" customHeight="false" outlineLevel="0" collapsed="false">
      <c r="A1588" s="0" t="s">
        <v>258</v>
      </c>
      <c r="B1588" s="52" t="n">
        <v>44504</v>
      </c>
      <c r="C1588" s="54" t="s">
        <v>592</v>
      </c>
      <c r="D1588" s="0" t="n">
        <v>0.0007714552239249</v>
      </c>
      <c r="E1588" s="0" t="n">
        <v>0.0484445801748761</v>
      </c>
      <c r="F1588" s="0" t="n">
        <v>0</v>
      </c>
      <c r="G1588" s="0" t="n">
        <v>2021</v>
      </c>
    </row>
    <row r="1589" customFormat="false" ht="15" hidden="false" customHeight="false" outlineLevel="0" collapsed="false">
      <c r="A1589" s="0" t="s">
        <v>258</v>
      </c>
      <c r="B1589" s="52" t="n">
        <v>44505</v>
      </c>
      <c r="C1589" s="54" t="s">
        <v>590</v>
      </c>
      <c r="D1589" s="0" t="n">
        <v>0.128594329487008</v>
      </c>
      <c r="E1589" s="0" t="n">
        <v>0.175755612998026</v>
      </c>
      <c r="F1589" s="0" t="n">
        <v>0</v>
      </c>
      <c r="G1589" s="0" t="n">
        <v>2021</v>
      </c>
    </row>
    <row r="1590" customFormat="false" ht="15" hidden="false" customHeight="false" outlineLevel="0" collapsed="false">
      <c r="A1590" s="0" t="s">
        <v>258</v>
      </c>
      <c r="B1590" s="52" t="n">
        <v>44505</v>
      </c>
      <c r="C1590" s="54" t="s">
        <v>591</v>
      </c>
      <c r="D1590" s="0" t="n">
        <v>0.0135300730732952</v>
      </c>
      <c r="E1590" s="0" t="n">
        <v>0.100177252484782</v>
      </c>
      <c r="F1590" s="0" t="n">
        <v>0</v>
      </c>
      <c r="G1590" s="0" t="n">
        <v>2021</v>
      </c>
    </row>
    <row r="1591" customFormat="false" ht="15" hidden="false" customHeight="false" outlineLevel="0" collapsed="false">
      <c r="A1591" s="0" t="s">
        <v>258</v>
      </c>
      <c r="B1591" s="52" t="n">
        <v>44505</v>
      </c>
      <c r="C1591" s="54" t="s">
        <v>592</v>
      </c>
      <c r="D1591" s="0" t="n">
        <v>0.0139003924552543</v>
      </c>
      <c r="E1591" s="0" t="n">
        <v>0.0370379451373437</v>
      </c>
      <c r="F1591" s="0" t="n">
        <v>0</v>
      </c>
      <c r="G1591" s="0" t="n">
        <v>2021</v>
      </c>
    </row>
    <row r="1592" customFormat="false" ht="15" hidden="false" customHeight="false" outlineLevel="0" collapsed="false">
      <c r="A1592" s="0" t="s">
        <v>258</v>
      </c>
      <c r="B1592" s="52" t="n">
        <v>44506</v>
      </c>
      <c r="C1592" s="54" t="s">
        <v>590</v>
      </c>
      <c r="D1592" s="0" t="n">
        <v>0.0049347389887412</v>
      </c>
      <c r="E1592" s="0" t="n">
        <v>0.13382396948376</v>
      </c>
      <c r="F1592" s="0" t="n">
        <v>1</v>
      </c>
      <c r="G1592" s="0" t="n">
        <v>2021</v>
      </c>
    </row>
    <row r="1593" customFormat="false" ht="15" hidden="false" customHeight="false" outlineLevel="0" collapsed="false">
      <c r="A1593" s="0" t="s">
        <v>258</v>
      </c>
      <c r="B1593" s="52" t="n">
        <v>44506</v>
      </c>
      <c r="C1593" s="54" t="s">
        <v>591</v>
      </c>
      <c r="D1593" s="0" t="n">
        <v>0.17994090740577</v>
      </c>
      <c r="E1593" s="0" t="n">
        <v>0.103437107088341</v>
      </c>
      <c r="F1593" s="0" t="n">
        <v>1</v>
      </c>
      <c r="G1593" s="0" t="n">
        <v>2021</v>
      </c>
    </row>
    <row r="1594" customFormat="false" ht="15" hidden="false" customHeight="false" outlineLevel="0" collapsed="false">
      <c r="A1594" s="0" t="s">
        <v>258</v>
      </c>
      <c r="B1594" s="52" t="n">
        <v>44507</v>
      </c>
      <c r="C1594" s="54" t="s">
        <v>590</v>
      </c>
      <c r="D1594" s="0" t="n">
        <v>0.153697275424689</v>
      </c>
      <c r="E1594" s="0" t="n">
        <v>0</v>
      </c>
      <c r="F1594" s="0" t="n">
        <v>1</v>
      </c>
      <c r="G1594" s="0" t="n">
        <v>2021</v>
      </c>
    </row>
    <row r="1595" customFormat="false" ht="15" hidden="false" customHeight="false" outlineLevel="0" collapsed="false">
      <c r="A1595" s="0" t="s">
        <v>258</v>
      </c>
      <c r="B1595" s="52" t="n">
        <v>44507</v>
      </c>
      <c r="C1595" s="54" t="s">
        <v>591</v>
      </c>
      <c r="D1595" s="0" t="n">
        <v>0</v>
      </c>
      <c r="E1595" s="0" t="n">
        <v>0.0035729101263686</v>
      </c>
      <c r="F1595" s="0" t="n">
        <v>1</v>
      </c>
      <c r="G1595" s="0" t="n">
        <v>2021</v>
      </c>
    </row>
    <row r="1596" customFormat="false" ht="15" hidden="false" customHeight="false" outlineLevel="0" collapsed="false">
      <c r="A1596" s="0" t="s">
        <v>258</v>
      </c>
      <c r="B1596" s="52" t="n">
        <v>44507</v>
      </c>
      <c r="C1596" s="54" t="s">
        <v>592</v>
      </c>
      <c r="D1596" s="0" t="n">
        <v>0.0162487691473776</v>
      </c>
      <c r="E1596" s="0" t="n">
        <v>0.214579974726585</v>
      </c>
      <c r="F1596" s="0" t="n">
        <v>1</v>
      </c>
      <c r="G1596" s="0" t="n">
        <v>2021</v>
      </c>
    </row>
    <row r="1597" customFormat="false" ht="15" hidden="false" customHeight="false" outlineLevel="0" collapsed="false">
      <c r="A1597" s="0" t="s">
        <v>258</v>
      </c>
      <c r="B1597" s="52" t="n">
        <v>44508</v>
      </c>
      <c r="C1597" s="54" t="s">
        <v>590</v>
      </c>
      <c r="D1597" s="0" t="n">
        <v>0.0002303936570242</v>
      </c>
      <c r="E1597" s="0" t="n">
        <v>0.0985295025532814</v>
      </c>
      <c r="F1597" s="0" t="n">
        <v>0</v>
      </c>
      <c r="G1597" s="0" t="n">
        <v>2021</v>
      </c>
    </row>
    <row r="1598" customFormat="false" ht="15" hidden="false" customHeight="false" outlineLevel="0" collapsed="false">
      <c r="A1598" s="0" t="s">
        <v>258</v>
      </c>
      <c r="B1598" s="52" t="n">
        <v>44508</v>
      </c>
      <c r="C1598" s="54" t="s">
        <v>591</v>
      </c>
      <c r="D1598" s="0" t="n">
        <v>0.0549048207225367</v>
      </c>
      <c r="E1598" s="0" t="n">
        <v>0.06047244086354</v>
      </c>
      <c r="F1598" s="0" t="n">
        <v>0</v>
      </c>
      <c r="G1598" s="0" t="n">
        <v>2021</v>
      </c>
    </row>
    <row r="1599" customFormat="false" ht="15" hidden="false" customHeight="false" outlineLevel="0" collapsed="false">
      <c r="A1599" s="0" t="s">
        <v>258</v>
      </c>
      <c r="B1599" s="52" t="n">
        <v>44508</v>
      </c>
      <c r="C1599" s="54" t="s">
        <v>592</v>
      </c>
      <c r="D1599" s="0" t="n">
        <v>0.024974857611553</v>
      </c>
      <c r="E1599" s="0" t="n">
        <v>0.107746557498558</v>
      </c>
      <c r="F1599" s="0" t="n">
        <v>0</v>
      </c>
      <c r="G1599" s="0" t="n">
        <v>2021</v>
      </c>
    </row>
    <row r="1600" customFormat="false" ht="15" hidden="false" customHeight="false" outlineLevel="0" collapsed="false">
      <c r="A1600" s="0" t="s">
        <v>258</v>
      </c>
      <c r="B1600" s="52" t="n">
        <v>44509</v>
      </c>
      <c r="C1600" s="54" t="s">
        <v>590</v>
      </c>
      <c r="D1600" s="0" t="n">
        <v>0</v>
      </c>
      <c r="E1600" s="0" t="n">
        <v>0.136463623806643</v>
      </c>
      <c r="F1600" s="0" t="n">
        <v>0</v>
      </c>
      <c r="G1600" s="0" t="n">
        <v>2021</v>
      </c>
    </row>
    <row r="1601" customFormat="false" ht="15" hidden="false" customHeight="false" outlineLevel="0" collapsed="false">
      <c r="A1601" s="0" t="s">
        <v>258</v>
      </c>
      <c r="B1601" s="52" t="n">
        <v>44509</v>
      </c>
      <c r="C1601" s="54" t="s">
        <v>591</v>
      </c>
      <c r="D1601" s="0" t="n">
        <v>0.0105872623150696</v>
      </c>
      <c r="E1601" s="0" t="n">
        <v>0.0784227718173731</v>
      </c>
      <c r="F1601" s="0" t="n">
        <v>0</v>
      </c>
      <c r="G1601" s="0" t="n">
        <v>2021</v>
      </c>
    </row>
    <row r="1602" customFormat="false" ht="15" hidden="false" customHeight="false" outlineLevel="0" collapsed="false">
      <c r="A1602" s="0" t="s">
        <v>258</v>
      </c>
      <c r="B1602" s="52" t="n">
        <v>44509</v>
      </c>
      <c r="C1602" s="54" t="s">
        <v>592</v>
      </c>
      <c r="D1602" s="0" t="n">
        <v>0.0540070218915522</v>
      </c>
      <c r="E1602" s="0" t="n">
        <v>0.187153741862747</v>
      </c>
      <c r="F1602" s="0" t="n">
        <v>0</v>
      </c>
      <c r="G1602" s="0" t="n">
        <v>2021</v>
      </c>
    </row>
    <row r="1603" customFormat="false" ht="15" hidden="false" customHeight="false" outlineLevel="0" collapsed="false">
      <c r="A1603" s="0" t="s">
        <v>258</v>
      </c>
      <c r="B1603" s="52" t="n">
        <v>44510</v>
      </c>
      <c r="C1603" s="54" t="s">
        <v>590</v>
      </c>
      <c r="D1603" s="0" t="n">
        <v>0.0390494445380767</v>
      </c>
      <c r="E1603" s="0" t="n">
        <v>0.353991055682722</v>
      </c>
      <c r="F1603" s="0" t="n">
        <v>0</v>
      </c>
      <c r="G1603" s="0" t="n">
        <v>2021</v>
      </c>
    </row>
    <row r="1604" customFormat="false" ht="15" hidden="false" customHeight="false" outlineLevel="0" collapsed="false">
      <c r="A1604" s="0" t="s">
        <v>258</v>
      </c>
      <c r="B1604" s="52" t="n">
        <v>44510</v>
      </c>
      <c r="C1604" s="54" t="s">
        <v>591</v>
      </c>
      <c r="D1604" s="0" t="n">
        <v>0.0039467749617722</v>
      </c>
      <c r="E1604" s="0" t="n">
        <v>0.0961917466231843</v>
      </c>
      <c r="F1604" s="0" t="n">
        <v>0</v>
      </c>
      <c r="G1604" s="0" t="n">
        <v>2021</v>
      </c>
    </row>
    <row r="1605" customFormat="false" ht="15" hidden="false" customHeight="false" outlineLevel="0" collapsed="false">
      <c r="A1605" s="0" t="s">
        <v>258</v>
      </c>
      <c r="B1605" s="52" t="n">
        <v>44510</v>
      </c>
      <c r="C1605" s="54" t="s">
        <v>592</v>
      </c>
      <c r="D1605" s="0" t="n">
        <v>0.008924664271967</v>
      </c>
      <c r="E1605" s="0" t="n">
        <v>0.0740407025769177</v>
      </c>
      <c r="F1605" s="0" t="n">
        <v>0</v>
      </c>
      <c r="G1605" s="0" t="n">
        <v>2021</v>
      </c>
    </row>
    <row r="1606" customFormat="false" ht="15" hidden="false" customHeight="false" outlineLevel="0" collapsed="false">
      <c r="A1606" s="0" t="s">
        <v>258</v>
      </c>
      <c r="B1606" s="52" t="n">
        <v>44511</v>
      </c>
      <c r="C1606" s="54" t="s">
        <v>590</v>
      </c>
      <c r="D1606" s="0" t="n">
        <v>0.0168702419780124</v>
      </c>
      <c r="E1606" s="0" t="n">
        <v>0.396424293378837</v>
      </c>
      <c r="F1606" s="0" t="n">
        <v>0</v>
      </c>
      <c r="G1606" s="0" t="n">
        <v>2021</v>
      </c>
    </row>
    <row r="1607" customFormat="false" ht="15" hidden="false" customHeight="false" outlineLevel="0" collapsed="false">
      <c r="A1607" s="0" t="s">
        <v>258</v>
      </c>
      <c r="B1607" s="52" t="n">
        <v>44511</v>
      </c>
      <c r="C1607" s="54" t="s">
        <v>591</v>
      </c>
      <c r="D1607" s="0" t="n">
        <v>0.0920120204925964</v>
      </c>
      <c r="E1607" s="0" t="n">
        <v>0.423158138177557</v>
      </c>
      <c r="F1607" s="0" t="n">
        <v>0</v>
      </c>
      <c r="G1607" s="0" t="n">
        <v>2021</v>
      </c>
    </row>
    <row r="1608" customFormat="false" ht="15" hidden="false" customHeight="false" outlineLevel="0" collapsed="false">
      <c r="A1608" s="0" t="s">
        <v>258</v>
      </c>
      <c r="B1608" s="52" t="n">
        <v>44511</v>
      </c>
      <c r="C1608" s="54" t="s">
        <v>592</v>
      </c>
      <c r="D1608" s="0" t="n">
        <v>0.169011890039484</v>
      </c>
      <c r="E1608" s="0" t="n">
        <v>0.235880223853569</v>
      </c>
      <c r="F1608" s="0" t="n">
        <v>0</v>
      </c>
      <c r="G1608" s="0" t="n">
        <v>2021</v>
      </c>
    </row>
    <row r="1609" customFormat="false" ht="15" hidden="false" customHeight="false" outlineLevel="0" collapsed="false">
      <c r="A1609" s="0" t="s">
        <v>258</v>
      </c>
      <c r="B1609" s="52" t="n">
        <v>44512</v>
      </c>
      <c r="C1609" s="54" t="s">
        <v>590</v>
      </c>
      <c r="D1609" s="0" t="n">
        <v>0</v>
      </c>
      <c r="E1609" s="0" t="n">
        <v>0.317933365987368</v>
      </c>
      <c r="F1609" s="0" t="n">
        <v>0</v>
      </c>
      <c r="G1609" s="0" t="n">
        <v>2021</v>
      </c>
    </row>
    <row r="1610" customFormat="false" ht="15" hidden="false" customHeight="false" outlineLevel="0" collapsed="false">
      <c r="A1610" s="0" t="s">
        <v>258</v>
      </c>
      <c r="B1610" s="52" t="n">
        <v>44512</v>
      </c>
      <c r="C1610" s="54" t="s">
        <v>591</v>
      </c>
      <c r="D1610" s="0" t="n">
        <v>0.0101384934049969</v>
      </c>
      <c r="E1610" s="0" t="n">
        <v>0.225952647651365</v>
      </c>
      <c r="F1610" s="0" t="n">
        <v>0</v>
      </c>
      <c r="G1610" s="0" t="n">
        <v>2021</v>
      </c>
    </row>
    <row r="1611" customFormat="false" ht="15" hidden="false" customHeight="false" outlineLevel="0" collapsed="false">
      <c r="A1611" s="0" t="s">
        <v>258</v>
      </c>
      <c r="B1611" s="52" t="n">
        <v>44512</v>
      </c>
      <c r="C1611" s="54" t="s">
        <v>592</v>
      </c>
      <c r="D1611" s="0" t="n">
        <v>0.0615937831597952</v>
      </c>
      <c r="E1611" s="0" t="n">
        <v>0.076605847284166</v>
      </c>
      <c r="F1611" s="0" t="n">
        <v>0</v>
      </c>
      <c r="G1611" s="0" t="n">
        <v>2021</v>
      </c>
    </row>
    <row r="1612" customFormat="false" ht="15" hidden="false" customHeight="false" outlineLevel="0" collapsed="false">
      <c r="A1612" s="0" t="s">
        <v>258</v>
      </c>
      <c r="B1612" s="52" t="n">
        <v>44513</v>
      </c>
      <c r="C1612" s="54" t="s">
        <v>590</v>
      </c>
      <c r="D1612" s="0" t="n">
        <v>0.735247234697379</v>
      </c>
      <c r="E1612" s="0" t="n">
        <v>0.147047611114859</v>
      </c>
      <c r="F1612" s="0" t="n">
        <v>1</v>
      </c>
      <c r="G1612" s="0" t="n">
        <v>2021</v>
      </c>
    </row>
    <row r="1613" customFormat="false" ht="15" hidden="false" customHeight="false" outlineLevel="0" collapsed="false">
      <c r="A1613" s="0" t="s">
        <v>258</v>
      </c>
      <c r="B1613" s="52" t="n">
        <v>44513</v>
      </c>
      <c r="C1613" s="54" t="s">
        <v>591</v>
      </c>
      <c r="D1613" s="0" t="n">
        <v>0.106775257523298</v>
      </c>
      <c r="E1613" s="0" t="n">
        <v>0.125431047268197</v>
      </c>
      <c r="F1613" s="0" t="n">
        <v>1</v>
      </c>
      <c r="G1613" s="0" t="n">
        <v>2021</v>
      </c>
    </row>
    <row r="1614" customFormat="false" ht="15" hidden="false" customHeight="false" outlineLevel="0" collapsed="false">
      <c r="A1614" s="0" t="s">
        <v>258</v>
      </c>
      <c r="B1614" s="52" t="n">
        <v>44514</v>
      </c>
      <c r="C1614" s="54" t="s">
        <v>590</v>
      </c>
      <c r="D1614" s="0" t="n">
        <v>0.825172203683339</v>
      </c>
      <c r="E1614" s="0" t="n">
        <v>0</v>
      </c>
      <c r="F1614" s="0" t="n">
        <v>1</v>
      </c>
      <c r="G1614" s="0" t="n">
        <v>2021</v>
      </c>
    </row>
    <row r="1615" customFormat="false" ht="15" hidden="false" customHeight="false" outlineLevel="0" collapsed="false">
      <c r="A1615" s="0" t="s">
        <v>258</v>
      </c>
      <c r="B1615" s="52" t="n">
        <v>44514</v>
      </c>
      <c r="C1615" s="54" t="s">
        <v>591</v>
      </c>
      <c r="D1615" s="0" t="n">
        <v>0.0950191632701925</v>
      </c>
      <c r="E1615" s="0" t="n">
        <v>0.0533614977614705</v>
      </c>
      <c r="F1615" s="0" t="n">
        <v>1</v>
      </c>
      <c r="G1615" s="0" t="n">
        <v>2021</v>
      </c>
    </row>
    <row r="1616" customFormat="false" ht="15" hidden="false" customHeight="false" outlineLevel="0" collapsed="false">
      <c r="A1616" s="0" t="s">
        <v>258</v>
      </c>
      <c r="B1616" s="52" t="n">
        <v>44514</v>
      </c>
      <c r="C1616" s="54" t="s">
        <v>592</v>
      </c>
      <c r="D1616" s="0" t="n">
        <v>0.0956064347066319</v>
      </c>
      <c r="E1616" s="0" t="n">
        <v>0.111910760048637</v>
      </c>
      <c r="F1616" s="0" t="n">
        <v>1</v>
      </c>
      <c r="G1616" s="0" t="n">
        <v>2021</v>
      </c>
    </row>
    <row r="1617" customFormat="false" ht="15" hidden="false" customHeight="false" outlineLevel="0" collapsed="false">
      <c r="A1617" s="0" t="s">
        <v>258</v>
      </c>
      <c r="B1617" s="52" t="n">
        <v>44515</v>
      </c>
      <c r="C1617" s="54" t="s">
        <v>590</v>
      </c>
      <c r="D1617" s="0" t="n">
        <v>0.0582995859360831</v>
      </c>
      <c r="E1617" s="0" t="n">
        <v>0.255765576120901</v>
      </c>
      <c r="F1617" s="0" t="n">
        <v>0</v>
      </c>
      <c r="G1617" s="0" t="n">
        <v>2021</v>
      </c>
    </row>
    <row r="1618" customFormat="false" ht="15" hidden="false" customHeight="false" outlineLevel="0" collapsed="false">
      <c r="A1618" s="0" t="s">
        <v>258</v>
      </c>
      <c r="B1618" s="52" t="n">
        <v>44515</v>
      </c>
      <c r="C1618" s="54" t="s">
        <v>591</v>
      </c>
      <c r="D1618" s="0" t="n">
        <v>0.0552442764744429</v>
      </c>
      <c r="E1618" s="0" t="n">
        <v>0.0380984785076568</v>
      </c>
      <c r="F1618" s="0" t="n">
        <v>0</v>
      </c>
      <c r="G1618" s="0" t="n">
        <v>2021</v>
      </c>
    </row>
    <row r="1619" customFormat="false" ht="15" hidden="false" customHeight="false" outlineLevel="0" collapsed="false">
      <c r="A1619" s="0" t="s">
        <v>258</v>
      </c>
      <c r="B1619" s="52" t="n">
        <v>44515</v>
      </c>
      <c r="C1619" s="54" t="s">
        <v>592</v>
      </c>
      <c r="D1619" s="0" t="n">
        <v>0.0273442593572411</v>
      </c>
      <c r="E1619" s="0" t="n">
        <v>0.0706153138590313</v>
      </c>
      <c r="F1619" s="0" t="n">
        <v>0</v>
      </c>
      <c r="G1619" s="0" t="n">
        <v>2021</v>
      </c>
    </row>
    <row r="1620" customFormat="false" ht="15" hidden="false" customHeight="false" outlineLevel="0" collapsed="false">
      <c r="A1620" s="0" t="s">
        <v>258</v>
      </c>
      <c r="B1620" s="52" t="n">
        <v>44516</v>
      </c>
      <c r="C1620" s="54" t="s">
        <v>590</v>
      </c>
      <c r="D1620" s="0" t="n">
        <v>0.0107226046990687</v>
      </c>
      <c r="E1620" s="0" t="n">
        <v>0.522479535709844</v>
      </c>
      <c r="F1620" s="0" t="n">
        <v>0</v>
      </c>
      <c r="G1620" s="0" t="n">
        <v>2021</v>
      </c>
    </row>
    <row r="1621" customFormat="false" ht="15" hidden="false" customHeight="false" outlineLevel="0" collapsed="false">
      <c r="A1621" s="0" t="s">
        <v>258</v>
      </c>
      <c r="B1621" s="52" t="n">
        <v>44516</v>
      </c>
      <c r="C1621" s="54" t="s">
        <v>591</v>
      </c>
      <c r="D1621" s="0" t="n">
        <v>0</v>
      </c>
      <c r="E1621" s="0" t="n">
        <v>0.164987811786166</v>
      </c>
      <c r="F1621" s="0" t="n">
        <v>0</v>
      </c>
      <c r="G1621" s="0" t="n">
        <v>2021</v>
      </c>
    </row>
    <row r="1622" customFormat="false" ht="15" hidden="false" customHeight="false" outlineLevel="0" collapsed="false">
      <c r="A1622" s="0" t="s">
        <v>258</v>
      </c>
      <c r="B1622" s="52" t="n">
        <v>44516</v>
      </c>
      <c r="C1622" s="54" t="s">
        <v>592</v>
      </c>
      <c r="D1622" s="0" t="n">
        <v>0.115845454493427</v>
      </c>
      <c r="E1622" s="0" t="n">
        <v>0.11019006450944</v>
      </c>
      <c r="F1622" s="0" t="n">
        <v>0</v>
      </c>
      <c r="G1622" s="0" t="n">
        <v>2021</v>
      </c>
    </row>
    <row r="1623" customFormat="false" ht="15" hidden="false" customHeight="false" outlineLevel="0" collapsed="false">
      <c r="A1623" s="0" t="s">
        <v>258</v>
      </c>
      <c r="B1623" s="52" t="n">
        <v>44517</v>
      </c>
      <c r="C1623" s="54" t="s">
        <v>590</v>
      </c>
      <c r="D1623" s="0" t="n">
        <v>0.0290731525406976</v>
      </c>
      <c r="E1623" s="0" t="n">
        <v>0.161376889678585</v>
      </c>
      <c r="F1623" s="0" t="n">
        <v>0</v>
      </c>
      <c r="G1623" s="0" t="n">
        <v>2021</v>
      </c>
    </row>
    <row r="1624" customFormat="false" ht="15" hidden="false" customHeight="false" outlineLevel="0" collapsed="false">
      <c r="A1624" s="0" t="s">
        <v>258</v>
      </c>
      <c r="B1624" s="52" t="n">
        <v>44517</v>
      </c>
      <c r="C1624" s="54" t="s">
        <v>591</v>
      </c>
      <c r="D1624" s="0" t="n">
        <v>0</v>
      </c>
      <c r="E1624" s="0" t="n">
        <v>0.0170817315491604</v>
      </c>
      <c r="F1624" s="0" t="n">
        <v>0</v>
      </c>
      <c r="G1624" s="0" t="n">
        <v>2021</v>
      </c>
    </row>
    <row r="1625" customFormat="false" ht="15" hidden="false" customHeight="false" outlineLevel="0" collapsed="false">
      <c r="A1625" s="0" t="s">
        <v>258</v>
      </c>
      <c r="B1625" s="52" t="n">
        <v>44517</v>
      </c>
      <c r="C1625" s="54" t="s">
        <v>592</v>
      </c>
      <c r="D1625" s="0" t="n">
        <v>0.0008691588152653</v>
      </c>
      <c r="E1625" s="0" t="n">
        <v>0.0602033450520052</v>
      </c>
      <c r="F1625" s="0" t="n">
        <v>0</v>
      </c>
      <c r="G1625" s="0" t="n">
        <v>2021</v>
      </c>
    </row>
    <row r="1626" customFormat="false" ht="15" hidden="false" customHeight="false" outlineLevel="0" collapsed="false">
      <c r="A1626" s="0" t="s">
        <v>258</v>
      </c>
      <c r="B1626" s="52" t="n">
        <v>44518</v>
      </c>
      <c r="C1626" s="54" t="s">
        <v>590</v>
      </c>
      <c r="D1626" s="0" t="n">
        <v>0.0015981853829321</v>
      </c>
      <c r="E1626" s="0" t="n">
        <v>0.170429316126122</v>
      </c>
      <c r="F1626" s="0" t="n">
        <v>0</v>
      </c>
      <c r="G1626" s="0" t="n">
        <v>2021</v>
      </c>
    </row>
    <row r="1627" customFormat="false" ht="15" hidden="false" customHeight="false" outlineLevel="0" collapsed="false">
      <c r="A1627" s="0" t="s">
        <v>258</v>
      </c>
      <c r="B1627" s="52" t="n">
        <v>44518</v>
      </c>
      <c r="C1627" s="54" t="s">
        <v>591</v>
      </c>
      <c r="D1627" s="0" t="n">
        <v>0.112956935139722</v>
      </c>
      <c r="E1627" s="0" t="n">
        <v>0.073942273872707</v>
      </c>
      <c r="F1627" s="0" t="n">
        <v>0</v>
      </c>
      <c r="G1627" s="0" t="n">
        <v>2021</v>
      </c>
    </row>
    <row r="1628" customFormat="false" ht="15" hidden="false" customHeight="false" outlineLevel="0" collapsed="false">
      <c r="A1628" s="0" t="s">
        <v>258</v>
      </c>
      <c r="B1628" s="52" t="n">
        <v>44518</v>
      </c>
      <c r="C1628" s="54" t="s">
        <v>592</v>
      </c>
      <c r="D1628" s="0" t="n">
        <v>0.0048742863775913</v>
      </c>
      <c r="E1628" s="0" t="n">
        <v>0.110115284428809</v>
      </c>
      <c r="F1628" s="0" t="n">
        <v>0</v>
      </c>
      <c r="G1628" s="0" t="n">
        <v>2021</v>
      </c>
    </row>
    <row r="1629" customFormat="false" ht="15" hidden="false" customHeight="false" outlineLevel="0" collapsed="false">
      <c r="A1629" s="0" t="s">
        <v>258</v>
      </c>
      <c r="B1629" s="52" t="n">
        <v>44519</v>
      </c>
      <c r="C1629" s="54" t="s">
        <v>590</v>
      </c>
      <c r="D1629" s="0" t="n">
        <v>0.0062840228327356</v>
      </c>
      <c r="E1629" s="0" t="n">
        <v>0.077808855129298</v>
      </c>
      <c r="F1629" s="0" t="n">
        <v>0</v>
      </c>
      <c r="G1629" s="0" t="n">
        <v>2021</v>
      </c>
    </row>
    <row r="1630" customFormat="false" ht="15" hidden="false" customHeight="false" outlineLevel="0" collapsed="false">
      <c r="A1630" s="0" t="s">
        <v>258</v>
      </c>
      <c r="B1630" s="52" t="n">
        <v>44519</v>
      </c>
      <c r="C1630" s="54" t="s">
        <v>591</v>
      </c>
      <c r="D1630" s="0" t="n">
        <v>0.0028536456171942</v>
      </c>
      <c r="E1630" s="0" t="n">
        <v>0.0884883920185222</v>
      </c>
      <c r="F1630" s="0" t="n">
        <v>0</v>
      </c>
      <c r="G1630" s="0" t="n">
        <v>2021</v>
      </c>
    </row>
    <row r="1631" customFormat="false" ht="15" hidden="false" customHeight="false" outlineLevel="0" collapsed="false">
      <c r="A1631" s="0" t="s">
        <v>258</v>
      </c>
      <c r="B1631" s="52" t="n">
        <v>44519</v>
      </c>
      <c r="C1631" s="54" t="s">
        <v>592</v>
      </c>
      <c r="D1631" s="0" t="n">
        <v>0.096321267301296</v>
      </c>
      <c r="E1631" s="0" t="n">
        <v>0.0740112278419769</v>
      </c>
      <c r="F1631" s="0" t="n">
        <v>0</v>
      </c>
      <c r="G1631" s="0" t="n">
        <v>2021</v>
      </c>
    </row>
    <row r="1632" customFormat="false" ht="15" hidden="false" customHeight="false" outlineLevel="0" collapsed="false">
      <c r="A1632" s="0" t="s">
        <v>258</v>
      </c>
      <c r="B1632" s="52" t="n">
        <v>44520</v>
      </c>
      <c r="C1632" s="54" t="s">
        <v>590</v>
      </c>
      <c r="D1632" s="0" t="n">
        <v>0.329741407259526</v>
      </c>
      <c r="E1632" s="0" t="n">
        <v>0.0802469431843734</v>
      </c>
      <c r="F1632" s="0" t="n">
        <v>1</v>
      </c>
      <c r="G1632" s="0" t="n">
        <v>2021</v>
      </c>
    </row>
    <row r="1633" customFormat="false" ht="15" hidden="false" customHeight="false" outlineLevel="0" collapsed="false">
      <c r="A1633" s="0" t="s">
        <v>258</v>
      </c>
      <c r="B1633" s="52" t="n">
        <v>44521</v>
      </c>
      <c r="C1633" s="54" t="s">
        <v>591</v>
      </c>
      <c r="D1633" s="0" t="n">
        <v>0.0053068865862907</v>
      </c>
      <c r="E1633" s="0" t="n">
        <v>0.0359898011188914</v>
      </c>
      <c r="F1633" s="0" t="n">
        <v>1</v>
      </c>
      <c r="G1633" s="0" t="n">
        <v>2021</v>
      </c>
    </row>
    <row r="1634" customFormat="false" ht="15" hidden="false" customHeight="false" outlineLevel="0" collapsed="false">
      <c r="A1634" s="0" t="s">
        <v>258</v>
      </c>
      <c r="B1634" s="52" t="n">
        <v>44521</v>
      </c>
      <c r="C1634" s="54" t="s">
        <v>592</v>
      </c>
      <c r="D1634" s="0" t="n">
        <v>0.019140462317524</v>
      </c>
      <c r="E1634" s="0" t="n">
        <v>0.116077246078233</v>
      </c>
      <c r="F1634" s="0" t="n">
        <v>1</v>
      </c>
      <c r="G1634" s="0" t="n">
        <v>2021</v>
      </c>
    </row>
    <row r="1635" customFormat="false" ht="15" hidden="false" customHeight="false" outlineLevel="0" collapsed="false">
      <c r="A1635" s="0" t="s">
        <v>258</v>
      </c>
      <c r="B1635" s="52" t="n">
        <v>44522</v>
      </c>
      <c r="C1635" s="54" t="s">
        <v>590</v>
      </c>
      <c r="D1635" s="0" t="n">
        <v>0.0009691399150227</v>
      </c>
      <c r="E1635" s="0" t="n">
        <v>0.16412797182819</v>
      </c>
      <c r="F1635" s="0" t="n">
        <v>0</v>
      </c>
      <c r="G1635" s="0" t="n">
        <v>2021</v>
      </c>
    </row>
    <row r="1636" customFormat="false" ht="15" hidden="false" customHeight="false" outlineLevel="0" collapsed="false">
      <c r="A1636" s="0" t="s">
        <v>258</v>
      </c>
      <c r="B1636" s="52" t="n">
        <v>44522</v>
      </c>
      <c r="C1636" s="54" t="s">
        <v>591</v>
      </c>
      <c r="D1636" s="0" t="n">
        <v>0.438115261225011</v>
      </c>
      <c r="E1636" s="0" t="n">
        <v>0.0384735666399441</v>
      </c>
      <c r="F1636" s="0" t="n">
        <v>0</v>
      </c>
      <c r="G1636" s="0" t="n">
        <v>2021</v>
      </c>
    </row>
    <row r="1637" customFormat="false" ht="15" hidden="false" customHeight="false" outlineLevel="0" collapsed="false">
      <c r="A1637" s="0" t="s">
        <v>258</v>
      </c>
      <c r="B1637" s="52" t="n">
        <v>44522</v>
      </c>
      <c r="C1637" s="54" t="s">
        <v>592</v>
      </c>
      <c r="D1637" s="0" t="n">
        <v>0.0306353476727327</v>
      </c>
      <c r="E1637" s="0" t="n">
        <v>0.128893582345213</v>
      </c>
      <c r="F1637" s="0" t="n">
        <v>0</v>
      </c>
      <c r="G1637" s="0" t="n">
        <v>2021</v>
      </c>
    </row>
    <row r="1638" customFormat="false" ht="15" hidden="false" customHeight="false" outlineLevel="0" collapsed="false">
      <c r="A1638" s="0" t="s">
        <v>258</v>
      </c>
      <c r="B1638" s="52" t="n">
        <v>44523</v>
      </c>
      <c r="C1638" s="54" t="s">
        <v>590</v>
      </c>
      <c r="D1638" s="0" t="n">
        <v>0</v>
      </c>
      <c r="E1638" s="0" t="n">
        <v>0.159723267454536</v>
      </c>
      <c r="F1638" s="0" t="n">
        <v>0</v>
      </c>
      <c r="G1638" s="0" t="n">
        <v>2021</v>
      </c>
    </row>
    <row r="1639" customFormat="false" ht="15" hidden="false" customHeight="false" outlineLevel="0" collapsed="false">
      <c r="A1639" s="0" t="s">
        <v>258</v>
      </c>
      <c r="B1639" s="52" t="n">
        <v>44523</v>
      </c>
      <c r="C1639" s="54" t="s">
        <v>591</v>
      </c>
      <c r="D1639" s="0" t="n">
        <v>0</v>
      </c>
      <c r="E1639" s="0" t="n">
        <v>0.247908150645937</v>
      </c>
      <c r="F1639" s="0" t="n">
        <v>0</v>
      </c>
      <c r="G1639" s="0" t="n">
        <v>2021</v>
      </c>
    </row>
    <row r="1640" customFormat="false" ht="15" hidden="false" customHeight="false" outlineLevel="0" collapsed="false">
      <c r="A1640" s="0" t="s">
        <v>258</v>
      </c>
      <c r="B1640" s="52" t="n">
        <v>44523</v>
      </c>
      <c r="C1640" s="54" t="s">
        <v>592</v>
      </c>
      <c r="D1640" s="0" t="n">
        <v>0.454022884157844</v>
      </c>
      <c r="E1640" s="0" t="n">
        <v>0.122507688798117</v>
      </c>
      <c r="F1640" s="0" t="n">
        <v>0</v>
      </c>
      <c r="G1640" s="0" t="n">
        <v>2021</v>
      </c>
    </row>
    <row r="1641" customFormat="false" ht="15" hidden="false" customHeight="false" outlineLevel="0" collapsed="false">
      <c r="A1641" s="0" t="s">
        <v>258</v>
      </c>
      <c r="B1641" s="52" t="n">
        <v>44524</v>
      </c>
      <c r="C1641" s="54" t="s">
        <v>590</v>
      </c>
      <c r="D1641" s="0" t="n">
        <v>0.835789854460369</v>
      </c>
      <c r="E1641" s="0" t="n">
        <v>0.0179981035036505</v>
      </c>
      <c r="F1641" s="0" t="n">
        <v>0</v>
      </c>
      <c r="G1641" s="0" t="n">
        <v>2021</v>
      </c>
    </row>
    <row r="1642" customFormat="false" ht="15" hidden="false" customHeight="false" outlineLevel="0" collapsed="false">
      <c r="A1642" s="0" t="s">
        <v>258</v>
      </c>
      <c r="B1642" s="52" t="n">
        <v>44524</v>
      </c>
      <c r="C1642" s="54" t="s">
        <v>591</v>
      </c>
      <c r="D1642" s="0" t="n">
        <v>0.0095233135549828</v>
      </c>
      <c r="E1642" s="0" t="n">
        <v>0.12207687563621</v>
      </c>
      <c r="F1642" s="0" t="n">
        <v>0</v>
      </c>
      <c r="G1642" s="0" t="n">
        <v>2021</v>
      </c>
    </row>
    <row r="1643" customFormat="false" ht="15" hidden="false" customHeight="false" outlineLevel="0" collapsed="false">
      <c r="A1643" s="0" t="s">
        <v>258</v>
      </c>
      <c r="B1643" s="52" t="n">
        <v>44524</v>
      </c>
      <c r="C1643" s="54" t="s">
        <v>592</v>
      </c>
      <c r="D1643" s="0" t="n">
        <v>0.0178297796588114</v>
      </c>
      <c r="E1643" s="0" t="n">
        <v>0.174290064369618</v>
      </c>
      <c r="F1643" s="0" t="n">
        <v>0</v>
      </c>
      <c r="G1643" s="0" t="n">
        <v>2021</v>
      </c>
    </row>
    <row r="1644" customFormat="false" ht="15" hidden="false" customHeight="false" outlineLevel="0" collapsed="false">
      <c r="A1644" s="0" t="s">
        <v>258</v>
      </c>
      <c r="B1644" s="52" t="n">
        <v>44525</v>
      </c>
      <c r="C1644" s="54" t="s">
        <v>590</v>
      </c>
      <c r="D1644" s="0" t="n">
        <v>0.0012629849061429</v>
      </c>
      <c r="E1644" s="0" t="n">
        <v>0.123610491712768</v>
      </c>
      <c r="F1644" s="0" t="n">
        <v>0</v>
      </c>
      <c r="G1644" s="0" t="n">
        <v>2021</v>
      </c>
    </row>
    <row r="1645" customFormat="false" ht="15" hidden="false" customHeight="false" outlineLevel="0" collapsed="false">
      <c r="A1645" s="0" t="s">
        <v>258</v>
      </c>
      <c r="B1645" s="52" t="n">
        <v>44525</v>
      </c>
      <c r="C1645" s="54" t="s">
        <v>591</v>
      </c>
      <c r="D1645" s="0" t="n">
        <v>0.0882916457952007</v>
      </c>
      <c r="E1645" s="0" t="n">
        <v>0.0269047291484282</v>
      </c>
      <c r="F1645" s="0" t="n">
        <v>0</v>
      </c>
      <c r="G1645" s="0" t="n">
        <v>2021</v>
      </c>
    </row>
    <row r="1646" customFormat="false" ht="15" hidden="false" customHeight="false" outlineLevel="0" collapsed="false">
      <c r="A1646" s="0" t="s">
        <v>258</v>
      </c>
      <c r="B1646" s="52" t="n">
        <v>44525</v>
      </c>
      <c r="C1646" s="54" t="s">
        <v>592</v>
      </c>
      <c r="D1646" s="0" t="n">
        <v>0.125867182810921</v>
      </c>
      <c r="E1646" s="0" t="n">
        <v>0.0278926986808216</v>
      </c>
      <c r="F1646" s="0" t="n">
        <v>0</v>
      </c>
      <c r="G1646" s="0" t="n">
        <v>2021</v>
      </c>
    </row>
    <row r="1647" customFormat="false" ht="15" hidden="false" customHeight="false" outlineLevel="0" collapsed="false">
      <c r="A1647" s="0" t="s">
        <v>258</v>
      </c>
      <c r="B1647" s="52" t="n">
        <v>44526</v>
      </c>
      <c r="C1647" s="54" t="s">
        <v>590</v>
      </c>
      <c r="D1647" s="0" t="n">
        <v>0.308034269600075</v>
      </c>
      <c r="E1647" s="0" t="n">
        <v>0.0523600121106897</v>
      </c>
      <c r="F1647" s="0" t="n">
        <v>0</v>
      </c>
      <c r="G1647" s="0" t="n">
        <v>2021</v>
      </c>
    </row>
    <row r="1648" customFormat="false" ht="15" hidden="false" customHeight="false" outlineLevel="0" collapsed="false">
      <c r="A1648" s="0" t="s">
        <v>258</v>
      </c>
      <c r="B1648" s="52" t="n">
        <v>44526</v>
      </c>
      <c r="C1648" s="54" t="s">
        <v>591</v>
      </c>
      <c r="D1648" s="0" t="n">
        <v>0.0013888961798738</v>
      </c>
      <c r="E1648" s="0" t="n">
        <v>0.0447276773371689</v>
      </c>
      <c r="F1648" s="0" t="n">
        <v>0</v>
      </c>
      <c r="G1648" s="0" t="n">
        <v>2021</v>
      </c>
    </row>
    <row r="1649" customFormat="false" ht="15" hidden="false" customHeight="false" outlineLevel="0" collapsed="false">
      <c r="A1649" s="0" t="s">
        <v>258</v>
      </c>
      <c r="B1649" s="52" t="n">
        <v>44526</v>
      </c>
      <c r="C1649" s="54" t="s">
        <v>592</v>
      </c>
      <c r="D1649" s="0" t="n">
        <v>0.0175834081944613</v>
      </c>
      <c r="E1649" s="0" t="n">
        <v>0.0993851521160849</v>
      </c>
      <c r="F1649" s="0" t="n">
        <v>0</v>
      </c>
      <c r="G1649" s="0" t="n">
        <v>2021</v>
      </c>
    </row>
    <row r="1650" customFormat="false" ht="15" hidden="false" customHeight="false" outlineLevel="0" collapsed="false">
      <c r="A1650" s="0" t="s">
        <v>258</v>
      </c>
      <c r="B1650" s="52" t="n">
        <v>44527</v>
      </c>
      <c r="C1650" s="54" t="s">
        <v>590</v>
      </c>
      <c r="D1650" s="0" t="n">
        <v>0.164778987636045</v>
      </c>
      <c r="E1650" s="0" t="n">
        <v>0.1420206043762</v>
      </c>
      <c r="F1650" s="0" t="n">
        <v>1</v>
      </c>
      <c r="G1650" s="0" t="n">
        <v>2021</v>
      </c>
    </row>
    <row r="1651" customFormat="false" ht="15" hidden="false" customHeight="false" outlineLevel="0" collapsed="false">
      <c r="A1651" s="0" t="s">
        <v>258</v>
      </c>
      <c r="B1651" s="52" t="n">
        <v>44527</v>
      </c>
      <c r="C1651" s="54" t="s">
        <v>592</v>
      </c>
      <c r="D1651" s="0" t="n">
        <v>1</v>
      </c>
      <c r="E1651" s="0" t="n">
        <v>0</v>
      </c>
      <c r="F1651" s="0" t="n">
        <v>1</v>
      </c>
      <c r="G1651" s="0" t="n">
        <v>2021</v>
      </c>
    </row>
    <row r="1652" customFormat="false" ht="15" hidden="false" customHeight="false" outlineLevel="0" collapsed="false">
      <c r="A1652" s="0" t="s">
        <v>258</v>
      </c>
      <c r="B1652" s="52" t="n">
        <v>44528</v>
      </c>
      <c r="C1652" s="54" t="s">
        <v>590</v>
      </c>
      <c r="D1652" s="0" t="n">
        <v>1</v>
      </c>
      <c r="E1652" s="0" t="n">
        <v>0</v>
      </c>
      <c r="F1652" s="0" t="n">
        <v>1</v>
      </c>
      <c r="G1652" s="0" t="n">
        <v>2021</v>
      </c>
    </row>
    <row r="1653" customFormat="false" ht="15" hidden="false" customHeight="false" outlineLevel="0" collapsed="false">
      <c r="A1653" s="0" t="s">
        <v>258</v>
      </c>
      <c r="B1653" s="52" t="n">
        <v>44528</v>
      </c>
      <c r="C1653" s="54" t="s">
        <v>591</v>
      </c>
      <c r="D1653" s="0" t="n">
        <v>0.0502844299956627</v>
      </c>
      <c r="E1653" s="0" t="n">
        <v>0.114778809934929</v>
      </c>
      <c r="F1653" s="0" t="n">
        <v>1</v>
      </c>
      <c r="G1653" s="0" t="n">
        <v>2021</v>
      </c>
    </row>
    <row r="1654" customFormat="false" ht="15" hidden="false" customHeight="false" outlineLevel="0" collapsed="false">
      <c r="A1654" s="0" t="s">
        <v>258</v>
      </c>
      <c r="B1654" s="52" t="n">
        <v>44528</v>
      </c>
      <c r="C1654" s="54" t="s">
        <v>592</v>
      </c>
      <c r="D1654" s="0" t="n">
        <v>0.014822450197681</v>
      </c>
      <c r="E1654" s="0" t="n">
        <v>0.148688055084542</v>
      </c>
      <c r="F1654" s="0" t="n">
        <v>1</v>
      </c>
      <c r="G1654" s="0" t="n">
        <v>2021</v>
      </c>
    </row>
    <row r="1655" customFormat="false" ht="15" hidden="false" customHeight="false" outlineLevel="0" collapsed="false">
      <c r="A1655" s="0" t="s">
        <v>258</v>
      </c>
      <c r="B1655" s="52" t="n">
        <v>44529</v>
      </c>
      <c r="C1655" s="54" t="s">
        <v>590</v>
      </c>
      <c r="D1655" s="0" t="n">
        <v>0.0295397842806588</v>
      </c>
      <c r="E1655" s="0" t="n">
        <v>0.0873433716437854</v>
      </c>
      <c r="F1655" s="0" t="n">
        <v>0</v>
      </c>
      <c r="G1655" s="0" t="n">
        <v>2021</v>
      </c>
    </row>
    <row r="1656" customFormat="false" ht="15" hidden="false" customHeight="false" outlineLevel="0" collapsed="false">
      <c r="A1656" s="0" t="s">
        <v>258</v>
      </c>
      <c r="B1656" s="52" t="n">
        <v>44529</v>
      </c>
      <c r="C1656" s="54" t="s">
        <v>591</v>
      </c>
      <c r="D1656" s="0" t="n">
        <v>0.0085689763305467</v>
      </c>
      <c r="E1656" s="0" t="n">
        <v>0.0547870029127621</v>
      </c>
      <c r="F1656" s="0" t="n">
        <v>0</v>
      </c>
      <c r="G1656" s="0" t="n">
        <v>2021</v>
      </c>
    </row>
    <row r="1657" customFormat="false" ht="15" hidden="false" customHeight="false" outlineLevel="0" collapsed="false">
      <c r="A1657" s="0" t="s">
        <v>258</v>
      </c>
      <c r="B1657" s="52" t="n">
        <v>44529</v>
      </c>
      <c r="C1657" s="54" t="s">
        <v>592</v>
      </c>
      <c r="D1657" s="0" t="n">
        <v>0.126755232478278</v>
      </c>
      <c r="E1657" s="0" t="n">
        <v>0.135220709774516</v>
      </c>
      <c r="F1657" s="0" t="n">
        <v>0</v>
      </c>
      <c r="G1657" s="0" t="n">
        <v>2021</v>
      </c>
    </row>
    <row r="1658" customFormat="false" ht="15" hidden="false" customHeight="false" outlineLevel="0" collapsed="false">
      <c r="A1658" s="0" t="s">
        <v>258</v>
      </c>
      <c r="B1658" s="52" t="n">
        <v>44530</v>
      </c>
      <c r="C1658" s="54" t="s">
        <v>590</v>
      </c>
      <c r="D1658" s="0" t="n">
        <v>0</v>
      </c>
      <c r="E1658" s="0" t="n">
        <v>0.295840667400228</v>
      </c>
      <c r="F1658" s="0" t="n">
        <v>0</v>
      </c>
      <c r="G1658" s="0" t="n">
        <v>2021</v>
      </c>
    </row>
    <row r="1659" customFormat="false" ht="15" hidden="false" customHeight="false" outlineLevel="0" collapsed="false">
      <c r="A1659" s="0" t="s">
        <v>258</v>
      </c>
      <c r="B1659" s="52" t="n">
        <v>44530</v>
      </c>
      <c r="C1659" s="54" t="s">
        <v>591</v>
      </c>
      <c r="D1659" s="0" t="n">
        <v>0</v>
      </c>
      <c r="E1659" s="0" t="n">
        <v>0.0401029444126078</v>
      </c>
      <c r="F1659" s="0" t="n">
        <v>0</v>
      </c>
      <c r="G1659" s="0" t="n">
        <v>2021</v>
      </c>
    </row>
    <row r="1660" customFormat="false" ht="15" hidden="false" customHeight="false" outlineLevel="0" collapsed="false">
      <c r="A1660" s="0" t="s">
        <v>258</v>
      </c>
      <c r="B1660" s="52" t="n">
        <v>44530</v>
      </c>
      <c r="C1660" s="54" t="s">
        <v>592</v>
      </c>
      <c r="D1660" s="0" t="n">
        <v>0.0320759349431752</v>
      </c>
      <c r="E1660" s="0" t="n">
        <v>0.0724107208292206</v>
      </c>
      <c r="F1660" s="0" t="n">
        <v>0</v>
      </c>
      <c r="G1660" s="0" t="n">
        <v>2021</v>
      </c>
    </row>
    <row r="1661" customFormat="false" ht="15" hidden="false" customHeight="false" outlineLevel="0" collapsed="false">
      <c r="A1661" s="0" t="s">
        <v>258</v>
      </c>
      <c r="B1661" s="52" t="n">
        <v>44531</v>
      </c>
      <c r="C1661" s="54" t="s">
        <v>590</v>
      </c>
      <c r="D1661" s="0" t="n">
        <v>0.0903956307862089</v>
      </c>
      <c r="E1661" s="0" t="n">
        <v>0.0873237506133104</v>
      </c>
      <c r="F1661" s="0" t="n">
        <v>0</v>
      </c>
      <c r="G1661" s="0" t="n">
        <v>2021</v>
      </c>
    </row>
    <row r="1662" customFormat="false" ht="15" hidden="false" customHeight="false" outlineLevel="0" collapsed="false">
      <c r="A1662" s="0" t="s">
        <v>258</v>
      </c>
      <c r="B1662" s="52" t="n">
        <v>44531</v>
      </c>
      <c r="C1662" s="54" t="s">
        <v>591</v>
      </c>
      <c r="D1662" s="0" t="n">
        <v>0.0053218781358645</v>
      </c>
      <c r="E1662" s="0" t="n">
        <v>0.0139487975353272</v>
      </c>
      <c r="F1662" s="0" t="n">
        <v>0</v>
      </c>
      <c r="G1662" s="0" t="n">
        <v>2021</v>
      </c>
    </row>
    <row r="1663" customFormat="false" ht="15" hidden="false" customHeight="false" outlineLevel="0" collapsed="false">
      <c r="A1663" s="0" t="s">
        <v>258</v>
      </c>
      <c r="B1663" s="52" t="n">
        <v>44531</v>
      </c>
      <c r="C1663" s="54" t="s">
        <v>592</v>
      </c>
      <c r="D1663" s="0" t="n">
        <v>0</v>
      </c>
      <c r="E1663" s="0" t="n">
        <v>0.0934764738505844</v>
      </c>
      <c r="F1663" s="0" t="n">
        <v>0</v>
      </c>
      <c r="G1663" s="0" t="n">
        <v>2021</v>
      </c>
    </row>
    <row r="1664" customFormat="false" ht="15" hidden="false" customHeight="false" outlineLevel="0" collapsed="false">
      <c r="A1664" s="0" t="s">
        <v>258</v>
      </c>
      <c r="B1664" s="52" t="n">
        <v>44532</v>
      </c>
      <c r="C1664" s="54" t="s">
        <v>590</v>
      </c>
      <c r="D1664" s="0" t="n">
        <v>0.248285575065124</v>
      </c>
      <c r="E1664" s="0" t="n">
        <v>0.233610362439732</v>
      </c>
      <c r="F1664" s="0" t="n">
        <v>0</v>
      </c>
      <c r="G1664" s="0" t="n">
        <v>2021</v>
      </c>
    </row>
    <row r="1665" customFormat="false" ht="15" hidden="false" customHeight="false" outlineLevel="0" collapsed="false">
      <c r="A1665" s="0" t="s">
        <v>258</v>
      </c>
      <c r="B1665" s="52" t="n">
        <v>44532</v>
      </c>
      <c r="C1665" s="54" t="s">
        <v>591</v>
      </c>
      <c r="D1665" s="0" t="n">
        <v>0.166981229031566</v>
      </c>
      <c r="E1665" s="0" t="n">
        <v>0.0347028453537455</v>
      </c>
      <c r="F1665" s="0" t="n">
        <v>0</v>
      </c>
      <c r="G1665" s="0" t="n">
        <v>2021</v>
      </c>
    </row>
    <row r="1666" customFormat="false" ht="15" hidden="false" customHeight="false" outlineLevel="0" collapsed="false">
      <c r="A1666" s="0" t="s">
        <v>258</v>
      </c>
      <c r="B1666" s="52" t="n">
        <v>44532</v>
      </c>
      <c r="C1666" s="54" t="s">
        <v>592</v>
      </c>
      <c r="D1666" s="0" t="n">
        <v>0.0066854343141805</v>
      </c>
      <c r="E1666" s="0" t="n">
        <v>0.193667231237747</v>
      </c>
      <c r="F1666" s="0" t="n">
        <v>0</v>
      </c>
      <c r="G1666" s="0" t="n">
        <v>2021</v>
      </c>
    </row>
    <row r="1667" customFormat="false" ht="15" hidden="false" customHeight="false" outlineLevel="0" collapsed="false">
      <c r="A1667" s="0" t="s">
        <v>258</v>
      </c>
      <c r="B1667" s="52" t="n">
        <v>44533</v>
      </c>
      <c r="C1667" s="54" t="s">
        <v>590</v>
      </c>
      <c r="D1667" s="0" t="n">
        <v>0</v>
      </c>
      <c r="E1667" s="0" t="n">
        <v>0.136354658046709</v>
      </c>
      <c r="F1667" s="0" t="n">
        <v>0</v>
      </c>
      <c r="G1667" s="0" t="n">
        <v>2021</v>
      </c>
    </row>
    <row r="1668" customFormat="false" ht="15" hidden="false" customHeight="false" outlineLevel="0" collapsed="false">
      <c r="A1668" s="0" t="s">
        <v>258</v>
      </c>
      <c r="B1668" s="52" t="n">
        <v>44533</v>
      </c>
      <c r="C1668" s="54" t="s">
        <v>591</v>
      </c>
      <c r="D1668" s="0" t="n">
        <v>0.147998989570229</v>
      </c>
      <c r="E1668" s="0" t="n">
        <v>0.0786289840055013</v>
      </c>
      <c r="F1668" s="0" t="n">
        <v>0</v>
      </c>
      <c r="G1668" s="0" t="n">
        <v>2021</v>
      </c>
    </row>
    <row r="1669" customFormat="false" ht="15" hidden="false" customHeight="false" outlineLevel="0" collapsed="false">
      <c r="A1669" s="0" t="s">
        <v>258</v>
      </c>
      <c r="B1669" s="52" t="n">
        <v>44533</v>
      </c>
      <c r="C1669" s="54" t="s">
        <v>592</v>
      </c>
      <c r="D1669" s="0" t="n">
        <v>0.0413863177676488</v>
      </c>
      <c r="E1669" s="0" t="n">
        <v>0.0843789655514116</v>
      </c>
      <c r="F1669" s="0" t="n">
        <v>0</v>
      </c>
      <c r="G1669" s="0" t="n">
        <v>2021</v>
      </c>
    </row>
    <row r="1670" customFormat="false" ht="15" hidden="false" customHeight="false" outlineLevel="0" collapsed="false">
      <c r="A1670" s="0" t="s">
        <v>258</v>
      </c>
      <c r="B1670" s="52" t="n">
        <v>44534</v>
      </c>
      <c r="C1670" s="54" t="s">
        <v>590</v>
      </c>
      <c r="D1670" s="0" t="n">
        <v>0.0844188663406849</v>
      </c>
      <c r="E1670" s="0" t="n">
        <v>0.196642628550085</v>
      </c>
      <c r="F1670" s="0" t="n">
        <v>1</v>
      </c>
      <c r="G1670" s="0" t="n">
        <v>2021</v>
      </c>
    </row>
    <row r="1671" customFormat="false" ht="15" hidden="false" customHeight="false" outlineLevel="0" collapsed="false">
      <c r="A1671" s="0" t="s">
        <v>258</v>
      </c>
      <c r="B1671" s="52" t="n">
        <v>44535</v>
      </c>
      <c r="C1671" s="54" t="s">
        <v>591</v>
      </c>
      <c r="D1671" s="0" t="n">
        <v>0.0130127581339354</v>
      </c>
      <c r="E1671" s="0" t="n">
        <v>0.185359598111963</v>
      </c>
      <c r="F1671" s="0" t="n">
        <v>1</v>
      </c>
      <c r="G1671" s="0" t="n">
        <v>2021</v>
      </c>
    </row>
    <row r="1672" customFormat="false" ht="15" hidden="false" customHeight="false" outlineLevel="0" collapsed="false">
      <c r="A1672" s="0" t="s">
        <v>258</v>
      </c>
      <c r="B1672" s="52" t="n">
        <v>44535</v>
      </c>
      <c r="C1672" s="54" t="s">
        <v>592</v>
      </c>
      <c r="D1672" s="0" t="n">
        <v>0</v>
      </c>
      <c r="E1672" s="0" t="n">
        <v>0.0862371626034347</v>
      </c>
      <c r="F1672" s="0" t="n">
        <v>1</v>
      </c>
      <c r="G1672" s="0" t="n">
        <v>2021</v>
      </c>
    </row>
    <row r="1673" customFormat="false" ht="15" hidden="false" customHeight="false" outlineLevel="0" collapsed="false">
      <c r="A1673" s="0" t="s">
        <v>258</v>
      </c>
      <c r="B1673" s="52" t="n">
        <v>44536</v>
      </c>
      <c r="C1673" s="54" t="s">
        <v>590</v>
      </c>
      <c r="D1673" s="0" t="n">
        <v>0.0002410065799772</v>
      </c>
      <c r="E1673" s="0" t="n">
        <v>0.146412670377078</v>
      </c>
      <c r="F1673" s="0" t="n">
        <v>0</v>
      </c>
      <c r="G1673" s="0" t="n">
        <v>2021</v>
      </c>
    </row>
    <row r="1674" customFormat="false" ht="15" hidden="false" customHeight="false" outlineLevel="0" collapsed="false">
      <c r="A1674" s="0" t="s">
        <v>258</v>
      </c>
      <c r="B1674" s="52" t="n">
        <v>44536</v>
      </c>
      <c r="C1674" s="54" t="s">
        <v>591</v>
      </c>
      <c r="D1674" s="0" t="n">
        <v>0.0102005490317092</v>
      </c>
      <c r="E1674" s="0" t="n">
        <v>0.144254384814245</v>
      </c>
      <c r="F1674" s="0" t="n">
        <v>0</v>
      </c>
      <c r="G1674" s="0" t="n">
        <v>2021</v>
      </c>
    </row>
    <row r="1675" customFormat="false" ht="15" hidden="false" customHeight="false" outlineLevel="0" collapsed="false">
      <c r="A1675" s="0" t="s">
        <v>258</v>
      </c>
      <c r="B1675" s="52" t="n">
        <v>44536</v>
      </c>
      <c r="C1675" s="54" t="s">
        <v>592</v>
      </c>
      <c r="D1675" s="0" t="n">
        <v>0.0051059317354817</v>
      </c>
      <c r="E1675" s="0" t="n">
        <v>0.135012803077559</v>
      </c>
      <c r="F1675" s="0" t="n">
        <v>0</v>
      </c>
      <c r="G1675" s="0" t="n">
        <v>2021</v>
      </c>
    </row>
    <row r="1676" customFormat="false" ht="15" hidden="false" customHeight="false" outlineLevel="0" collapsed="false">
      <c r="A1676" s="0" t="s">
        <v>258</v>
      </c>
      <c r="B1676" s="52" t="n">
        <v>44537</v>
      </c>
      <c r="C1676" s="54" t="s">
        <v>590</v>
      </c>
      <c r="D1676" s="0" t="n">
        <v>0.0025713587258137</v>
      </c>
      <c r="E1676" s="0" t="n">
        <v>0.468266815015767</v>
      </c>
      <c r="F1676" s="0" t="n">
        <v>0</v>
      </c>
      <c r="G1676" s="0" t="n">
        <v>2021</v>
      </c>
    </row>
    <row r="1677" customFormat="false" ht="15" hidden="false" customHeight="false" outlineLevel="0" collapsed="false">
      <c r="A1677" s="0" t="s">
        <v>258</v>
      </c>
      <c r="B1677" s="52" t="n">
        <v>44537</v>
      </c>
      <c r="C1677" s="54" t="s">
        <v>591</v>
      </c>
      <c r="D1677" s="0" t="n">
        <v>0</v>
      </c>
      <c r="E1677" s="0" t="n">
        <v>0.0782211429760502</v>
      </c>
      <c r="F1677" s="0" t="n">
        <v>0</v>
      </c>
      <c r="G1677" s="0" t="n">
        <v>2021</v>
      </c>
    </row>
    <row r="1678" customFormat="false" ht="15" hidden="false" customHeight="false" outlineLevel="0" collapsed="false">
      <c r="A1678" s="0" t="s">
        <v>258</v>
      </c>
      <c r="B1678" s="52" t="n">
        <v>44537</v>
      </c>
      <c r="C1678" s="54" t="s">
        <v>592</v>
      </c>
      <c r="D1678" s="0" t="n">
        <v>0.0066103283176195</v>
      </c>
      <c r="E1678" s="0" t="n">
        <v>0.141822725752087</v>
      </c>
      <c r="F1678" s="0" t="n">
        <v>0</v>
      </c>
      <c r="G1678" s="0" t="n">
        <v>2021</v>
      </c>
    </row>
    <row r="1679" customFormat="false" ht="15" hidden="false" customHeight="false" outlineLevel="0" collapsed="false">
      <c r="A1679" s="0" t="s">
        <v>258</v>
      </c>
      <c r="B1679" s="52" t="n">
        <v>44538</v>
      </c>
      <c r="C1679" s="54" t="s">
        <v>590</v>
      </c>
      <c r="D1679" s="0" t="n">
        <v>0.742359707731896</v>
      </c>
      <c r="E1679" s="0" t="n">
        <v>0</v>
      </c>
      <c r="F1679" s="0" t="n">
        <v>0</v>
      </c>
      <c r="G1679" s="0" t="n">
        <v>2021</v>
      </c>
    </row>
    <row r="1680" customFormat="false" ht="15" hidden="false" customHeight="false" outlineLevel="0" collapsed="false">
      <c r="A1680" s="0" t="s">
        <v>258</v>
      </c>
      <c r="B1680" s="52" t="n">
        <v>44538</v>
      </c>
      <c r="C1680" s="54" t="s">
        <v>591</v>
      </c>
      <c r="D1680" s="0" t="n">
        <v>0.0088778588600531</v>
      </c>
      <c r="E1680" s="0" t="n">
        <v>0.0643145900941774</v>
      </c>
      <c r="F1680" s="0" t="n">
        <v>0</v>
      </c>
      <c r="G1680" s="0" t="n">
        <v>2021</v>
      </c>
    </row>
    <row r="1681" customFormat="false" ht="15" hidden="false" customHeight="false" outlineLevel="0" collapsed="false">
      <c r="A1681" s="0" t="s">
        <v>258</v>
      </c>
      <c r="B1681" s="52" t="n">
        <v>44538</v>
      </c>
      <c r="C1681" s="54" t="s">
        <v>592</v>
      </c>
      <c r="D1681" s="0" t="n">
        <v>0</v>
      </c>
      <c r="E1681" s="0" t="n">
        <v>0.0537829768834236</v>
      </c>
      <c r="F1681" s="0" t="n">
        <v>0</v>
      </c>
      <c r="G1681" s="0" t="n">
        <v>2021</v>
      </c>
    </row>
    <row r="1682" customFormat="false" ht="15" hidden="false" customHeight="false" outlineLevel="0" collapsed="false">
      <c r="A1682" s="0" t="s">
        <v>258</v>
      </c>
      <c r="B1682" s="52" t="n">
        <v>44539</v>
      </c>
      <c r="C1682" s="54" t="s">
        <v>590</v>
      </c>
      <c r="D1682" s="0" t="n">
        <v>0.315564872097568</v>
      </c>
      <c r="E1682" s="0" t="n">
        <v>0.191820611290823</v>
      </c>
      <c r="F1682" s="0" t="n">
        <v>0</v>
      </c>
      <c r="G1682" s="0" t="n">
        <v>2021</v>
      </c>
    </row>
    <row r="1683" customFormat="false" ht="15" hidden="false" customHeight="false" outlineLevel="0" collapsed="false">
      <c r="A1683" s="0" t="s">
        <v>258</v>
      </c>
      <c r="B1683" s="52" t="n">
        <v>44539</v>
      </c>
      <c r="C1683" s="54" t="s">
        <v>591</v>
      </c>
      <c r="D1683" s="0" t="n">
        <v>0.0592857083505635</v>
      </c>
      <c r="E1683" s="0" t="n">
        <v>0.0136536841504987</v>
      </c>
      <c r="F1683" s="0" t="n">
        <v>0</v>
      </c>
      <c r="G1683" s="0" t="n">
        <v>2021</v>
      </c>
    </row>
    <row r="1684" customFormat="false" ht="15" hidden="false" customHeight="false" outlineLevel="0" collapsed="false">
      <c r="A1684" s="0" t="s">
        <v>258</v>
      </c>
      <c r="B1684" s="52" t="n">
        <v>44539</v>
      </c>
      <c r="C1684" s="54" t="s">
        <v>592</v>
      </c>
      <c r="D1684" s="0" t="n">
        <v>0.011971425645589</v>
      </c>
      <c r="E1684" s="0" t="n">
        <v>0.141507693617233</v>
      </c>
      <c r="F1684" s="0" t="n">
        <v>0</v>
      </c>
      <c r="G1684" s="0" t="n">
        <v>2021</v>
      </c>
    </row>
    <row r="1685" customFormat="false" ht="15" hidden="false" customHeight="false" outlineLevel="0" collapsed="false">
      <c r="A1685" s="0" t="s">
        <v>258</v>
      </c>
      <c r="B1685" s="52" t="n">
        <v>44540</v>
      </c>
      <c r="C1685" s="54" t="s">
        <v>590</v>
      </c>
      <c r="D1685" s="0" t="n">
        <v>0.0462639594170211</v>
      </c>
      <c r="E1685" s="0" t="n">
        <v>0.0965363842293954</v>
      </c>
      <c r="F1685" s="0" t="n">
        <v>0</v>
      </c>
      <c r="G1685" s="0" t="n">
        <v>2021</v>
      </c>
    </row>
    <row r="1686" customFormat="false" ht="15" hidden="false" customHeight="false" outlineLevel="0" collapsed="false">
      <c r="A1686" s="0" t="s">
        <v>258</v>
      </c>
      <c r="B1686" s="52" t="n">
        <v>44540</v>
      </c>
      <c r="C1686" s="54" t="s">
        <v>591</v>
      </c>
      <c r="D1686" s="0" t="n">
        <v>0.090525331613932</v>
      </c>
      <c r="E1686" s="0" t="n">
        <v>0.160816129896141</v>
      </c>
      <c r="F1686" s="0" t="n">
        <v>0</v>
      </c>
      <c r="G1686" s="0" t="n">
        <v>2021</v>
      </c>
    </row>
    <row r="1687" customFormat="false" ht="15" hidden="false" customHeight="false" outlineLevel="0" collapsed="false">
      <c r="A1687" s="0" t="s">
        <v>258</v>
      </c>
      <c r="B1687" s="52" t="n">
        <v>44540</v>
      </c>
      <c r="C1687" s="54" t="s">
        <v>592</v>
      </c>
      <c r="D1687" s="0" t="n">
        <v>0.436969640233326</v>
      </c>
      <c r="E1687" s="0" t="n">
        <v>0.0275357138218729</v>
      </c>
      <c r="F1687" s="0" t="n">
        <v>0</v>
      </c>
      <c r="G1687" s="0" t="n">
        <v>2021</v>
      </c>
    </row>
    <row r="1688" customFormat="false" ht="15" hidden="false" customHeight="false" outlineLevel="0" collapsed="false">
      <c r="A1688" s="0" t="s">
        <v>258</v>
      </c>
      <c r="B1688" s="52" t="n">
        <v>44541</v>
      </c>
      <c r="C1688" s="54" t="s">
        <v>590</v>
      </c>
      <c r="D1688" s="0" t="n">
        <v>0.118819308956594</v>
      </c>
      <c r="E1688" s="0" t="n">
        <v>0.0845036816322848</v>
      </c>
      <c r="F1688" s="0" t="n">
        <v>1</v>
      </c>
      <c r="G1688" s="0" t="n">
        <v>2021</v>
      </c>
    </row>
    <row r="1689" customFormat="false" ht="15" hidden="false" customHeight="false" outlineLevel="0" collapsed="false">
      <c r="A1689" s="0" t="s">
        <v>258</v>
      </c>
      <c r="B1689" s="52" t="n">
        <v>44541</v>
      </c>
      <c r="C1689" s="54" t="s">
        <v>591</v>
      </c>
      <c r="D1689" s="0" t="n">
        <v>0.305689476408198</v>
      </c>
      <c r="E1689" s="0" t="n">
        <v>0.0698793819393334</v>
      </c>
      <c r="F1689" s="0" t="n">
        <v>1</v>
      </c>
      <c r="G1689" s="0" t="n">
        <v>2021</v>
      </c>
    </row>
    <row r="1690" customFormat="false" ht="15" hidden="false" customHeight="false" outlineLevel="0" collapsed="false">
      <c r="A1690" s="0" t="s">
        <v>258</v>
      </c>
      <c r="B1690" s="52" t="n">
        <v>44541</v>
      </c>
      <c r="C1690" s="54" t="s">
        <v>592</v>
      </c>
      <c r="D1690" s="0" t="n">
        <v>1</v>
      </c>
      <c r="E1690" s="0" t="n">
        <v>0</v>
      </c>
      <c r="F1690" s="0" t="n">
        <v>1</v>
      </c>
      <c r="G1690" s="0" t="n">
        <v>2021</v>
      </c>
    </row>
    <row r="1691" customFormat="false" ht="15" hidden="false" customHeight="false" outlineLevel="0" collapsed="false">
      <c r="A1691" s="0" t="s">
        <v>258</v>
      </c>
      <c r="B1691" s="52" t="n">
        <v>44542</v>
      </c>
      <c r="C1691" s="54" t="s">
        <v>591</v>
      </c>
      <c r="D1691" s="0" t="n">
        <v>0.180586155522895</v>
      </c>
      <c r="E1691" s="0" t="n">
        <v>0.050425024261531</v>
      </c>
      <c r="F1691" s="0" t="n">
        <v>1</v>
      </c>
      <c r="G1691" s="0" t="n">
        <v>2021</v>
      </c>
    </row>
    <row r="1692" customFormat="false" ht="15" hidden="false" customHeight="false" outlineLevel="0" collapsed="false">
      <c r="A1692" s="0" t="s">
        <v>258</v>
      </c>
      <c r="B1692" s="52" t="n">
        <v>44542</v>
      </c>
      <c r="C1692" s="54" t="s">
        <v>592</v>
      </c>
      <c r="D1692" s="0" t="n">
        <v>0.522203810065026</v>
      </c>
      <c r="E1692" s="0" t="n">
        <v>0.0224185396007934</v>
      </c>
      <c r="F1692" s="0" t="n">
        <v>1</v>
      </c>
      <c r="G1692" s="0" t="n">
        <v>2021</v>
      </c>
    </row>
    <row r="1693" customFormat="false" ht="15" hidden="false" customHeight="false" outlineLevel="0" collapsed="false">
      <c r="A1693" s="0" t="s">
        <v>258</v>
      </c>
      <c r="B1693" s="52" t="n">
        <v>44543</v>
      </c>
      <c r="C1693" s="54" t="s">
        <v>590</v>
      </c>
      <c r="D1693" s="0" t="n">
        <v>0.598437478558784</v>
      </c>
      <c r="E1693" s="0" t="n">
        <v>0.183630695659564</v>
      </c>
      <c r="F1693" s="0" t="n">
        <v>0</v>
      </c>
      <c r="G1693" s="0" t="n">
        <v>2021</v>
      </c>
    </row>
    <row r="1694" customFormat="false" ht="15" hidden="false" customHeight="false" outlineLevel="0" collapsed="false">
      <c r="A1694" s="0" t="s">
        <v>258</v>
      </c>
      <c r="B1694" s="52" t="n">
        <v>44543</v>
      </c>
      <c r="C1694" s="54" t="s">
        <v>591</v>
      </c>
      <c r="D1694" s="0" t="n">
        <v>0.0072942084888237</v>
      </c>
      <c r="E1694" s="0" t="n">
        <v>0.0831077739963198</v>
      </c>
      <c r="F1694" s="0" t="n">
        <v>0</v>
      </c>
      <c r="G1694" s="0" t="n">
        <v>2021</v>
      </c>
    </row>
    <row r="1695" customFormat="false" ht="15" hidden="false" customHeight="false" outlineLevel="0" collapsed="false">
      <c r="A1695" s="0" t="s">
        <v>258</v>
      </c>
      <c r="B1695" s="52" t="n">
        <v>44543</v>
      </c>
      <c r="C1695" s="54" t="s">
        <v>592</v>
      </c>
      <c r="D1695" s="0" t="n">
        <v>0</v>
      </c>
      <c r="E1695" s="0" t="n">
        <v>0.0645069567842341</v>
      </c>
      <c r="F1695" s="0" t="n">
        <v>0</v>
      </c>
      <c r="G1695" s="0" t="n">
        <v>2021</v>
      </c>
    </row>
    <row r="1696" customFormat="false" ht="15" hidden="false" customHeight="false" outlineLevel="0" collapsed="false">
      <c r="A1696" s="0" t="s">
        <v>258</v>
      </c>
      <c r="B1696" s="52" t="n">
        <v>44544</v>
      </c>
      <c r="C1696" s="54" t="s">
        <v>590</v>
      </c>
      <c r="D1696" s="0" t="n">
        <v>0.178826468533266</v>
      </c>
      <c r="E1696" s="0" t="n">
        <v>0.434630293320973</v>
      </c>
      <c r="F1696" s="0" t="n">
        <v>0</v>
      </c>
      <c r="G1696" s="0" t="n">
        <v>2021</v>
      </c>
    </row>
    <row r="1697" customFormat="false" ht="15" hidden="false" customHeight="false" outlineLevel="0" collapsed="false">
      <c r="A1697" s="0" t="s">
        <v>258</v>
      </c>
      <c r="B1697" s="52" t="n">
        <v>44544</v>
      </c>
      <c r="C1697" s="54" t="s">
        <v>591</v>
      </c>
      <c r="D1697" s="0" t="n">
        <v>0.0158961759503674</v>
      </c>
      <c r="E1697" s="0" t="n">
        <v>0.152964852577233</v>
      </c>
      <c r="F1697" s="0" t="n">
        <v>0</v>
      </c>
      <c r="G1697" s="0" t="n">
        <v>2021</v>
      </c>
    </row>
    <row r="1698" customFormat="false" ht="15" hidden="false" customHeight="false" outlineLevel="0" collapsed="false">
      <c r="A1698" s="0" t="s">
        <v>258</v>
      </c>
      <c r="B1698" s="52" t="n">
        <v>44544</v>
      </c>
      <c r="C1698" s="54" t="s">
        <v>592</v>
      </c>
      <c r="D1698" s="0" t="n">
        <v>0</v>
      </c>
      <c r="E1698" s="0" t="n">
        <v>0.0424760443785375</v>
      </c>
      <c r="F1698" s="0" t="n">
        <v>0</v>
      </c>
      <c r="G1698" s="0" t="n">
        <v>2021</v>
      </c>
    </row>
    <row r="1699" customFormat="false" ht="15" hidden="false" customHeight="false" outlineLevel="0" collapsed="false">
      <c r="A1699" s="0" t="s">
        <v>258</v>
      </c>
      <c r="B1699" s="52" t="n">
        <v>44545</v>
      </c>
      <c r="C1699" s="54" t="s">
        <v>590</v>
      </c>
      <c r="D1699" s="0" t="n">
        <v>0.0044028638665312</v>
      </c>
      <c r="E1699" s="0" t="n">
        <v>0.0955100337614598</v>
      </c>
      <c r="F1699" s="0" t="n">
        <v>0</v>
      </c>
      <c r="G1699" s="0" t="n">
        <v>2021</v>
      </c>
    </row>
    <row r="1700" customFormat="false" ht="15" hidden="false" customHeight="false" outlineLevel="0" collapsed="false">
      <c r="A1700" s="0" t="s">
        <v>258</v>
      </c>
      <c r="B1700" s="52" t="n">
        <v>44545</v>
      </c>
      <c r="C1700" s="54" t="s">
        <v>591</v>
      </c>
      <c r="D1700" s="0" t="n">
        <v>0.0050605030060218</v>
      </c>
      <c r="E1700" s="0" t="n">
        <v>0.03761226795514</v>
      </c>
      <c r="F1700" s="0" t="n">
        <v>0</v>
      </c>
      <c r="G1700" s="0" t="n">
        <v>2021</v>
      </c>
    </row>
    <row r="1701" customFormat="false" ht="15" hidden="false" customHeight="false" outlineLevel="0" collapsed="false">
      <c r="A1701" s="0" t="s">
        <v>258</v>
      </c>
      <c r="B1701" s="52" t="n">
        <v>44545</v>
      </c>
      <c r="C1701" s="54" t="s">
        <v>592</v>
      </c>
      <c r="D1701" s="0" t="n">
        <v>0.10012127292629</v>
      </c>
      <c r="E1701" s="0" t="n">
        <v>0.0521885054952329</v>
      </c>
      <c r="F1701" s="0" t="n">
        <v>0</v>
      </c>
      <c r="G1701" s="0" t="n">
        <v>2021</v>
      </c>
    </row>
    <row r="1702" customFormat="false" ht="15" hidden="false" customHeight="false" outlineLevel="0" collapsed="false">
      <c r="A1702" s="0" t="s">
        <v>258</v>
      </c>
      <c r="B1702" s="52" t="n">
        <v>44546</v>
      </c>
      <c r="C1702" s="54" t="s">
        <v>590</v>
      </c>
      <c r="D1702" s="0" t="n">
        <v>0.0039936249287594</v>
      </c>
      <c r="E1702" s="0" t="n">
        <v>0.164913873401009</v>
      </c>
      <c r="F1702" s="0" t="n">
        <v>0</v>
      </c>
      <c r="G1702" s="0" t="n">
        <v>2021</v>
      </c>
    </row>
    <row r="1703" customFormat="false" ht="15" hidden="false" customHeight="false" outlineLevel="0" collapsed="false">
      <c r="A1703" s="0" t="s">
        <v>258</v>
      </c>
      <c r="B1703" s="52" t="n">
        <v>44546</v>
      </c>
      <c r="C1703" s="54" t="s">
        <v>591</v>
      </c>
      <c r="D1703" s="0" t="n">
        <v>0.0131926386764399</v>
      </c>
      <c r="E1703" s="0" t="n">
        <v>0.0507231335399592</v>
      </c>
      <c r="F1703" s="0" t="n">
        <v>0</v>
      </c>
      <c r="G1703" s="0" t="n">
        <v>2021</v>
      </c>
    </row>
    <row r="1704" customFormat="false" ht="15" hidden="false" customHeight="false" outlineLevel="0" collapsed="false">
      <c r="A1704" s="0" t="s">
        <v>258</v>
      </c>
      <c r="B1704" s="52" t="n">
        <v>44546</v>
      </c>
      <c r="C1704" s="54" t="s">
        <v>592</v>
      </c>
      <c r="D1704" s="0" t="n">
        <v>0.0362917439615058</v>
      </c>
      <c r="E1704" s="0" t="n">
        <v>0.101747348537324</v>
      </c>
      <c r="F1704" s="0" t="n">
        <v>0</v>
      </c>
      <c r="G1704" s="0" t="n">
        <v>2021</v>
      </c>
    </row>
    <row r="1705" customFormat="false" ht="15" hidden="false" customHeight="false" outlineLevel="0" collapsed="false">
      <c r="A1705" s="0" t="s">
        <v>258</v>
      </c>
      <c r="B1705" s="52" t="n">
        <v>44547</v>
      </c>
      <c r="C1705" s="54" t="s">
        <v>590</v>
      </c>
      <c r="D1705" s="0" t="n">
        <v>0.146202399060432</v>
      </c>
      <c r="E1705" s="0" t="n">
        <v>0.0829110271303481</v>
      </c>
      <c r="F1705" s="0" t="n">
        <v>0</v>
      </c>
      <c r="G1705" s="0" t="n">
        <v>2021</v>
      </c>
    </row>
    <row r="1706" customFormat="false" ht="15" hidden="false" customHeight="false" outlineLevel="0" collapsed="false">
      <c r="A1706" s="0" t="s">
        <v>258</v>
      </c>
      <c r="B1706" s="52" t="n">
        <v>44547</v>
      </c>
      <c r="C1706" s="54" t="s">
        <v>591</v>
      </c>
      <c r="D1706" s="0" t="n">
        <v>0.0037459787896202</v>
      </c>
      <c r="E1706" s="0" t="n">
        <v>0.134414880279927</v>
      </c>
      <c r="F1706" s="0" t="n">
        <v>0</v>
      </c>
      <c r="G1706" s="0" t="n">
        <v>2021</v>
      </c>
    </row>
    <row r="1707" customFormat="false" ht="15" hidden="false" customHeight="false" outlineLevel="0" collapsed="false">
      <c r="A1707" s="0" t="s">
        <v>258</v>
      </c>
      <c r="B1707" s="52" t="n">
        <v>44547</v>
      </c>
      <c r="C1707" s="54" t="s">
        <v>592</v>
      </c>
      <c r="D1707" s="0" t="n">
        <v>0.0012137152230179</v>
      </c>
      <c r="E1707" s="0" t="n">
        <v>0.0538779863429821</v>
      </c>
      <c r="F1707" s="0" t="n">
        <v>0</v>
      </c>
      <c r="G1707" s="0" t="n">
        <v>2021</v>
      </c>
    </row>
    <row r="1708" customFormat="false" ht="15" hidden="false" customHeight="false" outlineLevel="0" collapsed="false">
      <c r="A1708" s="0" t="s">
        <v>258</v>
      </c>
      <c r="B1708" s="52" t="n">
        <v>44548</v>
      </c>
      <c r="C1708" s="54" t="s">
        <v>590</v>
      </c>
      <c r="D1708" s="0" t="n">
        <v>0.215149887709826</v>
      </c>
      <c r="E1708" s="0" t="n">
        <v>0.109131366251714</v>
      </c>
      <c r="F1708" s="0" t="n">
        <v>1</v>
      </c>
      <c r="G1708" s="0" t="n">
        <v>2021</v>
      </c>
    </row>
    <row r="1709" customFormat="false" ht="15" hidden="false" customHeight="false" outlineLevel="0" collapsed="false">
      <c r="A1709" s="0" t="s">
        <v>258</v>
      </c>
      <c r="B1709" s="52" t="n">
        <v>44549</v>
      </c>
      <c r="C1709" s="54" t="s">
        <v>590</v>
      </c>
      <c r="D1709" s="0" t="n">
        <v>0.870407073645145</v>
      </c>
      <c r="E1709" s="0" t="n">
        <v>0</v>
      </c>
      <c r="F1709" s="0" t="n">
        <v>1</v>
      </c>
      <c r="G1709" s="0" t="n">
        <v>2021</v>
      </c>
    </row>
    <row r="1710" customFormat="false" ht="15" hidden="false" customHeight="false" outlineLevel="0" collapsed="false">
      <c r="A1710" s="0" t="s">
        <v>258</v>
      </c>
      <c r="B1710" s="52" t="n">
        <v>44549</v>
      </c>
      <c r="C1710" s="54" t="s">
        <v>591</v>
      </c>
      <c r="D1710" s="0" t="n">
        <v>0</v>
      </c>
      <c r="E1710" s="0" t="n">
        <v>0.0743884448871583</v>
      </c>
      <c r="F1710" s="0" t="n">
        <v>1</v>
      </c>
      <c r="G1710" s="0" t="n">
        <v>2021</v>
      </c>
    </row>
    <row r="1711" customFormat="false" ht="15" hidden="false" customHeight="false" outlineLevel="0" collapsed="false">
      <c r="A1711" s="0" t="s">
        <v>258</v>
      </c>
      <c r="B1711" s="52" t="n">
        <v>44549</v>
      </c>
      <c r="C1711" s="54" t="s">
        <v>592</v>
      </c>
      <c r="D1711" s="0" t="n">
        <v>0.0092481514185516</v>
      </c>
      <c r="E1711" s="0" t="n">
        <v>0.147807135598361</v>
      </c>
      <c r="F1711" s="0" t="n">
        <v>1</v>
      </c>
      <c r="G1711" s="0" t="n">
        <v>2021</v>
      </c>
    </row>
    <row r="1712" customFormat="false" ht="15" hidden="false" customHeight="false" outlineLevel="0" collapsed="false">
      <c r="A1712" s="0" t="s">
        <v>258</v>
      </c>
      <c r="B1712" s="52" t="n">
        <v>44550</v>
      </c>
      <c r="C1712" s="54" t="s">
        <v>590</v>
      </c>
      <c r="D1712" s="0" t="n">
        <v>0.0019571347432905</v>
      </c>
      <c r="E1712" s="0" t="n">
        <v>0.0639083894984269</v>
      </c>
      <c r="F1712" s="0" t="n">
        <v>0</v>
      </c>
      <c r="G1712" s="0" t="n">
        <v>2021</v>
      </c>
    </row>
    <row r="1713" customFormat="false" ht="15" hidden="false" customHeight="false" outlineLevel="0" collapsed="false">
      <c r="A1713" s="0" t="s">
        <v>258</v>
      </c>
      <c r="B1713" s="52" t="n">
        <v>44550</v>
      </c>
      <c r="C1713" s="54" t="s">
        <v>591</v>
      </c>
      <c r="D1713" s="0" t="n">
        <v>0.0460035195995185</v>
      </c>
      <c r="E1713" s="0" t="n">
        <v>0.131654930446989</v>
      </c>
      <c r="F1713" s="0" t="n">
        <v>0</v>
      </c>
      <c r="G1713" s="0" t="n">
        <v>2021</v>
      </c>
    </row>
    <row r="1714" customFormat="false" ht="15" hidden="false" customHeight="false" outlineLevel="0" collapsed="false">
      <c r="A1714" s="0" t="s">
        <v>258</v>
      </c>
      <c r="B1714" s="52" t="n">
        <v>44550</v>
      </c>
      <c r="C1714" s="54" t="s">
        <v>592</v>
      </c>
      <c r="D1714" s="0" t="n">
        <v>0.0567815233442545</v>
      </c>
      <c r="E1714" s="0" t="n">
        <v>0.156496578467919</v>
      </c>
      <c r="F1714" s="0" t="n">
        <v>0</v>
      </c>
      <c r="G1714" s="0" t="n">
        <v>2021</v>
      </c>
    </row>
    <row r="1715" customFormat="false" ht="15" hidden="false" customHeight="false" outlineLevel="0" collapsed="false">
      <c r="A1715" s="0" t="s">
        <v>258</v>
      </c>
      <c r="B1715" s="52" t="n">
        <v>44551</v>
      </c>
      <c r="C1715" s="54" t="s">
        <v>590</v>
      </c>
      <c r="D1715" s="0" t="n">
        <v>0</v>
      </c>
      <c r="E1715" s="0" t="n">
        <v>0.270268876516986</v>
      </c>
      <c r="F1715" s="0" t="n">
        <v>0</v>
      </c>
      <c r="G1715" s="0" t="n">
        <v>2021</v>
      </c>
    </row>
    <row r="1716" customFormat="false" ht="15" hidden="false" customHeight="false" outlineLevel="0" collapsed="false">
      <c r="A1716" s="0" t="s">
        <v>258</v>
      </c>
      <c r="B1716" s="52" t="n">
        <v>44551</v>
      </c>
      <c r="C1716" s="54" t="s">
        <v>591</v>
      </c>
      <c r="D1716" s="0" t="n">
        <v>0.0074874752601161</v>
      </c>
      <c r="E1716" s="0" t="n">
        <v>0.110446259666249</v>
      </c>
      <c r="F1716" s="0" t="n">
        <v>0</v>
      </c>
      <c r="G1716" s="0" t="n">
        <v>2021</v>
      </c>
    </row>
    <row r="1717" customFormat="false" ht="15" hidden="false" customHeight="false" outlineLevel="0" collapsed="false">
      <c r="A1717" s="0" t="s">
        <v>258</v>
      </c>
      <c r="B1717" s="52" t="n">
        <v>44551</v>
      </c>
      <c r="C1717" s="54" t="s">
        <v>592</v>
      </c>
      <c r="D1717" s="0" t="n">
        <v>0.25644256976455</v>
      </c>
      <c r="E1717" s="0" t="n">
        <v>0.0430620570576646</v>
      </c>
      <c r="F1717" s="0" t="n">
        <v>0</v>
      </c>
      <c r="G1717" s="0" t="n">
        <v>2021</v>
      </c>
    </row>
    <row r="1718" customFormat="false" ht="15" hidden="false" customHeight="false" outlineLevel="0" collapsed="false">
      <c r="A1718" s="0" t="s">
        <v>258</v>
      </c>
      <c r="B1718" s="52" t="n">
        <v>44552</v>
      </c>
      <c r="C1718" s="54" t="s">
        <v>590</v>
      </c>
      <c r="D1718" s="0" t="n">
        <v>0.712398207146241</v>
      </c>
      <c r="E1718" s="0" t="n">
        <v>0.018672865712692</v>
      </c>
      <c r="F1718" s="0" t="n">
        <v>0</v>
      </c>
      <c r="G1718" s="0" t="n">
        <v>2021</v>
      </c>
    </row>
    <row r="1719" customFormat="false" ht="15" hidden="false" customHeight="false" outlineLevel="0" collapsed="false">
      <c r="A1719" s="0" t="s">
        <v>258</v>
      </c>
      <c r="B1719" s="52" t="n">
        <v>44552</v>
      </c>
      <c r="C1719" s="54" t="s">
        <v>591</v>
      </c>
      <c r="D1719" s="0" t="n">
        <v>0.0026431080991313</v>
      </c>
      <c r="E1719" s="0" t="n">
        <v>0.0679116037135388</v>
      </c>
      <c r="F1719" s="0" t="n">
        <v>0</v>
      </c>
      <c r="G1719" s="0" t="n">
        <v>2021</v>
      </c>
    </row>
    <row r="1720" customFormat="false" ht="15" hidden="false" customHeight="false" outlineLevel="0" collapsed="false">
      <c r="A1720" s="0" t="s">
        <v>258</v>
      </c>
      <c r="B1720" s="52" t="n">
        <v>44552</v>
      </c>
      <c r="C1720" s="54" t="s">
        <v>592</v>
      </c>
      <c r="D1720" s="0" t="n">
        <v>0.0974991308450593</v>
      </c>
      <c r="E1720" s="0" t="n">
        <v>0.176254870623518</v>
      </c>
      <c r="F1720" s="0" t="n">
        <v>0</v>
      </c>
      <c r="G1720" s="0" t="n">
        <v>2021</v>
      </c>
    </row>
    <row r="1721" customFormat="false" ht="15" hidden="false" customHeight="false" outlineLevel="0" collapsed="false">
      <c r="A1721" s="0" t="s">
        <v>258</v>
      </c>
      <c r="B1721" s="52" t="n">
        <v>44553</v>
      </c>
      <c r="C1721" s="54" t="s">
        <v>590</v>
      </c>
      <c r="D1721" s="0" t="n">
        <v>0.150122489757876</v>
      </c>
      <c r="E1721" s="0" t="n">
        <v>0.211322746573943</v>
      </c>
      <c r="F1721" s="0" t="n">
        <v>0</v>
      </c>
      <c r="G1721" s="0" t="n">
        <v>2021</v>
      </c>
    </row>
    <row r="1722" customFormat="false" ht="15" hidden="false" customHeight="false" outlineLevel="0" collapsed="false">
      <c r="A1722" s="0" t="s">
        <v>258</v>
      </c>
      <c r="B1722" s="52" t="n">
        <v>44553</v>
      </c>
      <c r="C1722" s="54" t="s">
        <v>591</v>
      </c>
      <c r="D1722" s="0" t="n">
        <v>0.0006778068171142</v>
      </c>
      <c r="E1722" s="0" t="n">
        <v>0.0664975605927091</v>
      </c>
      <c r="F1722" s="0" t="n">
        <v>0</v>
      </c>
      <c r="G1722" s="0" t="n">
        <v>2021</v>
      </c>
    </row>
    <row r="1723" customFormat="false" ht="15" hidden="false" customHeight="false" outlineLevel="0" collapsed="false">
      <c r="A1723" s="0" t="s">
        <v>258</v>
      </c>
      <c r="B1723" s="52" t="n">
        <v>44553</v>
      </c>
      <c r="C1723" s="54" t="s">
        <v>592</v>
      </c>
      <c r="D1723" s="0" t="n">
        <v>0.0104871707820182</v>
      </c>
      <c r="E1723" s="0" t="n">
        <v>0.133026823392887</v>
      </c>
      <c r="F1723" s="0" t="n">
        <v>0</v>
      </c>
      <c r="G1723" s="0" t="n">
        <v>2021</v>
      </c>
    </row>
    <row r="1724" customFormat="false" ht="15" hidden="false" customHeight="false" outlineLevel="0" collapsed="false">
      <c r="A1724" s="0" t="s">
        <v>258</v>
      </c>
      <c r="B1724" s="52" t="n">
        <v>44554</v>
      </c>
      <c r="C1724" s="54" t="s">
        <v>590</v>
      </c>
      <c r="D1724" s="0" t="n">
        <v>0.345147673830588</v>
      </c>
      <c r="E1724" s="0" t="n">
        <v>0.156521086868539</v>
      </c>
      <c r="F1724" s="0" t="n">
        <v>0</v>
      </c>
      <c r="G1724" s="0" t="n">
        <v>2021</v>
      </c>
    </row>
    <row r="1725" customFormat="false" ht="15" hidden="false" customHeight="false" outlineLevel="0" collapsed="false">
      <c r="A1725" s="0" t="s">
        <v>258</v>
      </c>
      <c r="B1725" s="52" t="n">
        <v>44554</v>
      </c>
      <c r="C1725" s="54" t="s">
        <v>591</v>
      </c>
      <c r="D1725" s="0" t="n">
        <v>0.153158057052924</v>
      </c>
      <c r="E1725" s="0" t="n">
        <v>0.129596827331397</v>
      </c>
      <c r="F1725" s="0" t="n">
        <v>0</v>
      </c>
      <c r="G1725" s="0" t="n">
        <v>2021</v>
      </c>
    </row>
    <row r="1726" customFormat="false" ht="15" hidden="false" customHeight="false" outlineLevel="0" collapsed="false">
      <c r="A1726" s="0" t="s">
        <v>258</v>
      </c>
      <c r="B1726" s="52" t="n">
        <v>44556</v>
      </c>
      <c r="C1726" s="54" t="s">
        <v>590</v>
      </c>
      <c r="D1726" s="0" t="n">
        <v>0.930038876161007</v>
      </c>
      <c r="E1726" s="0" t="n">
        <v>0.0171479816479342</v>
      </c>
      <c r="F1726" s="0" t="n">
        <v>1</v>
      </c>
      <c r="G1726" s="0" t="n">
        <v>2021</v>
      </c>
    </row>
    <row r="1727" customFormat="false" ht="15" hidden="false" customHeight="false" outlineLevel="0" collapsed="false">
      <c r="A1727" s="0" t="s">
        <v>258</v>
      </c>
      <c r="B1727" s="52" t="n">
        <v>44556</v>
      </c>
      <c r="C1727" s="54" t="s">
        <v>591</v>
      </c>
      <c r="D1727" s="0" t="n">
        <v>0.0091201863487749</v>
      </c>
      <c r="E1727" s="0" t="n">
        <v>0.127850641313214</v>
      </c>
      <c r="F1727" s="0" t="n">
        <v>1</v>
      </c>
      <c r="G1727" s="0" t="n">
        <v>2021</v>
      </c>
    </row>
    <row r="1728" customFormat="false" ht="15" hidden="false" customHeight="false" outlineLevel="0" collapsed="false">
      <c r="A1728" s="0" t="s">
        <v>258</v>
      </c>
      <c r="B1728" s="52" t="n">
        <v>44556</v>
      </c>
      <c r="C1728" s="54" t="s">
        <v>592</v>
      </c>
      <c r="D1728" s="0" t="n">
        <v>0.0055910878356643</v>
      </c>
      <c r="E1728" s="0" t="n">
        <v>0.0938518738633601</v>
      </c>
      <c r="F1728" s="0" t="n">
        <v>1</v>
      </c>
      <c r="G1728" s="0" t="n">
        <v>2021</v>
      </c>
    </row>
    <row r="1729" customFormat="false" ht="15" hidden="false" customHeight="false" outlineLevel="0" collapsed="false">
      <c r="A1729" s="0" t="s">
        <v>258</v>
      </c>
      <c r="B1729" s="52" t="n">
        <v>44557</v>
      </c>
      <c r="C1729" s="54" t="s">
        <v>590</v>
      </c>
      <c r="D1729" s="0" t="n">
        <v>0.0087824597016842</v>
      </c>
      <c r="E1729" s="0" t="n">
        <v>0.108336816735225</v>
      </c>
      <c r="F1729" s="0" t="n">
        <v>0</v>
      </c>
      <c r="G1729" s="0" t="n">
        <v>2021</v>
      </c>
    </row>
    <row r="1730" customFormat="false" ht="15" hidden="false" customHeight="false" outlineLevel="0" collapsed="false">
      <c r="A1730" s="0" t="s">
        <v>258</v>
      </c>
      <c r="B1730" s="52" t="n">
        <v>44557</v>
      </c>
      <c r="C1730" s="54" t="s">
        <v>591</v>
      </c>
      <c r="D1730" s="0" t="n">
        <v>0.0878099585835842</v>
      </c>
      <c r="E1730" s="0" t="n">
        <v>0.340655628277912</v>
      </c>
      <c r="F1730" s="0" t="n">
        <v>0</v>
      </c>
      <c r="G1730" s="0" t="n">
        <v>2021</v>
      </c>
    </row>
    <row r="1731" customFormat="false" ht="15" hidden="false" customHeight="false" outlineLevel="0" collapsed="false">
      <c r="A1731" s="0" t="s">
        <v>258</v>
      </c>
      <c r="B1731" s="52" t="n">
        <v>44557</v>
      </c>
      <c r="C1731" s="54" t="s">
        <v>592</v>
      </c>
      <c r="D1731" s="0" t="n">
        <v>0.058338718777912</v>
      </c>
      <c r="E1731" s="0" t="n">
        <v>0.104560079329002</v>
      </c>
      <c r="F1731" s="0" t="n">
        <v>0</v>
      </c>
      <c r="G1731" s="0" t="n">
        <v>2021</v>
      </c>
    </row>
    <row r="1732" customFormat="false" ht="15" hidden="false" customHeight="false" outlineLevel="0" collapsed="false">
      <c r="A1732" s="0" t="s">
        <v>258</v>
      </c>
      <c r="B1732" s="52" t="n">
        <v>44558</v>
      </c>
      <c r="C1732" s="54" t="s">
        <v>590</v>
      </c>
      <c r="D1732" s="0" t="n">
        <v>0.0002872206478996</v>
      </c>
      <c r="E1732" s="0" t="n">
        <v>0.124504730994658</v>
      </c>
      <c r="F1732" s="0" t="n">
        <v>0</v>
      </c>
      <c r="G1732" s="0" t="n">
        <v>2021</v>
      </c>
    </row>
    <row r="1733" customFormat="false" ht="15" hidden="false" customHeight="false" outlineLevel="0" collapsed="false">
      <c r="A1733" s="0" t="s">
        <v>258</v>
      </c>
      <c r="B1733" s="52" t="n">
        <v>44558</v>
      </c>
      <c r="C1733" s="54" t="s">
        <v>591</v>
      </c>
      <c r="D1733" s="0" t="n">
        <v>0.0323891885103152</v>
      </c>
      <c r="E1733" s="0" t="n">
        <v>0.114639913571755</v>
      </c>
      <c r="F1733" s="0" t="n">
        <v>0</v>
      </c>
      <c r="G1733" s="0" t="n">
        <v>2021</v>
      </c>
    </row>
    <row r="1734" customFormat="false" ht="15" hidden="false" customHeight="false" outlineLevel="0" collapsed="false">
      <c r="A1734" s="0" t="s">
        <v>258</v>
      </c>
      <c r="B1734" s="52" t="n">
        <v>44558</v>
      </c>
      <c r="C1734" s="54" t="s">
        <v>592</v>
      </c>
      <c r="D1734" s="0" t="n">
        <v>0.826552064494685</v>
      </c>
      <c r="E1734" s="0" t="n">
        <v>0.0123806743430406</v>
      </c>
      <c r="F1734" s="0" t="n">
        <v>0</v>
      </c>
      <c r="G1734" s="0" t="n">
        <v>2021</v>
      </c>
    </row>
    <row r="1735" customFormat="false" ht="15" hidden="false" customHeight="false" outlineLevel="0" collapsed="false">
      <c r="A1735" s="0" t="s">
        <v>258</v>
      </c>
      <c r="B1735" s="52" t="n">
        <v>44559</v>
      </c>
      <c r="C1735" s="54" t="s">
        <v>590</v>
      </c>
      <c r="D1735" s="0" t="n">
        <v>0</v>
      </c>
      <c r="E1735" s="0" t="n">
        <v>0.179053430386792</v>
      </c>
      <c r="F1735" s="0" t="n">
        <v>0</v>
      </c>
      <c r="G1735" s="0" t="n">
        <v>2021</v>
      </c>
    </row>
    <row r="1736" customFormat="false" ht="15" hidden="false" customHeight="false" outlineLevel="0" collapsed="false">
      <c r="A1736" s="0" t="s">
        <v>258</v>
      </c>
      <c r="B1736" s="52" t="n">
        <v>44559</v>
      </c>
      <c r="C1736" s="54" t="s">
        <v>591</v>
      </c>
      <c r="D1736" s="0" t="n">
        <v>0.0136262528418849</v>
      </c>
      <c r="E1736" s="0" t="n">
        <v>0.214349852582829</v>
      </c>
      <c r="F1736" s="0" t="n">
        <v>0</v>
      </c>
      <c r="G1736" s="0" t="n">
        <v>2021</v>
      </c>
    </row>
    <row r="1737" customFormat="false" ht="15" hidden="false" customHeight="false" outlineLevel="0" collapsed="false">
      <c r="A1737" s="0" t="s">
        <v>258</v>
      </c>
      <c r="B1737" s="52" t="n">
        <v>44559</v>
      </c>
      <c r="C1737" s="54" t="s">
        <v>592</v>
      </c>
      <c r="D1737" s="0" t="n">
        <v>0.113237194028734</v>
      </c>
      <c r="E1737" s="0" t="n">
        <v>0.27151234688165</v>
      </c>
      <c r="F1737" s="0" t="n">
        <v>0</v>
      </c>
      <c r="G1737" s="0" t="n">
        <v>2021</v>
      </c>
    </row>
    <row r="1738" customFormat="false" ht="15" hidden="false" customHeight="false" outlineLevel="0" collapsed="false">
      <c r="A1738" s="0" t="s">
        <v>258</v>
      </c>
      <c r="B1738" s="52" t="n">
        <v>44560</v>
      </c>
      <c r="C1738" s="54" t="s">
        <v>590</v>
      </c>
      <c r="D1738" s="0" t="n">
        <v>0.161456129240784</v>
      </c>
      <c r="E1738" s="0" t="n">
        <v>0.117673878238254</v>
      </c>
      <c r="F1738" s="0" t="n">
        <v>0</v>
      </c>
      <c r="G1738" s="0" t="n">
        <v>2021</v>
      </c>
    </row>
    <row r="1739" customFormat="false" ht="15" hidden="false" customHeight="false" outlineLevel="0" collapsed="false">
      <c r="A1739" s="0" t="s">
        <v>258</v>
      </c>
      <c r="B1739" s="52" t="n">
        <v>44560</v>
      </c>
      <c r="C1739" s="54" t="s">
        <v>591</v>
      </c>
      <c r="D1739" s="0" t="n">
        <v>0.0131679639565714</v>
      </c>
      <c r="E1739" s="0" t="n">
        <v>0.0468112871209407</v>
      </c>
      <c r="F1739" s="0" t="n">
        <v>0</v>
      </c>
      <c r="G1739" s="0" t="n">
        <v>2021</v>
      </c>
    </row>
    <row r="1740" customFormat="false" ht="15" hidden="false" customHeight="false" outlineLevel="0" collapsed="false">
      <c r="A1740" s="0" t="s">
        <v>258</v>
      </c>
      <c r="B1740" s="52" t="n">
        <v>44560</v>
      </c>
      <c r="C1740" s="54" t="s">
        <v>592</v>
      </c>
      <c r="D1740" s="0" t="n">
        <v>0.0102191068068748</v>
      </c>
      <c r="E1740" s="0" t="n">
        <v>0.193555392697249</v>
      </c>
      <c r="F1740" s="0" t="n">
        <v>0</v>
      </c>
      <c r="G1740" s="0" t="n">
        <v>2021</v>
      </c>
    </row>
    <row r="1741" customFormat="false" ht="15" hidden="false" customHeight="false" outlineLevel="0" collapsed="false">
      <c r="A1741" s="0" t="s">
        <v>258</v>
      </c>
      <c r="B1741" s="52" t="n">
        <v>44561</v>
      </c>
      <c r="C1741" s="54" t="s">
        <v>590</v>
      </c>
      <c r="D1741" s="0" t="n">
        <v>0.0935376624025054</v>
      </c>
      <c r="E1741" s="0" t="n">
        <v>0.221101115126178</v>
      </c>
      <c r="F1741" s="0" t="n">
        <v>0</v>
      </c>
      <c r="G1741" s="0" t="n">
        <v>2021</v>
      </c>
    </row>
    <row r="1742" customFormat="false" ht="15" hidden="false" customHeight="false" outlineLevel="0" collapsed="false">
      <c r="A1742" s="0" t="s">
        <v>259</v>
      </c>
      <c r="B1742" s="52" t="n">
        <v>43997</v>
      </c>
      <c r="C1742" s="54" t="s">
        <v>590</v>
      </c>
      <c r="D1742" s="0" t="n">
        <v>1</v>
      </c>
      <c r="E1742" s="0" t="n">
        <v>0</v>
      </c>
      <c r="F1742" s="0" t="n">
        <v>0</v>
      </c>
      <c r="G1742" s="0" t="n">
        <v>2020</v>
      </c>
    </row>
    <row r="1743" customFormat="false" ht="15" hidden="false" customHeight="false" outlineLevel="0" collapsed="false">
      <c r="A1743" s="0" t="s">
        <v>259</v>
      </c>
      <c r="B1743" s="52" t="n">
        <v>43998</v>
      </c>
      <c r="C1743" s="54" t="s">
        <v>590</v>
      </c>
      <c r="D1743" s="0" t="n">
        <v>0.998388400960292</v>
      </c>
      <c r="E1743" s="0" t="n">
        <v>0</v>
      </c>
      <c r="F1743" s="0" t="n">
        <v>0</v>
      </c>
      <c r="G1743" s="0" t="n">
        <v>2020</v>
      </c>
    </row>
    <row r="1744" customFormat="false" ht="15" hidden="false" customHeight="false" outlineLevel="0" collapsed="false">
      <c r="A1744" s="0" t="s">
        <v>259</v>
      </c>
      <c r="B1744" s="52" t="n">
        <v>43998</v>
      </c>
      <c r="C1744" s="54" t="s">
        <v>591</v>
      </c>
      <c r="D1744" s="0" t="n">
        <v>0.963734930842744</v>
      </c>
      <c r="E1744" s="0" t="n">
        <v>0</v>
      </c>
      <c r="F1744" s="0" t="n">
        <v>0</v>
      </c>
      <c r="G1744" s="0" t="n">
        <v>2020</v>
      </c>
    </row>
    <row r="1745" customFormat="false" ht="15" hidden="false" customHeight="false" outlineLevel="0" collapsed="false">
      <c r="A1745" s="0" t="s">
        <v>259</v>
      </c>
      <c r="B1745" s="52" t="n">
        <v>43999</v>
      </c>
      <c r="C1745" s="54" t="s">
        <v>590</v>
      </c>
      <c r="D1745" s="0" t="n">
        <v>0.402249187578845</v>
      </c>
      <c r="E1745" s="0" t="n">
        <v>0.0496813914761476</v>
      </c>
      <c r="F1745" s="0" t="n">
        <v>0</v>
      </c>
      <c r="G1745" s="0" t="n">
        <v>2020</v>
      </c>
    </row>
    <row r="1746" customFormat="false" ht="15" hidden="false" customHeight="false" outlineLevel="0" collapsed="false">
      <c r="A1746" s="0" t="s">
        <v>259</v>
      </c>
      <c r="B1746" s="52" t="n">
        <v>43999</v>
      </c>
      <c r="C1746" s="54" t="s">
        <v>591</v>
      </c>
      <c r="D1746" s="0" t="n">
        <v>0.117740265102969</v>
      </c>
      <c r="E1746" s="0" t="n">
        <v>0.722094847803876</v>
      </c>
      <c r="F1746" s="0" t="n">
        <v>0</v>
      </c>
      <c r="G1746" s="0" t="n">
        <v>2020</v>
      </c>
    </row>
    <row r="1747" customFormat="false" ht="15" hidden="false" customHeight="false" outlineLevel="0" collapsed="false">
      <c r="A1747" s="0" t="s">
        <v>259</v>
      </c>
      <c r="B1747" s="52" t="n">
        <v>43999</v>
      </c>
      <c r="C1747" s="54" t="s">
        <v>592</v>
      </c>
      <c r="D1747" s="0" t="n">
        <v>0.79471811768421</v>
      </c>
      <c r="E1747" s="0" t="n">
        <v>0</v>
      </c>
      <c r="F1747" s="0" t="n">
        <v>0</v>
      </c>
      <c r="G1747" s="0" t="n">
        <v>2020</v>
      </c>
    </row>
    <row r="1748" customFormat="false" ht="15" hidden="false" customHeight="false" outlineLevel="0" collapsed="false">
      <c r="A1748" s="0" t="s">
        <v>259</v>
      </c>
      <c r="B1748" s="52" t="n">
        <v>44000</v>
      </c>
      <c r="C1748" s="54" t="s">
        <v>590</v>
      </c>
      <c r="D1748" s="0" t="n">
        <v>0.795739074521424</v>
      </c>
      <c r="E1748" s="0" t="n">
        <v>0</v>
      </c>
      <c r="F1748" s="0" t="n">
        <v>0</v>
      </c>
      <c r="G1748" s="0" t="n">
        <v>2020</v>
      </c>
    </row>
    <row r="1749" customFormat="false" ht="15" hidden="false" customHeight="false" outlineLevel="0" collapsed="false">
      <c r="A1749" s="0" t="s">
        <v>259</v>
      </c>
      <c r="B1749" s="52" t="n">
        <v>44000</v>
      </c>
      <c r="C1749" s="54" t="s">
        <v>591</v>
      </c>
      <c r="D1749" s="0" t="n">
        <v>0.976526915072408</v>
      </c>
      <c r="E1749" s="0" t="n">
        <v>0</v>
      </c>
      <c r="F1749" s="0" t="n">
        <v>0</v>
      </c>
      <c r="G1749" s="0" t="n">
        <v>2020</v>
      </c>
    </row>
    <row r="1750" customFormat="false" ht="15" hidden="false" customHeight="false" outlineLevel="0" collapsed="false">
      <c r="A1750" s="0" t="s">
        <v>259</v>
      </c>
      <c r="B1750" s="52" t="n">
        <v>44001</v>
      </c>
      <c r="C1750" s="54" t="s">
        <v>590</v>
      </c>
      <c r="D1750" s="0" t="n">
        <v>0.691333267837301</v>
      </c>
      <c r="E1750" s="0" t="n">
        <v>0.124294958125338</v>
      </c>
      <c r="F1750" s="0" t="n">
        <v>0</v>
      </c>
      <c r="G1750" s="0" t="n">
        <v>2020</v>
      </c>
    </row>
    <row r="1751" customFormat="false" ht="15" hidden="false" customHeight="false" outlineLevel="0" collapsed="false">
      <c r="A1751" s="0" t="s">
        <v>259</v>
      </c>
      <c r="B1751" s="52" t="n">
        <v>44004</v>
      </c>
      <c r="C1751" s="54" t="s">
        <v>590</v>
      </c>
      <c r="D1751" s="0" t="n">
        <v>0.600076416809168</v>
      </c>
      <c r="E1751" s="0" t="n">
        <v>0</v>
      </c>
      <c r="F1751" s="0" t="n">
        <v>0</v>
      </c>
      <c r="G1751" s="0" t="n">
        <v>2020</v>
      </c>
    </row>
    <row r="1752" customFormat="false" ht="15" hidden="false" customHeight="false" outlineLevel="0" collapsed="false">
      <c r="A1752" s="0" t="s">
        <v>259</v>
      </c>
      <c r="B1752" s="52" t="n">
        <v>44005</v>
      </c>
      <c r="C1752" s="54" t="s">
        <v>590</v>
      </c>
      <c r="D1752" s="0" t="n">
        <v>0.837423110448025</v>
      </c>
      <c r="E1752" s="0" t="n">
        <v>0</v>
      </c>
      <c r="F1752" s="0" t="n">
        <v>0</v>
      </c>
      <c r="G1752" s="0" t="n">
        <v>2020</v>
      </c>
    </row>
    <row r="1753" customFormat="false" ht="15" hidden="false" customHeight="false" outlineLevel="0" collapsed="false">
      <c r="A1753" s="0" t="s">
        <v>259</v>
      </c>
      <c r="B1753" s="52" t="n">
        <v>44005</v>
      </c>
      <c r="C1753" s="54" t="s">
        <v>591</v>
      </c>
      <c r="D1753" s="0" t="n">
        <v>0.598553944085768</v>
      </c>
      <c r="E1753" s="0" t="n">
        <v>0</v>
      </c>
      <c r="F1753" s="0" t="n">
        <v>0</v>
      </c>
      <c r="G1753" s="0" t="n">
        <v>2020</v>
      </c>
    </row>
    <row r="1754" customFormat="false" ht="15" hidden="false" customHeight="false" outlineLevel="0" collapsed="false">
      <c r="A1754" s="0" t="s">
        <v>259</v>
      </c>
      <c r="B1754" s="52" t="n">
        <v>44006</v>
      </c>
      <c r="C1754" s="54" t="s">
        <v>590</v>
      </c>
      <c r="D1754" s="0" t="n">
        <v>0.299630847375679</v>
      </c>
      <c r="E1754" s="0" t="n">
        <v>0.0860710777047783</v>
      </c>
      <c r="F1754" s="0" t="n">
        <v>0</v>
      </c>
      <c r="G1754" s="0" t="n">
        <v>2020</v>
      </c>
    </row>
    <row r="1755" customFormat="false" ht="15" hidden="false" customHeight="false" outlineLevel="0" collapsed="false">
      <c r="A1755" s="0" t="s">
        <v>259</v>
      </c>
      <c r="B1755" s="52" t="n">
        <v>44006</v>
      </c>
      <c r="C1755" s="54" t="s">
        <v>591</v>
      </c>
      <c r="D1755" s="0" t="n">
        <v>0.374688228636914</v>
      </c>
      <c r="E1755" s="0" t="n">
        <v>0.290275669203361</v>
      </c>
      <c r="F1755" s="0" t="n">
        <v>0</v>
      </c>
      <c r="G1755" s="0" t="n">
        <v>2020</v>
      </c>
    </row>
    <row r="1756" customFormat="false" ht="15" hidden="false" customHeight="false" outlineLevel="0" collapsed="false">
      <c r="A1756" s="0" t="s">
        <v>259</v>
      </c>
      <c r="B1756" s="52" t="n">
        <v>44007</v>
      </c>
      <c r="C1756" s="54" t="s">
        <v>590</v>
      </c>
      <c r="D1756" s="0" t="n">
        <v>0.294560952859677</v>
      </c>
      <c r="E1756" s="0" t="n">
        <v>0.288108239278531</v>
      </c>
      <c r="F1756" s="0" t="n">
        <v>0</v>
      </c>
      <c r="G1756" s="0" t="n">
        <v>2020</v>
      </c>
    </row>
    <row r="1757" customFormat="false" ht="15" hidden="false" customHeight="false" outlineLevel="0" collapsed="false">
      <c r="A1757" s="0" t="s">
        <v>259</v>
      </c>
      <c r="B1757" s="52" t="n">
        <v>44007</v>
      </c>
      <c r="C1757" s="54" t="s">
        <v>591</v>
      </c>
      <c r="D1757" s="0" t="n">
        <v>0.910251260214284</v>
      </c>
      <c r="E1757" s="0" t="n">
        <v>0</v>
      </c>
      <c r="F1757" s="0" t="n">
        <v>0</v>
      </c>
      <c r="G1757" s="0" t="n">
        <v>2020</v>
      </c>
    </row>
    <row r="1758" customFormat="false" ht="15" hidden="false" customHeight="false" outlineLevel="0" collapsed="false">
      <c r="A1758" s="0" t="s">
        <v>259</v>
      </c>
      <c r="B1758" s="52" t="n">
        <v>44008</v>
      </c>
      <c r="C1758" s="54" t="s">
        <v>590</v>
      </c>
      <c r="D1758" s="0" t="n">
        <v>0.3979331107658</v>
      </c>
      <c r="E1758" s="0" t="n">
        <v>0.111115942809884</v>
      </c>
      <c r="F1758" s="0" t="n">
        <v>0</v>
      </c>
      <c r="G1758" s="0" t="n">
        <v>2020</v>
      </c>
    </row>
    <row r="1759" customFormat="false" ht="15" hidden="false" customHeight="false" outlineLevel="0" collapsed="false">
      <c r="A1759" s="0" t="s">
        <v>259</v>
      </c>
      <c r="B1759" s="52" t="n">
        <v>44008</v>
      </c>
      <c r="C1759" s="54" t="s">
        <v>592</v>
      </c>
      <c r="D1759" s="0" t="n">
        <v>0.810361546368485</v>
      </c>
      <c r="E1759" s="0" t="n">
        <v>0.0579342620985747</v>
      </c>
      <c r="F1759" s="0" t="n">
        <v>0</v>
      </c>
      <c r="G1759" s="0" t="n">
        <v>2020</v>
      </c>
    </row>
    <row r="1760" customFormat="false" ht="15" hidden="false" customHeight="false" outlineLevel="0" collapsed="false">
      <c r="A1760" s="0" t="s">
        <v>259</v>
      </c>
      <c r="B1760" s="52" t="n">
        <v>44009</v>
      </c>
      <c r="C1760" s="54" t="s">
        <v>590</v>
      </c>
      <c r="D1760" s="0" t="n">
        <v>0.359699465443944</v>
      </c>
      <c r="E1760" s="0" t="n">
        <v>0.175260638269524</v>
      </c>
      <c r="F1760" s="0" t="n">
        <v>1</v>
      </c>
      <c r="G1760" s="0" t="n">
        <v>2020</v>
      </c>
    </row>
    <row r="1761" customFormat="false" ht="15" hidden="false" customHeight="false" outlineLevel="0" collapsed="false">
      <c r="A1761" s="0" t="s">
        <v>259</v>
      </c>
      <c r="B1761" s="52" t="n">
        <v>44011</v>
      </c>
      <c r="C1761" s="54" t="s">
        <v>590</v>
      </c>
      <c r="D1761" s="0" t="n">
        <v>0.342485924753964</v>
      </c>
      <c r="E1761" s="0" t="n">
        <v>0.142639359455309</v>
      </c>
      <c r="F1761" s="0" t="n">
        <v>0</v>
      </c>
      <c r="G1761" s="0" t="n">
        <v>2020</v>
      </c>
    </row>
    <row r="1762" customFormat="false" ht="15" hidden="false" customHeight="false" outlineLevel="0" collapsed="false">
      <c r="A1762" s="0" t="s">
        <v>259</v>
      </c>
      <c r="B1762" s="52" t="n">
        <v>44011</v>
      </c>
      <c r="C1762" s="54" t="s">
        <v>592</v>
      </c>
      <c r="D1762" s="0" t="n">
        <v>1</v>
      </c>
      <c r="E1762" s="0" t="n">
        <v>0</v>
      </c>
      <c r="F1762" s="0" t="n">
        <v>0</v>
      </c>
      <c r="G1762" s="0" t="n">
        <v>2020</v>
      </c>
    </row>
    <row r="1763" customFormat="false" ht="15" hidden="false" customHeight="false" outlineLevel="0" collapsed="false">
      <c r="A1763" s="0" t="s">
        <v>259</v>
      </c>
      <c r="B1763" s="52" t="n">
        <v>44012</v>
      </c>
      <c r="C1763" s="54" t="s">
        <v>590</v>
      </c>
      <c r="D1763" s="0" t="n">
        <v>0.437049538573201</v>
      </c>
      <c r="E1763" s="0" t="n">
        <v>0.133001187164602</v>
      </c>
      <c r="F1763" s="0" t="n">
        <v>0</v>
      </c>
      <c r="G1763" s="0" t="n">
        <v>2020</v>
      </c>
    </row>
    <row r="1764" customFormat="false" ht="15" hidden="false" customHeight="false" outlineLevel="0" collapsed="false">
      <c r="A1764" s="0" t="s">
        <v>259</v>
      </c>
      <c r="B1764" s="52" t="n">
        <v>44012</v>
      </c>
      <c r="C1764" s="54" t="s">
        <v>592</v>
      </c>
      <c r="D1764" s="0" t="n">
        <v>0.993916745794433</v>
      </c>
      <c r="E1764" s="0" t="n">
        <v>0</v>
      </c>
      <c r="F1764" s="0" t="n">
        <v>0</v>
      </c>
      <c r="G1764" s="0" t="n">
        <v>2020</v>
      </c>
    </row>
    <row r="1765" customFormat="false" ht="15" hidden="false" customHeight="false" outlineLevel="0" collapsed="false">
      <c r="A1765" s="0" t="s">
        <v>259</v>
      </c>
      <c r="B1765" s="52" t="n">
        <v>44013</v>
      </c>
      <c r="C1765" s="54" t="s">
        <v>590</v>
      </c>
      <c r="D1765" s="0" t="n">
        <v>0.309806123853092</v>
      </c>
      <c r="E1765" s="0" t="n">
        <v>0.13675334986697</v>
      </c>
      <c r="F1765" s="0" t="n">
        <v>0</v>
      </c>
      <c r="G1765" s="0" t="n">
        <v>2020</v>
      </c>
    </row>
    <row r="1766" customFormat="false" ht="15" hidden="false" customHeight="false" outlineLevel="0" collapsed="false">
      <c r="A1766" s="0" t="s">
        <v>259</v>
      </c>
      <c r="B1766" s="52" t="n">
        <v>44013</v>
      </c>
      <c r="C1766" s="54" t="s">
        <v>592</v>
      </c>
      <c r="D1766" s="0" t="n">
        <v>0.701033653841706</v>
      </c>
      <c r="E1766" s="0" t="n">
        <v>0</v>
      </c>
      <c r="F1766" s="0" t="n">
        <v>0</v>
      </c>
      <c r="G1766" s="0" t="n">
        <v>2020</v>
      </c>
    </row>
    <row r="1767" customFormat="false" ht="15" hidden="false" customHeight="false" outlineLevel="0" collapsed="false">
      <c r="A1767" s="0" t="s">
        <v>259</v>
      </c>
      <c r="B1767" s="52" t="n">
        <v>44014</v>
      </c>
      <c r="C1767" s="54" t="s">
        <v>590</v>
      </c>
      <c r="D1767" s="0" t="n">
        <v>0.366725709613265</v>
      </c>
      <c r="E1767" s="0" t="n">
        <v>0.273010860222787</v>
      </c>
      <c r="F1767" s="0" t="n">
        <v>0</v>
      </c>
      <c r="G1767" s="0" t="n">
        <v>2020</v>
      </c>
    </row>
    <row r="1768" customFormat="false" ht="15" hidden="false" customHeight="false" outlineLevel="0" collapsed="false">
      <c r="A1768" s="0" t="s">
        <v>259</v>
      </c>
      <c r="B1768" s="52" t="n">
        <v>44014</v>
      </c>
      <c r="C1768" s="54" t="s">
        <v>592</v>
      </c>
      <c r="D1768" s="0" t="n">
        <v>0.998319263946043</v>
      </c>
      <c r="E1768" s="0" t="n">
        <v>0</v>
      </c>
      <c r="F1768" s="0" t="n">
        <v>0</v>
      </c>
      <c r="G1768" s="0" t="n">
        <v>2020</v>
      </c>
    </row>
    <row r="1769" customFormat="false" ht="15" hidden="false" customHeight="false" outlineLevel="0" collapsed="false">
      <c r="A1769" s="0" t="s">
        <v>259</v>
      </c>
      <c r="B1769" s="52" t="n">
        <v>44015</v>
      </c>
      <c r="C1769" s="54" t="s">
        <v>590</v>
      </c>
      <c r="D1769" s="0" t="n">
        <v>0.55695900790416</v>
      </c>
      <c r="E1769" s="0" t="n">
        <v>0.162089549517292</v>
      </c>
      <c r="F1769" s="0" t="n">
        <v>0</v>
      </c>
      <c r="G1769" s="0" t="n">
        <v>2020</v>
      </c>
    </row>
    <row r="1770" customFormat="false" ht="15" hidden="false" customHeight="false" outlineLevel="0" collapsed="false">
      <c r="A1770" s="0" t="s">
        <v>259</v>
      </c>
      <c r="B1770" s="52" t="n">
        <v>44015</v>
      </c>
      <c r="C1770" s="54" t="s">
        <v>592</v>
      </c>
      <c r="D1770" s="0" t="n">
        <v>0.897034396141</v>
      </c>
      <c r="E1770" s="0" t="n">
        <v>0</v>
      </c>
      <c r="F1770" s="0" t="n">
        <v>0</v>
      </c>
      <c r="G1770" s="0" t="n">
        <v>2020</v>
      </c>
    </row>
    <row r="1771" customFormat="false" ht="15" hidden="false" customHeight="false" outlineLevel="0" collapsed="false">
      <c r="A1771" s="0" t="s">
        <v>259</v>
      </c>
      <c r="B1771" s="52" t="n">
        <v>44016</v>
      </c>
      <c r="C1771" s="54" t="s">
        <v>590</v>
      </c>
      <c r="D1771" s="0" t="n">
        <v>0.714738596082074</v>
      </c>
      <c r="E1771" s="0" t="n">
        <v>0.0083169407222261</v>
      </c>
      <c r="F1771" s="0" t="n">
        <v>1</v>
      </c>
      <c r="G1771" s="0" t="n">
        <v>2020</v>
      </c>
    </row>
    <row r="1772" customFormat="false" ht="15" hidden="false" customHeight="false" outlineLevel="0" collapsed="false">
      <c r="A1772" s="0" t="s">
        <v>259</v>
      </c>
      <c r="B1772" s="52" t="n">
        <v>44017</v>
      </c>
      <c r="C1772" s="54" t="s">
        <v>592</v>
      </c>
      <c r="D1772" s="0" t="n">
        <v>1</v>
      </c>
      <c r="E1772" s="0" t="n">
        <v>0</v>
      </c>
      <c r="F1772" s="0" t="n">
        <v>1</v>
      </c>
      <c r="G1772" s="0" t="n">
        <v>2020</v>
      </c>
    </row>
    <row r="1773" customFormat="false" ht="15" hidden="false" customHeight="false" outlineLevel="0" collapsed="false">
      <c r="A1773" s="0" t="s">
        <v>259</v>
      </c>
      <c r="B1773" s="52" t="n">
        <v>44018</v>
      </c>
      <c r="C1773" s="54" t="s">
        <v>590</v>
      </c>
      <c r="D1773" s="0" t="n">
        <v>0.312354708805377</v>
      </c>
      <c r="E1773" s="0" t="n">
        <v>0.256912639785664</v>
      </c>
      <c r="F1773" s="0" t="n">
        <v>0</v>
      </c>
      <c r="G1773" s="0" t="n">
        <v>2020</v>
      </c>
    </row>
    <row r="1774" customFormat="false" ht="15" hidden="false" customHeight="false" outlineLevel="0" collapsed="false">
      <c r="A1774" s="0" t="s">
        <v>259</v>
      </c>
      <c r="B1774" s="52" t="n">
        <v>44018</v>
      </c>
      <c r="C1774" s="54" t="s">
        <v>592</v>
      </c>
      <c r="D1774" s="0" t="n">
        <v>0.996697903167532</v>
      </c>
      <c r="E1774" s="0" t="n">
        <v>0</v>
      </c>
      <c r="F1774" s="0" t="n">
        <v>0</v>
      </c>
      <c r="G1774" s="0" t="n">
        <v>2020</v>
      </c>
    </row>
    <row r="1775" customFormat="false" ht="15" hidden="false" customHeight="false" outlineLevel="0" collapsed="false">
      <c r="A1775" s="0" t="s">
        <v>259</v>
      </c>
      <c r="B1775" s="52" t="n">
        <v>44019</v>
      </c>
      <c r="C1775" s="54" t="s">
        <v>590</v>
      </c>
      <c r="D1775" s="0" t="n">
        <v>0.309300323010677</v>
      </c>
      <c r="E1775" s="0" t="n">
        <v>0.259802229465389</v>
      </c>
      <c r="F1775" s="0" t="n">
        <v>0</v>
      </c>
      <c r="G1775" s="0" t="n">
        <v>2020</v>
      </c>
    </row>
    <row r="1776" customFormat="false" ht="15" hidden="false" customHeight="false" outlineLevel="0" collapsed="false">
      <c r="A1776" s="0" t="s">
        <v>259</v>
      </c>
      <c r="B1776" s="52" t="n">
        <v>44019</v>
      </c>
      <c r="C1776" s="54" t="s">
        <v>592</v>
      </c>
      <c r="D1776" s="0" t="n">
        <v>0.865733940378362</v>
      </c>
      <c r="E1776" s="0" t="n">
        <v>0.0569364367366767</v>
      </c>
      <c r="F1776" s="0" t="n">
        <v>0</v>
      </c>
      <c r="G1776" s="0" t="n">
        <v>2020</v>
      </c>
    </row>
    <row r="1777" customFormat="false" ht="15" hidden="false" customHeight="false" outlineLevel="0" collapsed="false">
      <c r="A1777" s="0" t="s">
        <v>259</v>
      </c>
      <c r="B1777" s="52" t="n">
        <v>44020</v>
      </c>
      <c r="C1777" s="54" t="s">
        <v>590</v>
      </c>
      <c r="D1777" s="0" t="n">
        <v>0.403196320126419</v>
      </c>
      <c r="E1777" s="0" t="n">
        <v>0.25942385225255</v>
      </c>
      <c r="F1777" s="0" t="n">
        <v>0</v>
      </c>
      <c r="G1777" s="0" t="n">
        <v>2020</v>
      </c>
    </row>
    <row r="1778" customFormat="false" ht="15" hidden="false" customHeight="false" outlineLevel="0" collapsed="false">
      <c r="A1778" s="0" t="s">
        <v>259</v>
      </c>
      <c r="B1778" s="52" t="n">
        <v>44020</v>
      </c>
      <c r="C1778" s="54" t="s">
        <v>592</v>
      </c>
      <c r="D1778" s="0" t="n">
        <v>0.995622905098583</v>
      </c>
      <c r="E1778" s="0" t="n">
        <v>0</v>
      </c>
      <c r="F1778" s="0" t="n">
        <v>0</v>
      </c>
      <c r="G1778" s="0" t="n">
        <v>2020</v>
      </c>
    </row>
    <row r="1779" customFormat="false" ht="15" hidden="false" customHeight="false" outlineLevel="0" collapsed="false">
      <c r="A1779" s="0" t="s">
        <v>259</v>
      </c>
      <c r="B1779" s="52" t="n">
        <v>44021</v>
      </c>
      <c r="C1779" s="54" t="s">
        <v>590</v>
      </c>
      <c r="D1779" s="0" t="n">
        <v>0.263144060959151</v>
      </c>
      <c r="E1779" s="0" t="n">
        <v>0.38568170263733</v>
      </c>
      <c r="F1779" s="0" t="n">
        <v>0</v>
      </c>
      <c r="G1779" s="0" t="n">
        <v>2020</v>
      </c>
    </row>
    <row r="1780" customFormat="false" ht="15" hidden="false" customHeight="false" outlineLevel="0" collapsed="false">
      <c r="A1780" s="0" t="s">
        <v>259</v>
      </c>
      <c r="B1780" s="52" t="n">
        <v>44021</v>
      </c>
      <c r="C1780" s="54" t="s">
        <v>592</v>
      </c>
      <c r="D1780" s="0" t="n">
        <v>0.861645572928008</v>
      </c>
      <c r="E1780" s="0" t="n">
        <v>0</v>
      </c>
      <c r="F1780" s="0" t="n">
        <v>0</v>
      </c>
      <c r="G1780" s="0" t="n">
        <v>2020</v>
      </c>
    </row>
    <row r="1781" customFormat="false" ht="15" hidden="false" customHeight="false" outlineLevel="0" collapsed="false">
      <c r="A1781" s="0" t="s">
        <v>259</v>
      </c>
      <c r="B1781" s="52" t="n">
        <v>44022</v>
      </c>
      <c r="C1781" s="54" t="s">
        <v>590</v>
      </c>
      <c r="D1781" s="0" t="n">
        <v>0.182667672350212</v>
      </c>
      <c r="E1781" s="0" t="n">
        <v>0.210205243982003</v>
      </c>
      <c r="F1781" s="0" t="n">
        <v>0</v>
      </c>
      <c r="G1781" s="0" t="n">
        <v>2020</v>
      </c>
    </row>
    <row r="1782" customFormat="false" ht="15" hidden="false" customHeight="false" outlineLevel="0" collapsed="false">
      <c r="A1782" s="0" t="s">
        <v>259</v>
      </c>
      <c r="B1782" s="52" t="n">
        <v>44023</v>
      </c>
      <c r="C1782" s="54" t="s">
        <v>590</v>
      </c>
      <c r="D1782" s="0" t="n">
        <v>0.510060395681311</v>
      </c>
      <c r="E1782" s="0" t="n">
        <v>0.173397996927409</v>
      </c>
      <c r="F1782" s="0" t="n">
        <v>1</v>
      </c>
      <c r="G1782" s="0" t="n">
        <v>2020</v>
      </c>
    </row>
    <row r="1783" customFormat="false" ht="15" hidden="false" customHeight="false" outlineLevel="0" collapsed="false">
      <c r="A1783" s="0" t="s">
        <v>259</v>
      </c>
      <c r="B1783" s="52" t="n">
        <v>44024</v>
      </c>
      <c r="C1783" s="54" t="s">
        <v>592</v>
      </c>
      <c r="D1783" s="0" t="n">
        <v>0.980800582039853</v>
      </c>
      <c r="E1783" s="0" t="n">
        <v>0</v>
      </c>
      <c r="F1783" s="0" t="n">
        <v>1</v>
      </c>
      <c r="G1783" s="0" t="n">
        <v>2020</v>
      </c>
    </row>
    <row r="1784" customFormat="false" ht="15" hidden="false" customHeight="false" outlineLevel="0" collapsed="false">
      <c r="A1784" s="0" t="s">
        <v>259</v>
      </c>
      <c r="B1784" s="52" t="n">
        <v>44025</v>
      </c>
      <c r="C1784" s="54" t="s">
        <v>590</v>
      </c>
      <c r="D1784" s="0" t="n">
        <v>0.382436805468618</v>
      </c>
      <c r="E1784" s="0" t="n">
        <v>0.212472535692553</v>
      </c>
      <c r="F1784" s="0" t="n">
        <v>0</v>
      </c>
      <c r="G1784" s="0" t="n">
        <v>2020</v>
      </c>
    </row>
    <row r="1785" customFormat="false" ht="15" hidden="false" customHeight="false" outlineLevel="0" collapsed="false">
      <c r="A1785" s="0" t="s">
        <v>259</v>
      </c>
      <c r="B1785" s="52" t="n">
        <v>44025</v>
      </c>
      <c r="C1785" s="54" t="s">
        <v>592</v>
      </c>
      <c r="D1785" s="0" t="n">
        <v>1</v>
      </c>
      <c r="E1785" s="0" t="n">
        <v>0</v>
      </c>
      <c r="F1785" s="0" t="n">
        <v>0</v>
      </c>
      <c r="G1785" s="0" t="n">
        <v>2020</v>
      </c>
    </row>
    <row r="1786" customFormat="false" ht="15" hidden="false" customHeight="false" outlineLevel="0" collapsed="false">
      <c r="A1786" s="0" t="s">
        <v>259</v>
      </c>
      <c r="B1786" s="52" t="n">
        <v>44026</v>
      </c>
      <c r="C1786" s="54" t="s">
        <v>590</v>
      </c>
      <c r="D1786" s="0" t="n">
        <v>0.0730229466223041</v>
      </c>
      <c r="E1786" s="0" t="n">
        <v>0.518440482278708</v>
      </c>
      <c r="F1786" s="0" t="n">
        <v>0</v>
      </c>
      <c r="G1786" s="0" t="n">
        <v>2020</v>
      </c>
    </row>
    <row r="1787" customFormat="false" ht="15" hidden="false" customHeight="false" outlineLevel="0" collapsed="false">
      <c r="A1787" s="0" t="s">
        <v>259</v>
      </c>
      <c r="B1787" s="52" t="n">
        <v>44026</v>
      </c>
      <c r="C1787" s="54" t="s">
        <v>592</v>
      </c>
      <c r="D1787" s="0" t="n">
        <v>0.996948386729678</v>
      </c>
      <c r="E1787" s="0" t="n">
        <v>0</v>
      </c>
      <c r="F1787" s="0" t="n">
        <v>0</v>
      </c>
      <c r="G1787" s="0" t="n">
        <v>2020</v>
      </c>
    </row>
    <row r="1788" customFormat="false" ht="15" hidden="false" customHeight="false" outlineLevel="0" collapsed="false">
      <c r="A1788" s="0" t="s">
        <v>259</v>
      </c>
      <c r="B1788" s="52" t="n">
        <v>44027</v>
      </c>
      <c r="C1788" s="54" t="s">
        <v>590</v>
      </c>
      <c r="D1788" s="0" t="n">
        <v>0.166702740446278</v>
      </c>
      <c r="E1788" s="0" t="n">
        <v>0.241734987298704</v>
      </c>
      <c r="F1788" s="0" t="n">
        <v>0</v>
      </c>
      <c r="G1788" s="0" t="n">
        <v>2020</v>
      </c>
    </row>
    <row r="1789" customFormat="false" ht="15" hidden="false" customHeight="false" outlineLevel="0" collapsed="false">
      <c r="A1789" s="0" t="s">
        <v>259</v>
      </c>
      <c r="B1789" s="52" t="n">
        <v>44027</v>
      </c>
      <c r="C1789" s="54" t="s">
        <v>592</v>
      </c>
      <c r="D1789" s="0" t="n">
        <v>0.849091760034688</v>
      </c>
      <c r="E1789" s="0" t="n">
        <v>0</v>
      </c>
      <c r="F1789" s="0" t="n">
        <v>0</v>
      </c>
      <c r="G1789" s="0" t="n">
        <v>2020</v>
      </c>
    </row>
    <row r="1790" customFormat="false" ht="15" hidden="false" customHeight="false" outlineLevel="0" collapsed="false">
      <c r="A1790" s="0" t="s">
        <v>259</v>
      </c>
      <c r="B1790" s="52" t="n">
        <v>44028</v>
      </c>
      <c r="C1790" s="54" t="s">
        <v>590</v>
      </c>
      <c r="D1790" s="0" t="n">
        <v>0.255332671617888</v>
      </c>
      <c r="E1790" s="0" t="n">
        <v>0.327086185425276</v>
      </c>
      <c r="F1790" s="0" t="n">
        <v>0</v>
      </c>
      <c r="G1790" s="0" t="n">
        <v>2020</v>
      </c>
    </row>
    <row r="1791" customFormat="false" ht="15" hidden="false" customHeight="false" outlineLevel="0" collapsed="false">
      <c r="A1791" s="0" t="s">
        <v>259</v>
      </c>
      <c r="B1791" s="52" t="n">
        <v>44029</v>
      </c>
      <c r="C1791" s="54" t="s">
        <v>590</v>
      </c>
      <c r="D1791" s="0" t="n">
        <v>0.443915632339821</v>
      </c>
      <c r="E1791" s="0" t="n">
        <v>0.155675730175132</v>
      </c>
      <c r="F1791" s="0" t="n">
        <v>0</v>
      </c>
      <c r="G1791" s="0" t="n">
        <v>2020</v>
      </c>
    </row>
    <row r="1792" customFormat="false" ht="15" hidden="false" customHeight="false" outlineLevel="0" collapsed="false">
      <c r="A1792" s="0" t="s">
        <v>259</v>
      </c>
      <c r="B1792" s="52" t="n">
        <v>44029</v>
      </c>
      <c r="C1792" s="54" t="s">
        <v>592</v>
      </c>
      <c r="D1792" s="0" t="n">
        <v>0.992713157047043</v>
      </c>
      <c r="E1792" s="0" t="n">
        <v>0</v>
      </c>
      <c r="F1792" s="0" t="n">
        <v>0</v>
      </c>
      <c r="G1792" s="0" t="n">
        <v>2020</v>
      </c>
    </row>
    <row r="1793" customFormat="false" ht="15" hidden="false" customHeight="false" outlineLevel="0" collapsed="false">
      <c r="A1793" s="0" t="s">
        <v>259</v>
      </c>
      <c r="B1793" s="52" t="n">
        <v>44030</v>
      </c>
      <c r="C1793" s="54" t="s">
        <v>590</v>
      </c>
      <c r="D1793" s="0" t="n">
        <v>0.281294316377668</v>
      </c>
      <c r="E1793" s="0" t="n">
        <v>0.40817752927778</v>
      </c>
      <c r="F1793" s="0" t="n">
        <v>1</v>
      </c>
      <c r="G1793" s="0" t="n">
        <v>2020</v>
      </c>
    </row>
    <row r="1794" customFormat="false" ht="15" hidden="false" customHeight="false" outlineLevel="0" collapsed="false">
      <c r="A1794" s="0" t="s">
        <v>259</v>
      </c>
      <c r="B1794" s="52" t="n">
        <v>44031</v>
      </c>
      <c r="C1794" s="54" t="s">
        <v>592</v>
      </c>
      <c r="D1794" s="0" t="n">
        <v>0.585364956474448</v>
      </c>
      <c r="E1794" s="0" t="n">
        <v>0.24315529172127</v>
      </c>
      <c r="F1794" s="0" t="n">
        <v>1</v>
      </c>
      <c r="G1794" s="0" t="n">
        <v>2020</v>
      </c>
    </row>
    <row r="1795" customFormat="false" ht="15" hidden="false" customHeight="false" outlineLevel="0" collapsed="false">
      <c r="A1795" s="0" t="s">
        <v>259</v>
      </c>
      <c r="B1795" s="52" t="n">
        <v>44032</v>
      </c>
      <c r="C1795" s="54" t="s">
        <v>590</v>
      </c>
      <c r="D1795" s="0" t="n">
        <v>0.45841433026169</v>
      </c>
      <c r="E1795" s="0" t="n">
        <v>0.182120946551464</v>
      </c>
      <c r="F1795" s="0" t="n">
        <v>0</v>
      </c>
      <c r="G1795" s="0" t="n">
        <v>2020</v>
      </c>
    </row>
    <row r="1796" customFormat="false" ht="15" hidden="false" customHeight="false" outlineLevel="0" collapsed="false">
      <c r="A1796" s="0" t="s">
        <v>259</v>
      </c>
      <c r="B1796" s="52" t="n">
        <v>44032</v>
      </c>
      <c r="C1796" s="54" t="s">
        <v>592</v>
      </c>
      <c r="D1796" s="0" t="n">
        <v>0.854580026090342</v>
      </c>
      <c r="E1796" s="0" t="n">
        <v>0</v>
      </c>
      <c r="F1796" s="0" t="n">
        <v>0</v>
      </c>
      <c r="G1796" s="0" t="n">
        <v>2020</v>
      </c>
    </row>
    <row r="1797" customFormat="false" ht="15" hidden="false" customHeight="false" outlineLevel="0" collapsed="false">
      <c r="A1797" s="0" t="s">
        <v>259</v>
      </c>
      <c r="B1797" s="52" t="n">
        <v>44033</v>
      </c>
      <c r="C1797" s="54" t="s">
        <v>590</v>
      </c>
      <c r="D1797" s="0" t="n">
        <v>0.421410343336531</v>
      </c>
      <c r="E1797" s="0" t="n">
        <v>0.270566682109201</v>
      </c>
      <c r="F1797" s="0" t="n">
        <v>0</v>
      </c>
      <c r="G1797" s="0" t="n">
        <v>2020</v>
      </c>
    </row>
    <row r="1798" customFormat="false" ht="15" hidden="false" customHeight="false" outlineLevel="0" collapsed="false">
      <c r="A1798" s="0" t="s">
        <v>259</v>
      </c>
      <c r="B1798" s="52" t="n">
        <v>44033</v>
      </c>
      <c r="C1798" s="54" t="s">
        <v>592</v>
      </c>
      <c r="D1798" s="0" t="n">
        <v>0.945797096198234</v>
      </c>
      <c r="E1798" s="0" t="n">
        <v>0</v>
      </c>
      <c r="F1798" s="0" t="n">
        <v>0</v>
      </c>
      <c r="G1798" s="0" t="n">
        <v>2020</v>
      </c>
    </row>
    <row r="1799" customFormat="false" ht="15" hidden="false" customHeight="false" outlineLevel="0" collapsed="false">
      <c r="A1799" s="0" t="s">
        <v>259</v>
      </c>
      <c r="B1799" s="52" t="n">
        <v>44034</v>
      </c>
      <c r="C1799" s="54" t="s">
        <v>590</v>
      </c>
      <c r="D1799" s="0" t="n">
        <v>0.521813080478938</v>
      </c>
      <c r="E1799" s="0" t="n">
        <v>0.195620780256036</v>
      </c>
      <c r="F1799" s="0" t="n">
        <v>0</v>
      </c>
      <c r="G1799" s="0" t="n">
        <v>2020</v>
      </c>
    </row>
    <row r="1800" customFormat="false" ht="15" hidden="false" customHeight="false" outlineLevel="0" collapsed="false">
      <c r="A1800" s="0" t="s">
        <v>259</v>
      </c>
      <c r="B1800" s="52" t="n">
        <v>44034</v>
      </c>
      <c r="C1800" s="54" t="s">
        <v>592</v>
      </c>
      <c r="D1800" s="0" t="n">
        <v>1</v>
      </c>
      <c r="E1800" s="0" t="n">
        <v>0</v>
      </c>
      <c r="F1800" s="0" t="n">
        <v>0</v>
      </c>
      <c r="G1800" s="0" t="n">
        <v>2020</v>
      </c>
    </row>
    <row r="1801" customFormat="false" ht="15" hidden="false" customHeight="false" outlineLevel="0" collapsed="false">
      <c r="A1801" s="0" t="s">
        <v>259</v>
      </c>
      <c r="B1801" s="52" t="n">
        <v>44035</v>
      </c>
      <c r="C1801" s="54" t="s">
        <v>590</v>
      </c>
      <c r="D1801" s="0" t="n">
        <v>0.531432328478215</v>
      </c>
      <c r="E1801" s="0" t="n">
        <v>0.169699588859993</v>
      </c>
      <c r="F1801" s="0" t="n">
        <v>0</v>
      </c>
      <c r="G1801" s="0" t="n">
        <v>2020</v>
      </c>
    </row>
    <row r="1802" customFormat="false" ht="15" hidden="false" customHeight="false" outlineLevel="0" collapsed="false">
      <c r="A1802" s="0" t="s">
        <v>259</v>
      </c>
      <c r="B1802" s="52" t="n">
        <v>44035</v>
      </c>
      <c r="C1802" s="54" t="s">
        <v>592</v>
      </c>
      <c r="D1802" s="0" t="n">
        <v>1</v>
      </c>
      <c r="E1802" s="0" t="n">
        <v>0</v>
      </c>
      <c r="F1802" s="0" t="n">
        <v>0</v>
      </c>
      <c r="G1802" s="0" t="n">
        <v>2020</v>
      </c>
    </row>
    <row r="1803" customFormat="false" ht="15" hidden="false" customHeight="false" outlineLevel="0" collapsed="false">
      <c r="A1803" s="0" t="s">
        <v>259</v>
      </c>
      <c r="B1803" s="52" t="n">
        <v>44036</v>
      </c>
      <c r="C1803" s="54" t="s">
        <v>590</v>
      </c>
      <c r="D1803" s="0" t="n">
        <v>0.355278535788284</v>
      </c>
      <c r="E1803" s="0" t="n">
        <v>0.207224866515642</v>
      </c>
      <c r="F1803" s="0" t="n">
        <v>0</v>
      </c>
      <c r="G1803" s="0" t="n">
        <v>2020</v>
      </c>
    </row>
    <row r="1804" customFormat="false" ht="15" hidden="false" customHeight="false" outlineLevel="0" collapsed="false">
      <c r="A1804" s="0" t="s">
        <v>259</v>
      </c>
      <c r="B1804" s="52" t="n">
        <v>44036</v>
      </c>
      <c r="C1804" s="54" t="s">
        <v>592</v>
      </c>
      <c r="D1804" s="0" t="n">
        <v>0.998977844696584</v>
      </c>
      <c r="E1804" s="0" t="n">
        <v>0</v>
      </c>
      <c r="F1804" s="0" t="n">
        <v>0</v>
      </c>
      <c r="G1804" s="0" t="n">
        <v>2020</v>
      </c>
    </row>
    <row r="1805" customFormat="false" ht="15" hidden="false" customHeight="false" outlineLevel="0" collapsed="false">
      <c r="A1805" s="0" t="s">
        <v>259</v>
      </c>
      <c r="B1805" s="52" t="n">
        <v>44037</v>
      </c>
      <c r="C1805" s="54" t="s">
        <v>590</v>
      </c>
      <c r="D1805" s="0" t="n">
        <v>0.361015733586538</v>
      </c>
      <c r="E1805" s="0" t="n">
        <v>0.256320500847283</v>
      </c>
      <c r="F1805" s="0" t="n">
        <v>1</v>
      </c>
      <c r="G1805" s="0" t="n">
        <v>2020</v>
      </c>
    </row>
    <row r="1806" customFormat="false" ht="15" hidden="false" customHeight="false" outlineLevel="0" collapsed="false">
      <c r="A1806" s="0" t="s">
        <v>259</v>
      </c>
      <c r="B1806" s="52" t="n">
        <v>44038</v>
      </c>
      <c r="C1806" s="54" t="s">
        <v>592</v>
      </c>
      <c r="D1806" s="0" t="n">
        <v>0.999312486223086</v>
      </c>
      <c r="E1806" s="0" t="n">
        <v>0</v>
      </c>
      <c r="F1806" s="0" t="n">
        <v>1</v>
      </c>
      <c r="G1806" s="0" t="n">
        <v>2020</v>
      </c>
    </row>
    <row r="1807" customFormat="false" ht="15" hidden="false" customHeight="false" outlineLevel="0" collapsed="false">
      <c r="A1807" s="0" t="s">
        <v>259</v>
      </c>
      <c r="B1807" s="52" t="n">
        <v>44039</v>
      </c>
      <c r="C1807" s="54" t="s">
        <v>590</v>
      </c>
      <c r="D1807" s="0" t="n">
        <v>0.482734028542651</v>
      </c>
      <c r="E1807" s="0" t="n">
        <v>0.249241448027249</v>
      </c>
      <c r="F1807" s="0" t="n">
        <v>0</v>
      </c>
      <c r="G1807" s="0" t="n">
        <v>2020</v>
      </c>
    </row>
    <row r="1808" customFormat="false" ht="15" hidden="false" customHeight="false" outlineLevel="0" collapsed="false">
      <c r="A1808" s="0" t="s">
        <v>259</v>
      </c>
      <c r="B1808" s="52" t="n">
        <v>44039</v>
      </c>
      <c r="C1808" s="54" t="s">
        <v>592</v>
      </c>
      <c r="D1808" s="0" t="n">
        <v>1</v>
      </c>
      <c r="E1808" s="0" t="n">
        <v>0</v>
      </c>
      <c r="F1808" s="0" t="n">
        <v>0</v>
      </c>
      <c r="G1808" s="0" t="n">
        <v>2020</v>
      </c>
    </row>
    <row r="1809" customFormat="false" ht="15" hidden="false" customHeight="false" outlineLevel="0" collapsed="false">
      <c r="A1809" s="0" t="s">
        <v>259</v>
      </c>
      <c r="B1809" s="52" t="n">
        <v>44040</v>
      </c>
      <c r="C1809" s="54" t="s">
        <v>590</v>
      </c>
      <c r="D1809" s="0" t="n">
        <v>0.414378588902131</v>
      </c>
      <c r="E1809" s="0" t="n">
        <v>0.295544372658482</v>
      </c>
      <c r="F1809" s="0" t="n">
        <v>0</v>
      </c>
      <c r="G1809" s="0" t="n">
        <v>2020</v>
      </c>
    </row>
    <row r="1810" customFormat="false" ht="15" hidden="false" customHeight="false" outlineLevel="0" collapsed="false">
      <c r="A1810" s="0" t="s">
        <v>259</v>
      </c>
      <c r="B1810" s="52" t="n">
        <v>44040</v>
      </c>
      <c r="C1810" s="54" t="s">
        <v>592</v>
      </c>
      <c r="D1810" s="0" t="n">
        <v>1</v>
      </c>
      <c r="E1810" s="0" t="n">
        <v>0</v>
      </c>
      <c r="F1810" s="0" t="n">
        <v>0</v>
      </c>
      <c r="G1810" s="0" t="n">
        <v>2020</v>
      </c>
    </row>
    <row r="1811" customFormat="false" ht="15" hidden="false" customHeight="false" outlineLevel="0" collapsed="false">
      <c r="A1811" s="0" t="s">
        <v>259</v>
      </c>
      <c r="B1811" s="52" t="n">
        <v>44041</v>
      </c>
      <c r="C1811" s="54" t="s">
        <v>590</v>
      </c>
      <c r="D1811" s="0" t="n">
        <v>0.511165441540487</v>
      </c>
      <c r="E1811" s="0" t="n">
        <v>0.184621758728064</v>
      </c>
      <c r="F1811" s="0" t="n">
        <v>0</v>
      </c>
      <c r="G1811" s="0" t="n">
        <v>2020</v>
      </c>
    </row>
    <row r="1812" customFormat="false" ht="15" hidden="false" customHeight="false" outlineLevel="0" collapsed="false">
      <c r="A1812" s="0" t="s">
        <v>259</v>
      </c>
      <c r="B1812" s="52" t="n">
        <v>44041</v>
      </c>
      <c r="C1812" s="54" t="s">
        <v>592</v>
      </c>
      <c r="D1812" s="0" t="n">
        <v>0.996457268539336</v>
      </c>
      <c r="E1812" s="0" t="n">
        <v>0</v>
      </c>
      <c r="F1812" s="0" t="n">
        <v>0</v>
      </c>
      <c r="G1812" s="0" t="n">
        <v>2020</v>
      </c>
    </row>
    <row r="1813" customFormat="false" ht="15" hidden="false" customHeight="false" outlineLevel="0" collapsed="false">
      <c r="A1813" s="0" t="s">
        <v>259</v>
      </c>
      <c r="B1813" s="52" t="n">
        <v>44042</v>
      </c>
      <c r="C1813" s="54" t="s">
        <v>590</v>
      </c>
      <c r="D1813" s="0" t="n">
        <v>0.367192921633424</v>
      </c>
      <c r="E1813" s="0" t="n">
        <v>0.242437005783076</v>
      </c>
      <c r="F1813" s="0" t="n">
        <v>0</v>
      </c>
      <c r="G1813" s="0" t="n">
        <v>2020</v>
      </c>
    </row>
    <row r="1814" customFormat="false" ht="15" hidden="false" customHeight="false" outlineLevel="0" collapsed="false">
      <c r="A1814" s="0" t="s">
        <v>259</v>
      </c>
      <c r="B1814" s="52" t="n">
        <v>44042</v>
      </c>
      <c r="C1814" s="54" t="s">
        <v>592</v>
      </c>
      <c r="D1814" s="0" t="n">
        <v>0.998812833478755</v>
      </c>
      <c r="E1814" s="0" t="n">
        <v>0</v>
      </c>
      <c r="F1814" s="0" t="n">
        <v>0</v>
      </c>
      <c r="G1814" s="0" t="n">
        <v>2020</v>
      </c>
    </row>
    <row r="1815" customFormat="false" ht="15" hidden="false" customHeight="false" outlineLevel="0" collapsed="false">
      <c r="A1815" s="0" t="s">
        <v>259</v>
      </c>
      <c r="B1815" s="52" t="n">
        <v>44043</v>
      </c>
      <c r="C1815" s="54" t="s">
        <v>590</v>
      </c>
      <c r="D1815" s="0" t="n">
        <v>0.198023974474218</v>
      </c>
      <c r="E1815" s="0" t="n">
        <v>0.275429117115485</v>
      </c>
      <c r="F1815" s="0" t="n">
        <v>0</v>
      </c>
      <c r="G1815" s="0" t="n">
        <v>2020</v>
      </c>
    </row>
    <row r="1816" customFormat="false" ht="15" hidden="false" customHeight="false" outlineLevel="0" collapsed="false">
      <c r="A1816" s="0" t="s">
        <v>259</v>
      </c>
      <c r="B1816" s="52" t="n">
        <v>44043</v>
      </c>
      <c r="C1816" s="54" t="s">
        <v>592</v>
      </c>
      <c r="D1816" s="0" t="n">
        <v>0.692822492846069</v>
      </c>
      <c r="E1816" s="0" t="n">
        <v>0.134837496322659</v>
      </c>
      <c r="F1816" s="0" t="n">
        <v>0</v>
      </c>
      <c r="G1816" s="0" t="n">
        <v>2020</v>
      </c>
    </row>
    <row r="1817" customFormat="false" ht="15" hidden="false" customHeight="false" outlineLevel="0" collapsed="false">
      <c r="A1817" s="0" t="s">
        <v>259</v>
      </c>
      <c r="B1817" s="52" t="n">
        <v>44044</v>
      </c>
      <c r="C1817" s="54" t="s">
        <v>590</v>
      </c>
      <c r="D1817" s="0" t="n">
        <v>0.478431877631764</v>
      </c>
      <c r="E1817" s="0" t="n">
        <v>0.21702867824282</v>
      </c>
      <c r="F1817" s="0" t="n">
        <v>1</v>
      </c>
      <c r="G1817" s="0" t="n">
        <v>2020</v>
      </c>
    </row>
    <row r="1818" customFormat="false" ht="15" hidden="false" customHeight="false" outlineLevel="0" collapsed="false">
      <c r="A1818" s="0" t="s">
        <v>259</v>
      </c>
      <c r="B1818" s="52" t="n">
        <v>44045</v>
      </c>
      <c r="C1818" s="54" t="s">
        <v>592</v>
      </c>
      <c r="D1818" s="0" t="n">
        <v>0.995787031270389</v>
      </c>
      <c r="E1818" s="0" t="n">
        <v>0</v>
      </c>
      <c r="F1818" s="0" t="n">
        <v>1</v>
      </c>
      <c r="G1818" s="0" t="n">
        <v>2020</v>
      </c>
    </row>
    <row r="1819" customFormat="false" ht="15" hidden="false" customHeight="false" outlineLevel="0" collapsed="false">
      <c r="A1819" s="0" t="s">
        <v>259</v>
      </c>
      <c r="B1819" s="52" t="n">
        <v>44046</v>
      </c>
      <c r="C1819" s="54" t="s">
        <v>590</v>
      </c>
      <c r="D1819" s="0" t="n">
        <v>0.351617313542205</v>
      </c>
      <c r="E1819" s="0" t="n">
        <v>0.438625394262533</v>
      </c>
      <c r="F1819" s="0" t="n">
        <v>0</v>
      </c>
      <c r="G1819" s="0" t="n">
        <v>2020</v>
      </c>
    </row>
    <row r="1820" customFormat="false" ht="15" hidden="false" customHeight="false" outlineLevel="0" collapsed="false">
      <c r="A1820" s="0" t="s">
        <v>259</v>
      </c>
      <c r="B1820" s="52" t="n">
        <v>44046</v>
      </c>
      <c r="C1820" s="54" t="s">
        <v>592</v>
      </c>
      <c r="D1820" s="0" t="n">
        <v>0.779441187880491</v>
      </c>
      <c r="E1820" s="0" t="n">
        <v>0.0886207861722834</v>
      </c>
      <c r="F1820" s="0" t="n">
        <v>0</v>
      </c>
      <c r="G1820" s="0" t="n">
        <v>2020</v>
      </c>
    </row>
    <row r="1821" customFormat="false" ht="15" hidden="false" customHeight="false" outlineLevel="0" collapsed="false">
      <c r="A1821" s="0" t="s">
        <v>259</v>
      </c>
      <c r="B1821" s="52" t="n">
        <v>44047</v>
      </c>
      <c r="C1821" s="54" t="s">
        <v>590</v>
      </c>
      <c r="D1821" s="0" t="n">
        <v>0.402342169854417</v>
      </c>
      <c r="E1821" s="0" t="n">
        <v>0.187124612296323</v>
      </c>
      <c r="F1821" s="0" t="n">
        <v>0</v>
      </c>
      <c r="G1821" s="0" t="n">
        <v>2020</v>
      </c>
    </row>
    <row r="1822" customFormat="false" ht="15" hidden="false" customHeight="false" outlineLevel="0" collapsed="false">
      <c r="A1822" s="0" t="s">
        <v>259</v>
      </c>
      <c r="B1822" s="52" t="n">
        <v>44047</v>
      </c>
      <c r="C1822" s="54" t="s">
        <v>592</v>
      </c>
      <c r="D1822" s="0" t="n">
        <v>0.844437696358032</v>
      </c>
      <c r="E1822" s="0" t="n">
        <v>0.0041455600922467</v>
      </c>
      <c r="F1822" s="0" t="n">
        <v>0</v>
      </c>
      <c r="G1822" s="0" t="n">
        <v>2020</v>
      </c>
    </row>
    <row r="1823" customFormat="false" ht="15" hidden="false" customHeight="false" outlineLevel="0" collapsed="false">
      <c r="A1823" s="0" t="s">
        <v>259</v>
      </c>
      <c r="B1823" s="52" t="n">
        <v>44048</v>
      </c>
      <c r="C1823" s="54" t="s">
        <v>590</v>
      </c>
      <c r="D1823" s="0" t="n">
        <v>0.190511236537365</v>
      </c>
      <c r="E1823" s="0" t="n">
        <v>0.313677494003542</v>
      </c>
      <c r="F1823" s="0" t="n">
        <v>0</v>
      </c>
      <c r="G1823" s="0" t="n">
        <v>2020</v>
      </c>
    </row>
    <row r="1824" customFormat="false" ht="15" hidden="false" customHeight="false" outlineLevel="0" collapsed="false">
      <c r="A1824" s="0" t="s">
        <v>259</v>
      </c>
      <c r="B1824" s="52" t="n">
        <v>44056</v>
      </c>
      <c r="C1824" s="54" t="s">
        <v>592</v>
      </c>
      <c r="D1824" s="0" t="n">
        <v>1</v>
      </c>
      <c r="E1824" s="0" t="n">
        <v>0</v>
      </c>
      <c r="F1824" s="0" t="n">
        <v>0</v>
      </c>
      <c r="G1824" s="0" t="n">
        <v>2020</v>
      </c>
    </row>
    <row r="1825" customFormat="false" ht="15" hidden="false" customHeight="false" outlineLevel="0" collapsed="false">
      <c r="A1825" s="0" t="s">
        <v>259</v>
      </c>
      <c r="B1825" s="52" t="n">
        <v>44090</v>
      </c>
      <c r="C1825" s="54" t="s">
        <v>590</v>
      </c>
      <c r="D1825" s="0" t="n">
        <v>0.0742459816569006</v>
      </c>
      <c r="E1825" s="0" t="n">
        <v>0.364008515484562</v>
      </c>
      <c r="F1825" s="0" t="n">
        <v>0</v>
      </c>
      <c r="G1825" s="0" t="n">
        <v>2020</v>
      </c>
    </row>
    <row r="1826" customFormat="false" ht="15" hidden="false" customHeight="false" outlineLevel="0" collapsed="false">
      <c r="A1826" s="0" t="s">
        <v>259</v>
      </c>
      <c r="B1826" s="52" t="n">
        <v>44090</v>
      </c>
      <c r="C1826" s="54" t="s">
        <v>592</v>
      </c>
      <c r="D1826" s="0" t="n">
        <v>1</v>
      </c>
      <c r="E1826" s="0" t="n">
        <v>0</v>
      </c>
      <c r="F1826" s="0" t="n">
        <v>0</v>
      </c>
      <c r="G1826" s="0" t="n">
        <v>2020</v>
      </c>
    </row>
    <row r="1827" customFormat="false" ht="15" hidden="false" customHeight="false" outlineLevel="0" collapsed="false">
      <c r="A1827" s="0" t="s">
        <v>259</v>
      </c>
      <c r="B1827" s="52" t="n">
        <v>44091</v>
      </c>
      <c r="C1827" s="54" t="s">
        <v>590</v>
      </c>
      <c r="D1827" s="0" t="n">
        <v>0.118592346230815</v>
      </c>
      <c r="E1827" s="0" t="n">
        <v>0.185764634552824</v>
      </c>
      <c r="F1827" s="0" t="n">
        <v>0</v>
      </c>
      <c r="G1827" s="0" t="n">
        <v>2020</v>
      </c>
    </row>
    <row r="1828" customFormat="false" ht="15" hidden="false" customHeight="false" outlineLevel="0" collapsed="false">
      <c r="A1828" s="0" t="s">
        <v>259</v>
      </c>
      <c r="B1828" s="52" t="n">
        <v>44091</v>
      </c>
      <c r="C1828" s="54" t="s">
        <v>591</v>
      </c>
      <c r="D1828" s="0" t="n">
        <v>0.18501187557553</v>
      </c>
      <c r="E1828" s="0" t="n">
        <v>0.249336059179912</v>
      </c>
      <c r="F1828" s="0" t="n">
        <v>0</v>
      </c>
      <c r="G1828" s="0" t="n">
        <v>2020</v>
      </c>
    </row>
    <row r="1829" customFormat="false" ht="15" hidden="false" customHeight="false" outlineLevel="0" collapsed="false">
      <c r="A1829" s="0" t="s">
        <v>259</v>
      </c>
      <c r="B1829" s="52" t="n">
        <v>44091</v>
      </c>
      <c r="C1829" s="54" t="s">
        <v>592</v>
      </c>
      <c r="D1829" s="0" t="n">
        <v>1</v>
      </c>
      <c r="E1829" s="0" t="n">
        <v>0</v>
      </c>
      <c r="F1829" s="0" t="n">
        <v>0</v>
      </c>
      <c r="G1829" s="0" t="n">
        <v>2020</v>
      </c>
    </row>
    <row r="1830" customFormat="false" ht="15" hidden="false" customHeight="false" outlineLevel="0" collapsed="false">
      <c r="A1830" s="0" t="s">
        <v>259</v>
      </c>
      <c r="B1830" s="52" t="n">
        <v>44092</v>
      </c>
      <c r="C1830" s="54" t="s">
        <v>590</v>
      </c>
      <c r="D1830" s="0" t="n">
        <v>0.32744518375561</v>
      </c>
      <c r="E1830" s="0" t="n">
        <v>0.170468331319519</v>
      </c>
      <c r="F1830" s="0" t="n">
        <v>0</v>
      </c>
      <c r="G1830" s="0" t="n">
        <v>2020</v>
      </c>
    </row>
    <row r="1831" customFormat="false" ht="15" hidden="false" customHeight="false" outlineLevel="0" collapsed="false">
      <c r="A1831" s="0" t="s">
        <v>259</v>
      </c>
      <c r="B1831" s="52" t="n">
        <v>44092</v>
      </c>
      <c r="C1831" s="54" t="s">
        <v>592</v>
      </c>
      <c r="D1831" s="0" t="n">
        <v>0.999540477361576</v>
      </c>
      <c r="E1831" s="0" t="n">
        <v>0</v>
      </c>
      <c r="F1831" s="0" t="n">
        <v>0</v>
      </c>
      <c r="G1831" s="0" t="n">
        <v>2020</v>
      </c>
    </row>
    <row r="1832" customFormat="false" ht="15" hidden="false" customHeight="false" outlineLevel="0" collapsed="false">
      <c r="A1832" s="0" t="s">
        <v>259</v>
      </c>
      <c r="B1832" s="52" t="n">
        <v>44093</v>
      </c>
      <c r="C1832" s="54" t="s">
        <v>590</v>
      </c>
      <c r="D1832" s="0" t="n">
        <v>0.4740559984401</v>
      </c>
      <c r="E1832" s="0" t="n">
        <v>0.0935836342915421</v>
      </c>
      <c r="F1832" s="0" t="n">
        <v>1</v>
      </c>
      <c r="G1832" s="0" t="n">
        <v>2020</v>
      </c>
    </row>
    <row r="1833" customFormat="false" ht="15" hidden="false" customHeight="false" outlineLevel="0" collapsed="false">
      <c r="A1833" s="0" t="s">
        <v>259</v>
      </c>
      <c r="B1833" s="52" t="n">
        <v>44094</v>
      </c>
      <c r="C1833" s="54" t="s">
        <v>592</v>
      </c>
      <c r="D1833" s="0" t="n">
        <v>0.957658159987965</v>
      </c>
      <c r="E1833" s="0" t="n">
        <v>0</v>
      </c>
      <c r="F1833" s="0" t="n">
        <v>1</v>
      </c>
      <c r="G1833" s="0" t="n">
        <v>2020</v>
      </c>
    </row>
    <row r="1834" customFormat="false" ht="15" hidden="false" customHeight="false" outlineLevel="0" collapsed="false">
      <c r="A1834" s="0" t="s">
        <v>259</v>
      </c>
      <c r="B1834" s="52" t="n">
        <v>44095</v>
      </c>
      <c r="C1834" s="54" t="s">
        <v>590</v>
      </c>
      <c r="D1834" s="0" t="n">
        <v>0.256923101276796</v>
      </c>
      <c r="E1834" s="0" t="n">
        <v>0.147976785803127</v>
      </c>
      <c r="F1834" s="0" t="n">
        <v>0</v>
      </c>
      <c r="G1834" s="0" t="n">
        <v>2020</v>
      </c>
    </row>
    <row r="1835" customFormat="false" ht="15" hidden="false" customHeight="false" outlineLevel="0" collapsed="false">
      <c r="A1835" s="0" t="s">
        <v>259</v>
      </c>
      <c r="B1835" s="52" t="n">
        <v>44095</v>
      </c>
      <c r="C1835" s="54" t="s">
        <v>592</v>
      </c>
      <c r="D1835" s="0" t="n">
        <v>1</v>
      </c>
      <c r="E1835" s="0" t="n">
        <v>0</v>
      </c>
      <c r="F1835" s="0" t="n">
        <v>0</v>
      </c>
      <c r="G1835" s="0" t="n">
        <v>2020</v>
      </c>
    </row>
    <row r="1836" customFormat="false" ht="15" hidden="false" customHeight="false" outlineLevel="0" collapsed="false">
      <c r="A1836" s="0" t="s">
        <v>259</v>
      </c>
      <c r="B1836" s="52" t="n">
        <v>44096</v>
      </c>
      <c r="C1836" s="54" t="s">
        <v>590</v>
      </c>
      <c r="D1836" s="0" t="n">
        <v>0.325914273180215</v>
      </c>
      <c r="E1836" s="0" t="n">
        <v>0.241919551025784</v>
      </c>
      <c r="F1836" s="0" t="n">
        <v>0</v>
      </c>
      <c r="G1836" s="0" t="n">
        <v>2020</v>
      </c>
    </row>
    <row r="1837" customFormat="false" ht="15" hidden="false" customHeight="false" outlineLevel="0" collapsed="false">
      <c r="A1837" s="0" t="s">
        <v>259</v>
      </c>
      <c r="B1837" s="52" t="n">
        <v>44096</v>
      </c>
      <c r="C1837" s="54" t="s">
        <v>592</v>
      </c>
      <c r="D1837" s="0" t="n">
        <v>0.408519222892387</v>
      </c>
      <c r="E1837" s="0" t="n">
        <v>0.166471759507972</v>
      </c>
      <c r="F1837" s="0" t="n">
        <v>0</v>
      </c>
      <c r="G1837" s="0" t="n">
        <v>2020</v>
      </c>
    </row>
    <row r="1838" customFormat="false" ht="15" hidden="false" customHeight="false" outlineLevel="0" collapsed="false">
      <c r="A1838" s="0" t="s">
        <v>259</v>
      </c>
      <c r="B1838" s="52" t="n">
        <v>44097</v>
      </c>
      <c r="C1838" s="54" t="s">
        <v>590</v>
      </c>
      <c r="D1838" s="0" t="n">
        <v>0.551142396205821</v>
      </c>
      <c r="E1838" s="0" t="n">
        <v>0.166761893288299</v>
      </c>
      <c r="F1838" s="0" t="n">
        <v>0</v>
      </c>
      <c r="G1838" s="0" t="n">
        <v>2020</v>
      </c>
    </row>
    <row r="1839" customFormat="false" ht="15" hidden="false" customHeight="false" outlineLevel="0" collapsed="false">
      <c r="A1839" s="0" t="s">
        <v>259</v>
      </c>
      <c r="B1839" s="52" t="n">
        <v>44097</v>
      </c>
      <c r="C1839" s="54" t="s">
        <v>592</v>
      </c>
      <c r="D1839" s="0" t="n">
        <v>0.441242558708973</v>
      </c>
      <c r="E1839" s="0" t="n">
        <v>0.161143483479928</v>
      </c>
      <c r="F1839" s="0" t="n">
        <v>0</v>
      </c>
      <c r="G1839" s="0" t="n">
        <v>2020</v>
      </c>
    </row>
    <row r="1840" customFormat="false" ht="15" hidden="false" customHeight="false" outlineLevel="0" collapsed="false">
      <c r="A1840" s="0" t="s">
        <v>259</v>
      </c>
      <c r="B1840" s="52" t="n">
        <v>44098</v>
      </c>
      <c r="C1840" s="54" t="s">
        <v>590</v>
      </c>
      <c r="D1840" s="0" t="n">
        <v>0.119634043993668</v>
      </c>
      <c r="E1840" s="0" t="n">
        <v>0.138252493597263</v>
      </c>
      <c r="F1840" s="0" t="n">
        <v>0</v>
      </c>
      <c r="G1840" s="0" t="n">
        <v>2020</v>
      </c>
    </row>
    <row r="1841" customFormat="false" ht="15" hidden="false" customHeight="false" outlineLevel="0" collapsed="false">
      <c r="A1841" s="0" t="s">
        <v>259</v>
      </c>
      <c r="B1841" s="52" t="n">
        <v>44098</v>
      </c>
      <c r="C1841" s="54" t="s">
        <v>592</v>
      </c>
      <c r="D1841" s="0" t="n">
        <v>0.738347016884556</v>
      </c>
      <c r="E1841" s="0" t="n">
        <v>0.0725495650918951</v>
      </c>
      <c r="F1841" s="0" t="n">
        <v>0</v>
      </c>
      <c r="G1841" s="0" t="n">
        <v>2020</v>
      </c>
    </row>
    <row r="1842" customFormat="false" ht="15" hidden="false" customHeight="false" outlineLevel="0" collapsed="false">
      <c r="A1842" s="0" t="s">
        <v>259</v>
      </c>
      <c r="B1842" s="52" t="n">
        <v>44099</v>
      </c>
      <c r="C1842" s="54" t="s">
        <v>590</v>
      </c>
      <c r="D1842" s="0" t="n">
        <v>0.517858744663599</v>
      </c>
      <c r="E1842" s="0" t="n">
        <v>0.123697254217454</v>
      </c>
      <c r="F1842" s="0" t="n">
        <v>0</v>
      </c>
      <c r="G1842" s="0" t="n">
        <v>2020</v>
      </c>
    </row>
    <row r="1843" customFormat="false" ht="15" hidden="false" customHeight="false" outlineLevel="0" collapsed="false">
      <c r="A1843" s="0" t="s">
        <v>259</v>
      </c>
      <c r="B1843" s="52" t="n">
        <v>44099</v>
      </c>
      <c r="C1843" s="54" t="s">
        <v>591</v>
      </c>
      <c r="D1843" s="0" t="n">
        <v>0.344432985389867</v>
      </c>
      <c r="E1843" s="0" t="n">
        <v>0.0372521682999861</v>
      </c>
      <c r="F1843" s="0" t="n">
        <v>0</v>
      </c>
      <c r="G1843" s="0" t="n">
        <v>2020</v>
      </c>
    </row>
    <row r="1844" customFormat="false" ht="15" hidden="false" customHeight="false" outlineLevel="0" collapsed="false">
      <c r="A1844" s="0" t="s">
        <v>259</v>
      </c>
      <c r="B1844" s="52" t="n">
        <v>44099</v>
      </c>
      <c r="C1844" s="54" t="s">
        <v>592</v>
      </c>
      <c r="D1844" s="0" t="n">
        <v>0.9992780333377</v>
      </c>
      <c r="E1844" s="0" t="n">
        <v>0</v>
      </c>
      <c r="F1844" s="0" t="n">
        <v>0</v>
      </c>
      <c r="G1844" s="0" t="n">
        <v>2020</v>
      </c>
    </row>
    <row r="1845" customFormat="false" ht="15" hidden="false" customHeight="false" outlineLevel="0" collapsed="false">
      <c r="A1845" s="0" t="s">
        <v>259</v>
      </c>
      <c r="B1845" s="52" t="n">
        <v>44100</v>
      </c>
      <c r="C1845" s="54" t="s">
        <v>590</v>
      </c>
      <c r="D1845" s="0" t="n">
        <v>0.238294244013892</v>
      </c>
      <c r="E1845" s="0" t="n">
        <v>0.133007935144063</v>
      </c>
      <c r="F1845" s="0" t="n">
        <v>1</v>
      </c>
      <c r="G1845" s="0" t="n">
        <v>2020</v>
      </c>
    </row>
    <row r="1846" customFormat="false" ht="15" hidden="false" customHeight="false" outlineLevel="0" collapsed="false">
      <c r="A1846" s="0" t="s">
        <v>259</v>
      </c>
      <c r="B1846" s="52" t="n">
        <v>44101</v>
      </c>
      <c r="C1846" s="54" t="s">
        <v>592</v>
      </c>
      <c r="D1846" s="0" t="n">
        <v>1</v>
      </c>
      <c r="E1846" s="0" t="n">
        <v>0</v>
      </c>
      <c r="F1846" s="0" t="n">
        <v>1</v>
      </c>
      <c r="G1846" s="0" t="n">
        <v>2020</v>
      </c>
    </row>
    <row r="1847" customFormat="false" ht="15" hidden="false" customHeight="false" outlineLevel="0" collapsed="false">
      <c r="A1847" s="0" t="s">
        <v>259</v>
      </c>
      <c r="B1847" s="52" t="n">
        <v>44102</v>
      </c>
      <c r="C1847" s="54" t="s">
        <v>590</v>
      </c>
      <c r="D1847" s="0" t="n">
        <v>0.454899932946036</v>
      </c>
      <c r="E1847" s="0" t="n">
        <v>0.202950214048018</v>
      </c>
      <c r="F1847" s="0" t="n">
        <v>0</v>
      </c>
      <c r="G1847" s="0" t="n">
        <v>2020</v>
      </c>
    </row>
    <row r="1848" customFormat="false" ht="15" hidden="false" customHeight="false" outlineLevel="0" collapsed="false">
      <c r="A1848" s="0" t="s">
        <v>259</v>
      </c>
      <c r="B1848" s="52" t="n">
        <v>44102</v>
      </c>
      <c r="C1848" s="54" t="s">
        <v>592</v>
      </c>
      <c r="D1848" s="0" t="n">
        <v>1</v>
      </c>
      <c r="E1848" s="0" t="n">
        <v>0</v>
      </c>
      <c r="F1848" s="0" t="n">
        <v>0</v>
      </c>
      <c r="G1848" s="0" t="n">
        <v>2020</v>
      </c>
    </row>
    <row r="1849" customFormat="false" ht="15" hidden="false" customHeight="false" outlineLevel="0" collapsed="false">
      <c r="A1849" s="0" t="s">
        <v>259</v>
      </c>
      <c r="B1849" s="52" t="n">
        <v>44103</v>
      </c>
      <c r="C1849" s="54" t="s">
        <v>590</v>
      </c>
      <c r="D1849" s="0" t="n">
        <v>0.171046165822826</v>
      </c>
      <c r="E1849" s="0" t="n">
        <v>0.186052897406606</v>
      </c>
      <c r="F1849" s="0" t="n">
        <v>0</v>
      </c>
      <c r="G1849" s="0" t="n">
        <v>2020</v>
      </c>
    </row>
    <row r="1850" customFormat="false" ht="15" hidden="false" customHeight="false" outlineLevel="0" collapsed="false">
      <c r="A1850" s="0" t="s">
        <v>259</v>
      </c>
      <c r="B1850" s="52" t="n">
        <v>44103</v>
      </c>
      <c r="C1850" s="54" t="s">
        <v>592</v>
      </c>
      <c r="D1850" s="0" t="n">
        <v>0.8583631911905</v>
      </c>
      <c r="E1850" s="0" t="n">
        <v>0</v>
      </c>
      <c r="F1850" s="0" t="n">
        <v>0</v>
      </c>
      <c r="G1850" s="0" t="n">
        <v>2020</v>
      </c>
    </row>
    <row r="1851" customFormat="false" ht="15" hidden="false" customHeight="false" outlineLevel="0" collapsed="false">
      <c r="A1851" s="0" t="s">
        <v>259</v>
      </c>
      <c r="B1851" s="52" t="n">
        <v>44104</v>
      </c>
      <c r="C1851" s="54" t="s">
        <v>590</v>
      </c>
      <c r="D1851" s="0" t="n">
        <v>0.684030467482172</v>
      </c>
      <c r="E1851" s="0" t="n">
        <v>0.0214110466754116</v>
      </c>
      <c r="F1851" s="0" t="n">
        <v>0</v>
      </c>
      <c r="G1851" s="0" t="n">
        <v>2020</v>
      </c>
    </row>
    <row r="1852" customFormat="false" ht="15" hidden="false" customHeight="false" outlineLevel="0" collapsed="false">
      <c r="A1852" s="0" t="s">
        <v>259</v>
      </c>
      <c r="B1852" s="52" t="n">
        <v>44104</v>
      </c>
      <c r="C1852" s="54" t="s">
        <v>592</v>
      </c>
      <c r="D1852" s="0" t="n">
        <v>0.178652126575251</v>
      </c>
      <c r="E1852" s="0" t="n">
        <v>0.155545058830862</v>
      </c>
      <c r="F1852" s="0" t="n">
        <v>0</v>
      </c>
      <c r="G1852" s="0" t="n">
        <v>2020</v>
      </c>
    </row>
    <row r="1853" customFormat="false" ht="15" hidden="false" customHeight="false" outlineLevel="0" collapsed="false">
      <c r="A1853" s="0" t="s">
        <v>259</v>
      </c>
      <c r="B1853" s="52" t="n">
        <v>44105</v>
      </c>
      <c r="C1853" s="54" t="s">
        <v>590</v>
      </c>
      <c r="D1853" s="0" t="n">
        <v>0.604353908416348</v>
      </c>
      <c r="E1853" s="0" t="n">
        <v>0.0455236137376544</v>
      </c>
      <c r="F1853" s="0" t="n">
        <v>0</v>
      </c>
      <c r="G1853" s="0" t="n">
        <v>2020</v>
      </c>
    </row>
    <row r="1854" customFormat="false" ht="15" hidden="false" customHeight="false" outlineLevel="0" collapsed="false">
      <c r="A1854" s="0" t="s">
        <v>259</v>
      </c>
      <c r="B1854" s="52" t="n">
        <v>44105</v>
      </c>
      <c r="C1854" s="54" t="s">
        <v>592</v>
      </c>
      <c r="D1854" s="0" t="n">
        <v>0.901979592495266</v>
      </c>
      <c r="E1854" s="0" t="n">
        <v>0.0045567231424209</v>
      </c>
      <c r="F1854" s="0" t="n">
        <v>0</v>
      </c>
      <c r="G1854" s="0" t="n">
        <v>2020</v>
      </c>
    </row>
    <row r="1855" customFormat="false" ht="15" hidden="false" customHeight="false" outlineLevel="0" collapsed="false">
      <c r="A1855" s="0" t="s">
        <v>259</v>
      </c>
      <c r="B1855" s="52" t="n">
        <v>44106</v>
      </c>
      <c r="C1855" s="54" t="s">
        <v>590</v>
      </c>
      <c r="D1855" s="0" t="n">
        <v>0.60439903179296</v>
      </c>
      <c r="E1855" s="0" t="n">
        <v>0.0555837239565285</v>
      </c>
      <c r="F1855" s="0" t="n">
        <v>0</v>
      </c>
      <c r="G1855" s="0" t="n">
        <v>2020</v>
      </c>
    </row>
    <row r="1856" customFormat="false" ht="15" hidden="false" customHeight="false" outlineLevel="0" collapsed="false">
      <c r="A1856" s="0" t="s">
        <v>259</v>
      </c>
      <c r="B1856" s="52" t="n">
        <v>44106</v>
      </c>
      <c r="C1856" s="54" t="s">
        <v>591</v>
      </c>
      <c r="D1856" s="0" t="n">
        <v>0.267188057234776</v>
      </c>
      <c r="E1856" s="0" t="n">
        <v>0.156452371543422</v>
      </c>
      <c r="F1856" s="0" t="n">
        <v>0</v>
      </c>
      <c r="G1856" s="0" t="n">
        <v>2020</v>
      </c>
    </row>
    <row r="1857" customFormat="false" ht="15" hidden="false" customHeight="false" outlineLevel="0" collapsed="false">
      <c r="A1857" s="0" t="s">
        <v>259</v>
      </c>
      <c r="B1857" s="52" t="n">
        <v>44106</v>
      </c>
      <c r="C1857" s="54" t="s">
        <v>592</v>
      </c>
      <c r="D1857" s="0" t="n">
        <v>0.998927623552305</v>
      </c>
      <c r="E1857" s="0" t="n">
        <v>0</v>
      </c>
      <c r="F1857" s="0" t="n">
        <v>0</v>
      </c>
      <c r="G1857" s="0" t="n">
        <v>2020</v>
      </c>
    </row>
    <row r="1858" customFormat="false" ht="15" hidden="false" customHeight="false" outlineLevel="0" collapsed="false">
      <c r="A1858" s="0" t="s">
        <v>259</v>
      </c>
      <c r="B1858" s="52" t="n">
        <v>44107</v>
      </c>
      <c r="C1858" s="54" t="s">
        <v>590</v>
      </c>
      <c r="D1858" s="0" t="n">
        <v>0.34634184146022</v>
      </c>
      <c r="E1858" s="0" t="n">
        <v>0.144673785914822</v>
      </c>
      <c r="F1858" s="0" t="n">
        <v>1</v>
      </c>
      <c r="G1858" s="0" t="n">
        <v>2020</v>
      </c>
    </row>
    <row r="1859" customFormat="false" ht="15" hidden="false" customHeight="false" outlineLevel="0" collapsed="false">
      <c r="A1859" s="0" t="s">
        <v>259</v>
      </c>
      <c r="B1859" s="52" t="n">
        <v>44108</v>
      </c>
      <c r="C1859" s="54" t="s">
        <v>592</v>
      </c>
      <c r="D1859" s="0" t="n">
        <v>0.845019993441216</v>
      </c>
      <c r="E1859" s="0" t="n">
        <v>0</v>
      </c>
      <c r="F1859" s="0" t="n">
        <v>1</v>
      </c>
      <c r="G1859" s="0" t="n">
        <v>2020</v>
      </c>
    </row>
    <row r="1860" customFormat="false" ht="15" hidden="false" customHeight="false" outlineLevel="0" collapsed="false">
      <c r="A1860" s="0" t="s">
        <v>259</v>
      </c>
      <c r="B1860" s="52" t="n">
        <v>44109</v>
      </c>
      <c r="C1860" s="54" t="s">
        <v>590</v>
      </c>
      <c r="D1860" s="0" t="n">
        <v>0.385012628733865</v>
      </c>
      <c r="E1860" s="0" t="n">
        <v>0.100065333892539</v>
      </c>
      <c r="F1860" s="0" t="n">
        <v>0</v>
      </c>
      <c r="G1860" s="0" t="n">
        <v>2020</v>
      </c>
    </row>
    <row r="1861" customFormat="false" ht="15" hidden="false" customHeight="false" outlineLevel="0" collapsed="false">
      <c r="A1861" s="0" t="s">
        <v>259</v>
      </c>
      <c r="B1861" s="52" t="n">
        <v>44109</v>
      </c>
      <c r="C1861" s="54" t="s">
        <v>592</v>
      </c>
      <c r="D1861" s="0" t="n">
        <v>1</v>
      </c>
      <c r="E1861" s="0" t="n">
        <v>0</v>
      </c>
      <c r="F1861" s="0" t="n">
        <v>0</v>
      </c>
      <c r="G1861" s="0" t="n">
        <v>2020</v>
      </c>
    </row>
    <row r="1862" customFormat="false" ht="15" hidden="false" customHeight="false" outlineLevel="0" collapsed="false">
      <c r="A1862" s="0" t="s">
        <v>259</v>
      </c>
      <c r="B1862" s="52" t="n">
        <v>44110</v>
      </c>
      <c r="C1862" s="54" t="s">
        <v>590</v>
      </c>
      <c r="D1862" s="0" t="n">
        <v>0.326060383120672</v>
      </c>
      <c r="E1862" s="0" t="n">
        <v>0.0983127817598886</v>
      </c>
      <c r="F1862" s="0" t="n">
        <v>0</v>
      </c>
      <c r="G1862" s="0" t="n">
        <v>2020</v>
      </c>
    </row>
    <row r="1863" customFormat="false" ht="15" hidden="false" customHeight="false" outlineLevel="0" collapsed="false">
      <c r="A1863" s="0" t="s">
        <v>259</v>
      </c>
      <c r="B1863" s="52" t="n">
        <v>44110</v>
      </c>
      <c r="C1863" s="54" t="s">
        <v>592</v>
      </c>
      <c r="D1863" s="0" t="n">
        <v>0.877433980921885</v>
      </c>
      <c r="E1863" s="0" t="n">
        <v>0.0006990841273492</v>
      </c>
      <c r="F1863" s="0" t="n">
        <v>0</v>
      </c>
      <c r="G1863" s="0" t="n">
        <v>2020</v>
      </c>
    </row>
    <row r="1864" customFormat="false" ht="15" hidden="false" customHeight="false" outlineLevel="0" collapsed="false">
      <c r="A1864" s="0" t="s">
        <v>259</v>
      </c>
      <c r="B1864" s="52" t="n">
        <v>44111</v>
      </c>
      <c r="C1864" s="54" t="s">
        <v>590</v>
      </c>
      <c r="D1864" s="0" t="n">
        <v>0.540332150798055</v>
      </c>
      <c r="E1864" s="0" t="n">
        <v>0.090952223612836</v>
      </c>
      <c r="F1864" s="0" t="n">
        <v>0</v>
      </c>
      <c r="G1864" s="0" t="n">
        <v>2020</v>
      </c>
    </row>
    <row r="1865" customFormat="false" ht="15" hidden="false" customHeight="false" outlineLevel="0" collapsed="false">
      <c r="A1865" s="0" t="s">
        <v>259</v>
      </c>
      <c r="B1865" s="52" t="n">
        <v>44111</v>
      </c>
      <c r="C1865" s="54" t="s">
        <v>591</v>
      </c>
      <c r="D1865" s="0" t="n">
        <v>0.109928693176377</v>
      </c>
      <c r="E1865" s="0" t="n">
        <v>0.278371114671842</v>
      </c>
      <c r="F1865" s="0" t="n">
        <v>0</v>
      </c>
      <c r="G1865" s="0" t="n">
        <v>2020</v>
      </c>
    </row>
    <row r="1866" customFormat="false" ht="15" hidden="false" customHeight="false" outlineLevel="0" collapsed="false">
      <c r="A1866" s="0" t="s">
        <v>259</v>
      </c>
      <c r="B1866" s="52" t="n">
        <v>44111</v>
      </c>
      <c r="C1866" s="54" t="s">
        <v>592</v>
      </c>
      <c r="D1866" s="0" t="n">
        <v>0.293033568800411</v>
      </c>
      <c r="E1866" s="0" t="n">
        <v>0.187356045624098</v>
      </c>
      <c r="F1866" s="0" t="n">
        <v>0</v>
      </c>
      <c r="G1866" s="0" t="n">
        <v>2020</v>
      </c>
    </row>
    <row r="1867" customFormat="false" ht="15" hidden="false" customHeight="false" outlineLevel="0" collapsed="false">
      <c r="A1867" s="0" t="s">
        <v>259</v>
      </c>
      <c r="B1867" s="52" t="n">
        <v>44112</v>
      </c>
      <c r="C1867" s="54" t="s">
        <v>590</v>
      </c>
      <c r="D1867" s="0" t="n">
        <v>0.371211525674381</v>
      </c>
      <c r="E1867" s="0" t="n">
        <v>0.1772468809348</v>
      </c>
      <c r="F1867" s="0" t="n">
        <v>0</v>
      </c>
      <c r="G1867" s="0" t="n">
        <v>2020</v>
      </c>
    </row>
    <row r="1868" customFormat="false" ht="15" hidden="false" customHeight="false" outlineLevel="0" collapsed="false">
      <c r="A1868" s="0" t="s">
        <v>259</v>
      </c>
      <c r="B1868" s="52" t="n">
        <v>44112</v>
      </c>
      <c r="C1868" s="54" t="s">
        <v>592</v>
      </c>
      <c r="D1868" s="0" t="n">
        <v>0.998259414624645</v>
      </c>
      <c r="E1868" s="0" t="n">
        <v>0</v>
      </c>
      <c r="F1868" s="0" t="n">
        <v>0</v>
      </c>
      <c r="G1868" s="0" t="n">
        <v>2020</v>
      </c>
    </row>
    <row r="1869" customFormat="false" ht="15" hidden="false" customHeight="false" outlineLevel="0" collapsed="false">
      <c r="A1869" s="0" t="s">
        <v>259</v>
      </c>
      <c r="B1869" s="52" t="n">
        <v>44113</v>
      </c>
      <c r="C1869" s="54" t="s">
        <v>590</v>
      </c>
      <c r="D1869" s="0" t="n">
        <v>0.201794108648407</v>
      </c>
      <c r="E1869" s="0" t="n">
        <v>0.142746403402165</v>
      </c>
      <c r="F1869" s="0" t="n">
        <v>0</v>
      </c>
      <c r="G1869" s="0" t="n">
        <v>2020</v>
      </c>
    </row>
    <row r="1870" customFormat="false" ht="15" hidden="false" customHeight="false" outlineLevel="0" collapsed="false">
      <c r="A1870" s="0" t="s">
        <v>259</v>
      </c>
      <c r="B1870" s="52" t="n">
        <v>44113</v>
      </c>
      <c r="C1870" s="54" t="s">
        <v>592</v>
      </c>
      <c r="D1870" s="0" t="n">
        <v>1</v>
      </c>
      <c r="E1870" s="0" t="n">
        <v>0</v>
      </c>
      <c r="F1870" s="0" t="n">
        <v>0</v>
      </c>
      <c r="G1870" s="0" t="n">
        <v>2020</v>
      </c>
    </row>
    <row r="1871" customFormat="false" ht="15" hidden="false" customHeight="false" outlineLevel="0" collapsed="false">
      <c r="A1871" s="0" t="s">
        <v>259</v>
      </c>
      <c r="B1871" s="52" t="n">
        <v>44114</v>
      </c>
      <c r="C1871" s="54" t="s">
        <v>590</v>
      </c>
      <c r="D1871" s="0" t="n">
        <v>0.473146065482218</v>
      </c>
      <c r="E1871" s="0" t="n">
        <v>0.0889177127185623</v>
      </c>
      <c r="F1871" s="0" t="n">
        <v>1</v>
      </c>
      <c r="G1871" s="0" t="n">
        <v>2020</v>
      </c>
    </row>
    <row r="1872" customFormat="false" ht="15" hidden="false" customHeight="false" outlineLevel="0" collapsed="false">
      <c r="A1872" s="0" t="s">
        <v>259</v>
      </c>
      <c r="B1872" s="52" t="n">
        <v>44115</v>
      </c>
      <c r="C1872" s="54" t="s">
        <v>592</v>
      </c>
      <c r="D1872" s="0" t="n">
        <v>0.999239986271034</v>
      </c>
      <c r="E1872" s="0" t="n">
        <v>0</v>
      </c>
      <c r="F1872" s="0" t="n">
        <v>1</v>
      </c>
      <c r="G1872" s="0" t="n">
        <v>2020</v>
      </c>
    </row>
    <row r="1873" customFormat="false" ht="15" hidden="false" customHeight="false" outlineLevel="0" collapsed="false">
      <c r="A1873" s="0" t="s">
        <v>259</v>
      </c>
      <c r="B1873" s="52" t="n">
        <v>44116</v>
      </c>
      <c r="C1873" s="54" t="s">
        <v>590</v>
      </c>
      <c r="D1873" s="0" t="n">
        <v>0.522645166010405</v>
      </c>
      <c r="E1873" s="0" t="n">
        <v>0.0802397003902771</v>
      </c>
      <c r="F1873" s="0" t="n">
        <v>0</v>
      </c>
      <c r="G1873" s="0" t="n">
        <v>2020</v>
      </c>
    </row>
    <row r="1874" customFormat="false" ht="15" hidden="false" customHeight="false" outlineLevel="0" collapsed="false">
      <c r="A1874" s="0" t="s">
        <v>259</v>
      </c>
      <c r="B1874" s="52" t="n">
        <v>44116</v>
      </c>
      <c r="C1874" s="54" t="s">
        <v>592</v>
      </c>
      <c r="D1874" s="0" t="n">
        <v>1</v>
      </c>
      <c r="E1874" s="0" t="n">
        <v>0</v>
      </c>
      <c r="F1874" s="0" t="n">
        <v>0</v>
      </c>
      <c r="G1874" s="0" t="n">
        <v>2020</v>
      </c>
    </row>
    <row r="1875" customFormat="false" ht="15" hidden="false" customHeight="false" outlineLevel="0" collapsed="false">
      <c r="A1875" s="0" t="s">
        <v>259</v>
      </c>
      <c r="B1875" s="52" t="n">
        <v>44117</v>
      </c>
      <c r="C1875" s="54" t="s">
        <v>590</v>
      </c>
      <c r="D1875" s="0" t="n">
        <v>0.662671478619087</v>
      </c>
      <c r="E1875" s="0" t="n">
        <v>0.114473636955795</v>
      </c>
      <c r="F1875" s="0" t="n">
        <v>0</v>
      </c>
      <c r="G1875" s="0" t="n">
        <v>2020</v>
      </c>
    </row>
    <row r="1876" customFormat="false" ht="15" hidden="false" customHeight="false" outlineLevel="0" collapsed="false">
      <c r="A1876" s="0" t="s">
        <v>259</v>
      </c>
      <c r="B1876" s="52" t="n">
        <v>44117</v>
      </c>
      <c r="C1876" s="54" t="s">
        <v>592</v>
      </c>
      <c r="D1876" s="0" t="n">
        <v>1</v>
      </c>
      <c r="E1876" s="0" t="n">
        <v>0</v>
      </c>
      <c r="F1876" s="0" t="n">
        <v>0</v>
      </c>
      <c r="G1876" s="0" t="n">
        <v>2020</v>
      </c>
    </row>
    <row r="1877" customFormat="false" ht="15" hidden="false" customHeight="false" outlineLevel="0" collapsed="false">
      <c r="A1877" s="0" t="s">
        <v>259</v>
      </c>
      <c r="B1877" s="52" t="n">
        <v>44118</v>
      </c>
      <c r="C1877" s="54" t="s">
        <v>590</v>
      </c>
      <c r="D1877" s="0" t="n">
        <v>0.526231872243414</v>
      </c>
      <c r="E1877" s="0" t="n">
        <v>0.0972213336181863</v>
      </c>
      <c r="F1877" s="0" t="n">
        <v>0</v>
      </c>
      <c r="G1877" s="0" t="n">
        <v>2020</v>
      </c>
    </row>
    <row r="1878" customFormat="false" ht="15" hidden="false" customHeight="false" outlineLevel="0" collapsed="false">
      <c r="A1878" s="0" t="s">
        <v>259</v>
      </c>
      <c r="B1878" s="52" t="n">
        <v>44118</v>
      </c>
      <c r="C1878" s="54" t="s">
        <v>592</v>
      </c>
      <c r="D1878" s="0" t="n">
        <v>0.106975923257375</v>
      </c>
      <c r="E1878" s="0" t="n">
        <v>0.127514941814578</v>
      </c>
      <c r="F1878" s="0" t="n">
        <v>0</v>
      </c>
      <c r="G1878" s="0" t="n">
        <v>2020</v>
      </c>
    </row>
    <row r="1879" customFormat="false" ht="15" hidden="false" customHeight="false" outlineLevel="0" collapsed="false">
      <c r="A1879" s="0" t="s">
        <v>259</v>
      </c>
      <c r="B1879" s="52" t="n">
        <v>44119</v>
      </c>
      <c r="C1879" s="54" t="s">
        <v>590</v>
      </c>
      <c r="D1879" s="0" t="n">
        <v>0.495466607669155</v>
      </c>
      <c r="E1879" s="0" t="n">
        <v>0.194513586823778</v>
      </c>
      <c r="F1879" s="0" t="n">
        <v>0</v>
      </c>
      <c r="G1879" s="0" t="n">
        <v>2020</v>
      </c>
    </row>
    <row r="1880" customFormat="false" ht="15" hidden="false" customHeight="false" outlineLevel="0" collapsed="false">
      <c r="A1880" s="0" t="s">
        <v>259</v>
      </c>
      <c r="B1880" s="52" t="n">
        <v>44119</v>
      </c>
      <c r="C1880" s="54" t="s">
        <v>592</v>
      </c>
      <c r="D1880" s="0" t="n">
        <v>0.9978982431655</v>
      </c>
      <c r="E1880" s="0" t="n">
        <v>0</v>
      </c>
      <c r="F1880" s="0" t="n">
        <v>0</v>
      </c>
      <c r="G1880" s="0" t="n">
        <v>2020</v>
      </c>
    </row>
    <row r="1881" customFormat="false" ht="15" hidden="false" customHeight="false" outlineLevel="0" collapsed="false">
      <c r="A1881" s="0" t="s">
        <v>259</v>
      </c>
      <c r="B1881" s="52" t="n">
        <v>44120</v>
      </c>
      <c r="C1881" s="54" t="s">
        <v>590</v>
      </c>
      <c r="D1881" s="0" t="n">
        <v>0.544072217988276</v>
      </c>
      <c r="E1881" s="0" t="n">
        <v>0.0978134598081204</v>
      </c>
      <c r="F1881" s="0" t="n">
        <v>0</v>
      </c>
      <c r="G1881" s="0" t="n">
        <v>2020</v>
      </c>
    </row>
    <row r="1882" customFormat="false" ht="15" hidden="false" customHeight="false" outlineLevel="0" collapsed="false">
      <c r="A1882" s="0" t="s">
        <v>259</v>
      </c>
      <c r="B1882" s="52" t="n">
        <v>44120</v>
      </c>
      <c r="C1882" s="54" t="s">
        <v>591</v>
      </c>
      <c r="D1882" s="0" t="n">
        <v>0.197770173878316</v>
      </c>
      <c r="E1882" s="0" t="n">
        <v>0.307149685794398</v>
      </c>
      <c r="F1882" s="0" t="n">
        <v>0</v>
      </c>
      <c r="G1882" s="0" t="n">
        <v>2020</v>
      </c>
    </row>
    <row r="1883" customFormat="false" ht="15" hidden="false" customHeight="false" outlineLevel="0" collapsed="false">
      <c r="A1883" s="0" t="s">
        <v>259</v>
      </c>
      <c r="B1883" s="52" t="n">
        <v>44120</v>
      </c>
      <c r="C1883" s="54" t="s">
        <v>592</v>
      </c>
      <c r="D1883" s="0" t="n">
        <v>1</v>
      </c>
      <c r="E1883" s="0" t="n">
        <v>0</v>
      </c>
      <c r="F1883" s="0" t="n">
        <v>0</v>
      </c>
      <c r="G1883" s="0" t="n">
        <v>2020</v>
      </c>
    </row>
    <row r="1884" customFormat="false" ht="15" hidden="false" customHeight="false" outlineLevel="0" collapsed="false">
      <c r="A1884" s="0" t="s">
        <v>259</v>
      </c>
      <c r="B1884" s="52" t="n">
        <v>44121</v>
      </c>
      <c r="C1884" s="54" t="s">
        <v>590</v>
      </c>
      <c r="D1884" s="0" t="n">
        <v>0.291812271542501</v>
      </c>
      <c r="E1884" s="0" t="n">
        <v>0.153200851011221</v>
      </c>
      <c r="F1884" s="0" t="n">
        <v>1</v>
      </c>
      <c r="G1884" s="0" t="n">
        <v>2020</v>
      </c>
    </row>
    <row r="1885" customFormat="false" ht="15" hidden="false" customHeight="false" outlineLevel="0" collapsed="false">
      <c r="A1885" s="0" t="s">
        <v>259</v>
      </c>
      <c r="B1885" s="52" t="n">
        <v>44122</v>
      </c>
      <c r="C1885" s="54" t="s">
        <v>592</v>
      </c>
      <c r="D1885" s="0" t="n">
        <v>1</v>
      </c>
      <c r="E1885" s="0" t="n">
        <v>0</v>
      </c>
      <c r="F1885" s="0" t="n">
        <v>1</v>
      </c>
      <c r="G1885" s="0" t="n">
        <v>2020</v>
      </c>
    </row>
    <row r="1886" customFormat="false" ht="15" hidden="false" customHeight="false" outlineLevel="0" collapsed="false">
      <c r="A1886" s="0" t="s">
        <v>259</v>
      </c>
      <c r="B1886" s="52" t="n">
        <v>44123</v>
      </c>
      <c r="C1886" s="54" t="s">
        <v>590</v>
      </c>
      <c r="D1886" s="0" t="n">
        <v>0.293311730538564</v>
      </c>
      <c r="E1886" s="0" t="n">
        <v>0.159643708172124</v>
      </c>
      <c r="F1886" s="0" t="n">
        <v>0</v>
      </c>
      <c r="G1886" s="0" t="n">
        <v>2020</v>
      </c>
    </row>
    <row r="1887" customFormat="false" ht="15" hidden="false" customHeight="false" outlineLevel="0" collapsed="false">
      <c r="A1887" s="0" t="s">
        <v>259</v>
      </c>
      <c r="B1887" s="52" t="n">
        <v>44123</v>
      </c>
      <c r="C1887" s="54" t="s">
        <v>592</v>
      </c>
      <c r="D1887" s="0" t="n">
        <v>0.996899209539372</v>
      </c>
      <c r="E1887" s="0" t="n">
        <v>0</v>
      </c>
      <c r="F1887" s="0" t="n">
        <v>0</v>
      </c>
      <c r="G1887" s="0" t="n">
        <v>2020</v>
      </c>
    </row>
    <row r="1888" customFormat="false" ht="15" hidden="false" customHeight="false" outlineLevel="0" collapsed="false">
      <c r="A1888" s="0" t="s">
        <v>259</v>
      </c>
      <c r="B1888" s="52" t="n">
        <v>44124</v>
      </c>
      <c r="C1888" s="54" t="s">
        <v>590</v>
      </c>
      <c r="D1888" s="0" t="n">
        <v>0.362443881338425</v>
      </c>
      <c r="E1888" s="0" t="n">
        <v>0.204748789956296</v>
      </c>
      <c r="F1888" s="0" t="n">
        <v>0</v>
      </c>
      <c r="G1888" s="0" t="n">
        <v>2020</v>
      </c>
    </row>
    <row r="1889" customFormat="false" ht="15" hidden="false" customHeight="false" outlineLevel="0" collapsed="false">
      <c r="A1889" s="0" t="s">
        <v>259</v>
      </c>
      <c r="B1889" s="52" t="n">
        <v>44124</v>
      </c>
      <c r="C1889" s="54" t="s">
        <v>592</v>
      </c>
      <c r="D1889" s="0" t="n">
        <v>0.999104242062082</v>
      </c>
      <c r="E1889" s="0" t="n">
        <v>0</v>
      </c>
      <c r="F1889" s="0" t="n">
        <v>0</v>
      </c>
      <c r="G1889" s="0" t="n">
        <v>2020</v>
      </c>
    </row>
    <row r="1890" customFormat="false" ht="15" hidden="false" customHeight="false" outlineLevel="0" collapsed="false">
      <c r="A1890" s="0" t="s">
        <v>259</v>
      </c>
      <c r="B1890" s="52" t="n">
        <v>44125</v>
      </c>
      <c r="C1890" s="54" t="s">
        <v>590</v>
      </c>
      <c r="D1890" s="0" t="n">
        <v>0.319348321925839</v>
      </c>
      <c r="E1890" s="0" t="n">
        <v>0.0707284659490069</v>
      </c>
      <c r="F1890" s="0" t="n">
        <v>0</v>
      </c>
      <c r="G1890" s="0" t="n">
        <v>2020</v>
      </c>
    </row>
    <row r="1891" customFormat="false" ht="15" hidden="false" customHeight="false" outlineLevel="0" collapsed="false">
      <c r="A1891" s="0" t="s">
        <v>259</v>
      </c>
      <c r="B1891" s="52" t="n">
        <v>44125</v>
      </c>
      <c r="C1891" s="54" t="s">
        <v>592</v>
      </c>
      <c r="D1891" s="0" t="n">
        <v>0.156215554828945</v>
      </c>
      <c r="E1891" s="0" t="n">
        <v>0.148926362182011</v>
      </c>
      <c r="F1891" s="0" t="n">
        <v>0</v>
      </c>
      <c r="G1891" s="0" t="n">
        <v>2020</v>
      </c>
    </row>
    <row r="1892" customFormat="false" ht="15" hidden="false" customHeight="false" outlineLevel="0" collapsed="false">
      <c r="A1892" s="0" t="s">
        <v>259</v>
      </c>
      <c r="B1892" s="52" t="n">
        <v>44126</v>
      </c>
      <c r="C1892" s="54" t="s">
        <v>590</v>
      </c>
      <c r="D1892" s="0" t="n">
        <v>0.53791564568642</v>
      </c>
      <c r="E1892" s="0" t="n">
        <v>0.0313010816715972</v>
      </c>
      <c r="F1892" s="0" t="n">
        <v>0</v>
      </c>
      <c r="G1892" s="0" t="n">
        <v>2020</v>
      </c>
    </row>
    <row r="1893" customFormat="false" ht="15" hidden="false" customHeight="false" outlineLevel="0" collapsed="false">
      <c r="A1893" s="0" t="s">
        <v>259</v>
      </c>
      <c r="B1893" s="52" t="n">
        <v>44126</v>
      </c>
      <c r="C1893" s="54" t="s">
        <v>591</v>
      </c>
      <c r="D1893" s="0" t="n">
        <v>0.3791745134039</v>
      </c>
      <c r="E1893" s="0" t="n">
        <v>0.272805717737857</v>
      </c>
      <c r="F1893" s="0" t="n">
        <v>0</v>
      </c>
      <c r="G1893" s="0" t="n">
        <v>2020</v>
      </c>
    </row>
    <row r="1894" customFormat="false" ht="15" hidden="false" customHeight="false" outlineLevel="0" collapsed="false">
      <c r="A1894" s="0" t="s">
        <v>259</v>
      </c>
      <c r="B1894" s="52" t="n">
        <v>44126</v>
      </c>
      <c r="C1894" s="54" t="s">
        <v>592</v>
      </c>
      <c r="D1894" s="0" t="n">
        <v>0.57053172773406</v>
      </c>
      <c r="E1894" s="0" t="n">
        <v>0.13822920437729</v>
      </c>
      <c r="F1894" s="0" t="n">
        <v>0</v>
      </c>
      <c r="G1894" s="0" t="n">
        <v>2020</v>
      </c>
    </row>
    <row r="1895" customFormat="false" ht="15" hidden="false" customHeight="false" outlineLevel="0" collapsed="false">
      <c r="A1895" s="0" t="s">
        <v>259</v>
      </c>
      <c r="B1895" s="52" t="n">
        <v>44127</v>
      </c>
      <c r="C1895" s="54" t="s">
        <v>590</v>
      </c>
      <c r="D1895" s="0" t="n">
        <v>0.335923121632669</v>
      </c>
      <c r="E1895" s="0" t="n">
        <v>0.135360862583253</v>
      </c>
      <c r="F1895" s="0" t="n">
        <v>0</v>
      </c>
      <c r="G1895" s="0" t="n">
        <v>2020</v>
      </c>
    </row>
    <row r="1896" customFormat="false" ht="15" hidden="false" customHeight="false" outlineLevel="0" collapsed="false">
      <c r="A1896" s="0" t="s">
        <v>259</v>
      </c>
      <c r="B1896" s="52" t="n">
        <v>44127</v>
      </c>
      <c r="C1896" s="54" t="s">
        <v>592</v>
      </c>
      <c r="D1896" s="0" t="n">
        <v>0.521773723523633</v>
      </c>
      <c r="E1896" s="0" t="n">
        <v>0.143236932978918</v>
      </c>
      <c r="F1896" s="0" t="n">
        <v>0</v>
      </c>
      <c r="G1896" s="0" t="n">
        <v>2020</v>
      </c>
    </row>
    <row r="1897" customFormat="false" ht="15" hidden="false" customHeight="false" outlineLevel="0" collapsed="false">
      <c r="A1897" s="0" t="s">
        <v>259</v>
      </c>
      <c r="B1897" s="52" t="n">
        <v>44128</v>
      </c>
      <c r="C1897" s="54" t="s">
        <v>590</v>
      </c>
      <c r="D1897" s="0" t="n">
        <v>0.515816157473862</v>
      </c>
      <c r="E1897" s="0" t="n">
        <v>0.112579334127868</v>
      </c>
      <c r="F1897" s="0" t="n">
        <v>1</v>
      </c>
      <c r="G1897" s="0" t="n">
        <v>2020</v>
      </c>
    </row>
    <row r="1898" customFormat="false" ht="15" hidden="false" customHeight="false" outlineLevel="0" collapsed="false">
      <c r="A1898" s="0" t="s">
        <v>259</v>
      </c>
      <c r="B1898" s="52" t="n">
        <v>44130</v>
      </c>
      <c r="C1898" s="54" t="s">
        <v>590</v>
      </c>
      <c r="D1898" s="0" t="n">
        <v>0.432980422944416</v>
      </c>
      <c r="E1898" s="0" t="n">
        <v>0.0677316433276998</v>
      </c>
      <c r="F1898" s="0" t="n">
        <v>0</v>
      </c>
      <c r="G1898" s="0" t="n">
        <v>2020</v>
      </c>
    </row>
    <row r="1899" customFormat="false" ht="15" hidden="false" customHeight="false" outlineLevel="0" collapsed="false">
      <c r="A1899" s="0" t="s">
        <v>259</v>
      </c>
      <c r="B1899" s="52" t="n">
        <v>44130</v>
      </c>
      <c r="C1899" s="54" t="s">
        <v>592</v>
      </c>
      <c r="D1899" s="0" t="n">
        <v>0.99515677429749</v>
      </c>
      <c r="E1899" s="0" t="n">
        <v>0</v>
      </c>
      <c r="F1899" s="0" t="n">
        <v>0</v>
      </c>
      <c r="G1899" s="0" t="n">
        <v>2020</v>
      </c>
    </row>
    <row r="1900" customFormat="false" ht="15" hidden="false" customHeight="false" outlineLevel="0" collapsed="false">
      <c r="A1900" s="0" t="s">
        <v>259</v>
      </c>
      <c r="B1900" s="52" t="n">
        <v>44131</v>
      </c>
      <c r="C1900" s="54" t="s">
        <v>590</v>
      </c>
      <c r="D1900" s="0" t="n">
        <v>0.288673277487567</v>
      </c>
      <c r="E1900" s="0" t="n">
        <v>0.265094879962845</v>
      </c>
      <c r="F1900" s="0" t="n">
        <v>0</v>
      </c>
      <c r="G1900" s="0" t="n">
        <v>2020</v>
      </c>
    </row>
    <row r="1901" customFormat="false" ht="15" hidden="false" customHeight="false" outlineLevel="0" collapsed="false">
      <c r="A1901" s="0" t="s">
        <v>259</v>
      </c>
      <c r="B1901" s="52" t="n">
        <v>44131</v>
      </c>
      <c r="C1901" s="54" t="s">
        <v>592</v>
      </c>
      <c r="D1901" s="0" t="n">
        <v>0.70205924192838</v>
      </c>
      <c r="E1901" s="0" t="n">
        <v>0</v>
      </c>
      <c r="F1901" s="0" t="n">
        <v>0</v>
      </c>
      <c r="G1901" s="0" t="n">
        <v>2020</v>
      </c>
    </row>
    <row r="1902" customFormat="false" ht="15" hidden="false" customHeight="false" outlineLevel="0" collapsed="false">
      <c r="A1902" s="0" t="s">
        <v>259</v>
      </c>
      <c r="B1902" s="52" t="n">
        <v>44132</v>
      </c>
      <c r="C1902" s="54" t="s">
        <v>590</v>
      </c>
      <c r="D1902" s="0" t="n">
        <v>0.565952426458857</v>
      </c>
      <c r="E1902" s="0" t="n">
        <v>0.123544306050827</v>
      </c>
      <c r="F1902" s="0" t="n">
        <v>0</v>
      </c>
      <c r="G1902" s="0" t="n">
        <v>2020</v>
      </c>
    </row>
    <row r="1903" customFormat="false" ht="15" hidden="false" customHeight="false" outlineLevel="0" collapsed="false">
      <c r="A1903" s="0" t="s">
        <v>259</v>
      </c>
      <c r="B1903" s="52" t="n">
        <v>44132</v>
      </c>
      <c r="C1903" s="54" t="s">
        <v>592</v>
      </c>
      <c r="D1903" s="0" t="n">
        <v>0.145653407058767</v>
      </c>
      <c r="E1903" s="0" t="n">
        <v>0.0685241480329303</v>
      </c>
      <c r="F1903" s="0" t="n">
        <v>0</v>
      </c>
      <c r="G1903" s="0" t="n">
        <v>2020</v>
      </c>
    </row>
    <row r="1904" customFormat="false" ht="15" hidden="false" customHeight="false" outlineLevel="0" collapsed="false">
      <c r="A1904" s="0" t="s">
        <v>259</v>
      </c>
      <c r="B1904" s="52" t="n">
        <v>44133</v>
      </c>
      <c r="C1904" s="54" t="s">
        <v>590</v>
      </c>
      <c r="D1904" s="0" t="n">
        <v>0.633887706162167</v>
      </c>
      <c r="E1904" s="0" t="n">
        <v>0.0762867585614068</v>
      </c>
      <c r="F1904" s="0" t="n">
        <v>0</v>
      </c>
      <c r="G1904" s="0" t="n">
        <v>2020</v>
      </c>
    </row>
    <row r="1905" customFormat="false" ht="15" hidden="false" customHeight="false" outlineLevel="0" collapsed="false">
      <c r="A1905" s="0" t="s">
        <v>259</v>
      </c>
      <c r="B1905" s="52" t="n">
        <v>44133</v>
      </c>
      <c r="C1905" s="54" t="s">
        <v>592</v>
      </c>
      <c r="D1905" s="0" t="n">
        <v>0.629181194852099</v>
      </c>
      <c r="E1905" s="0" t="n">
        <v>0.0166063215738312</v>
      </c>
      <c r="F1905" s="0" t="n">
        <v>0</v>
      </c>
      <c r="G1905" s="0" t="n">
        <v>2020</v>
      </c>
    </row>
    <row r="1906" customFormat="false" ht="15" hidden="false" customHeight="false" outlineLevel="0" collapsed="false">
      <c r="A1906" s="0" t="s">
        <v>259</v>
      </c>
      <c r="B1906" s="52" t="n">
        <v>44134</v>
      </c>
      <c r="C1906" s="54" t="s">
        <v>590</v>
      </c>
      <c r="D1906" s="0" t="n">
        <v>0.485168762930026</v>
      </c>
      <c r="E1906" s="0" t="n">
        <v>0.0994291106918287</v>
      </c>
      <c r="F1906" s="0" t="n">
        <v>0</v>
      </c>
      <c r="G1906" s="0" t="n">
        <v>2020</v>
      </c>
    </row>
    <row r="1907" customFormat="false" ht="15" hidden="false" customHeight="false" outlineLevel="0" collapsed="false">
      <c r="A1907" s="0" t="s">
        <v>259</v>
      </c>
      <c r="B1907" s="52" t="n">
        <v>44134</v>
      </c>
      <c r="C1907" s="54" t="s">
        <v>591</v>
      </c>
      <c r="D1907" s="0" t="n">
        <v>0.212853857589317</v>
      </c>
      <c r="E1907" s="0" t="n">
        <v>0.177129774671647</v>
      </c>
      <c r="F1907" s="0" t="n">
        <v>0</v>
      </c>
      <c r="G1907" s="0" t="n">
        <v>2020</v>
      </c>
    </row>
    <row r="1908" customFormat="false" ht="15" hidden="false" customHeight="false" outlineLevel="0" collapsed="false">
      <c r="A1908" s="0" t="s">
        <v>259</v>
      </c>
      <c r="B1908" s="52" t="n">
        <v>44134</v>
      </c>
      <c r="C1908" s="54" t="s">
        <v>592</v>
      </c>
      <c r="D1908" s="0" t="n">
        <v>0.997333497103607</v>
      </c>
      <c r="E1908" s="0" t="n">
        <v>0</v>
      </c>
      <c r="F1908" s="0" t="n">
        <v>0</v>
      </c>
      <c r="G1908" s="0" t="n">
        <v>2020</v>
      </c>
    </row>
    <row r="1909" customFormat="false" ht="15" hidden="false" customHeight="false" outlineLevel="0" collapsed="false">
      <c r="A1909" s="0" t="s">
        <v>259</v>
      </c>
      <c r="B1909" s="52" t="n">
        <v>44135</v>
      </c>
      <c r="C1909" s="54" t="s">
        <v>590</v>
      </c>
      <c r="D1909" s="0" t="n">
        <v>0.486761272643283</v>
      </c>
      <c r="E1909" s="0" t="n">
        <v>0.0949200599645966</v>
      </c>
      <c r="F1909" s="0" t="n">
        <v>1</v>
      </c>
      <c r="G1909" s="0" t="n">
        <v>2020</v>
      </c>
    </row>
    <row r="1910" customFormat="false" ht="15" hidden="false" customHeight="false" outlineLevel="0" collapsed="false">
      <c r="A1910" s="0" t="s">
        <v>259</v>
      </c>
      <c r="B1910" s="52" t="n">
        <v>44135</v>
      </c>
      <c r="C1910" s="54" t="s">
        <v>591</v>
      </c>
      <c r="D1910" s="0" t="n">
        <v>0.423526875987306</v>
      </c>
      <c r="E1910" s="0" t="n">
        <v>0.117053931592177</v>
      </c>
      <c r="F1910" s="0" t="n">
        <v>1</v>
      </c>
      <c r="G1910" s="0" t="n">
        <v>2020</v>
      </c>
    </row>
    <row r="1911" customFormat="false" ht="15" hidden="false" customHeight="false" outlineLevel="0" collapsed="false">
      <c r="A1911" s="0" t="s">
        <v>259</v>
      </c>
      <c r="B1911" s="52" t="n">
        <v>44136</v>
      </c>
      <c r="C1911" s="54" t="s">
        <v>592</v>
      </c>
      <c r="D1911" s="0" t="n">
        <v>1</v>
      </c>
      <c r="E1911" s="0" t="n">
        <v>0</v>
      </c>
      <c r="F1911" s="0" t="n">
        <v>1</v>
      </c>
      <c r="G1911" s="0" t="n">
        <v>2020</v>
      </c>
    </row>
    <row r="1912" customFormat="false" ht="15" hidden="false" customHeight="false" outlineLevel="0" collapsed="false">
      <c r="A1912" s="0" t="s">
        <v>259</v>
      </c>
      <c r="B1912" s="52" t="n">
        <v>44137</v>
      </c>
      <c r="C1912" s="54" t="s">
        <v>590</v>
      </c>
      <c r="D1912" s="0" t="n">
        <v>0.304455680665291</v>
      </c>
      <c r="E1912" s="0" t="n">
        <v>0.302709848511715</v>
      </c>
      <c r="F1912" s="0" t="n">
        <v>0</v>
      </c>
      <c r="G1912" s="0" t="n">
        <v>2020</v>
      </c>
    </row>
    <row r="1913" customFormat="false" ht="15" hidden="false" customHeight="false" outlineLevel="0" collapsed="false">
      <c r="A1913" s="0" t="s">
        <v>259</v>
      </c>
      <c r="B1913" s="52" t="n">
        <v>44137</v>
      </c>
      <c r="C1913" s="54" t="s">
        <v>592</v>
      </c>
      <c r="D1913" s="0" t="n">
        <v>1</v>
      </c>
      <c r="E1913" s="0" t="n">
        <v>0</v>
      </c>
      <c r="F1913" s="0" t="n">
        <v>0</v>
      </c>
      <c r="G1913" s="0" t="n">
        <v>2020</v>
      </c>
    </row>
    <row r="1914" customFormat="false" ht="15" hidden="false" customHeight="false" outlineLevel="0" collapsed="false">
      <c r="A1914" s="0" t="s">
        <v>259</v>
      </c>
      <c r="B1914" s="52" t="n">
        <v>44138</v>
      </c>
      <c r="C1914" s="54" t="s">
        <v>590</v>
      </c>
      <c r="D1914" s="0" t="n">
        <v>0.407140256860074</v>
      </c>
      <c r="E1914" s="0" t="n">
        <v>0.28380247562351</v>
      </c>
      <c r="F1914" s="0" t="n">
        <v>0</v>
      </c>
      <c r="G1914" s="0" t="n">
        <v>2020</v>
      </c>
    </row>
    <row r="1915" customFormat="false" ht="15" hidden="false" customHeight="false" outlineLevel="0" collapsed="false">
      <c r="A1915" s="0" t="s">
        <v>259</v>
      </c>
      <c r="B1915" s="52" t="n">
        <v>44138</v>
      </c>
      <c r="C1915" s="54" t="s">
        <v>592</v>
      </c>
      <c r="D1915" s="0" t="n">
        <v>1</v>
      </c>
      <c r="E1915" s="0" t="n">
        <v>0</v>
      </c>
      <c r="F1915" s="0" t="n">
        <v>0</v>
      </c>
      <c r="G1915" s="0" t="n">
        <v>2020</v>
      </c>
    </row>
    <row r="1916" customFormat="false" ht="15" hidden="false" customHeight="false" outlineLevel="0" collapsed="false">
      <c r="A1916" s="0" t="s">
        <v>259</v>
      </c>
      <c r="B1916" s="52" t="n">
        <v>44139</v>
      </c>
      <c r="C1916" s="54" t="s">
        <v>590</v>
      </c>
      <c r="D1916" s="0" t="n">
        <v>0.484690246533323</v>
      </c>
      <c r="E1916" s="0" t="n">
        <v>0.082905161340164</v>
      </c>
      <c r="F1916" s="0" t="n">
        <v>0</v>
      </c>
      <c r="G1916" s="0" t="n">
        <v>2020</v>
      </c>
    </row>
    <row r="1917" customFormat="false" ht="15" hidden="false" customHeight="false" outlineLevel="0" collapsed="false">
      <c r="A1917" s="0" t="s">
        <v>259</v>
      </c>
      <c r="B1917" s="52" t="n">
        <v>44139</v>
      </c>
      <c r="C1917" s="54" t="s">
        <v>592</v>
      </c>
      <c r="D1917" s="0" t="n">
        <v>0.261107833839466</v>
      </c>
      <c r="E1917" s="0" t="n">
        <v>0.0244636112761427</v>
      </c>
      <c r="F1917" s="0" t="n">
        <v>0</v>
      </c>
      <c r="G1917" s="0" t="n">
        <v>2020</v>
      </c>
    </row>
    <row r="1918" customFormat="false" ht="15" hidden="false" customHeight="false" outlineLevel="0" collapsed="false">
      <c r="A1918" s="0" t="s">
        <v>259</v>
      </c>
      <c r="B1918" s="52" t="n">
        <v>44140</v>
      </c>
      <c r="C1918" s="54" t="s">
        <v>590</v>
      </c>
      <c r="D1918" s="0" t="n">
        <v>0.285878965061735</v>
      </c>
      <c r="E1918" s="0" t="n">
        <v>0.249922228382245</v>
      </c>
      <c r="F1918" s="0" t="n">
        <v>0</v>
      </c>
      <c r="G1918" s="0" t="n">
        <v>2020</v>
      </c>
    </row>
    <row r="1919" customFormat="false" ht="15" hidden="false" customHeight="false" outlineLevel="0" collapsed="false">
      <c r="A1919" s="0" t="s">
        <v>259</v>
      </c>
      <c r="B1919" s="52" t="n">
        <v>44140</v>
      </c>
      <c r="C1919" s="54" t="s">
        <v>592</v>
      </c>
      <c r="D1919" s="0" t="n">
        <v>0.74958091271741</v>
      </c>
      <c r="E1919" s="0" t="n">
        <v>0.0028897308225913</v>
      </c>
      <c r="F1919" s="0" t="n">
        <v>0</v>
      </c>
      <c r="G1919" s="0" t="n">
        <v>2020</v>
      </c>
    </row>
    <row r="1920" customFormat="false" ht="15" hidden="false" customHeight="false" outlineLevel="0" collapsed="false">
      <c r="A1920" s="0" t="s">
        <v>259</v>
      </c>
      <c r="B1920" s="52" t="n">
        <v>44141</v>
      </c>
      <c r="C1920" s="54" t="s">
        <v>590</v>
      </c>
      <c r="D1920" s="0" t="n">
        <v>0.171981152109492</v>
      </c>
      <c r="E1920" s="0" t="n">
        <v>0.291697161058718</v>
      </c>
      <c r="F1920" s="0" t="n">
        <v>0</v>
      </c>
      <c r="G1920" s="0" t="n">
        <v>2020</v>
      </c>
    </row>
    <row r="1921" customFormat="false" ht="15" hidden="false" customHeight="false" outlineLevel="0" collapsed="false">
      <c r="A1921" s="0" t="s">
        <v>259</v>
      </c>
      <c r="B1921" s="52" t="n">
        <v>44141</v>
      </c>
      <c r="C1921" s="54" t="s">
        <v>591</v>
      </c>
      <c r="D1921" s="0" t="n">
        <v>0.501507466049467</v>
      </c>
      <c r="E1921" s="0" t="n">
        <v>0.197138405362583</v>
      </c>
      <c r="F1921" s="0" t="n">
        <v>0</v>
      </c>
      <c r="G1921" s="0" t="n">
        <v>2020</v>
      </c>
    </row>
    <row r="1922" customFormat="false" ht="15" hidden="false" customHeight="false" outlineLevel="0" collapsed="false">
      <c r="A1922" s="0" t="s">
        <v>259</v>
      </c>
      <c r="B1922" s="52" t="n">
        <v>44141</v>
      </c>
      <c r="C1922" s="54" t="s">
        <v>592</v>
      </c>
      <c r="D1922" s="0" t="n">
        <v>1</v>
      </c>
      <c r="E1922" s="0" t="n">
        <v>0</v>
      </c>
      <c r="F1922" s="0" t="n">
        <v>0</v>
      </c>
      <c r="G1922" s="0" t="n">
        <v>2020</v>
      </c>
    </row>
    <row r="1923" customFormat="false" ht="15" hidden="false" customHeight="false" outlineLevel="0" collapsed="false">
      <c r="A1923" s="0" t="s">
        <v>259</v>
      </c>
      <c r="B1923" s="52" t="n">
        <v>44142</v>
      </c>
      <c r="C1923" s="54" t="s">
        <v>590</v>
      </c>
      <c r="D1923" s="0" t="n">
        <v>0.570758596730313</v>
      </c>
      <c r="E1923" s="0" t="n">
        <v>0.0723076139501131</v>
      </c>
      <c r="F1923" s="0" t="n">
        <v>1</v>
      </c>
      <c r="G1923" s="0" t="n">
        <v>2020</v>
      </c>
    </row>
    <row r="1924" customFormat="false" ht="15" hidden="false" customHeight="false" outlineLevel="0" collapsed="false">
      <c r="A1924" s="0" t="s">
        <v>259</v>
      </c>
      <c r="B1924" s="52" t="n">
        <v>44143</v>
      </c>
      <c r="C1924" s="54" t="s">
        <v>592</v>
      </c>
      <c r="D1924" s="0" t="n">
        <v>0.812672713046661</v>
      </c>
      <c r="E1924" s="0" t="n">
        <v>0.0058862769238375</v>
      </c>
      <c r="F1924" s="0" t="n">
        <v>1</v>
      </c>
      <c r="G1924" s="0" t="n">
        <v>2020</v>
      </c>
    </row>
    <row r="1925" customFormat="false" ht="15" hidden="false" customHeight="false" outlineLevel="0" collapsed="false">
      <c r="A1925" s="0" t="s">
        <v>259</v>
      </c>
      <c r="B1925" s="52" t="n">
        <v>44144</v>
      </c>
      <c r="C1925" s="54" t="s">
        <v>590</v>
      </c>
      <c r="D1925" s="0" t="n">
        <v>0.74140485665571</v>
      </c>
      <c r="E1925" s="0" t="n">
        <v>0.0292275553111018</v>
      </c>
      <c r="F1925" s="0" t="n">
        <v>0</v>
      </c>
      <c r="G1925" s="0" t="n">
        <v>2020</v>
      </c>
    </row>
    <row r="1926" customFormat="false" ht="15" hidden="false" customHeight="false" outlineLevel="0" collapsed="false">
      <c r="A1926" s="0" t="s">
        <v>259</v>
      </c>
      <c r="B1926" s="52" t="n">
        <v>44144</v>
      </c>
      <c r="C1926" s="54" t="s">
        <v>592</v>
      </c>
      <c r="D1926" s="0" t="n">
        <v>0.998415639257226</v>
      </c>
      <c r="E1926" s="0" t="n">
        <v>0</v>
      </c>
      <c r="F1926" s="0" t="n">
        <v>0</v>
      </c>
      <c r="G1926" s="0" t="n">
        <v>2020</v>
      </c>
    </row>
    <row r="1927" customFormat="false" ht="15" hidden="false" customHeight="false" outlineLevel="0" collapsed="false">
      <c r="A1927" s="0" t="s">
        <v>259</v>
      </c>
      <c r="B1927" s="52" t="n">
        <v>44145</v>
      </c>
      <c r="C1927" s="54" t="s">
        <v>590</v>
      </c>
      <c r="D1927" s="0" t="n">
        <v>0.561404631087427</v>
      </c>
      <c r="E1927" s="0" t="n">
        <v>0.0944193509789902</v>
      </c>
      <c r="F1927" s="0" t="n">
        <v>0</v>
      </c>
      <c r="G1927" s="0" t="n">
        <v>2020</v>
      </c>
    </row>
    <row r="1928" customFormat="false" ht="15" hidden="false" customHeight="false" outlineLevel="0" collapsed="false">
      <c r="A1928" s="0" t="s">
        <v>259</v>
      </c>
      <c r="B1928" s="52" t="n">
        <v>44145</v>
      </c>
      <c r="C1928" s="54" t="s">
        <v>592</v>
      </c>
      <c r="D1928" s="0" t="n">
        <v>0.996960491510187</v>
      </c>
      <c r="E1928" s="0" t="n">
        <v>0</v>
      </c>
      <c r="F1928" s="0" t="n">
        <v>0</v>
      </c>
      <c r="G1928" s="0" t="n">
        <v>2020</v>
      </c>
    </row>
    <row r="1929" customFormat="false" ht="15" hidden="false" customHeight="false" outlineLevel="0" collapsed="false">
      <c r="A1929" s="0" t="s">
        <v>259</v>
      </c>
      <c r="B1929" s="52" t="n">
        <v>44146</v>
      </c>
      <c r="C1929" s="54" t="s">
        <v>590</v>
      </c>
      <c r="D1929" s="0" t="n">
        <v>0.273844260948258</v>
      </c>
      <c r="E1929" s="0" t="n">
        <v>0.155136477417363</v>
      </c>
      <c r="F1929" s="0" t="n">
        <v>0</v>
      </c>
      <c r="G1929" s="0" t="n">
        <v>2020</v>
      </c>
    </row>
    <row r="1930" customFormat="false" ht="15" hidden="false" customHeight="false" outlineLevel="0" collapsed="false">
      <c r="A1930" s="0" t="s">
        <v>259</v>
      </c>
      <c r="B1930" s="52" t="n">
        <v>44146</v>
      </c>
      <c r="C1930" s="54" t="s">
        <v>592</v>
      </c>
      <c r="D1930" s="0" t="n">
        <v>0.16545078035603</v>
      </c>
      <c r="E1930" s="0" t="n">
        <v>0.0742695764021768</v>
      </c>
      <c r="F1930" s="0" t="n">
        <v>0</v>
      </c>
      <c r="G1930" s="0" t="n">
        <v>2020</v>
      </c>
    </row>
    <row r="1931" customFormat="false" ht="15" hidden="false" customHeight="false" outlineLevel="0" collapsed="false">
      <c r="A1931" s="0" t="s">
        <v>259</v>
      </c>
      <c r="B1931" s="52" t="n">
        <v>44147</v>
      </c>
      <c r="C1931" s="54" t="s">
        <v>590</v>
      </c>
      <c r="D1931" s="0" t="n">
        <v>0.581902217532929</v>
      </c>
      <c r="E1931" s="0" t="n">
        <v>0.0845605203056516</v>
      </c>
      <c r="F1931" s="0" t="n">
        <v>0</v>
      </c>
      <c r="G1931" s="0" t="n">
        <v>2020</v>
      </c>
    </row>
    <row r="1932" customFormat="false" ht="15" hidden="false" customHeight="false" outlineLevel="0" collapsed="false">
      <c r="A1932" s="0" t="s">
        <v>259</v>
      </c>
      <c r="B1932" s="52" t="n">
        <v>44148</v>
      </c>
      <c r="C1932" s="54" t="s">
        <v>590</v>
      </c>
      <c r="D1932" s="0" t="n">
        <v>0.25762652857533</v>
      </c>
      <c r="E1932" s="0" t="n">
        <v>0.224579014721593</v>
      </c>
      <c r="F1932" s="0" t="n">
        <v>0</v>
      </c>
      <c r="G1932" s="0" t="n">
        <v>2020</v>
      </c>
    </row>
    <row r="1933" customFormat="false" ht="15" hidden="false" customHeight="false" outlineLevel="0" collapsed="false">
      <c r="A1933" s="0" t="s">
        <v>259</v>
      </c>
      <c r="B1933" s="52" t="n">
        <v>44148</v>
      </c>
      <c r="C1933" s="54" t="s">
        <v>592</v>
      </c>
      <c r="D1933" s="0" t="n">
        <v>1</v>
      </c>
      <c r="E1933" s="0" t="n">
        <v>0</v>
      </c>
      <c r="F1933" s="0" t="n">
        <v>0</v>
      </c>
      <c r="G1933" s="0" t="n">
        <v>2020</v>
      </c>
    </row>
    <row r="1934" customFormat="false" ht="15" hidden="false" customHeight="false" outlineLevel="0" collapsed="false">
      <c r="A1934" s="0" t="s">
        <v>259</v>
      </c>
      <c r="B1934" s="52" t="n">
        <v>44149</v>
      </c>
      <c r="C1934" s="54" t="s">
        <v>590</v>
      </c>
      <c r="D1934" s="0" t="n">
        <v>0.348080211692626</v>
      </c>
      <c r="E1934" s="0" t="n">
        <v>0.0428349138781804</v>
      </c>
      <c r="F1934" s="0" t="n">
        <v>1</v>
      </c>
      <c r="G1934" s="0" t="n">
        <v>2020</v>
      </c>
    </row>
    <row r="1935" customFormat="false" ht="15" hidden="false" customHeight="false" outlineLevel="0" collapsed="false">
      <c r="A1935" s="0" t="s">
        <v>259</v>
      </c>
      <c r="B1935" s="52" t="n">
        <v>44150</v>
      </c>
      <c r="C1935" s="54" t="s">
        <v>592</v>
      </c>
      <c r="D1935" s="0" t="n">
        <v>0.996500419619771</v>
      </c>
      <c r="E1935" s="0" t="n">
        <v>0</v>
      </c>
      <c r="F1935" s="0" t="n">
        <v>1</v>
      </c>
      <c r="G1935" s="0" t="n">
        <v>2020</v>
      </c>
    </row>
    <row r="1936" customFormat="false" ht="15" hidden="false" customHeight="false" outlineLevel="0" collapsed="false">
      <c r="A1936" s="0" t="s">
        <v>259</v>
      </c>
      <c r="B1936" s="52" t="n">
        <v>44151</v>
      </c>
      <c r="C1936" s="54" t="s">
        <v>590</v>
      </c>
      <c r="D1936" s="0" t="n">
        <v>0.414792088263221</v>
      </c>
      <c r="E1936" s="0" t="n">
        <v>0.0512542350845852</v>
      </c>
      <c r="F1936" s="0" t="n">
        <v>0</v>
      </c>
      <c r="G1936" s="0" t="n">
        <v>2020</v>
      </c>
    </row>
    <row r="1937" customFormat="false" ht="15" hidden="false" customHeight="false" outlineLevel="0" collapsed="false">
      <c r="A1937" s="0" t="s">
        <v>259</v>
      </c>
      <c r="B1937" s="52" t="n">
        <v>44151</v>
      </c>
      <c r="C1937" s="54" t="s">
        <v>592</v>
      </c>
      <c r="D1937" s="0" t="n">
        <v>1</v>
      </c>
      <c r="E1937" s="0" t="n">
        <v>0</v>
      </c>
      <c r="F1937" s="0" t="n">
        <v>0</v>
      </c>
      <c r="G1937" s="0" t="n">
        <v>2020</v>
      </c>
    </row>
    <row r="1938" customFormat="false" ht="15" hidden="false" customHeight="false" outlineLevel="0" collapsed="false">
      <c r="A1938" s="0" t="s">
        <v>259</v>
      </c>
      <c r="B1938" s="52" t="n">
        <v>44152</v>
      </c>
      <c r="C1938" s="54" t="s">
        <v>590</v>
      </c>
      <c r="D1938" s="0" t="n">
        <v>0.199110990711419</v>
      </c>
      <c r="E1938" s="0" t="n">
        <v>0.105360077383677</v>
      </c>
      <c r="F1938" s="0" t="n">
        <v>0</v>
      </c>
      <c r="G1938" s="0" t="n">
        <v>2020</v>
      </c>
    </row>
    <row r="1939" customFormat="false" ht="15" hidden="false" customHeight="false" outlineLevel="0" collapsed="false">
      <c r="A1939" s="0" t="s">
        <v>259</v>
      </c>
      <c r="B1939" s="52" t="n">
        <v>44152</v>
      </c>
      <c r="C1939" s="54" t="s">
        <v>591</v>
      </c>
      <c r="D1939" s="0" t="n">
        <v>0.348365877192356</v>
      </c>
      <c r="E1939" s="0" t="n">
        <v>0.143471339458705</v>
      </c>
      <c r="F1939" s="0" t="n">
        <v>0</v>
      </c>
      <c r="G1939" s="0" t="n">
        <v>2020</v>
      </c>
    </row>
    <row r="1940" customFormat="false" ht="15" hidden="false" customHeight="false" outlineLevel="0" collapsed="false">
      <c r="A1940" s="0" t="s">
        <v>259</v>
      </c>
      <c r="B1940" s="52" t="n">
        <v>44152</v>
      </c>
      <c r="C1940" s="54" t="s">
        <v>592</v>
      </c>
      <c r="D1940" s="0" t="n">
        <v>0.999031987406522</v>
      </c>
      <c r="E1940" s="0" t="n">
        <v>0</v>
      </c>
      <c r="F1940" s="0" t="n">
        <v>0</v>
      </c>
      <c r="G1940" s="0" t="n">
        <v>2020</v>
      </c>
    </row>
    <row r="1941" customFormat="false" ht="15" hidden="false" customHeight="false" outlineLevel="0" collapsed="false">
      <c r="A1941" s="0" t="s">
        <v>259</v>
      </c>
      <c r="B1941" s="52" t="n">
        <v>44153</v>
      </c>
      <c r="C1941" s="54" t="s">
        <v>590</v>
      </c>
      <c r="D1941" s="0" t="n">
        <v>0.268851889868747</v>
      </c>
      <c r="E1941" s="0" t="n">
        <v>0.168126726987966</v>
      </c>
      <c r="F1941" s="0" t="n">
        <v>0</v>
      </c>
      <c r="G1941" s="0" t="n">
        <v>2020</v>
      </c>
    </row>
    <row r="1942" customFormat="false" ht="15" hidden="false" customHeight="false" outlineLevel="0" collapsed="false">
      <c r="A1942" s="0" t="s">
        <v>259</v>
      </c>
      <c r="B1942" s="52" t="n">
        <v>44176</v>
      </c>
      <c r="C1942" s="54" t="s">
        <v>591</v>
      </c>
      <c r="D1942" s="0" t="n">
        <v>0.70322996178127</v>
      </c>
      <c r="E1942" s="0" t="n">
        <v>0.104289759722355</v>
      </c>
      <c r="F1942" s="0" t="n">
        <v>0</v>
      </c>
      <c r="G1942" s="0" t="n">
        <v>2020</v>
      </c>
    </row>
    <row r="1943" customFormat="false" ht="15" hidden="false" customHeight="false" outlineLevel="0" collapsed="false">
      <c r="A1943" s="0" t="s">
        <v>259</v>
      </c>
      <c r="B1943" s="52" t="n">
        <v>44176</v>
      </c>
      <c r="C1943" s="54" t="s">
        <v>592</v>
      </c>
      <c r="D1943" s="0" t="n">
        <v>1</v>
      </c>
      <c r="E1943" s="0" t="n">
        <v>0</v>
      </c>
      <c r="F1943" s="0" t="n">
        <v>0</v>
      </c>
      <c r="G1943" s="0" t="n">
        <v>2020</v>
      </c>
    </row>
    <row r="1944" customFormat="false" ht="15" hidden="false" customHeight="false" outlineLevel="0" collapsed="false">
      <c r="A1944" s="0" t="s">
        <v>259</v>
      </c>
      <c r="B1944" s="52" t="n">
        <v>44177</v>
      </c>
      <c r="C1944" s="54" t="s">
        <v>590</v>
      </c>
      <c r="D1944" s="0" t="n">
        <v>0.104379290981379</v>
      </c>
      <c r="E1944" s="0" t="n">
        <v>0.261186988187058</v>
      </c>
      <c r="F1944" s="0" t="n">
        <v>1</v>
      </c>
      <c r="G1944" s="0" t="n">
        <v>2020</v>
      </c>
    </row>
    <row r="1945" customFormat="false" ht="15" hidden="false" customHeight="false" outlineLevel="0" collapsed="false">
      <c r="A1945" s="0" t="s">
        <v>259</v>
      </c>
      <c r="B1945" s="52" t="n">
        <v>44178</v>
      </c>
      <c r="C1945" s="54" t="s">
        <v>592</v>
      </c>
      <c r="D1945" s="0" t="n">
        <v>0.997746575658043</v>
      </c>
      <c r="E1945" s="0" t="n">
        <v>0</v>
      </c>
      <c r="F1945" s="0" t="n">
        <v>1</v>
      </c>
      <c r="G1945" s="0" t="n">
        <v>2020</v>
      </c>
    </row>
    <row r="1946" customFormat="false" ht="15" hidden="false" customHeight="false" outlineLevel="0" collapsed="false">
      <c r="A1946" s="0" t="s">
        <v>259</v>
      </c>
      <c r="B1946" s="52" t="n">
        <v>44179</v>
      </c>
      <c r="C1946" s="54" t="s">
        <v>590</v>
      </c>
      <c r="D1946" s="0" t="n">
        <v>0.262423899613808</v>
      </c>
      <c r="E1946" s="0" t="n">
        <v>0.181574724038521</v>
      </c>
      <c r="F1946" s="0" t="n">
        <v>0</v>
      </c>
      <c r="G1946" s="0" t="n">
        <v>2020</v>
      </c>
    </row>
    <row r="1947" customFormat="false" ht="15" hidden="false" customHeight="false" outlineLevel="0" collapsed="false">
      <c r="A1947" s="0" t="s">
        <v>259</v>
      </c>
      <c r="B1947" s="52" t="n">
        <v>44179</v>
      </c>
      <c r="C1947" s="54" t="s">
        <v>592</v>
      </c>
      <c r="D1947" s="0" t="n">
        <v>1</v>
      </c>
      <c r="E1947" s="0" t="n">
        <v>0</v>
      </c>
      <c r="F1947" s="0" t="n">
        <v>0</v>
      </c>
      <c r="G1947" s="0" t="n">
        <v>2020</v>
      </c>
    </row>
    <row r="1948" customFormat="false" ht="15" hidden="false" customHeight="false" outlineLevel="0" collapsed="false">
      <c r="A1948" s="0" t="s">
        <v>259</v>
      </c>
      <c r="B1948" s="52" t="n">
        <v>44180</v>
      </c>
      <c r="C1948" s="54" t="s">
        <v>590</v>
      </c>
      <c r="D1948" s="0" t="n">
        <v>0.194218761495027</v>
      </c>
      <c r="E1948" s="0" t="n">
        <v>0.151199313754113</v>
      </c>
      <c r="F1948" s="0" t="n">
        <v>0</v>
      </c>
      <c r="G1948" s="0" t="n">
        <v>2020</v>
      </c>
    </row>
    <row r="1949" customFormat="false" ht="15" hidden="false" customHeight="false" outlineLevel="0" collapsed="false">
      <c r="A1949" s="0" t="s">
        <v>259</v>
      </c>
      <c r="B1949" s="52" t="n">
        <v>44180</v>
      </c>
      <c r="C1949" s="54" t="s">
        <v>591</v>
      </c>
      <c r="D1949" s="0" t="n">
        <v>0.225068905355992</v>
      </c>
      <c r="E1949" s="0" t="n">
        <v>0.181774767230025</v>
      </c>
      <c r="F1949" s="0" t="n">
        <v>0</v>
      </c>
      <c r="G1949" s="0" t="n">
        <v>2020</v>
      </c>
    </row>
    <row r="1950" customFormat="false" ht="15" hidden="false" customHeight="false" outlineLevel="0" collapsed="false">
      <c r="A1950" s="0" t="s">
        <v>259</v>
      </c>
      <c r="B1950" s="52" t="n">
        <v>44180</v>
      </c>
      <c r="C1950" s="54" t="s">
        <v>592</v>
      </c>
      <c r="D1950" s="0" t="n">
        <v>1</v>
      </c>
      <c r="E1950" s="0" t="n">
        <v>0</v>
      </c>
      <c r="F1950" s="0" t="n">
        <v>0</v>
      </c>
      <c r="G1950" s="0" t="n">
        <v>2020</v>
      </c>
    </row>
    <row r="1951" customFormat="false" ht="15" hidden="false" customHeight="false" outlineLevel="0" collapsed="false">
      <c r="A1951" s="0" t="s">
        <v>259</v>
      </c>
      <c r="B1951" s="52" t="n">
        <v>44181</v>
      </c>
      <c r="C1951" s="54" t="s">
        <v>590</v>
      </c>
      <c r="D1951" s="0" t="n">
        <v>0.348353004925482</v>
      </c>
      <c r="E1951" s="0" t="n">
        <v>0.156419874416401</v>
      </c>
      <c r="F1951" s="0" t="n">
        <v>0</v>
      </c>
      <c r="G1951" s="0" t="n">
        <v>2020</v>
      </c>
    </row>
    <row r="1952" customFormat="false" ht="15" hidden="false" customHeight="false" outlineLevel="0" collapsed="false">
      <c r="A1952" s="0" t="s">
        <v>259</v>
      </c>
      <c r="B1952" s="52" t="n">
        <v>44181</v>
      </c>
      <c r="C1952" s="54" t="s">
        <v>592</v>
      </c>
      <c r="D1952" s="0" t="n">
        <v>0.220426822456377</v>
      </c>
      <c r="E1952" s="0" t="n">
        <v>0.205361162557435</v>
      </c>
      <c r="F1952" s="0" t="n">
        <v>0</v>
      </c>
      <c r="G1952" s="0" t="n">
        <v>2020</v>
      </c>
    </row>
    <row r="1953" customFormat="false" ht="15" hidden="false" customHeight="false" outlineLevel="0" collapsed="false">
      <c r="A1953" s="0" t="s">
        <v>259</v>
      </c>
      <c r="B1953" s="52" t="n">
        <v>44182</v>
      </c>
      <c r="C1953" s="54" t="s">
        <v>590</v>
      </c>
      <c r="D1953" s="0" t="n">
        <v>0.362026657599106</v>
      </c>
      <c r="E1953" s="0" t="n">
        <v>0.180754144872255</v>
      </c>
      <c r="F1953" s="0" t="n">
        <v>0</v>
      </c>
      <c r="G1953" s="0" t="n">
        <v>2020</v>
      </c>
    </row>
    <row r="1954" customFormat="false" ht="15" hidden="false" customHeight="false" outlineLevel="0" collapsed="false">
      <c r="A1954" s="0" t="s">
        <v>259</v>
      </c>
      <c r="B1954" s="52" t="n">
        <v>44182</v>
      </c>
      <c r="C1954" s="54" t="s">
        <v>591</v>
      </c>
      <c r="D1954" s="0" t="n">
        <v>0.241243627214513</v>
      </c>
      <c r="E1954" s="0" t="n">
        <v>0.532962072645964</v>
      </c>
      <c r="F1954" s="0" t="n">
        <v>0</v>
      </c>
      <c r="G1954" s="0" t="n">
        <v>2020</v>
      </c>
    </row>
    <row r="1955" customFormat="false" ht="15" hidden="false" customHeight="false" outlineLevel="0" collapsed="false">
      <c r="A1955" s="0" t="s">
        <v>259</v>
      </c>
      <c r="B1955" s="52" t="n">
        <v>44182</v>
      </c>
      <c r="C1955" s="54" t="s">
        <v>592</v>
      </c>
      <c r="D1955" s="0" t="n">
        <v>0.9991363085106</v>
      </c>
      <c r="E1955" s="0" t="n">
        <v>0</v>
      </c>
      <c r="F1955" s="0" t="n">
        <v>0</v>
      </c>
      <c r="G1955" s="0" t="n">
        <v>2020</v>
      </c>
    </row>
    <row r="1956" customFormat="false" ht="15" hidden="false" customHeight="false" outlineLevel="0" collapsed="false">
      <c r="A1956" s="0" t="s">
        <v>259</v>
      </c>
      <c r="B1956" s="52" t="n">
        <v>44183</v>
      </c>
      <c r="C1956" s="54" t="s">
        <v>590</v>
      </c>
      <c r="D1956" s="0" t="n">
        <v>0.592731076491471</v>
      </c>
      <c r="E1956" s="0" t="n">
        <v>0.0468083017481156</v>
      </c>
      <c r="F1956" s="0" t="n">
        <v>0</v>
      </c>
      <c r="G1956" s="0" t="n">
        <v>2020</v>
      </c>
    </row>
    <row r="1957" customFormat="false" ht="15" hidden="false" customHeight="false" outlineLevel="0" collapsed="false">
      <c r="A1957" s="0" t="s">
        <v>259</v>
      </c>
      <c r="B1957" s="52" t="n">
        <v>44183</v>
      </c>
      <c r="C1957" s="54" t="s">
        <v>591</v>
      </c>
      <c r="D1957" s="0" t="n">
        <v>0.190379951889051</v>
      </c>
      <c r="E1957" s="0" t="n">
        <v>0.133295171673924</v>
      </c>
      <c r="F1957" s="0" t="n">
        <v>0</v>
      </c>
      <c r="G1957" s="0" t="n">
        <v>2020</v>
      </c>
    </row>
    <row r="1958" customFormat="false" ht="15" hidden="false" customHeight="false" outlineLevel="0" collapsed="false">
      <c r="A1958" s="0" t="s">
        <v>259</v>
      </c>
      <c r="B1958" s="52" t="n">
        <v>44183</v>
      </c>
      <c r="C1958" s="54" t="s">
        <v>592</v>
      </c>
      <c r="D1958" s="0" t="n">
        <v>1</v>
      </c>
      <c r="E1958" s="0" t="n">
        <v>0</v>
      </c>
      <c r="F1958" s="0" t="n">
        <v>0</v>
      </c>
      <c r="G1958" s="0" t="n">
        <v>2020</v>
      </c>
    </row>
    <row r="1959" customFormat="false" ht="15" hidden="false" customHeight="false" outlineLevel="0" collapsed="false">
      <c r="A1959" s="0" t="s">
        <v>259</v>
      </c>
      <c r="B1959" s="52" t="n">
        <v>44184</v>
      </c>
      <c r="C1959" s="54" t="s">
        <v>590</v>
      </c>
      <c r="D1959" s="0" t="n">
        <v>0.249731294825569</v>
      </c>
      <c r="E1959" s="0" t="n">
        <v>0.126944056250412</v>
      </c>
      <c r="F1959" s="0" t="n">
        <v>1</v>
      </c>
      <c r="G1959" s="0" t="n">
        <v>2020</v>
      </c>
    </row>
    <row r="1960" customFormat="false" ht="15" hidden="false" customHeight="false" outlineLevel="0" collapsed="false">
      <c r="A1960" s="0" t="s">
        <v>259</v>
      </c>
      <c r="B1960" s="52" t="n">
        <v>44186</v>
      </c>
      <c r="C1960" s="54" t="s">
        <v>590</v>
      </c>
      <c r="D1960" s="0" t="n">
        <v>0.308008500517339</v>
      </c>
      <c r="E1960" s="0" t="n">
        <v>0.0803645804731613</v>
      </c>
      <c r="F1960" s="0" t="n">
        <v>0</v>
      </c>
      <c r="G1960" s="0" t="n">
        <v>2020</v>
      </c>
    </row>
    <row r="1961" customFormat="false" ht="15" hidden="false" customHeight="false" outlineLevel="0" collapsed="false">
      <c r="A1961" s="0" t="s">
        <v>259</v>
      </c>
      <c r="B1961" s="52" t="n">
        <v>44186</v>
      </c>
      <c r="C1961" s="54" t="s">
        <v>592</v>
      </c>
      <c r="D1961" s="0" t="n">
        <v>0.617341020826744</v>
      </c>
      <c r="E1961" s="0" t="n">
        <v>0.0148589547018562</v>
      </c>
      <c r="F1961" s="0" t="n">
        <v>0</v>
      </c>
      <c r="G1961" s="0" t="n">
        <v>2020</v>
      </c>
    </row>
    <row r="1962" customFormat="false" ht="15" hidden="false" customHeight="false" outlineLevel="0" collapsed="false">
      <c r="A1962" s="0" t="s">
        <v>259</v>
      </c>
      <c r="B1962" s="52" t="n">
        <v>44187</v>
      </c>
      <c r="C1962" s="54" t="s">
        <v>590</v>
      </c>
      <c r="D1962" s="0" t="n">
        <v>0.285396423130636</v>
      </c>
      <c r="E1962" s="0" t="n">
        <v>0.130565810804469</v>
      </c>
      <c r="F1962" s="0" t="n">
        <v>0</v>
      </c>
      <c r="G1962" s="0" t="n">
        <v>2020</v>
      </c>
    </row>
    <row r="1963" customFormat="false" ht="15" hidden="false" customHeight="false" outlineLevel="0" collapsed="false">
      <c r="A1963" s="0" t="s">
        <v>259</v>
      </c>
      <c r="B1963" s="52" t="n">
        <v>44187</v>
      </c>
      <c r="C1963" s="54" t="s">
        <v>592</v>
      </c>
      <c r="D1963" s="0" t="n">
        <v>0.303875868352945</v>
      </c>
      <c r="E1963" s="0" t="n">
        <v>0.0458927912430835</v>
      </c>
      <c r="F1963" s="0" t="n">
        <v>0</v>
      </c>
      <c r="G1963" s="0" t="n">
        <v>2020</v>
      </c>
    </row>
    <row r="1964" customFormat="false" ht="15" hidden="false" customHeight="false" outlineLevel="0" collapsed="false">
      <c r="A1964" s="0" t="s">
        <v>259</v>
      </c>
      <c r="B1964" s="52" t="n">
        <v>44188</v>
      </c>
      <c r="C1964" s="54" t="s">
        <v>590</v>
      </c>
      <c r="D1964" s="0" t="n">
        <v>0.516771309377773</v>
      </c>
      <c r="E1964" s="0" t="n">
        <v>0.0919925418881859</v>
      </c>
      <c r="F1964" s="0" t="n">
        <v>0</v>
      </c>
      <c r="G1964" s="0" t="n">
        <v>2020</v>
      </c>
    </row>
    <row r="1965" customFormat="false" ht="15" hidden="false" customHeight="false" outlineLevel="0" collapsed="false">
      <c r="A1965" s="0" t="s">
        <v>259</v>
      </c>
      <c r="B1965" s="52" t="n">
        <v>44188</v>
      </c>
      <c r="C1965" s="54" t="s">
        <v>592</v>
      </c>
      <c r="D1965" s="0" t="n">
        <v>0.712206950280336</v>
      </c>
      <c r="E1965" s="0" t="n">
        <v>0.076395356262532</v>
      </c>
      <c r="F1965" s="0" t="n">
        <v>0</v>
      </c>
      <c r="G1965" s="0" t="n">
        <v>2020</v>
      </c>
    </row>
    <row r="1966" customFormat="false" ht="15" hidden="false" customHeight="false" outlineLevel="0" collapsed="false">
      <c r="A1966" s="0" t="s">
        <v>259</v>
      </c>
      <c r="B1966" s="52" t="n">
        <v>44189</v>
      </c>
      <c r="C1966" s="54" t="s">
        <v>590</v>
      </c>
      <c r="D1966" s="0" t="n">
        <v>0.321420776179541</v>
      </c>
      <c r="E1966" s="0" t="n">
        <v>0.0904427302570022</v>
      </c>
      <c r="F1966" s="0" t="n">
        <v>0</v>
      </c>
      <c r="G1966" s="0" t="n">
        <v>2020</v>
      </c>
    </row>
    <row r="1967" customFormat="false" ht="15" hidden="false" customHeight="false" outlineLevel="0" collapsed="false">
      <c r="A1967" s="0" t="s">
        <v>259</v>
      </c>
      <c r="B1967" s="52" t="n">
        <v>44190</v>
      </c>
      <c r="C1967" s="54" t="s">
        <v>592</v>
      </c>
      <c r="D1967" s="0" t="n">
        <v>0.842428784782532</v>
      </c>
      <c r="E1967" s="0" t="n">
        <v>0</v>
      </c>
      <c r="F1967" s="0" t="n">
        <v>0</v>
      </c>
      <c r="G1967" s="0" t="n">
        <v>2020</v>
      </c>
    </row>
    <row r="1968" customFormat="false" ht="15" hidden="false" customHeight="false" outlineLevel="0" collapsed="false">
      <c r="A1968" s="0" t="s">
        <v>259</v>
      </c>
      <c r="B1968" s="52" t="n">
        <v>44191</v>
      </c>
      <c r="C1968" s="54" t="s">
        <v>590</v>
      </c>
      <c r="D1968" s="0" t="n">
        <v>0.366024332377297</v>
      </c>
      <c r="E1968" s="0" t="n">
        <v>0.212012739122544</v>
      </c>
      <c r="F1968" s="0" t="n">
        <v>1</v>
      </c>
      <c r="G1968" s="0" t="n">
        <v>2020</v>
      </c>
    </row>
    <row r="1969" customFormat="false" ht="15" hidden="false" customHeight="false" outlineLevel="0" collapsed="false">
      <c r="A1969" s="0" t="s">
        <v>259</v>
      </c>
      <c r="B1969" s="52" t="n">
        <v>44192</v>
      </c>
      <c r="C1969" s="54" t="s">
        <v>592</v>
      </c>
      <c r="D1969" s="0" t="n">
        <v>0.999555855599772</v>
      </c>
      <c r="E1969" s="0" t="n">
        <v>0</v>
      </c>
      <c r="F1969" s="0" t="n">
        <v>1</v>
      </c>
      <c r="G1969" s="0" t="n">
        <v>2020</v>
      </c>
    </row>
    <row r="1970" customFormat="false" ht="15" hidden="false" customHeight="false" outlineLevel="0" collapsed="false">
      <c r="A1970" s="0" t="s">
        <v>259</v>
      </c>
      <c r="B1970" s="52" t="n">
        <v>44193</v>
      </c>
      <c r="C1970" s="54" t="s">
        <v>590</v>
      </c>
      <c r="D1970" s="0" t="n">
        <v>0.261201641538689</v>
      </c>
      <c r="E1970" s="0" t="n">
        <v>0.29530706341501</v>
      </c>
      <c r="F1970" s="0" t="n">
        <v>0</v>
      </c>
      <c r="G1970" s="0" t="n">
        <v>2020</v>
      </c>
    </row>
    <row r="1971" customFormat="false" ht="15" hidden="false" customHeight="false" outlineLevel="0" collapsed="false">
      <c r="A1971" s="0" t="s">
        <v>259</v>
      </c>
      <c r="B1971" s="52" t="n">
        <v>44193</v>
      </c>
      <c r="C1971" s="54" t="s">
        <v>592</v>
      </c>
      <c r="D1971" s="0" t="n">
        <v>0.998500630248934</v>
      </c>
      <c r="E1971" s="0" t="n">
        <v>0</v>
      </c>
      <c r="F1971" s="0" t="n">
        <v>0</v>
      </c>
      <c r="G1971" s="0" t="n">
        <v>2020</v>
      </c>
    </row>
    <row r="1972" customFormat="false" ht="15" hidden="false" customHeight="false" outlineLevel="0" collapsed="false">
      <c r="A1972" s="0" t="s">
        <v>259</v>
      </c>
      <c r="B1972" s="52" t="n">
        <v>44194</v>
      </c>
      <c r="C1972" s="54" t="s">
        <v>590</v>
      </c>
      <c r="D1972" s="0" t="n">
        <v>0.781374323887612</v>
      </c>
      <c r="E1972" s="0" t="n">
        <v>0.0617267670285633</v>
      </c>
      <c r="F1972" s="0" t="n">
        <v>0</v>
      </c>
      <c r="G1972" s="0" t="n">
        <v>2020</v>
      </c>
    </row>
    <row r="1973" customFormat="false" ht="15" hidden="false" customHeight="false" outlineLevel="0" collapsed="false">
      <c r="A1973" s="0" t="s">
        <v>259</v>
      </c>
      <c r="B1973" s="52" t="n">
        <v>44194</v>
      </c>
      <c r="C1973" s="54" t="s">
        <v>592</v>
      </c>
      <c r="D1973" s="0" t="n">
        <v>0.99916710820479</v>
      </c>
      <c r="E1973" s="0" t="n">
        <v>0</v>
      </c>
      <c r="F1973" s="0" t="n">
        <v>0</v>
      </c>
      <c r="G1973" s="0" t="n">
        <v>2020</v>
      </c>
    </row>
    <row r="1974" customFormat="false" ht="15" hidden="false" customHeight="false" outlineLevel="0" collapsed="false">
      <c r="A1974" s="0" t="s">
        <v>259</v>
      </c>
      <c r="B1974" s="52" t="n">
        <v>44195</v>
      </c>
      <c r="C1974" s="54" t="s">
        <v>590</v>
      </c>
      <c r="D1974" s="0" t="n">
        <v>0.36065690312331</v>
      </c>
      <c r="E1974" s="0" t="n">
        <v>0.0955442430027568</v>
      </c>
      <c r="F1974" s="0" t="n">
        <v>0</v>
      </c>
      <c r="G1974" s="0" t="n">
        <v>2020</v>
      </c>
    </row>
    <row r="1975" customFormat="false" ht="15" hidden="false" customHeight="false" outlineLevel="0" collapsed="false">
      <c r="A1975" s="0" t="s">
        <v>259</v>
      </c>
      <c r="B1975" s="52" t="n">
        <v>44195</v>
      </c>
      <c r="C1975" s="54" t="s">
        <v>592</v>
      </c>
      <c r="D1975" s="0" t="n">
        <v>0.108201528410739</v>
      </c>
      <c r="E1975" s="0" t="n">
        <v>0.147175635032261</v>
      </c>
      <c r="F1975" s="0" t="n">
        <v>0</v>
      </c>
      <c r="G1975" s="0" t="n">
        <v>2020</v>
      </c>
    </row>
    <row r="1976" customFormat="false" ht="15" hidden="false" customHeight="false" outlineLevel="0" collapsed="false">
      <c r="A1976" s="0" t="s">
        <v>259</v>
      </c>
      <c r="B1976" s="52" t="n">
        <v>44196</v>
      </c>
      <c r="C1976" s="54" t="s">
        <v>590</v>
      </c>
      <c r="D1976" s="0" t="n">
        <v>0.122577560784345</v>
      </c>
      <c r="E1976" s="0" t="n">
        <v>0.165202699181241</v>
      </c>
      <c r="F1976" s="0" t="n">
        <v>0</v>
      </c>
      <c r="G1976" s="0" t="n">
        <v>2020</v>
      </c>
    </row>
    <row r="1977" customFormat="false" ht="15" hidden="false" customHeight="false" outlineLevel="0" collapsed="false">
      <c r="A1977" s="0" t="s">
        <v>259</v>
      </c>
      <c r="B1977" s="52" t="n">
        <v>44196</v>
      </c>
      <c r="C1977" s="54" t="s">
        <v>591</v>
      </c>
      <c r="D1977" s="0" t="n">
        <v>1</v>
      </c>
      <c r="E1977" s="0" t="n">
        <v>0</v>
      </c>
      <c r="F1977" s="0" t="n">
        <v>0</v>
      </c>
      <c r="G1977" s="0" t="n">
        <v>2020</v>
      </c>
    </row>
    <row r="1978" customFormat="false" ht="15" hidden="false" customHeight="false" outlineLevel="0" collapsed="false">
      <c r="A1978" s="0" t="s">
        <v>259</v>
      </c>
      <c r="B1978" s="52" t="n">
        <v>44197</v>
      </c>
      <c r="C1978" s="54" t="s">
        <v>590</v>
      </c>
      <c r="D1978" s="0" t="n">
        <v>0.27272573868658</v>
      </c>
      <c r="E1978" s="0" t="n">
        <v>0.205164191811312</v>
      </c>
      <c r="F1978" s="0" t="n">
        <v>0</v>
      </c>
      <c r="G1978" s="0" t="n">
        <v>2021</v>
      </c>
    </row>
    <row r="1979" customFormat="false" ht="15" hidden="false" customHeight="false" outlineLevel="0" collapsed="false">
      <c r="A1979" s="0" t="s">
        <v>259</v>
      </c>
      <c r="B1979" s="52" t="n">
        <v>44197</v>
      </c>
      <c r="C1979" s="54" t="s">
        <v>592</v>
      </c>
      <c r="D1979" s="0" t="n">
        <v>1</v>
      </c>
      <c r="E1979" s="0" t="n">
        <v>0</v>
      </c>
      <c r="F1979" s="0" t="n">
        <v>0</v>
      </c>
      <c r="G1979" s="0" t="n">
        <v>2021</v>
      </c>
    </row>
    <row r="1980" customFormat="false" ht="15" hidden="false" customHeight="false" outlineLevel="0" collapsed="false">
      <c r="A1980" s="0" t="s">
        <v>259</v>
      </c>
      <c r="B1980" s="52" t="n">
        <v>44198</v>
      </c>
      <c r="C1980" s="54" t="s">
        <v>590</v>
      </c>
      <c r="D1980" s="0" t="n">
        <v>0.382658135632596</v>
      </c>
      <c r="E1980" s="0" t="n">
        <v>0.112319692025869</v>
      </c>
      <c r="F1980" s="0" t="n">
        <v>1</v>
      </c>
      <c r="G1980" s="0" t="n">
        <v>2021</v>
      </c>
    </row>
    <row r="1981" customFormat="false" ht="15" hidden="false" customHeight="false" outlineLevel="0" collapsed="false">
      <c r="A1981" s="0" t="s">
        <v>259</v>
      </c>
      <c r="B1981" s="52" t="n">
        <v>44199</v>
      </c>
      <c r="C1981" s="54" t="s">
        <v>592</v>
      </c>
      <c r="D1981" s="0" t="n">
        <v>0.0556297250465591</v>
      </c>
      <c r="E1981" s="0" t="n">
        <v>0.45606252730151</v>
      </c>
      <c r="F1981" s="0" t="n">
        <v>1</v>
      </c>
      <c r="G1981" s="0" t="n">
        <v>2021</v>
      </c>
    </row>
    <row r="1982" customFormat="false" ht="15" hidden="false" customHeight="false" outlineLevel="0" collapsed="false">
      <c r="A1982" s="0" t="s">
        <v>259</v>
      </c>
      <c r="B1982" s="52" t="n">
        <v>44200</v>
      </c>
      <c r="C1982" s="54" t="s">
        <v>590</v>
      </c>
      <c r="D1982" s="0" t="n">
        <v>0.265682293784177</v>
      </c>
      <c r="E1982" s="0" t="n">
        <v>0.241445037567386</v>
      </c>
      <c r="F1982" s="0" t="n">
        <v>0</v>
      </c>
      <c r="G1982" s="0" t="n">
        <v>2021</v>
      </c>
    </row>
    <row r="1983" customFormat="false" ht="15" hidden="false" customHeight="false" outlineLevel="0" collapsed="false">
      <c r="A1983" s="0" t="s">
        <v>259</v>
      </c>
      <c r="B1983" s="52" t="n">
        <v>44200</v>
      </c>
      <c r="C1983" s="54" t="s">
        <v>592</v>
      </c>
      <c r="D1983" s="0" t="n">
        <v>1</v>
      </c>
      <c r="E1983" s="0" t="n">
        <v>0</v>
      </c>
      <c r="F1983" s="0" t="n">
        <v>0</v>
      </c>
      <c r="G1983" s="0" t="n">
        <v>2021</v>
      </c>
    </row>
    <row r="1984" customFormat="false" ht="15" hidden="false" customHeight="false" outlineLevel="0" collapsed="false">
      <c r="A1984" s="0" t="s">
        <v>259</v>
      </c>
      <c r="B1984" s="52" t="n">
        <v>44201</v>
      </c>
      <c r="C1984" s="54" t="s">
        <v>590</v>
      </c>
      <c r="D1984" s="0" t="n">
        <v>0.413145245484907</v>
      </c>
      <c r="E1984" s="0" t="n">
        <v>0.285520413867869</v>
      </c>
      <c r="F1984" s="0" t="n">
        <v>0</v>
      </c>
      <c r="G1984" s="0" t="n">
        <v>2021</v>
      </c>
    </row>
    <row r="1985" customFormat="false" ht="15" hidden="false" customHeight="false" outlineLevel="0" collapsed="false">
      <c r="A1985" s="0" t="s">
        <v>259</v>
      </c>
      <c r="B1985" s="52" t="n">
        <v>44201</v>
      </c>
      <c r="C1985" s="54" t="s">
        <v>592</v>
      </c>
      <c r="D1985" s="0" t="n">
        <v>0.182750303843783</v>
      </c>
      <c r="E1985" s="0" t="n">
        <v>0.166342267936216</v>
      </c>
      <c r="F1985" s="0" t="n">
        <v>0</v>
      </c>
      <c r="G1985" s="0" t="n">
        <v>2021</v>
      </c>
    </row>
    <row r="1986" customFormat="false" ht="15" hidden="false" customHeight="false" outlineLevel="0" collapsed="false">
      <c r="A1986" s="0" t="s">
        <v>259</v>
      </c>
      <c r="B1986" s="52" t="n">
        <v>44202</v>
      </c>
      <c r="C1986" s="54" t="s">
        <v>590</v>
      </c>
      <c r="D1986" s="0" t="n">
        <v>0.29724674122506</v>
      </c>
      <c r="E1986" s="0" t="n">
        <v>0.290203220062867</v>
      </c>
      <c r="F1986" s="0" t="n">
        <v>0</v>
      </c>
      <c r="G1986" s="0" t="n">
        <v>2021</v>
      </c>
    </row>
    <row r="1987" customFormat="false" ht="15" hidden="false" customHeight="false" outlineLevel="0" collapsed="false">
      <c r="A1987" s="0" t="s">
        <v>259</v>
      </c>
      <c r="B1987" s="52" t="n">
        <v>44202</v>
      </c>
      <c r="C1987" s="54" t="s">
        <v>592</v>
      </c>
      <c r="D1987" s="0" t="n">
        <v>0.0979323297507458</v>
      </c>
      <c r="E1987" s="0" t="n">
        <v>0.139532203080954</v>
      </c>
      <c r="F1987" s="0" t="n">
        <v>0</v>
      </c>
      <c r="G1987" s="0" t="n">
        <v>2021</v>
      </c>
    </row>
    <row r="1988" customFormat="false" ht="15" hidden="false" customHeight="false" outlineLevel="0" collapsed="false">
      <c r="A1988" s="0" t="s">
        <v>259</v>
      </c>
      <c r="B1988" s="52" t="n">
        <v>44203</v>
      </c>
      <c r="C1988" s="54" t="s">
        <v>590</v>
      </c>
      <c r="D1988" s="0" t="n">
        <v>0.406462343885871</v>
      </c>
      <c r="E1988" s="0" t="n">
        <v>0.208035183463619</v>
      </c>
      <c r="F1988" s="0" t="n">
        <v>0</v>
      </c>
      <c r="G1988" s="0" t="n">
        <v>2021</v>
      </c>
    </row>
    <row r="1989" customFormat="false" ht="15" hidden="false" customHeight="false" outlineLevel="0" collapsed="false">
      <c r="A1989" s="0" t="s">
        <v>259</v>
      </c>
      <c r="B1989" s="52" t="n">
        <v>44203</v>
      </c>
      <c r="C1989" s="54" t="s">
        <v>592</v>
      </c>
      <c r="D1989" s="0" t="n">
        <v>0.495296503683846</v>
      </c>
      <c r="E1989" s="0" t="n">
        <v>0.166886302227515</v>
      </c>
      <c r="F1989" s="0" t="n">
        <v>0</v>
      </c>
      <c r="G1989" s="0" t="n">
        <v>2021</v>
      </c>
    </row>
    <row r="1990" customFormat="false" ht="15" hidden="false" customHeight="false" outlineLevel="0" collapsed="false">
      <c r="A1990" s="0" t="s">
        <v>259</v>
      </c>
      <c r="B1990" s="52" t="n">
        <v>44204</v>
      </c>
      <c r="C1990" s="54" t="s">
        <v>590</v>
      </c>
      <c r="D1990" s="0" t="n">
        <v>0.369367902491337</v>
      </c>
      <c r="E1990" s="0" t="n">
        <v>0.124864798067695</v>
      </c>
      <c r="F1990" s="0" t="n">
        <v>0</v>
      </c>
      <c r="G1990" s="0" t="n">
        <v>2021</v>
      </c>
    </row>
    <row r="1991" customFormat="false" ht="15" hidden="false" customHeight="false" outlineLevel="0" collapsed="false">
      <c r="A1991" s="0" t="s">
        <v>259</v>
      </c>
      <c r="B1991" s="52" t="n">
        <v>44205</v>
      </c>
      <c r="C1991" s="54" t="s">
        <v>590</v>
      </c>
      <c r="D1991" s="0" t="n">
        <v>0.33968845617016</v>
      </c>
      <c r="E1991" s="0" t="n">
        <v>0.195586389257634</v>
      </c>
      <c r="F1991" s="0" t="n">
        <v>1</v>
      </c>
      <c r="G1991" s="0" t="n">
        <v>2021</v>
      </c>
    </row>
    <row r="1992" customFormat="false" ht="15" hidden="false" customHeight="false" outlineLevel="0" collapsed="false">
      <c r="A1992" s="0" t="s">
        <v>259</v>
      </c>
      <c r="B1992" s="52" t="n">
        <v>44206</v>
      </c>
      <c r="C1992" s="54" t="s">
        <v>592</v>
      </c>
      <c r="D1992" s="0" t="n">
        <v>0.66972567884013</v>
      </c>
      <c r="E1992" s="0" t="n">
        <v>0.0094688350290024</v>
      </c>
      <c r="F1992" s="0" t="n">
        <v>1</v>
      </c>
      <c r="G1992" s="0" t="n">
        <v>2021</v>
      </c>
    </row>
    <row r="1993" customFormat="false" ht="15" hidden="false" customHeight="false" outlineLevel="0" collapsed="false">
      <c r="A1993" s="0" t="s">
        <v>259</v>
      </c>
      <c r="B1993" s="52" t="n">
        <v>44207</v>
      </c>
      <c r="C1993" s="54" t="s">
        <v>590</v>
      </c>
      <c r="D1993" s="0" t="n">
        <v>0.616218574637624</v>
      </c>
      <c r="E1993" s="0" t="n">
        <v>0.0532379213456607</v>
      </c>
      <c r="F1993" s="0" t="n">
        <v>0</v>
      </c>
      <c r="G1993" s="0" t="n">
        <v>2021</v>
      </c>
    </row>
    <row r="1994" customFormat="false" ht="15" hidden="false" customHeight="false" outlineLevel="0" collapsed="false">
      <c r="A1994" s="0" t="s">
        <v>259</v>
      </c>
      <c r="B1994" s="52" t="n">
        <v>44207</v>
      </c>
      <c r="C1994" s="54" t="s">
        <v>592</v>
      </c>
      <c r="D1994" s="0" t="n">
        <v>1</v>
      </c>
      <c r="E1994" s="0" t="n">
        <v>0</v>
      </c>
      <c r="F1994" s="0" t="n">
        <v>0</v>
      </c>
      <c r="G1994" s="0" t="n">
        <v>2021</v>
      </c>
    </row>
    <row r="1995" customFormat="false" ht="15" hidden="false" customHeight="false" outlineLevel="0" collapsed="false">
      <c r="A1995" s="0" t="s">
        <v>259</v>
      </c>
      <c r="B1995" s="52" t="n">
        <v>44208</v>
      </c>
      <c r="C1995" s="54" t="s">
        <v>590</v>
      </c>
      <c r="D1995" s="0" t="n">
        <v>0.469849097487859</v>
      </c>
      <c r="E1995" s="0" t="n">
        <v>0.152250021575842</v>
      </c>
      <c r="F1995" s="0" t="n">
        <v>0</v>
      </c>
      <c r="G1995" s="0" t="n">
        <v>2021</v>
      </c>
    </row>
    <row r="1996" customFormat="false" ht="15" hidden="false" customHeight="false" outlineLevel="0" collapsed="false">
      <c r="A1996" s="0" t="s">
        <v>259</v>
      </c>
      <c r="B1996" s="52" t="n">
        <v>44208</v>
      </c>
      <c r="C1996" s="54" t="s">
        <v>592</v>
      </c>
      <c r="D1996" s="0" t="n">
        <v>0.578149692415219</v>
      </c>
      <c r="E1996" s="0" t="n">
        <v>0.0906842457394539</v>
      </c>
      <c r="F1996" s="0" t="n">
        <v>0</v>
      </c>
      <c r="G1996" s="0" t="n">
        <v>2021</v>
      </c>
    </row>
    <row r="1997" customFormat="false" ht="15" hidden="false" customHeight="false" outlineLevel="0" collapsed="false">
      <c r="A1997" s="0" t="s">
        <v>259</v>
      </c>
      <c r="B1997" s="52" t="n">
        <v>44209</v>
      </c>
      <c r="C1997" s="54" t="s">
        <v>590</v>
      </c>
      <c r="D1997" s="0" t="n">
        <v>0.746638176600748</v>
      </c>
      <c r="E1997" s="0" t="n">
        <v>0.0157299298027821</v>
      </c>
      <c r="F1997" s="0" t="n">
        <v>0</v>
      </c>
      <c r="G1997" s="0" t="n">
        <v>2021</v>
      </c>
    </row>
    <row r="1998" customFormat="false" ht="15" hidden="false" customHeight="false" outlineLevel="0" collapsed="false">
      <c r="A1998" s="0" t="s">
        <v>259</v>
      </c>
      <c r="B1998" s="52" t="n">
        <v>44209</v>
      </c>
      <c r="C1998" s="54" t="s">
        <v>592</v>
      </c>
      <c r="D1998" s="0" t="n">
        <v>0.220409044305255</v>
      </c>
      <c r="E1998" s="0" t="n">
        <v>0.0951831699046091</v>
      </c>
      <c r="F1998" s="0" t="n">
        <v>0</v>
      </c>
      <c r="G1998" s="0" t="n">
        <v>2021</v>
      </c>
    </row>
    <row r="1999" customFormat="false" ht="15" hidden="false" customHeight="false" outlineLevel="0" collapsed="false">
      <c r="A1999" s="0" t="s">
        <v>259</v>
      </c>
      <c r="B1999" s="52" t="n">
        <v>44210</v>
      </c>
      <c r="C1999" s="54" t="s">
        <v>590</v>
      </c>
      <c r="D1999" s="0" t="n">
        <v>0.595722656129446</v>
      </c>
      <c r="E1999" s="0" t="n">
        <v>0.127862736223691</v>
      </c>
      <c r="F1999" s="0" t="n">
        <v>0</v>
      </c>
      <c r="G1999" s="0" t="n">
        <v>2021</v>
      </c>
    </row>
    <row r="2000" customFormat="false" ht="15" hidden="false" customHeight="false" outlineLevel="0" collapsed="false">
      <c r="A2000" s="0" t="s">
        <v>259</v>
      </c>
      <c r="B2000" s="52" t="n">
        <v>44210</v>
      </c>
      <c r="C2000" s="54" t="s">
        <v>592</v>
      </c>
      <c r="D2000" s="0" t="n">
        <v>0.21603883341522</v>
      </c>
      <c r="E2000" s="0" t="n">
        <v>0.412183685084629</v>
      </c>
      <c r="F2000" s="0" t="n">
        <v>0</v>
      </c>
      <c r="G2000" s="0" t="n">
        <v>2021</v>
      </c>
    </row>
    <row r="2001" customFormat="false" ht="15" hidden="false" customHeight="false" outlineLevel="0" collapsed="false">
      <c r="A2001" s="0" t="s">
        <v>259</v>
      </c>
      <c r="B2001" s="52" t="n">
        <v>44211</v>
      </c>
      <c r="C2001" s="54" t="s">
        <v>590</v>
      </c>
      <c r="D2001" s="0" t="n">
        <v>0.166878585367064</v>
      </c>
      <c r="E2001" s="0" t="n">
        <v>0.2608877220554</v>
      </c>
      <c r="F2001" s="0" t="n">
        <v>0</v>
      </c>
      <c r="G2001" s="0" t="n">
        <v>2021</v>
      </c>
    </row>
    <row r="2002" customFormat="false" ht="15" hidden="false" customHeight="false" outlineLevel="0" collapsed="false">
      <c r="A2002" s="0" t="s">
        <v>259</v>
      </c>
      <c r="B2002" s="52" t="n">
        <v>44211</v>
      </c>
      <c r="C2002" s="54" t="s">
        <v>591</v>
      </c>
      <c r="D2002" s="0" t="n">
        <v>0.959307236595288</v>
      </c>
      <c r="E2002" s="0" t="n">
        <v>0</v>
      </c>
      <c r="F2002" s="0" t="n">
        <v>0</v>
      </c>
      <c r="G2002" s="0" t="n">
        <v>2021</v>
      </c>
    </row>
    <row r="2003" customFormat="false" ht="15" hidden="false" customHeight="false" outlineLevel="0" collapsed="false">
      <c r="A2003" s="0" t="s">
        <v>259</v>
      </c>
      <c r="B2003" s="52" t="n">
        <v>44211</v>
      </c>
      <c r="C2003" s="54" t="s">
        <v>592</v>
      </c>
      <c r="D2003" s="0" t="n">
        <v>1</v>
      </c>
      <c r="E2003" s="0" t="n">
        <v>0</v>
      </c>
      <c r="F2003" s="0" t="n">
        <v>0</v>
      </c>
      <c r="G2003" s="0" t="n">
        <v>2021</v>
      </c>
    </row>
    <row r="2004" customFormat="false" ht="15" hidden="false" customHeight="false" outlineLevel="0" collapsed="false">
      <c r="A2004" s="0" t="s">
        <v>259</v>
      </c>
      <c r="B2004" s="52" t="n">
        <v>44212</v>
      </c>
      <c r="C2004" s="54" t="s">
        <v>590</v>
      </c>
      <c r="D2004" s="0" t="n">
        <v>0.317186766990509</v>
      </c>
      <c r="E2004" s="0" t="n">
        <v>0.0798479856529254</v>
      </c>
      <c r="F2004" s="0" t="n">
        <v>1</v>
      </c>
      <c r="G2004" s="0" t="n">
        <v>2021</v>
      </c>
    </row>
    <row r="2005" customFormat="false" ht="15" hidden="false" customHeight="false" outlineLevel="0" collapsed="false">
      <c r="A2005" s="0" t="s">
        <v>259</v>
      </c>
      <c r="B2005" s="52" t="n">
        <v>44213</v>
      </c>
      <c r="C2005" s="54" t="s">
        <v>592</v>
      </c>
      <c r="D2005" s="0" t="n">
        <v>0.881774668190585</v>
      </c>
      <c r="E2005" s="0" t="n">
        <v>0</v>
      </c>
      <c r="F2005" s="0" t="n">
        <v>1</v>
      </c>
      <c r="G2005" s="0" t="n">
        <v>2021</v>
      </c>
    </row>
    <row r="2006" customFormat="false" ht="15" hidden="false" customHeight="false" outlineLevel="0" collapsed="false">
      <c r="A2006" s="0" t="s">
        <v>259</v>
      </c>
      <c r="B2006" s="52" t="n">
        <v>44214</v>
      </c>
      <c r="C2006" s="54" t="s">
        <v>590</v>
      </c>
      <c r="D2006" s="0" t="n">
        <v>0.855497843545622</v>
      </c>
      <c r="E2006" s="0" t="n">
        <v>0.0196645775545712</v>
      </c>
      <c r="F2006" s="0" t="n">
        <v>0</v>
      </c>
      <c r="G2006" s="0" t="n">
        <v>2021</v>
      </c>
    </row>
    <row r="2007" customFormat="false" ht="15" hidden="false" customHeight="false" outlineLevel="0" collapsed="false">
      <c r="A2007" s="0" t="s">
        <v>259</v>
      </c>
      <c r="B2007" s="52" t="n">
        <v>44214</v>
      </c>
      <c r="C2007" s="54" t="s">
        <v>592</v>
      </c>
      <c r="D2007" s="0" t="n">
        <v>1</v>
      </c>
      <c r="E2007" s="0" t="n">
        <v>0</v>
      </c>
      <c r="F2007" s="0" t="n">
        <v>0</v>
      </c>
      <c r="G2007" s="0" t="n">
        <v>2021</v>
      </c>
    </row>
    <row r="2008" customFormat="false" ht="15" hidden="false" customHeight="false" outlineLevel="0" collapsed="false">
      <c r="A2008" s="0" t="s">
        <v>259</v>
      </c>
      <c r="B2008" s="52" t="n">
        <v>44215</v>
      </c>
      <c r="C2008" s="54" t="s">
        <v>590</v>
      </c>
      <c r="D2008" s="0" t="n">
        <v>0.175662587326793</v>
      </c>
      <c r="E2008" s="0" t="n">
        <v>0.208987778921915</v>
      </c>
      <c r="F2008" s="0" t="n">
        <v>0</v>
      </c>
      <c r="G2008" s="0" t="n">
        <v>2021</v>
      </c>
    </row>
    <row r="2009" customFormat="false" ht="15" hidden="false" customHeight="false" outlineLevel="0" collapsed="false">
      <c r="A2009" s="0" t="s">
        <v>259</v>
      </c>
      <c r="B2009" s="52" t="n">
        <v>44215</v>
      </c>
      <c r="C2009" s="54" t="s">
        <v>591</v>
      </c>
      <c r="D2009" s="0" t="n">
        <v>1</v>
      </c>
      <c r="E2009" s="0" t="n">
        <v>0</v>
      </c>
      <c r="F2009" s="0" t="n">
        <v>0</v>
      </c>
      <c r="G2009" s="0" t="n">
        <v>2021</v>
      </c>
    </row>
    <row r="2010" customFormat="false" ht="15" hidden="false" customHeight="false" outlineLevel="0" collapsed="false">
      <c r="A2010" s="0" t="s">
        <v>259</v>
      </c>
      <c r="B2010" s="52" t="n">
        <v>44215</v>
      </c>
      <c r="C2010" s="54" t="s">
        <v>592</v>
      </c>
      <c r="D2010" s="0" t="n">
        <v>0.844649923838622</v>
      </c>
      <c r="E2010" s="0" t="n">
        <v>0</v>
      </c>
      <c r="F2010" s="0" t="n">
        <v>0</v>
      </c>
      <c r="G2010" s="0" t="n">
        <v>2021</v>
      </c>
    </row>
    <row r="2011" customFormat="false" ht="15" hidden="false" customHeight="false" outlineLevel="0" collapsed="false">
      <c r="A2011" s="0" t="s">
        <v>259</v>
      </c>
      <c r="B2011" s="52" t="n">
        <v>44216</v>
      </c>
      <c r="C2011" s="54" t="s">
        <v>590</v>
      </c>
      <c r="D2011" s="0" t="n">
        <v>0.183833967909073</v>
      </c>
      <c r="E2011" s="0" t="n">
        <v>0.300295056432464</v>
      </c>
      <c r="F2011" s="0" t="n">
        <v>0</v>
      </c>
      <c r="G2011" s="0" t="n">
        <v>2021</v>
      </c>
    </row>
    <row r="2012" customFormat="false" ht="15" hidden="false" customHeight="false" outlineLevel="0" collapsed="false">
      <c r="A2012" s="0" t="s">
        <v>259</v>
      </c>
      <c r="B2012" s="52" t="n">
        <v>44216</v>
      </c>
      <c r="C2012" s="54" t="s">
        <v>592</v>
      </c>
      <c r="D2012" s="0" t="n">
        <v>0.0935298395661413</v>
      </c>
      <c r="E2012" s="0" t="n">
        <v>0.346486921652501</v>
      </c>
      <c r="F2012" s="0" t="n">
        <v>0</v>
      </c>
      <c r="G2012" s="0" t="n">
        <v>2021</v>
      </c>
    </row>
    <row r="2013" customFormat="false" ht="15" hidden="false" customHeight="false" outlineLevel="0" collapsed="false">
      <c r="A2013" s="0" t="s">
        <v>259</v>
      </c>
      <c r="B2013" s="52" t="n">
        <v>44217</v>
      </c>
      <c r="C2013" s="54" t="s">
        <v>590</v>
      </c>
      <c r="D2013" s="0" t="n">
        <v>0.134506120361971</v>
      </c>
      <c r="E2013" s="0" t="n">
        <v>0.399677813089735</v>
      </c>
      <c r="F2013" s="0" t="n">
        <v>0</v>
      </c>
      <c r="G2013" s="0" t="n">
        <v>2021</v>
      </c>
    </row>
    <row r="2014" customFormat="false" ht="15" hidden="false" customHeight="false" outlineLevel="0" collapsed="false">
      <c r="A2014" s="0" t="s">
        <v>259</v>
      </c>
      <c r="B2014" s="52" t="n">
        <v>44217</v>
      </c>
      <c r="C2014" s="54" t="s">
        <v>592</v>
      </c>
      <c r="D2014" s="0" t="n">
        <v>0.466916028092629</v>
      </c>
      <c r="E2014" s="0" t="n">
        <v>0.0981132303489671</v>
      </c>
      <c r="F2014" s="0" t="n">
        <v>0</v>
      </c>
      <c r="G2014" s="0" t="n">
        <v>2021</v>
      </c>
    </row>
    <row r="2015" customFormat="false" ht="15" hidden="false" customHeight="false" outlineLevel="0" collapsed="false">
      <c r="A2015" s="0" t="s">
        <v>259</v>
      </c>
      <c r="B2015" s="52" t="n">
        <v>44218</v>
      </c>
      <c r="C2015" s="54" t="s">
        <v>590</v>
      </c>
      <c r="D2015" s="0" t="n">
        <v>0.350608581761289</v>
      </c>
      <c r="E2015" s="0" t="n">
        <v>0.113939446459504</v>
      </c>
      <c r="F2015" s="0" t="n">
        <v>0</v>
      </c>
      <c r="G2015" s="0" t="n">
        <v>2021</v>
      </c>
    </row>
    <row r="2016" customFormat="false" ht="15" hidden="false" customHeight="false" outlineLevel="0" collapsed="false">
      <c r="A2016" s="0" t="s">
        <v>259</v>
      </c>
      <c r="B2016" s="52" t="n">
        <v>44218</v>
      </c>
      <c r="C2016" s="54" t="s">
        <v>592</v>
      </c>
      <c r="D2016" s="0" t="n">
        <v>1</v>
      </c>
      <c r="E2016" s="0" t="n">
        <v>0</v>
      </c>
      <c r="F2016" s="0" t="n">
        <v>0</v>
      </c>
      <c r="G2016" s="0" t="n">
        <v>2021</v>
      </c>
    </row>
    <row r="2017" customFormat="false" ht="15" hidden="false" customHeight="false" outlineLevel="0" collapsed="false">
      <c r="A2017" s="0" t="s">
        <v>259</v>
      </c>
      <c r="B2017" s="52" t="n">
        <v>44219</v>
      </c>
      <c r="C2017" s="54" t="s">
        <v>590</v>
      </c>
      <c r="D2017" s="0" t="n">
        <v>0.0526337927256252</v>
      </c>
      <c r="E2017" s="0" t="n">
        <v>0.185863690035706</v>
      </c>
      <c r="F2017" s="0" t="n">
        <v>1</v>
      </c>
      <c r="G2017" s="0" t="n">
        <v>2021</v>
      </c>
    </row>
    <row r="2018" customFormat="false" ht="15" hidden="false" customHeight="false" outlineLevel="0" collapsed="false">
      <c r="A2018" s="0" t="s">
        <v>259</v>
      </c>
      <c r="B2018" s="52" t="n">
        <v>44220</v>
      </c>
      <c r="C2018" s="54" t="s">
        <v>592</v>
      </c>
      <c r="D2018" s="0" t="n">
        <v>0.315947658800919</v>
      </c>
      <c r="E2018" s="0" t="n">
        <v>0.339597490997219</v>
      </c>
      <c r="F2018" s="0" t="n">
        <v>1</v>
      </c>
      <c r="G2018" s="0" t="n">
        <v>2021</v>
      </c>
    </row>
    <row r="2019" customFormat="false" ht="15" hidden="false" customHeight="false" outlineLevel="0" collapsed="false">
      <c r="A2019" s="0" t="s">
        <v>259</v>
      </c>
      <c r="B2019" s="52" t="n">
        <v>44221</v>
      </c>
      <c r="C2019" s="54" t="s">
        <v>590</v>
      </c>
      <c r="D2019" s="0" t="n">
        <v>0.600996606266452</v>
      </c>
      <c r="E2019" s="0" t="n">
        <v>0.0465590722596731</v>
      </c>
      <c r="F2019" s="0" t="n">
        <v>0</v>
      </c>
      <c r="G2019" s="0" t="n">
        <v>2021</v>
      </c>
    </row>
    <row r="2020" customFormat="false" ht="15" hidden="false" customHeight="false" outlineLevel="0" collapsed="false">
      <c r="A2020" s="0" t="s">
        <v>259</v>
      </c>
      <c r="B2020" s="52" t="n">
        <v>44221</v>
      </c>
      <c r="C2020" s="54" t="s">
        <v>592</v>
      </c>
      <c r="D2020" s="0" t="n">
        <v>1</v>
      </c>
      <c r="E2020" s="0" t="n">
        <v>0</v>
      </c>
      <c r="F2020" s="0" t="n">
        <v>0</v>
      </c>
      <c r="G2020" s="0" t="n">
        <v>2021</v>
      </c>
    </row>
    <row r="2021" customFormat="false" ht="15" hidden="false" customHeight="false" outlineLevel="0" collapsed="false">
      <c r="A2021" s="0" t="s">
        <v>259</v>
      </c>
      <c r="B2021" s="52" t="n">
        <v>44222</v>
      </c>
      <c r="C2021" s="54" t="s">
        <v>590</v>
      </c>
      <c r="D2021" s="0" t="n">
        <v>0.630374359753231</v>
      </c>
      <c r="E2021" s="0" t="n">
        <v>0.118804041179791</v>
      </c>
      <c r="F2021" s="0" t="n">
        <v>0</v>
      </c>
      <c r="G2021" s="0" t="n">
        <v>2021</v>
      </c>
    </row>
    <row r="2022" customFormat="false" ht="15" hidden="false" customHeight="false" outlineLevel="0" collapsed="false">
      <c r="A2022" s="0" t="s">
        <v>259</v>
      </c>
      <c r="B2022" s="52" t="n">
        <v>44222</v>
      </c>
      <c r="C2022" s="54" t="s">
        <v>591</v>
      </c>
      <c r="D2022" s="0" t="n">
        <v>0.399997231343313</v>
      </c>
      <c r="E2022" s="0" t="n">
        <v>0</v>
      </c>
      <c r="F2022" s="0" t="n">
        <v>0</v>
      </c>
      <c r="G2022" s="0" t="n">
        <v>2021</v>
      </c>
    </row>
    <row r="2023" customFormat="false" ht="15" hidden="false" customHeight="false" outlineLevel="0" collapsed="false">
      <c r="A2023" s="0" t="s">
        <v>259</v>
      </c>
      <c r="B2023" s="52" t="n">
        <v>44222</v>
      </c>
      <c r="C2023" s="54" t="s">
        <v>592</v>
      </c>
      <c r="D2023" s="0" t="n">
        <v>0.503966097195837</v>
      </c>
      <c r="E2023" s="0" t="n">
        <v>0.15440791399062</v>
      </c>
      <c r="F2023" s="0" t="n">
        <v>0</v>
      </c>
      <c r="G2023" s="0" t="n">
        <v>2021</v>
      </c>
    </row>
    <row r="2024" customFormat="false" ht="15" hidden="false" customHeight="false" outlineLevel="0" collapsed="false">
      <c r="A2024" s="0" t="s">
        <v>259</v>
      </c>
      <c r="B2024" s="52" t="n">
        <v>44223</v>
      </c>
      <c r="C2024" s="54" t="s">
        <v>590</v>
      </c>
      <c r="D2024" s="0" t="n">
        <v>0.314499833775407</v>
      </c>
      <c r="E2024" s="0" t="n">
        <v>0.298286903646932</v>
      </c>
      <c r="F2024" s="0" t="n">
        <v>0</v>
      </c>
      <c r="G2024" s="0" t="n">
        <v>2021</v>
      </c>
    </row>
    <row r="2025" customFormat="false" ht="15" hidden="false" customHeight="false" outlineLevel="0" collapsed="false">
      <c r="A2025" s="0" t="s">
        <v>259</v>
      </c>
      <c r="B2025" s="52" t="n">
        <v>44223</v>
      </c>
      <c r="C2025" s="54" t="s">
        <v>592</v>
      </c>
      <c r="D2025" s="0" t="n">
        <v>0.130167523113308</v>
      </c>
      <c r="E2025" s="0" t="n">
        <v>0.206666070405101</v>
      </c>
      <c r="F2025" s="0" t="n">
        <v>0</v>
      </c>
      <c r="G2025" s="0" t="n">
        <v>2021</v>
      </c>
    </row>
    <row r="2026" customFormat="false" ht="15" hidden="false" customHeight="false" outlineLevel="0" collapsed="false">
      <c r="A2026" s="0" t="s">
        <v>259</v>
      </c>
      <c r="B2026" s="52" t="n">
        <v>44224</v>
      </c>
      <c r="C2026" s="54" t="s">
        <v>590</v>
      </c>
      <c r="D2026" s="0" t="n">
        <v>0.518524935764533</v>
      </c>
      <c r="E2026" s="0" t="n">
        <v>0.144146853219286</v>
      </c>
      <c r="F2026" s="0" t="n">
        <v>0</v>
      </c>
      <c r="G2026" s="0" t="n">
        <v>2021</v>
      </c>
    </row>
    <row r="2027" customFormat="false" ht="15" hidden="false" customHeight="false" outlineLevel="0" collapsed="false">
      <c r="A2027" s="0" t="s">
        <v>259</v>
      </c>
      <c r="B2027" s="52" t="n">
        <v>44224</v>
      </c>
      <c r="C2027" s="54" t="s">
        <v>592</v>
      </c>
      <c r="D2027" s="0" t="n">
        <v>0.590081485480788</v>
      </c>
      <c r="E2027" s="0" t="n">
        <v>0.0555836777817694</v>
      </c>
      <c r="F2027" s="0" t="n">
        <v>0</v>
      </c>
      <c r="G2027" s="0" t="n">
        <v>2021</v>
      </c>
    </row>
    <row r="2028" customFormat="false" ht="15" hidden="false" customHeight="false" outlineLevel="0" collapsed="false">
      <c r="A2028" s="0" t="s">
        <v>259</v>
      </c>
      <c r="B2028" s="52" t="n">
        <v>44225</v>
      </c>
      <c r="C2028" s="54" t="s">
        <v>590</v>
      </c>
      <c r="D2028" s="0" t="n">
        <v>0.688897595887793</v>
      </c>
      <c r="E2028" s="0" t="n">
        <v>0.0647947933776107</v>
      </c>
      <c r="F2028" s="0" t="n">
        <v>0</v>
      </c>
      <c r="G2028" s="0" t="n">
        <v>2021</v>
      </c>
    </row>
    <row r="2029" customFormat="false" ht="15" hidden="false" customHeight="false" outlineLevel="0" collapsed="false">
      <c r="A2029" s="0" t="s">
        <v>259</v>
      </c>
      <c r="B2029" s="52" t="n">
        <v>44225</v>
      </c>
      <c r="C2029" s="54" t="s">
        <v>592</v>
      </c>
      <c r="D2029" s="0" t="n">
        <v>0.0819640744620977</v>
      </c>
      <c r="E2029" s="0" t="n">
        <v>0.0860652121583848</v>
      </c>
      <c r="F2029" s="0" t="n">
        <v>0</v>
      </c>
      <c r="G2029" s="0" t="n">
        <v>2021</v>
      </c>
    </row>
    <row r="2030" customFormat="false" ht="15" hidden="false" customHeight="false" outlineLevel="0" collapsed="false">
      <c r="A2030" s="0" t="s">
        <v>259</v>
      </c>
      <c r="B2030" s="52" t="n">
        <v>44226</v>
      </c>
      <c r="C2030" s="54" t="s">
        <v>590</v>
      </c>
      <c r="D2030" s="0" t="n">
        <v>0.493547404720501</v>
      </c>
      <c r="E2030" s="0" t="n">
        <v>0.0978665988136459</v>
      </c>
      <c r="F2030" s="0" t="n">
        <v>1</v>
      </c>
      <c r="G2030" s="0" t="n">
        <v>2021</v>
      </c>
    </row>
    <row r="2031" customFormat="false" ht="15" hidden="false" customHeight="false" outlineLevel="0" collapsed="false">
      <c r="A2031" s="0" t="s">
        <v>259</v>
      </c>
      <c r="B2031" s="52" t="n">
        <v>44227</v>
      </c>
      <c r="C2031" s="54" t="s">
        <v>592</v>
      </c>
      <c r="D2031" s="0" t="n">
        <v>0.448905020457772</v>
      </c>
      <c r="E2031" s="0" t="n">
        <v>0.231775020688472</v>
      </c>
      <c r="F2031" s="0" t="n">
        <v>1</v>
      </c>
      <c r="G2031" s="0" t="n">
        <v>2021</v>
      </c>
    </row>
    <row r="2032" customFormat="false" ht="15" hidden="false" customHeight="false" outlineLevel="0" collapsed="false">
      <c r="A2032" s="0" t="s">
        <v>259</v>
      </c>
      <c r="B2032" s="52" t="n">
        <v>44228</v>
      </c>
      <c r="C2032" s="54" t="s">
        <v>590</v>
      </c>
      <c r="D2032" s="0" t="n">
        <v>0.43981572585429</v>
      </c>
      <c r="E2032" s="0" t="n">
        <v>0.183715346327743</v>
      </c>
      <c r="F2032" s="0" t="n">
        <v>0</v>
      </c>
      <c r="G2032" s="0" t="n">
        <v>2021</v>
      </c>
    </row>
    <row r="2033" customFormat="false" ht="15" hidden="false" customHeight="false" outlineLevel="0" collapsed="false">
      <c r="A2033" s="0" t="s">
        <v>259</v>
      </c>
      <c r="B2033" s="52" t="n">
        <v>44229</v>
      </c>
      <c r="C2033" s="54" t="s">
        <v>590</v>
      </c>
      <c r="D2033" s="0" t="n">
        <v>0.308801613293759</v>
      </c>
      <c r="E2033" s="0" t="n">
        <v>0.131931250101835</v>
      </c>
      <c r="F2033" s="0" t="n">
        <v>0</v>
      </c>
      <c r="G2033" s="0" t="n">
        <v>2021</v>
      </c>
    </row>
    <row r="2034" customFormat="false" ht="15" hidden="false" customHeight="false" outlineLevel="0" collapsed="false">
      <c r="A2034" s="0" t="s">
        <v>259</v>
      </c>
      <c r="B2034" s="52" t="n">
        <v>44229</v>
      </c>
      <c r="C2034" s="54" t="s">
        <v>591</v>
      </c>
      <c r="D2034" s="0" t="n">
        <v>0.481066924372131</v>
      </c>
      <c r="E2034" s="0" t="n">
        <v>0.113958068678655</v>
      </c>
      <c r="F2034" s="0" t="n">
        <v>0</v>
      </c>
      <c r="G2034" s="0" t="n">
        <v>2021</v>
      </c>
    </row>
    <row r="2035" customFormat="false" ht="15" hidden="false" customHeight="false" outlineLevel="0" collapsed="false">
      <c r="A2035" s="0" t="s">
        <v>259</v>
      </c>
      <c r="B2035" s="52" t="n">
        <v>44229</v>
      </c>
      <c r="C2035" s="54" t="s">
        <v>592</v>
      </c>
      <c r="D2035" s="0" t="n">
        <v>0.2227843999715</v>
      </c>
      <c r="E2035" s="0" t="n">
        <v>0.232814020241355</v>
      </c>
      <c r="F2035" s="0" t="n">
        <v>0</v>
      </c>
      <c r="G2035" s="0" t="n">
        <v>2021</v>
      </c>
    </row>
    <row r="2036" customFormat="false" ht="15" hidden="false" customHeight="false" outlineLevel="0" collapsed="false">
      <c r="A2036" s="0" t="s">
        <v>259</v>
      </c>
      <c r="B2036" s="52" t="n">
        <v>44230</v>
      </c>
      <c r="C2036" s="54" t="s">
        <v>590</v>
      </c>
      <c r="D2036" s="0" t="n">
        <v>0.361828730761409</v>
      </c>
      <c r="E2036" s="0" t="n">
        <v>0.175169873436186</v>
      </c>
      <c r="F2036" s="0" t="n">
        <v>0</v>
      </c>
      <c r="G2036" s="0" t="n">
        <v>2021</v>
      </c>
    </row>
    <row r="2037" customFormat="false" ht="15" hidden="false" customHeight="false" outlineLevel="0" collapsed="false">
      <c r="A2037" s="0" t="s">
        <v>259</v>
      </c>
      <c r="B2037" s="52" t="n">
        <v>44230</v>
      </c>
      <c r="C2037" s="54" t="s">
        <v>592</v>
      </c>
      <c r="D2037" s="0" t="n">
        <v>0.251875730514465</v>
      </c>
      <c r="E2037" s="0" t="n">
        <v>0.068534239083203</v>
      </c>
      <c r="F2037" s="0" t="n">
        <v>0</v>
      </c>
      <c r="G2037" s="0" t="n">
        <v>2021</v>
      </c>
    </row>
    <row r="2038" customFormat="false" ht="15" hidden="false" customHeight="false" outlineLevel="0" collapsed="false">
      <c r="A2038" s="0" t="s">
        <v>259</v>
      </c>
      <c r="B2038" s="52" t="n">
        <v>44231</v>
      </c>
      <c r="C2038" s="54" t="s">
        <v>590</v>
      </c>
      <c r="D2038" s="0" t="n">
        <v>0.4851621750937</v>
      </c>
      <c r="E2038" s="0" t="n">
        <v>0.108459875234861</v>
      </c>
      <c r="F2038" s="0" t="n">
        <v>0</v>
      </c>
      <c r="G2038" s="0" t="n">
        <v>2021</v>
      </c>
    </row>
    <row r="2039" customFormat="false" ht="15" hidden="false" customHeight="false" outlineLevel="0" collapsed="false">
      <c r="A2039" s="0" t="s">
        <v>259</v>
      </c>
      <c r="B2039" s="52" t="n">
        <v>44231</v>
      </c>
      <c r="C2039" s="54" t="s">
        <v>592</v>
      </c>
      <c r="D2039" s="0" t="n">
        <v>0.0724878325826477</v>
      </c>
      <c r="E2039" s="0" t="n">
        <v>0.36630258633761</v>
      </c>
      <c r="F2039" s="0" t="n">
        <v>0</v>
      </c>
      <c r="G2039" s="0" t="n">
        <v>2021</v>
      </c>
    </row>
    <row r="2040" customFormat="false" ht="15" hidden="false" customHeight="false" outlineLevel="0" collapsed="false">
      <c r="A2040" s="0" t="s">
        <v>259</v>
      </c>
      <c r="B2040" s="52" t="n">
        <v>44232</v>
      </c>
      <c r="C2040" s="54" t="s">
        <v>590</v>
      </c>
      <c r="D2040" s="0" t="n">
        <v>0.238928301995224</v>
      </c>
      <c r="E2040" s="0" t="n">
        <v>0.139311318299884</v>
      </c>
      <c r="F2040" s="0" t="n">
        <v>0</v>
      </c>
      <c r="G2040" s="0" t="n">
        <v>2021</v>
      </c>
    </row>
    <row r="2041" customFormat="false" ht="15" hidden="false" customHeight="false" outlineLevel="0" collapsed="false">
      <c r="A2041" s="0" t="s">
        <v>259</v>
      </c>
      <c r="B2041" s="52" t="n">
        <v>44232</v>
      </c>
      <c r="C2041" s="54" t="s">
        <v>591</v>
      </c>
      <c r="D2041" s="0" t="n">
        <v>0.346097476433693</v>
      </c>
      <c r="E2041" s="0" t="n">
        <v>0.0670739044306888</v>
      </c>
      <c r="F2041" s="0" t="n">
        <v>0</v>
      </c>
      <c r="G2041" s="0" t="n">
        <v>2021</v>
      </c>
    </row>
    <row r="2042" customFormat="false" ht="15" hidden="false" customHeight="false" outlineLevel="0" collapsed="false">
      <c r="A2042" s="0" t="s">
        <v>259</v>
      </c>
      <c r="B2042" s="52" t="n">
        <v>44233</v>
      </c>
      <c r="C2042" s="54" t="s">
        <v>590</v>
      </c>
      <c r="D2042" s="0" t="n">
        <v>0.275499992907363</v>
      </c>
      <c r="E2042" s="0" t="n">
        <v>0.136081611933463</v>
      </c>
      <c r="F2042" s="0" t="n">
        <v>1</v>
      </c>
      <c r="G2042" s="0" t="n">
        <v>2021</v>
      </c>
    </row>
    <row r="2043" customFormat="false" ht="15" hidden="false" customHeight="false" outlineLevel="0" collapsed="false">
      <c r="A2043" s="0" t="s">
        <v>259</v>
      </c>
      <c r="B2043" s="52" t="n">
        <v>44234</v>
      </c>
      <c r="C2043" s="54" t="s">
        <v>592</v>
      </c>
      <c r="D2043" s="0" t="n">
        <v>0.435055842938149</v>
      </c>
      <c r="E2043" s="0" t="n">
        <v>0.0961086625121987</v>
      </c>
      <c r="F2043" s="0" t="n">
        <v>1</v>
      </c>
      <c r="G2043" s="0" t="n">
        <v>2021</v>
      </c>
    </row>
    <row r="2044" customFormat="false" ht="15" hidden="false" customHeight="false" outlineLevel="0" collapsed="false">
      <c r="A2044" s="0" t="s">
        <v>259</v>
      </c>
      <c r="B2044" s="52" t="n">
        <v>44235</v>
      </c>
      <c r="C2044" s="54" t="s">
        <v>590</v>
      </c>
      <c r="D2044" s="0" t="n">
        <v>0.642636831539352</v>
      </c>
      <c r="E2044" s="0" t="n">
        <v>0.06436245864976</v>
      </c>
      <c r="F2044" s="0" t="n">
        <v>0</v>
      </c>
      <c r="G2044" s="0" t="n">
        <v>2021</v>
      </c>
    </row>
    <row r="2045" customFormat="false" ht="15" hidden="false" customHeight="false" outlineLevel="0" collapsed="false">
      <c r="A2045" s="0" t="s">
        <v>259</v>
      </c>
      <c r="B2045" s="52" t="n">
        <v>44236</v>
      </c>
      <c r="C2045" s="54" t="s">
        <v>590</v>
      </c>
      <c r="D2045" s="0" t="n">
        <v>0.568584270941641</v>
      </c>
      <c r="E2045" s="0" t="n">
        <v>0.131221719200048</v>
      </c>
      <c r="F2045" s="0" t="n">
        <v>0</v>
      </c>
      <c r="G2045" s="0" t="n">
        <v>2021</v>
      </c>
    </row>
    <row r="2046" customFormat="false" ht="15" hidden="false" customHeight="false" outlineLevel="0" collapsed="false">
      <c r="A2046" s="0" t="s">
        <v>259</v>
      </c>
      <c r="B2046" s="52" t="n">
        <v>44236</v>
      </c>
      <c r="C2046" s="54" t="s">
        <v>592</v>
      </c>
      <c r="D2046" s="0" t="n">
        <v>0.625949002226386</v>
      </c>
      <c r="E2046" s="0" t="n">
        <v>0.123072002886512</v>
      </c>
      <c r="F2046" s="0" t="n">
        <v>0</v>
      </c>
      <c r="G2046" s="0" t="n">
        <v>2021</v>
      </c>
    </row>
    <row r="2047" customFormat="false" ht="15" hidden="false" customHeight="false" outlineLevel="0" collapsed="false">
      <c r="A2047" s="0" t="s">
        <v>259</v>
      </c>
      <c r="B2047" s="52" t="n">
        <v>44237</v>
      </c>
      <c r="C2047" s="54" t="s">
        <v>590</v>
      </c>
      <c r="D2047" s="0" t="n">
        <v>0.313690202249389</v>
      </c>
      <c r="E2047" s="0" t="n">
        <v>0.0957180603592939</v>
      </c>
      <c r="F2047" s="0" t="n">
        <v>0</v>
      </c>
      <c r="G2047" s="0" t="n">
        <v>2021</v>
      </c>
    </row>
    <row r="2048" customFormat="false" ht="15" hidden="false" customHeight="false" outlineLevel="0" collapsed="false">
      <c r="A2048" s="0" t="s">
        <v>259</v>
      </c>
      <c r="B2048" s="52" t="n">
        <v>44237</v>
      </c>
      <c r="C2048" s="54" t="s">
        <v>591</v>
      </c>
      <c r="D2048" s="0" t="n">
        <v>0.23320989376816</v>
      </c>
      <c r="E2048" s="0" t="n">
        <v>0.319687945266171</v>
      </c>
      <c r="F2048" s="0" t="n">
        <v>0</v>
      </c>
      <c r="G2048" s="0" t="n">
        <v>2021</v>
      </c>
    </row>
    <row r="2049" customFormat="false" ht="15" hidden="false" customHeight="false" outlineLevel="0" collapsed="false">
      <c r="A2049" s="0" t="s">
        <v>259</v>
      </c>
      <c r="B2049" s="52" t="n">
        <v>44237</v>
      </c>
      <c r="C2049" s="54" t="s">
        <v>592</v>
      </c>
      <c r="D2049" s="0" t="n">
        <v>1</v>
      </c>
      <c r="E2049" s="0" t="n">
        <v>0</v>
      </c>
      <c r="F2049" s="0" t="n">
        <v>0</v>
      </c>
      <c r="G2049" s="0" t="n">
        <v>2021</v>
      </c>
    </row>
    <row r="2050" customFormat="false" ht="15" hidden="false" customHeight="false" outlineLevel="0" collapsed="false">
      <c r="A2050" s="0" t="s">
        <v>259</v>
      </c>
      <c r="B2050" s="52" t="n">
        <v>44238</v>
      </c>
      <c r="C2050" s="54" t="s">
        <v>590</v>
      </c>
      <c r="D2050" s="0" t="n">
        <v>0.487115981859024</v>
      </c>
      <c r="E2050" s="0" t="n">
        <v>0.0989831519858882</v>
      </c>
      <c r="F2050" s="0" t="n">
        <v>0</v>
      </c>
      <c r="G2050" s="0" t="n">
        <v>2021</v>
      </c>
    </row>
    <row r="2051" customFormat="false" ht="15" hidden="false" customHeight="false" outlineLevel="0" collapsed="false">
      <c r="A2051" s="0" t="s">
        <v>259</v>
      </c>
      <c r="B2051" s="52" t="n">
        <v>44238</v>
      </c>
      <c r="C2051" s="54" t="s">
        <v>591</v>
      </c>
      <c r="D2051" s="0" t="n">
        <v>0.867602604457413</v>
      </c>
      <c r="E2051" s="0" t="n">
        <v>0.0159260319083561</v>
      </c>
      <c r="F2051" s="0" t="n">
        <v>0</v>
      </c>
      <c r="G2051" s="0" t="n">
        <v>2021</v>
      </c>
    </row>
    <row r="2052" customFormat="false" ht="15" hidden="false" customHeight="false" outlineLevel="0" collapsed="false">
      <c r="A2052" s="0" t="s">
        <v>259</v>
      </c>
      <c r="B2052" s="52" t="n">
        <v>44238</v>
      </c>
      <c r="C2052" s="54" t="s">
        <v>592</v>
      </c>
      <c r="D2052" s="0" t="n">
        <v>0.310877875444521</v>
      </c>
      <c r="E2052" s="0" t="n">
        <v>0.333577928322929</v>
      </c>
      <c r="F2052" s="0" t="n">
        <v>0</v>
      </c>
      <c r="G2052" s="0" t="n">
        <v>2021</v>
      </c>
    </row>
    <row r="2053" customFormat="false" ht="15" hidden="false" customHeight="false" outlineLevel="0" collapsed="false">
      <c r="A2053" s="0" t="s">
        <v>259</v>
      </c>
      <c r="B2053" s="52" t="n">
        <v>44239</v>
      </c>
      <c r="C2053" s="54" t="s">
        <v>590</v>
      </c>
      <c r="D2053" s="0" t="n">
        <v>0.407157408056485</v>
      </c>
      <c r="E2053" s="0" t="n">
        <v>0.147021778733298</v>
      </c>
      <c r="F2053" s="0" t="n">
        <v>0</v>
      </c>
      <c r="G2053" s="0" t="n">
        <v>2021</v>
      </c>
    </row>
    <row r="2054" customFormat="false" ht="15" hidden="false" customHeight="false" outlineLevel="0" collapsed="false">
      <c r="A2054" s="0" t="s">
        <v>259</v>
      </c>
      <c r="B2054" s="52" t="n">
        <v>44239</v>
      </c>
      <c r="C2054" s="54" t="s">
        <v>591</v>
      </c>
      <c r="D2054" s="0" t="n">
        <v>0.212876578603292</v>
      </c>
      <c r="E2054" s="0" t="n">
        <v>0.325190293155719</v>
      </c>
      <c r="F2054" s="0" t="n">
        <v>0</v>
      </c>
      <c r="G2054" s="0" t="n">
        <v>2021</v>
      </c>
    </row>
    <row r="2055" customFormat="false" ht="15" hidden="false" customHeight="false" outlineLevel="0" collapsed="false">
      <c r="A2055" s="0" t="s">
        <v>259</v>
      </c>
      <c r="B2055" s="52" t="n">
        <v>44239</v>
      </c>
      <c r="C2055" s="54" t="s">
        <v>592</v>
      </c>
      <c r="D2055" s="0" t="n">
        <v>1</v>
      </c>
      <c r="E2055" s="0" t="n">
        <v>0</v>
      </c>
      <c r="F2055" s="0" t="n">
        <v>0</v>
      </c>
      <c r="G2055" s="0" t="n">
        <v>2021</v>
      </c>
    </row>
    <row r="2056" customFormat="false" ht="15" hidden="false" customHeight="false" outlineLevel="0" collapsed="false">
      <c r="A2056" s="0" t="s">
        <v>259</v>
      </c>
      <c r="B2056" s="52" t="n">
        <v>44240</v>
      </c>
      <c r="C2056" s="54" t="s">
        <v>590</v>
      </c>
      <c r="D2056" s="0" t="n">
        <v>0.448411727637453</v>
      </c>
      <c r="E2056" s="0" t="n">
        <v>0.0259851958061041</v>
      </c>
      <c r="F2056" s="0" t="n">
        <v>1</v>
      </c>
      <c r="G2056" s="0" t="n">
        <v>2021</v>
      </c>
    </row>
    <row r="2057" customFormat="false" ht="15" hidden="false" customHeight="false" outlineLevel="0" collapsed="false">
      <c r="A2057" s="0" t="s">
        <v>259</v>
      </c>
      <c r="B2057" s="52" t="n">
        <v>44240</v>
      </c>
      <c r="C2057" s="54" t="s">
        <v>591</v>
      </c>
      <c r="D2057" s="0" t="n">
        <v>0.492804111453973</v>
      </c>
      <c r="E2057" s="0" t="n">
        <v>0.0979171414686968</v>
      </c>
      <c r="F2057" s="0" t="n">
        <v>1</v>
      </c>
      <c r="G2057" s="0" t="n">
        <v>2021</v>
      </c>
    </row>
    <row r="2058" customFormat="false" ht="15" hidden="false" customHeight="false" outlineLevel="0" collapsed="false">
      <c r="A2058" s="0" t="s">
        <v>259</v>
      </c>
      <c r="B2058" s="52" t="n">
        <v>44241</v>
      </c>
      <c r="C2058" s="54" t="s">
        <v>592</v>
      </c>
      <c r="D2058" s="0" t="n">
        <v>0.997655043282601</v>
      </c>
      <c r="E2058" s="0" t="n">
        <v>0</v>
      </c>
      <c r="F2058" s="0" t="n">
        <v>1</v>
      </c>
      <c r="G2058" s="0" t="n">
        <v>2021</v>
      </c>
    </row>
    <row r="2059" customFormat="false" ht="15" hidden="false" customHeight="false" outlineLevel="0" collapsed="false">
      <c r="A2059" s="0" t="s">
        <v>259</v>
      </c>
      <c r="B2059" s="52" t="n">
        <v>44242</v>
      </c>
      <c r="C2059" s="54" t="s">
        <v>590</v>
      </c>
      <c r="D2059" s="0" t="n">
        <v>0.594305824232638</v>
      </c>
      <c r="E2059" s="0" t="n">
        <v>0.052862557784439</v>
      </c>
      <c r="F2059" s="0" t="n">
        <v>0</v>
      </c>
      <c r="G2059" s="0" t="n">
        <v>2021</v>
      </c>
    </row>
    <row r="2060" customFormat="false" ht="15" hidden="false" customHeight="false" outlineLevel="0" collapsed="false">
      <c r="A2060" s="0" t="s">
        <v>259</v>
      </c>
      <c r="B2060" s="52" t="n">
        <v>44243</v>
      </c>
      <c r="C2060" s="54" t="s">
        <v>590</v>
      </c>
      <c r="D2060" s="0" t="n">
        <v>0.179572529546296</v>
      </c>
      <c r="E2060" s="0" t="n">
        <v>0.289067123161678</v>
      </c>
      <c r="F2060" s="0" t="n">
        <v>0</v>
      </c>
      <c r="G2060" s="0" t="n">
        <v>2021</v>
      </c>
    </row>
    <row r="2061" customFormat="false" ht="15" hidden="false" customHeight="false" outlineLevel="0" collapsed="false">
      <c r="A2061" s="0" t="s">
        <v>259</v>
      </c>
      <c r="B2061" s="52" t="n">
        <v>44243</v>
      </c>
      <c r="C2061" s="54" t="s">
        <v>592</v>
      </c>
      <c r="D2061" s="0" t="n">
        <v>0.324361689613841</v>
      </c>
      <c r="E2061" s="0" t="n">
        <v>0.173735655236083</v>
      </c>
      <c r="F2061" s="0" t="n">
        <v>0</v>
      </c>
      <c r="G2061" s="0" t="n">
        <v>2021</v>
      </c>
    </row>
    <row r="2062" customFormat="false" ht="15" hidden="false" customHeight="false" outlineLevel="0" collapsed="false">
      <c r="A2062" s="0" t="s">
        <v>259</v>
      </c>
      <c r="B2062" s="52" t="n">
        <v>44244</v>
      </c>
      <c r="C2062" s="54" t="s">
        <v>590</v>
      </c>
      <c r="D2062" s="0" t="n">
        <v>0.441185964835088</v>
      </c>
      <c r="E2062" s="0" t="n">
        <v>0.163417153846004</v>
      </c>
      <c r="F2062" s="0" t="n">
        <v>0</v>
      </c>
      <c r="G2062" s="0" t="n">
        <v>2021</v>
      </c>
    </row>
    <row r="2063" customFormat="false" ht="15" hidden="false" customHeight="false" outlineLevel="0" collapsed="false">
      <c r="A2063" s="0" t="s">
        <v>259</v>
      </c>
      <c r="B2063" s="52" t="n">
        <v>44244</v>
      </c>
      <c r="C2063" s="54" t="s">
        <v>592</v>
      </c>
      <c r="D2063" s="0" t="n">
        <v>0.0928719568516454</v>
      </c>
      <c r="E2063" s="0" t="n">
        <v>0.112301688393486</v>
      </c>
      <c r="F2063" s="0" t="n">
        <v>0</v>
      </c>
      <c r="G2063" s="0" t="n">
        <v>2021</v>
      </c>
    </row>
    <row r="2064" customFormat="false" ht="15" hidden="false" customHeight="false" outlineLevel="0" collapsed="false">
      <c r="A2064" s="0" t="s">
        <v>259</v>
      </c>
      <c r="B2064" s="52" t="n">
        <v>44245</v>
      </c>
      <c r="C2064" s="54" t="s">
        <v>590</v>
      </c>
      <c r="D2064" s="0" t="n">
        <v>0.463825157772798</v>
      </c>
      <c r="E2064" s="0" t="n">
        <v>0.111113708345564</v>
      </c>
      <c r="F2064" s="0" t="n">
        <v>0</v>
      </c>
      <c r="G2064" s="0" t="n">
        <v>2021</v>
      </c>
    </row>
    <row r="2065" customFormat="false" ht="15" hidden="false" customHeight="false" outlineLevel="0" collapsed="false">
      <c r="A2065" s="0" t="s">
        <v>259</v>
      </c>
      <c r="B2065" s="52" t="n">
        <v>44245</v>
      </c>
      <c r="C2065" s="54" t="s">
        <v>592</v>
      </c>
      <c r="D2065" s="0" t="n">
        <v>0.872669247837241</v>
      </c>
      <c r="E2065" s="0" t="n">
        <v>0</v>
      </c>
      <c r="F2065" s="0" t="n">
        <v>0</v>
      </c>
      <c r="G2065" s="0" t="n">
        <v>2021</v>
      </c>
    </row>
    <row r="2066" customFormat="false" ht="15" hidden="false" customHeight="false" outlineLevel="0" collapsed="false">
      <c r="A2066" s="0" t="s">
        <v>259</v>
      </c>
      <c r="B2066" s="52" t="n">
        <v>44246</v>
      </c>
      <c r="C2066" s="54" t="s">
        <v>590</v>
      </c>
      <c r="D2066" s="0" t="n">
        <v>0.572964041019997</v>
      </c>
      <c r="E2066" s="0" t="n">
        <v>0.148380786127381</v>
      </c>
      <c r="F2066" s="0" t="n">
        <v>0</v>
      </c>
      <c r="G2066" s="0" t="n">
        <v>2021</v>
      </c>
    </row>
    <row r="2067" customFormat="false" ht="15" hidden="false" customHeight="false" outlineLevel="0" collapsed="false">
      <c r="A2067" s="0" t="s">
        <v>259</v>
      </c>
      <c r="B2067" s="52" t="n">
        <v>44248</v>
      </c>
      <c r="C2067" s="54" t="s">
        <v>592</v>
      </c>
      <c r="D2067" s="0" t="n">
        <v>0.150584197490499</v>
      </c>
      <c r="E2067" s="0" t="n">
        <v>0.345765272116813</v>
      </c>
      <c r="F2067" s="0" t="n">
        <v>1</v>
      </c>
      <c r="G2067" s="0" t="n">
        <v>2021</v>
      </c>
    </row>
    <row r="2068" customFormat="false" ht="15" hidden="false" customHeight="false" outlineLevel="0" collapsed="false">
      <c r="A2068" s="0" t="s">
        <v>259</v>
      </c>
      <c r="B2068" s="52" t="n">
        <v>44249</v>
      </c>
      <c r="C2068" s="54" t="s">
        <v>590</v>
      </c>
      <c r="D2068" s="0" t="n">
        <v>0.652825612405724</v>
      </c>
      <c r="E2068" s="0" t="n">
        <v>0.0324165873775375</v>
      </c>
      <c r="F2068" s="0" t="n">
        <v>0</v>
      </c>
      <c r="G2068" s="0" t="n">
        <v>2021</v>
      </c>
    </row>
    <row r="2069" customFormat="false" ht="15" hidden="false" customHeight="false" outlineLevel="0" collapsed="false">
      <c r="A2069" s="0" t="s">
        <v>259</v>
      </c>
      <c r="B2069" s="52" t="n">
        <v>44249</v>
      </c>
      <c r="C2069" s="54" t="s">
        <v>592</v>
      </c>
      <c r="D2069" s="0" t="n">
        <v>0.632744383971127</v>
      </c>
      <c r="E2069" s="0" t="n">
        <v>0.25100348851286</v>
      </c>
      <c r="F2069" s="0" t="n">
        <v>0</v>
      </c>
      <c r="G2069" s="0" t="n">
        <v>2021</v>
      </c>
    </row>
    <row r="2070" customFormat="false" ht="15" hidden="false" customHeight="false" outlineLevel="0" collapsed="false">
      <c r="A2070" s="0" t="s">
        <v>259</v>
      </c>
      <c r="B2070" s="52" t="n">
        <v>44250</v>
      </c>
      <c r="C2070" s="54" t="s">
        <v>590</v>
      </c>
      <c r="D2070" s="0" t="n">
        <v>0.31625753365097</v>
      </c>
      <c r="E2070" s="0" t="n">
        <v>0.458377833869243</v>
      </c>
      <c r="F2070" s="0" t="n">
        <v>0</v>
      </c>
      <c r="G2070" s="0" t="n">
        <v>2021</v>
      </c>
    </row>
    <row r="2071" customFormat="false" ht="15" hidden="false" customHeight="false" outlineLevel="0" collapsed="false">
      <c r="A2071" s="0" t="s">
        <v>259</v>
      </c>
      <c r="B2071" s="52" t="n">
        <v>44250</v>
      </c>
      <c r="C2071" s="54" t="s">
        <v>592</v>
      </c>
      <c r="D2071" s="0" t="n">
        <v>0.210962867284771</v>
      </c>
      <c r="E2071" s="0" t="n">
        <v>0.285951696370376</v>
      </c>
      <c r="F2071" s="0" t="n">
        <v>0</v>
      </c>
      <c r="G2071" s="0" t="n">
        <v>2021</v>
      </c>
    </row>
    <row r="2072" customFormat="false" ht="15" hidden="false" customHeight="false" outlineLevel="0" collapsed="false">
      <c r="A2072" s="0" t="s">
        <v>259</v>
      </c>
      <c r="B2072" s="52" t="n">
        <v>44251</v>
      </c>
      <c r="C2072" s="54" t="s">
        <v>590</v>
      </c>
      <c r="D2072" s="0" t="n">
        <v>0.225442053204099</v>
      </c>
      <c r="E2072" s="0" t="n">
        <v>0.0995172284349021</v>
      </c>
      <c r="F2072" s="0" t="n">
        <v>0</v>
      </c>
      <c r="G2072" s="0" t="n">
        <v>2021</v>
      </c>
    </row>
    <row r="2073" customFormat="false" ht="15" hidden="false" customHeight="false" outlineLevel="0" collapsed="false">
      <c r="A2073" s="0" t="s">
        <v>259</v>
      </c>
      <c r="B2073" s="52" t="n">
        <v>44251</v>
      </c>
      <c r="C2073" s="54" t="s">
        <v>591</v>
      </c>
      <c r="D2073" s="0" t="n">
        <v>0.670043176314589</v>
      </c>
      <c r="E2073" s="0" t="n">
        <v>0.0457030014243679</v>
      </c>
      <c r="F2073" s="0" t="n">
        <v>0</v>
      </c>
      <c r="G2073" s="0" t="n">
        <v>2021</v>
      </c>
    </row>
    <row r="2074" customFormat="false" ht="15" hidden="false" customHeight="false" outlineLevel="0" collapsed="false">
      <c r="A2074" s="0" t="s">
        <v>259</v>
      </c>
      <c r="B2074" s="52" t="n">
        <v>44251</v>
      </c>
      <c r="C2074" s="54" t="s">
        <v>592</v>
      </c>
      <c r="D2074" s="0" t="n">
        <v>1</v>
      </c>
      <c r="E2074" s="0" t="n">
        <v>0</v>
      </c>
      <c r="F2074" s="0" t="n">
        <v>0</v>
      </c>
      <c r="G2074" s="0" t="n">
        <v>2021</v>
      </c>
    </row>
    <row r="2075" customFormat="false" ht="15" hidden="false" customHeight="false" outlineLevel="0" collapsed="false">
      <c r="A2075" s="0" t="s">
        <v>259</v>
      </c>
      <c r="B2075" s="52" t="n">
        <v>44252</v>
      </c>
      <c r="C2075" s="54" t="s">
        <v>590</v>
      </c>
      <c r="D2075" s="0" t="n">
        <v>0.259287397644767</v>
      </c>
      <c r="E2075" s="0" t="n">
        <v>0.313076924661393</v>
      </c>
      <c r="F2075" s="0" t="n">
        <v>0</v>
      </c>
      <c r="G2075" s="0" t="n">
        <v>2021</v>
      </c>
    </row>
    <row r="2076" customFormat="false" ht="15" hidden="false" customHeight="false" outlineLevel="0" collapsed="false">
      <c r="A2076" s="0" t="s">
        <v>259</v>
      </c>
      <c r="B2076" s="52" t="n">
        <v>44252</v>
      </c>
      <c r="C2076" s="54" t="s">
        <v>592</v>
      </c>
      <c r="D2076" s="0" t="n">
        <v>0.839114272620933</v>
      </c>
      <c r="E2076" s="0" t="n">
        <v>0</v>
      </c>
      <c r="F2076" s="0" t="n">
        <v>0</v>
      </c>
      <c r="G2076" s="0" t="n">
        <v>2021</v>
      </c>
    </row>
    <row r="2077" customFormat="false" ht="15" hidden="false" customHeight="false" outlineLevel="0" collapsed="false">
      <c r="A2077" s="0" t="s">
        <v>259</v>
      </c>
      <c r="B2077" s="52" t="n">
        <v>44253</v>
      </c>
      <c r="C2077" s="54" t="s">
        <v>590</v>
      </c>
      <c r="D2077" s="0" t="n">
        <v>0.295319323629036</v>
      </c>
      <c r="E2077" s="0" t="n">
        <v>0.200283135341091</v>
      </c>
      <c r="F2077" s="0" t="n">
        <v>0</v>
      </c>
      <c r="G2077" s="0" t="n">
        <v>2021</v>
      </c>
    </row>
    <row r="2078" customFormat="false" ht="15" hidden="false" customHeight="false" outlineLevel="0" collapsed="false">
      <c r="A2078" s="0" t="s">
        <v>259</v>
      </c>
      <c r="B2078" s="52" t="n">
        <v>44253</v>
      </c>
      <c r="C2078" s="54" t="s">
        <v>592</v>
      </c>
      <c r="D2078" s="0" t="n">
        <v>0.985499402511038</v>
      </c>
      <c r="E2078" s="0" t="n">
        <v>0</v>
      </c>
      <c r="F2078" s="0" t="n">
        <v>0</v>
      </c>
      <c r="G2078" s="0" t="n">
        <v>2021</v>
      </c>
    </row>
    <row r="2079" customFormat="false" ht="15" hidden="false" customHeight="false" outlineLevel="0" collapsed="false">
      <c r="A2079" s="0" t="s">
        <v>259</v>
      </c>
      <c r="B2079" s="52" t="n">
        <v>44254</v>
      </c>
      <c r="C2079" s="54" t="s">
        <v>590</v>
      </c>
      <c r="D2079" s="0" t="n">
        <v>0.551467436379325</v>
      </c>
      <c r="E2079" s="0" t="n">
        <v>0.143954837442532</v>
      </c>
      <c r="F2079" s="0" t="n">
        <v>1</v>
      </c>
      <c r="G2079" s="0" t="n">
        <v>2021</v>
      </c>
    </row>
    <row r="2080" customFormat="false" ht="15" hidden="false" customHeight="false" outlineLevel="0" collapsed="false">
      <c r="A2080" s="0" t="s">
        <v>259</v>
      </c>
      <c r="B2080" s="52" t="n">
        <v>44255</v>
      </c>
      <c r="C2080" s="54" t="s">
        <v>592</v>
      </c>
      <c r="D2080" s="0" t="n">
        <v>0.103654427707827</v>
      </c>
      <c r="E2080" s="0" t="n">
        <v>0.360480216269921</v>
      </c>
      <c r="F2080" s="0" t="n">
        <v>1</v>
      </c>
      <c r="G2080" s="0" t="n">
        <v>2021</v>
      </c>
    </row>
    <row r="2081" customFormat="false" ht="15" hidden="false" customHeight="false" outlineLevel="0" collapsed="false">
      <c r="A2081" s="0" t="s">
        <v>259</v>
      </c>
      <c r="B2081" s="52" t="n">
        <v>44256</v>
      </c>
      <c r="C2081" s="54" t="s">
        <v>590</v>
      </c>
      <c r="D2081" s="0" t="n">
        <v>0.321724228385883</v>
      </c>
      <c r="E2081" s="0" t="n">
        <v>0.160604190247581</v>
      </c>
      <c r="F2081" s="0" t="n">
        <v>0</v>
      </c>
      <c r="G2081" s="0" t="n">
        <v>2021</v>
      </c>
    </row>
    <row r="2082" customFormat="false" ht="15" hidden="false" customHeight="false" outlineLevel="0" collapsed="false">
      <c r="A2082" s="0" t="s">
        <v>259</v>
      </c>
      <c r="B2082" s="52" t="n">
        <v>44256</v>
      </c>
      <c r="C2082" s="54" t="s">
        <v>592</v>
      </c>
      <c r="D2082" s="0" t="n">
        <v>1</v>
      </c>
      <c r="E2082" s="0" t="n">
        <v>0</v>
      </c>
      <c r="F2082" s="0" t="n">
        <v>0</v>
      </c>
      <c r="G2082" s="0" t="n">
        <v>2021</v>
      </c>
    </row>
    <row r="2083" customFormat="false" ht="15" hidden="false" customHeight="false" outlineLevel="0" collapsed="false">
      <c r="A2083" s="0" t="s">
        <v>259</v>
      </c>
      <c r="B2083" s="52" t="n">
        <v>44257</v>
      </c>
      <c r="C2083" s="54" t="s">
        <v>590</v>
      </c>
      <c r="D2083" s="0" t="n">
        <v>0.456771571445714</v>
      </c>
      <c r="E2083" s="0" t="n">
        <v>0.131477952805929</v>
      </c>
      <c r="F2083" s="0" t="n">
        <v>0</v>
      </c>
      <c r="G2083" s="0" t="n">
        <v>2021</v>
      </c>
    </row>
    <row r="2084" customFormat="false" ht="15" hidden="false" customHeight="false" outlineLevel="0" collapsed="false">
      <c r="A2084" s="0" t="s">
        <v>259</v>
      </c>
      <c r="B2084" s="52" t="n">
        <v>44257</v>
      </c>
      <c r="C2084" s="54" t="s">
        <v>592</v>
      </c>
      <c r="D2084" s="0" t="n">
        <v>0.556087220976378</v>
      </c>
      <c r="E2084" s="0" t="n">
        <v>0.0730035726167387</v>
      </c>
      <c r="F2084" s="0" t="n">
        <v>0</v>
      </c>
      <c r="G2084" s="0" t="n">
        <v>2021</v>
      </c>
    </row>
    <row r="2085" customFormat="false" ht="15" hidden="false" customHeight="false" outlineLevel="0" collapsed="false">
      <c r="A2085" s="0" t="s">
        <v>259</v>
      </c>
      <c r="B2085" s="52" t="n">
        <v>44258</v>
      </c>
      <c r="C2085" s="54" t="s">
        <v>590</v>
      </c>
      <c r="D2085" s="0" t="n">
        <v>0.28351845138004</v>
      </c>
      <c r="E2085" s="0" t="n">
        <v>0.099245464023629</v>
      </c>
      <c r="F2085" s="0" t="n">
        <v>0</v>
      </c>
      <c r="G2085" s="0" t="n">
        <v>2021</v>
      </c>
    </row>
    <row r="2086" customFormat="false" ht="15" hidden="false" customHeight="false" outlineLevel="0" collapsed="false">
      <c r="A2086" s="0" t="s">
        <v>259</v>
      </c>
      <c r="B2086" s="52" t="n">
        <v>44258</v>
      </c>
      <c r="C2086" s="54" t="s">
        <v>592</v>
      </c>
      <c r="D2086" s="0" t="n">
        <v>1</v>
      </c>
      <c r="E2086" s="0" t="n">
        <v>0</v>
      </c>
      <c r="F2086" s="0" t="n">
        <v>0</v>
      </c>
      <c r="G2086" s="0" t="n">
        <v>2021</v>
      </c>
    </row>
    <row r="2087" customFormat="false" ht="15" hidden="false" customHeight="false" outlineLevel="0" collapsed="false">
      <c r="A2087" s="0" t="s">
        <v>259</v>
      </c>
      <c r="B2087" s="52" t="n">
        <v>44259</v>
      </c>
      <c r="C2087" s="54" t="s">
        <v>590</v>
      </c>
      <c r="D2087" s="0" t="n">
        <v>0.541930163966879</v>
      </c>
      <c r="E2087" s="0" t="n">
        <v>0.135916851588363</v>
      </c>
      <c r="F2087" s="0" t="n">
        <v>0</v>
      </c>
      <c r="G2087" s="0" t="n">
        <v>2021</v>
      </c>
    </row>
    <row r="2088" customFormat="false" ht="15" hidden="false" customHeight="false" outlineLevel="0" collapsed="false">
      <c r="A2088" s="0" t="s">
        <v>259</v>
      </c>
      <c r="B2088" s="52" t="n">
        <v>44259</v>
      </c>
      <c r="C2088" s="54" t="s">
        <v>592</v>
      </c>
      <c r="D2088" s="0" t="n">
        <v>0.591196506789859</v>
      </c>
      <c r="E2088" s="0" t="n">
        <v>0.126165026989813</v>
      </c>
      <c r="F2088" s="0" t="n">
        <v>0</v>
      </c>
      <c r="G2088" s="0" t="n">
        <v>2021</v>
      </c>
    </row>
    <row r="2089" customFormat="false" ht="15" hidden="false" customHeight="false" outlineLevel="0" collapsed="false">
      <c r="A2089" s="0" t="s">
        <v>259</v>
      </c>
      <c r="B2089" s="52" t="n">
        <v>44260</v>
      </c>
      <c r="C2089" s="54" t="s">
        <v>590</v>
      </c>
      <c r="D2089" s="0" t="n">
        <v>0.22637064078225</v>
      </c>
      <c r="E2089" s="0" t="n">
        <v>0.163164037751895</v>
      </c>
      <c r="F2089" s="0" t="n">
        <v>0</v>
      </c>
      <c r="G2089" s="0" t="n">
        <v>2021</v>
      </c>
    </row>
    <row r="2090" customFormat="false" ht="15" hidden="false" customHeight="false" outlineLevel="0" collapsed="false">
      <c r="A2090" s="0" t="s">
        <v>259</v>
      </c>
      <c r="B2090" s="52" t="n">
        <v>44261</v>
      </c>
      <c r="C2090" s="54" t="s">
        <v>590</v>
      </c>
      <c r="D2090" s="0" t="n">
        <v>0.150072429665085</v>
      </c>
      <c r="E2090" s="0" t="n">
        <v>0.320630541436224</v>
      </c>
      <c r="F2090" s="0" t="n">
        <v>1</v>
      </c>
      <c r="G2090" s="0" t="n">
        <v>2021</v>
      </c>
    </row>
    <row r="2091" customFormat="false" ht="15" hidden="false" customHeight="false" outlineLevel="0" collapsed="false">
      <c r="A2091" s="0" t="s">
        <v>259</v>
      </c>
      <c r="B2091" s="52" t="n">
        <v>44262</v>
      </c>
      <c r="C2091" s="54" t="s">
        <v>592</v>
      </c>
      <c r="D2091" s="0" t="n">
        <v>0.247347961403502</v>
      </c>
      <c r="E2091" s="0" t="n">
        <v>0.143982581754314</v>
      </c>
      <c r="F2091" s="0" t="n">
        <v>1</v>
      </c>
      <c r="G2091" s="0" t="n">
        <v>2021</v>
      </c>
    </row>
    <row r="2092" customFormat="false" ht="15" hidden="false" customHeight="false" outlineLevel="0" collapsed="false">
      <c r="A2092" s="0" t="s">
        <v>259</v>
      </c>
      <c r="B2092" s="52" t="n">
        <v>44263</v>
      </c>
      <c r="C2092" s="54" t="s">
        <v>590</v>
      </c>
      <c r="D2092" s="0" t="n">
        <v>0.795739746925589</v>
      </c>
      <c r="E2092" s="0" t="n">
        <v>0.0345690042393418</v>
      </c>
      <c r="F2092" s="0" t="n">
        <v>0</v>
      </c>
      <c r="G2092" s="0" t="n">
        <v>2021</v>
      </c>
    </row>
    <row r="2093" customFormat="false" ht="15" hidden="false" customHeight="false" outlineLevel="0" collapsed="false">
      <c r="A2093" s="0" t="s">
        <v>259</v>
      </c>
      <c r="B2093" s="52" t="n">
        <v>44263</v>
      </c>
      <c r="C2093" s="54" t="s">
        <v>592</v>
      </c>
      <c r="D2093" s="0" t="n">
        <v>0.988070914629944</v>
      </c>
      <c r="E2093" s="0" t="n">
        <v>0</v>
      </c>
      <c r="F2093" s="0" t="n">
        <v>0</v>
      </c>
      <c r="G2093" s="0" t="n">
        <v>2021</v>
      </c>
    </row>
    <row r="2094" customFormat="false" ht="15" hidden="false" customHeight="false" outlineLevel="0" collapsed="false">
      <c r="A2094" s="0" t="s">
        <v>259</v>
      </c>
      <c r="B2094" s="52" t="n">
        <v>44264</v>
      </c>
      <c r="C2094" s="54" t="s">
        <v>590</v>
      </c>
      <c r="D2094" s="0" t="n">
        <v>0.350409657243257</v>
      </c>
      <c r="E2094" s="0" t="n">
        <v>0.21114395956506</v>
      </c>
      <c r="F2094" s="0" t="n">
        <v>0</v>
      </c>
      <c r="G2094" s="0" t="n">
        <v>2021</v>
      </c>
    </row>
    <row r="2095" customFormat="false" ht="15" hidden="false" customHeight="false" outlineLevel="0" collapsed="false">
      <c r="A2095" s="0" t="s">
        <v>259</v>
      </c>
      <c r="B2095" s="52" t="n">
        <v>44264</v>
      </c>
      <c r="C2095" s="54" t="s">
        <v>591</v>
      </c>
      <c r="D2095" s="0" t="n">
        <v>0.3990239319901</v>
      </c>
      <c r="E2095" s="0" t="n">
        <v>0.154113964069755</v>
      </c>
      <c r="F2095" s="0" t="n">
        <v>0</v>
      </c>
      <c r="G2095" s="0" t="n">
        <v>2021</v>
      </c>
    </row>
    <row r="2096" customFormat="false" ht="15" hidden="false" customHeight="false" outlineLevel="0" collapsed="false">
      <c r="A2096" s="0" t="s">
        <v>259</v>
      </c>
      <c r="B2096" s="52" t="n">
        <v>44264</v>
      </c>
      <c r="C2096" s="54" t="s">
        <v>592</v>
      </c>
      <c r="D2096" s="0" t="n">
        <v>0.134822440498678</v>
      </c>
      <c r="E2096" s="0" t="n">
        <v>0.280965348612685</v>
      </c>
      <c r="F2096" s="0" t="n">
        <v>0</v>
      </c>
      <c r="G2096" s="0" t="n">
        <v>2021</v>
      </c>
    </row>
    <row r="2097" customFormat="false" ht="15" hidden="false" customHeight="false" outlineLevel="0" collapsed="false">
      <c r="A2097" s="0" t="s">
        <v>259</v>
      </c>
      <c r="B2097" s="52" t="n">
        <v>44265</v>
      </c>
      <c r="C2097" s="54" t="s">
        <v>590</v>
      </c>
      <c r="D2097" s="0" t="n">
        <v>0.308844295006245</v>
      </c>
      <c r="E2097" s="0" t="n">
        <v>0.0377460544855695</v>
      </c>
      <c r="F2097" s="0" t="n">
        <v>0</v>
      </c>
      <c r="G2097" s="0" t="n">
        <v>2021</v>
      </c>
    </row>
    <row r="2098" customFormat="false" ht="15" hidden="false" customHeight="false" outlineLevel="0" collapsed="false">
      <c r="A2098" s="0" t="s">
        <v>259</v>
      </c>
      <c r="B2098" s="52" t="n">
        <v>44265</v>
      </c>
      <c r="C2098" s="54" t="s">
        <v>592</v>
      </c>
      <c r="D2098" s="0" t="n">
        <v>0.679821476672279</v>
      </c>
      <c r="E2098" s="0" t="n">
        <v>0.0536822203794381</v>
      </c>
      <c r="F2098" s="0" t="n">
        <v>0</v>
      </c>
      <c r="G2098" s="0" t="n">
        <v>2021</v>
      </c>
    </row>
    <row r="2099" customFormat="false" ht="15" hidden="false" customHeight="false" outlineLevel="0" collapsed="false">
      <c r="A2099" s="0" t="s">
        <v>259</v>
      </c>
      <c r="B2099" s="52" t="n">
        <v>44266</v>
      </c>
      <c r="C2099" s="54" t="s">
        <v>590</v>
      </c>
      <c r="D2099" s="0" t="n">
        <v>0.435269575321421</v>
      </c>
      <c r="E2099" s="0" t="n">
        <v>0.217431772017532</v>
      </c>
      <c r="F2099" s="0" t="n">
        <v>0</v>
      </c>
      <c r="G2099" s="0" t="n">
        <v>2021</v>
      </c>
    </row>
    <row r="2100" customFormat="false" ht="15" hidden="false" customHeight="false" outlineLevel="0" collapsed="false">
      <c r="A2100" s="0" t="s">
        <v>259</v>
      </c>
      <c r="B2100" s="52" t="n">
        <v>44266</v>
      </c>
      <c r="C2100" s="54" t="s">
        <v>592</v>
      </c>
      <c r="D2100" s="0" t="n">
        <v>0.502761946384517</v>
      </c>
      <c r="E2100" s="0" t="n">
        <v>0.0046090490615914</v>
      </c>
      <c r="F2100" s="0" t="n">
        <v>0</v>
      </c>
      <c r="G2100" s="0" t="n">
        <v>2021</v>
      </c>
    </row>
    <row r="2101" customFormat="false" ht="15" hidden="false" customHeight="false" outlineLevel="0" collapsed="false">
      <c r="A2101" s="0" t="s">
        <v>259</v>
      </c>
      <c r="B2101" s="52" t="n">
        <v>44267</v>
      </c>
      <c r="C2101" s="54" t="s">
        <v>590</v>
      </c>
      <c r="D2101" s="0" t="n">
        <v>0.253923930064099</v>
      </c>
      <c r="E2101" s="0" t="n">
        <v>0.0580531740109231</v>
      </c>
      <c r="F2101" s="0" t="n">
        <v>0</v>
      </c>
      <c r="G2101" s="0" t="n">
        <v>2021</v>
      </c>
    </row>
    <row r="2102" customFormat="false" ht="15" hidden="false" customHeight="false" outlineLevel="0" collapsed="false">
      <c r="A2102" s="0" t="s">
        <v>259</v>
      </c>
      <c r="B2102" s="52" t="n">
        <v>44267</v>
      </c>
      <c r="C2102" s="54" t="s">
        <v>592</v>
      </c>
      <c r="D2102" s="0" t="n">
        <v>0.647670628153462</v>
      </c>
      <c r="E2102" s="0" t="n">
        <v>0.0576089604545974</v>
      </c>
      <c r="F2102" s="0" t="n">
        <v>0</v>
      </c>
      <c r="G2102" s="0" t="n">
        <v>2021</v>
      </c>
    </row>
    <row r="2103" customFormat="false" ht="15" hidden="false" customHeight="false" outlineLevel="0" collapsed="false">
      <c r="A2103" s="0" t="s">
        <v>259</v>
      </c>
      <c r="B2103" s="52" t="n">
        <v>44268</v>
      </c>
      <c r="C2103" s="54" t="s">
        <v>590</v>
      </c>
      <c r="D2103" s="0" t="n">
        <v>0.224739284386353</v>
      </c>
      <c r="E2103" s="0" t="n">
        <v>0.181338743234887</v>
      </c>
      <c r="F2103" s="0" t="n">
        <v>1</v>
      </c>
      <c r="G2103" s="0" t="n">
        <v>2021</v>
      </c>
    </row>
    <row r="2104" customFormat="false" ht="15" hidden="false" customHeight="false" outlineLevel="0" collapsed="false">
      <c r="A2104" s="0" t="s">
        <v>259</v>
      </c>
      <c r="B2104" s="52" t="n">
        <v>44270</v>
      </c>
      <c r="C2104" s="54" t="s">
        <v>590</v>
      </c>
      <c r="D2104" s="0" t="n">
        <v>0.753208597863707</v>
      </c>
      <c r="E2104" s="0" t="n">
        <v>0.0679542126131589</v>
      </c>
      <c r="F2104" s="0" t="n">
        <v>0</v>
      </c>
      <c r="G2104" s="0" t="n">
        <v>2021</v>
      </c>
    </row>
    <row r="2105" customFormat="false" ht="15" hidden="false" customHeight="false" outlineLevel="0" collapsed="false">
      <c r="A2105" s="0" t="s">
        <v>259</v>
      </c>
      <c r="B2105" s="52" t="n">
        <v>44270</v>
      </c>
      <c r="C2105" s="54" t="s">
        <v>592</v>
      </c>
      <c r="D2105" s="0" t="n">
        <v>0.092953873281731</v>
      </c>
      <c r="E2105" s="0" t="n">
        <v>0.453164724680603</v>
      </c>
      <c r="F2105" s="0" t="n">
        <v>0</v>
      </c>
      <c r="G2105" s="0" t="n">
        <v>2021</v>
      </c>
    </row>
    <row r="2106" customFormat="false" ht="15" hidden="false" customHeight="false" outlineLevel="0" collapsed="false">
      <c r="A2106" s="0" t="s">
        <v>259</v>
      </c>
      <c r="B2106" s="52" t="n">
        <v>44271</v>
      </c>
      <c r="C2106" s="54" t="s">
        <v>590</v>
      </c>
      <c r="D2106" s="0" t="n">
        <v>0.371282446544931</v>
      </c>
      <c r="E2106" s="0" t="n">
        <v>0.178924714181622</v>
      </c>
      <c r="F2106" s="0" t="n">
        <v>0</v>
      </c>
      <c r="G2106" s="0" t="n">
        <v>2021</v>
      </c>
    </row>
    <row r="2107" customFormat="false" ht="15" hidden="false" customHeight="false" outlineLevel="0" collapsed="false">
      <c r="A2107" s="0" t="s">
        <v>259</v>
      </c>
      <c r="B2107" s="52" t="n">
        <v>44271</v>
      </c>
      <c r="C2107" s="54" t="s">
        <v>592</v>
      </c>
      <c r="D2107" s="0" t="n">
        <v>0.157300887060647</v>
      </c>
      <c r="E2107" s="0" t="n">
        <v>0.0956596760784312</v>
      </c>
      <c r="F2107" s="0" t="n">
        <v>0</v>
      </c>
      <c r="G2107" s="0" t="n">
        <v>2021</v>
      </c>
    </row>
    <row r="2108" customFormat="false" ht="15" hidden="false" customHeight="false" outlineLevel="0" collapsed="false">
      <c r="A2108" s="0" t="s">
        <v>259</v>
      </c>
      <c r="B2108" s="52" t="n">
        <v>44272</v>
      </c>
      <c r="C2108" s="54" t="s">
        <v>590</v>
      </c>
      <c r="D2108" s="0" t="n">
        <v>0.315570031091371</v>
      </c>
      <c r="E2108" s="0" t="n">
        <v>0.150335314074085</v>
      </c>
      <c r="F2108" s="0" t="n">
        <v>0</v>
      </c>
      <c r="G2108" s="0" t="n">
        <v>2021</v>
      </c>
    </row>
    <row r="2109" customFormat="false" ht="15" hidden="false" customHeight="false" outlineLevel="0" collapsed="false">
      <c r="A2109" s="0" t="s">
        <v>259</v>
      </c>
      <c r="B2109" s="52" t="n">
        <v>44272</v>
      </c>
      <c r="C2109" s="54" t="s">
        <v>592</v>
      </c>
      <c r="D2109" s="0" t="n">
        <v>0.168612208795474</v>
      </c>
      <c r="E2109" s="0" t="n">
        <v>0.120038689396687</v>
      </c>
      <c r="F2109" s="0" t="n">
        <v>0</v>
      </c>
      <c r="G2109" s="0" t="n">
        <v>2021</v>
      </c>
    </row>
    <row r="2110" customFormat="false" ht="15" hidden="false" customHeight="false" outlineLevel="0" collapsed="false">
      <c r="A2110" s="0" t="s">
        <v>259</v>
      </c>
      <c r="B2110" s="52" t="n">
        <v>44273</v>
      </c>
      <c r="C2110" s="54" t="s">
        <v>590</v>
      </c>
      <c r="D2110" s="0" t="n">
        <v>0.590756670242775</v>
      </c>
      <c r="E2110" s="0" t="n">
        <v>0.0778946714998154</v>
      </c>
      <c r="F2110" s="0" t="n">
        <v>0</v>
      </c>
      <c r="G2110" s="0" t="n">
        <v>2021</v>
      </c>
    </row>
    <row r="2111" customFormat="false" ht="15" hidden="false" customHeight="false" outlineLevel="0" collapsed="false">
      <c r="A2111" s="0" t="s">
        <v>259</v>
      </c>
      <c r="B2111" s="52" t="n">
        <v>44273</v>
      </c>
      <c r="C2111" s="54" t="s">
        <v>592</v>
      </c>
      <c r="D2111" s="0" t="n">
        <v>0.129509881987095</v>
      </c>
      <c r="E2111" s="0" t="n">
        <v>0.286514277099787</v>
      </c>
      <c r="F2111" s="0" t="n">
        <v>0</v>
      </c>
      <c r="G2111" s="0" t="n">
        <v>2021</v>
      </c>
    </row>
    <row r="2112" customFormat="false" ht="15" hidden="false" customHeight="false" outlineLevel="0" collapsed="false">
      <c r="A2112" s="0" t="s">
        <v>259</v>
      </c>
      <c r="B2112" s="52" t="n">
        <v>44274</v>
      </c>
      <c r="C2112" s="54" t="s">
        <v>590</v>
      </c>
      <c r="D2112" s="0" t="n">
        <v>0.351002459337005</v>
      </c>
      <c r="E2112" s="0" t="n">
        <v>0.140019781552037</v>
      </c>
      <c r="F2112" s="0" t="n">
        <v>0</v>
      </c>
      <c r="G2112" s="0" t="n">
        <v>2021</v>
      </c>
    </row>
    <row r="2113" customFormat="false" ht="15" hidden="false" customHeight="false" outlineLevel="0" collapsed="false">
      <c r="A2113" s="0" t="s">
        <v>259</v>
      </c>
      <c r="B2113" s="52" t="n">
        <v>44274</v>
      </c>
      <c r="C2113" s="54" t="s">
        <v>592</v>
      </c>
      <c r="D2113" s="0" t="n">
        <v>0.46326617792725</v>
      </c>
      <c r="E2113" s="0" t="n">
        <v>0.0961599574568798</v>
      </c>
      <c r="F2113" s="0" t="n">
        <v>0</v>
      </c>
      <c r="G2113" s="0" t="n">
        <v>2021</v>
      </c>
    </row>
    <row r="2114" customFormat="false" ht="15" hidden="false" customHeight="false" outlineLevel="0" collapsed="false">
      <c r="A2114" s="0" t="s">
        <v>259</v>
      </c>
      <c r="B2114" s="52" t="n">
        <v>44275</v>
      </c>
      <c r="C2114" s="54" t="s">
        <v>590</v>
      </c>
      <c r="D2114" s="0" t="n">
        <v>0.181549085184389</v>
      </c>
      <c r="E2114" s="0" t="n">
        <v>0.28945736586082</v>
      </c>
      <c r="F2114" s="0" t="n">
        <v>1</v>
      </c>
      <c r="G2114" s="0" t="n">
        <v>2021</v>
      </c>
    </row>
    <row r="2115" customFormat="false" ht="15" hidden="false" customHeight="false" outlineLevel="0" collapsed="false">
      <c r="A2115" s="0" t="s">
        <v>259</v>
      </c>
      <c r="B2115" s="52" t="n">
        <v>44276</v>
      </c>
      <c r="C2115" s="54" t="s">
        <v>592</v>
      </c>
      <c r="D2115" s="0" t="n">
        <v>0.381678078447067</v>
      </c>
      <c r="E2115" s="0" t="n">
        <v>0.2187118933842</v>
      </c>
      <c r="F2115" s="0" t="n">
        <v>1</v>
      </c>
      <c r="G2115" s="0" t="n">
        <v>2021</v>
      </c>
    </row>
    <row r="2116" customFormat="false" ht="15" hidden="false" customHeight="false" outlineLevel="0" collapsed="false">
      <c r="A2116" s="0" t="s">
        <v>259</v>
      </c>
      <c r="B2116" s="52" t="n">
        <v>44277</v>
      </c>
      <c r="C2116" s="54" t="s">
        <v>590</v>
      </c>
      <c r="D2116" s="0" t="n">
        <v>0.373924231182615</v>
      </c>
      <c r="E2116" s="0" t="n">
        <v>0.130149890585955</v>
      </c>
      <c r="F2116" s="0" t="n">
        <v>0</v>
      </c>
      <c r="G2116" s="0" t="n">
        <v>2021</v>
      </c>
    </row>
    <row r="2117" customFormat="false" ht="15" hidden="false" customHeight="false" outlineLevel="0" collapsed="false">
      <c r="A2117" s="0" t="s">
        <v>259</v>
      </c>
      <c r="B2117" s="52" t="n">
        <v>44277</v>
      </c>
      <c r="C2117" s="54" t="s">
        <v>592</v>
      </c>
      <c r="D2117" s="0" t="n">
        <v>0.0573421258294948</v>
      </c>
      <c r="E2117" s="0" t="n">
        <v>0.680669117186755</v>
      </c>
      <c r="F2117" s="0" t="n">
        <v>0</v>
      </c>
      <c r="G2117" s="0" t="n">
        <v>2021</v>
      </c>
    </row>
    <row r="2118" customFormat="false" ht="15" hidden="false" customHeight="false" outlineLevel="0" collapsed="false">
      <c r="A2118" s="0" t="s">
        <v>259</v>
      </c>
      <c r="B2118" s="52" t="n">
        <v>44278</v>
      </c>
      <c r="C2118" s="54" t="s">
        <v>590</v>
      </c>
      <c r="D2118" s="0" t="n">
        <v>0.462390811732377</v>
      </c>
      <c r="E2118" s="0" t="n">
        <v>0.0999136395941975</v>
      </c>
      <c r="F2118" s="0" t="n">
        <v>0</v>
      </c>
      <c r="G2118" s="0" t="n">
        <v>2021</v>
      </c>
    </row>
    <row r="2119" customFormat="false" ht="15" hidden="false" customHeight="false" outlineLevel="0" collapsed="false">
      <c r="A2119" s="0" t="s">
        <v>259</v>
      </c>
      <c r="B2119" s="52" t="n">
        <v>44278</v>
      </c>
      <c r="C2119" s="54" t="s">
        <v>591</v>
      </c>
      <c r="D2119" s="0" t="n">
        <v>0.287692236243249</v>
      </c>
      <c r="E2119" s="0" t="n">
        <v>0.231897805099509</v>
      </c>
      <c r="F2119" s="0" t="n">
        <v>0</v>
      </c>
      <c r="G2119" s="0" t="n">
        <v>2021</v>
      </c>
    </row>
    <row r="2120" customFormat="false" ht="15" hidden="false" customHeight="false" outlineLevel="0" collapsed="false">
      <c r="A2120" s="0" t="s">
        <v>259</v>
      </c>
      <c r="B2120" s="52" t="n">
        <v>44278</v>
      </c>
      <c r="C2120" s="54" t="s">
        <v>592</v>
      </c>
      <c r="D2120" s="0" t="n">
        <v>0.788959263734201</v>
      </c>
      <c r="E2120" s="0" t="n">
        <v>0.0162208232391173</v>
      </c>
      <c r="F2120" s="0" t="n">
        <v>0</v>
      </c>
      <c r="G2120" s="0" t="n">
        <v>2021</v>
      </c>
    </row>
    <row r="2121" customFormat="false" ht="15" hidden="false" customHeight="false" outlineLevel="0" collapsed="false">
      <c r="A2121" s="0" t="s">
        <v>259</v>
      </c>
      <c r="B2121" s="52" t="n">
        <v>44279</v>
      </c>
      <c r="C2121" s="54" t="s">
        <v>590</v>
      </c>
      <c r="D2121" s="0" t="n">
        <v>0.298019132335709</v>
      </c>
      <c r="E2121" s="0" t="n">
        <v>0.218004457624783</v>
      </c>
      <c r="F2121" s="0" t="n">
        <v>0</v>
      </c>
      <c r="G2121" s="0" t="n">
        <v>2021</v>
      </c>
    </row>
    <row r="2122" customFormat="false" ht="15" hidden="false" customHeight="false" outlineLevel="0" collapsed="false">
      <c r="A2122" s="0" t="s">
        <v>259</v>
      </c>
      <c r="B2122" s="52" t="n">
        <v>44279</v>
      </c>
      <c r="C2122" s="54" t="s">
        <v>591</v>
      </c>
      <c r="D2122" s="0" t="n">
        <v>0.299773394601948</v>
      </c>
      <c r="E2122" s="0" t="n">
        <v>0.310998424047378</v>
      </c>
      <c r="F2122" s="0" t="n">
        <v>0</v>
      </c>
      <c r="G2122" s="0" t="n">
        <v>2021</v>
      </c>
    </row>
    <row r="2123" customFormat="false" ht="15" hidden="false" customHeight="false" outlineLevel="0" collapsed="false">
      <c r="A2123" s="0" t="s">
        <v>259</v>
      </c>
      <c r="B2123" s="52" t="n">
        <v>44279</v>
      </c>
      <c r="C2123" s="54" t="s">
        <v>592</v>
      </c>
      <c r="D2123" s="0" t="n">
        <v>0.0908907864913027</v>
      </c>
      <c r="E2123" s="0" t="n">
        <v>0.0132495271974012</v>
      </c>
      <c r="F2123" s="0" t="n">
        <v>0</v>
      </c>
      <c r="G2123" s="0" t="n">
        <v>2021</v>
      </c>
    </row>
    <row r="2124" customFormat="false" ht="15" hidden="false" customHeight="false" outlineLevel="0" collapsed="false">
      <c r="A2124" s="0" t="s">
        <v>259</v>
      </c>
      <c r="B2124" s="52" t="n">
        <v>44280</v>
      </c>
      <c r="C2124" s="54" t="s">
        <v>590</v>
      </c>
      <c r="D2124" s="0" t="n">
        <v>0.74012204826887</v>
      </c>
      <c r="E2124" s="0" t="n">
        <v>0.0993143131909244</v>
      </c>
      <c r="F2124" s="0" t="n">
        <v>0</v>
      </c>
      <c r="G2124" s="0" t="n">
        <v>2021</v>
      </c>
    </row>
    <row r="2125" customFormat="false" ht="15" hidden="false" customHeight="false" outlineLevel="0" collapsed="false">
      <c r="A2125" s="0" t="s">
        <v>259</v>
      </c>
      <c r="B2125" s="52" t="n">
        <v>44280</v>
      </c>
      <c r="C2125" s="54" t="s">
        <v>592</v>
      </c>
      <c r="D2125" s="0" t="n">
        <v>0.427846949051049</v>
      </c>
      <c r="E2125" s="0" t="n">
        <v>0.196204292566086</v>
      </c>
      <c r="F2125" s="0" t="n">
        <v>0</v>
      </c>
      <c r="G2125" s="0" t="n">
        <v>2021</v>
      </c>
    </row>
    <row r="2126" customFormat="false" ht="15" hidden="false" customHeight="false" outlineLevel="0" collapsed="false">
      <c r="A2126" s="0" t="s">
        <v>259</v>
      </c>
      <c r="B2126" s="52" t="n">
        <v>44281</v>
      </c>
      <c r="C2126" s="54" t="s">
        <v>590</v>
      </c>
      <c r="D2126" s="0" t="n">
        <v>0.52693568605078</v>
      </c>
      <c r="E2126" s="0" t="n">
        <v>0.0727537312247477</v>
      </c>
      <c r="F2126" s="0" t="n">
        <v>0</v>
      </c>
      <c r="G2126" s="0" t="n">
        <v>2021</v>
      </c>
    </row>
    <row r="2127" customFormat="false" ht="15" hidden="false" customHeight="false" outlineLevel="0" collapsed="false">
      <c r="A2127" s="0" t="s">
        <v>259</v>
      </c>
      <c r="B2127" s="52" t="n">
        <v>44281</v>
      </c>
      <c r="C2127" s="54" t="s">
        <v>592</v>
      </c>
      <c r="D2127" s="0" t="n">
        <v>0.431895919186775</v>
      </c>
      <c r="E2127" s="0" t="n">
        <v>0.424737329499168</v>
      </c>
      <c r="F2127" s="0" t="n">
        <v>0</v>
      </c>
      <c r="G2127" s="0" t="n">
        <v>2021</v>
      </c>
    </row>
    <row r="2128" customFormat="false" ht="15" hidden="false" customHeight="false" outlineLevel="0" collapsed="false">
      <c r="A2128" s="0" t="s">
        <v>259</v>
      </c>
      <c r="B2128" s="52" t="n">
        <v>44282</v>
      </c>
      <c r="C2128" s="54" t="s">
        <v>590</v>
      </c>
      <c r="D2128" s="0" t="n">
        <v>0.0937768913392525</v>
      </c>
      <c r="E2128" s="0" t="n">
        <v>0.14338240612136</v>
      </c>
      <c r="F2128" s="0" t="n">
        <v>1</v>
      </c>
      <c r="G2128" s="0" t="n">
        <v>2021</v>
      </c>
    </row>
    <row r="2129" customFormat="false" ht="15" hidden="false" customHeight="false" outlineLevel="0" collapsed="false">
      <c r="A2129" s="0" t="s">
        <v>259</v>
      </c>
      <c r="B2129" s="52" t="n">
        <v>44283</v>
      </c>
      <c r="C2129" s="54" t="s">
        <v>592</v>
      </c>
      <c r="D2129" s="0" t="n">
        <v>0.165780734183819</v>
      </c>
      <c r="E2129" s="0" t="n">
        <v>0.170529153729977</v>
      </c>
      <c r="F2129" s="0" t="n">
        <v>1</v>
      </c>
      <c r="G2129" s="0" t="n">
        <v>2021</v>
      </c>
    </row>
    <row r="2130" customFormat="false" ht="15" hidden="false" customHeight="false" outlineLevel="0" collapsed="false">
      <c r="A2130" s="0" t="s">
        <v>259</v>
      </c>
      <c r="B2130" s="52" t="n">
        <v>44284</v>
      </c>
      <c r="C2130" s="54" t="s">
        <v>590</v>
      </c>
      <c r="D2130" s="0" t="n">
        <v>0.557486643507412</v>
      </c>
      <c r="E2130" s="0" t="n">
        <v>0.1729593933379</v>
      </c>
      <c r="F2130" s="0" t="n">
        <v>0</v>
      </c>
      <c r="G2130" s="0" t="n">
        <v>2021</v>
      </c>
    </row>
    <row r="2131" customFormat="false" ht="15" hidden="false" customHeight="false" outlineLevel="0" collapsed="false">
      <c r="A2131" s="0" t="s">
        <v>259</v>
      </c>
      <c r="B2131" s="52" t="n">
        <v>44284</v>
      </c>
      <c r="C2131" s="54" t="s">
        <v>592</v>
      </c>
      <c r="D2131" s="0" t="n">
        <v>0.237759252609254</v>
      </c>
      <c r="E2131" s="0" t="n">
        <v>0.256835726212172</v>
      </c>
      <c r="F2131" s="0" t="n">
        <v>0</v>
      </c>
      <c r="G2131" s="0" t="n">
        <v>2021</v>
      </c>
    </row>
    <row r="2132" customFormat="false" ht="15" hidden="false" customHeight="false" outlineLevel="0" collapsed="false">
      <c r="A2132" s="0" t="s">
        <v>259</v>
      </c>
      <c r="B2132" s="52" t="n">
        <v>44285</v>
      </c>
      <c r="C2132" s="54" t="s">
        <v>590</v>
      </c>
      <c r="D2132" s="0" t="n">
        <v>0.242816908728666</v>
      </c>
      <c r="E2132" s="0" t="n">
        <v>0.151562271899272</v>
      </c>
      <c r="F2132" s="0" t="n">
        <v>0</v>
      </c>
      <c r="G2132" s="0" t="n">
        <v>2021</v>
      </c>
    </row>
    <row r="2133" customFormat="false" ht="15" hidden="false" customHeight="false" outlineLevel="0" collapsed="false">
      <c r="A2133" s="0" t="s">
        <v>259</v>
      </c>
      <c r="B2133" s="52" t="n">
        <v>44285</v>
      </c>
      <c r="C2133" s="54" t="s">
        <v>592</v>
      </c>
      <c r="D2133" s="0" t="n">
        <v>0.613044664806955</v>
      </c>
      <c r="E2133" s="0" t="n">
        <v>0.0943692351235562</v>
      </c>
      <c r="F2133" s="0" t="n">
        <v>0</v>
      </c>
      <c r="G2133" s="0" t="n">
        <v>2021</v>
      </c>
    </row>
    <row r="2134" customFormat="false" ht="15" hidden="false" customHeight="false" outlineLevel="0" collapsed="false">
      <c r="A2134" s="0" t="s">
        <v>259</v>
      </c>
      <c r="B2134" s="52" t="n">
        <v>44286</v>
      </c>
      <c r="C2134" s="54" t="s">
        <v>590</v>
      </c>
      <c r="D2134" s="0" t="n">
        <v>0.392606456178702</v>
      </c>
      <c r="E2134" s="0" t="n">
        <v>0.153072533473412</v>
      </c>
      <c r="F2134" s="0" t="n">
        <v>0</v>
      </c>
      <c r="G2134" s="0" t="n">
        <v>2021</v>
      </c>
    </row>
    <row r="2135" customFormat="false" ht="15" hidden="false" customHeight="false" outlineLevel="0" collapsed="false">
      <c r="A2135" s="0" t="s">
        <v>259</v>
      </c>
      <c r="B2135" s="52" t="n">
        <v>44286</v>
      </c>
      <c r="C2135" s="54" t="s">
        <v>591</v>
      </c>
      <c r="D2135" s="0" t="n">
        <v>0.636725276203586</v>
      </c>
      <c r="E2135" s="0" t="n">
        <v>0.0595180849567647</v>
      </c>
      <c r="F2135" s="0" t="n">
        <v>0</v>
      </c>
      <c r="G2135" s="0" t="n">
        <v>2021</v>
      </c>
    </row>
    <row r="2136" customFormat="false" ht="15" hidden="false" customHeight="false" outlineLevel="0" collapsed="false">
      <c r="A2136" s="0" t="s">
        <v>259</v>
      </c>
      <c r="B2136" s="52" t="n">
        <v>44286</v>
      </c>
      <c r="C2136" s="54" t="s">
        <v>592</v>
      </c>
      <c r="D2136" s="0" t="n">
        <v>0.561416183868463</v>
      </c>
      <c r="E2136" s="0" t="n">
        <v>0.0370722369554571</v>
      </c>
      <c r="F2136" s="0" t="n">
        <v>0</v>
      </c>
      <c r="G2136" s="0" t="n">
        <v>2021</v>
      </c>
    </row>
    <row r="2137" customFormat="false" ht="15" hidden="false" customHeight="false" outlineLevel="0" collapsed="false">
      <c r="A2137" s="0" t="s">
        <v>259</v>
      </c>
      <c r="B2137" s="52" t="n">
        <v>44287</v>
      </c>
      <c r="C2137" s="54" t="s">
        <v>590</v>
      </c>
      <c r="D2137" s="0" t="n">
        <v>0.489713415781708</v>
      </c>
      <c r="E2137" s="0" t="n">
        <v>0.212253573339994</v>
      </c>
      <c r="F2137" s="0" t="n">
        <v>0</v>
      </c>
      <c r="G2137" s="0" t="n">
        <v>2021</v>
      </c>
    </row>
    <row r="2138" customFormat="false" ht="15" hidden="false" customHeight="false" outlineLevel="0" collapsed="false">
      <c r="A2138" s="0" t="s">
        <v>259</v>
      </c>
      <c r="B2138" s="52" t="n">
        <v>44287</v>
      </c>
      <c r="C2138" s="54" t="s">
        <v>591</v>
      </c>
      <c r="D2138" s="0" t="n">
        <v>0.357907815446234</v>
      </c>
      <c r="E2138" s="0" t="n">
        <v>0.412292626939017</v>
      </c>
      <c r="F2138" s="0" t="n">
        <v>0</v>
      </c>
      <c r="G2138" s="0" t="n">
        <v>2021</v>
      </c>
    </row>
    <row r="2139" customFormat="false" ht="15" hidden="false" customHeight="false" outlineLevel="0" collapsed="false">
      <c r="A2139" s="0" t="s">
        <v>259</v>
      </c>
      <c r="B2139" s="52" t="n">
        <v>44287</v>
      </c>
      <c r="C2139" s="54" t="s">
        <v>592</v>
      </c>
      <c r="D2139" s="0" t="n">
        <v>0.662467511603083</v>
      </c>
      <c r="E2139" s="0" t="n">
        <v>0.0602831016307781</v>
      </c>
      <c r="F2139" s="0" t="n">
        <v>0</v>
      </c>
      <c r="G2139" s="0" t="n">
        <v>2021</v>
      </c>
    </row>
    <row r="2140" customFormat="false" ht="15" hidden="false" customHeight="false" outlineLevel="0" collapsed="false">
      <c r="A2140" s="0" t="s">
        <v>259</v>
      </c>
      <c r="B2140" s="52" t="n">
        <v>44288</v>
      </c>
      <c r="C2140" s="54" t="s">
        <v>590</v>
      </c>
      <c r="D2140" s="0" t="n">
        <v>0.607957560336607</v>
      </c>
      <c r="E2140" s="0" t="n">
        <v>0.122208757243548</v>
      </c>
      <c r="F2140" s="0" t="n">
        <v>0</v>
      </c>
      <c r="G2140" s="0" t="n">
        <v>2021</v>
      </c>
    </row>
    <row r="2141" customFormat="false" ht="15" hidden="false" customHeight="false" outlineLevel="0" collapsed="false">
      <c r="A2141" s="0" t="s">
        <v>259</v>
      </c>
      <c r="B2141" s="52" t="n">
        <v>44288</v>
      </c>
      <c r="C2141" s="54" t="s">
        <v>591</v>
      </c>
      <c r="D2141" s="0" t="n">
        <v>0.199477579596414</v>
      </c>
      <c r="E2141" s="0" t="n">
        <v>0.0973511054679891</v>
      </c>
      <c r="F2141" s="0" t="n">
        <v>0</v>
      </c>
      <c r="G2141" s="0" t="n">
        <v>2021</v>
      </c>
    </row>
    <row r="2142" customFormat="false" ht="15" hidden="false" customHeight="false" outlineLevel="0" collapsed="false">
      <c r="A2142" s="0" t="s">
        <v>259</v>
      </c>
      <c r="B2142" s="52" t="n">
        <v>44288</v>
      </c>
      <c r="C2142" s="54" t="s">
        <v>592</v>
      </c>
      <c r="D2142" s="0" t="n">
        <v>0.614488465273366</v>
      </c>
      <c r="E2142" s="0" t="n">
        <v>0.0844630964243466</v>
      </c>
      <c r="F2142" s="0" t="n">
        <v>0</v>
      </c>
      <c r="G2142" s="0" t="n">
        <v>2021</v>
      </c>
    </row>
    <row r="2143" customFormat="false" ht="15" hidden="false" customHeight="false" outlineLevel="0" collapsed="false">
      <c r="A2143" s="0" t="s">
        <v>259</v>
      </c>
      <c r="B2143" s="52" t="n">
        <v>44289</v>
      </c>
      <c r="C2143" s="54" t="s">
        <v>590</v>
      </c>
      <c r="D2143" s="0" t="n">
        <v>0.365786160855048</v>
      </c>
      <c r="E2143" s="0" t="n">
        <v>0.144685638942029</v>
      </c>
      <c r="F2143" s="0" t="n">
        <v>1</v>
      </c>
      <c r="G2143" s="0" t="n">
        <v>2021</v>
      </c>
    </row>
    <row r="2144" customFormat="false" ht="15" hidden="false" customHeight="false" outlineLevel="0" collapsed="false">
      <c r="A2144" s="0" t="s">
        <v>259</v>
      </c>
      <c r="B2144" s="52" t="n">
        <v>44290</v>
      </c>
      <c r="C2144" s="54" t="s">
        <v>592</v>
      </c>
      <c r="D2144" s="0" t="n">
        <v>0.111007861527777</v>
      </c>
      <c r="E2144" s="0" t="n">
        <v>0.113406659042961</v>
      </c>
      <c r="F2144" s="0" t="n">
        <v>1</v>
      </c>
      <c r="G2144" s="0" t="n">
        <v>2021</v>
      </c>
    </row>
    <row r="2145" customFormat="false" ht="15" hidden="false" customHeight="false" outlineLevel="0" collapsed="false">
      <c r="A2145" s="0" t="s">
        <v>259</v>
      </c>
      <c r="B2145" s="52" t="n">
        <v>44291</v>
      </c>
      <c r="C2145" s="54" t="s">
        <v>590</v>
      </c>
      <c r="D2145" s="0" t="n">
        <v>0.228138789983544</v>
      </c>
      <c r="E2145" s="0" t="n">
        <v>0.145982427483097</v>
      </c>
      <c r="F2145" s="0" t="n">
        <v>0</v>
      </c>
      <c r="G2145" s="0" t="n">
        <v>2021</v>
      </c>
    </row>
    <row r="2146" customFormat="false" ht="15" hidden="false" customHeight="false" outlineLevel="0" collapsed="false">
      <c r="A2146" s="0" t="s">
        <v>259</v>
      </c>
      <c r="B2146" s="52" t="n">
        <v>44291</v>
      </c>
      <c r="C2146" s="54" t="s">
        <v>592</v>
      </c>
      <c r="D2146" s="0" t="n">
        <v>1</v>
      </c>
      <c r="E2146" s="0" t="n">
        <v>0</v>
      </c>
      <c r="F2146" s="0" t="n">
        <v>0</v>
      </c>
      <c r="G2146" s="0" t="n">
        <v>2021</v>
      </c>
    </row>
    <row r="2147" customFormat="false" ht="15" hidden="false" customHeight="false" outlineLevel="0" collapsed="false">
      <c r="A2147" s="0" t="s">
        <v>259</v>
      </c>
      <c r="B2147" s="52" t="n">
        <v>44292</v>
      </c>
      <c r="C2147" s="54" t="s">
        <v>590</v>
      </c>
      <c r="D2147" s="0" t="n">
        <v>0.607871660215497</v>
      </c>
      <c r="E2147" s="0" t="n">
        <v>0.0770769343831056</v>
      </c>
      <c r="F2147" s="0" t="n">
        <v>0</v>
      </c>
      <c r="G2147" s="0" t="n">
        <v>2021</v>
      </c>
    </row>
    <row r="2148" customFormat="false" ht="15" hidden="false" customHeight="false" outlineLevel="0" collapsed="false">
      <c r="A2148" s="0" t="s">
        <v>259</v>
      </c>
      <c r="B2148" s="52" t="n">
        <v>44292</v>
      </c>
      <c r="C2148" s="54" t="s">
        <v>592</v>
      </c>
      <c r="D2148" s="0" t="n">
        <v>0.177438916143393</v>
      </c>
      <c r="E2148" s="0" t="n">
        <v>0.154442769686158</v>
      </c>
      <c r="F2148" s="0" t="n">
        <v>0</v>
      </c>
      <c r="G2148" s="0" t="n">
        <v>2021</v>
      </c>
    </row>
    <row r="2149" customFormat="false" ht="15" hidden="false" customHeight="false" outlineLevel="0" collapsed="false">
      <c r="A2149" s="0" t="s">
        <v>259</v>
      </c>
      <c r="B2149" s="52" t="n">
        <v>44293</v>
      </c>
      <c r="C2149" s="54" t="s">
        <v>590</v>
      </c>
      <c r="D2149" s="0" t="n">
        <v>0.579836766988928</v>
      </c>
      <c r="E2149" s="0" t="n">
        <v>0.0868358494251454</v>
      </c>
      <c r="F2149" s="0" t="n">
        <v>0</v>
      </c>
      <c r="G2149" s="0" t="n">
        <v>2021</v>
      </c>
    </row>
    <row r="2150" customFormat="false" ht="15" hidden="false" customHeight="false" outlineLevel="0" collapsed="false">
      <c r="A2150" s="0" t="s">
        <v>259</v>
      </c>
      <c r="B2150" s="52" t="n">
        <v>44293</v>
      </c>
      <c r="C2150" s="54" t="s">
        <v>592</v>
      </c>
      <c r="D2150" s="0" t="n">
        <v>0.880318813830824</v>
      </c>
      <c r="E2150" s="0" t="n">
        <v>0.0368484401596421</v>
      </c>
      <c r="F2150" s="0" t="n">
        <v>0</v>
      </c>
      <c r="G2150" s="0" t="n">
        <v>2021</v>
      </c>
    </row>
    <row r="2151" customFormat="false" ht="15" hidden="false" customHeight="false" outlineLevel="0" collapsed="false">
      <c r="A2151" s="0" t="s">
        <v>259</v>
      </c>
      <c r="B2151" s="52" t="n">
        <v>44294</v>
      </c>
      <c r="C2151" s="54" t="s">
        <v>590</v>
      </c>
      <c r="D2151" s="0" t="n">
        <v>0.205485004210331</v>
      </c>
      <c r="E2151" s="0" t="n">
        <v>0.20965449655105</v>
      </c>
      <c r="F2151" s="0" t="n">
        <v>0</v>
      </c>
      <c r="G2151" s="0" t="n">
        <v>2021</v>
      </c>
    </row>
    <row r="2152" customFormat="false" ht="15" hidden="false" customHeight="false" outlineLevel="0" collapsed="false">
      <c r="A2152" s="0" t="s">
        <v>259</v>
      </c>
      <c r="B2152" s="52" t="n">
        <v>44294</v>
      </c>
      <c r="C2152" s="54" t="s">
        <v>591</v>
      </c>
      <c r="D2152" s="0" t="n">
        <v>0.584199381382427</v>
      </c>
      <c r="E2152" s="0" t="n">
        <v>0.0542415703383942</v>
      </c>
      <c r="F2152" s="0" t="n">
        <v>0</v>
      </c>
      <c r="G2152" s="0" t="n">
        <v>2021</v>
      </c>
    </row>
    <row r="2153" customFormat="false" ht="15" hidden="false" customHeight="false" outlineLevel="0" collapsed="false">
      <c r="A2153" s="0" t="s">
        <v>259</v>
      </c>
      <c r="B2153" s="52" t="n">
        <v>44294</v>
      </c>
      <c r="C2153" s="54" t="s">
        <v>592</v>
      </c>
      <c r="D2153" s="0" t="n">
        <v>0.59911496835484</v>
      </c>
      <c r="E2153" s="0" t="n">
        <v>0.0628665887020226</v>
      </c>
      <c r="F2153" s="0" t="n">
        <v>0</v>
      </c>
      <c r="G2153" s="0" t="n">
        <v>2021</v>
      </c>
    </row>
    <row r="2154" customFormat="false" ht="15" hidden="false" customHeight="false" outlineLevel="0" collapsed="false">
      <c r="A2154" s="0" t="s">
        <v>259</v>
      </c>
      <c r="B2154" s="52" t="n">
        <v>44295</v>
      </c>
      <c r="C2154" s="54" t="s">
        <v>590</v>
      </c>
      <c r="D2154" s="0" t="n">
        <v>0.519097147911037</v>
      </c>
      <c r="E2154" s="0" t="n">
        <v>0.252171568060068</v>
      </c>
      <c r="F2154" s="0" t="n">
        <v>0</v>
      </c>
      <c r="G2154" s="0" t="n">
        <v>2021</v>
      </c>
    </row>
    <row r="2155" customFormat="false" ht="15" hidden="false" customHeight="false" outlineLevel="0" collapsed="false">
      <c r="A2155" s="0" t="s">
        <v>259</v>
      </c>
      <c r="B2155" s="52" t="n">
        <v>44295</v>
      </c>
      <c r="C2155" s="54" t="s">
        <v>592</v>
      </c>
      <c r="D2155" s="0" t="n">
        <v>0.157386778681912</v>
      </c>
      <c r="E2155" s="0" t="n">
        <v>0.178212382861104</v>
      </c>
      <c r="F2155" s="0" t="n">
        <v>0</v>
      </c>
      <c r="G2155" s="0" t="n">
        <v>2021</v>
      </c>
    </row>
    <row r="2156" customFormat="false" ht="15" hidden="false" customHeight="false" outlineLevel="0" collapsed="false">
      <c r="A2156" s="0" t="s">
        <v>259</v>
      </c>
      <c r="B2156" s="52" t="n">
        <v>44296</v>
      </c>
      <c r="C2156" s="54" t="s">
        <v>590</v>
      </c>
      <c r="D2156" s="0" t="n">
        <v>0.268360396669672</v>
      </c>
      <c r="E2156" s="0" t="n">
        <v>0.176786672626308</v>
      </c>
      <c r="F2156" s="0" t="n">
        <v>1</v>
      </c>
      <c r="G2156" s="0" t="n">
        <v>2021</v>
      </c>
    </row>
    <row r="2157" customFormat="false" ht="15" hidden="false" customHeight="false" outlineLevel="0" collapsed="false">
      <c r="A2157" s="0" t="s">
        <v>259</v>
      </c>
      <c r="B2157" s="52" t="n">
        <v>44297</v>
      </c>
      <c r="C2157" s="54" t="s">
        <v>592</v>
      </c>
      <c r="D2157" s="0" t="n">
        <v>0.225365181334889</v>
      </c>
      <c r="E2157" s="0" t="n">
        <v>0.165750783741136</v>
      </c>
      <c r="F2157" s="0" t="n">
        <v>1</v>
      </c>
      <c r="G2157" s="0" t="n">
        <v>2021</v>
      </c>
    </row>
    <row r="2158" customFormat="false" ht="15" hidden="false" customHeight="false" outlineLevel="0" collapsed="false">
      <c r="A2158" s="0" t="s">
        <v>259</v>
      </c>
      <c r="B2158" s="52" t="n">
        <v>44298</v>
      </c>
      <c r="C2158" s="54" t="s">
        <v>590</v>
      </c>
      <c r="D2158" s="0" t="n">
        <v>0.256542183196436</v>
      </c>
      <c r="E2158" s="0" t="n">
        <v>0.22858243292664</v>
      </c>
      <c r="F2158" s="0" t="n">
        <v>0</v>
      </c>
      <c r="G2158" s="0" t="n">
        <v>2021</v>
      </c>
    </row>
    <row r="2159" customFormat="false" ht="15" hidden="false" customHeight="false" outlineLevel="0" collapsed="false">
      <c r="A2159" s="0" t="s">
        <v>259</v>
      </c>
      <c r="B2159" s="52" t="n">
        <v>44298</v>
      </c>
      <c r="C2159" s="54" t="s">
        <v>591</v>
      </c>
      <c r="D2159" s="0" t="n">
        <v>0.142850697409994</v>
      </c>
      <c r="E2159" s="0" t="n">
        <v>0.205166446018106</v>
      </c>
      <c r="F2159" s="0" t="n">
        <v>0</v>
      </c>
      <c r="G2159" s="0" t="n">
        <v>2021</v>
      </c>
    </row>
    <row r="2160" customFormat="false" ht="15" hidden="false" customHeight="false" outlineLevel="0" collapsed="false">
      <c r="A2160" s="0" t="s">
        <v>259</v>
      </c>
      <c r="B2160" s="52" t="n">
        <v>44298</v>
      </c>
      <c r="C2160" s="54" t="s">
        <v>592</v>
      </c>
      <c r="D2160" s="0" t="n">
        <v>0.998934235409285</v>
      </c>
      <c r="E2160" s="0" t="n">
        <v>0</v>
      </c>
      <c r="F2160" s="0" t="n">
        <v>0</v>
      </c>
      <c r="G2160" s="0" t="n">
        <v>2021</v>
      </c>
    </row>
    <row r="2161" customFormat="false" ht="15" hidden="false" customHeight="false" outlineLevel="0" collapsed="false">
      <c r="A2161" s="0" t="s">
        <v>259</v>
      </c>
      <c r="B2161" s="52" t="n">
        <v>44299</v>
      </c>
      <c r="C2161" s="54" t="s">
        <v>590</v>
      </c>
      <c r="D2161" s="0" t="n">
        <v>0.377805744845739</v>
      </c>
      <c r="E2161" s="0" t="n">
        <v>0.132177983875272</v>
      </c>
      <c r="F2161" s="0" t="n">
        <v>0</v>
      </c>
      <c r="G2161" s="0" t="n">
        <v>2021</v>
      </c>
    </row>
    <row r="2162" customFormat="false" ht="15" hidden="false" customHeight="false" outlineLevel="0" collapsed="false">
      <c r="A2162" s="0" t="s">
        <v>259</v>
      </c>
      <c r="B2162" s="52" t="n">
        <v>44299</v>
      </c>
      <c r="C2162" s="54" t="s">
        <v>592</v>
      </c>
      <c r="D2162" s="0" t="n">
        <v>0.164652873913969</v>
      </c>
      <c r="E2162" s="0" t="n">
        <v>0.153064953893464</v>
      </c>
      <c r="F2162" s="0" t="n">
        <v>0</v>
      </c>
      <c r="G2162" s="0" t="n">
        <v>2021</v>
      </c>
    </row>
    <row r="2163" customFormat="false" ht="15" hidden="false" customHeight="false" outlineLevel="0" collapsed="false">
      <c r="A2163" s="0" t="s">
        <v>259</v>
      </c>
      <c r="B2163" s="52" t="n">
        <v>44300</v>
      </c>
      <c r="C2163" s="54" t="s">
        <v>590</v>
      </c>
      <c r="D2163" s="0" t="n">
        <v>0.150968887733837</v>
      </c>
      <c r="E2163" s="0" t="n">
        <v>0.163894641418775</v>
      </c>
      <c r="F2163" s="0" t="n">
        <v>0</v>
      </c>
      <c r="G2163" s="0" t="n">
        <v>2021</v>
      </c>
    </row>
    <row r="2164" customFormat="false" ht="15" hidden="false" customHeight="false" outlineLevel="0" collapsed="false">
      <c r="A2164" s="0" t="s">
        <v>259</v>
      </c>
      <c r="B2164" s="52" t="n">
        <v>44300</v>
      </c>
      <c r="C2164" s="54" t="s">
        <v>592</v>
      </c>
      <c r="D2164" s="0" t="n">
        <v>0.879041298118076</v>
      </c>
      <c r="E2164" s="0" t="n">
        <v>0.0479118543421536</v>
      </c>
      <c r="F2164" s="0" t="n">
        <v>0</v>
      </c>
      <c r="G2164" s="0" t="n">
        <v>2021</v>
      </c>
    </row>
    <row r="2165" customFormat="false" ht="15" hidden="false" customHeight="false" outlineLevel="0" collapsed="false">
      <c r="A2165" s="0" t="s">
        <v>259</v>
      </c>
      <c r="B2165" s="52" t="n">
        <v>44301</v>
      </c>
      <c r="C2165" s="54" t="s">
        <v>590</v>
      </c>
      <c r="D2165" s="0" t="n">
        <v>0.25212719513247</v>
      </c>
      <c r="E2165" s="0" t="n">
        <v>0.231402395163152</v>
      </c>
      <c r="F2165" s="0" t="n">
        <v>0</v>
      </c>
      <c r="G2165" s="0" t="n">
        <v>2021</v>
      </c>
    </row>
    <row r="2166" customFormat="false" ht="15" hidden="false" customHeight="false" outlineLevel="0" collapsed="false">
      <c r="A2166" s="0" t="s">
        <v>259</v>
      </c>
      <c r="B2166" s="52" t="n">
        <v>44301</v>
      </c>
      <c r="C2166" s="54" t="s">
        <v>592</v>
      </c>
      <c r="D2166" s="0" t="n">
        <v>0.123506035797399</v>
      </c>
      <c r="E2166" s="0" t="n">
        <v>0.091692079657459</v>
      </c>
      <c r="F2166" s="0" t="n">
        <v>0</v>
      </c>
      <c r="G2166" s="0" t="n">
        <v>2021</v>
      </c>
    </row>
    <row r="2167" customFormat="false" ht="15" hidden="false" customHeight="false" outlineLevel="0" collapsed="false">
      <c r="A2167" s="0" t="s">
        <v>259</v>
      </c>
      <c r="B2167" s="52" t="n">
        <v>44302</v>
      </c>
      <c r="C2167" s="54" t="s">
        <v>590</v>
      </c>
      <c r="D2167" s="0" t="n">
        <v>0.396759209419153</v>
      </c>
      <c r="E2167" s="0" t="n">
        <v>0.150797447709401</v>
      </c>
      <c r="F2167" s="0" t="n">
        <v>0</v>
      </c>
      <c r="G2167" s="0" t="n">
        <v>2021</v>
      </c>
    </row>
    <row r="2168" customFormat="false" ht="15" hidden="false" customHeight="false" outlineLevel="0" collapsed="false">
      <c r="A2168" s="0" t="s">
        <v>259</v>
      </c>
      <c r="B2168" s="52" t="n">
        <v>44302</v>
      </c>
      <c r="C2168" s="54" t="s">
        <v>592</v>
      </c>
      <c r="D2168" s="0" t="n">
        <v>0.458499361503484</v>
      </c>
      <c r="E2168" s="0" t="n">
        <v>0.0128704328968229</v>
      </c>
      <c r="F2168" s="0" t="n">
        <v>0</v>
      </c>
      <c r="G2168" s="0" t="n">
        <v>2021</v>
      </c>
    </row>
    <row r="2169" customFormat="false" ht="15" hidden="false" customHeight="false" outlineLevel="0" collapsed="false">
      <c r="A2169" s="0" t="s">
        <v>259</v>
      </c>
      <c r="B2169" s="52" t="n">
        <v>44303</v>
      </c>
      <c r="C2169" s="54" t="s">
        <v>590</v>
      </c>
      <c r="D2169" s="0" t="n">
        <v>0.350359282165557</v>
      </c>
      <c r="E2169" s="0" t="n">
        <v>0.134445000433116</v>
      </c>
      <c r="F2169" s="0" t="n">
        <v>1</v>
      </c>
      <c r="G2169" s="0" t="n">
        <v>2021</v>
      </c>
    </row>
    <row r="2170" customFormat="false" ht="15" hidden="false" customHeight="false" outlineLevel="0" collapsed="false">
      <c r="A2170" s="0" t="s">
        <v>259</v>
      </c>
      <c r="B2170" s="52" t="n">
        <v>44304</v>
      </c>
      <c r="C2170" s="54" t="s">
        <v>592</v>
      </c>
      <c r="D2170" s="0" t="n">
        <v>0.0983392739437434</v>
      </c>
      <c r="E2170" s="0" t="n">
        <v>0.144883727501123</v>
      </c>
      <c r="F2170" s="0" t="n">
        <v>1</v>
      </c>
      <c r="G2170" s="0" t="n">
        <v>2021</v>
      </c>
    </row>
    <row r="2171" customFormat="false" ht="15" hidden="false" customHeight="false" outlineLevel="0" collapsed="false">
      <c r="A2171" s="0" t="s">
        <v>259</v>
      </c>
      <c r="B2171" s="52" t="n">
        <v>44305</v>
      </c>
      <c r="C2171" s="54" t="s">
        <v>590</v>
      </c>
      <c r="D2171" s="0" t="n">
        <v>0.439639673567548</v>
      </c>
      <c r="E2171" s="0" t="n">
        <v>0.136693841081786</v>
      </c>
      <c r="F2171" s="0" t="n">
        <v>0</v>
      </c>
      <c r="G2171" s="0" t="n">
        <v>2021</v>
      </c>
    </row>
    <row r="2172" customFormat="false" ht="15" hidden="false" customHeight="false" outlineLevel="0" collapsed="false">
      <c r="A2172" s="0" t="s">
        <v>259</v>
      </c>
      <c r="B2172" s="52" t="n">
        <v>44305</v>
      </c>
      <c r="C2172" s="54" t="s">
        <v>592</v>
      </c>
      <c r="D2172" s="0" t="n">
        <v>1</v>
      </c>
      <c r="E2172" s="0" t="n">
        <v>0</v>
      </c>
      <c r="F2172" s="0" t="n">
        <v>0</v>
      </c>
      <c r="G2172" s="0" t="n">
        <v>2021</v>
      </c>
    </row>
    <row r="2173" customFormat="false" ht="15" hidden="false" customHeight="false" outlineLevel="0" collapsed="false">
      <c r="A2173" s="0" t="s">
        <v>259</v>
      </c>
      <c r="B2173" s="52" t="n">
        <v>44306</v>
      </c>
      <c r="C2173" s="54" t="s">
        <v>590</v>
      </c>
      <c r="D2173" s="0" t="n">
        <v>0.0992317062570179</v>
      </c>
      <c r="E2173" s="0" t="n">
        <v>0.15380787774363</v>
      </c>
      <c r="F2173" s="0" t="n">
        <v>0</v>
      </c>
      <c r="G2173" s="0" t="n">
        <v>2021</v>
      </c>
    </row>
    <row r="2174" customFormat="false" ht="15" hidden="false" customHeight="false" outlineLevel="0" collapsed="false">
      <c r="A2174" s="0" t="s">
        <v>259</v>
      </c>
      <c r="B2174" s="52" t="n">
        <v>44306</v>
      </c>
      <c r="C2174" s="54" t="s">
        <v>592</v>
      </c>
      <c r="D2174" s="0" t="n">
        <v>0.118340792959235</v>
      </c>
      <c r="E2174" s="0" t="n">
        <v>0.141874681448611</v>
      </c>
      <c r="F2174" s="0" t="n">
        <v>0</v>
      </c>
      <c r="G2174" s="0" t="n">
        <v>2021</v>
      </c>
    </row>
    <row r="2175" customFormat="false" ht="15" hidden="false" customHeight="false" outlineLevel="0" collapsed="false">
      <c r="A2175" s="0" t="s">
        <v>259</v>
      </c>
      <c r="B2175" s="52" t="n">
        <v>44307</v>
      </c>
      <c r="C2175" s="54" t="s">
        <v>590</v>
      </c>
      <c r="D2175" s="0" t="n">
        <v>0.261564243508328</v>
      </c>
      <c r="E2175" s="0" t="n">
        <v>0.142876788256027</v>
      </c>
      <c r="F2175" s="0" t="n">
        <v>0</v>
      </c>
      <c r="G2175" s="0" t="n">
        <v>2021</v>
      </c>
    </row>
    <row r="2176" customFormat="false" ht="15" hidden="false" customHeight="false" outlineLevel="0" collapsed="false">
      <c r="A2176" s="0" t="s">
        <v>259</v>
      </c>
      <c r="B2176" s="52" t="n">
        <v>44307</v>
      </c>
      <c r="C2176" s="54" t="s">
        <v>592</v>
      </c>
      <c r="D2176" s="0" t="n">
        <v>0.484300610954703</v>
      </c>
      <c r="E2176" s="0" t="n">
        <v>0.0119969600903219</v>
      </c>
      <c r="F2176" s="0" t="n">
        <v>0</v>
      </c>
      <c r="G2176" s="0" t="n">
        <v>2021</v>
      </c>
    </row>
    <row r="2177" customFormat="false" ht="15" hidden="false" customHeight="false" outlineLevel="0" collapsed="false">
      <c r="A2177" s="0" t="s">
        <v>259</v>
      </c>
      <c r="B2177" s="52" t="n">
        <v>44308</v>
      </c>
      <c r="C2177" s="54" t="s">
        <v>590</v>
      </c>
      <c r="D2177" s="0" t="n">
        <v>0.280220650141189</v>
      </c>
      <c r="E2177" s="0" t="n">
        <v>0.203407153465408</v>
      </c>
      <c r="F2177" s="0" t="n">
        <v>0</v>
      </c>
      <c r="G2177" s="0" t="n">
        <v>2021</v>
      </c>
    </row>
    <row r="2178" customFormat="false" ht="15" hidden="false" customHeight="false" outlineLevel="0" collapsed="false">
      <c r="A2178" s="0" t="s">
        <v>259</v>
      </c>
      <c r="B2178" s="52" t="n">
        <v>44308</v>
      </c>
      <c r="C2178" s="54" t="s">
        <v>592</v>
      </c>
      <c r="D2178" s="0" t="n">
        <v>0.188958515344821</v>
      </c>
      <c r="E2178" s="0" t="n">
        <v>0.191026621531033</v>
      </c>
      <c r="F2178" s="0" t="n">
        <v>0</v>
      </c>
      <c r="G2178" s="0" t="n">
        <v>2021</v>
      </c>
    </row>
    <row r="2179" customFormat="false" ht="15" hidden="false" customHeight="false" outlineLevel="0" collapsed="false">
      <c r="A2179" s="0" t="s">
        <v>259</v>
      </c>
      <c r="B2179" s="52" t="n">
        <v>44309</v>
      </c>
      <c r="C2179" s="54" t="s">
        <v>590</v>
      </c>
      <c r="D2179" s="0" t="n">
        <v>0.225539987029611</v>
      </c>
      <c r="E2179" s="0" t="n">
        <v>0.181421418887443</v>
      </c>
      <c r="F2179" s="0" t="n">
        <v>0</v>
      </c>
      <c r="G2179" s="0" t="n">
        <v>2021</v>
      </c>
    </row>
    <row r="2180" customFormat="false" ht="15" hidden="false" customHeight="false" outlineLevel="0" collapsed="false">
      <c r="A2180" s="0" t="s">
        <v>259</v>
      </c>
      <c r="B2180" s="52" t="n">
        <v>44309</v>
      </c>
      <c r="C2180" s="54" t="s">
        <v>592</v>
      </c>
      <c r="D2180" s="0" t="n">
        <v>0.0844151850798023</v>
      </c>
      <c r="E2180" s="0" t="n">
        <v>0.240022306685282</v>
      </c>
      <c r="F2180" s="0" t="n">
        <v>0</v>
      </c>
      <c r="G2180" s="0" t="n">
        <v>2021</v>
      </c>
    </row>
    <row r="2181" customFormat="false" ht="15" hidden="false" customHeight="false" outlineLevel="0" collapsed="false">
      <c r="A2181" s="0" t="s">
        <v>259</v>
      </c>
      <c r="B2181" s="52" t="n">
        <v>44310</v>
      </c>
      <c r="C2181" s="54" t="s">
        <v>590</v>
      </c>
      <c r="D2181" s="0" t="n">
        <v>0.273027866390414</v>
      </c>
      <c r="E2181" s="0" t="n">
        <v>0.121970984941968</v>
      </c>
      <c r="F2181" s="0" t="n">
        <v>1</v>
      </c>
      <c r="G2181" s="0" t="n">
        <v>2021</v>
      </c>
    </row>
    <row r="2182" customFormat="false" ht="15" hidden="false" customHeight="false" outlineLevel="0" collapsed="false">
      <c r="A2182" s="0" t="s">
        <v>259</v>
      </c>
      <c r="B2182" s="52" t="n">
        <v>44311</v>
      </c>
      <c r="C2182" s="54" t="s">
        <v>592</v>
      </c>
      <c r="D2182" s="0" t="n">
        <v>0.178998787769517</v>
      </c>
      <c r="E2182" s="0" t="n">
        <v>0.0629148576517131</v>
      </c>
      <c r="F2182" s="0" t="n">
        <v>1</v>
      </c>
      <c r="G2182" s="0" t="n">
        <v>2021</v>
      </c>
    </row>
    <row r="2183" customFormat="false" ht="15" hidden="false" customHeight="false" outlineLevel="0" collapsed="false">
      <c r="A2183" s="0" t="s">
        <v>259</v>
      </c>
      <c r="B2183" s="52" t="n">
        <v>44312</v>
      </c>
      <c r="C2183" s="54" t="s">
        <v>590</v>
      </c>
      <c r="D2183" s="0" t="n">
        <v>0.134126277939552</v>
      </c>
      <c r="E2183" s="0" t="n">
        <v>0.119304858061976</v>
      </c>
      <c r="F2183" s="0" t="n">
        <v>0</v>
      </c>
      <c r="G2183" s="0" t="n">
        <v>2021</v>
      </c>
    </row>
    <row r="2184" customFormat="false" ht="15" hidden="false" customHeight="false" outlineLevel="0" collapsed="false">
      <c r="A2184" s="0" t="s">
        <v>259</v>
      </c>
      <c r="B2184" s="52" t="n">
        <v>44312</v>
      </c>
      <c r="C2184" s="54" t="s">
        <v>591</v>
      </c>
      <c r="D2184" s="0" t="n">
        <v>0.152072061757523</v>
      </c>
      <c r="E2184" s="0" t="n">
        <v>0.162489837929943</v>
      </c>
      <c r="F2184" s="0" t="n">
        <v>0</v>
      </c>
      <c r="G2184" s="0" t="n">
        <v>2021</v>
      </c>
    </row>
    <row r="2185" customFormat="false" ht="15" hidden="false" customHeight="false" outlineLevel="0" collapsed="false">
      <c r="A2185" s="0" t="s">
        <v>259</v>
      </c>
      <c r="B2185" s="52" t="n">
        <v>44312</v>
      </c>
      <c r="C2185" s="54" t="s">
        <v>592</v>
      </c>
      <c r="D2185" s="0" t="n">
        <v>1</v>
      </c>
      <c r="E2185" s="0" t="n">
        <v>0</v>
      </c>
      <c r="F2185" s="0" t="n">
        <v>0</v>
      </c>
      <c r="G2185" s="0" t="n">
        <v>2021</v>
      </c>
    </row>
    <row r="2186" customFormat="false" ht="15" hidden="false" customHeight="false" outlineLevel="0" collapsed="false">
      <c r="A2186" s="0" t="s">
        <v>259</v>
      </c>
      <c r="B2186" s="52" t="n">
        <v>44313</v>
      </c>
      <c r="C2186" s="54" t="s">
        <v>590</v>
      </c>
      <c r="D2186" s="0" t="n">
        <v>0.154452875863329</v>
      </c>
      <c r="E2186" s="0" t="n">
        <v>0.129369087282762</v>
      </c>
      <c r="F2186" s="0" t="n">
        <v>0</v>
      </c>
      <c r="G2186" s="0" t="n">
        <v>2021</v>
      </c>
    </row>
    <row r="2187" customFormat="false" ht="15" hidden="false" customHeight="false" outlineLevel="0" collapsed="false">
      <c r="A2187" s="0" t="s">
        <v>259</v>
      </c>
      <c r="B2187" s="52" t="n">
        <v>44313</v>
      </c>
      <c r="C2187" s="54" t="s">
        <v>592</v>
      </c>
      <c r="D2187" s="0" t="n">
        <v>0.194964330424353</v>
      </c>
      <c r="E2187" s="0" t="n">
        <v>0.0662709794617061</v>
      </c>
      <c r="F2187" s="0" t="n">
        <v>0</v>
      </c>
      <c r="G2187" s="0" t="n">
        <v>2021</v>
      </c>
    </row>
    <row r="2188" customFormat="false" ht="15" hidden="false" customHeight="false" outlineLevel="0" collapsed="false">
      <c r="A2188" s="0" t="s">
        <v>259</v>
      </c>
      <c r="B2188" s="52" t="n">
        <v>44314</v>
      </c>
      <c r="C2188" s="54" t="s">
        <v>590</v>
      </c>
      <c r="D2188" s="0" t="n">
        <v>0.14192751146668</v>
      </c>
      <c r="E2188" s="0" t="n">
        <v>0.211628256444002</v>
      </c>
      <c r="F2188" s="0" t="n">
        <v>0</v>
      </c>
      <c r="G2188" s="0" t="n">
        <v>2021</v>
      </c>
    </row>
    <row r="2189" customFormat="false" ht="15" hidden="false" customHeight="false" outlineLevel="0" collapsed="false">
      <c r="A2189" s="0" t="s">
        <v>259</v>
      </c>
      <c r="B2189" s="52" t="n">
        <v>44314</v>
      </c>
      <c r="C2189" s="54" t="s">
        <v>591</v>
      </c>
      <c r="D2189" s="0" t="n">
        <v>0.739989606410519</v>
      </c>
      <c r="E2189" s="0" t="n">
        <v>0.0866624908941487</v>
      </c>
      <c r="F2189" s="0" t="n">
        <v>0</v>
      </c>
      <c r="G2189" s="0" t="n">
        <v>2021</v>
      </c>
    </row>
    <row r="2190" customFormat="false" ht="15" hidden="false" customHeight="false" outlineLevel="0" collapsed="false">
      <c r="A2190" s="0" t="s">
        <v>259</v>
      </c>
      <c r="B2190" s="52" t="n">
        <v>44314</v>
      </c>
      <c r="C2190" s="54" t="s">
        <v>592</v>
      </c>
      <c r="D2190" s="0" t="n">
        <v>0.882546535197933</v>
      </c>
      <c r="E2190" s="0" t="n">
        <v>0.0186343641784219</v>
      </c>
      <c r="F2190" s="0" t="n">
        <v>0</v>
      </c>
      <c r="G2190" s="0" t="n">
        <v>2021</v>
      </c>
    </row>
    <row r="2191" customFormat="false" ht="15" hidden="false" customHeight="false" outlineLevel="0" collapsed="false">
      <c r="A2191" s="0" t="s">
        <v>259</v>
      </c>
      <c r="B2191" s="52" t="n">
        <v>44315</v>
      </c>
      <c r="C2191" s="54" t="s">
        <v>590</v>
      </c>
      <c r="D2191" s="0" t="n">
        <v>0.398939240661477</v>
      </c>
      <c r="E2191" s="0" t="n">
        <v>0.131999491480223</v>
      </c>
      <c r="F2191" s="0" t="n">
        <v>0</v>
      </c>
      <c r="G2191" s="0" t="n">
        <v>2021</v>
      </c>
    </row>
    <row r="2192" customFormat="false" ht="15" hidden="false" customHeight="false" outlineLevel="0" collapsed="false">
      <c r="A2192" s="0" t="s">
        <v>259</v>
      </c>
      <c r="B2192" s="52" t="n">
        <v>44315</v>
      </c>
      <c r="C2192" s="54" t="s">
        <v>591</v>
      </c>
      <c r="D2192" s="0" t="n">
        <v>0.557776368292883</v>
      </c>
      <c r="E2192" s="0" t="n">
        <v>0.092044653806313</v>
      </c>
      <c r="F2192" s="0" t="n">
        <v>0</v>
      </c>
      <c r="G2192" s="0" t="n">
        <v>2021</v>
      </c>
    </row>
    <row r="2193" customFormat="false" ht="15" hidden="false" customHeight="false" outlineLevel="0" collapsed="false">
      <c r="A2193" s="0" t="s">
        <v>259</v>
      </c>
      <c r="B2193" s="52" t="n">
        <v>44315</v>
      </c>
      <c r="C2193" s="54" t="s">
        <v>592</v>
      </c>
      <c r="D2193" s="0" t="n">
        <v>0.161832709205341</v>
      </c>
      <c r="E2193" s="0" t="n">
        <v>0.174520069524325</v>
      </c>
      <c r="F2193" s="0" t="n">
        <v>0</v>
      </c>
      <c r="G2193" s="0" t="n">
        <v>2021</v>
      </c>
    </row>
    <row r="2194" customFormat="false" ht="15" hidden="false" customHeight="false" outlineLevel="0" collapsed="false">
      <c r="A2194" s="0" t="s">
        <v>259</v>
      </c>
      <c r="B2194" s="52" t="n">
        <v>44316</v>
      </c>
      <c r="C2194" s="54" t="s">
        <v>590</v>
      </c>
      <c r="D2194" s="0" t="n">
        <v>0.132558657444574</v>
      </c>
      <c r="E2194" s="0" t="n">
        <v>0.143058829773898</v>
      </c>
      <c r="F2194" s="0" t="n">
        <v>0</v>
      </c>
      <c r="G2194" s="0" t="n">
        <v>2021</v>
      </c>
    </row>
    <row r="2195" customFormat="false" ht="15" hidden="false" customHeight="false" outlineLevel="0" collapsed="false">
      <c r="A2195" s="0" t="s">
        <v>259</v>
      </c>
      <c r="B2195" s="52" t="n">
        <v>44316</v>
      </c>
      <c r="C2195" s="54" t="s">
        <v>592</v>
      </c>
      <c r="D2195" s="0" t="n">
        <v>0.190978526615605</v>
      </c>
      <c r="E2195" s="0" t="n">
        <v>0.121717640577189</v>
      </c>
      <c r="F2195" s="0" t="n">
        <v>0</v>
      </c>
      <c r="G2195" s="0" t="n">
        <v>2021</v>
      </c>
    </row>
    <row r="2196" customFormat="false" ht="15" hidden="false" customHeight="false" outlineLevel="0" collapsed="false">
      <c r="A2196" s="0" t="s">
        <v>259</v>
      </c>
      <c r="B2196" s="52" t="n">
        <v>44317</v>
      </c>
      <c r="C2196" s="54" t="s">
        <v>590</v>
      </c>
      <c r="D2196" s="0" t="n">
        <v>0.396534131963899</v>
      </c>
      <c r="E2196" s="0" t="n">
        <v>0.0509424091635666</v>
      </c>
      <c r="F2196" s="0" t="n">
        <v>1</v>
      </c>
      <c r="G2196" s="0" t="n">
        <v>2021</v>
      </c>
    </row>
    <row r="2197" customFormat="false" ht="15" hidden="false" customHeight="false" outlineLevel="0" collapsed="false">
      <c r="A2197" s="0" t="s">
        <v>259</v>
      </c>
      <c r="B2197" s="52" t="n">
        <v>44318</v>
      </c>
      <c r="C2197" s="54" t="s">
        <v>592</v>
      </c>
      <c r="D2197" s="0" t="n">
        <v>0.1080719753884</v>
      </c>
      <c r="E2197" s="0" t="n">
        <v>0.157426259450338</v>
      </c>
      <c r="F2197" s="0" t="n">
        <v>1</v>
      </c>
      <c r="G2197" s="0" t="n">
        <v>2021</v>
      </c>
    </row>
    <row r="2198" customFormat="false" ht="15" hidden="false" customHeight="false" outlineLevel="0" collapsed="false">
      <c r="A2198" s="0" t="s">
        <v>259</v>
      </c>
      <c r="B2198" s="52" t="n">
        <v>44319</v>
      </c>
      <c r="C2198" s="54" t="s">
        <v>590</v>
      </c>
      <c r="D2198" s="0" t="n">
        <v>0.821344204222045</v>
      </c>
      <c r="E2198" s="0" t="n">
        <v>0.0726491518158876</v>
      </c>
      <c r="F2198" s="0" t="n">
        <v>0</v>
      </c>
      <c r="G2198" s="0" t="n">
        <v>2021</v>
      </c>
    </row>
    <row r="2199" customFormat="false" ht="15" hidden="false" customHeight="false" outlineLevel="0" collapsed="false">
      <c r="A2199" s="0" t="s">
        <v>259</v>
      </c>
      <c r="B2199" s="52" t="n">
        <v>44319</v>
      </c>
      <c r="C2199" s="54" t="s">
        <v>592</v>
      </c>
      <c r="D2199" s="0" t="n">
        <v>0.0719435449559128</v>
      </c>
      <c r="E2199" s="0" t="n">
        <v>0.103536572330405</v>
      </c>
      <c r="F2199" s="0" t="n">
        <v>0</v>
      </c>
      <c r="G2199" s="0" t="n">
        <v>2021</v>
      </c>
    </row>
    <row r="2200" customFormat="false" ht="15" hidden="false" customHeight="false" outlineLevel="0" collapsed="false">
      <c r="A2200" s="0" t="s">
        <v>259</v>
      </c>
      <c r="B2200" s="52" t="n">
        <v>44320</v>
      </c>
      <c r="C2200" s="54" t="s">
        <v>590</v>
      </c>
      <c r="D2200" s="0" t="n">
        <v>0.272854149526024</v>
      </c>
      <c r="E2200" s="0" t="n">
        <v>0.211115327308777</v>
      </c>
      <c r="F2200" s="0" t="n">
        <v>0</v>
      </c>
      <c r="G2200" s="0" t="n">
        <v>2021</v>
      </c>
    </row>
    <row r="2201" customFormat="false" ht="15" hidden="false" customHeight="false" outlineLevel="0" collapsed="false">
      <c r="A2201" s="0" t="s">
        <v>259</v>
      </c>
      <c r="B2201" s="52" t="n">
        <v>44320</v>
      </c>
      <c r="C2201" s="54" t="s">
        <v>591</v>
      </c>
      <c r="D2201" s="0" t="n">
        <v>1</v>
      </c>
      <c r="E2201" s="0" t="n">
        <v>0</v>
      </c>
      <c r="F2201" s="0" t="n">
        <v>0</v>
      </c>
      <c r="G2201" s="0" t="n">
        <v>2021</v>
      </c>
    </row>
    <row r="2202" customFormat="false" ht="15" hidden="false" customHeight="false" outlineLevel="0" collapsed="false">
      <c r="A2202" s="0" t="s">
        <v>259</v>
      </c>
      <c r="B2202" s="52" t="n">
        <v>44320</v>
      </c>
      <c r="C2202" s="54" t="s">
        <v>592</v>
      </c>
      <c r="D2202" s="0" t="n">
        <v>0.0576095596071204</v>
      </c>
      <c r="E2202" s="0" t="n">
        <v>0.13672731189911</v>
      </c>
      <c r="F2202" s="0" t="n">
        <v>0</v>
      </c>
      <c r="G2202" s="0" t="n">
        <v>2021</v>
      </c>
    </row>
    <row r="2203" customFormat="false" ht="15" hidden="false" customHeight="false" outlineLevel="0" collapsed="false">
      <c r="A2203" s="0" t="s">
        <v>259</v>
      </c>
      <c r="B2203" s="52" t="n">
        <v>44321</v>
      </c>
      <c r="C2203" s="54" t="s">
        <v>590</v>
      </c>
      <c r="D2203" s="0" t="n">
        <v>0.145292586139846</v>
      </c>
      <c r="E2203" s="0" t="n">
        <v>0.224652930111215</v>
      </c>
      <c r="F2203" s="0" t="n">
        <v>0</v>
      </c>
      <c r="G2203" s="0" t="n">
        <v>2021</v>
      </c>
    </row>
    <row r="2204" customFormat="false" ht="15" hidden="false" customHeight="false" outlineLevel="0" collapsed="false">
      <c r="A2204" s="0" t="s">
        <v>259</v>
      </c>
      <c r="B2204" s="52" t="n">
        <v>44321</v>
      </c>
      <c r="C2204" s="54" t="s">
        <v>592</v>
      </c>
      <c r="D2204" s="0" t="n">
        <v>0.619900143992944</v>
      </c>
      <c r="E2204" s="0" t="n">
        <v>0.0214614961380415</v>
      </c>
      <c r="F2204" s="0" t="n">
        <v>0</v>
      </c>
      <c r="G2204" s="0" t="n">
        <v>2021</v>
      </c>
    </row>
    <row r="2205" customFormat="false" ht="15" hidden="false" customHeight="false" outlineLevel="0" collapsed="false">
      <c r="A2205" s="0" t="s">
        <v>259</v>
      </c>
      <c r="B2205" s="52" t="n">
        <v>44322</v>
      </c>
      <c r="C2205" s="54" t="s">
        <v>590</v>
      </c>
      <c r="D2205" s="0" t="n">
        <v>0.198865443333756</v>
      </c>
      <c r="E2205" s="0" t="n">
        <v>0.29716195972159</v>
      </c>
      <c r="F2205" s="0" t="n">
        <v>0</v>
      </c>
      <c r="G2205" s="0" t="n">
        <v>2021</v>
      </c>
    </row>
    <row r="2206" customFormat="false" ht="15" hidden="false" customHeight="false" outlineLevel="0" collapsed="false">
      <c r="A2206" s="0" t="s">
        <v>259</v>
      </c>
      <c r="B2206" s="52" t="n">
        <v>44322</v>
      </c>
      <c r="C2206" s="54" t="s">
        <v>592</v>
      </c>
      <c r="D2206" s="0" t="n">
        <v>0.104686455473419</v>
      </c>
      <c r="E2206" s="0" t="n">
        <v>0.141067320065564</v>
      </c>
      <c r="F2206" s="0" t="n">
        <v>0</v>
      </c>
      <c r="G2206" s="0" t="n">
        <v>2021</v>
      </c>
    </row>
    <row r="2207" customFormat="false" ht="15" hidden="false" customHeight="false" outlineLevel="0" collapsed="false">
      <c r="A2207" s="0" t="s">
        <v>259</v>
      </c>
      <c r="B2207" s="52" t="n">
        <v>44323</v>
      </c>
      <c r="C2207" s="54" t="s">
        <v>590</v>
      </c>
      <c r="D2207" s="0" t="n">
        <v>0.121201158058642</v>
      </c>
      <c r="E2207" s="0" t="n">
        <v>0.319976371715776</v>
      </c>
      <c r="F2207" s="0" t="n">
        <v>0</v>
      </c>
      <c r="G2207" s="0" t="n">
        <v>2021</v>
      </c>
    </row>
    <row r="2208" customFormat="false" ht="15" hidden="false" customHeight="false" outlineLevel="0" collapsed="false">
      <c r="A2208" s="0" t="s">
        <v>259</v>
      </c>
      <c r="B2208" s="52" t="n">
        <v>44323</v>
      </c>
      <c r="C2208" s="54" t="s">
        <v>592</v>
      </c>
      <c r="D2208" s="0" t="n">
        <v>0.223704391370948</v>
      </c>
      <c r="E2208" s="0" t="n">
        <v>0.175796622106962</v>
      </c>
      <c r="F2208" s="0" t="n">
        <v>0</v>
      </c>
      <c r="G2208" s="0" t="n">
        <v>2021</v>
      </c>
    </row>
    <row r="2209" customFormat="false" ht="15" hidden="false" customHeight="false" outlineLevel="0" collapsed="false">
      <c r="A2209" s="0" t="s">
        <v>259</v>
      </c>
      <c r="B2209" s="52" t="n">
        <v>44324</v>
      </c>
      <c r="C2209" s="54" t="s">
        <v>590</v>
      </c>
      <c r="D2209" s="0" t="n">
        <v>0.311305873555554</v>
      </c>
      <c r="E2209" s="0" t="n">
        <v>0.102881316530485</v>
      </c>
      <c r="F2209" s="0" t="n">
        <v>1</v>
      </c>
      <c r="G2209" s="0" t="n">
        <v>2021</v>
      </c>
    </row>
    <row r="2210" customFormat="false" ht="15" hidden="false" customHeight="false" outlineLevel="0" collapsed="false">
      <c r="A2210" s="0" t="s">
        <v>259</v>
      </c>
      <c r="B2210" s="52" t="n">
        <v>44325</v>
      </c>
      <c r="C2210" s="54" t="s">
        <v>592</v>
      </c>
      <c r="D2210" s="0" t="n">
        <v>0.12777971156005</v>
      </c>
      <c r="E2210" s="0" t="n">
        <v>0.0973774898702457</v>
      </c>
      <c r="F2210" s="0" t="n">
        <v>1</v>
      </c>
      <c r="G2210" s="0" t="n">
        <v>2021</v>
      </c>
    </row>
    <row r="2211" customFormat="false" ht="15" hidden="false" customHeight="false" outlineLevel="0" collapsed="false">
      <c r="A2211" s="0" t="s">
        <v>259</v>
      </c>
      <c r="B2211" s="52" t="n">
        <v>44326</v>
      </c>
      <c r="C2211" s="54" t="s">
        <v>590</v>
      </c>
      <c r="D2211" s="0" t="n">
        <v>0.441537352939682</v>
      </c>
      <c r="E2211" s="0" t="n">
        <v>0.219239223762001</v>
      </c>
      <c r="F2211" s="0" t="n">
        <v>0</v>
      </c>
      <c r="G2211" s="0" t="n">
        <v>2021</v>
      </c>
    </row>
    <row r="2212" customFormat="false" ht="15" hidden="false" customHeight="false" outlineLevel="0" collapsed="false">
      <c r="A2212" s="0" t="s">
        <v>259</v>
      </c>
      <c r="B2212" s="52" t="n">
        <v>44326</v>
      </c>
      <c r="C2212" s="54" t="s">
        <v>592</v>
      </c>
      <c r="D2212" s="0" t="n">
        <v>0.081769429098779</v>
      </c>
      <c r="E2212" s="0" t="n">
        <v>0.169812178610275</v>
      </c>
      <c r="F2212" s="0" t="n">
        <v>0</v>
      </c>
      <c r="G2212" s="0" t="n">
        <v>2021</v>
      </c>
    </row>
    <row r="2213" customFormat="false" ht="15" hidden="false" customHeight="false" outlineLevel="0" collapsed="false">
      <c r="A2213" s="0" t="s">
        <v>259</v>
      </c>
      <c r="B2213" s="52" t="n">
        <v>44327</v>
      </c>
      <c r="C2213" s="54" t="s">
        <v>590</v>
      </c>
      <c r="D2213" s="0" t="n">
        <v>0.392980378745853</v>
      </c>
      <c r="E2213" s="0" t="n">
        <v>0.154574842599047</v>
      </c>
      <c r="F2213" s="0" t="n">
        <v>0</v>
      </c>
      <c r="G2213" s="0" t="n">
        <v>2021</v>
      </c>
    </row>
    <row r="2214" customFormat="false" ht="15" hidden="false" customHeight="false" outlineLevel="0" collapsed="false">
      <c r="A2214" s="0" t="s">
        <v>259</v>
      </c>
      <c r="B2214" s="52" t="n">
        <v>44327</v>
      </c>
      <c r="C2214" s="54" t="s">
        <v>592</v>
      </c>
      <c r="D2214" s="0" t="n">
        <v>0.0946851310201588</v>
      </c>
      <c r="E2214" s="0" t="n">
        <v>0.234473517550593</v>
      </c>
      <c r="F2214" s="0" t="n">
        <v>0</v>
      </c>
      <c r="G2214" s="0" t="n">
        <v>2021</v>
      </c>
    </row>
    <row r="2215" customFormat="false" ht="15" hidden="false" customHeight="false" outlineLevel="0" collapsed="false">
      <c r="A2215" s="0" t="s">
        <v>259</v>
      </c>
      <c r="B2215" s="52" t="n">
        <v>44328</v>
      </c>
      <c r="C2215" s="54" t="s">
        <v>590</v>
      </c>
      <c r="D2215" s="0" t="n">
        <v>0.165493937510756</v>
      </c>
      <c r="E2215" s="0" t="n">
        <v>0.176481578533975</v>
      </c>
      <c r="F2215" s="0" t="n">
        <v>0</v>
      </c>
      <c r="G2215" s="0" t="n">
        <v>2021</v>
      </c>
    </row>
    <row r="2216" customFormat="false" ht="15" hidden="false" customHeight="false" outlineLevel="0" collapsed="false">
      <c r="A2216" s="0" t="s">
        <v>259</v>
      </c>
      <c r="B2216" s="52" t="n">
        <v>44328</v>
      </c>
      <c r="C2216" s="54" t="s">
        <v>591</v>
      </c>
      <c r="D2216" s="0" t="n">
        <v>0.632166007331062</v>
      </c>
      <c r="E2216" s="0" t="n">
        <v>0.0932337618753391</v>
      </c>
      <c r="F2216" s="0" t="n">
        <v>0</v>
      </c>
      <c r="G2216" s="0" t="n">
        <v>2021</v>
      </c>
    </row>
    <row r="2217" customFormat="false" ht="15" hidden="false" customHeight="false" outlineLevel="0" collapsed="false">
      <c r="A2217" s="0" t="s">
        <v>259</v>
      </c>
      <c r="B2217" s="52" t="n">
        <v>44328</v>
      </c>
      <c r="C2217" s="54" t="s">
        <v>592</v>
      </c>
      <c r="D2217" s="0" t="n">
        <v>0.941973740818876</v>
      </c>
      <c r="E2217" s="0" t="n">
        <v>0</v>
      </c>
      <c r="F2217" s="0" t="n">
        <v>0</v>
      </c>
      <c r="G2217" s="0" t="n">
        <v>2021</v>
      </c>
    </row>
    <row r="2218" customFormat="false" ht="15" hidden="false" customHeight="false" outlineLevel="0" collapsed="false">
      <c r="A2218" s="0" t="s">
        <v>259</v>
      </c>
      <c r="B2218" s="52" t="n">
        <v>44329</v>
      </c>
      <c r="C2218" s="54" t="s">
        <v>590</v>
      </c>
      <c r="D2218" s="0" t="n">
        <v>0.186577503119927</v>
      </c>
      <c r="E2218" s="0" t="n">
        <v>0.248104531306521</v>
      </c>
      <c r="F2218" s="0" t="n">
        <v>0</v>
      </c>
      <c r="G2218" s="0" t="n">
        <v>2021</v>
      </c>
    </row>
    <row r="2219" customFormat="false" ht="15" hidden="false" customHeight="false" outlineLevel="0" collapsed="false">
      <c r="A2219" s="0" t="s">
        <v>259</v>
      </c>
      <c r="B2219" s="52" t="n">
        <v>44329</v>
      </c>
      <c r="C2219" s="54" t="s">
        <v>592</v>
      </c>
      <c r="D2219" s="0" t="n">
        <v>0.0849599584332133</v>
      </c>
      <c r="E2219" s="0" t="n">
        <v>0.1538605435924</v>
      </c>
      <c r="F2219" s="0" t="n">
        <v>0</v>
      </c>
      <c r="G2219" s="0" t="n">
        <v>2021</v>
      </c>
    </row>
    <row r="2220" customFormat="false" ht="15" hidden="false" customHeight="false" outlineLevel="0" collapsed="false">
      <c r="A2220" s="0" t="s">
        <v>259</v>
      </c>
      <c r="B2220" s="52" t="n">
        <v>44330</v>
      </c>
      <c r="C2220" s="54" t="s">
        <v>590</v>
      </c>
      <c r="D2220" s="0" t="n">
        <v>0.187773542400692</v>
      </c>
      <c r="E2220" s="0" t="n">
        <v>0.149220064345006</v>
      </c>
      <c r="F2220" s="0" t="n">
        <v>0</v>
      </c>
      <c r="G2220" s="0" t="n">
        <v>2021</v>
      </c>
    </row>
    <row r="2221" customFormat="false" ht="15" hidden="false" customHeight="false" outlineLevel="0" collapsed="false">
      <c r="A2221" s="0" t="s">
        <v>259</v>
      </c>
      <c r="B2221" s="52" t="n">
        <v>44330</v>
      </c>
      <c r="C2221" s="54" t="s">
        <v>592</v>
      </c>
      <c r="D2221" s="0" t="n">
        <v>0.0997051261300295</v>
      </c>
      <c r="E2221" s="0" t="n">
        <v>0.152777890360542</v>
      </c>
      <c r="F2221" s="0" t="n">
        <v>0</v>
      </c>
      <c r="G2221" s="0" t="n">
        <v>2021</v>
      </c>
    </row>
    <row r="2222" customFormat="false" ht="15" hidden="false" customHeight="false" outlineLevel="0" collapsed="false">
      <c r="A2222" s="0" t="s">
        <v>259</v>
      </c>
      <c r="B2222" s="52" t="n">
        <v>44331</v>
      </c>
      <c r="C2222" s="54" t="s">
        <v>590</v>
      </c>
      <c r="D2222" s="0" t="n">
        <v>0.305390288731285</v>
      </c>
      <c r="E2222" s="0" t="n">
        <v>0.062245204241675</v>
      </c>
      <c r="F2222" s="0" t="n">
        <v>1</v>
      </c>
      <c r="G2222" s="0" t="n">
        <v>2021</v>
      </c>
    </row>
    <row r="2223" customFormat="false" ht="15" hidden="false" customHeight="false" outlineLevel="0" collapsed="false">
      <c r="A2223" s="0" t="s">
        <v>259</v>
      </c>
      <c r="B2223" s="52" t="n">
        <v>44332</v>
      </c>
      <c r="C2223" s="54" t="s">
        <v>590</v>
      </c>
      <c r="D2223" s="0" t="n">
        <v>0.997720160383355</v>
      </c>
      <c r="E2223" s="0" t="n">
        <v>0</v>
      </c>
      <c r="F2223" s="0" t="n">
        <v>1</v>
      </c>
      <c r="G2223" s="0" t="n">
        <v>2021</v>
      </c>
    </row>
    <row r="2224" customFormat="false" ht="15" hidden="false" customHeight="false" outlineLevel="0" collapsed="false">
      <c r="A2224" s="0" t="s">
        <v>259</v>
      </c>
      <c r="B2224" s="52" t="n">
        <v>44332</v>
      </c>
      <c r="C2224" s="54" t="s">
        <v>592</v>
      </c>
      <c r="D2224" s="0" t="n">
        <v>0.0371057177812578</v>
      </c>
      <c r="E2224" s="0" t="n">
        <v>0.353463909811637</v>
      </c>
      <c r="F2224" s="0" t="n">
        <v>1</v>
      </c>
      <c r="G2224" s="0" t="n">
        <v>2021</v>
      </c>
    </row>
    <row r="2225" customFormat="false" ht="15" hidden="false" customHeight="false" outlineLevel="0" collapsed="false">
      <c r="A2225" s="0" t="s">
        <v>259</v>
      </c>
      <c r="B2225" s="52" t="n">
        <v>44333</v>
      </c>
      <c r="C2225" s="54" t="s">
        <v>590</v>
      </c>
      <c r="D2225" s="0" t="n">
        <v>0.269480921922697</v>
      </c>
      <c r="E2225" s="0" t="n">
        <v>0.248358582692525</v>
      </c>
      <c r="F2225" s="0" t="n">
        <v>0</v>
      </c>
      <c r="G2225" s="0" t="n">
        <v>2021</v>
      </c>
    </row>
    <row r="2226" customFormat="false" ht="15" hidden="false" customHeight="false" outlineLevel="0" collapsed="false">
      <c r="A2226" s="0" t="s">
        <v>259</v>
      </c>
      <c r="B2226" s="52" t="n">
        <v>44333</v>
      </c>
      <c r="C2226" s="54" t="s">
        <v>592</v>
      </c>
      <c r="D2226" s="0" t="n">
        <v>0.077222963138249</v>
      </c>
      <c r="E2226" s="0" t="n">
        <v>0.167013893597071</v>
      </c>
      <c r="F2226" s="0" t="n">
        <v>0</v>
      </c>
      <c r="G2226" s="0" t="n">
        <v>2021</v>
      </c>
    </row>
    <row r="2227" customFormat="false" ht="15" hidden="false" customHeight="false" outlineLevel="0" collapsed="false">
      <c r="A2227" s="0" t="s">
        <v>259</v>
      </c>
      <c r="B2227" s="52" t="n">
        <v>44334</v>
      </c>
      <c r="C2227" s="54" t="s">
        <v>590</v>
      </c>
      <c r="D2227" s="0" t="n">
        <v>0.407180549813768</v>
      </c>
      <c r="E2227" s="0" t="n">
        <v>0.146060794188019</v>
      </c>
      <c r="F2227" s="0" t="n">
        <v>0</v>
      </c>
      <c r="G2227" s="0" t="n">
        <v>2021</v>
      </c>
    </row>
    <row r="2228" customFormat="false" ht="15" hidden="false" customHeight="false" outlineLevel="0" collapsed="false">
      <c r="A2228" s="0" t="s">
        <v>259</v>
      </c>
      <c r="B2228" s="52" t="n">
        <v>44334</v>
      </c>
      <c r="C2228" s="54" t="s">
        <v>592</v>
      </c>
      <c r="D2228" s="0" t="n">
        <v>0.0732092386487323</v>
      </c>
      <c r="E2228" s="0" t="n">
        <v>0.110218842591456</v>
      </c>
      <c r="F2228" s="0" t="n">
        <v>0</v>
      </c>
      <c r="G2228" s="0" t="n">
        <v>2021</v>
      </c>
    </row>
    <row r="2229" customFormat="false" ht="15" hidden="false" customHeight="false" outlineLevel="0" collapsed="false">
      <c r="A2229" s="0" t="s">
        <v>259</v>
      </c>
      <c r="B2229" s="52" t="n">
        <v>44335</v>
      </c>
      <c r="C2229" s="54" t="s">
        <v>590</v>
      </c>
      <c r="D2229" s="0" t="n">
        <v>0.314964870157872</v>
      </c>
      <c r="E2229" s="0" t="n">
        <v>0.124430414152564</v>
      </c>
      <c r="F2229" s="0" t="n">
        <v>0</v>
      </c>
      <c r="G2229" s="0" t="n">
        <v>2021</v>
      </c>
    </row>
    <row r="2230" customFormat="false" ht="15" hidden="false" customHeight="false" outlineLevel="0" collapsed="false">
      <c r="A2230" s="0" t="s">
        <v>259</v>
      </c>
      <c r="B2230" s="52" t="n">
        <v>44335</v>
      </c>
      <c r="C2230" s="54" t="s">
        <v>592</v>
      </c>
      <c r="D2230" s="0" t="n">
        <v>0.984874721469269</v>
      </c>
      <c r="E2230" s="0" t="n">
        <v>0</v>
      </c>
      <c r="F2230" s="0" t="n">
        <v>0</v>
      </c>
      <c r="G2230" s="0" t="n">
        <v>2021</v>
      </c>
    </row>
    <row r="2231" customFormat="false" ht="15" hidden="false" customHeight="false" outlineLevel="0" collapsed="false">
      <c r="A2231" s="0" t="s">
        <v>259</v>
      </c>
      <c r="B2231" s="52" t="n">
        <v>44336</v>
      </c>
      <c r="C2231" s="54" t="s">
        <v>590</v>
      </c>
      <c r="D2231" s="0" t="n">
        <v>0.269964650150313</v>
      </c>
      <c r="E2231" s="0" t="n">
        <v>0.0763900137656856</v>
      </c>
      <c r="F2231" s="0" t="n">
        <v>0</v>
      </c>
      <c r="G2231" s="0" t="n">
        <v>2021</v>
      </c>
    </row>
    <row r="2232" customFormat="false" ht="15" hidden="false" customHeight="false" outlineLevel="0" collapsed="false">
      <c r="A2232" s="0" t="s">
        <v>259</v>
      </c>
      <c r="B2232" s="52" t="n">
        <v>44336</v>
      </c>
      <c r="C2232" s="54" t="s">
        <v>592</v>
      </c>
      <c r="D2232" s="0" t="n">
        <v>0.0909299366733889</v>
      </c>
      <c r="E2232" s="0" t="n">
        <v>0.146098968485003</v>
      </c>
      <c r="F2232" s="0" t="n">
        <v>0</v>
      </c>
      <c r="G2232" s="0" t="n">
        <v>2021</v>
      </c>
    </row>
    <row r="2233" customFormat="false" ht="15" hidden="false" customHeight="false" outlineLevel="0" collapsed="false">
      <c r="A2233" s="0" t="s">
        <v>259</v>
      </c>
      <c r="B2233" s="52" t="n">
        <v>44337</v>
      </c>
      <c r="C2233" s="54" t="s">
        <v>590</v>
      </c>
      <c r="D2233" s="0" t="n">
        <v>0.292000002231234</v>
      </c>
      <c r="E2233" s="0" t="n">
        <v>0.152979562451227</v>
      </c>
      <c r="F2233" s="0" t="n">
        <v>0</v>
      </c>
      <c r="G2233" s="0" t="n">
        <v>2021</v>
      </c>
    </row>
    <row r="2234" customFormat="false" ht="15" hidden="false" customHeight="false" outlineLevel="0" collapsed="false">
      <c r="A2234" s="0" t="s">
        <v>259</v>
      </c>
      <c r="B2234" s="52" t="n">
        <v>44337</v>
      </c>
      <c r="C2234" s="54" t="s">
        <v>592</v>
      </c>
      <c r="D2234" s="0" t="n">
        <v>0.595066534108058</v>
      </c>
      <c r="E2234" s="0" t="n">
        <v>0.110050230204986</v>
      </c>
      <c r="F2234" s="0" t="n">
        <v>0</v>
      </c>
      <c r="G2234" s="0" t="n">
        <v>2021</v>
      </c>
    </row>
    <row r="2235" customFormat="false" ht="15" hidden="false" customHeight="false" outlineLevel="0" collapsed="false">
      <c r="A2235" s="0" t="s">
        <v>259</v>
      </c>
      <c r="B2235" s="52" t="n">
        <v>44338</v>
      </c>
      <c r="C2235" s="54" t="s">
        <v>590</v>
      </c>
      <c r="D2235" s="0" t="n">
        <v>0.278800221344707</v>
      </c>
      <c r="E2235" s="0" t="n">
        <v>0.112963634233851</v>
      </c>
      <c r="F2235" s="0" t="n">
        <v>1</v>
      </c>
      <c r="G2235" s="0" t="n">
        <v>2021</v>
      </c>
    </row>
    <row r="2236" customFormat="false" ht="15" hidden="false" customHeight="false" outlineLevel="0" collapsed="false">
      <c r="A2236" s="0" t="s">
        <v>259</v>
      </c>
      <c r="B2236" s="52" t="n">
        <v>44339</v>
      </c>
      <c r="C2236" s="54" t="s">
        <v>592</v>
      </c>
      <c r="D2236" s="0" t="n">
        <v>0.205134596745034</v>
      </c>
      <c r="E2236" s="0" t="n">
        <v>0.195692065895547</v>
      </c>
      <c r="F2236" s="0" t="n">
        <v>1</v>
      </c>
      <c r="G2236" s="0" t="n">
        <v>2021</v>
      </c>
    </row>
    <row r="2237" customFormat="false" ht="15" hidden="false" customHeight="false" outlineLevel="0" collapsed="false">
      <c r="A2237" s="0" t="s">
        <v>259</v>
      </c>
      <c r="B2237" s="52" t="n">
        <v>44340</v>
      </c>
      <c r="C2237" s="54" t="s">
        <v>590</v>
      </c>
      <c r="D2237" s="0" t="n">
        <v>0.493119343649518</v>
      </c>
      <c r="E2237" s="0" t="n">
        <v>0.113621189898279</v>
      </c>
      <c r="F2237" s="0" t="n">
        <v>0</v>
      </c>
      <c r="G2237" s="0" t="n">
        <v>2021</v>
      </c>
    </row>
    <row r="2238" customFormat="false" ht="15" hidden="false" customHeight="false" outlineLevel="0" collapsed="false">
      <c r="A2238" s="0" t="s">
        <v>259</v>
      </c>
      <c r="B2238" s="52" t="n">
        <v>44340</v>
      </c>
      <c r="C2238" s="54" t="s">
        <v>592</v>
      </c>
      <c r="D2238" s="0" t="n">
        <v>0.138720522624611</v>
      </c>
      <c r="E2238" s="0" t="n">
        <v>0.109970854171855</v>
      </c>
      <c r="F2238" s="0" t="n">
        <v>0</v>
      </c>
      <c r="G2238" s="0" t="n">
        <v>2021</v>
      </c>
    </row>
    <row r="2239" customFormat="false" ht="15" hidden="false" customHeight="false" outlineLevel="0" collapsed="false">
      <c r="A2239" s="0" t="s">
        <v>259</v>
      </c>
      <c r="B2239" s="52" t="n">
        <v>44341</v>
      </c>
      <c r="C2239" s="54" t="s">
        <v>590</v>
      </c>
      <c r="D2239" s="0" t="n">
        <v>0.449080043983742</v>
      </c>
      <c r="E2239" s="0" t="n">
        <v>0.0767933225190333</v>
      </c>
      <c r="F2239" s="0" t="n">
        <v>0</v>
      </c>
      <c r="G2239" s="0" t="n">
        <v>2021</v>
      </c>
    </row>
    <row r="2240" customFormat="false" ht="15" hidden="false" customHeight="false" outlineLevel="0" collapsed="false">
      <c r="A2240" s="0" t="s">
        <v>259</v>
      </c>
      <c r="B2240" s="52" t="n">
        <v>44341</v>
      </c>
      <c r="C2240" s="54" t="s">
        <v>592</v>
      </c>
      <c r="D2240" s="0" t="n">
        <v>0.129873980869851</v>
      </c>
      <c r="E2240" s="0" t="n">
        <v>0.188086791686413</v>
      </c>
      <c r="F2240" s="0" t="n">
        <v>0</v>
      </c>
      <c r="G2240" s="0" t="n">
        <v>2021</v>
      </c>
    </row>
    <row r="2241" customFormat="false" ht="15" hidden="false" customHeight="false" outlineLevel="0" collapsed="false">
      <c r="A2241" s="0" t="s">
        <v>259</v>
      </c>
      <c r="B2241" s="52" t="n">
        <v>44342</v>
      </c>
      <c r="C2241" s="54" t="s">
        <v>590</v>
      </c>
      <c r="D2241" s="0" t="n">
        <v>0.170453329616211</v>
      </c>
      <c r="E2241" s="0" t="n">
        <v>0.151211011836423</v>
      </c>
      <c r="F2241" s="0" t="n">
        <v>0</v>
      </c>
      <c r="G2241" s="0" t="n">
        <v>2021</v>
      </c>
    </row>
    <row r="2242" customFormat="false" ht="15" hidden="false" customHeight="false" outlineLevel="0" collapsed="false">
      <c r="A2242" s="0" t="s">
        <v>259</v>
      </c>
      <c r="B2242" s="52" t="n">
        <v>44342</v>
      </c>
      <c r="C2242" s="54" t="s">
        <v>591</v>
      </c>
      <c r="D2242" s="0" t="n">
        <v>0.507233454549075</v>
      </c>
      <c r="E2242" s="0" t="n">
        <v>0.0536742310147701</v>
      </c>
      <c r="F2242" s="0" t="n">
        <v>0</v>
      </c>
      <c r="G2242" s="0" t="n">
        <v>2021</v>
      </c>
    </row>
    <row r="2243" customFormat="false" ht="15" hidden="false" customHeight="false" outlineLevel="0" collapsed="false">
      <c r="A2243" s="0" t="s">
        <v>259</v>
      </c>
      <c r="B2243" s="52" t="n">
        <v>44342</v>
      </c>
      <c r="C2243" s="54" t="s">
        <v>592</v>
      </c>
      <c r="D2243" s="0" t="n">
        <v>1</v>
      </c>
      <c r="E2243" s="0" t="n">
        <v>0</v>
      </c>
      <c r="F2243" s="0" t="n">
        <v>0</v>
      </c>
      <c r="G2243" s="0" t="n">
        <v>2021</v>
      </c>
    </row>
    <row r="2244" customFormat="false" ht="15" hidden="false" customHeight="false" outlineLevel="0" collapsed="false">
      <c r="A2244" s="0" t="s">
        <v>259</v>
      </c>
      <c r="B2244" s="52" t="n">
        <v>44343</v>
      </c>
      <c r="C2244" s="54" t="s">
        <v>590</v>
      </c>
      <c r="D2244" s="0" t="n">
        <v>0.290319120422122</v>
      </c>
      <c r="E2244" s="0" t="n">
        <v>0.108425050692137</v>
      </c>
      <c r="F2244" s="0" t="n">
        <v>0</v>
      </c>
      <c r="G2244" s="0" t="n">
        <v>2021</v>
      </c>
    </row>
    <row r="2245" customFormat="false" ht="15" hidden="false" customHeight="false" outlineLevel="0" collapsed="false">
      <c r="A2245" s="0" t="s">
        <v>259</v>
      </c>
      <c r="B2245" s="52" t="n">
        <v>44343</v>
      </c>
      <c r="C2245" s="54" t="s">
        <v>592</v>
      </c>
      <c r="D2245" s="0" t="n">
        <v>0.17993701870175</v>
      </c>
      <c r="E2245" s="0" t="n">
        <v>0.0689995330350407</v>
      </c>
      <c r="F2245" s="0" t="n">
        <v>0</v>
      </c>
      <c r="G2245" s="0" t="n">
        <v>2021</v>
      </c>
    </row>
    <row r="2246" customFormat="false" ht="15" hidden="false" customHeight="false" outlineLevel="0" collapsed="false">
      <c r="A2246" s="0" t="s">
        <v>259</v>
      </c>
      <c r="B2246" s="52" t="n">
        <v>44344</v>
      </c>
      <c r="C2246" s="54" t="s">
        <v>590</v>
      </c>
      <c r="D2246" s="0" t="n">
        <v>0.174396703578985</v>
      </c>
      <c r="E2246" s="0" t="n">
        <v>0.199203063347269</v>
      </c>
      <c r="F2246" s="0" t="n">
        <v>0</v>
      </c>
      <c r="G2246" s="0" t="n">
        <v>2021</v>
      </c>
    </row>
    <row r="2247" customFormat="false" ht="15" hidden="false" customHeight="false" outlineLevel="0" collapsed="false">
      <c r="A2247" s="0" t="s">
        <v>259</v>
      </c>
      <c r="B2247" s="52" t="n">
        <v>44344</v>
      </c>
      <c r="C2247" s="54" t="s">
        <v>592</v>
      </c>
      <c r="D2247" s="0" t="n">
        <v>0.1261082423874</v>
      </c>
      <c r="E2247" s="0" t="n">
        <v>0.175470420155054</v>
      </c>
      <c r="F2247" s="0" t="n">
        <v>0</v>
      </c>
      <c r="G2247" s="0" t="n">
        <v>2021</v>
      </c>
    </row>
    <row r="2248" customFormat="false" ht="15" hidden="false" customHeight="false" outlineLevel="0" collapsed="false">
      <c r="A2248" s="0" t="s">
        <v>259</v>
      </c>
      <c r="B2248" s="52" t="n">
        <v>44345</v>
      </c>
      <c r="C2248" s="54" t="s">
        <v>590</v>
      </c>
      <c r="D2248" s="0" t="n">
        <v>0.269373811846754</v>
      </c>
      <c r="E2248" s="0" t="n">
        <v>0.146677097808699</v>
      </c>
      <c r="F2248" s="0" t="n">
        <v>1</v>
      </c>
      <c r="G2248" s="0" t="n">
        <v>2021</v>
      </c>
    </row>
    <row r="2249" customFormat="false" ht="15" hidden="false" customHeight="false" outlineLevel="0" collapsed="false">
      <c r="A2249" s="0" t="s">
        <v>259</v>
      </c>
      <c r="B2249" s="52" t="n">
        <v>44346</v>
      </c>
      <c r="C2249" s="54" t="s">
        <v>592</v>
      </c>
      <c r="D2249" s="0" t="n">
        <v>0.101937219003404</v>
      </c>
      <c r="E2249" s="0" t="n">
        <v>0.152417872245142</v>
      </c>
      <c r="F2249" s="0" t="n">
        <v>1</v>
      </c>
      <c r="G2249" s="0" t="n">
        <v>2021</v>
      </c>
    </row>
    <row r="2250" customFormat="false" ht="15" hidden="false" customHeight="false" outlineLevel="0" collapsed="false">
      <c r="A2250" s="0" t="s">
        <v>259</v>
      </c>
      <c r="B2250" s="52" t="n">
        <v>44347</v>
      </c>
      <c r="C2250" s="54" t="s">
        <v>590</v>
      </c>
      <c r="D2250" s="0" t="n">
        <v>0.228171214442217</v>
      </c>
      <c r="E2250" s="0" t="n">
        <v>0.203126595144795</v>
      </c>
      <c r="F2250" s="0" t="n">
        <v>0</v>
      </c>
      <c r="G2250" s="0" t="n">
        <v>2021</v>
      </c>
    </row>
    <row r="2251" customFormat="false" ht="15" hidden="false" customHeight="false" outlineLevel="0" collapsed="false">
      <c r="A2251" s="0" t="s">
        <v>259</v>
      </c>
      <c r="B2251" s="52" t="n">
        <v>44347</v>
      </c>
      <c r="C2251" s="54" t="s">
        <v>592</v>
      </c>
      <c r="D2251" s="0" t="n">
        <v>0.137825126504571</v>
      </c>
      <c r="E2251" s="0" t="n">
        <v>0.205381431321698</v>
      </c>
      <c r="F2251" s="0" t="n">
        <v>0</v>
      </c>
      <c r="G2251" s="0" t="n">
        <v>2021</v>
      </c>
    </row>
    <row r="2252" customFormat="false" ht="15" hidden="false" customHeight="false" outlineLevel="0" collapsed="false">
      <c r="A2252" s="0" t="s">
        <v>259</v>
      </c>
      <c r="B2252" s="52" t="n">
        <v>44348</v>
      </c>
      <c r="C2252" s="54" t="s">
        <v>590</v>
      </c>
      <c r="D2252" s="0" t="n">
        <v>0.670708286249441</v>
      </c>
      <c r="E2252" s="0" t="n">
        <v>0.0200600743753179</v>
      </c>
      <c r="F2252" s="0" t="n">
        <v>0</v>
      </c>
      <c r="G2252" s="0" t="n">
        <v>2021</v>
      </c>
    </row>
    <row r="2253" customFormat="false" ht="15" hidden="false" customHeight="false" outlineLevel="0" collapsed="false">
      <c r="A2253" s="0" t="s">
        <v>259</v>
      </c>
      <c r="B2253" s="52" t="n">
        <v>44348</v>
      </c>
      <c r="C2253" s="54" t="s">
        <v>591</v>
      </c>
      <c r="D2253" s="0" t="n">
        <v>0.162038073908175</v>
      </c>
      <c r="E2253" s="0" t="n">
        <v>0.101826592991023</v>
      </c>
      <c r="F2253" s="0" t="n">
        <v>0</v>
      </c>
      <c r="G2253" s="0" t="n">
        <v>2021</v>
      </c>
    </row>
    <row r="2254" customFormat="false" ht="15" hidden="false" customHeight="false" outlineLevel="0" collapsed="false">
      <c r="A2254" s="0" t="s">
        <v>259</v>
      </c>
      <c r="B2254" s="52" t="n">
        <v>44348</v>
      </c>
      <c r="C2254" s="54" t="s">
        <v>592</v>
      </c>
      <c r="D2254" s="0" t="n">
        <v>0.104322693794205</v>
      </c>
      <c r="E2254" s="0" t="n">
        <v>0.109483334673696</v>
      </c>
      <c r="F2254" s="0" t="n">
        <v>0</v>
      </c>
      <c r="G2254" s="0" t="n">
        <v>2021</v>
      </c>
    </row>
    <row r="2255" customFormat="false" ht="15" hidden="false" customHeight="false" outlineLevel="0" collapsed="false">
      <c r="A2255" s="0" t="s">
        <v>259</v>
      </c>
      <c r="B2255" s="52" t="n">
        <v>44349</v>
      </c>
      <c r="C2255" s="54" t="s">
        <v>590</v>
      </c>
      <c r="D2255" s="0" t="n">
        <v>0.161678229623709</v>
      </c>
      <c r="E2255" s="0" t="n">
        <v>0.216446565194876</v>
      </c>
      <c r="F2255" s="0" t="n">
        <v>0</v>
      </c>
      <c r="G2255" s="0" t="n">
        <v>2021</v>
      </c>
    </row>
    <row r="2256" customFormat="false" ht="15" hidden="false" customHeight="false" outlineLevel="0" collapsed="false">
      <c r="A2256" s="0" t="s">
        <v>259</v>
      </c>
      <c r="B2256" s="52" t="n">
        <v>44349</v>
      </c>
      <c r="C2256" s="54" t="s">
        <v>592</v>
      </c>
      <c r="D2256" s="0" t="n">
        <v>0.390368954957799</v>
      </c>
      <c r="E2256" s="0" t="n">
        <v>0.0703069994843367</v>
      </c>
      <c r="F2256" s="0" t="n">
        <v>0</v>
      </c>
      <c r="G2256" s="0" t="n">
        <v>2021</v>
      </c>
    </row>
    <row r="2257" customFormat="false" ht="15" hidden="false" customHeight="false" outlineLevel="0" collapsed="false">
      <c r="A2257" s="0" t="s">
        <v>259</v>
      </c>
      <c r="B2257" s="52" t="n">
        <v>44350</v>
      </c>
      <c r="C2257" s="54" t="s">
        <v>590</v>
      </c>
      <c r="D2257" s="0" t="n">
        <v>0.222893652208619</v>
      </c>
      <c r="E2257" s="0" t="n">
        <v>0.155199569714604</v>
      </c>
      <c r="F2257" s="0" t="n">
        <v>0</v>
      </c>
      <c r="G2257" s="0" t="n">
        <v>2021</v>
      </c>
    </row>
    <row r="2258" customFormat="false" ht="15" hidden="false" customHeight="false" outlineLevel="0" collapsed="false">
      <c r="A2258" s="0" t="s">
        <v>259</v>
      </c>
      <c r="B2258" s="52" t="n">
        <v>44350</v>
      </c>
      <c r="C2258" s="54" t="s">
        <v>591</v>
      </c>
      <c r="D2258" s="0" t="n">
        <v>0.76470529320936</v>
      </c>
      <c r="E2258" s="0" t="n">
        <v>0.0489266500866335</v>
      </c>
      <c r="F2258" s="0" t="n">
        <v>0</v>
      </c>
      <c r="G2258" s="0" t="n">
        <v>2021</v>
      </c>
    </row>
    <row r="2259" customFormat="false" ht="15" hidden="false" customHeight="false" outlineLevel="0" collapsed="false">
      <c r="A2259" s="0" t="s">
        <v>259</v>
      </c>
      <c r="B2259" s="52" t="n">
        <v>44350</v>
      </c>
      <c r="C2259" s="54" t="s">
        <v>592</v>
      </c>
      <c r="D2259" s="0" t="n">
        <v>0.0769445058829049</v>
      </c>
      <c r="E2259" s="0" t="n">
        <v>0.0952161138845168</v>
      </c>
      <c r="F2259" s="0" t="n">
        <v>0</v>
      </c>
      <c r="G2259" s="0" t="n">
        <v>2021</v>
      </c>
    </row>
    <row r="2260" customFormat="false" ht="15" hidden="false" customHeight="false" outlineLevel="0" collapsed="false">
      <c r="A2260" s="0" t="s">
        <v>259</v>
      </c>
      <c r="B2260" s="52" t="n">
        <v>44351</v>
      </c>
      <c r="C2260" s="54" t="s">
        <v>590</v>
      </c>
      <c r="D2260" s="0" t="n">
        <v>0.270357542471612</v>
      </c>
      <c r="E2260" s="0" t="n">
        <v>0.188467244116052</v>
      </c>
      <c r="F2260" s="0" t="n">
        <v>0</v>
      </c>
      <c r="G2260" s="0" t="n">
        <v>2021</v>
      </c>
    </row>
    <row r="2261" customFormat="false" ht="15" hidden="false" customHeight="false" outlineLevel="0" collapsed="false">
      <c r="A2261" s="0" t="s">
        <v>259</v>
      </c>
      <c r="B2261" s="52" t="n">
        <v>44351</v>
      </c>
      <c r="C2261" s="54" t="s">
        <v>592</v>
      </c>
      <c r="D2261" s="0" t="n">
        <v>0.471014296410554</v>
      </c>
      <c r="E2261" s="0" t="n">
        <v>0.160633089446633</v>
      </c>
      <c r="F2261" s="0" t="n">
        <v>0</v>
      </c>
      <c r="G2261" s="0" t="n">
        <v>2021</v>
      </c>
    </row>
    <row r="2262" customFormat="false" ht="15" hidden="false" customHeight="false" outlineLevel="0" collapsed="false">
      <c r="A2262" s="0" t="s">
        <v>259</v>
      </c>
      <c r="B2262" s="52" t="n">
        <v>44352</v>
      </c>
      <c r="C2262" s="54" t="s">
        <v>590</v>
      </c>
      <c r="D2262" s="0" t="n">
        <v>0.170298818661648</v>
      </c>
      <c r="E2262" s="0" t="n">
        <v>0.0775736580904914</v>
      </c>
      <c r="F2262" s="0" t="n">
        <v>1</v>
      </c>
      <c r="G2262" s="0" t="n">
        <v>2021</v>
      </c>
    </row>
    <row r="2263" customFormat="false" ht="15" hidden="false" customHeight="false" outlineLevel="0" collapsed="false">
      <c r="A2263" s="0" t="s">
        <v>259</v>
      </c>
      <c r="B2263" s="52" t="n">
        <v>44353</v>
      </c>
      <c r="C2263" s="54" t="s">
        <v>592</v>
      </c>
      <c r="D2263" s="0" t="n">
        <v>0.128691996685719</v>
      </c>
      <c r="E2263" s="0" t="n">
        <v>0.106300070432741</v>
      </c>
      <c r="F2263" s="0" t="n">
        <v>1</v>
      </c>
      <c r="G2263" s="0" t="n">
        <v>2021</v>
      </c>
    </row>
    <row r="2264" customFormat="false" ht="15" hidden="false" customHeight="false" outlineLevel="0" collapsed="false">
      <c r="A2264" s="0" t="s">
        <v>259</v>
      </c>
      <c r="B2264" s="52" t="n">
        <v>44354</v>
      </c>
      <c r="C2264" s="54" t="s">
        <v>590</v>
      </c>
      <c r="D2264" s="0" t="n">
        <v>0.178006355792268</v>
      </c>
      <c r="E2264" s="0" t="n">
        <v>0.147470523710483</v>
      </c>
      <c r="F2264" s="0" t="n">
        <v>0</v>
      </c>
      <c r="G2264" s="0" t="n">
        <v>2021</v>
      </c>
    </row>
    <row r="2265" customFormat="false" ht="15" hidden="false" customHeight="false" outlineLevel="0" collapsed="false">
      <c r="A2265" s="0" t="s">
        <v>259</v>
      </c>
      <c r="B2265" s="52" t="n">
        <v>44354</v>
      </c>
      <c r="C2265" s="54" t="s">
        <v>591</v>
      </c>
      <c r="D2265" s="0" t="n">
        <v>0.398357123092207</v>
      </c>
      <c r="E2265" s="0" t="n">
        <v>0.0484832674343399</v>
      </c>
      <c r="F2265" s="0" t="n">
        <v>0</v>
      </c>
      <c r="G2265" s="0" t="n">
        <v>2021</v>
      </c>
    </row>
    <row r="2266" customFormat="false" ht="15" hidden="false" customHeight="false" outlineLevel="0" collapsed="false">
      <c r="A2266" s="0" t="s">
        <v>259</v>
      </c>
      <c r="B2266" s="52" t="n">
        <v>44354</v>
      </c>
      <c r="C2266" s="54" t="s">
        <v>592</v>
      </c>
      <c r="D2266" s="0" t="n">
        <v>0.999335731250021</v>
      </c>
      <c r="E2266" s="0" t="n">
        <v>0</v>
      </c>
      <c r="F2266" s="0" t="n">
        <v>0</v>
      </c>
      <c r="G2266" s="0" t="n">
        <v>2021</v>
      </c>
    </row>
    <row r="2267" customFormat="false" ht="15" hidden="false" customHeight="false" outlineLevel="0" collapsed="false">
      <c r="A2267" s="0" t="s">
        <v>259</v>
      </c>
      <c r="B2267" s="52" t="n">
        <v>44355</v>
      </c>
      <c r="C2267" s="54" t="s">
        <v>590</v>
      </c>
      <c r="D2267" s="0" t="n">
        <v>0.367791953668488</v>
      </c>
      <c r="E2267" s="0" t="n">
        <v>0.12110833347826</v>
      </c>
      <c r="F2267" s="0" t="n">
        <v>0</v>
      </c>
      <c r="G2267" s="0" t="n">
        <v>2021</v>
      </c>
    </row>
    <row r="2268" customFormat="false" ht="15" hidden="false" customHeight="false" outlineLevel="0" collapsed="false">
      <c r="A2268" s="0" t="s">
        <v>259</v>
      </c>
      <c r="B2268" s="52" t="n">
        <v>44355</v>
      </c>
      <c r="C2268" s="54" t="s">
        <v>592</v>
      </c>
      <c r="D2268" s="0" t="n">
        <v>0.138887661358469</v>
      </c>
      <c r="E2268" s="0" t="n">
        <v>0.0886719440201476</v>
      </c>
      <c r="F2268" s="0" t="n">
        <v>0</v>
      </c>
      <c r="G2268" s="0" t="n">
        <v>2021</v>
      </c>
    </row>
    <row r="2269" customFormat="false" ht="15" hidden="false" customHeight="false" outlineLevel="0" collapsed="false">
      <c r="A2269" s="0" t="s">
        <v>259</v>
      </c>
      <c r="B2269" s="52" t="n">
        <v>44356</v>
      </c>
      <c r="C2269" s="54" t="s">
        <v>590</v>
      </c>
      <c r="D2269" s="0" t="n">
        <v>0.28529103954277</v>
      </c>
      <c r="E2269" s="0" t="n">
        <v>0.165741662533054</v>
      </c>
      <c r="F2269" s="0" t="n">
        <v>0</v>
      </c>
      <c r="G2269" s="0" t="n">
        <v>2021</v>
      </c>
    </row>
    <row r="2270" customFormat="false" ht="15" hidden="false" customHeight="false" outlineLevel="0" collapsed="false">
      <c r="A2270" s="0" t="s">
        <v>259</v>
      </c>
      <c r="B2270" s="52" t="n">
        <v>44356</v>
      </c>
      <c r="C2270" s="54" t="s">
        <v>592</v>
      </c>
      <c r="D2270" s="0" t="n">
        <v>0.993640893259472</v>
      </c>
      <c r="E2270" s="0" t="n">
        <v>0</v>
      </c>
      <c r="F2270" s="0" t="n">
        <v>0</v>
      </c>
      <c r="G2270" s="0" t="n">
        <v>2021</v>
      </c>
    </row>
    <row r="2271" customFormat="false" ht="15" hidden="false" customHeight="false" outlineLevel="0" collapsed="false">
      <c r="A2271" s="0" t="s">
        <v>259</v>
      </c>
      <c r="B2271" s="52" t="n">
        <v>44357</v>
      </c>
      <c r="C2271" s="54" t="s">
        <v>590</v>
      </c>
      <c r="D2271" s="0" t="n">
        <v>0.256574209787124</v>
      </c>
      <c r="E2271" s="0" t="n">
        <v>0.132740321625255</v>
      </c>
      <c r="F2271" s="0" t="n">
        <v>0</v>
      </c>
      <c r="G2271" s="0" t="n">
        <v>2021</v>
      </c>
    </row>
    <row r="2272" customFormat="false" ht="15" hidden="false" customHeight="false" outlineLevel="0" collapsed="false">
      <c r="A2272" s="0" t="s">
        <v>259</v>
      </c>
      <c r="B2272" s="52" t="n">
        <v>44357</v>
      </c>
      <c r="C2272" s="54" t="s">
        <v>592</v>
      </c>
      <c r="D2272" s="0" t="n">
        <v>0.22490153340774</v>
      </c>
      <c r="E2272" s="0" t="n">
        <v>0.109028870927041</v>
      </c>
      <c r="F2272" s="0" t="n">
        <v>0</v>
      </c>
      <c r="G2272" s="0" t="n">
        <v>2021</v>
      </c>
    </row>
    <row r="2273" customFormat="false" ht="15" hidden="false" customHeight="false" outlineLevel="0" collapsed="false">
      <c r="A2273" s="0" t="s">
        <v>259</v>
      </c>
      <c r="B2273" s="52" t="n">
        <v>44358</v>
      </c>
      <c r="C2273" s="54" t="s">
        <v>590</v>
      </c>
      <c r="D2273" s="0" t="n">
        <v>0.246701011446033</v>
      </c>
      <c r="E2273" s="0" t="n">
        <v>0.15256890088078</v>
      </c>
      <c r="F2273" s="0" t="n">
        <v>0</v>
      </c>
      <c r="G2273" s="0" t="n">
        <v>2021</v>
      </c>
    </row>
    <row r="2274" customFormat="false" ht="15" hidden="false" customHeight="false" outlineLevel="0" collapsed="false">
      <c r="A2274" s="0" t="s">
        <v>259</v>
      </c>
      <c r="B2274" s="52" t="n">
        <v>44358</v>
      </c>
      <c r="C2274" s="54" t="s">
        <v>592</v>
      </c>
      <c r="D2274" s="0" t="n">
        <v>0.172652793747698</v>
      </c>
      <c r="E2274" s="0" t="n">
        <v>0.152021171525179</v>
      </c>
      <c r="F2274" s="0" t="n">
        <v>0</v>
      </c>
      <c r="G2274" s="0" t="n">
        <v>2021</v>
      </c>
    </row>
    <row r="2275" customFormat="false" ht="15" hidden="false" customHeight="false" outlineLevel="0" collapsed="false">
      <c r="A2275" s="0" t="s">
        <v>259</v>
      </c>
      <c r="B2275" s="52" t="n">
        <v>44359</v>
      </c>
      <c r="C2275" s="54" t="s">
        <v>590</v>
      </c>
      <c r="D2275" s="0" t="n">
        <v>0.195942295288984</v>
      </c>
      <c r="E2275" s="0" t="n">
        <v>0.184418960156519</v>
      </c>
      <c r="F2275" s="0" t="n">
        <v>1</v>
      </c>
      <c r="G2275" s="0" t="n">
        <v>2021</v>
      </c>
    </row>
    <row r="2276" customFormat="false" ht="15" hidden="false" customHeight="false" outlineLevel="0" collapsed="false">
      <c r="A2276" s="0" t="s">
        <v>259</v>
      </c>
      <c r="B2276" s="52" t="n">
        <v>44360</v>
      </c>
      <c r="C2276" s="54" t="s">
        <v>590</v>
      </c>
      <c r="D2276" s="0" t="n">
        <v>0.68739090621464</v>
      </c>
      <c r="E2276" s="0" t="n">
        <v>0.0945593207944292</v>
      </c>
      <c r="F2276" s="0" t="n">
        <v>1</v>
      </c>
      <c r="G2276" s="0" t="n">
        <v>2021</v>
      </c>
    </row>
    <row r="2277" customFormat="false" ht="15" hidden="false" customHeight="false" outlineLevel="0" collapsed="false">
      <c r="A2277" s="0" t="s">
        <v>259</v>
      </c>
      <c r="B2277" s="52" t="n">
        <v>44360</v>
      </c>
      <c r="C2277" s="54" t="s">
        <v>592</v>
      </c>
      <c r="D2277" s="0" t="n">
        <v>0.169543052694237</v>
      </c>
      <c r="E2277" s="0" t="n">
        <v>0.119389217027291</v>
      </c>
      <c r="F2277" s="0" t="n">
        <v>1</v>
      </c>
      <c r="G2277" s="0" t="n">
        <v>2021</v>
      </c>
    </row>
    <row r="2278" customFormat="false" ht="15" hidden="false" customHeight="false" outlineLevel="0" collapsed="false">
      <c r="A2278" s="0" t="s">
        <v>259</v>
      </c>
      <c r="B2278" s="52" t="n">
        <v>44361</v>
      </c>
      <c r="C2278" s="54" t="s">
        <v>590</v>
      </c>
      <c r="D2278" s="0" t="n">
        <v>0.81496945646356</v>
      </c>
      <c r="E2278" s="0" t="n">
        <v>0.0938109165954175</v>
      </c>
      <c r="F2278" s="0" t="n">
        <v>0</v>
      </c>
      <c r="G2278" s="0" t="n">
        <v>2021</v>
      </c>
    </row>
    <row r="2279" customFormat="false" ht="15" hidden="false" customHeight="false" outlineLevel="0" collapsed="false">
      <c r="A2279" s="0" t="s">
        <v>259</v>
      </c>
      <c r="B2279" s="52" t="n">
        <v>44361</v>
      </c>
      <c r="C2279" s="54" t="s">
        <v>592</v>
      </c>
      <c r="D2279" s="0" t="n">
        <v>0.0726129243914358</v>
      </c>
      <c r="E2279" s="0" t="n">
        <v>0.160796556211942</v>
      </c>
      <c r="F2279" s="0" t="n">
        <v>0</v>
      </c>
      <c r="G2279" s="0" t="n">
        <v>2021</v>
      </c>
    </row>
    <row r="2280" customFormat="false" ht="15" hidden="false" customHeight="false" outlineLevel="0" collapsed="false">
      <c r="A2280" s="0" t="s">
        <v>259</v>
      </c>
      <c r="B2280" s="52" t="n">
        <v>44362</v>
      </c>
      <c r="C2280" s="54" t="s">
        <v>590</v>
      </c>
      <c r="D2280" s="0" t="n">
        <v>0.337974627136522</v>
      </c>
      <c r="E2280" s="0" t="n">
        <v>0.238533434674934</v>
      </c>
      <c r="F2280" s="0" t="n">
        <v>0</v>
      </c>
      <c r="G2280" s="0" t="n">
        <v>2021</v>
      </c>
    </row>
    <row r="2281" customFormat="false" ht="15" hidden="false" customHeight="false" outlineLevel="0" collapsed="false">
      <c r="A2281" s="0" t="s">
        <v>259</v>
      </c>
      <c r="B2281" s="52" t="n">
        <v>44362</v>
      </c>
      <c r="C2281" s="54" t="s">
        <v>592</v>
      </c>
      <c r="D2281" s="0" t="n">
        <v>0.106614525983868</v>
      </c>
      <c r="E2281" s="0" t="n">
        <v>0.0980800763602448</v>
      </c>
      <c r="F2281" s="0" t="n">
        <v>0</v>
      </c>
      <c r="G2281" s="0" t="n">
        <v>2021</v>
      </c>
    </row>
    <row r="2282" customFormat="false" ht="15" hidden="false" customHeight="false" outlineLevel="0" collapsed="false">
      <c r="A2282" s="0" t="s">
        <v>259</v>
      </c>
      <c r="B2282" s="52" t="n">
        <v>44363</v>
      </c>
      <c r="C2282" s="54" t="s">
        <v>590</v>
      </c>
      <c r="D2282" s="0" t="n">
        <v>0.361212360038268</v>
      </c>
      <c r="E2282" s="0" t="n">
        <v>0.138952061948885</v>
      </c>
      <c r="F2282" s="0" t="n">
        <v>0</v>
      </c>
      <c r="G2282" s="0" t="n">
        <v>2021</v>
      </c>
    </row>
    <row r="2283" customFormat="false" ht="15" hidden="false" customHeight="false" outlineLevel="0" collapsed="false">
      <c r="A2283" s="0" t="s">
        <v>259</v>
      </c>
      <c r="B2283" s="52" t="n">
        <v>44363</v>
      </c>
      <c r="C2283" s="54" t="s">
        <v>592</v>
      </c>
      <c r="D2283" s="0" t="n">
        <v>0.913372400874277</v>
      </c>
      <c r="E2283" s="0" t="n">
        <v>0.0052516011568655</v>
      </c>
      <c r="F2283" s="0" t="n">
        <v>0</v>
      </c>
      <c r="G2283" s="0" t="n">
        <v>2021</v>
      </c>
    </row>
    <row r="2284" customFormat="false" ht="15" hidden="false" customHeight="false" outlineLevel="0" collapsed="false">
      <c r="A2284" s="0" t="s">
        <v>259</v>
      </c>
      <c r="B2284" s="52" t="n">
        <v>44364</v>
      </c>
      <c r="C2284" s="54" t="s">
        <v>590</v>
      </c>
      <c r="D2284" s="0" t="n">
        <v>0.321554147831954</v>
      </c>
      <c r="E2284" s="0" t="n">
        <v>0.270697662223248</v>
      </c>
      <c r="F2284" s="0" t="n">
        <v>0</v>
      </c>
      <c r="G2284" s="0" t="n">
        <v>2021</v>
      </c>
    </row>
    <row r="2285" customFormat="false" ht="15" hidden="false" customHeight="false" outlineLevel="0" collapsed="false">
      <c r="A2285" s="0" t="s">
        <v>259</v>
      </c>
      <c r="B2285" s="52" t="n">
        <v>44364</v>
      </c>
      <c r="C2285" s="54" t="s">
        <v>591</v>
      </c>
      <c r="D2285" s="0" t="n">
        <v>0.383268915247318</v>
      </c>
      <c r="E2285" s="0" t="n">
        <v>0.170949357201058</v>
      </c>
      <c r="F2285" s="0" t="n">
        <v>0</v>
      </c>
      <c r="G2285" s="0" t="n">
        <v>2021</v>
      </c>
    </row>
    <row r="2286" customFormat="false" ht="15" hidden="false" customHeight="false" outlineLevel="0" collapsed="false">
      <c r="A2286" s="0" t="s">
        <v>259</v>
      </c>
      <c r="B2286" s="52" t="n">
        <v>44364</v>
      </c>
      <c r="C2286" s="54" t="s">
        <v>592</v>
      </c>
      <c r="D2286" s="0" t="n">
        <v>0.0635253581826192</v>
      </c>
      <c r="E2286" s="0" t="n">
        <v>0.252608870636727</v>
      </c>
      <c r="F2286" s="0" t="n">
        <v>0</v>
      </c>
      <c r="G2286" s="0" t="n">
        <v>2021</v>
      </c>
    </row>
    <row r="2287" customFormat="false" ht="15" hidden="false" customHeight="false" outlineLevel="0" collapsed="false">
      <c r="A2287" s="0" t="s">
        <v>259</v>
      </c>
      <c r="B2287" s="52" t="n">
        <v>44365</v>
      </c>
      <c r="C2287" s="54" t="s">
        <v>590</v>
      </c>
      <c r="D2287" s="0" t="n">
        <v>0.237905335599547</v>
      </c>
      <c r="E2287" s="0" t="n">
        <v>0.150261753204915</v>
      </c>
      <c r="F2287" s="0" t="n">
        <v>0</v>
      </c>
      <c r="G2287" s="0" t="n">
        <v>2021</v>
      </c>
    </row>
    <row r="2288" customFormat="false" ht="15" hidden="false" customHeight="false" outlineLevel="0" collapsed="false">
      <c r="A2288" s="0" t="s">
        <v>259</v>
      </c>
      <c r="B2288" s="52" t="n">
        <v>44365</v>
      </c>
      <c r="C2288" s="54" t="s">
        <v>592</v>
      </c>
      <c r="D2288" s="0" t="n">
        <v>0.0543235727114018</v>
      </c>
      <c r="E2288" s="0" t="n">
        <v>0.288699192614893</v>
      </c>
      <c r="F2288" s="0" t="n">
        <v>0</v>
      </c>
      <c r="G2288" s="0" t="n">
        <v>2021</v>
      </c>
    </row>
    <row r="2289" customFormat="false" ht="15" hidden="false" customHeight="false" outlineLevel="0" collapsed="false">
      <c r="A2289" s="0" t="s">
        <v>259</v>
      </c>
      <c r="B2289" s="52" t="n">
        <v>44366</v>
      </c>
      <c r="C2289" s="54" t="s">
        <v>590</v>
      </c>
      <c r="D2289" s="0" t="n">
        <v>0.472720012432279</v>
      </c>
      <c r="E2289" s="0" t="n">
        <v>0.0350795436465324</v>
      </c>
      <c r="F2289" s="0" t="n">
        <v>1</v>
      </c>
      <c r="G2289" s="0" t="n">
        <v>2021</v>
      </c>
    </row>
    <row r="2290" customFormat="false" ht="15" hidden="false" customHeight="false" outlineLevel="0" collapsed="false">
      <c r="A2290" s="0" t="s">
        <v>259</v>
      </c>
      <c r="B2290" s="52" t="n">
        <v>44367</v>
      </c>
      <c r="C2290" s="54" t="s">
        <v>592</v>
      </c>
      <c r="D2290" s="0" t="n">
        <v>0.175025601521656</v>
      </c>
      <c r="E2290" s="0" t="n">
        <v>0.1735864393857</v>
      </c>
      <c r="F2290" s="0" t="n">
        <v>1</v>
      </c>
      <c r="G2290" s="0" t="n">
        <v>2021</v>
      </c>
    </row>
    <row r="2291" customFormat="false" ht="15" hidden="false" customHeight="false" outlineLevel="0" collapsed="false">
      <c r="A2291" s="0" t="s">
        <v>259</v>
      </c>
      <c r="B2291" s="52" t="n">
        <v>44368</v>
      </c>
      <c r="C2291" s="54" t="s">
        <v>590</v>
      </c>
      <c r="D2291" s="0" t="n">
        <v>0.336443263682271</v>
      </c>
      <c r="E2291" s="0" t="n">
        <v>0.0377247351344381</v>
      </c>
      <c r="F2291" s="0" t="n">
        <v>0</v>
      </c>
      <c r="G2291" s="0" t="n">
        <v>2021</v>
      </c>
    </row>
    <row r="2292" customFormat="false" ht="15" hidden="false" customHeight="false" outlineLevel="0" collapsed="false">
      <c r="A2292" s="0" t="s">
        <v>259</v>
      </c>
      <c r="B2292" s="52" t="n">
        <v>44368</v>
      </c>
      <c r="C2292" s="54" t="s">
        <v>592</v>
      </c>
      <c r="D2292" s="0" t="n">
        <v>0.895466956867133</v>
      </c>
      <c r="E2292" s="0" t="n">
        <v>0</v>
      </c>
      <c r="F2292" s="0" t="n">
        <v>0</v>
      </c>
      <c r="G2292" s="0" t="n">
        <v>2021</v>
      </c>
    </row>
    <row r="2293" customFormat="false" ht="15" hidden="false" customHeight="false" outlineLevel="0" collapsed="false">
      <c r="A2293" s="0" t="s">
        <v>259</v>
      </c>
      <c r="B2293" s="52" t="n">
        <v>44369</v>
      </c>
      <c r="C2293" s="54" t="s">
        <v>590</v>
      </c>
      <c r="D2293" s="0" t="n">
        <v>0.407080454486943</v>
      </c>
      <c r="E2293" s="0" t="n">
        <v>0.0874444177151928</v>
      </c>
      <c r="F2293" s="0" t="n">
        <v>0</v>
      </c>
      <c r="G2293" s="0" t="n">
        <v>2021</v>
      </c>
    </row>
    <row r="2294" customFormat="false" ht="15" hidden="false" customHeight="false" outlineLevel="0" collapsed="false">
      <c r="A2294" s="0" t="s">
        <v>259</v>
      </c>
      <c r="B2294" s="52" t="n">
        <v>44369</v>
      </c>
      <c r="C2294" s="54" t="s">
        <v>591</v>
      </c>
      <c r="D2294" s="0" t="n">
        <v>0.271726318874181</v>
      </c>
      <c r="E2294" s="0" t="n">
        <v>0.088303244838041</v>
      </c>
      <c r="F2294" s="0" t="n">
        <v>0</v>
      </c>
      <c r="G2294" s="0" t="n">
        <v>2021</v>
      </c>
    </row>
    <row r="2295" customFormat="false" ht="15" hidden="false" customHeight="false" outlineLevel="0" collapsed="false">
      <c r="A2295" s="0" t="s">
        <v>259</v>
      </c>
      <c r="B2295" s="52" t="n">
        <v>44369</v>
      </c>
      <c r="C2295" s="54" t="s">
        <v>592</v>
      </c>
      <c r="D2295" s="0" t="n">
        <v>0.192081940450898</v>
      </c>
      <c r="E2295" s="0" t="n">
        <v>0.194189959911572</v>
      </c>
      <c r="F2295" s="0" t="n">
        <v>0</v>
      </c>
      <c r="G2295" s="0" t="n">
        <v>2021</v>
      </c>
    </row>
    <row r="2296" customFormat="false" ht="15" hidden="false" customHeight="false" outlineLevel="0" collapsed="false">
      <c r="A2296" s="0" t="s">
        <v>259</v>
      </c>
      <c r="B2296" s="52" t="n">
        <v>44370</v>
      </c>
      <c r="C2296" s="54" t="s">
        <v>590</v>
      </c>
      <c r="D2296" s="0" t="n">
        <v>0.218150688784974</v>
      </c>
      <c r="E2296" s="0" t="n">
        <v>0.163348045350956</v>
      </c>
      <c r="F2296" s="0" t="n">
        <v>0</v>
      </c>
      <c r="G2296" s="0" t="n">
        <v>2021</v>
      </c>
    </row>
    <row r="2297" customFormat="false" ht="15" hidden="false" customHeight="false" outlineLevel="0" collapsed="false">
      <c r="A2297" s="0" t="s">
        <v>259</v>
      </c>
      <c r="B2297" s="52" t="n">
        <v>44370</v>
      </c>
      <c r="C2297" s="54" t="s">
        <v>592</v>
      </c>
      <c r="D2297" s="0" t="n">
        <v>0.912059354602455</v>
      </c>
      <c r="E2297" s="0" t="n">
        <v>0</v>
      </c>
      <c r="F2297" s="0" t="n">
        <v>0</v>
      </c>
      <c r="G2297" s="0" t="n">
        <v>2021</v>
      </c>
    </row>
    <row r="2298" customFormat="false" ht="15" hidden="false" customHeight="false" outlineLevel="0" collapsed="false">
      <c r="A2298" s="0" t="s">
        <v>259</v>
      </c>
      <c r="B2298" s="52" t="n">
        <v>44371</v>
      </c>
      <c r="C2298" s="54" t="s">
        <v>590</v>
      </c>
      <c r="D2298" s="0" t="n">
        <v>0.340481994508589</v>
      </c>
      <c r="E2298" s="0" t="n">
        <v>0.115249288429819</v>
      </c>
      <c r="F2298" s="0" t="n">
        <v>0</v>
      </c>
      <c r="G2298" s="0" t="n">
        <v>2021</v>
      </c>
    </row>
    <row r="2299" customFormat="false" ht="15" hidden="false" customHeight="false" outlineLevel="0" collapsed="false">
      <c r="A2299" s="0" t="s">
        <v>259</v>
      </c>
      <c r="B2299" s="52" t="n">
        <v>44371</v>
      </c>
      <c r="C2299" s="54" t="s">
        <v>591</v>
      </c>
      <c r="D2299" s="0" t="n">
        <v>0.408402362877875</v>
      </c>
      <c r="E2299" s="0" t="n">
        <v>0.0102641330153638</v>
      </c>
      <c r="F2299" s="0" t="n">
        <v>0</v>
      </c>
      <c r="G2299" s="0" t="n">
        <v>2021</v>
      </c>
    </row>
    <row r="2300" customFormat="false" ht="15" hidden="false" customHeight="false" outlineLevel="0" collapsed="false">
      <c r="A2300" s="0" t="s">
        <v>259</v>
      </c>
      <c r="B2300" s="52" t="n">
        <v>44371</v>
      </c>
      <c r="C2300" s="54" t="s">
        <v>592</v>
      </c>
      <c r="D2300" s="0" t="n">
        <v>0.127097893131462</v>
      </c>
      <c r="E2300" s="0" t="n">
        <v>0.191813091916659</v>
      </c>
      <c r="F2300" s="0" t="n">
        <v>0</v>
      </c>
      <c r="G2300" s="0" t="n">
        <v>2021</v>
      </c>
    </row>
    <row r="2301" customFormat="false" ht="15" hidden="false" customHeight="false" outlineLevel="0" collapsed="false">
      <c r="A2301" s="0" t="s">
        <v>259</v>
      </c>
      <c r="B2301" s="52" t="n">
        <v>44372</v>
      </c>
      <c r="C2301" s="54" t="s">
        <v>590</v>
      </c>
      <c r="D2301" s="0" t="n">
        <v>0.227273817287389</v>
      </c>
      <c r="E2301" s="0" t="n">
        <v>0.173201547895146</v>
      </c>
      <c r="F2301" s="0" t="n">
        <v>0</v>
      </c>
      <c r="G2301" s="0" t="n">
        <v>2021</v>
      </c>
    </row>
    <row r="2302" customFormat="false" ht="15" hidden="false" customHeight="false" outlineLevel="0" collapsed="false">
      <c r="A2302" s="0" t="s">
        <v>259</v>
      </c>
      <c r="B2302" s="52" t="n">
        <v>44372</v>
      </c>
      <c r="C2302" s="54" t="s">
        <v>592</v>
      </c>
      <c r="D2302" s="0" t="n">
        <v>0.612266511941693</v>
      </c>
      <c r="E2302" s="0" t="n">
        <v>0.0821305447471066</v>
      </c>
      <c r="F2302" s="0" t="n">
        <v>0</v>
      </c>
      <c r="G2302" s="0" t="n">
        <v>2021</v>
      </c>
    </row>
    <row r="2303" customFormat="false" ht="15" hidden="false" customHeight="false" outlineLevel="0" collapsed="false">
      <c r="A2303" s="0" t="s">
        <v>259</v>
      </c>
      <c r="B2303" s="52" t="n">
        <v>44373</v>
      </c>
      <c r="C2303" s="54" t="s">
        <v>590</v>
      </c>
      <c r="D2303" s="0" t="n">
        <v>0.48028216928136</v>
      </c>
      <c r="E2303" s="0" t="n">
        <v>0.0967242023917103</v>
      </c>
      <c r="F2303" s="0" t="n">
        <v>1</v>
      </c>
      <c r="G2303" s="0" t="n">
        <v>2021</v>
      </c>
    </row>
    <row r="2304" customFormat="false" ht="15" hidden="false" customHeight="false" outlineLevel="0" collapsed="false">
      <c r="A2304" s="0" t="s">
        <v>259</v>
      </c>
      <c r="B2304" s="52" t="n">
        <v>44374</v>
      </c>
      <c r="C2304" s="54" t="s">
        <v>592</v>
      </c>
      <c r="D2304" s="0" t="n">
        <v>0.174718904709354</v>
      </c>
      <c r="E2304" s="0" t="n">
        <v>0.145314392029583</v>
      </c>
      <c r="F2304" s="0" t="n">
        <v>1</v>
      </c>
      <c r="G2304" s="0" t="n">
        <v>2021</v>
      </c>
    </row>
    <row r="2305" customFormat="false" ht="15" hidden="false" customHeight="false" outlineLevel="0" collapsed="false">
      <c r="A2305" s="0" t="s">
        <v>259</v>
      </c>
      <c r="B2305" s="52" t="n">
        <v>44375</v>
      </c>
      <c r="C2305" s="54" t="s">
        <v>590</v>
      </c>
      <c r="D2305" s="0" t="n">
        <v>0.366473640505203</v>
      </c>
      <c r="E2305" s="0" t="n">
        <v>0.164523503461012</v>
      </c>
      <c r="F2305" s="0" t="n">
        <v>0</v>
      </c>
      <c r="G2305" s="0" t="n">
        <v>2021</v>
      </c>
    </row>
    <row r="2306" customFormat="false" ht="15" hidden="false" customHeight="false" outlineLevel="0" collapsed="false">
      <c r="A2306" s="0" t="s">
        <v>259</v>
      </c>
      <c r="B2306" s="52" t="n">
        <v>44375</v>
      </c>
      <c r="C2306" s="54" t="s">
        <v>592</v>
      </c>
      <c r="D2306" s="0" t="n">
        <v>0.424941576834656</v>
      </c>
      <c r="E2306" s="0" t="n">
        <v>0.0463141109950372</v>
      </c>
      <c r="F2306" s="0" t="n">
        <v>0</v>
      </c>
      <c r="G2306" s="0" t="n">
        <v>2021</v>
      </c>
    </row>
    <row r="2307" customFormat="false" ht="15" hidden="false" customHeight="false" outlineLevel="0" collapsed="false">
      <c r="A2307" s="0" t="s">
        <v>259</v>
      </c>
      <c r="B2307" s="52" t="n">
        <v>44376</v>
      </c>
      <c r="C2307" s="54" t="s">
        <v>590</v>
      </c>
      <c r="D2307" s="0" t="n">
        <v>0.711144812694688</v>
      </c>
      <c r="E2307" s="0" t="n">
        <v>0.0494419584565285</v>
      </c>
      <c r="F2307" s="0" t="n">
        <v>0</v>
      </c>
      <c r="G2307" s="0" t="n">
        <v>2021</v>
      </c>
    </row>
    <row r="2308" customFormat="false" ht="15" hidden="false" customHeight="false" outlineLevel="0" collapsed="false">
      <c r="A2308" s="0" t="s">
        <v>259</v>
      </c>
      <c r="B2308" s="52" t="n">
        <v>44376</v>
      </c>
      <c r="C2308" s="54" t="s">
        <v>592</v>
      </c>
      <c r="D2308" s="0" t="n">
        <v>0.0892100704928324</v>
      </c>
      <c r="E2308" s="0" t="n">
        <v>0.262191586623147</v>
      </c>
      <c r="F2308" s="0" t="n">
        <v>0</v>
      </c>
      <c r="G2308" s="0" t="n">
        <v>2021</v>
      </c>
    </row>
    <row r="2309" customFormat="false" ht="15" hidden="false" customHeight="false" outlineLevel="0" collapsed="false">
      <c r="A2309" s="0" t="s">
        <v>259</v>
      </c>
      <c r="B2309" s="52" t="n">
        <v>44377</v>
      </c>
      <c r="C2309" s="54" t="s">
        <v>590</v>
      </c>
      <c r="D2309" s="0" t="n">
        <v>0.196068273823732</v>
      </c>
      <c r="E2309" s="0" t="n">
        <v>0.1782584965376</v>
      </c>
      <c r="F2309" s="0" t="n">
        <v>0</v>
      </c>
      <c r="G2309" s="0" t="n">
        <v>2021</v>
      </c>
    </row>
    <row r="2310" customFormat="false" ht="15" hidden="false" customHeight="false" outlineLevel="0" collapsed="false">
      <c r="A2310" s="0" t="s">
        <v>259</v>
      </c>
      <c r="B2310" s="52" t="n">
        <v>44377</v>
      </c>
      <c r="C2310" s="54" t="s">
        <v>592</v>
      </c>
      <c r="D2310" s="0" t="n">
        <v>0.992922500753203</v>
      </c>
      <c r="E2310" s="0" t="n">
        <v>0</v>
      </c>
      <c r="F2310" s="0" t="n">
        <v>0</v>
      </c>
      <c r="G2310" s="0" t="n">
        <v>2021</v>
      </c>
    </row>
    <row r="2311" customFormat="false" ht="15" hidden="false" customHeight="false" outlineLevel="0" collapsed="false">
      <c r="A2311" s="0" t="s">
        <v>259</v>
      </c>
      <c r="B2311" s="52" t="n">
        <v>44378</v>
      </c>
      <c r="C2311" s="54" t="s">
        <v>590</v>
      </c>
      <c r="D2311" s="0" t="n">
        <v>0.0471325008720437</v>
      </c>
      <c r="E2311" s="0" t="n">
        <v>0.350127234288303</v>
      </c>
      <c r="F2311" s="0" t="n">
        <v>0</v>
      </c>
      <c r="G2311" s="0" t="n">
        <v>2021</v>
      </c>
    </row>
    <row r="2312" customFormat="false" ht="15" hidden="false" customHeight="false" outlineLevel="0" collapsed="false">
      <c r="A2312" s="0" t="s">
        <v>259</v>
      </c>
      <c r="B2312" s="52" t="n">
        <v>44378</v>
      </c>
      <c r="C2312" s="54" t="s">
        <v>591</v>
      </c>
      <c r="D2312" s="0" t="n">
        <v>0.371647849849421</v>
      </c>
      <c r="E2312" s="0" t="n">
        <v>0.434519532908962</v>
      </c>
      <c r="F2312" s="0" t="n">
        <v>0</v>
      </c>
      <c r="G2312" s="0" t="n">
        <v>2021</v>
      </c>
    </row>
    <row r="2313" customFormat="false" ht="15" hidden="false" customHeight="false" outlineLevel="0" collapsed="false">
      <c r="A2313" s="0" t="s">
        <v>259</v>
      </c>
      <c r="B2313" s="52" t="n">
        <v>44378</v>
      </c>
      <c r="C2313" s="54" t="s">
        <v>592</v>
      </c>
      <c r="D2313" s="0" t="n">
        <v>0.169967364697448</v>
      </c>
      <c r="E2313" s="0" t="n">
        <v>0.181684119307063</v>
      </c>
      <c r="F2313" s="0" t="n">
        <v>0</v>
      </c>
      <c r="G2313" s="0" t="n">
        <v>2021</v>
      </c>
    </row>
    <row r="2314" customFormat="false" ht="15" hidden="false" customHeight="false" outlineLevel="0" collapsed="false">
      <c r="A2314" s="0" t="s">
        <v>259</v>
      </c>
      <c r="B2314" s="52" t="n">
        <v>44379</v>
      </c>
      <c r="C2314" s="54" t="s">
        <v>590</v>
      </c>
      <c r="D2314" s="0" t="n">
        <v>0.232974849186133</v>
      </c>
      <c r="E2314" s="0" t="n">
        <v>0.323310070672511</v>
      </c>
      <c r="F2314" s="0" t="n">
        <v>0</v>
      </c>
      <c r="G2314" s="0" t="n">
        <v>2021</v>
      </c>
    </row>
    <row r="2315" customFormat="false" ht="15" hidden="false" customHeight="false" outlineLevel="0" collapsed="false">
      <c r="A2315" s="0" t="s">
        <v>259</v>
      </c>
      <c r="B2315" s="52" t="n">
        <v>44379</v>
      </c>
      <c r="C2315" s="54" t="s">
        <v>592</v>
      </c>
      <c r="D2315" s="0" t="n">
        <v>0.107164967745755</v>
      </c>
      <c r="E2315" s="0" t="n">
        <v>0.106113071640312</v>
      </c>
      <c r="F2315" s="0" t="n">
        <v>0</v>
      </c>
      <c r="G2315" s="0" t="n">
        <v>2021</v>
      </c>
    </row>
    <row r="2316" customFormat="false" ht="15" hidden="false" customHeight="false" outlineLevel="0" collapsed="false">
      <c r="A2316" s="0" t="s">
        <v>259</v>
      </c>
      <c r="B2316" s="52" t="n">
        <v>44380</v>
      </c>
      <c r="C2316" s="54" t="s">
        <v>590</v>
      </c>
      <c r="D2316" s="0" t="n">
        <v>0.385237397136037</v>
      </c>
      <c r="E2316" s="0" t="n">
        <v>0.238750009859542</v>
      </c>
      <c r="F2316" s="0" t="n">
        <v>1</v>
      </c>
      <c r="G2316" s="0" t="n">
        <v>2021</v>
      </c>
    </row>
    <row r="2317" customFormat="false" ht="15" hidden="false" customHeight="false" outlineLevel="0" collapsed="false">
      <c r="A2317" s="0" t="s">
        <v>259</v>
      </c>
      <c r="B2317" s="52" t="n">
        <v>44381</v>
      </c>
      <c r="C2317" s="54" t="s">
        <v>592</v>
      </c>
      <c r="D2317" s="0" t="n">
        <v>0.165617597156378</v>
      </c>
      <c r="E2317" s="0" t="n">
        <v>0.168823458949457</v>
      </c>
      <c r="F2317" s="0" t="n">
        <v>1</v>
      </c>
      <c r="G2317" s="0" t="n">
        <v>2021</v>
      </c>
    </row>
    <row r="2318" customFormat="false" ht="15" hidden="false" customHeight="false" outlineLevel="0" collapsed="false">
      <c r="A2318" s="0" t="s">
        <v>259</v>
      </c>
      <c r="B2318" s="52" t="n">
        <v>44382</v>
      </c>
      <c r="C2318" s="54" t="s">
        <v>590</v>
      </c>
      <c r="D2318" s="0" t="n">
        <v>0.289749748011944</v>
      </c>
      <c r="E2318" s="0" t="n">
        <v>0.097067559145662</v>
      </c>
      <c r="F2318" s="0" t="n">
        <v>0</v>
      </c>
      <c r="G2318" s="0" t="n">
        <v>2021</v>
      </c>
    </row>
    <row r="2319" customFormat="false" ht="15" hidden="false" customHeight="false" outlineLevel="0" collapsed="false">
      <c r="A2319" s="0" t="s">
        <v>259</v>
      </c>
      <c r="B2319" s="52" t="n">
        <v>44382</v>
      </c>
      <c r="C2319" s="54" t="s">
        <v>592</v>
      </c>
      <c r="D2319" s="0" t="n">
        <v>0.079033288163304</v>
      </c>
      <c r="E2319" s="0" t="n">
        <v>0.147929561412471</v>
      </c>
      <c r="F2319" s="0" t="n">
        <v>0</v>
      </c>
      <c r="G2319" s="0" t="n">
        <v>2021</v>
      </c>
    </row>
    <row r="2320" customFormat="false" ht="15" hidden="false" customHeight="false" outlineLevel="0" collapsed="false">
      <c r="A2320" s="0" t="s">
        <v>259</v>
      </c>
      <c r="B2320" s="52" t="n">
        <v>44383</v>
      </c>
      <c r="C2320" s="54" t="s">
        <v>590</v>
      </c>
      <c r="D2320" s="0" t="n">
        <v>0.412381787680076</v>
      </c>
      <c r="E2320" s="0" t="n">
        <v>0.168886992665302</v>
      </c>
      <c r="F2320" s="0" t="n">
        <v>0</v>
      </c>
      <c r="G2320" s="0" t="n">
        <v>2021</v>
      </c>
    </row>
    <row r="2321" customFormat="false" ht="15" hidden="false" customHeight="false" outlineLevel="0" collapsed="false">
      <c r="A2321" s="0" t="s">
        <v>259</v>
      </c>
      <c r="B2321" s="52" t="n">
        <v>44383</v>
      </c>
      <c r="C2321" s="54" t="s">
        <v>591</v>
      </c>
      <c r="D2321" s="0" t="n">
        <v>0.685227815545378</v>
      </c>
      <c r="E2321" s="0" t="n">
        <v>0.0597264540226317</v>
      </c>
      <c r="F2321" s="0" t="n">
        <v>0</v>
      </c>
      <c r="G2321" s="0" t="n">
        <v>2021</v>
      </c>
    </row>
    <row r="2322" customFormat="false" ht="15" hidden="false" customHeight="false" outlineLevel="0" collapsed="false">
      <c r="A2322" s="0" t="s">
        <v>259</v>
      </c>
      <c r="B2322" s="52" t="n">
        <v>44383</v>
      </c>
      <c r="C2322" s="54" t="s">
        <v>592</v>
      </c>
      <c r="D2322" s="0" t="n">
        <v>0.142294211013206</v>
      </c>
      <c r="E2322" s="0" t="n">
        <v>0.213870073958101</v>
      </c>
      <c r="F2322" s="0" t="n">
        <v>0</v>
      </c>
      <c r="G2322" s="0" t="n">
        <v>2021</v>
      </c>
    </row>
    <row r="2323" customFormat="false" ht="15" hidden="false" customHeight="false" outlineLevel="0" collapsed="false">
      <c r="A2323" s="0" t="s">
        <v>259</v>
      </c>
      <c r="B2323" s="52" t="n">
        <v>44384</v>
      </c>
      <c r="C2323" s="54" t="s">
        <v>590</v>
      </c>
      <c r="D2323" s="0" t="n">
        <v>0.278840737050966</v>
      </c>
      <c r="E2323" s="0" t="n">
        <v>0.194995365005875</v>
      </c>
      <c r="F2323" s="0" t="n">
        <v>0</v>
      </c>
      <c r="G2323" s="0" t="n">
        <v>2021</v>
      </c>
    </row>
    <row r="2324" customFormat="false" ht="15" hidden="false" customHeight="false" outlineLevel="0" collapsed="false">
      <c r="A2324" s="0" t="s">
        <v>259</v>
      </c>
      <c r="B2324" s="52" t="n">
        <v>44384</v>
      </c>
      <c r="C2324" s="54" t="s">
        <v>591</v>
      </c>
      <c r="D2324" s="0" t="n">
        <v>0.190259553773163</v>
      </c>
      <c r="E2324" s="0" t="n">
        <v>0.216384191780874</v>
      </c>
      <c r="F2324" s="0" t="n">
        <v>0</v>
      </c>
      <c r="G2324" s="0" t="n">
        <v>2021</v>
      </c>
    </row>
    <row r="2325" customFormat="false" ht="15" hidden="false" customHeight="false" outlineLevel="0" collapsed="false">
      <c r="A2325" s="0" t="s">
        <v>259</v>
      </c>
      <c r="B2325" s="52" t="n">
        <v>44384</v>
      </c>
      <c r="C2325" s="54" t="s">
        <v>592</v>
      </c>
      <c r="D2325" s="0" t="n">
        <v>1</v>
      </c>
      <c r="E2325" s="0" t="n">
        <v>0</v>
      </c>
      <c r="F2325" s="0" t="n">
        <v>0</v>
      </c>
      <c r="G2325" s="0" t="n">
        <v>2021</v>
      </c>
    </row>
    <row r="2326" customFormat="false" ht="15" hidden="false" customHeight="false" outlineLevel="0" collapsed="false">
      <c r="A2326" s="0" t="s">
        <v>259</v>
      </c>
      <c r="B2326" s="52" t="n">
        <v>44385</v>
      </c>
      <c r="C2326" s="54" t="s">
        <v>590</v>
      </c>
      <c r="D2326" s="0" t="n">
        <v>0.262251441634829</v>
      </c>
      <c r="E2326" s="0" t="n">
        <v>0.196065968746712</v>
      </c>
      <c r="F2326" s="0" t="n">
        <v>0</v>
      </c>
      <c r="G2326" s="0" t="n">
        <v>2021</v>
      </c>
    </row>
    <row r="2327" customFormat="false" ht="15" hidden="false" customHeight="false" outlineLevel="0" collapsed="false">
      <c r="A2327" s="0" t="s">
        <v>259</v>
      </c>
      <c r="B2327" s="52" t="n">
        <v>44385</v>
      </c>
      <c r="C2327" s="54" t="s">
        <v>592</v>
      </c>
      <c r="D2327" s="0" t="n">
        <v>0.100545869442574</v>
      </c>
      <c r="E2327" s="0" t="n">
        <v>0.203749317763432</v>
      </c>
      <c r="F2327" s="0" t="n">
        <v>0</v>
      </c>
      <c r="G2327" s="0" t="n">
        <v>2021</v>
      </c>
    </row>
    <row r="2328" customFormat="false" ht="15" hidden="false" customHeight="false" outlineLevel="0" collapsed="false">
      <c r="A2328" s="0" t="s">
        <v>259</v>
      </c>
      <c r="B2328" s="52" t="n">
        <v>44386</v>
      </c>
      <c r="C2328" s="54" t="s">
        <v>590</v>
      </c>
      <c r="D2328" s="0" t="n">
        <v>0.100835470157042</v>
      </c>
      <c r="E2328" s="0" t="n">
        <v>0.18473912973663</v>
      </c>
      <c r="F2328" s="0" t="n">
        <v>0</v>
      </c>
      <c r="G2328" s="0" t="n">
        <v>2021</v>
      </c>
    </row>
    <row r="2329" customFormat="false" ht="15" hidden="false" customHeight="false" outlineLevel="0" collapsed="false">
      <c r="A2329" s="0" t="s">
        <v>259</v>
      </c>
      <c r="B2329" s="52" t="n">
        <v>44386</v>
      </c>
      <c r="C2329" s="54" t="s">
        <v>592</v>
      </c>
      <c r="D2329" s="0" t="n">
        <v>0.126074812307007</v>
      </c>
      <c r="E2329" s="0" t="n">
        <v>0.243780857327671</v>
      </c>
      <c r="F2329" s="0" t="n">
        <v>0</v>
      </c>
      <c r="G2329" s="0" t="n">
        <v>2021</v>
      </c>
    </row>
    <row r="2330" customFormat="false" ht="15" hidden="false" customHeight="false" outlineLevel="0" collapsed="false">
      <c r="A2330" s="0" t="s">
        <v>259</v>
      </c>
      <c r="B2330" s="52" t="n">
        <v>44387</v>
      </c>
      <c r="C2330" s="54" t="s">
        <v>590</v>
      </c>
      <c r="D2330" s="0" t="n">
        <v>0.447120104358627</v>
      </c>
      <c r="E2330" s="0" t="n">
        <v>0.0713019087917058</v>
      </c>
      <c r="F2330" s="0" t="n">
        <v>1</v>
      </c>
      <c r="G2330" s="0" t="n">
        <v>2021</v>
      </c>
    </row>
    <row r="2331" customFormat="false" ht="15" hidden="false" customHeight="false" outlineLevel="0" collapsed="false">
      <c r="A2331" s="0" t="s">
        <v>259</v>
      </c>
      <c r="B2331" s="52" t="n">
        <v>44388</v>
      </c>
      <c r="C2331" s="54" t="s">
        <v>592</v>
      </c>
      <c r="D2331" s="0" t="n">
        <v>0.130190288438684</v>
      </c>
      <c r="E2331" s="0" t="n">
        <v>0.189232601167923</v>
      </c>
      <c r="F2331" s="0" t="n">
        <v>1</v>
      </c>
      <c r="G2331" s="0" t="n">
        <v>2021</v>
      </c>
    </row>
    <row r="2332" customFormat="false" ht="15" hidden="false" customHeight="false" outlineLevel="0" collapsed="false">
      <c r="A2332" s="0" t="s">
        <v>259</v>
      </c>
      <c r="B2332" s="52" t="n">
        <v>44389</v>
      </c>
      <c r="C2332" s="54" t="s">
        <v>590</v>
      </c>
      <c r="D2332" s="0" t="n">
        <v>0.314393863098616</v>
      </c>
      <c r="E2332" s="0" t="n">
        <v>0.204989757218229</v>
      </c>
      <c r="F2332" s="0" t="n">
        <v>0</v>
      </c>
      <c r="G2332" s="0" t="n">
        <v>2021</v>
      </c>
    </row>
    <row r="2333" customFormat="false" ht="15" hidden="false" customHeight="false" outlineLevel="0" collapsed="false">
      <c r="A2333" s="0" t="s">
        <v>259</v>
      </c>
      <c r="B2333" s="52" t="n">
        <v>44389</v>
      </c>
      <c r="C2333" s="54" t="s">
        <v>592</v>
      </c>
      <c r="D2333" s="0" t="n">
        <v>0.0851585421815985</v>
      </c>
      <c r="E2333" s="0" t="n">
        <v>0.139554010900777</v>
      </c>
      <c r="F2333" s="0" t="n">
        <v>0</v>
      </c>
      <c r="G2333" s="0" t="n">
        <v>2021</v>
      </c>
    </row>
    <row r="2334" customFormat="false" ht="15" hidden="false" customHeight="false" outlineLevel="0" collapsed="false">
      <c r="A2334" s="0" t="s">
        <v>259</v>
      </c>
      <c r="B2334" s="52" t="n">
        <v>44390</v>
      </c>
      <c r="C2334" s="54" t="s">
        <v>590</v>
      </c>
      <c r="D2334" s="0" t="n">
        <v>0.437544202050436</v>
      </c>
      <c r="E2334" s="0" t="n">
        <v>0.0893354053438447</v>
      </c>
      <c r="F2334" s="0" t="n">
        <v>0</v>
      </c>
      <c r="G2334" s="0" t="n">
        <v>2021</v>
      </c>
    </row>
    <row r="2335" customFormat="false" ht="15" hidden="false" customHeight="false" outlineLevel="0" collapsed="false">
      <c r="A2335" s="0" t="s">
        <v>259</v>
      </c>
      <c r="B2335" s="52" t="n">
        <v>44390</v>
      </c>
      <c r="C2335" s="54" t="s">
        <v>592</v>
      </c>
      <c r="D2335" s="0" t="n">
        <v>0.0757308458941469</v>
      </c>
      <c r="E2335" s="0" t="n">
        <v>0.127355002201528</v>
      </c>
      <c r="F2335" s="0" t="n">
        <v>0</v>
      </c>
      <c r="G2335" s="0" t="n">
        <v>2021</v>
      </c>
    </row>
    <row r="2336" customFormat="false" ht="15" hidden="false" customHeight="false" outlineLevel="0" collapsed="false">
      <c r="A2336" s="0" t="s">
        <v>259</v>
      </c>
      <c r="B2336" s="52" t="n">
        <v>44391</v>
      </c>
      <c r="C2336" s="54" t="s">
        <v>590</v>
      </c>
      <c r="D2336" s="0" t="n">
        <v>0.191055530543799</v>
      </c>
      <c r="E2336" s="0" t="n">
        <v>0.201960154909493</v>
      </c>
      <c r="F2336" s="0" t="n">
        <v>0</v>
      </c>
      <c r="G2336" s="0" t="n">
        <v>2021</v>
      </c>
    </row>
    <row r="2337" customFormat="false" ht="15" hidden="false" customHeight="false" outlineLevel="0" collapsed="false">
      <c r="A2337" s="0" t="s">
        <v>259</v>
      </c>
      <c r="B2337" s="52" t="n">
        <v>44391</v>
      </c>
      <c r="C2337" s="54" t="s">
        <v>592</v>
      </c>
      <c r="D2337" s="0" t="n">
        <v>0.425029555955503</v>
      </c>
      <c r="E2337" s="0" t="n">
        <v>0.0948354123585391</v>
      </c>
      <c r="F2337" s="0" t="n">
        <v>0</v>
      </c>
      <c r="G2337" s="0" t="n">
        <v>2021</v>
      </c>
    </row>
    <row r="2338" customFormat="false" ht="15" hidden="false" customHeight="false" outlineLevel="0" collapsed="false">
      <c r="A2338" s="0" t="s">
        <v>259</v>
      </c>
      <c r="B2338" s="52" t="n">
        <v>44392</v>
      </c>
      <c r="C2338" s="54" t="s">
        <v>590</v>
      </c>
      <c r="D2338" s="0" t="n">
        <v>0.370320051257235</v>
      </c>
      <c r="E2338" s="0" t="n">
        <v>0.138032768425201</v>
      </c>
      <c r="F2338" s="0" t="n">
        <v>0</v>
      </c>
      <c r="G2338" s="0" t="n">
        <v>2021</v>
      </c>
    </row>
    <row r="2339" customFormat="false" ht="15" hidden="false" customHeight="false" outlineLevel="0" collapsed="false">
      <c r="A2339" s="0" t="s">
        <v>259</v>
      </c>
      <c r="B2339" s="52" t="n">
        <v>44392</v>
      </c>
      <c r="C2339" s="54" t="s">
        <v>592</v>
      </c>
      <c r="D2339" s="0" t="n">
        <v>0.100239817825297</v>
      </c>
      <c r="E2339" s="0" t="n">
        <v>0.14300494771548</v>
      </c>
      <c r="F2339" s="0" t="n">
        <v>0</v>
      </c>
      <c r="G2339" s="0" t="n">
        <v>2021</v>
      </c>
    </row>
    <row r="2340" customFormat="false" ht="15" hidden="false" customHeight="false" outlineLevel="0" collapsed="false">
      <c r="A2340" s="0" t="s">
        <v>259</v>
      </c>
      <c r="B2340" s="52" t="n">
        <v>44393</v>
      </c>
      <c r="C2340" s="54" t="s">
        <v>590</v>
      </c>
      <c r="D2340" s="0" t="n">
        <v>0.074064638546254</v>
      </c>
      <c r="E2340" s="0" t="n">
        <v>0.27887564064894</v>
      </c>
      <c r="F2340" s="0" t="n">
        <v>0</v>
      </c>
      <c r="G2340" s="0" t="n">
        <v>2021</v>
      </c>
    </row>
    <row r="2341" customFormat="false" ht="15" hidden="false" customHeight="false" outlineLevel="0" collapsed="false">
      <c r="A2341" s="0" t="s">
        <v>259</v>
      </c>
      <c r="B2341" s="52" t="n">
        <v>44393</v>
      </c>
      <c r="C2341" s="54" t="s">
        <v>592</v>
      </c>
      <c r="D2341" s="0" t="n">
        <v>0.113861435522702</v>
      </c>
      <c r="E2341" s="0" t="n">
        <v>0.204705004970834</v>
      </c>
      <c r="F2341" s="0" t="n">
        <v>0</v>
      </c>
      <c r="G2341" s="0" t="n">
        <v>2021</v>
      </c>
    </row>
    <row r="2342" customFormat="false" ht="15" hidden="false" customHeight="false" outlineLevel="0" collapsed="false">
      <c r="A2342" s="0" t="s">
        <v>259</v>
      </c>
      <c r="B2342" s="52" t="n">
        <v>44394</v>
      </c>
      <c r="C2342" s="54" t="s">
        <v>590</v>
      </c>
      <c r="D2342" s="0" t="n">
        <v>0.423615164210488</v>
      </c>
      <c r="E2342" s="0" t="n">
        <v>0.0798225650255944</v>
      </c>
      <c r="F2342" s="0" t="n">
        <v>1</v>
      </c>
      <c r="G2342" s="0" t="n">
        <v>2021</v>
      </c>
    </row>
    <row r="2343" customFormat="false" ht="15" hidden="false" customHeight="false" outlineLevel="0" collapsed="false">
      <c r="A2343" s="0" t="s">
        <v>259</v>
      </c>
      <c r="B2343" s="52" t="n">
        <v>44395</v>
      </c>
      <c r="C2343" s="54" t="s">
        <v>592</v>
      </c>
      <c r="D2343" s="0" t="n">
        <v>0.147665183882734</v>
      </c>
      <c r="E2343" s="0" t="n">
        <v>0.189119268173768</v>
      </c>
      <c r="F2343" s="0" t="n">
        <v>1</v>
      </c>
      <c r="G2343" s="0" t="n">
        <v>2021</v>
      </c>
    </row>
    <row r="2344" customFormat="false" ht="15" hidden="false" customHeight="false" outlineLevel="0" collapsed="false">
      <c r="A2344" s="0" t="s">
        <v>259</v>
      </c>
      <c r="B2344" s="52" t="n">
        <v>44396</v>
      </c>
      <c r="C2344" s="54" t="s">
        <v>590</v>
      </c>
      <c r="D2344" s="0" t="n">
        <v>0.172420106050444</v>
      </c>
      <c r="E2344" s="0" t="n">
        <v>0.320332098468636</v>
      </c>
      <c r="F2344" s="0" t="n">
        <v>0</v>
      </c>
      <c r="G2344" s="0" t="n">
        <v>2021</v>
      </c>
    </row>
    <row r="2345" customFormat="false" ht="15" hidden="false" customHeight="false" outlineLevel="0" collapsed="false">
      <c r="A2345" s="0" t="s">
        <v>259</v>
      </c>
      <c r="B2345" s="52" t="n">
        <v>44396</v>
      </c>
      <c r="C2345" s="54" t="s">
        <v>592</v>
      </c>
      <c r="D2345" s="0" t="n">
        <v>0.125891412537836</v>
      </c>
      <c r="E2345" s="0" t="n">
        <v>0.135502328370681</v>
      </c>
      <c r="F2345" s="0" t="n">
        <v>0</v>
      </c>
      <c r="G2345" s="0" t="n">
        <v>2021</v>
      </c>
    </row>
    <row r="2346" customFormat="false" ht="15" hidden="false" customHeight="false" outlineLevel="0" collapsed="false">
      <c r="A2346" s="0" t="s">
        <v>259</v>
      </c>
      <c r="B2346" s="52" t="n">
        <v>44397</v>
      </c>
      <c r="C2346" s="54" t="s">
        <v>590</v>
      </c>
      <c r="D2346" s="0" t="n">
        <v>0.338678600550099</v>
      </c>
      <c r="E2346" s="0" t="n">
        <v>0.211872208227084</v>
      </c>
      <c r="F2346" s="0" t="n">
        <v>0</v>
      </c>
      <c r="G2346" s="0" t="n">
        <v>2021</v>
      </c>
    </row>
    <row r="2347" customFormat="false" ht="15" hidden="false" customHeight="false" outlineLevel="0" collapsed="false">
      <c r="A2347" s="0" t="s">
        <v>259</v>
      </c>
      <c r="B2347" s="52" t="n">
        <v>44397</v>
      </c>
      <c r="C2347" s="54" t="s">
        <v>592</v>
      </c>
      <c r="D2347" s="0" t="n">
        <v>0.141656979707322</v>
      </c>
      <c r="E2347" s="0" t="n">
        <v>0.150685598439339</v>
      </c>
      <c r="F2347" s="0" t="n">
        <v>0</v>
      </c>
      <c r="G2347" s="0" t="n">
        <v>2021</v>
      </c>
    </row>
    <row r="2348" customFormat="false" ht="15" hidden="false" customHeight="false" outlineLevel="0" collapsed="false">
      <c r="A2348" s="0" t="s">
        <v>259</v>
      </c>
      <c r="B2348" s="52" t="n">
        <v>44398</v>
      </c>
      <c r="C2348" s="54" t="s">
        <v>590</v>
      </c>
      <c r="D2348" s="0" t="n">
        <v>0.204807531828214</v>
      </c>
      <c r="E2348" s="0" t="n">
        <v>0.241770998242697</v>
      </c>
      <c r="F2348" s="0" t="n">
        <v>0</v>
      </c>
      <c r="G2348" s="0" t="n">
        <v>2021</v>
      </c>
    </row>
    <row r="2349" customFormat="false" ht="15" hidden="false" customHeight="false" outlineLevel="0" collapsed="false">
      <c r="A2349" s="0" t="s">
        <v>259</v>
      </c>
      <c r="B2349" s="52" t="n">
        <v>44398</v>
      </c>
      <c r="C2349" s="54" t="s">
        <v>591</v>
      </c>
      <c r="D2349" s="0" t="n">
        <v>0.353916370922409</v>
      </c>
      <c r="E2349" s="0" t="n">
        <v>0.0769417107327516</v>
      </c>
      <c r="F2349" s="0" t="n">
        <v>0</v>
      </c>
      <c r="G2349" s="0" t="n">
        <v>2021</v>
      </c>
    </row>
    <row r="2350" customFormat="false" ht="15" hidden="false" customHeight="false" outlineLevel="0" collapsed="false">
      <c r="A2350" s="0" t="s">
        <v>259</v>
      </c>
      <c r="B2350" s="52" t="n">
        <v>44398</v>
      </c>
      <c r="C2350" s="54" t="s">
        <v>592</v>
      </c>
      <c r="D2350" s="0" t="n">
        <v>1</v>
      </c>
      <c r="E2350" s="0" t="n">
        <v>0</v>
      </c>
      <c r="F2350" s="0" t="n">
        <v>0</v>
      </c>
      <c r="G2350" s="0" t="n">
        <v>2021</v>
      </c>
    </row>
    <row r="2351" customFormat="false" ht="15" hidden="false" customHeight="false" outlineLevel="0" collapsed="false">
      <c r="A2351" s="0" t="s">
        <v>259</v>
      </c>
      <c r="B2351" s="52" t="n">
        <v>44399</v>
      </c>
      <c r="C2351" s="54" t="s">
        <v>590</v>
      </c>
      <c r="D2351" s="0" t="n">
        <v>0.123138946462255</v>
      </c>
      <c r="E2351" s="0" t="n">
        <v>0.181285463011298</v>
      </c>
      <c r="F2351" s="0" t="n">
        <v>0</v>
      </c>
      <c r="G2351" s="0" t="n">
        <v>2021</v>
      </c>
    </row>
    <row r="2352" customFormat="false" ht="15" hidden="false" customHeight="false" outlineLevel="0" collapsed="false">
      <c r="A2352" s="0" t="s">
        <v>259</v>
      </c>
      <c r="B2352" s="52" t="n">
        <v>44399</v>
      </c>
      <c r="C2352" s="54" t="s">
        <v>592</v>
      </c>
      <c r="D2352" s="0" t="n">
        <v>0.163247996014143</v>
      </c>
      <c r="E2352" s="0" t="n">
        <v>0.146702449803268</v>
      </c>
      <c r="F2352" s="0" t="n">
        <v>0</v>
      </c>
      <c r="G2352" s="0" t="n">
        <v>2021</v>
      </c>
    </row>
    <row r="2353" customFormat="false" ht="15" hidden="false" customHeight="false" outlineLevel="0" collapsed="false">
      <c r="A2353" s="0" t="s">
        <v>259</v>
      </c>
      <c r="B2353" s="52" t="n">
        <v>44400</v>
      </c>
      <c r="C2353" s="54" t="s">
        <v>590</v>
      </c>
      <c r="D2353" s="0" t="n">
        <v>0.276181974687878</v>
      </c>
      <c r="E2353" s="0" t="n">
        <v>0.123432507587608</v>
      </c>
      <c r="F2353" s="0" t="n">
        <v>0</v>
      </c>
      <c r="G2353" s="0" t="n">
        <v>2021</v>
      </c>
    </row>
    <row r="2354" customFormat="false" ht="15" hidden="false" customHeight="false" outlineLevel="0" collapsed="false">
      <c r="A2354" s="0" t="s">
        <v>259</v>
      </c>
      <c r="B2354" s="52" t="n">
        <v>44400</v>
      </c>
      <c r="C2354" s="54" t="s">
        <v>592</v>
      </c>
      <c r="D2354" s="0" t="n">
        <v>0.191841610671057</v>
      </c>
      <c r="E2354" s="0" t="n">
        <v>0.168787747875199</v>
      </c>
      <c r="F2354" s="0" t="n">
        <v>0</v>
      </c>
      <c r="G2354" s="0" t="n">
        <v>2021</v>
      </c>
    </row>
    <row r="2355" customFormat="false" ht="15" hidden="false" customHeight="false" outlineLevel="0" collapsed="false">
      <c r="A2355" s="0" t="s">
        <v>259</v>
      </c>
      <c r="B2355" s="52" t="n">
        <v>44401</v>
      </c>
      <c r="C2355" s="54" t="s">
        <v>590</v>
      </c>
      <c r="D2355" s="0" t="n">
        <v>0.493349011661963</v>
      </c>
      <c r="E2355" s="0" t="n">
        <v>0.113335710678606</v>
      </c>
      <c r="F2355" s="0" t="n">
        <v>1</v>
      </c>
      <c r="G2355" s="0" t="n">
        <v>2021</v>
      </c>
    </row>
    <row r="2356" customFormat="false" ht="15" hidden="false" customHeight="false" outlineLevel="0" collapsed="false">
      <c r="A2356" s="0" t="s">
        <v>259</v>
      </c>
      <c r="B2356" s="52" t="n">
        <v>44402</v>
      </c>
      <c r="C2356" s="54" t="s">
        <v>590</v>
      </c>
      <c r="D2356" s="0" t="n">
        <v>1</v>
      </c>
      <c r="E2356" s="0" t="n">
        <v>0</v>
      </c>
      <c r="F2356" s="0" t="n">
        <v>1</v>
      </c>
      <c r="G2356" s="0" t="n">
        <v>2021</v>
      </c>
    </row>
    <row r="2357" customFormat="false" ht="15" hidden="false" customHeight="false" outlineLevel="0" collapsed="false">
      <c r="A2357" s="0" t="s">
        <v>259</v>
      </c>
      <c r="B2357" s="52" t="n">
        <v>44402</v>
      </c>
      <c r="C2357" s="54" t="s">
        <v>592</v>
      </c>
      <c r="D2357" s="0" t="n">
        <v>0.0877829907108507</v>
      </c>
      <c r="E2357" s="0" t="n">
        <v>0.138733007021118</v>
      </c>
      <c r="F2357" s="0" t="n">
        <v>1</v>
      </c>
      <c r="G2357" s="0" t="n">
        <v>2021</v>
      </c>
    </row>
    <row r="2358" customFormat="false" ht="15" hidden="false" customHeight="false" outlineLevel="0" collapsed="false">
      <c r="A2358" s="0" t="s">
        <v>259</v>
      </c>
      <c r="B2358" s="52" t="n">
        <v>44403</v>
      </c>
      <c r="C2358" s="54" t="s">
        <v>590</v>
      </c>
      <c r="D2358" s="0" t="n">
        <v>0.350844782989752</v>
      </c>
      <c r="E2358" s="0" t="n">
        <v>0.113496699010155</v>
      </c>
      <c r="F2358" s="0" t="n">
        <v>0</v>
      </c>
      <c r="G2358" s="0" t="n">
        <v>2021</v>
      </c>
    </row>
    <row r="2359" customFormat="false" ht="15" hidden="false" customHeight="false" outlineLevel="0" collapsed="false">
      <c r="A2359" s="0" t="s">
        <v>259</v>
      </c>
      <c r="B2359" s="52" t="n">
        <v>44403</v>
      </c>
      <c r="C2359" s="54" t="s">
        <v>592</v>
      </c>
      <c r="D2359" s="0" t="n">
        <v>0.0676576182597673</v>
      </c>
      <c r="E2359" s="0" t="n">
        <v>0.196672051013139</v>
      </c>
      <c r="F2359" s="0" t="n">
        <v>0</v>
      </c>
      <c r="G2359" s="0" t="n">
        <v>2021</v>
      </c>
    </row>
    <row r="2360" customFormat="false" ht="15" hidden="false" customHeight="false" outlineLevel="0" collapsed="false">
      <c r="A2360" s="0" t="s">
        <v>259</v>
      </c>
      <c r="B2360" s="52" t="n">
        <v>44404</v>
      </c>
      <c r="C2360" s="54" t="s">
        <v>590</v>
      </c>
      <c r="D2360" s="0" t="n">
        <v>0.732962833376307</v>
      </c>
      <c r="E2360" s="0" t="n">
        <v>0.0947234615588911</v>
      </c>
      <c r="F2360" s="0" t="n">
        <v>0</v>
      </c>
      <c r="G2360" s="0" t="n">
        <v>2021</v>
      </c>
    </row>
    <row r="2361" customFormat="false" ht="15" hidden="false" customHeight="false" outlineLevel="0" collapsed="false">
      <c r="A2361" s="0" t="s">
        <v>259</v>
      </c>
      <c r="B2361" s="52" t="n">
        <v>44404</v>
      </c>
      <c r="C2361" s="54" t="s">
        <v>591</v>
      </c>
      <c r="D2361" s="0" t="n">
        <v>0.169592473443863</v>
      </c>
      <c r="E2361" s="0" t="n">
        <v>0.123353473599063</v>
      </c>
      <c r="F2361" s="0" t="n">
        <v>0</v>
      </c>
      <c r="G2361" s="0" t="n">
        <v>2021</v>
      </c>
    </row>
    <row r="2362" customFormat="false" ht="15" hidden="false" customHeight="false" outlineLevel="0" collapsed="false">
      <c r="A2362" s="0" t="s">
        <v>259</v>
      </c>
      <c r="B2362" s="52" t="n">
        <v>44404</v>
      </c>
      <c r="C2362" s="54" t="s">
        <v>592</v>
      </c>
      <c r="D2362" s="0" t="n">
        <v>0.150845853247287</v>
      </c>
      <c r="E2362" s="0" t="n">
        <v>0.169658685668738</v>
      </c>
      <c r="F2362" s="0" t="n">
        <v>0</v>
      </c>
      <c r="G2362" s="0" t="n">
        <v>2021</v>
      </c>
    </row>
    <row r="2363" customFormat="false" ht="15" hidden="false" customHeight="false" outlineLevel="0" collapsed="false">
      <c r="A2363" s="0" t="s">
        <v>259</v>
      </c>
      <c r="B2363" s="52" t="n">
        <v>44405</v>
      </c>
      <c r="C2363" s="54" t="s">
        <v>590</v>
      </c>
      <c r="D2363" s="0" t="n">
        <v>0.194812813324703</v>
      </c>
      <c r="E2363" s="0" t="n">
        <v>0.258110322032593</v>
      </c>
      <c r="F2363" s="0" t="n">
        <v>0</v>
      </c>
      <c r="G2363" s="0" t="n">
        <v>2021</v>
      </c>
    </row>
    <row r="2364" customFormat="false" ht="15" hidden="false" customHeight="false" outlineLevel="0" collapsed="false">
      <c r="A2364" s="0" t="s">
        <v>259</v>
      </c>
      <c r="B2364" s="52" t="n">
        <v>44405</v>
      </c>
      <c r="C2364" s="54" t="s">
        <v>592</v>
      </c>
      <c r="D2364" s="0" t="n">
        <v>0.395708113337661</v>
      </c>
      <c r="E2364" s="0" t="n">
        <v>0.0268057635407297</v>
      </c>
      <c r="F2364" s="0" t="n">
        <v>0</v>
      </c>
      <c r="G2364" s="0" t="n">
        <v>2021</v>
      </c>
    </row>
    <row r="2365" customFormat="false" ht="15" hidden="false" customHeight="false" outlineLevel="0" collapsed="false">
      <c r="A2365" s="0" t="s">
        <v>259</v>
      </c>
      <c r="B2365" s="52" t="n">
        <v>44406</v>
      </c>
      <c r="C2365" s="54" t="s">
        <v>590</v>
      </c>
      <c r="D2365" s="0" t="n">
        <v>0.0208870383796368</v>
      </c>
      <c r="E2365" s="0" t="n">
        <v>0.28119578704845</v>
      </c>
      <c r="F2365" s="0" t="n">
        <v>0</v>
      </c>
      <c r="G2365" s="0" t="n">
        <v>2021</v>
      </c>
    </row>
    <row r="2366" customFormat="false" ht="15" hidden="false" customHeight="false" outlineLevel="0" collapsed="false">
      <c r="A2366" s="0" t="s">
        <v>259</v>
      </c>
      <c r="B2366" s="52" t="n">
        <v>44406</v>
      </c>
      <c r="C2366" s="54" t="s">
        <v>591</v>
      </c>
      <c r="D2366" s="0" t="n">
        <v>0.167303510842259</v>
      </c>
      <c r="E2366" s="0" t="n">
        <v>0.0927465432323825</v>
      </c>
      <c r="F2366" s="0" t="n">
        <v>0</v>
      </c>
      <c r="G2366" s="0" t="n">
        <v>2021</v>
      </c>
    </row>
    <row r="2367" customFormat="false" ht="15" hidden="false" customHeight="false" outlineLevel="0" collapsed="false">
      <c r="A2367" s="0" t="s">
        <v>259</v>
      </c>
      <c r="B2367" s="52" t="n">
        <v>44406</v>
      </c>
      <c r="C2367" s="54" t="s">
        <v>592</v>
      </c>
      <c r="D2367" s="0" t="n">
        <v>0.173955689455246</v>
      </c>
      <c r="E2367" s="0" t="n">
        <v>0.132812010905542</v>
      </c>
      <c r="F2367" s="0" t="n">
        <v>0</v>
      </c>
      <c r="G2367" s="0" t="n">
        <v>2021</v>
      </c>
    </row>
    <row r="2368" customFormat="false" ht="15" hidden="false" customHeight="false" outlineLevel="0" collapsed="false">
      <c r="A2368" s="0" t="s">
        <v>259</v>
      </c>
      <c r="B2368" s="52" t="n">
        <v>44407</v>
      </c>
      <c r="C2368" s="54" t="s">
        <v>590</v>
      </c>
      <c r="D2368" s="0" t="n">
        <v>0.163764547301813</v>
      </c>
      <c r="E2368" s="0" t="n">
        <v>0.219872226462417</v>
      </c>
      <c r="F2368" s="0" t="n">
        <v>0</v>
      </c>
      <c r="G2368" s="0" t="n">
        <v>2021</v>
      </c>
    </row>
    <row r="2369" customFormat="false" ht="15" hidden="false" customHeight="false" outlineLevel="0" collapsed="false">
      <c r="A2369" s="0" t="s">
        <v>259</v>
      </c>
      <c r="B2369" s="52" t="n">
        <v>44407</v>
      </c>
      <c r="C2369" s="54" t="s">
        <v>592</v>
      </c>
      <c r="D2369" s="0" t="n">
        <v>0.083160281662847</v>
      </c>
      <c r="E2369" s="0" t="n">
        <v>0.240879181095736</v>
      </c>
      <c r="F2369" s="0" t="n">
        <v>0</v>
      </c>
      <c r="G2369" s="0" t="n">
        <v>2021</v>
      </c>
    </row>
    <row r="2370" customFormat="false" ht="15" hidden="false" customHeight="false" outlineLevel="0" collapsed="false">
      <c r="A2370" s="0" t="s">
        <v>259</v>
      </c>
      <c r="B2370" s="52" t="n">
        <v>44408</v>
      </c>
      <c r="C2370" s="54" t="s">
        <v>590</v>
      </c>
      <c r="D2370" s="0" t="n">
        <v>0.226942877190889</v>
      </c>
      <c r="E2370" s="0" t="n">
        <v>0.247203121420663</v>
      </c>
      <c r="F2370" s="0" t="n">
        <v>1</v>
      </c>
      <c r="G2370" s="0" t="n">
        <v>2021</v>
      </c>
    </row>
    <row r="2371" customFormat="false" ht="15" hidden="false" customHeight="false" outlineLevel="0" collapsed="false">
      <c r="A2371" s="0" t="s">
        <v>259</v>
      </c>
      <c r="B2371" s="52" t="n">
        <v>44409</v>
      </c>
      <c r="C2371" s="54" t="s">
        <v>592</v>
      </c>
      <c r="D2371" s="0" t="n">
        <v>0.178392859057694</v>
      </c>
      <c r="E2371" s="0" t="n">
        <v>0.0730736108198396</v>
      </c>
      <c r="F2371" s="0" t="n">
        <v>1</v>
      </c>
      <c r="G2371" s="0" t="n">
        <v>2021</v>
      </c>
    </row>
    <row r="2372" customFormat="false" ht="15" hidden="false" customHeight="false" outlineLevel="0" collapsed="false">
      <c r="A2372" s="0" t="s">
        <v>259</v>
      </c>
      <c r="B2372" s="52" t="n">
        <v>44410</v>
      </c>
      <c r="C2372" s="54" t="s">
        <v>590</v>
      </c>
      <c r="D2372" s="0" t="n">
        <v>0.121375060629752</v>
      </c>
      <c r="E2372" s="0" t="n">
        <v>0.286044858264804</v>
      </c>
      <c r="F2372" s="0" t="n">
        <v>0</v>
      </c>
      <c r="G2372" s="0" t="n">
        <v>2021</v>
      </c>
    </row>
    <row r="2373" customFormat="false" ht="15" hidden="false" customHeight="false" outlineLevel="0" collapsed="false">
      <c r="A2373" s="0" t="s">
        <v>259</v>
      </c>
      <c r="B2373" s="52" t="n">
        <v>44410</v>
      </c>
      <c r="C2373" s="54" t="s">
        <v>592</v>
      </c>
      <c r="D2373" s="0" t="n">
        <v>0.130981424254106</v>
      </c>
      <c r="E2373" s="0" t="n">
        <v>0.108488610411249</v>
      </c>
      <c r="F2373" s="0" t="n">
        <v>0</v>
      </c>
      <c r="G2373" s="0" t="n">
        <v>2021</v>
      </c>
    </row>
    <row r="2374" customFormat="false" ht="15" hidden="false" customHeight="false" outlineLevel="0" collapsed="false">
      <c r="A2374" s="0" t="s">
        <v>259</v>
      </c>
      <c r="B2374" s="52" t="n">
        <v>44411</v>
      </c>
      <c r="C2374" s="54" t="s">
        <v>590</v>
      </c>
      <c r="D2374" s="0" t="n">
        <v>0.354118643476878</v>
      </c>
      <c r="E2374" s="0" t="n">
        <v>0.185565321952612</v>
      </c>
      <c r="F2374" s="0" t="n">
        <v>0</v>
      </c>
      <c r="G2374" s="0" t="n">
        <v>2021</v>
      </c>
    </row>
    <row r="2375" customFormat="false" ht="15" hidden="false" customHeight="false" outlineLevel="0" collapsed="false">
      <c r="A2375" s="0" t="s">
        <v>259</v>
      </c>
      <c r="B2375" s="52" t="n">
        <v>44411</v>
      </c>
      <c r="C2375" s="54" t="s">
        <v>592</v>
      </c>
      <c r="D2375" s="0" t="n">
        <v>0.0999264099250249</v>
      </c>
      <c r="E2375" s="0" t="n">
        <v>0.133606125308869</v>
      </c>
      <c r="F2375" s="0" t="n">
        <v>0</v>
      </c>
      <c r="G2375" s="0" t="n">
        <v>2021</v>
      </c>
    </row>
    <row r="2376" customFormat="false" ht="15" hidden="false" customHeight="false" outlineLevel="0" collapsed="false">
      <c r="A2376" s="0" t="s">
        <v>259</v>
      </c>
      <c r="B2376" s="52" t="n">
        <v>44412</v>
      </c>
      <c r="C2376" s="54" t="s">
        <v>590</v>
      </c>
      <c r="D2376" s="0" t="n">
        <v>0.281547748201944</v>
      </c>
      <c r="E2376" s="0" t="n">
        <v>0.133397935187017</v>
      </c>
      <c r="F2376" s="0" t="n">
        <v>0</v>
      </c>
      <c r="G2376" s="0" t="n">
        <v>2021</v>
      </c>
    </row>
    <row r="2377" customFormat="false" ht="15" hidden="false" customHeight="false" outlineLevel="0" collapsed="false">
      <c r="A2377" s="0" t="s">
        <v>259</v>
      </c>
      <c r="B2377" s="52" t="n">
        <v>44412</v>
      </c>
      <c r="C2377" s="54" t="s">
        <v>592</v>
      </c>
      <c r="D2377" s="0" t="n">
        <v>0.666568938611685</v>
      </c>
      <c r="E2377" s="0" t="n">
        <v>0.0283918759221745</v>
      </c>
      <c r="F2377" s="0" t="n">
        <v>0</v>
      </c>
      <c r="G2377" s="0" t="n">
        <v>2021</v>
      </c>
    </row>
    <row r="2378" customFormat="false" ht="15" hidden="false" customHeight="false" outlineLevel="0" collapsed="false">
      <c r="A2378" s="0" t="s">
        <v>259</v>
      </c>
      <c r="B2378" s="52" t="n">
        <v>44413</v>
      </c>
      <c r="C2378" s="54" t="s">
        <v>590</v>
      </c>
      <c r="D2378" s="0" t="n">
        <v>0.321440897853669</v>
      </c>
      <c r="E2378" s="0" t="n">
        <v>0.127690967324136</v>
      </c>
      <c r="F2378" s="0" t="n">
        <v>0</v>
      </c>
      <c r="G2378" s="0" t="n">
        <v>2021</v>
      </c>
    </row>
    <row r="2379" customFormat="false" ht="15" hidden="false" customHeight="false" outlineLevel="0" collapsed="false">
      <c r="A2379" s="0" t="s">
        <v>259</v>
      </c>
      <c r="B2379" s="52" t="n">
        <v>44413</v>
      </c>
      <c r="C2379" s="54" t="s">
        <v>591</v>
      </c>
      <c r="D2379" s="0" t="n">
        <v>0.335102798334138</v>
      </c>
      <c r="E2379" s="0" t="n">
        <v>0.0744903664429501</v>
      </c>
      <c r="F2379" s="0" t="n">
        <v>0</v>
      </c>
      <c r="G2379" s="0" t="n">
        <v>2021</v>
      </c>
    </row>
    <row r="2380" customFormat="false" ht="15" hidden="false" customHeight="false" outlineLevel="0" collapsed="false">
      <c r="A2380" s="0" t="s">
        <v>259</v>
      </c>
      <c r="B2380" s="52" t="n">
        <v>44413</v>
      </c>
      <c r="C2380" s="54" t="s">
        <v>592</v>
      </c>
      <c r="D2380" s="0" t="n">
        <v>0.128852853160461</v>
      </c>
      <c r="E2380" s="0" t="n">
        <v>0.194068053186178</v>
      </c>
      <c r="F2380" s="0" t="n">
        <v>0</v>
      </c>
      <c r="G2380" s="0" t="n">
        <v>2021</v>
      </c>
    </row>
    <row r="2381" customFormat="false" ht="15" hidden="false" customHeight="false" outlineLevel="0" collapsed="false">
      <c r="A2381" s="0" t="s">
        <v>259</v>
      </c>
      <c r="B2381" s="52" t="n">
        <v>44414</v>
      </c>
      <c r="C2381" s="54" t="s">
        <v>590</v>
      </c>
      <c r="D2381" s="0" t="n">
        <v>0.0632943990450898</v>
      </c>
      <c r="E2381" s="0" t="n">
        <v>0.213834198609776</v>
      </c>
      <c r="F2381" s="0" t="n">
        <v>0</v>
      </c>
      <c r="G2381" s="0" t="n">
        <v>2021</v>
      </c>
    </row>
    <row r="2382" customFormat="false" ht="15" hidden="false" customHeight="false" outlineLevel="0" collapsed="false">
      <c r="A2382" s="0" t="s">
        <v>259</v>
      </c>
      <c r="B2382" s="52" t="n">
        <v>44414</v>
      </c>
      <c r="C2382" s="54" t="s">
        <v>592</v>
      </c>
      <c r="D2382" s="0" t="n">
        <v>0.113300296838845</v>
      </c>
      <c r="E2382" s="0" t="n">
        <v>0.197477741347442</v>
      </c>
      <c r="F2382" s="0" t="n">
        <v>0</v>
      </c>
      <c r="G2382" s="0" t="n">
        <v>2021</v>
      </c>
    </row>
    <row r="2383" customFormat="false" ht="15" hidden="false" customHeight="false" outlineLevel="0" collapsed="false">
      <c r="A2383" s="0" t="s">
        <v>259</v>
      </c>
      <c r="B2383" s="52" t="n">
        <v>44415</v>
      </c>
      <c r="C2383" s="54" t="s">
        <v>590</v>
      </c>
      <c r="D2383" s="0" t="n">
        <v>0.420871674813154</v>
      </c>
      <c r="E2383" s="0" t="n">
        <v>0.0757144110433735</v>
      </c>
      <c r="F2383" s="0" t="n">
        <v>1</v>
      </c>
      <c r="G2383" s="0" t="n">
        <v>2021</v>
      </c>
    </row>
    <row r="2384" customFormat="false" ht="15" hidden="false" customHeight="false" outlineLevel="0" collapsed="false">
      <c r="A2384" s="0" t="s">
        <v>259</v>
      </c>
      <c r="B2384" s="52" t="n">
        <v>44416</v>
      </c>
      <c r="C2384" s="54" t="s">
        <v>592</v>
      </c>
      <c r="D2384" s="0" t="n">
        <v>0.100268329481866</v>
      </c>
      <c r="E2384" s="0" t="n">
        <v>0.177864944589224</v>
      </c>
      <c r="F2384" s="0" t="n">
        <v>1</v>
      </c>
      <c r="G2384" s="0" t="n">
        <v>2021</v>
      </c>
    </row>
    <row r="2385" customFormat="false" ht="15" hidden="false" customHeight="false" outlineLevel="0" collapsed="false">
      <c r="A2385" s="0" t="s">
        <v>259</v>
      </c>
      <c r="B2385" s="52" t="n">
        <v>44417</v>
      </c>
      <c r="C2385" s="54" t="s">
        <v>590</v>
      </c>
      <c r="D2385" s="0" t="n">
        <v>0.123749833337986</v>
      </c>
      <c r="E2385" s="0" t="n">
        <v>0.284250820108121</v>
      </c>
      <c r="F2385" s="0" t="n">
        <v>0</v>
      </c>
      <c r="G2385" s="0" t="n">
        <v>2021</v>
      </c>
    </row>
    <row r="2386" customFormat="false" ht="15" hidden="false" customHeight="false" outlineLevel="0" collapsed="false">
      <c r="A2386" s="0" t="s">
        <v>259</v>
      </c>
      <c r="B2386" s="52" t="n">
        <v>44417</v>
      </c>
      <c r="C2386" s="54" t="s">
        <v>592</v>
      </c>
      <c r="D2386" s="0" t="n">
        <v>0.105679288826982</v>
      </c>
      <c r="E2386" s="0" t="n">
        <v>0.118650028566119</v>
      </c>
      <c r="F2386" s="0" t="n">
        <v>0</v>
      </c>
      <c r="G2386" s="0" t="n">
        <v>2021</v>
      </c>
    </row>
    <row r="2387" customFormat="false" ht="15" hidden="false" customHeight="false" outlineLevel="0" collapsed="false">
      <c r="A2387" s="0" t="s">
        <v>259</v>
      </c>
      <c r="B2387" s="52" t="n">
        <v>44418</v>
      </c>
      <c r="C2387" s="54" t="s">
        <v>590</v>
      </c>
      <c r="D2387" s="0" t="n">
        <v>0.564218630890795</v>
      </c>
      <c r="E2387" s="0" t="n">
        <v>0.0600857999875283</v>
      </c>
      <c r="F2387" s="0" t="n">
        <v>0</v>
      </c>
      <c r="G2387" s="0" t="n">
        <v>2021</v>
      </c>
    </row>
    <row r="2388" customFormat="false" ht="15" hidden="false" customHeight="false" outlineLevel="0" collapsed="false">
      <c r="A2388" s="0" t="s">
        <v>259</v>
      </c>
      <c r="B2388" s="52" t="n">
        <v>44418</v>
      </c>
      <c r="C2388" s="54" t="s">
        <v>592</v>
      </c>
      <c r="D2388" s="0" t="n">
        <v>0.338635730273623</v>
      </c>
      <c r="E2388" s="0" t="n">
        <v>0.212595301772314</v>
      </c>
      <c r="F2388" s="0" t="n">
        <v>0</v>
      </c>
      <c r="G2388" s="0" t="n">
        <v>2021</v>
      </c>
    </row>
    <row r="2389" customFormat="false" ht="15" hidden="false" customHeight="false" outlineLevel="0" collapsed="false">
      <c r="A2389" s="0" t="s">
        <v>259</v>
      </c>
      <c r="B2389" s="52" t="n">
        <v>44419</v>
      </c>
      <c r="C2389" s="54" t="s">
        <v>590</v>
      </c>
      <c r="D2389" s="0" t="n">
        <v>0.293026101810903</v>
      </c>
      <c r="E2389" s="0" t="n">
        <v>0.150641907477472</v>
      </c>
      <c r="F2389" s="0" t="n">
        <v>0</v>
      </c>
      <c r="G2389" s="0" t="n">
        <v>2021</v>
      </c>
    </row>
    <row r="2390" customFormat="false" ht="15" hidden="false" customHeight="false" outlineLevel="0" collapsed="false">
      <c r="A2390" s="0" t="s">
        <v>259</v>
      </c>
      <c r="B2390" s="52" t="n">
        <v>44419</v>
      </c>
      <c r="C2390" s="54" t="s">
        <v>592</v>
      </c>
      <c r="D2390" s="0" t="n">
        <v>0.592507383868309</v>
      </c>
      <c r="E2390" s="0" t="n">
        <v>0.128950295421112</v>
      </c>
      <c r="F2390" s="0" t="n">
        <v>0</v>
      </c>
      <c r="G2390" s="0" t="n">
        <v>2021</v>
      </c>
    </row>
    <row r="2391" customFormat="false" ht="15" hidden="false" customHeight="false" outlineLevel="0" collapsed="false">
      <c r="A2391" s="0" t="s">
        <v>259</v>
      </c>
      <c r="B2391" s="52" t="n">
        <v>44420</v>
      </c>
      <c r="C2391" s="54" t="s">
        <v>590</v>
      </c>
      <c r="D2391" s="0" t="n">
        <v>0.49130291599366</v>
      </c>
      <c r="E2391" s="0" t="n">
        <v>0.111330676728696</v>
      </c>
      <c r="F2391" s="0" t="n">
        <v>0</v>
      </c>
      <c r="G2391" s="0" t="n">
        <v>2021</v>
      </c>
    </row>
    <row r="2392" customFormat="false" ht="15" hidden="false" customHeight="false" outlineLevel="0" collapsed="false">
      <c r="A2392" s="0" t="s">
        <v>259</v>
      </c>
      <c r="B2392" s="52" t="n">
        <v>44420</v>
      </c>
      <c r="C2392" s="54" t="s">
        <v>592</v>
      </c>
      <c r="D2392" s="0" t="n">
        <v>0.114460185769825</v>
      </c>
      <c r="E2392" s="0" t="n">
        <v>0.217176279610866</v>
      </c>
      <c r="F2392" s="0" t="n">
        <v>0</v>
      </c>
      <c r="G2392" s="0" t="n">
        <v>2021</v>
      </c>
    </row>
    <row r="2393" customFormat="false" ht="15" hidden="false" customHeight="false" outlineLevel="0" collapsed="false">
      <c r="A2393" s="0" t="s">
        <v>259</v>
      </c>
      <c r="B2393" s="52" t="n">
        <v>44421</v>
      </c>
      <c r="C2393" s="54" t="s">
        <v>590</v>
      </c>
      <c r="D2393" s="0" t="n">
        <v>0.0746844260521017</v>
      </c>
      <c r="E2393" s="0" t="n">
        <v>0.297598313697552</v>
      </c>
      <c r="F2393" s="0" t="n">
        <v>0</v>
      </c>
      <c r="G2393" s="0" t="n">
        <v>2021</v>
      </c>
    </row>
    <row r="2394" customFormat="false" ht="15" hidden="false" customHeight="false" outlineLevel="0" collapsed="false">
      <c r="A2394" s="0" t="s">
        <v>259</v>
      </c>
      <c r="B2394" s="52" t="n">
        <v>44421</v>
      </c>
      <c r="C2394" s="54" t="s">
        <v>592</v>
      </c>
      <c r="D2394" s="0" t="n">
        <v>0.157846208768999</v>
      </c>
      <c r="E2394" s="0" t="n">
        <v>0.14277068024987</v>
      </c>
      <c r="F2394" s="0" t="n">
        <v>0</v>
      </c>
      <c r="G2394" s="0" t="n">
        <v>2021</v>
      </c>
    </row>
    <row r="2395" customFormat="false" ht="15" hidden="false" customHeight="false" outlineLevel="0" collapsed="false">
      <c r="A2395" s="0" t="s">
        <v>259</v>
      </c>
      <c r="B2395" s="52" t="n">
        <v>44422</v>
      </c>
      <c r="C2395" s="54" t="s">
        <v>590</v>
      </c>
      <c r="D2395" s="0" t="n">
        <v>0.235239405455066</v>
      </c>
      <c r="E2395" s="0" t="n">
        <v>0.0955302643976711</v>
      </c>
      <c r="F2395" s="0" t="n">
        <v>1</v>
      </c>
      <c r="G2395" s="0" t="n">
        <v>2021</v>
      </c>
    </row>
    <row r="2396" customFormat="false" ht="15" hidden="false" customHeight="false" outlineLevel="0" collapsed="false">
      <c r="A2396" s="0" t="s">
        <v>259</v>
      </c>
      <c r="B2396" s="52" t="n">
        <v>44423</v>
      </c>
      <c r="C2396" s="54" t="s">
        <v>592</v>
      </c>
      <c r="D2396" s="0" t="n">
        <v>0.172833325417059</v>
      </c>
      <c r="E2396" s="0" t="n">
        <v>0.117414445646787</v>
      </c>
      <c r="F2396" s="0" t="n">
        <v>1</v>
      </c>
      <c r="G2396" s="0" t="n">
        <v>2021</v>
      </c>
    </row>
    <row r="2397" customFormat="false" ht="15" hidden="false" customHeight="false" outlineLevel="0" collapsed="false">
      <c r="A2397" s="0" t="s">
        <v>259</v>
      </c>
      <c r="B2397" s="52" t="n">
        <v>44424</v>
      </c>
      <c r="C2397" s="54" t="s">
        <v>590</v>
      </c>
      <c r="D2397" s="0" t="n">
        <v>0.449287730052266</v>
      </c>
      <c r="E2397" s="0" t="n">
        <v>0.238723108130117</v>
      </c>
      <c r="F2397" s="0" t="n">
        <v>0</v>
      </c>
      <c r="G2397" s="0" t="n">
        <v>2021</v>
      </c>
    </row>
    <row r="2398" customFormat="false" ht="15" hidden="false" customHeight="false" outlineLevel="0" collapsed="false">
      <c r="A2398" s="0" t="s">
        <v>259</v>
      </c>
      <c r="B2398" s="52" t="n">
        <v>44424</v>
      </c>
      <c r="C2398" s="54" t="s">
        <v>592</v>
      </c>
      <c r="D2398" s="0" t="n">
        <v>0.999475344305865</v>
      </c>
      <c r="E2398" s="0" t="n">
        <v>0</v>
      </c>
      <c r="F2398" s="0" t="n">
        <v>0</v>
      </c>
      <c r="G2398" s="0" t="n">
        <v>2021</v>
      </c>
    </row>
    <row r="2399" customFormat="false" ht="15" hidden="false" customHeight="false" outlineLevel="0" collapsed="false">
      <c r="A2399" s="0" t="s">
        <v>259</v>
      </c>
      <c r="B2399" s="52" t="n">
        <v>44425</v>
      </c>
      <c r="C2399" s="54" t="s">
        <v>590</v>
      </c>
      <c r="D2399" s="0" t="n">
        <v>0.201514824701987</v>
      </c>
      <c r="E2399" s="0" t="n">
        <v>0.268303573461044</v>
      </c>
      <c r="F2399" s="0" t="n">
        <v>0</v>
      </c>
      <c r="G2399" s="0" t="n">
        <v>2021</v>
      </c>
    </row>
    <row r="2400" customFormat="false" ht="15" hidden="false" customHeight="false" outlineLevel="0" collapsed="false">
      <c r="A2400" s="0" t="s">
        <v>259</v>
      </c>
      <c r="B2400" s="52" t="n">
        <v>44425</v>
      </c>
      <c r="C2400" s="54" t="s">
        <v>592</v>
      </c>
      <c r="D2400" s="0" t="n">
        <v>0.215831434556893</v>
      </c>
      <c r="E2400" s="0" t="n">
        <v>0.157926266206468</v>
      </c>
      <c r="F2400" s="0" t="n">
        <v>0</v>
      </c>
      <c r="G2400" s="0" t="n">
        <v>2021</v>
      </c>
    </row>
    <row r="2401" customFormat="false" ht="15" hidden="false" customHeight="false" outlineLevel="0" collapsed="false">
      <c r="A2401" s="0" t="s">
        <v>259</v>
      </c>
      <c r="B2401" s="52" t="n">
        <v>44426</v>
      </c>
      <c r="C2401" s="54" t="s">
        <v>590</v>
      </c>
      <c r="D2401" s="0" t="n">
        <v>0.325900646495328</v>
      </c>
      <c r="E2401" s="0" t="n">
        <v>0.127999811532165</v>
      </c>
      <c r="F2401" s="0" t="n">
        <v>0</v>
      </c>
      <c r="G2401" s="0" t="n">
        <v>2021</v>
      </c>
    </row>
    <row r="2402" customFormat="false" ht="15" hidden="false" customHeight="false" outlineLevel="0" collapsed="false">
      <c r="A2402" s="0" t="s">
        <v>259</v>
      </c>
      <c r="B2402" s="52" t="n">
        <v>44426</v>
      </c>
      <c r="C2402" s="54" t="s">
        <v>592</v>
      </c>
      <c r="D2402" s="0" t="n">
        <v>0.0543426262909984</v>
      </c>
      <c r="E2402" s="0" t="n">
        <v>0.219660005537226</v>
      </c>
      <c r="F2402" s="0" t="n">
        <v>0</v>
      </c>
      <c r="G2402" s="0" t="n">
        <v>2021</v>
      </c>
    </row>
    <row r="2403" customFormat="false" ht="15" hidden="false" customHeight="false" outlineLevel="0" collapsed="false">
      <c r="A2403" s="0" t="s">
        <v>259</v>
      </c>
      <c r="B2403" s="52" t="n">
        <v>44427</v>
      </c>
      <c r="C2403" s="54" t="s">
        <v>590</v>
      </c>
      <c r="D2403" s="0" t="n">
        <v>0.600816425453571</v>
      </c>
      <c r="E2403" s="0" t="n">
        <v>0.0993659344311096</v>
      </c>
      <c r="F2403" s="0" t="n">
        <v>0</v>
      </c>
      <c r="G2403" s="0" t="n">
        <v>2021</v>
      </c>
    </row>
    <row r="2404" customFormat="false" ht="15" hidden="false" customHeight="false" outlineLevel="0" collapsed="false">
      <c r="A2404" s="0" t="s">
        <v>259</v>
      </c>
      <c r="B2404" s="52" t="n">
        <v>44427</v>
      </c>
      <c r="C2404" s="54" t="s">
        <v>592</v>
      </c>
      <c r="D2404" s="0" t="n">
        <v>0.386104491532753</v>
      </c>
      <c r="E2404" s="0" t="n">
        <v>0.147276211954374</v>
      </c>
      <c r="F2404" s="0" t="n">
        <v>0</v>
      </c>
      <c r="G2404" s="0" t="n">
        <v>2021</v>
      </c>
    </row>
    <row r="2405" customFormat="false" ht="15" hidden="false" customHeight="false" outlineLevel="0" collapsed="false">
      <c r="A2405" s="0" t="s">
        <v>259</v>
      </c>
      <c r="B2405" s="52" t="n">
        <v>44428</v>
      </c>
      <c r="C2405" s="54" t="s">
        <v>590</v>
      </c>
      <c r="D2405" s="0" t="n">
        <v>0.154774951319979</v>
      </c>
      <c r="E2405" s="0" t="n">
        <v>0.220624767789505</v>
      </c>
      <c r="F2405" s="0" t="n">
        <v>0</v>
      </c>
      <c r="G2405" s="0" t="n">
        <v>2021</v>
      </c>
    </row>
    <row r="2406" customFormat="false" ht="15" hidden="false" customHeight="false" outlineLevel="0" collapsed="false">
      <c r="A2406" s="0" t="s">
        <v>259</v>
      </c>
      <c r="B2406" s="52" t="n">
        <v>44428</v>
      </c>
      <c r="C2406" s="54" t="s">
        <v>592</v>
      </c>
      <c r="D2406" s="0" t="n">
        <v>0.29236304812222</v>
      </c>
      <c r="E2406" s="0" t="n">
        <v>0.211862598032452</v>
      </c>
      <c r="F2406" s="0" t="n">
        <v>0</v>
      </c>
      <c r="G2406" s="0" t="n">
        <v>2021</v>
      </c>
    </row>
    <row r="2407" customFormat="false" ht="15" hidden="false" customHeight="false" outlineLevel="0" collapsed="false">
      <c r="A2407" s="0" t="s">
        <v>259</v>
      </c>
      <c r="B2407" s="52" t="n">
        <v>44429</v>
      </c>
      <c r="C2407" s="54" t="s">
        <v>590</v>
      </c>
      <c r="D2407" s="0" t="n">
        <v>0.21291567795085</v>
      </c>
      <c r="E2407" s="0" t="n">
        <v>0.0683391121953111</v>
      </c>
      <c r="F2407" s="0" t="n">
        <v>1</v>
      </c>
      <c r="G2407" s="0" t="n">
        <v>2021</v>
      </c>
    </row>
    <row r="2408" customFormat="false" ht="15" hidden="false" customHeight="false" outlineLevel="0" collapsed="false">
      <c r="A2408" s="0" t="s">
        <v>259</v>
      </c>
      <c r="B2408" s="52" t="n">
        <v>44430</v>
      </c>
      <c r="C2408" s="54" t="s">
        <v>592</v>
      </c>
      <c r="D2408" s="0" t="n">
        <v>0.178776280756138</v>
      </c>
      <c r="E2408" s="0" t="n">
        <v>0.151145613396191</v>
      </c>
      <c r="F2408" s="0" t="n">
        <v>1</v>
      </c>
      <c r="G2408" s="0" t="n">
        <v>2021</v>
      </c>
    </row>
    <row r="2409" customFormat="false" ht="15" hidden="false" customHeight="false" outlineLevel="0" collapsed="false">
      <c r="A2409" s="0" t="s">
        <v>259</v>
      </c>
      <c r="B2409" s="52" t="n">
        <v>44431</v>
      </c>
      <c r="C2409" s="54" t="s">
        <v>590</v>
      </c>
      <c r="D2409" s="0" t="n">
        <v>0.602971362296528</v>
      </c>
      <c r="E2409" s="0" t="n">
        <v>0.180446954251703</v>
      </c>
      <c r="F2409" s="0" t="n">
        <v>0</v>
      </c>
      <c r="G2409" s="0" t="n">
        <v>2021</v>
      </c>
    </row>
    <row r="2410" customFormat="false" ht="15" hidden="false" customHeight="false" outlineLevel="0" collapsed="false">
      <c r="A2410" s="0" t="s">
        <v>259</v>
      </c>
      <c r="B2410" s="52" t="n">
        <v>44431</v>
      </c>
      <c r="C2410" s="54" t="s">
        <v>592</v>
      </c>
      <c r="D2410" s="0" t="n">
        <v>0.116851319857063</v>
      </c>
      <c r="E2410" s="0" t="n">
        <v>0.13009642566852</v>
      </c>
      <c r="F2410" s="0" t="n">
        <v>0</v>
      </c>
      <c r="G2410" s="0" t="n">
        <v>2021</v>
      </c>
    </row>
    <row r="2411" customFormat="false" ht="15" hidden="false" customHeight="false" outlineLevel="0" collapsed="false">
      <c r="A2411" s="0" t="s">
        <v>259</v>
      </c>
      <c r="B2411" s="52" t="n">
        <v>44432</v>
      </c>
      <c r="C2411" s="54" t="s">
        <v>590</v>
      </c>
      <c r="D2411" s="0" t="n">
        <v>0.628854072787121</v>
      </c>
      <c r="E2411" s="0" t="n">
        <v>0.0600966248582807</v>
      </c>
      <c r="F2411" s="0" t="n">
        <v>0</v>
      </c>
      <c r="G2411" s="0" t="n">
        <v>2021</v>
      </c>
    </row>
    <row r="2412" customFormat="false" ht="15" hidden="false" customHeight="false" outlineLevel="0" collapsed="false">
      <c r="A2412" s="0" t="s">
        <v>259</v>
      </c>
      <c r="B2412" s="52" t="n">
        <v>44432</v>
      </c>
      <c r="C2412" s="54" t="s">
        <v>592</v>
      </c>
      <c r="D2412" s="0" t="n">
        <v>0.0863906252294498</v>
      </c>
      <c r="E2412" s="0" t="n">
        <v>0.194037747604806</v>
      </c>
      <c r="F2412" s="0" t="n">
        <v>0</v>
      </c>
      <c r="G2412" s="0" t="n">
        <v>2021</v>
      </c>
    </row>
    <row r="2413" customFormat="false" ht="15" hidden="false" customHeight="false" outlineLevel="0" collapsed="false">
      <c r="A2413" s="0" t="s">
        <v>259</v>
      </c>
      <c r="B2413" s="52" t="n">
        <v>44433</v>
      </c>
      <c r="C2413" s="54" t="s">
        <v>590</v>
      </c>
      <c r="D2413" s="0" t="n">
        <v>0.327154542496048</v>
      </c>
      <c r="E2413" s="0" t="n">
        <v>0.146100413351806</v>
      </c>
      <c r="F2413" s="0" t="n">
        <v>0</v>
      </c>
      <c r="G2413" s="0" t="n">
        <v>2021</v>
      </c>
    </row>
    <row r="2414" customFormat="false" ht="15" hidden="false" customHeight="false" outlineLevel="0" collapsed="false">
      <c r="A2414" s="0" t="s">
        <v>259</v>
      </c>
      <c r="B2414" s="52" t="n">
        <v>44433</v>
      </c>
      <c r="C2414" s="54" t="s">
        <v>592</v>
      </c>
      <c r="D2414" s="0" t="n">
        <v>1</v>
      </c>
      <c r="E2414" s="0" t="n">
        <v>0</v>
      </c>
      <c r="F2414" s="0" t="n">
        <v>0</v>
      </c>
      <c r="G2414" s="0" t="n">
        <v>2021</v>
      </c>
    </row>
    <row r="2415" customFormat="false" ht="15" hidden="false" customHeight="false" outlineLevel="0" collapsed="false">
      <c r="A2415" s="0" t="s">
        <v>259</v>
      </c>
      <c r="B2415" s="52" t="n">
        <v>44434</v>
      </c>
      <c r="C2415" s="54" t="s">
        <v>590</v>
      </c>
      <c r="D2415" s="0" t="n">
        <v>0.295066452772091</v>
      </c>
      <c r="E2415" s="0" t="n">
        <v>0.0853623287322409</v>
      </c>
      <c r="F2415" s="0" t="n">
        <v>0</v>
      </c>
      <c r="G2415" s="0" t="n">
        <v>2021</v>
      </c>
    </row>
    <row r="2416" customFormat="false" ht="15" hidden="false" customHeight="false" outlineLevel="0" collapsed="false">
      <c r="A2416" s="0" t="s">
        <v>259</v>
      </c>
      <c r="B2416" s="52" t="n">
        <v>44434</v>
      </c>
      <c r="C2416" s="54" t="s">
        <v>592</v>
      </c>
      <c r="D2416" s="0" t="n">
        <v>0.123932608832653</v>
      </c>
      <c r="E2416" s="0" t="n">
        <v>0.130717472368832</v>
      </c>
      <c r="F2416" s="0" t="n">
        <v>0</v>
      </c>
      <c r="G2416" s="0" t="n">
        <v>2021</v>
      </c>
    </row>
    <row r="2417" customFormat="false" ht="15" hidden="false" customHeight="false" outlineLevel="0" collapsed="false">
      <c r="A2417" s="0" t="s">
        <v>259</v>
      </c>
      <c r="B2417" s="52" t="n">
        <v>44435</v>
      </c>
      <c r="C2417" s="54" t="s">
        <v>590</v>
      </c>
      <c r="D2417" s="0" t="n">
        <v>0.380265461271321</v>
      </c>
      <c r="E2417" s="0" t="n">
        <v>0.208222476668698</v>
      </c>
      <c r="F2417" s="0" t="n">
        <v>0</v>
      </c>
      <c r="G2417" s="0" t="n">
        <v>2021</v>
      </c>
    </row>
    <row r="2418" customFormat="false" ht="15" hidden="false" customHeight="false" outlineLevel="0" collapsed="false">
      <c r="A2418" s="0" t="s">
        <v>259</v>
      </c>
      <c r="B2418" s="52" t="n">
        <v>44435</v>
      </c>
      <c r="C2418" s="54" t="s">
        <v>592</v>
      </c>
      <c r="D2418" s="0" t="n">
        <v>1</v>
      </c>
      <c r="E2418" s="0" t="n">
        <v>0</v>
      </c>
      <c r="F2418" s="0" t="n">
        <v>0</v>
      </c>
      <c r="G2418" s="0" t="n">
        <v>2021</v>
      </c>
    </row>
    <row r="2419" customFormat="false" ht="15" hidden="false" customHeight="false" outlineLevel="0" collapsed="false">
      <c r="A2419" s="0" t="s">
        <v>259</v>
      </c>
      <c r="B2419" s="52" t="n">
        <v>44436</v>
      </c>
      <c r="C2419" s="54" t="s">
        <v>590</v>
      </c>
      <c r="D2419" s="0" t="n">
        <v>0.236059278258541</v>
      </c>
      <c r="E2419" s="0" t="n">
        <v>0.140773030513272</v>
      </c>
      <c r="F2419" s="0" t="n">
        <v>1</v>
      </c>
      <c r="G2419" s="0" t="n">
        <v>2021</v>
      </c>
    </row>
    <row r="2420" customFormat="false" ht="15" hidden="false" customHeight="false" outlineLevel="0" collapsed="false">
      <c r="A2420" s="0" t="s">
        <v>259</v>
      </c>
      <c r="B2420" s="52" t="n">
        <v>44437</v>
      </c>
      <c r="C2420" s="54" t="s">
        <v>592</v>
      </c>
      <c r="D2420" s="0" t="n">
        <v>0.175554316261636</v>
      </c>
      <c r="E2420" s="0" t="n">
        <v>0.108034551276669</v>
      </c>
      <c r="F2420" s="0" t="n">
        <v>1</v>
      </c>
      <c r="G2420" s="0" t="n">
        <v>2021</v>
      </c>
    </row>
    <row r="2421" customFormat="false" ht="15" hidden="false" customHeight="false" outlineLevel="0" collapsed="false">
      <c r="A2421" s="0" t="s">
        <v>259</v>
      </c>
      <c r="B2421" s="52" t="n">
        <v>44438</v>
      </c>
      <c r="C2421" s="54" t="s">
        <v>590</v>
      </c>
      <c r="D2421" s="0" t="n">
        <v>0.900962997117835</v>
      </c>
      <c r="E2421" s="0" t="n">
        <v>0.0028821655385498</v>
      </c>
      <c r="F2421" s="0" t="n">
        <v>0</v>
      </c>
      <c r="G2421" s="0" t="n">
        <v>2021</v>
      </c>
    </row>
    <row r="2422" customFormat="false" ht="15" hidden="false" customHeight="false" outlineLevel="0" collapsed="false">
      <c r="A2422" s="0" t="s">
        <v>259</v>
      </c>
      <c r="B2422" s="52" t="n">
        <v>44438</v>
      </c>
      <c r="C2422" s="54" t="s">
        <v>592</v>
      </c>
      <c r="D2422" s="0" t="n">
        <v>0.210524212611893</v>
      </c>
      <c r="E2422" s="0" t="n">
        <v>0.264731495432245</v>
      </c>
      <c r="F2422" s="0" t="n">
        <v>0</v>
      </c>
      <c r="G2422" s="0" t="n">
        <v>2021</v>
      </c>
    </row>
    <row r="2423" customFormat="false" ht="15" hidden="false" customHeight="false" outlineLevel="0" collapsed="false">
      <c r="A2423" s="0" t="s">
        <v>259</v>
      </c>
      <c r="B2423" s="52" t="n">
        <v>44439</v>
      </c>
      <c r="C2423" s="54" t="s">
        <v>590</v>
      </c>
      <c r="D2423" s="0" t="n">
        <v>0.668790118360392</v>
      </c>
      <c r="E2423" s="0" t="n">
        <v>0.183948386900181</v>
      </c>
      <c r="F2423" s="0" t="n">
        <v>0</v>
      </c>
      <c r="G2423" s="0" t="n">
        <v>2021</v>
      </c>
    </row>
    <row r="2424" customFormat="false" ht="15" hidden="false" customHeight="false" outlineLevel="0" collapsed="false">
      <c r="A2424" s="0" t="s">
        <v>259</v>
      </c>
      <c r="B2424" s="52" t="n">
        <v>44439</v>
      </c>
      <c r="C2424" s="54" t="s">
        <v>592</v>
      </c>
      <c r="D2424" s="0" t="n">
        <v>0.176703151308449</v>
      </c>
      <c r="E2424" s="0" t="n">
        <v>0.215683504176398</v>
      </c>
      <c r="F2424" s="0" t="n">
        <v>0</v>
      </c>
      <c r="G2424" s="0" t="n">
        <v>2021</v>
      </c>
    </row>
    <row r="2425" customFormat="false" ht="15" hidden="false" customHeight="false" outlineLevel="0" collapsed="false">
      <c r="A2425" s="0" t="s">
        <v>259</v>
      </c>
      <c r="B2425" s="52" t="n">
        <v>44440</v>
      </c>
      <c r="C2425" s="54" t="s">
        <v>590</v>
      </c>
      <c r="D2425" s="0" t="n">
        <v>0.501060307492687</v>
      </c>
      <c r="E2425" s="0" t="n">
        <v>0.0859381155766797</v>
      </c>
      <c r="F2425" s="0" t="n">
        <v>0</v>
      </c>
      <c r="G2425" s="0" t="n">
        <v>2021</v>
      </c>
    </row>
    <row r="2426" customFormat="false" ht="15" hidden="false" customHeight="false" outlineLevel="0" collapsed="false">
      <c r="A2426" s="0" t="s">
        <v>259</v>
      </c>
      <c r="B2426" s="52" t="n">
        <v>44440</v>
      </c>
      <c r="C2426" s="54" t="s">
        <v>592</v>
      </c>
      <c r="D2426" s="0" t="n">
        <v>1</v>
      </c>
      <c r="E2426" s="0" t="n">
        <v>0</v>
      </c>
      <c r="F2426" s="0" t="n">
        <v>0</v>
      </c>
      <c r="G2426" s="0" t="n">
        <v>2021</v>
      </c>
    </row>
    <row r="2427" customFormat="false" ht="15" hidden="false" customHeight="false" outlineLevel="0" collapsed="false">
      <c r="A2427" s="0" t="s">
        <v>259</v>
      </c>
      <c r="B2427" s="52" t="n">
        <v>44441</v>
      </c>
      <c r="C2427" s="54" t="s">
        <v>590</v>
      </c>
      <c r="D2427" s="0" t="n">
        <v>0.321366198019498</v>
      </c>
      <c r="E2427" s="0" t="n">
        <v>0.129778974275143</v>
      </c>
      <c r="F2427" s="0" t="n">
        <v>0</v>
      </c>
      <c r="G2427" s="0" t="n">
        <v>2021</v>
      </c>
    </row>
    <row r="2428" customFormat="false" ht="15" hidden="false" customHeight="false" outlineLevel="0" collapsed="false">
      <c r="A2428" s="0" t="s">
        <v>259</v>
      </c>
      <c r="B2428" s="52" t="n">
        <v>44441</v>
      </c>
      <c r="C2428" s="54" t="s">
        <v>592</v>
      </c>
      <c r="D2428" s="0" t="n">
        <v>0.211292809510524</v>
      </c>
      <c r="E2428" s="0" t="n">
        <v>0.155006631014705</v>
      </c>
      <c r="F2428" s="0" t="n">
        <v>0</v>
      </c>
      <c r="G2428" s="0" t="n">
        <v>2021</v>
      </c>
    </row>
    <row r="2429" customFormat="false" ht="15" hidden="false" customHeight="false" outlineLevel="0" collapsed="false">
      <c r="A2429" s="0" t="s">
        <v>259</v>
      </c>
      <c r="B2429" s="52" t="n">
        <v>44442</v>
      </c>
      <c r="C2429" s="54" t="s">
        <v>590</v>
      </c>
      <c r="D2429" s="0" t="n">
        <v>0.339337688081449</v>
      </c>
      <c r="E2429" s="0" t="n">
        <v>0.165373960374383</v>
      </c>
      <c r="F2429" s="0" t="n">
        <v>0</v>
      </c>
      <c r="G2429" s="0" t="n">
        <v>2021</v>
      </c>
    </row>
    <row r="2430" customFormat="false" ht="15" hidden="false" customHeight="false" outlineLevel="0" collapsed="false">
      <c r="A2430" s="0" t="s">
        <v>259</v>
      </c>
      <c r="B2430" s="52" t="n">
        <v>44442</v>
      </c>
      <c r="C2430" s="54" t="s">
        <v>592</v>
      </c>
      <c r="D2430" s="0" t="n">
        <v>0.976508439486448</v>
      </c>
      <c r="E2430" s="0" t="n">
        <v>0</v>
      </c>
      <c r="F2430" s="0" t="n">
        <v>0</v>
      </c>
      <c r="G2430" s="0" t="n">
        <v>2021</v>
      </c>
    </row>
    <row r="2431" customFormat="false" ht="15" hidden="false" customHeight="false" outlineLevel="0" collapsed="false">
      <c r="A2431" s="0" t="s">
        <v>259</v>
      </c>
      <c r="B2431" s="52" t="n">
        <v>44443</v>
      </c>
      <c r="C2431" s="54" t="s">
        <v>590</v>
      </c>
      <c r="D2431" s="0" t="n">
        <v>0.528498062659434</v>
      </c>
      <c r="E2431" s="0" t="n">
        <v>0.0863515168493625</v>
      </c>
      <c r="F2431" s="0" t="n">
        <v>1</v>
      </c>
      <c r="G2431" s="0" t="n">
        <v>2021</v>
      </c>
    </row>
    <row r="2432" customFormat="false" ht="15" hidden="false" customHeight="false" outlineLevel="0" collapsed="false">
      <c r="A2432" s="0" t="s">
        <v>259</v>
      </c>
      <c r="B2432" s="52" t="n">
        <v>44444</v>
      </c>
      <c r="C2432" s="54" t="s">
        <v>592</v>
      </c>
      <c r="D2432" s="0" t="n">
        <v>0.142532878067171</v>
      </c>
      <c r="E2432" s="0" t="n">
        <v>0.132562123756668</v>
      </c>
      <c r="F2432" s="0" t="n">
        <v>1</v>
      </c>
      <c r="G2432" s="0" t="n">
        <v>2021</v>
      </c>
    </row>
    <row r="2433" customFormat="false" ht="15" hidden="false" customHeight="false" outlineLevel="0" collapsed="false">
      <c r="A2433" s="0" t="s">
        <v>259</v>
      </c>
      <c r="B2433" s="52" t="n">
        <v>44445</v>
      </c>
      <c r="C2433" s="54" t="s">
        <v>590</v>
      </c>
      <c r="D2433" s="0" t="n">
        <v>0.788138929691624</v>
      </c>
      <c r="E2433" s="0" t="n">
        <v>0.0315783210671941</v>
      </c>
      <c r="F2433" s="0" t="n">
        <v>0</v>
      </c>
      <c r="G2433" s="0" t="n">
        <v>2021</v>
      </c>
    </row>
    <row r="2434" customFormat="false" ht="15" hidden="false" customHeight="false" outlineLevel="0" collapsed="false">
      <c r="A2434" s="0" t="s">
        <v>259</v>
      </c>
      <c r="B2434" s="52" t="n">
        <v>44445</v>
      </c>
      <c r="C2434" s="54" t="s">
        <v>592</v>
      </c>
      <c r="D2434" s="0" t="n">
        <v>0.141047623189875</v>
      </c>
      <c r="E2434" s="0" t="n">
        <v>0.267076597963937</v>
      </c>
      <c r="F2434" s="0" t="n">
        <v>0</v>
      </c>
      <c r="G2434" s="0" t="n">
        <v>2021</v>
      </c>
    </row>
    <row r="2435" customFormat="false" ht="15" hidden="false" customHeight="false" outlineLevel="0" collapsed="false">
      <c r="A2435" s="0" t="s">
        <v>259</v>
      </c>
      <c r="B2435" s="52" t="n">
        <v>44446</v>
      </c>
      <c r="C2435" s="54" t="s">
        <v>590</v>
      </c>
      <c r="D2435" s="0" t="n">
        <v>0.313714830839986</v>
      </c>
      <c r="E2435" s="0" t="n">
        <v>0.117798401195817</v>
      </c>
      <c r="F2435" s="0" t="n">
        <v>0</v>
      </c>
      <c r="G2435" s="0" t="n">
        <v>2021</v>
      </c>
    </row>
    <row r="2436" customFormat="false" ht="15" hidden="false" customHeight="false" outlineLevel="0" collapsed="false">
      <c r="A2436" s="0" t="s">
        <v>259</v>
      </c>
      <c r="B2436" s="52" t="n">
        <v>44446</v>
      </c>
      <c r="C2436" s="54" t="s">
        <v>591</v>
      </c>
      <c r="D2436" s="0" t="n">
        <v>0.444034772182254</v>
      </c>
      <c r="E2436" s="0" t="n">
        <v>0.322932115845785</v>
      </c>
      <c r="F2436" s="0" t="n">
        <v>0</v>
      </c>
      <c r="G2436" s="0" t="n">
        <v>2021</v>
      </c>
    </row>
    <row r="2437" customFormat="false" ht="15" hidden="false" customHeight="false" outlineLevel="0" collapsed="false">
      <c r="A2437" s="0" t="s">
        <v>259</v>
      </c>
      <c r="B2437" s="52" t="n">
        <v>44446</v>
      </c>
      <c r="C2437" s="54" t="s">
        <v>592</v>
      </c>
      <c r="D2437" s="0" t="n">
        <v>0.07088770121478</v>
      </c>
      <c r="E2437" s="0" t="n">
        <v>0.153929059592704</v>
      </c>
      <c r="F2437" s="0" t="n">
        <v>0</v>
      </c>
      <c r="G2437" s="0" t="n">
        <v>2021</v>
      </c>
    </row>
    <row r="2438" customFormat="false" ht="15" hidden="false" customHeight="false" outlineLevel="0" collapsed="false">
      <c r="A2438" s="0" t="s">
        <v>259</v>
      </c>
      <c r="B2438" s="52" t="n">
        <v>44447</v>
      </c>
      <c r="C2438" s="54" t="s">
        <v>590</v>
      </c>
      <c r="D2438" s="0" t="n">
        <v>0.427476050062806</v>
      </c>
      <c r="E2438" s="0" t="n">
        <v>0.0753495637647614</v>
      </c>
      <c r="F2438" s="0" t="n">
        <v>0</v>
      </c>
      <c r="G2438" s="0" t="n">
        <v>2021</v>
      </c>
    </row>
    <row r="2439" customFormat="false" ht="15" hidden="false" customHeight="false" outlineLevel="0" collapsed="false">
      <c r="A2439" s="0" t="s">
        <v>259</v>
      </c>
      <c r="B2439" s="52" t="n">
        <v>44447</v>
      </c>
      <c r="C2439" s="54" t="s">
        <v>592</v>
      </c>
      <c r="D2439" s="0" t="n">
        <v>0.0575897742959493</v>
      </c>
      <c r="E2439" s="0" t="n">
        <v>0.472939430748569</v>
      </c>
      <c r="F2439" s="0" t="n">
        <v>0</v>
      </c>
      <c r="G2439" s="0" t="n">
        <v>2021</v>
      </c>
    </row>
    <row r="2440" customFormat="false" ht="15" hidden="false" customHeight="false" outlineLevel="0" collapsed="false">
      <c r="A2440" s="0" t="s">
        <v>259</v>
      </c>
      <c r="B2440" s="52" t="n">
        <v>44448</v>
      </c>
      <c r="C2440" s="54" t="s">
        <v>590</v>
      </c>
      <c r="D2440" s="0" t="n">
        <v>0.586579010212788</v>
      </c>
      <c r="E2440" s="0" t="n">
        <v>0.0626207772688233</v>
      </c>
      <c r="F2440" s="0" t="n">
        <v>0</v>
      </c>
      <c r="G2440" s="0" t="n">
        <v>2021</v>
      </c>
    </row>
    <row r="2441" customFormat="false" ht="15" hidden="false" customHeight="false" outlineLevel="0" collapsed="false">
      <c r="A2441" s="0" t="s">
        <v>259</v>
      </c>
      <c r="B2441" s="52" t="n">
        <v>44448</v>
      </c>
      <c r="C2441" s="54" t="s">
        <v>592</v>
      </c>
      <c r="D2441" s="0" t="n">
        <v>0.126215393587598</v>
      </c>
      <c r="E2441" s="0" t="n">
        <v>0.183309553716902</v>
      </c>
      <c r="F2441" s="0" t="n">
        <v>0</v>
      </c>
      <c r="G2441" s="0" t="n">
        <v>2021</v>
      </c>
    </row>
    <row r="2442" customFormat="false" ht="15" hidden="false" customHeight="false" outlineLevel="0" collapsed="false">
      <c r="A2442" s="0" t="s">
        <v>259</v>
      </c>
      <c r="B2442" s="52" t="n">
        <v>44449</v>
      </c>
      <c r="C2442" s="54" t="s">
        <v>590</v>
      </c>
      <c r="D2442" s="0" t="n">
        <v>0.345161940819589</v>
      </c>
      <c r="E2442" s="0" t="n">
        <v>0.126706645865492</v>
      </c>
      <c r="F2442" s="0" t="n">
        <v>0</v>
      </c>
      <c r="G2442" s="0" t="n">
        <v>2021</v>
      </c>
    </row>
    <row r="2443" customFormat="false" ht="15" hidden="false" customHeight="false" outlineLevel="0" collapsed="false">
      <c r="A2443" s="0" t="s">
        <v>259</v>
      </c>
      <c r="B2443" s="52" t="n">
        <v>44449</v>
      </c>
      <c r="C2443" s="54" t="s">
        <v>592</v>
      </c>
      <c r="D2443" s="0" t="n">
        <v>0.0186858968405236</v>
      </c>
      <c r="E2443" s="0" t="n">
        <v>0.884844047175682</v>
      </c>
      <c r="F2443" s="0" t="n">
        <v>0</v>
      </c>
      <c r="G2443" s="0" t="n">
        <v>2021</v>
      </c>
    </row>
    <row r="2444" customFormat="false" ht="15" hidden="false" customHeight="false" outlineLevel="0" collapsed="false">
      <c r="A2444" s="0" t="s">
        <v>259</v>
      </c>
      <c r="B2444" s="52" t="n">
        <v>44450</v>
      </c>
      <c r="C2444" s="54" t="s">
        <v>590</v>
      </c>
      <c r="D2444" s="0" t="n">
        <v>0.177503906991438</v>
      </c>
      <c r="E2444" s="0" t="n">
        <v>0.0570753452162112</v>
      </c>
      <c r="F2444" s="0" t="n">
        <v>1</v>
      </c>
      <c r="G2444" s="0" t="n">
        <v>2021</v>
      </c>
    </row>
    <row r="2445" customFormat="false" ht="15" hidden="false" customHeight="false" outlineLevel="0" collapsed="false">
      <c r="A2445" s="0" t="s">
        <v>259</v>
      </c>
      <c r="B2445" s="52" t="n">
        <v>44450</v>
      </c>
      <c r="C2445" s="54" t="s">
        <v>592</v>
      </c>
      <c r="D2445" s="0" t="n">
        <v>0.265333621845483</v>
      </c>
      <c r="E2445" s="0" t="n">
        <v>0.133826314773146</v>
      </c>
      <c r="F2445" s="0" t="n">
        <v>1</v>
      </c>
      <c r="G2445" s="0" t="n">
        <v>2021</v>
      </c>
    </row>
    <row r="2446" customFormat="false" ht="15" hidden="false" customHeight="false" outlineLevel="0" collapsed="false">
      <c r="A2446" s="0" t="s">
        <v>259</v>
      </c>
      <c r="B2446" s="52" t="n">
        <v>44451</v>
      </c>
      <c r="C2446" s="54" t="s">
        <v>590</v>
      </c>
      <c r="D2446" s="0" t="n">
        <v>0.382621681382535</v>
      </c>
      <c r="E2446" s="0" t="n">
        <v>0.309278791173717</v>
      </c>
      <c r="F2446" s="0" t="n">
        <v>1</v>
      </c>
      <c r="G2446" s="0" t="n">
        <v>2021</v>
      </c>
    </row>
    <row r="2447" customFormat="false" ht="15" hidden="false" customHeight="false" outlineLevel="0" collapsed="false">
      <c r="A2447" s="0" t="s">
        <v>259</v>
      </c>
      <c r="B2447" s="52" t="n">
        <v>44451</v>
      </c>
      <c r="C2447" s="54" t="s">
        <v>592</v>
      </c>
      <c r="D2447" s="0" t="n">
        <v>0.158200775499235</v>
      </c>
      <c r="E2447" s="0" t="n">
        <v>0.160596599098051</v>
      </c>
      <c r="F2447" s="0" t="n">
        <v>1</v>
      </c>
      <c r="G2447" s="0" t="n">
        <v>2021</v>
      </c>
    </row>
    <row r="2448" customFormat="false" ht="15" hidden="false" customHeight="false" outlineLevel="0" collapsed="false">
      <c r="A2448" s="0" t="s">
        <v>259</v>
      </c>
      <c r="B2448" s="52" t="n">
        <v>44452</v>
      </c>
      <c r="C2448" s="54" t="s">
        <v>590</v>
      </c>
      <c r="D2448" s="0" t="n">
        <v>0.840086395834202</v>
      </c>
      <c r="E2448" s="0" t="n">
        <v>0.0158870908459955</v>
      </c>
      <c r="F2448" s="0" t="n">
        <v>0</v>
      </c>
      <c r="G2448" s="0" t="n">
        <v>2021</v>
      </c>
    </row>
    <row r="2449" customFormat="false" ht="15" hidden="false" customHeight="false" outlineLevel="0" collapsed="false">
      <c r="A2449" s="0" t="s">
        <v>259</v>
      </c>
      <c r="B2449" s="52" t="n">
        <v>44452</v>
      </c>
      <c r="C2449" s="54" t="s">
        <v>592</v>
      </c>
      <c r="D2449" s="0" t="n">
        <v>0.635876933196894</v>
      </c>
      <c r="E2449" s="0" t="n">
        <v>0.123961662277279</v>
      </c>
      <c r="F2449" s="0" t="n">
        <v>0</v>
      </c>
      <c r="G2449" s="0" t="n">
        <v>2021</v>
      </c>
    </row>
    <row r="2450" customFormat="false" ht="15" hidden="false" customHeight="false" outlineLevel="0" collapsed="false">
      <c r="A2450" s="0" t="s">
        <v>259</v>
      </c>
      <c r="B2450" s="52" t="n">
        <v>44453</v>
      </c>
      <c r="C2450" s="54" t="s">
        <v>590</v>
      </c>
      <c r="D2450" s="0" t="n">
        <v>0.798183353624089</v>
      </c>
      <c r="E2450" s="0" t="n">
        <v>0.128587427996379</v>
      </c>
      <c r="F2450" s="0" t="n">
        <v>0</v>
      </c>
      <c r="G2450" s="0" t="n">
        <v>2021</v>
      </c>
    </row>
    <row r="2451" customFormat="false" ht="15" hidden="false" customHeight="false" outlineLevel="0" collapsed="false">
      <c r="A2451" s="0" t="s">
        <v>259</v>
      </c>
      <c r="B2451" s="52" t="n">
        <v>44453</v>
      </c>
      <c r="C2451" s="54" t="s">
        <v>592</v>
      </c>
      <c r="D2451" s="0" t="n">
        <v>0.120858548271297</v>
      </c>
      <c r="E2451" s="0" t="n">
        <v>0.0997225490107684</v>
      </c>
      <c r="F2451" s="0" t="n">
        <v>0</v>
      </c>
      <c r="G2451" s="0" t="n">
        <v>2021</v>
      </c>
    </row>
    <row r="2452" customFormat="false" ht="15" hidden="false" customHeight="false" outlineLevel="0" collapsed="false">
      <c r="A2452" s="0" t="s">
        <v>259</v>
      </c>
      <c r="B2452" s="52" t="n">
        <v>44456</v>
      </c>
      <c r="C2452" s="54" t="s">
        <v>592</v>
      </c>
      <c r="D2452" s="0" t="n">
        <v>0.867090382305676</v>
      </c>
      <c r="E2452" s="0" t="n">
        <v>0.0050252995512204</v>
      </c>
      <c r="F2452" s="0" t="n">
        <v>0</v>
      </c>
      <c r="G2452" s="0" t="n">
        <v>2021</v>
      </c>
    </row>
    <row r="2453" customFormat="false" ht="15" hidden="false" customHeight="false" outlineLevel="0" collapsed="false">
      <c r="A2453" s="0" t="s">
        <v>259</v>
      </c>
      <c r="B2453" s="52" t="n">
        <v>44457</v>
      </c>
      <c r="C2453" s="54" t="s">
        <v>590</v>
      </c>
      <c r="D2453" s="0" t="n">
        <v>0.273813834722245</v>
      </c>
      <c r="E2453" s="0" t="n">
        <v>0.152827839082741</v>
      </c>
      <c r="F2453" s="0" t="n">
        <v>1</v>
      </c>
      <c r="G2453" s="0" t="n">
        <v>2021</v>
      </c>
    </row>
    <row r="2454" customFormat="false" ht="15" hidden="false" customHeight="false" outlineLevel="0" collapsed="false">
      <c r="A2454" s="0" t="s">
        <v>259</v>
      </c>
      <c r="B2454" s="52" t="n">
        <v>44457</v>
      </c>
      <c r="C2454" s="54" t="s">
        <v>592</v>
      </c>
      <c r="D2454" s="0" t="n">
        <v>0.389161763826433</v>
      </c>
      <c r="E2454" s="0" t="n">
        <v>0.167396028650898</v>
      </c>
      <c r="F2454" s="0" t="n">
        <v>1</v>
      </c>
      <c r="G2454" s="0" t="n">
        <v>2021</v>
      </c>
    </row>
    <row r="2455" customFormat="false" ht="15" hidden="false" customHeight="false" outlineLevel="0" collapsed="false">
      <c r="A2455" s="0" t="s">
        <v>259</v>
      </c>
      <c r="B2455" s="52" t="n">
        <v>44458</v>
      </c>
      <c r="C2455" s="54" t="s">
        <v>590</v>
      </c>
      <c r="D2455" s="0" t="n">
        <v>0.134291987444555</v>
      </c>
      <c r="E2455" s="0" t="n">
        <v>0.185971151764256</v>
      </c>
      <c r="F2455" s="0" t="n">
        <v>1</v>
      </c>
      <c r="G2455" s="0" t="n">
        <v>2021</v>
      </c>
    </row>
    <row r="2456" customFormat="false" ht="15" hidden="false" customHeight="false" outlineLevel="0" collapsed="false">
      <c r="A2456" s="0" t="s">
        <v>259</v>
      </c>
      <c r="B2456" s="52" t="n">
        <v>44458</v>
      </c>
      <c r="C2456" s="54" t="s">
        <v>592</v>
      </c>
      <c r="D2456" s="0" t="n">
        <v>1</v>
      </c>
      <c r="E2456" s="0" t="n">
        <v>0</v>
      </c>
      <c r="F2456" s="0" t="n">
        <v>1</v>
      </c>
      <c r="G2456" s="0" t="n">
        <v>2021</v>
      </c>
    </row>
    <row r="2457" customFormat="false" ht="15" hidden="false" customHeight="false" outlineLevel="0" collapsed="false">
      <c r="A2457" s="0" t="s">
        <v>259</v>
      </c>
      <c r="B2457" s="52" t="n">
        <v>44459</v>
      </c>
      <c r="C2457" s="54" t="s">
        <v>590</v>
      </c>
      <c r="D2457" s="0" t="n">
        <v>0.808866245559074</v>
      </c>
      <c r="E2457" s="0" t="n">
        <v>0.0400692606260814</v>
      </c>
      <c r="F2457" s="0" t="n">
        <v>0</v>
      </c>
      <c r="G2457" s="0" t="n">
        <v>2021</v>
      </c>
    </row>
    <row r="2458" customFormat="false" ht="15" hidden="false" customHeight="false" outlineLevel="0" collapsed="false">
      <c r="A2458" s="0" t="s">
        <v>259</v>
      </c>
      <c r="B2458" s="52" t="n">
        <v>44459</v>
      </c>
      <c r="C2458" s="54" t="s">
        <v>592</v>
      </c>
      <c r="D2458" s="0" t="n">
        <v>0.0533785607802274</v>
      </c>
      <c r="E2458" s="0" t="n">
        <v>0.266753944526281</v>
      </c>
      <c r="F2458" s="0" t="n">
        <v>0</v>
      </c>
      <c r="G2458" s="0" t="n">
        <v>2021</v>
      </c>
    </row>
    <row r="2459" customFormat="false" ht="15" hidden="false" customHeight="false" outlineLevel="0" collapsed="false">
      <c r="A2459" s="0" t="s">
        <v>259</v>
      </c>
      <c r="B2459" s="52" t="n">
        <v>44460</v>
      </c>
      <c r="C2459" s="54" t="s">
        <v>590</v>
      </c>
      <c r="D2459" s="0" t="n">
        <v>0.78987839925348</v>
      </c>
      <c r="E2459" s="0" t="n">
        <v>0.044542285467398</v>
      </c>
      <c r="F2459" s="0" t="n">
        <v>0</v>
      </c>
      <c r="G2459" s="0" t="n">
        <v>2021</v>
      </c>
    </row>
    <row r="2460" customFormat="false" ht="15" hidden="false" customHeight="false" outlineLevel="0" collapsed="false">
      <c r="A2460" s="0" t="s">
        <v>259</v>
      </c>
      <c r="B2460" s="52" t="n">
        <v>44460</v>
      </c>
      <c r="C2460" s="54" t="s">
        <v>592</v>
      </c>
      <c r="D2460" s="0" t="n">
        <v>0.0848321717814501</v>
      </c>
      <c r="E2460" s="0" t="n">
        <v>0.193725701360203</v>
      </c>
      <c r="F2460" s="0" t="n">
        <v>0</v>
      </c>
      <c r="G2460" s="0" t="n">
        <v>2021</v>
      </c>
    </row>
    <row r="2461" customFormat="false" ht="15" hidden="false" customHeight="false" outlineLevel="0" collapsed="false">
      <c r="A2461" s="0" t="s">
        <v>259</v>
      </c>
      <c r="B2461" s="52" t="n">
        <v>44461</v>
      </c>
      <c r="C2461" s="54" t="s">
        <v>590</v>
      </c>
      <c r="D2461" s="0" t="n">
        <v>0.68889629177696</v>
      </c>
      <c r="E2461" s="0" t="n">
        <v>0.0844001113692903</v>
      </c>
      <c r="F2461" s="0" t="n">
        <v>0</v>
      </c>
      <c r="G2461" s="0" t="n">
        <v>2021</v>
      </c>
    </row>
    <row r="2462" customFormat="false" ht="15" hidden="false" customHeight="false" outlineLevel="0" collapsed="false">
      <c r="A2462" s="0" t="s">
        <v>259</v>
      </c>
      <c r="B2462" s="52" t="n">
        <v>44461</v>
      </c>
      <c r="C2462" s="54" t="s">
        <v>591</v>
      </c>
      <c r="D2462" s="0" t="n">
        <v>1</v>
      </c>
      <c r="E2462" s="0" t="n">
        <v>0</v>
      </c>
      <c r="F2462" s="0" t="n">
        <v>0</v>
      </c>
      <c r="G2462" s="0" t="n">
        <v>2021</v>
      </c>
    </row>
    <row r="2463" customFormat="false" ht="15" hidden="false" customHeight="false" outlineLevel="0" collapsed="false">
      <c r="A2463" s="0" t="s">
        <v>259</v>
      </c>
      <c r="B2463" s="52" t="n">
        <v>44461</v>
      </c>
      <c r="C2463" s="54" t="s">
        <v>592</v>
      </c>
      <c r="D2463" s="0" t="n">
        <v>0.541708373682672</v>
      </c>
      <c r="E2463" s="0" t="n">
        <v>0.124164273414046</v>
      </c>
      <c r="F2463" s="0" t="n">
        <v>0</v>
      </c>
      <c r="G2463" s="0" t="n">
        <v>2021</v>
      </c>
    </row>
    <row r="2464" customFormat="false" ht="15" hidden="false" customHeight="false" outlineLevel="0" collapsed="false">
      <c r="A2464" s="0" t="s">
        <v>259</v>
      </c>
      <c r="B2464" s="52" t="n">
        <v>44462</v>
      </c>
      <c r="C2464" s="54" t="s">
        <v>590</v>
      </c>
      <c r="D2464" s="0" t="n">
        <v>0.916229561667404</v>
      </c>
      <c r="E2464" s="0" t="n">
        <v>0.0207610759561877</v>
      </c>
      <c r="F2464" s="0" t="n">
        <v>0</v>
      </c>
      <c r="G2464" s="0" t="n">
        <v>2021</v>
      </c>
    </row>
    <row r="2465" customFormat="false" ht="15" hidden="false" customHeight="false" outlineLevel="0" collapsed="false">
      <c r="A2465" s="0" t="s">
        <v>259</v>
      </c>
      <c r="B2465" s="52" t="n">
        <v>44462</v>
      </c>
      <c r="C2465" s="54" t="s">
        <v>592</v>
      </c>
      <c r="D2465" s="0" t="n">
        <v>0.119974441287708</v>
      </c>
      <c r="E2465" s="0" t="n">
        <v>0.201735566240556</v>
      </c>
      <c r="F2465" s="0" t="n">
        <v>0</v>
      </c>
      <c r="G2465" s="0" t="n">
        <v>2021</v>
      </c>
    </row>
    <row r="2466" customFormat="false" ht="15" hidden="false" customHeight="false" outlineLevel="0" collapsed="false">
      <c r="A2466" s="0" t="s">
        <v>259</v>
      </c>
      <c r="B2466" s="52" t="n">
        <v>44463</v>
      </c>
      <c r="C2466" s="54" t="s">
        <v>590</v>
      </c>
      <c r="D2466" s="0" t="n">
        <v>1</v>
      </c>
      <c r="E2466" s="0" t="n">
        <v>0</v>
      </c>
      <c r="F2466" s="0" t="n">
        <v>0</v>
      </c>
      <c r="G2466" s="0" t="n">
        <v>2021</v>
      </c>
    </row>
    <row r="2467" customFormat="false" ht="15" hidden="false" customHeight="false" outlineLevel="0" collapsed="false">
      <c r="A2467" s="0" t="s">
        <v>259</v>
      </c>
      <c r="B2467" s="52" t="n">
        <v>44463</v>
      </c>
      <c r="C2467" s="54" t="s">
        <v>592</v>
      </c>
      <c r="D2467" s="0" t="n">
        <v>0.699772179719618</v>
      </c>
      <c r="E2467" s="0" t="n">
        <v>0.0444988180967508</v>
      </c>
      <c r="F2467" s="0" t="n">
        <v>0</v>
      </c>
      <c r="G2467" s="0" t="n">
        <v>2021</v>
      </c>
    </row>
    <row r="2468" customFormat="false" ht="15" hidden="false" customHeight="false" outlineLevel="0" collapsed="false">
      <c r="A2468" s="0" t="s">
        <v>259</v>
      </c>
      <c r="B2468" s="52" t="n">
        <v>44464</v>
      </c>
      <c r="C2468" s="54" t="s">
        <v>590</v>
      </c>
      <c r="D2468" s="0" t="n">
        <v>0.289846508356433</v>
      </c>
      <c r="E2468" s="0" t="n">
        <v>0.119888247461861</v>
      </c>
      <c r="F2468" s="0" t="n">
        <v>1</v>
      </c>
      <c r="G2468" s="0" t="n">
        <v>2021</v>
      </c>
    </row>
    <row r="2469" customFormat="false" ht="15" hidden="false" customHeight="false" outlineLevel="0" collapsed="false">
      <c r="A2469" s="0" t="s">
        <v>259</v>
      </c>
      <c r="B2469" s="52" t="n">
        <v>44465</v>
      </c>
      <c r="C2469" s="54" t="s">
        <v>592</v>
      </c>
      <c r="D2469" s="0" t="n">
        <v>0.767016046216304</v>
      </c>
      <c r="E2469" s="0" t="n">
        <v>0.0474604944310868</v>
      </c>
      <c r="F2469" s="0" t="n">
        <v>1</v>
      </c>
      <c r="G2469" s="0" t="n">
        <v>2021</v>
      </c>
    </row>
    <row r="2470" customFormat="false" ht="15" hidden="false" customHeight="false" outlineLevel="0" collapsed="false">
      <c r="A2470" s="0" t="s">
        <v>259</v>
      </c>
      <c r="B2470" s="52" t="n">
        <v>44466</v>
      </c>
      <c r="C2470" s="54" t="s">
        <v>590</v>
      </c>
      <c r="D2470" s="0" t="n">
        <v>0.193183610616011</v>
      </c>
      <c r="E2470" s="0" t="n">
        <v>0.121459802868167</v>
      </c>
      <c r="F2470" s="0" t="n">
        <v>0</v>
      </c>
      <c r="G2470" s="0" t="n">
        <v>2021</v>
      </c>
    </row>
    <row r="2471" customFormat="false" ht="15" hidden="false" customHeight="false" outlineLevel="0" collapsed="false">
      <c r="A2471" s="0" t="s">
        <v>259</v>
      </c>
      <c r="B2471" s="52" t="n">
        <v>44466</v>
      </c>
      <c r="C2471" s="54" t="s">
        <v>592</v>
      </c>
      <c r="D2471" s="0" t="n">
        <v>0.647422467369874</v>
      </c>
      <c r="E2471" s="0" t="n">
        <v>0.0568366117887219</v>
      </c>
      <c r="F2471" s="0" t="n">
        <v>0</v>
      </c>
      <c r="G2471" s="0" t="n">
        <v>2021</v>
      </c>
    </row>
    <row r="2472" customFormat="false" ht="15" hidden="false" customHeight="false" outlineLevel="0" collapsed="false">
      <c r="A2472" s="0" t="s">
        <v>259</v>
      </c>
      <c r="B2472" s="52" t="n">
        <v>44467</v>
      </c>
      <c r="C2472" s="54" t="s">
        <v>590</v>
      </c>
      <c r="D2472" s="0" t="n">
        <v>0.309210536146838</v>
      </c>
      <c r="E2472" s="0" t="n">
        <v>0.139298343710023</v>
      </c>
      <c r="F2472" s="0" t="n">
        <v>0</v>
      </c>
      <c r="G2472" s="0" t="n">
        <v>2021</v>
      </c>
    </row>
    <row r="2473" customFormat="false" ht="15" hidden="false" customHeight="false" outlineLevel="0" collapsed="false">
      <c r="A2473" s="0" t="s">
        <v>259</v>
      </c>
      <c r="B2473" s="52" t="n">
        <v>44467</v>
      </c>
      <c r="C2473" s="54" t="s">
        <v>592</v>
      </c>
      <c r="D2473" s="0" t="n">
        <v>0.443160244311512</v>
      </c>
      <c r="E2473" s="0" t="n">
        <v>0.119390915375792</v>
      </c>
      <c r="F2473" s="0" t="n">
        <v>0</v>
      </c>
      <c r="G2473" s="0" t="n">
        <v>2021</v>
      </c>
    </row>
    <row r="2474" customFormat="false" ht="15" hidden="false" customHeight="false" outlineLevel="0" collapsed="false">
      <c r="A2474" s="0" t="s">
        <v>259</v>
      </c>
      <c r="B2474" s="52" t="n">
        <v>44468</v>
      </c>
      <c r="C2474" s="54" t="s">
        <v>590</v>
      </c>
      <c r="D2474" s="0" t="n">
        <v>0.512273699334399</v>
      </c>
      <c r="E2474" s="0" t="n">
        <v>0.252504885596136</v>
      </c>
      <c r="F2474" s="0" t="n">
        <v>0</v>
      </c>
      <c r="G2474" s="0" t="n">
        <v>2021</v>
      </c>
    </row>
    <row r="2475" customFormat="false" ht="15" hidden="false" customHeight="false" outlineLevel="0" collapsed="false">
      <c r="A2475" s="0" t="s">
        <v>259</v>
      </c>
      <c r="B2475" s="52" t="n">
        <v>44468</v>
      </c>
      <c r="C2475" s="54" t="s">
        <v>592</v>
      </c>
      <c r="D2475" s="0" t="n">
        <v>0.884031933996236</v>
      </c>
      <c r="E2475" s="0" t="n">
        <v>0.0619230965373042</v>
      </c>
      <c r="F2475" s="0" t="n">
        <v>0</v>
      </c>
      <c r="G2475" s="0" t="n">
        <v>2021</v>
      </c>
    </row>
    <row r="2476" customFormat="false" ht="15" hidden="false" customHeight="false" outlineLevel="0" collapsed="false">
      <c r="A2476" s="0" t="s">
        <v>259</v>
      </c>
      <c r="B2476" s="52" t="n">
        <v>44469</v>
      </c>
      <c r="C2476" s="54" t="s">
        <v>590</v>
      </c>
      <c r="D2476" s="0" t="n">
        <v>0.28550363470306</v>
      </c>
      <c r="E2476" s="0" t="n">
        <v>0.109223007257652</v>
      </c>
      <c r="F2476" s="0" t="n">
        <v>0</v>
      </c>
      <c r="G2476" s="0" t="n">
        <v>2021</v>
      </c>
    </row>
    <row r="2477" customFormat="false" ht="15" hidden="false" customHeight="false" outlineLevel="0" collapsed="false">
      <c r="A2477" s="0" t="s">
        <v>259</v>
      </c>
      <c r="B2477" s="52" t="n">
        <v>44469</v>
      </c>
      <c r="C2477" s="54" t="s">
        <v>592</v>
      </c>
      <c r="D2477" s="0" t="n">
        <v>0.221963883812472</v>
      </c>
      <c r="E2477" s="0" t="n">
        <v>0.056105269592759</v>
      </c>
      <c r="F2477" s="0" t="n">
        <v>0</v>
      </c>
      <c r="G2477" s="0" t="n">
        <v>2021</v>
      </c>
    </row>
    <row r="2478" customFormat="false" ht="15" hidden="false" customHeight="false" outlineLevel="0" collapsed="false">
      <c r="A2478" s="0" t="s">
        <v>259</v>
      </c>
      <c r="B2478" s="52" t="n">
        <v>44470</v>
      </c>
      <c r="C2478" s="54" t="s">
        <v>590</v>
      </c>
      <c r="D2478" s="0" t="n">
        <v>0.843501048167128</v>
      </c>
      <c r="E2478" s="0" t="n">
        <v>0.0212671337812829</v>
      </c>
      <c r="F2478" s="0" t="n">
        <v>0</v>
      </c>
      <c r="G2478" s="0" t="n">
        <v>2021</v>
      </c>
    </row>
    <row r="2479" customFormat="false" ht="15" hidden="false" customHeight="false" outlineLevel="0" collapsed="false">
      <c r="A2479" s="0" t="s">
        <v>259</v>
      </c>
      <c r="B2479" s="52" t="n">
        <v>44470</v>
      </c>
      <c r="C2479" s="54" t="s">
        <v>592</v>
      </c>
      <c r="D2479" s="0" t="n">
        <v>0.897676346016292</v>
      </c>
      <c r="E2479" s="0" t="n">
        <v>0.0023411572846414</v>
      </c>
      <c r="F2479" s="0" t="n">
        <v>0</v>
      </c>
      <c r="G2479" s="0" t="n">
        <v>2021</v>
      </c>
    </row>
    <row r="2480" customFormat="false" ht="15" hidden="false" customHeight="false" outlineLevel="0" collapsed="false">
      <c r="A2480" s="0" t="s">
        <v>259</v>
      </c>
      <c r="B2480" s="52" t="n">
        <v>44471</v>
      </c>
      <c r="C2480" s="54" t="s">
        <v>590</v>
      </c>
      <c r="D2480" s="0" t="n">
        <v>0.203732055751625</v>
      </c>
      <c r="E2480" s="0" t="n">
        <v>0.121785640098929</v>
      </c>
      <c r="F2480" s="0" t="n">
        <v>1</v>
      </c>
      <c r="G2480" s="0" t="n">
        <v>2021</v>
      </c>
    </row>
    <row r="2481" customFormat="false" ht="15" hidden="false" customHeight="false" outlineLevel="0" collapsed="false">
      <c r="A2481" s="0" t="s">
        <v>259</v>
      </c>
      <c r="B2481" s="52" t="n">
        <v>44472</v>
      </c>
      <c r="C2481" s="54" t="s">
        <v>592</v>
      </c>
      <c r="D2481" s="0" t="n">
        <v>0.11861254318346</v>
      </c>
      <c r="E2481" s="0" t="n">
        <v>0.183512828503035</v>
      </c>
      <c r="F2481" s="0" t="n">
        <v>1</v>
      </c>
      <c r="G2481" s="0" t="n">
        <v>2021</v>
      </c>
    </row>
    <row r="2482" customFormat="false" ht="15" hidden="false" customHeight="false" outlineLevel="0" collapsed="false">
      <c r="A2482" s="0" t="s">
        <v>259</v>
      </c>
      <c r="B2482" s="52" t="n">
        <v>44473</v>
      </c>
      <c r="C2482" s="54" t="s">
        <v>590</v>
      </c>
      <c r="D2482" s="0" t="n">
        <v>0.853409116786465</v>
      </c>
      <c r="E2482" s="0" t="n">
        <v>0.0324212790117376</v>
      </c>
      <c r="F2482" s="0" t="n">
        <v>0</v>
      </c>
      <c r="G2482" s="0" t="n">
        <v>2021</v>
      </c>
    </row>
    <row r="2483" customFormat="false" ht="15" hidden="false" customHeight="false" outlineLevel="0" collapsed="false">
      <c r="A2483" s="0" t="s">
        <v>259</v>
      </c>
      <c r="B2483" s="52" t="n">
        <v>44473</v>
      </c>
      <c r="C2483" s="54" t="s">
        <v>592</v>
      </c>
      <c r="D2483" s="0" t="n">
        <v>1</v>
      </c>
      <c r="E2483" s="0" t="n">
        <v>0</v>
      </c>
      <c r="F2483" s="0" t="n">
        <v>0</v>
      </c>
      <c r="G2483" s="0" t="n">
        <v>2021</v>
      </c>
    </row>
    <row r="2484" customFormat="false" ht="15" hidden="false" customHeight="false" outlineLevel="0" collapsed="false">
      <c r="A2484" s="0" t="s">
        <v>259</v>
      </c>
      <c r="B2484" s="52" t="n">
        <v>44474</v>
      </c>
      <c r="C2484" s="54" t="s">
        <v>590</v>
      </c>
      <c r="D2484" s="0" t="n">
        <v>0.34652890812684</v>
      </c>
      <c r="E2484" s="0" t="n">
        <v>0.2352639360059</v>
      </c>
      <c r="F2484" s="0" t="n">
        <v>0</v>
      </c>
      <c r="G2484" s="0" t="n">
        <v>2021</v>
      </c>
    </row>
    <row r="2485" customFormat="false" ht="15" hidden="false" customHeight="false" outlineLevel="0" collapsed="false">
      <c r="A2485" s="0" t="s">
        <v>259</v>
      </c>
      <c r="B2485" s="52" t="n">
        <v>44474</v>
      </c>
      <c r="C2485" s="54" t="s">
        <v>592</v>
      </c>
      <c r="D2485" s="0" t="n">
        <v>0.0976589915277505</v>
      </c>
      <c r="E2485" s="0" t="n">
        <v>0.206881124282996</v>
      </c>
      <c r="F2485" s="0" t="n">
        <v>0</v>
      </c>
      <c r="G2485" s="0" t="n">
        <v>2021</v>
      </c>
    </row>
    <row r="2486" customFormat="false" ht="15" hidden="false" customHeight="false" outlineLevel="0" collapsed="false">
      <c r="A2486" s="0" t="s">
        <v>259</v>
      </c>
      <c r="B2486" s="52" t="n">
        <v>44475</v>
      </c>
      <c r="C2486" s="54" t="s">
        <v>590</v>
      </c>
      <c r="D2486" s="0" t="n">
        <v>0.367579790168491</v>
      </c>
      <c r="E2486" s="0" t="n">
        <v>0.101005395042756</v>
      </c>
      <c r="F2486" s="0" t="n">
        <v>0</v>
      </c>
      <c r="G2486" s="0" t="n">
        <v>2021</v>
      </c>
    </row>
    <row r="2487" customFormat="false" ht="15" hidden="false" customHeight="false" outlineLevel="0" collapsed="false">
      <c r="A2487" s="0" t="s">
        <v>259</v>
      </c>
      <c r="B2487" s="52" t="n">
        <v>44475</v>
      </c>
      <c r="C2487" s="54" t="s">
        <v>592</v>
      </c>
      <c r="D2487" s="0" t="n">
        <v>0.599955634458564</v>
      </c>
      <c r="E2487" s="0" t="n">
        <v>0.0421045201551025</v>
      </c>
      <c r="F2487" s="0" t="n">
        <v>0</v>
      </c>
      <c r="G2487" s="0" t="n">
        <v>2021</v>
      </c>
    </row>
    <row r="2488" customFormat="false" ht="15" hidden="false" customHeight="false" outlineLevel="0" collapsed="false">
      <c r="A2488" s="0" t="s">
        <v>259</v>
      </c>
      <c r="B2488" s="52" t="n">
        <v>44476</v>
      </c>
      <c r="C2488" s="54" t="s">
        <v>590</v>
      </c>
      <c r="D2488" s="0" t="n">
        <v>0.281292497582849</v>
      </c>
      <c r="E2488" s="0" t="n">
        <v>0.191864521692695</v>
      </c>
      <c r="F2488" s="0" t="n">
        <v>0</v>
      </c>
      <c r="G2488" s="0" t="n">
        <v>2021</v>
      </c>
    </row>
    <row r="2489" customFormat="false" ht="15" hidden="false" customHeight="false" outlineLevel="0" collapsed="false">
      <c r="A2489" s="0" t="s">
        <v>259</v>
      </c>
      <c r="B2489" s="52" t="n">
        <v>44476</v>
      </c>
      <c r="C2489" s="54" t="s">
        <v>592</v>
      </c>
      <c r="D2489" s="0" t="n">
        <v>0.0695310559873967</v>
      </c>
      <c r="E2489" s="0" t="n">
        <v>0.218802969610376</v>
      </c>
      <c r="F2489" s="0" t="n">
        <v>0</v>
      </c>
      <c r="G2489" s="0" t="n">
        <v>2021</v>
      </c>
    </row>
    <row r="2490" customFormat="false" ht="15" hidden="false" customHeight="false" outlineLevel="0" collapsed="false">
      <c r="A2490" s="0" t="s">
        <v>259</v>
      </c>
      <c r="B2490" s="52" t="n">
        <v>44477</v>
      </c>
      <c r="C2490" s="54" t="s">
        <v>590</v>
      </c>
      <c r="D2490" s="0" t="n">
        <v>0.745551051738234</v>
      </c>
      <c r="E2490" s="0" t="n">
        <v>0.0359232257749182</v>
      </c>
      <c r="F2490" s="0" t="n">
        <v>0</v>
      </c>
      <c r="G2490" s="0" t="n">
        <v>2021</v>
      </c>
    </row>
    <row r="2491" customFormat="false" ht="15" hidden="false" customHeight="false" outlineLevel="0" collapsed="false">
      <c r="A2491" s="0" t="s">
        <v>259</v>
      </c>
      <c r="B2491" s="52" t="n">
        <v>44477</v>
      </c>
      <c r="C2491" s="54" t="s">
        <v>592</v>
      </c>
      <c r="D2491" s="0" t="n">
        <v>0.740061961431037</v>
      </c>
      <c r="E2491" s="0" t="n">
        <v>0.0627108694313177</v>
      </c>
      <c r="F2491" s="0" t="n">
        <v>0</v>
      </c>
      <c r="G2491" s="0" t="n">
        <v>2021</v>
      </c>
    </row>
    <row r="2492" customFormat="false" ht="15" hidden="false" customHeight="false" outlineLevel="0" collapsed="false">
      <c r="A2492" s="0" t="s">
        <v>259</v>
      </c>
      <c r="B2492" s="52" t="n">
        <v>44478</v>
      </c>
      <c r="C2492" s="54" t="s">
        <v>590</v>
      </c>
      <c r="D2492" s="0" t="n">
        <v>0.229806445212098</v>
      </c>
      <c r="E2492" s="0" t="n">
        <v>0.268099997780052</v>
      </c>
      <c r="F2492" s="0" t="n">
        <v>1</v>
      </c>
      <c r="G2492" s="0" t="n">
        <v>2021</v>
      </c>
    </row>
    <row r="2493" customFormat="false" ht="15" hidden="false" customHeight="false" outlineLevel="0" collapsed="false">
      <c r="A2493" s="0" t="s">
        <v>259</v>
      </c>
      <c r="B2493" s="52" t="n">
        <v>44479</v>
      </c>
      <c r="C2493" s="54" t="s">
        <v>592</v>
      </c>
      <c r="D2493" s="0" t="n">
        <v>0.568145018755487</v>
      </c>
      <c r="E2493" s="0" t="n">
        <v>0.0834760592374567</v>
      </c>
      <c r="F2493" s="0" t="n">
        <v>1</v>
      </c>
      <c r="G2493" s="0" t="n">
        <v>2021</v>
      </c>
    </row>
    <row r="2494" customFormat="false" ht="15" hidden="false" customHeight="false" outlineLevel="0" collapsed="false">
      <c r="A2494" s="0" t="s">
        <v>259</v>
      </c>
      <c r="B2494" s="52" t="n">
        <v>44480</v>
      </c>
      <c r="C2494" s="54" t="s">
        <v>590</v>
      </c>
      <c r="D2494" s="0" t="n">
        <v>0.37030006589764</v>
      </c>
      <c r="E2494" s="0" t="n">
        <v>0.0416992845804249</v>
      </c>
      <c r="F2494" s="0" t="n">
        <v>0</v>
      </c>
      <c r="G2494" s="0" t="n">
        <v>2021</v>
      </c>
    </row>
    <row r="2495" customFormat="false" ht="15" hidden="false" customHeight="false" outlineLevel="0" collapsed="false">
      <c r="A2495" s="0" t="s">
        <v>259</v>
      </c>
      <c r="B2495" s="52" t="n">
        <v>44480</v>
      </c>
      <c r="C2495" s="54" t="s">
        <v>592</v>
      </c>
      <c r="D2495" s="0" t="n">
        <v>0.987982018483808</v>
      </c>
      <c r="E2495" s="0" t="n">
        <v>0</v>
      </c>
      <c r="F2495" s="0" t="n">
        <v>0</v>
      </c>
      <c r="G2495" s="0" t="n">
        <v>2021</v>
      </c>
    </row>
    <row r="2496" customFormat="false" ht="15" hidden="false" customHeight="false" outlineLevel="0" collapsed="false">
      <c r="A2496" s="0" t="s">
        <v>259</v>
      </c>
      <c r="B2496" s="52" t="n">
        <v>44481</v>
      </c>
      <c r="C2496" s="54" t="s">
        <v>590</v>
      </c>
      <c r="D2496" s="0" t="n">
        <v>0.243239870382231</v>
      </c>
      <c r="E2496" s="0" t="n">
        <v>0.225719284114692</v>
      </c>
      <c r="F2496" s="0" t="n">
        <v>0</v>
      </c>
      <c r="G2496" s="0" t="n">
        <v>2021</v>
      </c>
    </row>
    <row r="2497" customFormat="false" ht="15" hidden="false" customHeight="false" outlineLevel="0" collapsed="false">
      <c r="A2497" s="0" t="s">
        <v>259</v>
      </c>
      <c r="B2497" s="52" t="n">
        <v>44481</v>
      </c>
      <c r="C2497" s="54" t="s">
        <v>591</v>
      </c>
      <c r="D2497" s="0" t="n">
        <v>0.522494142758265</v>
      </c>
      <c r="E2497" s="0" t="n">
        <v>0.0623075627720689</v>
      </c>
      <c r="F2497" s="0" t="n">
        <v>0</v>
      </c>
      <c r="G2497" s="0" t="n">
        <v>2021</v>
      </c>
    </row>
    <row r="2498" customFormat="false" ht="15" hidden="false" customHeight="false" outlineLevel="0" collapsed="false">
      <c r="A2498" s="0" t="s">
        <v>259</v>
      </c>
      <c r="B2498" s="52" t="n">
        <v>44481</v>
      </c>
      <c r="C2498" s="54" t="s">
        <v>592</v>
      </c>
      <c r="D2498" s="0" t="n">
        <v>0.270081652124557</v>
      </c>
      <c r="E2498" s="0" t="n">
        <v>0.323237095173642</v>
      </c>
      <c r="F2498" s="0" t="n">
        <v>0</v>
      </c>
      <c r="G2498" s="0" t="n">
        <v>2021</v>
      </c>
    </row>
    <row r="2499" customFormat="false" ht="15" hidden="false" customHeight="false" outlineLevel="0" collapsed="false">
      <c r="A2499" s="0" t="s">
        <v>259</v>
      </c>
      <c r="B2499" s="52" t="n">
        <v>44482</v>
      </c>
      <c r="C2499" s="54" t="s">
        <v>590</v>
      </c>
      <c r="D2499" s="0" t="n">
        <v>0.808586930451278</v>
      </c>
      <c r="E2499" s="0" t="n">
        <v>0.0766959087704506</v>
      </c>
      <c r="F2499" s="0" t="n">
        <v>0</v>
      </c>
      <c r="G2499" s="0" t="n">
        <v>2021</v>
      </c>
    </row>
    <row r="2500" customFormat="false" ht="15" hidden="false" customHeight="false" outlineLevel="0" collapsed="false">
      <c r="A2500" s="0" t="s">
        <v>259</v>
      </c>
      <c r="B2500" s="52" t="n">
        <v>44482</v>
      </c>
      <c r="C2500" s="54" t="s">
        <v>591</v>
      </c>
      <c r="D2500" s="0" t="n">
        <v>1</v>
      </c>
      <c r="E2500" s="0" t="n">
        <v>0</v>
      </c>
      <c r="F2500" s="0" t="n">
        <v>0</v>
      </c>
      <c r="G2500" s="0" t="n">
        <v>2021</v>
      </c>
    </row>
    <row r="2501" customFormat="false" ht="15" hidden="false" customHeight="false" outlineLevel="0" collapsed="false">
      <c r="A2501" s="0" t="s">
        <v>259</v>
      </c>
      <c r="B2501" s="52" t="n">
        <v>44482</v>
      </c>
      <c r="C2501" s="54" t="s">
        <v>592</v>
      </c>
      <c r="D2501" s="0" t="n">
        <v>0.514928211669799</v>
      </c>
      <c r="E2501" s="0" t="n">
        <v>0.0624037915252342</v>
      </c>
      <c r="F2501" s="0" t="n">
        <v>0</v>
      </c>
      <c r="G2501" s="0" t="n">
        <v>2021</v>
      </c>
    </row>
    <row r="2502" customFormat="false" ht="15" hidden="false" customHeight="false" outlineLevel="0" collapsed="false">
      <c r="A2502" s="0" t="s">
        <v>259</v>
      </c>
      <c r="B2502" s="52" t="n">
        <v>44483</v>
      </c>
      <c r="C2502" s="54" t="s">
        <v>590</v>
      </c>
      <c r="D2502" s="0" t="n">
        <v>0.408028865169653</v>
      </c>
      <c r="E2502" s="0" t="n">
        <v>0.144776928541775</v>
      </c>
      <c r="F2502" s="0" t="n">
        <v>0</v>
      </c>
      <c r="G2502" s="0" t="n">
        <v>2021</v>
      </c>
    </row>
    <row r="2503" customFormat="false" ht="15" hidden="false" customHeight="false" outlineLevel="0" collapsed="false">
      <c r="A2503" s="0" t="s">
        <v>259</v>
      </c>
      <c r="B2503" s="52" t="n">
        <v>44483</v>
      </c>
      <c r="C2503" s="54" t="s">
        <v>592</v>
      </c>
      <c r="D2503" s="0" t="n">
        <v>0.100051136995151</v>
      </c>
      <c r="E2503" s="0" t="n">
        <v>0.247726860390438</v>
      </c>
      <c r="F2503" s="0" t="n">
        <v>0</v>
      </c>
      <c r="G2503" s="0" t="n">
        <v>2021</v>
      </c>
    </row>
    <row r="2504" customFormat="false" ht="15" hidden="false" customHeight="false" outlineLevel="0" collapsed="false">
      <c r="A2504" s="0" t="s">
        <v>259</v>
      </c>
      <c r="B2504" s="52" t="n">
        <v>44484</v>
      </c>
      <c r="C2504" s="54" t="s">
        <v>590</v>
      </c>
      <c r="D2504" s="0" t="n">
        <v>0.339163917170147</v>
      </c>
      <c r="E2504" s="0" t="n">
        <v>0.293636512010787</v>
      </c>
      <c r="F2504" s="0" t="n">
        <v>0</v>
      </c>
      <c r="G2504" s="0" t="n">
        <v>2021</v>
      </c>
    </row>
    <row r="2505" customFormat="false" ht="15" hidden="false" customHeight="false" outlineLevel="0" collapsed="false">
      <c r="A2505" s="0" t="s">
        <v>259</v>
      </c>
      <c r="B2505" s="52" t="n">
        <v>44486</v>
      </c>
      <c r="C2505" s="54" t="s">
        <v>592</v>
      </c>
      <c r="D2505" s="0" t="n">
        <v>0.206316353511353</v>
      </c>
      <c r="E2505" s="0" t="n">
        <v>0.274978724846548</v>
      </c>
      <c r="F2505" s="0" t="n">
        <v>1</v>
      </c>
      <c r="G2505" s="0" t="n">
        <v>2021</v>
      </c>
    </row>
    <row r="2506" customFormat="false" ht="15" hidden="false" customHeight="false" outlineLevel="0" collapsed="false">
      <c r="A2506" s="0" t="s">
        <v>259</v>
      </c>
      <c r="B2506" s="52" t="n">
        <v>44487</v>
      </c>
      <c r="C2506" s="54" t="s">
        <v>590</v>
      </c>
      <c r="D2506" s="0" t="n">
        <v>0.75116559878963</v>
      </c>
      <c r="E2506" s="0" t="n">
        <v>0.0468091466246742</v>
      </c>
      <c r="F2506" s="0" t="n">
        <v>0</v>
      </c>
      <c r="G2506" s="0" t="n">
        <v>2021</v>
      </c>
    </row>
    <row r="2507" customFormat="false" ht="15" hidden="false" customHeight="false" outlineLevel="0" collapsed="false">
      <c r="A2507" s="0" t="s">
        <v>259</v>
      </c>
      <c r="B2507" s="52" t="n">
        <v>44487</v>
      </c>
      <c r="C2507" s="54" t="s">
        <v>592</v>
      </c>
      <c r="D2507" s="0" t="n">
        <v>1</v>
      </c>
      <c r="E2507" s="0" t="n">
        <v>0</v>
      </c>
      <c r="F2507" s="0" t="n">
        <v>0</v>
      </c>
      <c r="G2507" s="0" t="n">
        <v>2021</v>
      </c>
    </row>
    <row r="2508" customFormat="false" ht="15" hidden="false" customHeight="false" outlineLevel="0" collapsed="false">
      <c r="A2508" s="0" t="s">
        <v>259</v>
      </c>
      <c r="B2508" s="52" t="n">
        <v>44488</v>
      </c>
      <c r="C2508" s="54" t="s">
        <v>590</v>
      </c>
      <c r="D2508" s="0" t="n">
        <v>0.100086234197128</v>
      </c>
      <c r="E2508" s="0" t="n">
        <v>0.215319708918731</v>
      </c>
      <c r="F2508" s="0" t="n">
        <v>0</v>
      </c>
      <c r="G2508" s="0" t="n">
        <v>2021</v>
      </c>
    </row>
    <row r="2509" customFormat="false" ht="15" hidden="false" customHeight="false" outlineLevel="0" collapsed="false">
      <c r="A2509" s="0" t="s">
        <v>259</v>
      </c>
      <c r="B2509" s="52" t="n">
        <v>44488</v>
      </c>
      <c r="C2509" s="54" t="s">
        <v>591</v>
      </c>
      <c r="D2509" s="0" t="n">
        <v>0.219980079423597</v>
      </c>
      <c r="E2509" s="0" t="n">
        <v>0.0752901476650827</v>
      </c>
      <c r="F2509" s="0" t="n">
        <v>0</v>
      </c>
      <c r="G2509" s="0" t="n">
        <v>2021</v>
      </c>
    </row>
    <row r="2510" customFormat="false" ht="15" hidden="false" customHeight="false" outlineLevel="0" collapsed="false">
      <c r="A2510" s="0" t="s">
        <v>259</v>
      </c>
      <c r="B2510" s="52" t="n">
        <v>44488</v>
      </c>
      <c r="C2510" s="54" t="s">
        <v>592</v>
      </c>
      <c r="D2510" s="0" t="n">
        <v>0.289351602886665</v>
      </c>
      <c r="E2510" s="0" t="n">
        <v>0.107328986084441</v>
      </c>
      <c r="F2510" s="0" t="n">
        <v>0</v>
      </c>
      <c r="G2510" s="0" t="n">
        <v>2021</v>
      </c>
    </row>
    <row r="2511" customFormat="false" ht="15" hidden="false" customHeight="false" outlineLevel="0" collapsed="false">
      <c r="A2511" s="0" t="s">
        <v>259</v>
      </c>
      <c r="B2511" s="52" t="n">
        <v>44489</v>
      </c>
      <c r="C2511" s="54" t="s">
        <v>590</v>
      </c>
      <c r="D2511" s="0" t="n">
        <v>0.314515009794625</v>
      </c>
      <c r="E2511" s="0" t="n">
        <v>0.260627677450576</v>
      </c>
      <c r="F2511" s="0" t="n">
        <v>0</v>
      </c>
      <c r="G2511" s="0" t="n">
        <v>2021</v>
      </c>
    </row>
    <row r="2512" customFormat="false" ht="15" hidden="false" customHeight="false" outlineLevel="0" collapsed="false">
      <c r="A2512" s="0" t="s">
        <v>259</v>
      </c>
      <c r="B2512" s="52" t="n">
        <v>44489</v>
      </c>
      <c r="C2512" s="54" t="s">
        <v>592</v>
      </c>
      <c r="D2512" s="0" t="n">
        <v>0.622809378887338</v>
      </c>
      <c r="E2512" s="0" t="n">
        <v>0.0560728902875695</v>
      </c>
      <c r="F2512" s="0" t="n">
        <v>0</v>
      </c>
      <c r="G2512" s="0" t="n">
        <v>2021</v>
      </c>
    </row>
    <row r="2513" customFormat="false" ht="15" hidden="false" customHeight="false" outlineLevel="0" collapsed="false">
      <c r="A2513" s="0" t="s">
        <v>259</v>
      </c>
      <c r="B2513" s="52" t="n">
        <v>44490</v>
      </c>
      <c r="C2513" s="54" t="s">
        <v>590</v>
      </c>
      <c r="D2513" s="0" t="n">
        <v>0.159505957445465</v>
      </c>
      <c r="E2513" s="0" t="n">
        <v>0.107976840950949</v>
      </c>
      <c r="F2513" s="0" t="n">
        <v>0</v>
      </c>
      <c r="G2513" s="0" t="n">
        <v>2021</v>
      </c>
    </row>
    <row r="2514" customFormat="false" ht="15" hidden="false" customHeight="false" outlineLevel="0" collapsed="false">
      <c r="A2514" s="0" t="s">
        <v>259</v>
      </c>
      <c r="B2514" s="52" t="n">
        <v>44490</v>
      </c>
      <c r="C2514" s="54" t="s">
        <v>592</v>
      </c>
      <c r="D2514" s="0" t="n">
        <v>0.0673764742412296</v>
      </c>
      <c r="E2514" s="0" t="n">
        <v>0.233443664705688</v>
      </c>
      <c r="F2514" s="0" t="n">
        <v>0</v>
      </c>
      <c r="G2514" s="0" t="n">
        <v>2021</v>
      </c>
    </row>
    <row r="2515" customFormat="false" ht="15" hidden="false" customHeight="false" outlineLevel="0" collapsed="false">
      <c r="A2515" s="0" t="s">
        <v>259</v>
      </c>
      <c r="B2515" s="52" t="n">
        <v>44491</v>
      </c>
      <c r="C2515" s="54" t="s">
        <v>590</v>
      </c>
      <c r="D2515" s="0" t="n">
        <v>0.323158013124172</v>
      </c>
      <c r="E2515" s="0" t="n">
        <v>0.122999354615058</v>
      </c>
      <c r="F2515" s="0" t="n">
        <v>0</v>
      </c>
      <c r="G2515" s="0" t="n">
        <v>2021</v>
      </c>
    </row>
    <row r="2516" customFormat="false" ht="15" hidden="false" customHeight="false" outlineLevel="0" collapsed="false">
      <c r="A2516" s="0" t="s">
        <v>259</v>
      </c>
      <c r="B2516" s="52" t="n">
        <v>44491</v>
      </c>
      <c r="C2516" s="54" t="s">
        <v>592</v>
      </c>
      <c r="D2516" s="0" t="n">
        <v>1</v>
      </c>
      <c r="E2516" s="0" t="n">
        <v>0</v>
      </c>
      <c r="F2516" s="0" t="n">
        <v>0</v>
      </c>
      <c r="G2516" s="0" t="n">
        <v>2021</v>
      </c>
    </row>
    <row r="2517" customFormat="false" ht="15" hidden="false" customHeight="false" outlineLevel="0" collapsed="false">
      <c r="A2517" s="0" t="s">
        <v>259</v>
      </c>
      <c r="B2517" s="52" t="n">
        <v>44492</v>
      </c>
      <c r="C2517" s="54" t="s">
        <v>590</v>
      </c>
      <c r="D2517" s="0" t="n">
        <v>0.121874648844503</v>
      </c>
      <c r="E2517" s="0" t="n">
        <v>0.138263136415669</v>
      </c>
      <c r="F2517" s="0" t="n">
        <v>1</v>
      </c>
      <c r="G2517" s="0" t="n">
        <v>2021</v>
      </c>
    </row>
    <row r="2518" customFormat="false" ht="15" hidden="false" customHeight="false" outlineLevel="0" collapsed="false">
      <c r="A2518" s="0" t="s">
        <v>259</v>
      </c>
      <c r="B2518" s="52" t="n">
        <v>44493</v>
      </c>
      <c r="C2518" s="54" t="s">
        <v>592</v>
      </c>
      <c r="D2518" s="0" t="n">
        <v>0.2448538289951</v>
      </c>
      <c r="E2518" s="0" t="n">
        <v>0.129998113523474</v>
      </c>
      <c r="F2518" s="0" t="n">
        <v>1</v>
      </c>
      <c r="G2518" s="0" t="n">
        <v>2021</v>
      </c>
    </row>
    <row r="2519" customFormat="false" ht="15" hidden="false" customHeight="false" outlineLevel="0" collapsed="false">
      <c r="A2519" s="0" t="s">
        <v>259</v>
      </c>
      <c r="B2519" s="52" t="n">
        <v>44494</v>
      </c>
      <c r="C2519" s="54" t="s">
        <v>590</v>
      </c>
      <c r="D2519" s="0" t="n">
        <v>0.738984044818215</v>
      </c>
      <c r="E2519" s="0" t="n">
        <v>0.101415862505405</v>
      </c>
      <c r="F2519" s="0" t="n">
        <v>0</v>
      </c>
      <c r="G2519" s="0" t="n">
        <v>2021</v>
      </c>
    </row>
    <row r="2520" customFormat="false" ht="15" hidden="false" customHeight="false" outlineLevel="0" collapsed="false">
      <c r="A2520" s="0" t="s">
        <v>259</v>
      </c>
      <c r="B2520" s="52" t="n">
        <v>44494</v>
      </c>
      <c r="C2520" s="54" t="s">
        <v>592</v>
      </c>
      <c r="D2520" s="0" t="n">
        <v>1</v>
      </c>
      <c r="E2520" s="0" t="n">
        <v>0</v>
      </c>
      <c r="F2520" s="0" t="n">
        <v>0</v>
      </c>
      <c r="G2520" s="0" t="n">
        <v>2021</v>
      </c>
    </row>
    <row r="2521" customFormat="false" ht="15" hidden="false" customHeight="false" outlineLevel="0" collapsed="false">
      <c r="A2521" s="0" t="s">
        <v>259</v>
      </c>
      <c r="B2521" s="52" t="n">
        <v>44495</v>
      </c>
      <c r="C2521" s="54" t="s">
        <v>590</v>
      </c>
      <c r="D2521" s="0" t="n">
        <v>0.278308719833544</v>
      </c>
      <c r="E2521" s="0" t="n">
        <v>0.215722885726621</v>
      </c>
      <c r="F2521" s="0" t="n">
        <v>0</v>
      </c>
      <c r="G2521" s="0" t="n">
        <v>2021</v>
      </c>
    </row>
    <row r="2522" customFormat="false" ht="15" hidden="false" customHeight="false" outlineLevel="0" collapsed="false">
      <c r="A2522" s="0" t="s">
        <v>259</v>
      </c>
      <c r="B2522" s="52" t="n">
        <v>44495</v>
      </c>
      <c r="C2522" s="54" t="s">
        <v>592</v>
      </c>
      <c r="D2522" s="0" t="n">
        <v>0.296657180597708</v>
      </c>
      <c r="E2522" s="0" t="n">
        <v>0.0975744778856051</v>
      </c>
      <c r="F2522" s="0" t="n">
        <v>0</v>
      </c>
      <c r="G2522" s="0" t="n">
        <v>2021</v>
      </c>
    </row>
    <row r="2523" customFormat="false" ht="15" hidden="false" customHeight="false" outlineLevel="0" collapsed="false">
      <c r="A2523" s="0" t="s">
        <v>259</v>
      </c>
      <c r="B2523" s="52" t="n">
        <v>44496</v>
      </c>
      <c r="C2523" s="54" t="s">
        <v>590</v>
      </c>
      <c r="D2523" s="0" t="n">
        <v>0.548259457380878</v>
      </c>
      <c r="E2523" s="0" t="n">
        <v>0.194660032533217</v>
      </c>
      <c r="F2523" s="0" t="n">
        <v>0</v>
      </c>
      <c r="G2523" s="0" t="n">
        <v>2021</v>
      </c>
    </row>
    <row r="2524" customFormat="false" ht="15" hidden="false" customHeight="false" outlineLevel="0" collapsed="false">
      <c r="A2524" s="0" t="s">
        <v>259</v>
      </c>
      <c r="B2524" s="52" t="n">
        <v>44496</v>
      </c>
      <c r="C2524" s="54" t="s">
        <v>592</v>
      </c>
      <c r="D2524" s="0" t="n">
        <v>1</v>
      </c>
      <c r="E2524" s="0" t="n">
        <v>0</v>
      </c>
      <c r="F2524" s="0" t="n">
        <v>0</v>
      </c>
      <c r="G2524" s="0" t="n">
        <v>2021</v>
      </c>
    </row>
    <row r="2525" customFormat="false" ht="15" hidden="false" customHeight="false" outlineLevel="0" collapsed="false">
      <c r="A2525" s="0" t="s">
        <v>259</v>
      </c>
      <c r="B2525" s="52" t="n">
        <v>44497</v>
      </c>
      <c r="C2525" s="54" t="s">
        <v>590</v>
      </c>
      <c r="D2525" s="0" t="n">
        <v>0.4149819108565</v>
      </c>
      <c r="E2525" s="0" t="n">
        <v>0.111623133890329</v>
      </c>
      <c r="F2525" s="0" t="n">
        <v>0</v>
      </c>
      <c r="G2525" s="0" t="n">
        <v>2021</v>
      </c>
    </row>
    <row r="2526" customFormat="false" ht="15" hidden="false" customHeight="false" outlineLevel="0" collapsed="false">
      <c r="A2526" s="0" t="s">
        <v>259</v>
      </c>
      <c r="B2526" s="52" t="n">
        <v>44497</v>
      </c>
      <c r="C2526" s="54" t="s">
        <v>592</v>
      </c>
      <c r="D2526" s="0" t="n">
        <v>0.215072205608743</v>
      </c>
      <c r="E2526" s="0" t="n">
        <v>0.159066164250496</v>
      </c>
      <c r="F2526" s="0" t="n">
        <v>0</v>
      </c>
      <c r="G2526" s="0" t="n">
        <v>2021</v>
      </c>
    </row>
    <row r="2527" customFormat="false" ht="15" hidden="false" customHeight="false" outlineLevel="0" collapsed="false">
      <c r="A2527" s="0" t="s">
        <v>259</v>
      </c>
      <c r="B2527" s="52" t="n">
        <v>44498</v>
      </c>
      <c r="C2527" s="54" t="s">
        <v>590</v>
      </c>
      <c r="D2527" s="0" t="n">
        <v>0.306683664216655</v>
      </c>
      <c r="E2527" s="0" t="n">
        <v>0.338227256569153</v>
      </c>
      <c r="F2527" s="0" t="n">
        <v>0</v>
      </c>
      <c r="G2527" s="0" t="n">
        <v>2021</v>
      </c>
    </row>
    <row r="2528" customFormat="false" ht="15" hidden="false" customHeight="false" outlineLevel="0" collapsed="false">
      <c r="A2528" s="0" t="s">
        <v>259</v>
      </c>
      <c r="B2528" s="52" t="n">
        <v>44498</v>
      </c>
      <c r="C2528" s="54" t="s">
        <v>592</v>
      </c>
      <c r="D2528" s="0" t="n">
        <v>0.998428307738561</v>
      </c>
      <c r="E2528" s="0" t="n">
        <v>0</v>
      </c>
      <c r="F2528" s="0" t="n">
        <v>0</v>
      </c>
      <c r="G2528" s="0" t="n">
        <v>2021</v>
      </c>
    </row>
    <row r="2529" customFormat="false" ht="15" hidden="false" customHeight="false" outlineLevel="0" collapsed="false">
      <c r="A2529" s="0" t="s">
        <v>259</v>
      </c>
      <c r="B2529" s="52" t="n">
        <v>44499</v>
      </c>
      <c r="C2529" s="54" t="s">
        <v>590</v>
      </c>
      <c r="D2529" s="0" t="n">
        <v>0.24662369231356</v>
      </c>
      <c r="E2529" s="0" t="n">
        <v>0.225538170687302</v>
      </c>
      <c r="F2529" s="0" t="n">
        <v>1</v>
      </c>
      <c r="G2529" s="0" t="n">
        <v>2021</v>
      </c>
    </row>
    <row r="2530" customFormat="false" ht="15" hidden="false" customHeight="false" outlineLevel="0" collapsed="false">
      <c r="A2530" s="0" t="s">
        <v>259</v>
      </c>
      <c r="B2530" s="52" t="n">
        <v>44500</v>
      </c>
      <c r="C2530" s="54" t="s">
        <v>592</v>
      </c>
      <c r="D2530" s="0" t="n">
        <v>0.407367756877674</v>
      </c>
      <c r="E2530" s="0" t="n">
        <v>0.0482632710465631</v>
      </c>
      <c r="F2530" s="0" t="n">
        <v>1</v>
      </c>
      <c r="G2530" s="0" t="n">
        <v>2021</v>
      </c>
    </row>
    <row r="2531" customFormat="false" ht="15" hidden="false" customHeight="false" outlineLevel="0" collapsed="false">
      <c r="A2531" s="0" t="s">
        <v>259</v>
      </c>
      <c r="B2531" s="52" t="n">
        <v>44501</v>
      </c>
      <c r="C2531" s="54" t="s">
        <v>590</v>
      </c>
      <c r="D2531" s="0" t="n">
        <v>0.591006498560897</v>
      </c>
      <c r="E2531" s="0" t="n">
        <v>0.0634121386918538</v>
      </c>
      <c r="F2531" s="0" t="n">
        <v>0</v>
      </c>
      <c r="G2531" s="0" t="n">
        <v>2021</v>
      </c>
    </row>
    <row r="2532" customFormat="false" ht="15" hidden="false" customHeight="false" outlineLevel="0" collapsed="false">
      <c r="A2532" s="0" t="s">
        <v>259</v>
      </c>
      <c r="B2532" s="52" t="n">
        <v>44501</v>
      </c>
      <c r="C2532" s="54" t="s">
        <v>592</v>
      </c>
      <c r="D2532" s="0" t="n">
        <v>0.999110775252084</v>
      </c>
      <c r="E2532" s="0" t="n">
        <v>0</v>
      </c>
      <c r="F2532" s="0" t="n">
        <v>0</v>
      </c>
      <c r="G2532" s="0" t="n">
        <v>2021</v>
      </c>
    </row>
    <row r="2533" customFormat="false" ht="15" hidden="false" customHeight="false" outlineLevel="0" collapsed="false">
      <c r="A2533" s="0" t="s">
        <v>259</v>
      </c>
      <c r="B2533" s="52" t="n">
        <v>44502</v>
      </c>
      <c r="C2533" s="54" t="s">
        <v>590</v>
      </c>
      <c r="D2533" s="0" t="n">
        <v>0.413083081156183</v>
      </c>
      <c r="E2533" s="0" t="n">
        <v>0.265307993258082</v>
      </c>
      <c r="F2533" s="0" t="n">
        <v>0</v>
      </c>
      <c r="G2533" s="0" t="n">
        <v>2021</v>
      </c>
    </row>
    <row r="2534" customFormat="false" ht="15" hidden="false" customHeight="false" outlineLevel="0" collapsed="false">
      <c r="A2534" s="0" t="s">
        <v>259</v>
      </c>
      <c r="B2534" s="52" t="n">
        <v>44502</v>
      </c>
      <c r="C2534" s="54" t="s">
        <v>591</v>
      </c>
      <c r="D2534" s="0" t="n">
        <v>0.197099983894725</v>
      </c>
      <c r="E2534" s="0" t="n">
        <v>0.44355143715583</v>
      </c>
      <c r="F2534" s="0" t="n">
        <v>0</v>
      </c>
      <c r="G2534" s="0" t="n">
        <v>2021</v>
      </c>
    </row>
    <row r="2535" customFormat="false" ht="15" hidden="false" customHeight="false" outlineLevel="0" collapsed="false">
      <c r="A2535" s="0" t="s">
        <v>259</v>
      </c>
      <c r="B2535" s="52" t="n">
        <v>44502</v>
      </c>
      <c r="C2535" s="54" t="s">
        <v>592</v>
      </c>
      <c r="D2535" s="0" t="n">
        <v>0.308609226972892</v>
      </c>
      <c r="E2535" s="0" t="n">
        <v>0.0799912547787206</v>
      </c>
      <c r="F2535" s="0" t="n">
        <v>0</v>
      </c>
      <c r="G2535" s="0" t="n">
        <v>2021</v>
      </c>
    </row>
    <row r="2536" customFormat="false" ht="15" hidden="false" customHeight="false" outlineLevel="0" collapsed="false">
      <c r="A2536" s="0" t="s">
        <v>259</v>
      </c>
      <c r="B2536" s="52" t="n">
        <v>44503</v>
      </c>
      <c r="C2536" s="54" t="s">
        <v>590</v>
      </c>
      <c r="D2536" s="0" t="n">
        <v>0.792292787449696</v>
      </c>
      <c r="E2536" s="0" t="n">
        <v>0.109122866402833</v>
      </c>
      <c r="F2536" s="0" t="n">
        <v>0</v>
      </c>
      <c r="G2536" s="0" t="n">
        <v>2021</v>
      </c>
    </row>
    <row r="2537" customFormat="false" ht="15" hidden="false" customHeight="false" outlineLevel="0" collapsed="false">
      <c r="A2537" s="0" t="s">
        <v>259</v>
      </c>
      <c r="B2537" s="52" t="n">
        <v>44503</v>
      </c>
      <c r="C2537" s="54" t="s">
        <v>592</v>
      </c>
      <c r="D2537" s="0" t="n">
        <v>0.788737822660425</v>
      </c>
      <c r="E2537" s="0" t="n">
        <v>0.0163357470423177</v>
      </c>
      <c r="F2537" s="0" t="n">
        <v>0</v>
      </c>
      <c r="G2537" s="0" t="n">
        <v>2021</v>
      </c>
    </row>
    <row r="2538" customFormat="false" ht="15" hidden="false" customHeight="false" outlineLevel="0" collapsed="false">
      <c r="A2538" s="0" t="s">
        <v>259</v>
      </c>
      <c r="B2538" s="52" t="n">
        <v>44504</v>
      </c>
      <c r="C2538" s="54" t="s">
        <v>590</v>
      </c>
      <c r="D2538" s="0" t="n">
        <v>0.649831864762504</v>
      </c>
      <c r="E2538" s="0" t="n">
        <v>0.0224270236193061</v>
      </c>
      <c r="F2538" s="0" t="n">
        <v>0</v>
      </c>
      <c r="G2538" s="0" t="n">
        <v>2021</v>
      </c>
    </row>
    <row r="2539" customFormat="false" ht="15" hidden="false" customHeight="false" outlineLevel="0" collapsed="false">
      <c r="A2539" s="0" t="s">
        <v>259</v>
      </c>
      <c r="B2539" s="52" t="n">
        <v>44504</v>
      </c>
      <c r="C2539" s="54" t="s">
        <v>592</v>
      </c>
      <c r="D2539" s="0" t="n">
        <v>0.255219462665525</v>
      </c>
      <c r="E2539" s="0" t="n">
        <v>0.0491808142768281</v>
      </c>
      <c r="F2539" s="0" t="n">
        <v>0</v>
      </c>
      <c r="G2539" s="0" t="n">
        <v>2021</v>
      </c>
    </row>
    <row r="2540" customFormat="false" ht="15" hidden="false" customHeight="false" outlineLevel="0" collapsed="false">
      <c r="A2540" s="0" t="s">
        <v>259</v>
      </c>
      <c r="B2540" s="52" t="n">
        <v>44505</v>
      </c>
      <c r="C2540" s="54" t="s">
        <v>590</v>
      </c>
      <c r="D2540" s="0" t="n">
        <v>0.414618641407496</v>
      </c>
      <c r="E2540" s="0" t="n">
        <v>0.0918065433481682</v>
      </c>
      <c r="F2540" s="0" t="n">
        <v>0</v>
      </c>
      <c r="G2540" s="0" t="n">
        <v>2021</v>
      </c>
    </row>
    <row r="2541" customFormat="false" ht="15" hidden="false" customHeight="false" outlineLevel="0" collapsed="false">
      <c r="A2541" s="0" t="s">
        <v>259</v>
      </c>
      <c r="B2541" s="52" t="n">
        <v>44505</v>
      </c>
      <c r="C2541" s="54" t="s">
        <v>592</v>
      </c>
      <c r="D2541" s="0" t="n">
        <v>0.709906641594574</v>
      </c>
      <c r="E2541" s="0" t="n">
        <v>0.16812156278374</v>
      </c>
      <c r="F2541" s="0" t="n">
        <v>0</v>
      </c>
      <c r="G2541" s="0" t="n">
        <v>2021</v>
      </c>
    </row>
    <row r="2542" customFormat="false" ht="15" hidden="false" customHeight="false" outlineLevel="0" collapsed="false">
      <c r="A2542" s="0" t="s">
        <v>259</v>
      </c>
      <c r="B2542" s="52" t="n">
        <v>44506</v>
      </c>
      <c r="C2542" s="54" t="s">
        <v>590</v>
      </c>
      <c r="D2542" s="0" t="n">
        <v>0.529113474517107</v>
      </c>
      <c r="E2542" s="0" t="n">
        <v>0.09226621130482</v>
      </c>
      <c r="F2542" s="0" t="n">
        <v>1</v>
      </c>
      <c r="G2542" s="0" t="n">
        <v>2021</v>
      </c>
    </row>
    <row r="2543" customFormat="false" ht="15" hidden="false" customHeight="false" outlineLevel="0" collapsed="false">
      <c r="A2543" s="0" t="s">
        <v>259</v>
      </c>
      <c r="B2543" s="52" t="n">
        <v>44507</v>
      </c>
      <c r="C2543" s="54" t="s">
        <v>592</v>
      </c>
      <c r="D2543" s="0" t="n">
        <v>0.0476375803213962</v>
      </c>
      <c r="E2543" s="0" t="n">
        <v>0.790971179139216</v>
      </c>
      <c r="F2543" s="0" t="n">
        <v>1</v>
      </c>
      <c r="G2543" s="0" t="n">
        <v>2021</v>
      </c>
    </row>
    <row r="2544" customFormat="false" ht="15" hidden="false" customHeight="false" outlineLevel="0" collapsed="false">
      <c r="A2544" s="0" t="s">
        <v>259</v>
      </c>
      <c r="B2544" s="52" t="n">
        <v>44508</v>
      </c>
      <c r="C2544" s="54" t="s">
        <v>590</v>
      </c>
      <c r="D2544" s="0" t="n">
        <v>0.438016574680887</v>
      </c>
      <c r="E2544" s="0" t="n">
        <v>0.172398826771541</v>
      </c>
      <c r="F2544" s="0" t="n">
        <v>0</v>
      </c>
      <c r="G2544" s="0" t="n">
        <v>2021</v>
      </c>
    </row>
    <row r="2545" customFormat="false" ht="15" hidden="false" customHeight="false" outlineLevel="0" collapsed="false">
      <c r="A2545" s="0" t="s">
        <v>259</v>
      </c>
      <c r="B2545" s="52" t="n">
        <v>44508</v>
      </c>
      <c r="C2545" s="54" t="s">
        <v>592</v>
      </c>
      <c r="D2545" s="0" t="n">
        <v>0.0572790441710427</v>
      </c>
      <c r="E2545" s="0" t="n">
        <v>0.728028243545096</v>
      </c>
      <c r="F2545" s="0" t="n">
        <v>0</v>
      </c>
      <c r="G2545" s="0" t="n">
        <v>2021</v>
      </c>
    </row>
    <row r="2546" customFormat="false" ht="15" hidden="false" customHeight="false" outlineLevel="0" collapsed="false">
      <c r="A2546" s="0" t="s">
        <v>259</v>
      </c>
      <c r="B2546" s="52" t="n">
        <v>44509</v>
      </c>
      <c r="C2546" s="54" t="s">
        <v>590</v>
      </c>
      <c r="D2546" s="0" t="n">
        <v>0.29242812533295</v>
      </c>
      <c r="E2546" s="0" t="n">
        <v>0.307475528246844</v>
      </c>
      <c r="F2546" s="0" t="n">
        <v>0</v>
      </c>
      <c r="G2546" s="0" t="n">
        <v>2021</v>
      </c>
    </row>
    <row r="2547" customFormat="false" ht="15" hidden="false" customHeight="false" outlineLevel="0" collapsed="false">
      <c r="A2547" s="0" t="s">
        <v>259</v>
      </c>
      <c r="B2547" s="52" t="n">
        <v>44509</v>
      </c>
      <c r="C2547" s="54" t="s">
        <v>591</v>
      </c>
      <c r="D2547" s="0" t="n">
        <v>0.23657279101186</v>
      </c>
      <c r="E2547" s="0" t="n">
        <v>0.0504207850738776</v>
      </c>
      <c r="F2547" s="0" t="n">
        <v>0</v>
      </c>
      <c r="G2547" s="0" t="n">
        <v>2021</v>
      </c>
    </row>
    <row r="2548" customFormat="false" ht="15" hidden="false" customHeight="false" outlineLevel="0" collapsed="false">
      <c r="A2548" s="0" t="s">
        <v>259</v>
      </c>
      <c r="B2548" s="52" t="n">
        <v>44509</v>
      </c>
      <c r="C2548" s="54" t="s">
        <v>592</v>
      </c>
      <c r="D2548" s="0" t="n">
        <v>0.606826602753924</v>
      </c>
      <c r="E2548" s="0" t="n">
        <v>0.0924729789754219</v>
      </c>
      <c r="F2548" s="0" t="n">
        <v>0</v>
      </c>
      <c r="G2548" s="0" t="n">
        <v>2021</v>
      </c>
    </row>
    <row r="2549" customFormat="false" ht="15" hidden="false" customHeight="false" outlineLevel="0" collapsed="false">
      <c r="A2549" s="0" t="s">
        <v>259</v>
      </c>
      <c r="B2549" s="52" t="n">
        <v>44510</v>
      </c>
      <c r="C2549" s="54" t="s">
        <v>590</v>
      </c>
      <c r="D2549" s="0" t="n">
        <v>0.280257781912993</v>
      </c>
      <c r="E2549" s="0" t="n">
        <v>0.078310880844195</v>
      </c>
      <c r="F2549" s="0" t="n">
        <v>0</v>
      </c>
      <c r="G2549" s="0" t="n">
        <v>2021</v>
      </c>
    </row>
    <row r="2550" customFormat="false" ht="15" hidden="false" customHeight="false" outlineLevel="0" collapsed="false">
      <c r="A2550" s="0" t="s">
        <v>259</v>
      </c>
      <c r="B2550" s="52" t="n">
        <v>44510</v>
      </c>
      <c r="C2550" s="54" t="s">
        <v>592</v>
      </c>
      <c r="D2550" s="0" t="n">
        <v>0.735588225101224</v>
      </c>
      <c r="E2550" s="0" t="n">
        <v>0.0676874736471226</v>
      </c>
      <c r="F2550" s="0" t="n">
        <v>0</v>
      </c>
      <c r="G2550" s="0" t="n">
        <v>2021</v>
      </c>
    </row>
    <row r="2551" customFormat="false" ht="15" hidden="false" customHeight="false" outlineLevel="0" collapsed="false">
      <c r="A2551" s="0" t="s">
        <v>259</v>
      </c>
      <c r="B2551" s="52" t="n">
        <v>44511</v>
      </c>
      <c r="C2551" s="54" t="s">
        <v>590</v>
      </c>
      <c r="D2551" s="0" t="n">
        <v>0.24490972095541</v>
      </c>
      <c r="E2551" s="0" t="n">
        <v>0.138026569458824</v>
      </c>
      <c r="F2551" s="0" t="n">
        <v>0</v>
      </c>
      <c r="G2551" s="0" t="n">
        <v>2021</v>
      </c>
    </row>
    <row r="2552" customFormat="false" ht="15" hidden="false" customHeight="false" outlineLevel="0" collapsed="false">
      <c r="A2552" s="0" t="s">
        <v>259</v>
      </c>
      <c r="B2552" s="52" t="n">
        <v>44511</v>
      </c>
      <c r="C2552" s="54" t="s">
        <v>592</v>
      </c>
      <c r="D2552" s="0" t="n">
        <v>0.134825051240453</v>
      </c>
      <c r="E2552" s="0" t="n">
        <v>0.167391646209396</v>
      </c>
      <c r="F2552" s="0" t="n">
        <v>0</v>
      </c>
      <c r="G2552" s="0" t="n">
        <v>2021</v>
      </c>
    </row>
    <row r="2553" customFormat="false" ht="15" hidden="false" customHeight="false" outlineLevel="0" collapsed="false">
      <c r="A2553" s="0" t="s">
        <v>259</v>
      </c>
      <c r="B2553" s="52" t="n">
        <v>44512</v>
      </c>
      <c r="C2553" s="54" t="s">
        <v>590</v>
      </c>
      <c r="D2553" s="0" t="n">
        <v>0.230218283920964</v>
      </c>
      <c r="E2553" s="0" t="n">
        <v>0.222225381645877</v>
      </c>
      <c r="F2553" s="0" t="n">
        <v>0</v>
      </c>
      <c r="G2553" s="0" t="n">
        <v>2021</v>
      </c>
    </row>
    <row r="2554" customFormat="false" ht="15" hidden="false" customHeight="false" outlineLevel="0" collapsed="false">
      <c r="A2554" s="0" t="s">
        <v>259</v>
      </c>
      <c r="B2554" s="52" t="n">
        <v>44512</v>
      </c>
      <c r="C2554" s="54" t="s">
        <v>592</v>
      </c>
      <c r="D2554" s="0" t="n">
        <v>1</v>
      </c>
      <c r="E2554" s="0" t="n">
        <v>0</v>
      </c>
      <c r="F2554" s="0" t="n">
        <v>0</v>
      </c>
      <c r="G2554" s="0" t="n">
        <v>2021</v>
      </c>
    </row>
    <row r="2555" customFormat="false" ht="15" hidden="false" customHeight="false" outlineLevel="0" collapsed="false">
      <c r="A2555" s="0" t="s">
        <v>259</v>
      </c>
      <c r="B2555" s="52" t="n">
        <v>44513</v>
      </c>
      <c r="C2555" s="54" t="s">
        <v>590</v>
      </c>
      <c r="D2555" s="0" t="n">
        <v>0.208753713027445</v>
      </c>
      <c r="E2555" s="0" t="n">
        <v>0.157532417304152</v>
      </c>
      <c r="F2555" s="0" t="n">
        <v>1</v>
      </c>
      <c r="G2555" s="0" t="n">
        <v>2021</v>
      </c>
    </row>
    <row r="2556" customFormat="false" ht="15" hidden="false" customHeight="false" outlineLevel="0" collapsed="false">
      <c r="A2556" s="0" t="s">
        <v>259</v>
      </c>
      <c r="B2556" s="52" t="n">
        <v>44514</v>
      </c>
      <c r="C2556" s="54" t="s">
        <v>592</v>
      </c>
      <c r="D2556" s="0" t="n">
        <v>0.247683382947867</v>
      </c>
      <c r="E2556" s="0" t="n">
        <v>0.112496335604429</v>
      </c>
      <c r="F2556" s="0" t="n">
        <v>1</v>
      </c>
      <c r="G2556" s="0" t="n">
        <v>2021</v>
      </c>
    </row>
    <row r="2557" customFormat="false" ht="15" hidden="false" customHeight="false" outlineLevel="0" collapsed="false">
      <c r="A2557" s="0" t="s">
        <v>259</v>
      </c>
      <c r="B2557" s="52" t="n">
        <v>44515</v>
      </c>
      <c r="C2557" s="54" t="s">
        <v>590</v>
      </c>
      <c r="D2557" s="0" t="n">
        <v>0.479521514701039</v>
      </c>
      <c r="E2557" s="0" t="n">
        <v>0.21974155578632</v>
      </c>
      <c r="F2557" s="0" t="n">
        <v>0</v>
      </c>
      <c r="G2557" s="0" t="n">
        <v>2021</v>
      </c>
    </row>
    <row r="2558" customFormat="false" ht="15" hidden="false" customHeight="false" outlineLevel="0" collapsed="false">
      <c r="A2558" s="0" t="s">
        <v>259</v>
      </c>
      <c r="B2558" s="52" t="n">
        <v>44515</v>
      </c>
      <c r="C2558" s="54" t="s">
        <v>592</v>
      </c>
      <c r="D2558" s="0" t="n">
        <v>0.864155219891464</v>
      </c>
      <c r="E2558" s="0" t="n">
        <v>0.0072250980688111</v>
      </c>
      <c r="F2558" s="0" t="n">
        <v>0</v>
      </c>
      <c r="G2558" s="0" t="n">
        <v>2021</v>
      </c>
    </row>
    <row r="2559" customFormat="false" ht="15" hidden="false" customHeight="false" outlineLevel="0" collapsed="false">
      <c r="A2559" s="0" t="s">
        <v>259</v>
      </c>
      <c r="B2559" s="52" t="n">
        <v>44516</v>
      </c>
      <c r="C2559" s="54" t="s">
        <v>590</v>
      </c>
      <c r="D2559" s="0" t="n">
        <v>0.035339438450647</v>
      </c>
      <c r="E2559" s="0" t="n">
        <v>0.261337488511505</v>
      </c>
      <c r="F2559" s="0" t="n">
        <v>0</v>
      </c>
      <c r="G2559" s="0" t="n">
        <v>2021</v>
      </c>
    </row>
    <row r="2560" customFormat="false" ht="15" hidden="false" customHeight="false" outlineLevel="0" collapsed="false">
      <c r="A2560" s="0" t="s">
        <v>259</v>
      </c>
      <c r="B2560" s="52" t="n">
        <v>44516</v>
      </c>
      <c r="C2560" s="54" t="s">
        <v>592</v>
      </c>
      <c r="D2560" s="0" t="n">
        <v>0.144708444266694</v>
      </c>
      <c r="E2560" s="0" t="n">
        <v>0.276329313565573</v>
      </c>
      <c r="F2560" s="0" t="n">
        <v>0</v>
      </c>
      <c r="G2560" s="0" t="n">
        <v>2021</v>
      </c>
    </row>
    <row r="2561" customFormat="false" ht="15" hidden="false" customHeight="false" outlineLevel="0" collapsed="false">
      <c r="A2561" s="0" t="s">
        <v>259</v>
      </c>
      <c r="B2561" s="52" t="n">
        <v>44517</v>
      </c>
      <c r="C2561" s="54" t="s">
        <v>590</v>
      </c>
      <c r="D2561" s="0" t="n">
        <v>0.304613497575284</v>
      </c>
      <c r="E2561" s="0" t="n">
        <v>0.189954271761072</v>
      </c>
      <c r="F2561" s="0" t="n">
        <v>0</v>
      </c>
      <c r="G2561" s="0" t="n">
        <v>2021</v>
      </c>
    </row>
    <row r="2562" customFormat="false" ht="15" hidden="false" customHeight="false" outlineLevel="0" collapsed="false">
      <c r="A2562" s="0" t="s">
        <v>259</v>
      </c>
      <c r="B2562" s="52" t="n">
        <v>44517</v>
      </c>
      <c r="C2562" s="54" t="s">
        <v>592</v>
      </c>
      <c r="D2562" s="0" t="n">
        <v>0.962243759609582</v>
      </c>
      <c r="E2562" s="0" t="n">
        <v>0</v>
      </c>
      <c r="F2562" s="0" t="n">
        <v>0</v>
      </c>
      <c r="G2562" s="0" t="n">
        <v>2021</v>
      </c>
    </row>
    <row r="2563" customFormat="false" ht="15" hidden="false" customHeight="false" outlineLevel="0" collapsed="false">
      <c r="A2563" s="0" t="s">
        <v>259</v>
      </c>
      <c r="B2563" s="52" t="n">
        <v>44518</v>
      </c>
      <c r="C2563" s="54" t="s">
        <v>590</v>
      </c>
      <c r="D2563" s="0" t="n">
        <v>0.216992518889413</v>
      </c>
      <c r="E2563" s="0" t="n">
        <v>0.152527146832243</v>
      </c>
      <c r="F2563" s="0" t="n">
        <v>0</v>
      </c>
      <c r="G2563" s="0" t="n">
        <v>2021</v>
      </c>
    </row>
    <row r="2564" customFormat="false" ht="15" hidden="false" customHeight="false" outlineLevel="0" collapsed="false">
      <c r="A2564" s="0" t="s">
        <v>259</v>
      </c>
      <c r="B2564" s="52" t="n">
        <v>44518</v>
      </c>
      <c r="C2564" s="54" t="s">
        <v>592</v>
      </c>
      <c r="D2564" s="0" t="n">
        <v>0.238164844491265</v>
      </c>
      <c r="E2564" s="0" t="n">
        <v>0.0994499158656214</v>
      </c>
      <c r="F2564" s="0" t="n">
        <v>0</v>
      </c>
      <c r="G2564" s="0" t="n">
        <v>2021</v>
      </c>
    </row>
    <row r="2565" customFormat="false" ht="15" hidden="false" customHeight="false" outlineLevel="0" collapsed="false">
      <c r="A2565" s="0" t="s">
        <v>259</v>
      </c>
      <c r="B2565" s="52" t="n">
        <v>44519</v>
      </c>
      <c r="C2565" s="54" t="s">
        <v>590</v>
      </c>
      <c r="D2565" s="0" t="n">
        <v>0.183155211106841</v>
      </c>
      <c r="E2565" s="0" t="n">
        <v>0.391014238757141</v>
      </c>
      <c r="F2565" s="0" t="n">
        <v>0</v>
      </c>
      <c r="G2565" s="0" t="n">
        <v>2021</v>
      </c>
    </row>
    <row r="2566" customFormat="false" ht="15" hidden="false" customHeight="false" outlineLevel="0" collapsed="false">
      <c r="A2566" s="0" t="s">
        <v>259</v>
      </c>
      <c r="B2566" s="52" t="n">
        <v>44519</v>
      </c>
      <c r="C2566" s="54" t="s">
        <v>592</v>
      </c>
      <c r="D2566" s="0" t="n">
        <v>0.93378948873269</v>
      </c>
      <c r="E2566" s="0" t="n">
        <v>0.005625672831274</v>
      </c>
      <c r="F2566" s="0" t="n">
        <v>0</v>
      </c>
      <c r="G2566" s="0" t="n">
        <v>2021</v>
      </c>
    </row>
    <row r="2567" customFormat="false" ht="15" hidden="false" customHeight="false" outlineLevel="0" collapsed="false">
      <c r="A2567" s="0" t="s">
        <v>259</v>
      </c>
      <c r="B2567" s="52" t="n">
        <v>44520</v>
      </c>
      <c r="C2567" s="54" t="s">
        <v>590</v>
      </c>
      <c r="D2567" s="0" t="n">
        <v>0.25735520747171</v>
      </c>
      <c r="E2567" s="0" t="n">
        <v>0.0307412848323616</v>
      </c>
      <c r="F2567" s="0" t="n">
        <v>1</v>
      </c>
      <c r="G2567" s="0" t="n">
        <v>2021</v>
      </c>
    </row>
    <row r="2568" customFormat="false" ht="15" hidden="false" customHeight="false" outlineLevel="0" collapsed="false">
      <c r="A2568" s="0" t="s">
        <v>259</v>
      </c>
      <c r="B2568" s="52" t="n">
        <v>44521</v>
      </c>
      <c r="C2568" s="54" t="s">
        <v>592</v>
      </c>
      <c r="D2568" s="0" t="n">
        <v>0.561032529430025</v>
      </c>
      <c r="E2568" s="0" t="n">
        <v>0.104377456193952</v>
      </c>
      <c r="F2568" s="0" t="n">
        <v>1</v>
      </c>
      <c r="G2568" s="0" t="n">
        <v>2021</v>
      </c>
    </row>
    <row r="2569" customFormat="false" ht="15" hidden="false" customHeight="false" outlineLevel="0" collapsed="false">
      <c r="A2569" s="0" t="s">
        <v>259</v>
      </c>
      <c r="B2569" s="52" t="n">
        <v>44522</v>
      </c>
      <c r="C2569" s="54" t="s">
        <v>592</v>
      </c>
      <c r="D2569" s="0" t="n">
        <v>0.376787686471605</v>
      </c>
      <c r="E2569" s="0" t="n">
        <v>0.223472702406613</v>
      </c>
      <c r="F2569" s="0" t="n">
        <v>0</v>
      </c>
      <c r="G2569" s="0" t="n">
        <v>2021</v>
      </c>
    </row>
    <row r="2570" customFormat="false" ht="15" hidden="false" customHeight="false" outlineLevel="0" collapsed="false">
      <c r="A2570" s="0" t="s">
        <v>259</v>
      </c>
      <c r="B2570" s="52" t="n">
        <v>44523</v>
      </c>
      <c r="C2570" s="54" t="s">
        <v>590</v>
      </c>
      <c r="D2570" s="0" t="n">
        <v>0.784690040605992</v>
      </c>
      <c r="E2570" s="0" t="n">
        <v>0.0418530440111307</v>
      </c>
      <c r="F2570" s="0" t="n">
        <v>0</v>
      </c>
      <c r="G2570" s="0" t="n">
        <v>2021</v>
      </c>
    </row>
    <row r="2571" customFormat="false" ht="15" hidden="false" customHeight="false" outlineLevel="0" collapsed="false">
      <c r="A2571" s="0" t="s">
        <v>259</v>
      </c>
      <c r="B2571" s="52" t="n">
        <v>44523</v>
      </c>
      <c r="C2571" s="54" t="s">
        <v>591</v>
      </c>
      <c r="D2571" s="0" t="n">
        <v>0.575333792142372</v>
      </c>
      <c r="E2571" s="0" t="n">
        <v>0.17334747096241</v>
      </c>
      <c r="F2571" s="0" t="n">
        <v>0</v>
      </c>
      <c r="G2571" s="0" t="n">
        <v>2021</v>
      </c>
    </row>
    <row r="2572" customFormat="false" ht="15" hidden="false" customHeight="false" outlineLevel="0" collapsed="false">
      <c r="A2572" s="0" t="s">
        <v>259</v>
      </c>
      <c r="B2572" s="52" t="n">
        <v>44523</v>
      </c>
      <c r="C2572" s="54" t="s">
        <v>592</v>
      </c>
      <c r="D2572" s="0" t="n">
        <v>0.0857708541516923</v>
      </c>
      <c r="E2572" s="0" t="n">
        <v>0.127650441267927</v>
      </c>
      <c r="F2572" s="0" t="n">
        <v>0</v>
      </c>
      <c r="G2572" s="0" t="n">
        <v>2021</v>
      </c>
    </row>
    <row r="2573" customFormat="false" ht="15" hidden="false" customHeight="false" outlineLevel="0" collapsed="false">
      <c r="A2573" s="0" t="s">
        <v>259</v>
      </c>
      <c r="B2573" s="52" t="n">
        <v>44524</v>
      </c>
      <c r="C2573" s="54" t="s">
        <v>590</v>
      </c>
      <c r="D2573" s="0" t="n">
        <v>0.339928688418907</v>
      </c>
      <c r="E2573" s="0" t="n">
        <v>0.176311363100987</v>
      </c>
      <c r="F2573" s="0" t="n">
        <v>0</v>
      </c>
      <c r="G2573" s="0" t="n">
        <v>2021</v>
      </c>
    </row>
    <row r="2574" customFormat="false" ht="15" hidden="false" customHeight="false" outlineLevel="0" collapsed="false">
      <c r="A2574" s="0" t="s">
        <v>259</v>
      </c>
      <c r="B2574" s="52" t="n">
        <v>44524</v>
      </c>
      <c r="C2574" s="54" t="s">
        <v>592</v>
      </c>
      <c r="D2574" s="0" t="n">
        <v>0.926583215147404</v>
      </c>
      <c r="E2574" s="0" t="n">
        <v>0</v>
      </c>
      <c r="F2574" s="0" t="n">
        <v>0</v>
      </c>
      <c r="G2574" s="0" t="n">
        <v>2021</v>
      </c>
    </row>
    <row r="2575" customFormat="false" ht="15" hidden="false" customHeight="false" outlineLevel="0" collapsed="false">
      <c r="A2575" s="0" t="s">
        <v>259</v>
      </c>
      <c r="B2575" s="52" t="n">
        <v>44525</v>
      </c>
      <c r="C2575" s="54" t="s">
        <v>590</v>
      </c>
      <c r="D2575" s="0" t="n">
        <v>0.179197017483371</v>
      </c>
      <c r="E2575" s="0" t="n">
        <v>0.21985474188327</v>
      </c>
      <c r="F2575" s="0" t="n">
        <v>0</v>
      </c>
      <c r="G2575" s="0" t="n">
        <v>2021</v>
      </c>
    </row>
    <row r="2576" customFormat="false" ht="15" hidden="false" customHeight="false" outlineLevel="0" collapsed="false">
      <c r="A2576" s="0" t="s">
        <v>259</v>
      </c>
      <c r="B2576" s="52" t="n">
        <v>44525</v>
      </c>
      <c r="C2576" s="54" t="s">
        <v>592</v>
      </c>
      <c r="D2576" s="0" t="n">
        <v>0.066511286451659</v>
      </c>
      <c r="E2576" s="0" t="n">
        <v>0.226851290914345</v>
      </c>
      <c r="F2576" s="0" t="n">
        <v>0</v>
      </c>
      <c r="G2576" s="0" t="n">
        <v>2021</v>
      </c>
    </row>
    <row r="2577" customFormat="false" ht="15" hidden="false" customHeight="false" outlineLevel="0" collapsed="false">
      <c r="A2577" s="0" t="s">
        <v>259</v>
      </c>
      <c r="B2577" s="52" t="n">
        <v>44526</v>
      </c>
      <c r="C2577" s="54" t="s">
        <v>590</v>
      </c>
      <c r="D2577" s="0" t="n">
        <v>0.375149375553343</v>
      </c>
      <c r="E2577" s="0" t="n">
        <v>0.20603873152054</v>
      </c>
      <c r="F2577" s="0" t="n">
        <v>0</v>
      </c>
      <c r="G2577" s="0" t="n">
        <v>2021</v>
      </c>
    </row>
    <row r="2578" customFormat="false" ht="15" hidden="false" customHeight="false" outlineLevel="0" collapsed="false">
      <c r="A2578" s="0" t="s">
        <v>259</v>
      </c>
      <c r="B2578" s="52" t="n">
        <v>44526</v>
      </c>
      <c r="C2578" s="54" t="s">
        <v>592</v>
      </c>
      <c r="D2578" s="0" t="n">
        <v>0.999174912527836</v>
      </c>
      <c r="E2578" s="0" t="n">
        <v>0</v>
      </c>
      <c r="F2578" s="0" t="n">
        <v>0</v>
      </c>
      <c r="G2578" s="0" t="n">
        <v>2021</v>
      </c>
    </row>
    <row r="2579" customFormat="false" ht="15" hidden="false" customHeight="false" outlineLevel="0" collapsed="false">
      <c r="A2579" s="0" t="s">
        <v>259</v>
      </c>
      <c r="B2579" s="52" t="n">
        <v>44527</v>
      </c>
      <c r="C2579" s="54" t="s">
        <v>590</v>
      </c>
      <c r="D2579" s="0" t="n">
        <v>0.152120952315403</v>
      </c>
      <c r="E2579" s="0" t="n">
        <v>0.18316082276854</v>
      </c>
      <c r="F2579" s="0" t="n">
        <v>1</v>
      </c>
      <c r="G2579" s="0" t="n">
        <v>2021</v>
      </c>
    </row>
    <row r="2580" customFormat="false" ht="15" hidden="false" customHeight="false" outlineLevel="0" collapsed="false">
      <c r="A2580" s="0" t="s">
        <v>259</v>
      </c>
      <c r="B2580" s="52" t="n">
        <v>44528</v>
      </c>
      <c r="C2580" s="54" t="s">
        <v>592</v>
      </c>
      <c r="D2580" s="0" t="n">
        <v>0.366362954981965</v>
      </c>
      <c r="E2580" s="0" t="n">
        <v>0.0797797386428107</v>
      </c>
      <c r="F2580" s="0" t="n">
        <v>1</v>
      </c>
      <c r="G2580" s="0" t="n">
        <v>2021</v>
      </c>
    </row>
    <row r="2581" customFormat="false" ht="15" hidden="false" customHeight="false" outlineLevel="0" collapsed="false">
      <c r="A2581" s="0" t="s">
        <v>259</v>
      </c>
      <c r="B2581" s="52" t="n">
        <v>44529</v>
      </c>
      <c r="C2581" s="54" t="s">
        <v>590</v>
      </c>
      <c r="D2581" s="0" t="n">
        <v>0.348684386219662</v>
      </c>
      <c r="E2581" s="0" t="n">
        <v>0.226991258084366</v>
      </c>
      <c r="F2581" s="0" t="n">
        <v>0</v>
      </c>
      <c r="G2581" s="0" t="n">
        <v>2021</v>
      </c>
    </row>
    <row r="2582" customFormat="false" ht="15" hidden="false" customHeight="false" outlineLevel="0" collapsed="false">
      <c r="A2582" s="0" t="s">
        <v>259</v>
      </c>
      <c r="B2582" s="52" t="n">
        <v>44529</v>
      </c>
      <c r="C2582" s="54" t="s">
        <v>592</v>
      </c>
      <c r="D2582" s="0" t="n">
        <v>1</v>
      </c>
      <c r="E2582" s="0" t="n">
        <v>0</v>
      </c>
      <c r="F2582" s="0" t="n">
        <v>0</v>
      </c>
      <c r="G2582" s="0" t="n">
        <v>2021</v>
      </c>
    </row>
    <row r="2583" customFormat="false" ht="15" hidden="false" customHeight="false" outlineLevel="0" collapsed="false">
      <c r="A2583" s="0" t="s">
        <v>259</v>
      </c>
      <c r="B2583" s="52" t="n">
        <v>44530</v>
      </c>
      <c r="C2583" s="54" t="s">
        <v>590</v>
      </c>
      <c r="D2583" s="0" t="n">
        <v>0.373045716210925</v>
      </c>
      <c r="E2583" s="0" t="n">
        <v>0.319116217377233</v>
      </c>
      <c r="F2583" s="0" t="n">
        <v>0</v>
      </c>
      <c r="G2583" s="0" t="n">
        <v>2021</v>
      </c>
    </row>
    <row r="2584" customFormat="false" ht="15" hidden="false" customHeight="false" outlineLevel="0" collapsed="false">
      <c r="A2584" s="0" t="s">
        <v>259</v>
      </c>
      <c r="B2584" s="52" t="n">
        <v>44530</v>
      </c>
      <c r="C2584" s="54" t="s">
        <v>591</v>
      </c>
      <c r="D2584" s="0" t="n">
        <v>0.238136167838099</v>
      </c>
      <c r="E2584" s="0" t="n">
        <v>0.291116656813729</v>
      </c>
      <c r="F2584" s="0" t="n">
        <v>0</v>
      </c>
      <c r="G2584" s="0" t="n">
        <v>2021</v>
      </c>
    </row>
    <row r="2585" customFormat="false" ht="15" hidden="false" customHeight="false" outlineLevel="0" collapsed="false">
      <c r="A2585" s="0" t="s">
        <v>259</v>
      </c>
      <c r="B2585" s="52" t="n">
        <v>44530</v>
      </c>
      <c r="C2585" s="54" t="s">
        <v>592</v>
      </c>
      <c r="D2585" s="0" t="n">
        <v>0.163423597156333</v>
      </c>
      <c r="E2585" s="0" t="n">
        <v>0.150366021802746</v>
      </c>
      <c r="F2585" s="0" t="n">
        <v>0</v>
      </c>
      <c r="G2585" s="0" t="n">
        <v>2021</v>
      </c>
    </row>
    <row r="2586" customFormat="false" ht="15" hidden="false" customHeight="false" outlineLevel="0" collapsed="false">
      <c r="A2586" s="0" t="s">
        <v>259</v>
      </c>
      <c r="B2586" s="52" t="n">
        <v>44531</v>
      </c>
      <c r="C2586" s="54" t="s">
        <v>590</v>
      </c>
      <c r="D2586" s="0" t="n">
        <v>0.361759530133774</v>
      </c>
      <c r="E2586" s="0" t="n">
        <v>0.170214056071224</v>
      </c>
      <c r="F2586" s="0" t="n">
        <v>0</v>
      </c>
      <c r="G2586" s="0" t="n">
        <v>2021</v>
      </c>
    </row>
    <row r="2587" customFormat="false" ht="15" hidden="false" customHeight="false" outlineLevel="0" collapsed="false">
      <c r="A2587" s="0" t="s">
        <v>259</v>
      </c>
      <c r="B2587" s="52" t="n">
        <v>44531</v>
      </c>
      <c r="C2587" s="54" t="s">
        <v>592</v>
      </c>
      <c r="D2587" s="0" t="n">
        <v>0.114136310849156</v>
      </c>
      <c r="E2587" s="0" t="n">
        <v>0.104377433545126</v>
      </c>
      <c r="F2587" s="0" t="n">
        <v>0</v>
      </c>
      <c r="G2587" s="0" t="n">
        <v>2021</v>
      </c>
    </row>
    <row r="2588" customFormat="false" ht="15" hidden="false" customHeight="false" outlineLevel="0" collapsed="false">
      <c r="A2588" s="0" t="s">
        <v>259</v>
      </c>
      <c r="B2588" s="52" t="n">
        <v>44532</v>
      </c>
      <c r="C2588" s="54" t="s">
        <v>590</v>
      </c>
      <c r="D2588" s="0" t="n">
        <v>0.601808298730028</v>
      </c>
      <c r="E2588" s="0" t="n">
        <v>0.071201707878395</v>
      </c>
      <c r="F2588" s="0" t="n">
        <v>0</v>
      </c>
      <c r="G2588" s="0" t="n">
        <v>2021</v>
      </c>
    </row>
    <row r="2589" customFormat="false" ht="15" hidden="false" customHeight="false" outlineLevel="0" collapsed="false">
      <c r="A2589" s="0" t="s">
        <v>259</v>
      </c>
      <c r="B2589" s="52" t="n">
        <v>44532</v>
      </c>
      <c r="C2589" s="54" t="s">
        <v>591</v>
      </c>
      <c r="D2589" s="0" t="n">
        <v>0.847695657390063</v>
      </c>
      <c r="E2589" s="0" t="n">
        <v>0.0216654513972261</v>
      </c>
      <c r="F2589" s="0" t="n">
        <v>0</v>
      </c>
      <c r="G2589" s="0" t="n">
        <v>2021</v>
      </c>
    </row>
    <row r="2590" customFormat="false" ht="15" hidden="false" customHeight="false" outlineLevel="0" collapsed="false">
      <c r="A2590" s="0" t="s">
        <v>259</v>
      </c>
      <c r="B2590" s="52" t="n">
        <v>44532</v>
      </c>
      <c r="C2590" s="54" t="s">
        <v>592</v>
      </c>
      <c r="D2590" s="0" t="n">
        <v>0.0977047806452917</v>
      </c>
      <c r="E2590" s="0" t="n">
        <v>0.120648590097814</v>
      </c>
      <c r="F2590" s="0" t="n">
        <v>0</v>
      </c>
      <c r="G2590" s="0" t="n">
        <v>2021</v>
      </c>
    </row>
    <row r="2591" customFormat="false" ht="15" hidden="false" customHeight="false" outlineLevel="0" collapsed="false">
      <c r="A2591" s="0" t="s">
        <v>259</v>
      </c>
      <c r="B2591" s="52" t="n">
        <v>44533</v>
      </c>
      <c r="C2591" s="54" t="s">
        <v>590</v>
      </c>
      <c r="D2591" s="0" t="n">
        <v>0.452454218988755</v>
      </c>
      <c r="E2591" s="0" t="n">
        <v>0.202333543168054</v>
      </c>
      <c r="F2591" s="0" t="n">
        <v>0</v>
      </c>
      <c r="G2591" s="0" t="n">
        <v>2021</v>
      </c>
    </row>
    <row r="2592" customFormat="false" ht="15" hidden="false" customHeight="false" outlineLevel="0" collapsed="false">
      <c r="A2592" s="0" t="s">
        <v>259</v>
      </c>
      <c r="B2592" s="52" t="n">
        <v>44533</v>
      </c>
      <c r="C2592" s="54" t="s">
        <v>592</v>
      </c>
      <c r="D2592" s="0" t="n">
        <v>1</v>
      </c>
      <c r="E2592" s="0" t="n">
        <v>0</v>
      </c>
      <c r="F2592" s="0" t="n">
        <v>0</v>
      </c>
      <c r="G2592" s="0" t="n">
        <v>2021</v>
      </c>
    </row>
    <row r="2593" customFormat="false" ht="15" hidden="false" customHeight="false" outlineLevel="0" collapsed="false">
      <c r="A2593" s="0" t="s">
        <v>259</v>
      </c>
      <c r="B2593" s="52" t="n">
        <v>44534</v>
      </c>
      <c r="C2593" s="54" t="s">
        <v>590</v>
      </c>
      <c r="D2593" s="0" t="n">
        <v>0.152749531987297</v>
      </c>
      <c r="E2593" s="0" t="n">
        <v>0.139016239135466</v>
      </c>
      <c r="F2593" s="0" t="n">
        <v>1</v>
      </c>
      <c r="G2593" s="0" t="n">
        <v>2021</v>
      </c>
    </row>
    <row r="2594" customFormat="false" ht="15" hidden="false" customHeight="false" outlineLevel="0" collapsed="false">
      <c r="A2594" s="0" t="s">
        <v>259</v>
      </c>
      <c r="B2594" s="52" t="n">
        <v>44535</v>
      </c>
      <c r="C2594" s="54" t="s">
        <v>592</v>
      </c>
      <c r="D2594" s="0" t="n">
        <v>0.200747066735474</v>
      </c>
      <c r="E2594" s="0" t="n">
        <v>0.179722686895537</v>
      </c>
      <c r="F2594" s="0" t="n">
        <v>1</v>
      </c>
      <c r="G2594" s="0" t="n">
        <v>2021</v>
      </c>
    </row>
    <row r="2595" customFormat="false" ht="15" hidden="false" customHeight="false" outlineLevel="0" collapsed="false">
      <c r="A2595" s="0" t="s">
        <v>259</v>
      </c>
      <c r="B2595" s="52" t="n">
        <v>44536</v>
      </c>
      <c r="C2595" s="54" t="s">
        <v>590</v>
      </c>
      <c r="D2595" s="0" t="n">
        <v>0.598981733652017</v>
      </c>
      <c r="E2595" s="0" t="n">
        <v>0.107514722806482</v>
      </c>
      <c r="F2595" s="0" t="n">
        <v>0</v>
      </c>
      <c r="G2595" s="0" t="n">
        <v>2021</v>
      </c>
    </row>
    <row r="2596" customFormat="false" ht="15" hidden="false" customHeight="false" outlineLevel="0" collapsed="false">
      <c r="A2596" s="0" t="s">
        <v>259</v>
      </c>
      <c r="B2596" s="52" t="n">
        <v>44536</v>
      </c>
      <c r="C2596" s="54" t="s">
        <v>592</v>
      </c>
      <c r="D2596" s="0" t="n">
        <v>0.0820284297970149</v>
      </c>
      <c r="E2596" s="0" t="n">
        <v>0.213529304893754</v>
      </c>
      <c r="F2596" s="0" t="n">
        <v>0</v>
      </c>
      <c r="G2596" s="0" t="n">
        <v>2021</v>
      </c>
    </row>
    <row r="2597" customFormat="false" ht="15" hidden="false" customHeight="false" outlineLevel="0" collapsed="false">
      <c r="A2597" s="0" t="s">
        <v>259</v>
      </c>
      <c r="B2597" s="52" t="n">
        <v>44537</v>
      </c>
      <c r="C2597" s="54" t="s">
        <v>590</v>
      </c>
      <c r="D2597" s="0" t="n">
        <v>0.505477838179419</v>
      </c>
      <c r="E2597" s="0" t="n">
        <v>0.14366362267889</v>
      </c>
      <c r="F2597" s="0" t="n">
        <v>0</v>
      </c>
      <c r="G2597" s="0" t="n">
        <v>2021</v>
      </c>
    </row>
    <row r="2598" customFormat="false" ht="15" hidden="false" customHeight="false" outlineLevel="0" collapsed="false">
      <c r="A2598" s="0" t="s">
        <v>259</v>
      </c>
      <c r="B2598" s="52" t="n">
        <v>44537</v>
      </c>
      <c r="C2598" s="54" t="s">
        <v>591</v>
      </c>
      <c r="D2598" s="0" t="n">
        <v>0.396682180586921</v>
      </c>
      <c r="E2598" s="0" t="n">
        <v>0.216837412922465</v>
      </c>
      <c r="F2598" s="0" t="n">
        <v>0</v>
      </c>
      <c r="G2598" s="0" t="n">
        <v>2021</v>
      </c>
    </row>
    <row r="2599" customFormat="false" ht="15" hidden="false" customHeight="false" outlineLevel="0" collapsed="false">
      <c r="A2599" s="0" t="s">
        <v>259</v>
      </c>
      <c r="B2599" s="52" t="n">
        <v>44537</v>
      </c>
      <c r="C2599" s="54" t="s">
        <v>592</v>
      </c>
      <c r="D2599" s="0" t="n">
        <v>0.0917514251811401</v>
      </c>
      <c r="E2599" s="0" t="n">
        <v>0.255041081811917</v>
      </c>
      <c r="F2599" s="0" t="n">
        <v>0</v>
      </c>
      <c r="G2599" s="0" t="n">
        <v>2021</v>
      </c>
    </row>
    <row r="2600" customFormat="false" ht="15" hidden="false" customHeight="false" outlineLevel="0" collapsed="false">
      <c r="A2600" s="0" t="s">
        <v>259</v>
      </c>
      <c r="B2600" s="52" t="n">
        <v>44538</v>
      </c>
      <c r="C2600" s="54" t="s">
        <v>590</v>
      </c>
      <c r="D2600" s="0" t="n">
        <v>0.250886733480549</v>
      </c>
      <c r="E2600" s="0" t="n">
        <v>0.226089126985428</v>
      </c>
      <c r="F2600" s="0" t="n">
        <v>0</v>
      </c>
      <c r="G2600" s="0" t="n">
        <v>2021</v>
      </c>
    </row>
    <row r="2601" customFormat="false" ht="15" hidden="false" customHeight="false" outlineLevel="0" collapsed="false">
      <c r="A2601" s="0" t="s">
        <v>259</v>
      </c>
      <c r="B2601" s="52" t="n">
        <v>44538</v>
      </c>
      <c r="C2601" s="54" t="s">
        <v>591</v>
      </c>
      <c r="D2601" s="0" t="n">
        <v>0.349259064642808</v>
      </c>
      <c r="E2601" s="0" t="n">
        <v>0.278004639503553</v>
      </c>
      <c r="F2601" s="0" t="n">
        <v>0</v>
      </c>
      <c r="G2601" s="0" t="n">
        <v>2021</v>
      </c>
    </row>
    <row r="2602" customFormat="false" ht="15" hidden="false" customHeight="false" outlineLevel="0" collapsed="false">
      <c r="A2602" s="0" t="s">
        <v>259</v>
      </c>
      <c r="B2602" s="52" t="n">
        <v>44538</v>
      </c>
      <c r="C2602" s="54" t="s">
        <v>592</v>
      </c>
      <c r="D2602" s="0" t="n">
        <v>0.0996154908687757</v>
      </c>
      <c r="E2602" s="0" t="n">
        <v>0.179834665451854</v>
      </c>
      <c r="F2602" s="0" t="n">
        <v>0</v>
      </c>
      <c r="G2602" s="0" t="n">
        <v>2021</v>
      </c>
    </row>
    <row r="2603" customFormat="false" ht="15" hidden="false" customHeight="false" outlineLevel="0" collapsed="false">
      <c r="A2603" s="0" t="s">
        <v>259</v>
      </c>
      <c r="B2603" s="52" t="n">
        <v>44539</v>
      </c>
      <c r="C2603" s="54" t="s">
        <v>590</v>
      </c>
      <c r="D2603" s="0" t="n">
        <v>0.582883070117915</v>
      </c>
      <c r="E2603" s="0" t="n">
        <v>0.19134581797864</v>
      </c>
      <c r="F2603" s="0" t="n">
        <v>0</v>
      </c>
      <c r="G2603" s="0" t="n">
        <v>2021</v>
      </c>
    </row>
    <row r="2604" customFormat="false" ht="15" hidden="false" customHeight="false" outlineLevel="0" collapsed="false">
      <c r="A2604" s="0" t="s">
        <v>259</v>
      </c>
      <c r="B2604" s="52" t="n">
        <v>44539</v>
      </c>
      <c r="C2604" s="54" t="s">
        <v>591</v>
      </c>
      <c r="D2604" s="0" t="n">
        <v>0.824566304026809</v>
      </c>
      <c r="E2604" s="0" t="n">
        <v>0.0089714242132322</v>
      </c>
      <c r="F2604" s="0" t="n">
        <v>0</v>
      </c>
      <c r="G2604" s="0" t="n">
        <v>2021</v>
      </c>
    </row>
    <row r="2605" customFormat="false" ht="15" hidden="false" customHeight="false" outlineLevel="0" collapsed="false">
      <c r="A2605" s="0" t="s">
        <v>259</v>
      </c>
      <c r="B2605" s="52" t="n">
        <v>44539</v>
      </c>
      <c r="C2605" s="54" t="s">
        <v>592</v>
      </c>
      <c r="D2605" s="0" t="n">
        <v>0.0865395090327761</v>
      </c>
      <c r="E2605" s="0" t="n">
        <v>0.163611075771822</v>
      </c>
      <c r="F2605" s="0" t="n">
        <v>0</v>
      </c>
      <c r="G2605" s="0" t="n">
        <v>2021</v>
      </c>
    </row>
    <row r="2606" customFormat="false" ht="15" hidden="false" customHeight="false" outlineLevel="0" collapsed="false">
      <c r="A2606" s="0" t="s">
        <v>259</v>
      </c>
      <c r="B2606" s="52" t="n">
        <v>44540</v>
      </c>
      <c r="C2606" s="54" t="s">
        <v>590</v>
      </c>
      <c r="D2606" s="0" t="n">
        <v>0.515396783893379</v>
      </c>
      <c r="E2606" s="0" t="n">
        <v>0.0885203165889837</v>
      </c>
      <c r="F2606" s="0" t="n">
        <v>0</v>
      </c>
      <c r="G2606" s="0" t="n">
        <v>2021</v>
      </c>
    </row>
    <row r="2607" customFormat="false" ht="15" hidden="false" customHeight="false" outlineLevel="0" collapsed="false">
      <c r="A2607" s="0" t="s">
        <v>259</v>
      </c>
      <c r="B2607" s="52" t="n">
        <v>44540</v>
      </c>
      <c r="C2607" s="54" t="s">
        <v>592</v>
      </c>
      <c r="D2607" s="0" t="n">
        <v>1</v>
      </c>
      <c r="E2607" s="0" t="n">
        <v>0</v>
      </c>
      <c r="F2607" s="0" t="n">
        <v>0</v>
      </c>
      <c r="G2607" s="0" t="n">
        <v>2021</v>
      </c>
    </row>
    <row r="2608" customFormat="false" ht="15" hidden="false" customHeight="false" outlineLevel="0" collapsed="false">
      <c r="A2608" s="0" t="s">
        <v>259</v>
      </c>
      <c r="B2608" s="52" t="n">
        <v>44541</v>
      </c>
      <c r="C2608" s="54" t="s">
        <v>590</v>
      </c>
      <c r="D2608" s="0" t="n">
        <v>0.02928266494744</v>
      </c>
      <c r="E2608" s="0" t="n">
        <v>0.422177707121292</v>
      </c>
      <c r="F2608" s="0" t="n">
        <v>1</v>
      </c>
      <c r="G2608" s="0" t="n">
        <v>2021</v>
      </c>
    </row>
    <row r="2609" customFormat="false" ht="15" hidden="false" customHeight="false" outlineLevel="0" collapsed="false">
      <c r="A2609" s="0" t="s">
        <v>259</v>
      </c>
      <c r="B2609" s="52" t="n">
        <v>44542</v>
      </c>
      <c r="C2609" s="54" t="s">
        <v>592</v>
      </c>
      <c r="D2609" s="0" t="n">
        <v>0.215648350444845</v>
      </c>
      <c r="E2609" s="0" t="n">
        <v>0.126181703315842</v>
      </c>
      <c r="F2609" s="0" t="n">
        <v>1</v>
      </c>
      <c r="G2609" s="0" t="n">
        <v>2021</v>
      </c>
    </row>
    <row r="2610" customFormat="false" ht="15" hidden="false" customHeight="false" outlineLevel="0" collapsed="false">
      <c r="A2610" s="0" t="s">
        <v>259</v>
      </c>
      <c r="B2610" s="52" t="n">
        <v>44543</v>
      </c>
      <c r="C2610" s="54" t="s">
        <v>590</v>
      </c>
      <c r="D2610" s="0" t="n">
        <v>0.398516650311179</v>
      </c>
      <c r="E2610" s="0" t="n">
        <v>0.213797177570841</v>
      </c>
      <c r="F2610" s="0" t="n">
        <v>0</v>
      </c>
      <c r="G2610" s="0" t="n">
        <v>2021</v>
      </c>
    </row>
    <row r="2611" customFormat="false" ht="15" hidden="false" customHeight="false" outlineLevel="0" collapsed="false">
      <c r="A2611" s="0" t="s">
        <v>259</v>
      </c>
      <c r="B2611" s="52" t="n">
        <v>44543</v>
      </c>
      <c r="C2611" s="54" t="s">
        <v>592</v>
      </c>
      <c r="D2611" s="0" t="n">
        <v>1</v>
      </c>
      <c r="E2611" s="0" t="n">
        <v>0</v>
      </c>
      <c r="F2611" s="0" t="n">
        <v>0</v>
      </c>
      <c r="G2611" s="0" t="n">
        <v>2021</v>
      </c>
    </row>
    <row r="2612" customFormat="false" ht="15" hidden="false" customHeight="false" outlineLevel="0" collapsed="false">
      <c r="A2612" s="0" t="s">
        <v>259</v>
      </c>
      <c r="B2612" s="52" t="n">
        <v>44544</v>
      </c>
      <c r="C2612" s="54" t="s">
        <v>590</v>
      </c>
      <c r="D2612" s="0" t="n">
        <v>0.0360221778818478</v>
      </c>
      <c r="E2612" s="0" t="n">
        <v>0.454530581152263</v>
      </c>
      <c r="F2612" s="0" t="n">
        <v>0</v>
      </c>
      <c r="G2612" s="0" t="n">
        <v>2021</v>
      </c>
    </row>
    <row r="2613" customFormat="false" ht="15" hidden="false" customHeight="false" outlineLevel="0" collapsed="false">
      <c r="A2613" s="0" t="s">
        <v>259</v>
      </c>
      <c r="B2613" s="52" t="n">
        <v>44544</v>
      </c>
      <c r="C2613" s="54" t="s">
        <v>591</v>
      </c>
      <c r="D2613" s="0" t="n">
        <v>0.202031158557504</v>
      </c>
      <c r="E2613" s="0" t="n">
        <v>0.196475007695559</v>
      </c>
      <c r="F2613" s="0" t="n">
        <v>0</v>
      </c>
      <c r="G2613" s="0" t="n">
        <v>2021</v>
      </c>
    </row>
    <row r="2614" customFormat="false" ht="15" hidden="false" customHeight="false" outlineLevel="0" collapsed="false">
      <c r="A2614" s="0" t="s">
        <v>259</v>
      </c>
      <c r="B2614" s="52" t="n">
        <v>44544</v>
      </c>
      <c r="C2614" s="54" t="s">
        <v>592</v>
      </c>
      <c r="D2614" s="0" t="n">
        <v>0.112932064028989</v>
      </c>
      <c r="E2614" s="0" t="n">
        <v>0.163757664826117</v>
      </c>
      <c r="F2614" s="0" t="n">
        <v>0</v>
      </c>
      <c r="G2614" s="0" t="n">
        <v>2021</v>
      </c>
    </row>
    <row r="2615" customFormat="false" ht="15" hidden="false" customHeight="false" outlineLevel="0" collapsed="false">
      <c r="A2615" s="0" t="s">
        <v>259</v>
      </c>
      <c r="B2615" s="52" t="n">
        <v>44545</v>
      </c>
      <c r="C2615" s="54" t="s">
        <v>590</v>
      </c>
      <c r="D2615" s="0" t="n">
        <v>0.12441926849208</v>
      </c>
      <c r="E2615" s="0" t="n">
        <v>0.194088757727945</v>
      </c>
      <c r="F2615" s="0" t="n">
        <v>0</v>
      </c>
      <c r="G2615" s="0" t="n">
        <v>2021</v>
      </c>
    </row>
    <row r="2616" customFormat="false" ht="15" hidden="false" customHeight="false" outlineLevel="0" collapsed="false">
      <c r="A2616" s="0" t="s">
        <v>259</v>
      </c>
      <c r="B2616" s="52" t="n">
        <v>44545</v>
      </c>
      <c r="C2616" s="54" t="s">
        <v>592</v>
      </c>
      <c r="D2616" s="0" t="n">
        <v>1</v>
      </c>
      <c r="E2616" s="0" t="n">
        <v>0</v>
      </c>
      <c r="F2616" s="0" t="n">
        <v>0</v>
      </c>
      <c r="G2616" s="0" t="n">
        <v>2021</v>
      </c>
    </row>
    <row r="2617" customFormat="false" ht="15" hidden="false" customHeight="false" outlineLevel="0" collapsed="false">
      <c r="A2617" s="0" t="s">
        <v>259</v>
      </c>
      <c r="B2617" s="52" t="n">
        <v>44546</v>
      </c>
      <c r="C2617" s="54" t="s">
        <v>590</v>
      </c>
      <c r="D2617" s="0" t="n">
        <v>0.313051757538493</v>
      </c>
      <c r="E2617" s="0" t="n">
        <v>0.146317235217998</v>
      </c>
      <c r="F2617" s="0" t="n">
        <v>0</v>
      </c>
      <c r="G2617" s="0" t="n">
        <v>2021</v>
      </c>
    </row>
    <row r="2618" customFormat="false" ht="15" hidden="false" customHeight="false" outlineLevel="0" collapsed="false">
      <c r="A2618" s="0" t="s">
        <v>259</v>
      </c>
      <c r="B2618" s="52" t="n">
        <v>44546</v>
      </c>
      <c r="C2618" s="54" t="s">
        <v>591</v>
      </c>
      <c r="D2618" s="0" t="n">
        <v>0.64160818771231</v>
      </c>
      <c r="E2618" s="0" t="n">
        <v>0.0562816103110495</v>
      </c>
      <c r="F2618" s="0" t="n">
        <v>0</v>
      </c>
      <c r="G2618" s="0" t="n">
        <v>2021</v>
      </c>
    </row>
    <row r="2619" customFormat="false" ht="15" hidden="false" customHeight="false" outlineLevel="0" collapsed="false">
      <c r="A2619" s="0" t="s">
        <v>259</v>
      </c>
      <c r="B2619" s="52" t="n">
        <v>44546</v>
      </c>
      <c r="C2619" s="54" t="s">
        <v>592</v>
      </c>
      <c r="D2619" s="0" t="n">
        <v>0.389256783984426</v>
      </c>
      <c r="E2619" s="0" t="n">
        <v>0.257075937977453</v>
      </c>
      <c r="F2619" s="0" t="n">
        <v>0</v>
      </c>
      <c r="G2619" s="0" t="n">
        <v>2021</v>
      </c>
    </row>
    <row r="2620" customFormat="false" ht="15" hidden="false" customHeight="false" outlineLevel="0" collapsed="false">
      <c r="A2620" s="0" t="s">
        <v>259</v>
      </c>
      <c r="B2620" s="52" t="n">
        <v>44547</v>
      </c>
      <c r="C2620" s="54" t="s">
        <v>590</v>
      </c>
      <c r="D2620" s="0" t="n">
        <v>0.493184961330966</v>
      </c>
      <c r="E2620" s="0" t="n">
        <v>0.0973285048417385</v>
      </c>
      <c r="F2620" s="0" t="n">
        <v>0</v>
      </c>
      <c r="G2620" s="0" t="n">
        <v>2021</v>
      </c>
    </row>
    <row r="2621" customFormat="false" ht="15" hidden="false" customHeight="false" outlineLevel="0" collapsed="false">
      <c r="A2621" s="0" t="s">
        <v>259</v>
      </c>
      <c r="B2621" s="52" t="n">
        <v>44547</v>
      </c>
      <c r="C2621" s="54" t="s">
        <v>592</v>
      </c>
      <c r="D2621" s="0" t="n">
        <v>0.909730890994803</v>
      </c>
      <c r="E2621" s="0" t="n">
        <v>0.0256144600837843</v>
      </c>
      <c r="F2621" s="0" t="n">
        <v>0</v>
      </c>
      <c r="G2621" s="0" t="n">
        <v>2021</v>
      </c>
    </row>
    <row r="2622" customFormat="false" ht="15" hidden="false" customHeight="false" outlineLevel="0" collapsed="false">
      <c r="A2622" s="0" t="s">
        <v>259</v>
      </c>
      <c r="B2622" s="52" t="n">
        <v>44548</v>
      </c>
      <c r="C2622" s="54" t="s">
        <v>590</v>
      </c>
      <c r="D2622" s="0" t="n">
        <v>0.0519822602420335</v>
      </c>
      <c r="E2622" s="0" t="n">
        <v>0.15860081086154</v>
      </c>
      <c r="F2622" s="0" t="n">
        <v>1</v>
      </c>
      <c r="G2622" s="0" t="n">
        <v>2021</v>
      </c>
    </row>
    <row r="2623" customFormat="false" ht="15" hidden="false" customHeight="false" outlineLevel="0" collapsed="false">
      <c r="A2623" s="0" t="s">
        <v>259</v>
      </c>
      <c r="B2623" s="52" t="n">
        <v>44548</v>
      </c>
      <c r="C2623" s="54" t="s">
        <v>591</v>
      </c>
      <c r="D2623" s="0" t="n">
        <v>0.132943428223265</v>
      </c>
      <c r="E2623" s="0" t="n">
        <v>0.507592065308635</v>
      </c>
      <c r="F2623" s="0" t="n">
        <v>1</v>
      </c>
      <c r="G2623" s="0" t="n">
        <v>2021</v>
      </c>
    </row>
    <row r="2624" customFormat="false" ht="15" hidden="false" customHeight="false" outlineLevel="0" collapsed="false">
      <c r="A2624" s="0" t="s">
        <v>259</v>
      </c>
      <c r="B2624" s="52" t="n">
        <v>44549</v>
      </c>
      <c r="C2624" s="54" t="s">
        <v>592</v>
      </c>
      <c r="D2624" s="0" t="n">
        <v>0.0435657523197904</v>
      </c>
      <c r="E2624" s="0" t="n">
        <v>0.514690243142606</v>
      </c>
      <c r="F2624" s="0" t="n">
        <v>1</v>
      </c>
      <c r="G2624" s="0" t="n">
        <v>2021</v>
      </c>
    </row>
    <row r="2625" customFormat="false" ht="15" hidden="false" customHeight="false" outlineLevel="0" collapsed="false">
      <c r="A2625" s="0" t="s">
        <v>259</v>
      </c>
      <c r="B2625" s="52" t="n">
        <v>44550</v>
      </c>
      <c r="C2625" s="54" t="s">
        <v>590</v>
      </c>
      <c r="D2625" s="0" t="n">
        <v>0.141323633684647</v>
      </c>
      <c r="E2625" s="0" t="n">
        <v>0.771227282751926</v>
      </c>
      <c r="F2625" s="0" t="n">
        <v>0</v>
      </c>
      <c r="G2625" s="0" t="n">
        <v>2021</v>
      </c>
    </row>
    <row r="2626" customFormat="false" ht="15" hidden="false" customHeight="false" outlineLevel="0" collapsed="false">
      <c r="A2626" s="0" t="s">
        <v>259</v>
      </c>
      <c r="B2626" s="52" t="n">
        <v>44550</v>
      </c>
      <c r="C2626" s="54" t="s">
        <v>592</v>
      </c>
      <c r="D2626" s="0" t="n">
        <v>0.624613416988372</v>
      </c>
      <c r="E2626" s="0" t="n">
        <v>0.0388902393589179</v>
      </c>
      <c r="F2626" s="0" t="n">
        <v>0</v>
      </c>
      <c r="G2626" s="0" t="n">
        <v>2021</v>
      </c>
    </row>
    <row r="2627" customFormat="false" ht="15" hidden="false" customHeight="false" outlineLevel="0" collapsed="false">
      <c r="A2627" s="0" t="s">
        <v>259</v>
      </c>
      <c r="B2627" s="52" t="n">
        <v>44551</v>
      </c>
      <c r="C2627" s="54" t="s">
        <v>590</v>
      </c>
      <c r="D2627" s="0" t="n">
        <v>0.761131485006312</v>
      </c>
      <c r="E2627" s="0" t="n">
        <v>0.0887421474511061</v>
      </c>
      <c r="F2627" s="0" t="n">
        <v>0</v>
      </c>
      <c r="G2627" s="0" t="n">
        <v>2021</v>
      </c>
    </row>
    <row r="2628" customFormat="false" ht="15" hidden="false" customHeight="false" outlineLevel="0" collapsed="false">
      <c r="A2628" s="0" t="s">
        <v>259</v>
      </c>
      <c r="B2628" s="52" t="n">
        <v>44551</v>
      </c>
      <c r="C2628" s="54" t="s">
        <v>592</v>
      </c>
      <c r="D2628" s="0" t="n">
        <v>0.055591033804558</v>
      </c>
      <c r="E2628" s="0" t="n">
        <v>0.219717715197823</v>
      </c>
      <c r="F2628" s="0" t="n">
        <v>0</v>
      </c>
      <c r="G2628" s="0" t="n">
        <v>2021</v>
      </c>
    </row>
    <row r="2629" customFormat="false" ht="15" hidden="false" customHeight="false" outlineLevel="0" collapsed="false">
      <c r="A2629" s="0" t="s">
        <v>259</v>
      </c>
      <c r="B2629" s="52" t="n">
        <v>44552</v>
      </c>
      <c r="C2629" s="54" t="s">
        <v>590</v>
      </c>
      <c r="D2629" s="0" t="n">
        <v>0.271789590657102</v>
      </c>
      <c r="E2629" s="0" t="n">
        <v>0.176969566272243</v>
      </c>
      <c r="F2629" s="0" t="n">
        <v>0</v>
      </c>
      <c r="G2629" s="0" t="n">
        <v>2021</v>
      </c>
    </row>
    <row r="2630" customFormat="false" ht="15" hidden="false" customHeight="false" outlineLevel="0" collapsed="false">
      <c r="A2630" s="0" t="s">
        <v>259</v>
      </c>
      <c r="B2630" s="52" t="n">
        <v>44552</v>
      </c>
      <c r="C2630" s="54" t="s">
        <v>591</v>
      </c>
      <c r="D2630" s="0" t="n">
        <v>0.309657749885371</v>
      </c>
      <c r="E2630" s="0" t="n">
        <v>0.101671103404747</v>
      </c>
      <c r="F2630" s="0" t="n">
        <v>0</v>
      </c>
      <c r="G2630" s="0" t="n">
        <v>2021</v>
      </c>
    </row>
    <row r="2631" customFormat="false" ht="15" hidden="false" customHeight="false" outlineLevel="0" collapsed="false">
      <c r="A2631" s="0" t="s">
        <v>259</v>
      </c>
      <c r="B2631" s="52" t="n">
        <v>44552</v>
      </c>
      <c r="C2631" s="54" t="s">
        <v>592</v>
      </c>
      <c r="D2631" s="0" t="n">
        <v>0.0842386456644924</v>
      </c>
      <c r="E2631" s="0" t="n">
        <v>0.320879302614823</v>
      </c>
      <c r="F2631" s="0" t="n">
        <v>0</v>
      </c>
      <c r="G2631" s="0" t="n">
        <v>2021</v>
      </c>
    </row>
    <row r="2632" customFormat="false" ht="15" hidden="false" customHeight="false" outlineLevel="0" collapsed="false">
      <c r="A2632" s="0" t="s">
        <v>259</v>
      </c>
      <c r="B2632" s="52" t="n">
        <v>44553</v>
      </c>
      <c r="C2632" s="54" t="s">
        <v>590</v>
      </c>
      <c r="D2632" s="0" t="n">
        <v>0.0848436726144919</v>
      </c>
      <c r="E2632" s="0" t="n">
        <v>0.6375205898263</v>
      </c>
      <c r="F2632" s="0" t="n">
        <v>0</v>
      </c>
      <c r="G2632" s="0" t="n">
        <v>2021</v>
      </c>
    </row>
    <row r="2633" customFormat="false" ht="15" hidden="false" customHeight="false" outlineLevel="0" collapsed="false">
      <c r="A2633" s="0" t="s">
        <v>259</v>
      </c>
      <c r="B2633" s="52" t="n">
        <v>44553</v>
      </c>
      <c r="C2633" s="54" t="s">
        <v>591</v>
      </c>
      <c r="D2633" s="0" t="n">
        <v>1</v>
      </c>
      <c r="E2633" s="0" t="n">
        <v>0</v>
      </c>
      <c r="F2633" s="0" t="n">
        <v>0</v>
      </c>
      <c r="G2633" s="0" t="n">
        <v>2021</v>
      </c>
    </row>
    <row r="2634" customFormat="false" ht="15" hidden="false" customHeight="false" outlineLevel="0" collapsed="false">
      <c r="A2634" s="0" t="s">
        <v>259</v>
      </c>
      <c r="B2634" s="52" t="n">
        <v>44553</v>
      </c>
      <c r="C2634" s="54" t="s">
        <v>592</v>
      </c>
      <c r="D2634" s="0" t="n">
        <v>0.0581001167694171</v>
      </c>
      <c r="E2634" s="0" t="n">
        <v>0.273607579549638</v>
      </c>
      <c r="F2634" s="0" t="n">
        <v>0</v>
      </c>
      <c r="G2634" s="0" t="n">
        <v>2021</v>
      </c>
    </row>
    <row r="2635" customFormat="false" ht="15" hidden="false" customHeight="false" outlineLevel="0" collapsed="false">
      <c r="A2635" s="0" t="s">
        <v>259</v>
      </c>
      <c r="B2635" s="52" t="n">
        <v>44554</v>
      </c>
      <c r="C2635" s="54" t="s">
        <v>590</v>
      </c>
      <c r="D2635" s="0" t="n">
        <v>0.285862743432281</v>
      </c>
      <c r="E2635" s="0" t="n">
        <v>0.365092783395121</v>
      </c>
      <c r="F2635" s="0" t="n">
        <v>0</v>
      </c>
      <c r="G2635" s="0" t="n">
        <v>2021</v>
      </c>
    </row>
    <row r="2636" customFormat="false" ht="15" hidden="false" customHeight="false" outlineLevel="0" collapsed="false">
      <c r="A2636" s="0" t="s">
        <v>259</v>
      </c>
      <c r="B2636" s="52" t="n">
        <v>44555</v>
      </c>
      <c r="C2636" s="54" t="s">
        <v>592</v>
      </c>
      <c r="D2636" s="0" t="n">
        <v>0.516705731581876</v>
      </c>
      <c r="E2636" s="0" t="n">
        <v>0.0422614932353056</v>
      </c>
      <c r="F2636" s="0" t="n">
        <v>1</v>
      </c>
      <c r="G2636" s="0" t="n">
        <v>2021</v>
      </c>
    </row>
    <row r="2637" customFormat="false" ht="15" hidden="false" customHeight="false" outlineLevel="0" collapsed="false">
      <c r="A2637" s="0" t="s">
        <v>259</v>
      </c>
      <c r="B2637" s="52" t="n">
        <v>44556</v>
      </c>
      <c r="C2637" s="54" t="s">
        <v>590</v>
      </c>
      <c r="D2637" s="0" t="n">
        <v>0.101297517932325</v>
      </c>
      <c r="E2637" s="0" t="n">
        <v>0.324418916172188</v>
      </c>
      <c r="F2637" s="0" t="n">
        <v>1</v>
      </c>
      <c r="G2637" s="0" t="n">
        <v>2021</v>
      </c>
    </row>
    <row r="2638" customFormat="false" ht="15" hidden="false" customHeight="false" outlineLevel="0" collapsed="false">
      <c r="A2638" s="0" t="s">
        <v>259</v>
      </c>
      <c r="B2638" s="52" t="n">
        <v>44556</v>
      </c>
      <c r="C2638" s="54" t="s">
        <v>592</v>
      </c>
      <c r="D2638" s="0" t="n">
        <v>0.0744170993589876</v>
      </c>
      <c r="E2638" s="0" t="n">
        <v>0.285182987580438</v>
      </c>
      <c r="F2638" s="0" t="n">
        <v>1</v>
      </c>
      <c r="G2638" s="0" t="n">
        <v>2021</v>
      </c>
    </row>
    <row r="2639" customFormat="false" ht="15" hidden="false" customHeight="false" outlineLevel="0" collapsed="false">
      <c r="A2639" s="0" t="s">
        <v>259</v>
      </c>
      <c r="B2639" s="52" t="n">
        <v>44557</v>
      </c>
      <c r="C2639" s="54" t="s">
        <v>590</v>
      </c>
      <c r="D2639" s="0" t="n">
        <v>0.25261618581207</v>
      </c>
      <c r="E2639" s="0" t="n">
        <v>0.276144433808423</v>
      </c>
      <c r="F2639" s="0" t="n">
        <v>0</v>
      </c>
      <c r="G2639" s="0" t="n">
        <v>2021</v>
      </c>
    </row>
    <row r="2640" customFormat="false" ht="15" hidden="false" customHeight="false" outlineLevel="0" collapsed="false">
      <c r="A2640" s="0" t="s">
        <v>259</v>
      </c>
      <c r="B2640" s="52" t="n">
        <v>44557</v>
      </c>
      <c r="C2640" s="54" t="s">
        <v>592</v>
      </c>
      <c r="D2640" s="0" t="n">
        <v>0.54129366549871</v>
      </c>
      <c r="E2640" s="0" t="n">
        <v>0.0454240888386507</v>
      </c>
      <c r="F2640" s="0" t="n">
        <v>0</v>
      </c>
      <c r="G2640" s="0" t="n">
        <v>2021</v>
      </c>
    </row>
    <row r="2641" customFormat="false" ht="15" hidden="false" customHeight="false" outlineLevel="0" collapsed="false">
      <c r="A2641" s="0" t="s">
        <v>259</v>
      </c>
      <c r="B2641" s="52" t="n">
        <v>44558</v>
      </c>
      <c r="C2641" s="54" t="s">
        <v>590</v>
      </c>
      <c r="D2641" s="0" t="n">
        <v>0.242881177211206</v>
      </c>
      <c r="E2641" s="0" t="n">
        <v>0.253915591228622</v>
      </c>
      <c r="F2641" s="0" t="n">
        <v>0</v>
      </c>
      <c r="G2641" s="0" t="n">
        <v>2021</v>
      </c>
    </row>
    <row r="2642" customFormat="false" ht="15" hidden="false" customHeight="false" outlineLevel="0" collapsed="false">
      <c r="A2642" s="0" t="s">
        <v>259</v>
      </c>
      <c r="B2642" s="52" t="n">
        <v>44558</v>
      </c>
      <c r="C2642" s="54" t="s">
        <v>592</v>
      </c>
      <c r="D2642" s="0" t="n">
        <v>0.150480534440364</v>
      </c>
      <c r="E2642" s="0" t="n">
        <v>0.147329781247707</v>
      </c>
      <c r="F2642" s="0" t="n">
        <v>0</v>
      </c>
      <c r="G2642" s="0" t="n">
        <v>2021</v>
      </c>
    </row>
    <row r="2643" customFormat="false" ht="15" hidden="false" customHeight="false" outlineLevel="0" collapsed="false">
      <c r="A2643" s="0" t="s">
        <v>259</v>
      </c>
      <c r="B2643" s="52" t="n">
        <v>44559</v>
      </c>
      <c r="C2643" s="54" t="s">
        <v>590</v>
      </c>
      <c r="D2643" s="0" t="n">
        <v>0.264135516287978</v>
      </c>
      <c r="E2643" s="0" t="n">
        <v>0.140422516959537</v>
      </c>
      <c r="F2643" s="0" t="n">
        <v>0</v>
      </c>
      <c r="G2643" s="0" t="n">
        <v>2021</v>
      </c>
    </row>
    <row r="2644" customFormat="false" ht="15" hidden="false" customHeight="false" outlineLevel="0" collapsed="false">
      <c r="A2644" s="0" t="s">
        <v>259</v>
      </c>
      <c r="B2644" s="52" t="n">
        <v>44559</v>
      </c>
      <c r="C2644" s="54" t="s">
        <v>592</v>
      </c>
      <c r="D2644" s="0" t="n">
        <v>0.840451190654212</v>
      </c>
      <c r="E2644" s="0" t="n">
        <v>0</v>
      </c>
      <c r="F2644" s="0" t="n">
        <v>0</v>
      </c>
      <c r="G2644" s="0" t="n">
        <v>2021</v>
      </c>
    </row>
    <row r="2645" customFormat="false" ht="15" hidden="false" customHeight="false" outlineLevel="0" collapsed="false">
      <c r="A2645" s="0" t="s">
        <v>259</v>
      </c>
      <c r="B2645" s="52" t="n">
        <v>44560</v>
      </c>
      <c r="C2645" s="54" t="s">
        <v>590</v>
      </c>
      <c r="D2645" s="0" t="n">
        <v>0.296509048692984</v>
      </c>
      <c r="E2645" s="0" t="n">
        <v>0.131550982100221</v>
      </c>
      <c r="F2645" s="0" t="n">
        <v>0</v>
      </c>
      <c r="G2645" s="0" t="n">
        <v>2021</v>
      </c>
    </row>
    <row r="2646" customFormat="false" ht="15" hidden="false" customHeight="false" outlineLevel="0" collapsed="false">
      <c r="A2646" s="0" t="s">
        <v>259</v>
      </c>
      <c r="B2646" s="52" t="n">
        <v>44560</v>
      </c>
      <c r="C2646" s="54" t="s">
        <v>592</v>
      </c>
      <c r="D2646" s="0" t="n">
        <v>0.0800675606308947</v>
      </c>
      <c r="E2646" s="0" t="n">
        <v>0.239716550148555</v>
      </c>
      <c r="F2646" s="0" t="n">
        <v>0</v>
      </c>
      <c r="G2646" s="0" t="n">
        <v>2021</v>
      </c>
    </row>
    <row r="2647" customFormat="false" ht="15" hidden="false" customHeight="false" outlineLevel="0" collapsed="false">
      <c r="A2647" s="0" t="s">
        <v>259</v>
      </c>
      <c r="B2647" s="52" t="n">
        <v>44561</v>
      </c>
      <c r="C2647" s="54" t="s">
        <v>590</v>
      </c>
      <c r="D2647" s="0" t="n">
        <v>0.716035688482729</v>
      </c>
      <c r="E2647" s="0" t="n">
        <v>0.0918323966784139</v>
      </c>
      <c r="F2647" s="0" t="n">
        <v>0</v>
      </c>
      <c r="G2647" s="0" t="n">
        <v>2021</v>
      </c>
    </row>
    <row r="2648" customFormat="false" ht="15" hidden="false" customHeight="false" outlineLevel="0" collapsed="false">
      <c r="A2648" s="0" t="s">
        <v>260</v>
      </c>
      <c r="B2648" s="52" t="n">
        <v>44111</v>
      </c>
      <c r="C2648" s="54" t="s">
        <v>590</v>
      </c>
      <c r="D2648" s="0" t="n">
        <v>0.361441030015069</v>
      </c>
      <c r="E2648" s="0" t="n">
        <v>0.147251021694434</v>
      </c>
      <c r="F2648" s="0" t="n">
        <v>0</v>
      </c>
      <c r="G2648" s="0" t="n">
        <v>2020</v>
      </c>
    </row>
    <row r="2649" customFormat="false" ht="15" hidden="false" customHeight="false" outlineLevel="0" collapsed="false">
      <c r="A2649" s="0" t="s">
        <v>260</v>
      </c>
      <c r="B2649" s="52" t="n">
        <v>44111</v>
      </c>
      <c r="C2649" s="54" t="s">
        <v>591</v>
      </c>
      <c r="D2649" s="0" t="n">
        <v>0.117539549437849</v>
      </c>
      <c r="E2649" s="0" t="n">
        <v>0.0681315076835526</v>
      </c>
      <c r="F2649" s="0" t="n">
        <v>0</v>
      </c>
      <c r="G2649" s="0" t="n">
        <v>2020</v>
      </c>
    </row>
    <row r="2650" customFormat="false" ht="15" hidden="false" customHeight="false" outlineLevel="0" collapsed="false">
      <c r="A2650" s="0" t="s">
        <v>260</v>
      </c>
      <c r="B2650" s="52" t="n">
        <v>44111</v>
      </c>
      <c r="C2650" s="54" t="s">
        <v>592</v>
      </c>
      <c r="D2650" s="0" t="n">
        <v>1</v>
      </c>
      <c r="E2650" s="0" t="n">
        <v>0</v>
      </c>
      <c r="F2650" s="0" t="n">
        <v>0</v>
      </c>
      <c r="G2650" s="0" t="n">
        <v>2020</v>
      </c>
    </row>
    <row r="2651" customFormat="false" ht="15" hidden="false" customHeight="false" outlineLevel="0" collapsed="false">
      <c r="A2651" s="0" t="s">
        <v>260</v>
      </c>
      <c r="B2651" s="52" t="n">
        <v>44112</v>
      </c>
      <c r="C2651" s="54" t="s">
        <v>590</v>
      </c>
      <c r="D2651" s="0" t="n">
        <v>0.15113444457003</v>
      </c>
      <c r="E2651" s="0" t="n">
        <v>0.0978853965199473</v>
      </c>
      <c r="F2651" s="0" t="n">
        <v>0</v>
      </c>
      <c r="G2651" s="0" t="n">
        <v>2020</v>
      </c>
    </row>
    <row r="2652" customFormat="false" ht="15" hidden="false" customHeight="false" outlineLevel="0" collapsed="false">
      <c r="A2652" s="0" t="s">
        <v>260</v>
      </c>
      <c r="B2652" s="52" t="n">
        <v>44112</v>
      </c>
      <c r="C2652" s="54" t="s">
        <v>591</v>
      </c>
      <c r="D2652" s="0" t="n">
        <v>0.849412500768679</v>
      </c>
      <c r="E2652" s="0" t="n">
        <v>0.0114462691483573</v>
      </c>
      <c r="F2652" s="0" t="n">
        <v>0</v>
      </c>
      <c r="G2652" s="0" t="n">
        <v>2020</v>
      </c>
    </row>
    <row r="2653" customFormat="false" ht="15" hidden="false" customHeight="false" outlineLevel="0" collapsed="false">
      <c r="A2653" s="0" t="s">
        <v>260</v>
      </c>
      <c r="B2653" s="52" t="n">
        <v>44112</v>
      </c>
      <c r="C2653" s="54" t="s">
        <v>592</v>
      </c>
      <c r="D2653" s="0" t="n">
        <v>1</v>
      </c>
      <c r="E2653" s="0" t="n">
        <v>0</v>
      </c>
      <c r="F2653" s="0" t="n">
        <v>0</v>
      </c>
      <c r="G2653" s="0" t="n">
        <v>2020</v>
      </c>
    </row>
    <row r="2654" customFormat="false" ht="15" hidden="false" customHeight="false" outlineLevel="0" collapsed="false">
      <c r="A2654" s="0" t="s">
        <v>260</v>
      </c>
      <c r="B2654" s="52" t="n">
        <v>44113</v>
      </c>
      <c r="C2654" s="54" t="s">
        <v>590</v>
      </c>
      <c r="D2654" s="0" t="n">
        <v>0.0304425258077232</v>
      </c>
      <c r="E2654" s="0" t="n">
        <v>0.147980349685707</v>
      </c>
      <c r="F2654" s="0" t="n">
        <v>0</v>
      </c>
      <c r="G2654" s="0" t="n">
        <v>2020</v>
      </c>
    </row>
    <row r="2655" customFormat="false" ht="15" hidden="false" customHeight="false" outlineLevel="0" collapsed="false">
      <c r="A2655" s="0" t="s">
        <v>260</v>
      </c>
      <c r="B2655" s="52" t="n">
        <v>44113</v>
      </c>
      <c r="C2655" s="54" t="s">
        <v>591</v>
      </c>
      <c r="D2655" s="0" t="n">
        <v>0.399741421181411</v>
      </c>
      <c r="E2655" s="0" t="n">
        <v>0.277747968630466</v>
      </c>
      <c r="F2655" s="0" t="n">
        <v>0</v>
      </c>
      <c r="G2655" s="0" t="n">
        <v>2020</v>
      </c>
    </row>
    <row r="2656" customFormat="false" ht="15" hidden="false" customHeight="false" outlineLevel="0" collapsed="false">
      <c r="A2656" s="0" t="s">
        <v>260</v>
      </c>
      <c r="B2656" s="52" t="n">
        <v>44113</v>
      </c>
      <c r="C2656" s="54" t="s">
        <v>592</v>
      </c>
      <c r="D2656" s="0" t="n">
        <v>1</v>
      </c>
      <c r="E2656" s="0" t="n">
        <v>0</v>
      </c>
      <c r="F2656" s="0" t="n">
        <v>0</v>
      </c>
      <c r="G2656" s="0" t="n">
        <v>2020</v>
      </c>
    </row>
    <row r="2657" customFormat="false" ht="15" hidden="false" customHeight="false" outlineLevel="0" collapsed="false">
      <c r="A2657" s="0" t="s">
        <v>260</v>
      </c>
      <c r="B2657" s="52" t="n">
        <v>44114</v>
      </c>
      <c r="C2657" s="54" t="s">
        <v>590</v>
      </c>
      <c r="D2657" s="0" t="n">
        <v>0.0220919947427712</v>
      </c>
      <c r="E2657" s="0" t="n">
        <v>0.101811998793362</v>
      </c>
      <c r="F2657" s="0" t="n">
        <v>1</v>
      </c>
      <c r="G2657" s="0" t="n">
        <v>2020</v>
      </c>
    </row>
    <row r="2658" customFormat="false" ht="15" hidden="false" customHeight="false" outlineLevel="0" collapsed="false">
      <c r="A2658" s="0" t="s">
        <v>260</v>
      </c>
      <c r="B2658" s="52" t="n">
        <v>44114</v>
      </c>
      <c r="C2658" s="54" t="s">
        <v>591</v>
      </c>
      <c r="D2658" s="0" t="n">
        <v>0.839577760679738</v>
      </c>
      <c r="E2658" s="0" t="n">
        <v>0.0083295949732938</v>
      </c>
      <c r="F2658" s="0" t="n">
        <v>1</v>
      </c>
      <c r="G2658" s="0" t="n">
        <v>2020</v>
      </c>
    </row>
    <row r="2659" customFormat="false" ht="15" hidden="false" customHeight="false" outlineLevel="0" collapsed="false">
      <c r="A2659" s="0" t="s">
        <v>260</v>
      </c>
      <c r="B2659" s="52" t="n">
        <v>44114</v>
      </c>
      <c r="C2659" s="54" t="s">
        <v>592</v>
      </c>
      <c r="D2659" s="0" t="n">
        <v>1</v>
      </c>
      <c r="E2659" s="0" t="n">
        <v>0</v>
      </c>
      <c r="F2659" s="0" t="n">
        <v>1</v>
      </c>
      <c r="G2659" s="0" t="n">
        <v>2020</v>
      </c>
    </row>
    <row r="2660" customFormat="false" ht="15" hidden="false" customHeight="false" outlineLevel="0" collapsed="false">
      <c r="A2660" s="0" t="s">
        <v>260</v>
      </c>
      <c r="B2660" s="52" t="n">
        <v>44115</v>
      </c>
      <c r="C2660" s="54" t="s">
        <v>590</v>
      </c>
      <c r="D2660" s="0" t="n">
        <v>0.0766095220982092</v>
      </c>
      <c r="E2660" s="0" t="n">
        <v>0.292622475517322</v>
      </c>
      <c r="F2660" s="0" t="n">
        <v>1</v>
      </c>
      <c r="G2660" s="0" t="n">
        <v>2020</v>
      </c>
    </row>
    <row r="2661" customFormat="false" ht="15" hidden="false" customHeight="false" outlineLevel="0" collapsed="false">
      <c r="A2661" s="0" t="s">
        <v>260</v>
      </c>
      <c r="B2661" s="52" t="n">
        <v>44115</v>
      </c>
      <c r="C2661" s="54" t="s">
        <v>591</v>
      </c>
      <c r="D2661" s="0" t="n">
        <v>0.0753375253571473</v>
      </c>
      <c r="E2661" s="0" t="n">
        <v>0.107064417420215</v>
      </c>
      <c r="F2661" s="0" t="n">
        <v>1</v>
      </c>
      <c r="G2661" s="0" t="n">
        <v>2020</v>
      </c>
    </row>
    <row r="2662" customFormat="false" ht="15" hidden="false" customHeight="false" outlineLevel="0" collapsed="false">
      <c r="A2662" s="0" t="s">
        <v>260</v>
      </c>
      <c r="B2662" s="52" t="n">
        <v>44115</v>
      </c>
      <c r="C2662" s="54" t="s">
        <v>592</v>
      </c>
      <c r="D2662" s="0" t="n">
        <v>1</v>
      </c>
      <c r="E2662" s="0" t="n">
        <v>0</v>
      </c>
      <c r="F2662" s="0" t="n">
        <v>1</v>
      </c>
      <c r="G2662" s="0" t="n">
        <v>2020</v>
      </c>
    </row>
    <row r="2663" customFormat="false" ht="15" hidden="false" customHeight="false" outlineLevel="0" collapsed="false">
      <c r="A2663" s="0" t="s">
        <v>260</v>
      </c>
      <c r="B2663" s="52" t="n">
        <v>44116</v>
      </c>
      <c r="C2663" s="54" t="s">
        <v>590</v>
      </c>
      <c r="D2663" s="0" t="n">
        <v>0.0108725756193712</v>
      </c>
      <c r="E2663" s="0" t="n">
        <v>0.135935929305253</v>
      </c>
      <c r="F2663" s="0" t="n">
        <v>0</v>
      </c>
      <c r="G2663" s="0" t="n">
        <v>2020</v>
      </c>
    </row>
    <row r="2664" customFormat="false" ht="15" hidden="false" customHeight="false" outlineLevel="0" collapsed="false">
      <c r="A2664" s="0" t="s">
        <v>260</v>
      </c>
      <c r="B2664" s="52" t="n">
        <v>44116</v>
      </c>
      <c r="C2664" s="54" t="s">
        <v>591</v>
      </c>
      <c r="D2664" s="0" t="n">
        <v>0.208197792328752</v>
      </c>
      <c r="E2664" s="0" t="n">
        <v>0.0998540459384497</v>
      </c>
      <c r="F2664" s="0" t="n">
        <v>0</v>
      </c>
      <c r="G2664" s="0" t="n">
        <v>2020</v>
      </c>
    </row>
    <row r="2665" customFormat="false" ht="15" hidden="false" customHeight="false" outlineLevel="0" collapsed="false">
      <c r="A2665" s="0" t="s">
        <v>260</v>
      </c>
      <c r="B2665" s="52" t="n">
        <v>44116</v>
      </c>
      <c r="C2665" s="54" t="s">
        <v>592</v>
      </c>
      <c r="D2665" s="0" t="n">
        <v>1</v>
      </c>
      <c r="E2665" s="0" t="n">
        <v>0</v>
      </c>
      <c r="F2665" s="0" t="n">
        <v>0</v>
      </c>
      <c r="G2665" s="0" t="n">
        <v>2020</v>
      </c>
    </row>
    <row r="2666" customFormat="false" ht="15" hidden="false" customHeight="false" outlineLevel="0" collapsed="false">
      <c r="A2666" s="0" t="s">
        <v>260</v>
      </c>
      <c r="B2666" s="52" t="n">
        <v>44117</v>
      </c>
      <c r="C2666" s="54" t="s">
        <v>590</v>
      </c>
      <c r="D2666" s="0" t="n">
        <v>0.0588663844144263</v>
      </c>
      <c r="E2666" s="0" t="n">
        <v>0.228566458435671</v>
      </c>
      <c r="F2666" s="0" t="n">
        <v>0</v>
      </c>
      <c r="G2666" s="0" t="n">
        <v>2020</v>
      </c>
    </row>
    <row r="2667" customFormat="false" ht="15" hidden="false" customHeight="false" outlineLevel="0" collapsed="false">
      <c r="A2667" s="0" t="s">
        <v>260</v>
      </c>
      <c r="B2667" s="52" t="n">
        <v>44117</v>
      </c>
      <c r="C2667" s="54" t="s">
        <v>591</v>
      </c>
      <c r="D2667" s="0" t="n">
        <v>0.10385233127239</v>
      </c>
      <c r="E2667" s="0" t="n">
        <v>0.135982376517653</v>
      </c>
      <c r="F2667" s="0" t="n">
        <v>0</v>
      </c>
      <c r="G2667" s="0" t="n">
        <v>2020</v>
      </c>
    </row>
    <row r="2668" customFormat="false" ht="15" hidden="false" customHeight="false" outlineLevel="0" collapsed="false">
      <c r="A2668" s="0" t="s">
        <v>260</v>
      </c>
      <c r="B2668" s="52" t="n">
        <v>44117</v>
      </c>
      <c r="C2668" s="54" t="s">
        <v>592</v>
      </c>
      <c r="D2668" s="0" t="n">
        <v>1</v>
      </c>
      <c r="E2668" s="0" t="n">
        <v>0</v>
      </c>
      <c r="F2668" s="0" t="n">
        <v>0</v>
      </c>
      <c r="G2668" s="0" t="n">
        <v>2020</v>
      </c>
    </row>
    <row r="2669" customFormat="false" ht="15" hidden="false" customHeight="false" outlineLevel="0" collapsed="false">
      <c r="A2669" s="0" t="s">
        <v>260</v>
      </c>
      <c r="B2669" s="52" t="n">
        <v>44118</v>
      </c>
      <c r="C2669" s="54" t="s">
        <v>590</v>
      </c>
      <c r="D2669" s="0" t="n">
        <v>0.0516071383952237</v>
      </c>
      <c r="E2669" s="0" t="n">
        <v>0.159955646562162</v>
      </c>
      <c r="F2669" s="0" t="n">
        <v>0</v>
      </c>
      <c r="G2669" s="0" t="n">
        <v>2020</v>
      </c>
    </row>
    <row r="2670" customFormat="false" ht="15" hidden="false" customHeight="false" outlineLevel="0" collapsed="false">
      <c r="A2670" s="0" t="s">
        <v>260</v>
      </c>
      <c r="B2670" s="52" t="n">
        <v>44118</v>
      </c>
      <c r="C2670" s="54" t="s">
        <v>591</v>
      </c>
      <c r="D2670" s="0" t="n">
        <v>0.0422393333992571</v>
      </c>
      <c r="E2670" s="0" t="n">
        <v>0.290973031609722</v>
      </c>
      <c r="F2670" s="0" t="n">
        <v>0</v>
      </c>
      <c r="G2670" s="0" t="n">
        <v>2020</v>
      </c>
    </row>
    <row r="2671" customFormat="false" ht="15" hidden="false" customHeight="false" outlineLevel="0" collapsed="false">
      <c r="A2671" s="0" t="s">
        <v>260</v>
      </c>
      <c r="B2671" s="52" t="n">
        <v>44118</v>
      </c>
      <c r="C2671" s="54" t="s">
        <v>592</v>
      </c>
      <c r="D2671" s="0" t="n">
        <v>0.930072905513525</v>
      </c>
      <c r="E2671" s="0" t="n">
        <v>0.0103611608893887</v>
      </c>
      <c r="F2671" s="0" t="n">
        <v>0</v>
      </c>
      <c r="G2671" s="0" t="n">
        <v>2020</v>
      </c>
    </row>
    <row r="2672" customFormat="false" ht="15" hidden="false" customHeight="false" outlineLevel="0" collapsed="false">
      <c r="A2672" s="0" t="s">
        <v>260</v>
      </c>
      <c r="B2672" s="52" t="n">
        <v>44119</v>
      </c>
      <c r="C2672" s="54" t="s">
        <v>590</v>
      </c>
      <c r="D2672" s="0" t="n">
        <v>0.0205489602963254</v>
      </c>
      <c r="E2672" s="0" t="n">
        <v>0.0782116366931817</v>
      </c>
      <c r="F2672" s="0" t="n">
        <v>0</v>
      </c>
      <c r="G2672" s="0" t="n">
        <v>2020</v>
      </c>
    </row>
    <row r="2673" customFormat="false" ht="15" hidden="false" customHeight="false" outlineLevel="0" collapsed="false">
      <c r="A2673" s="0" t="s">
        <v>260</v>
      </c>
      <c r="B2673" s="52" t="n">
        <v>44119</v>
      </c>
      <c r="C2673" s="54" t="s">
        <v>591</v>
      </c>
      <c r="D2673" s="0" t="n">
        <v>0.206240656821727</v>
      </c>
      <c r="E2673" s="0" t="n">
        <v>0.0735686299033288</v>
      </c>
      <c r="F2673" s="0" t="n">
        <v>0</v>
      </c>
      <c r="G2673" s="0" t="n">
        <v>2020</v>
      </c>
    </row>
    <row r="2674" customFormat="false" ht="15" hidden="false" customHeight="false" outlineLevel="0" collapsed="false">
      <c r="A2674" s="0" t="s">
        <v>260</v>
      </c>
      <c r="B2674" s="52" t="n">
        <v>44119</v>
      </c>
      <c r="C2674" s="54" t="s">
        <v>592</v>
      </c>
      <c r="D2674" s="0" t="n">
        <v>1</v>
      </c>
      <c r="E2674" s="0" t="n">
        <v>0</v>
      </c>
      <c r="F2674" s="0" t="n">
        <v>0</v>
      </c>
      <c r="G2674" s="0" t="n">
        <v>2020</v>
      </c>
    </row>
    <row r="2675" customFormat="false" ht="15" hidden="false" customHeight="false" outlineLevel="0" collapsed="false">
      <c r="A2675" s="0" t="s">
        <v>260</v>
      </c>
      <c r="B2675" s="52" t="n">
        <v>44120</v>
      </c>
      <c r="C2675" s="54" t="s">
        <v>590</v>
      </c>
      <c r="D2675" s="0" t="n">
        <v>0.0663030983456166</v>
      </c>
      <c r="E2675" s="0" t="n">
        <v>0.100338073127153</v>
      </c>
      <c r="F2675" s="0" t="n">
        <v>0</v>
      </c>
      <c r="G2675" s="0" t="n">
        <v>2020</v>
      </c>
    </row>
    <row r="2676" customFormat="false" ht="15" hidden="false" customHeight="false" outlineLevel="0" collapsed="false">
      <c r="A2676" s="0" t="s">
        <v>260</v>
      </c>
      <c r="B2676" s="52" t="n">
        <v>44120</v>
      </c>
      <c r="C2676" s="54" t="s">
        <v>591</v>
      </c>
      <c r="D2676" s="0" t="n">
        <v>0.772477338629334</v>
      </c>
      <c r="E2676" s="0" t="n">
        <v>0.0156135719961304</v>
      </c>
      <c r="F2676" s="0" t="n">
        <v>0</v>
      </c>
      <c r="G2676" s="0" t="n">
        <v>2020</v>
      </c>
    </row>
    <row r="2677" customFormat="false" ht="15" hidden="false" customHeight="false" outlineLevel="0" collapsed="false">
      <c r="A2677" s="0" t="s">
        <v>260</v>
      </c>
      <c r="B2677" s="52" t="n">
        <v>44121</v>
      </c>
      <c r="C2677" s="54" t="s">
        <v>590</v>
      </c>
      <c r="D2677" s="0" t="n">
        <v>0.0831079195203263</v>
      </c>
      <c r="E2677" s="0" t="n">
        <v>0.191969573096754</v>
      </c>
      <c r="F2677" s="0" t="n">
        <v>1</v>
      </c>
      <c r="G2677" s="0" t="n">
        <v>2020</v>
      </c>
    </row>
    <row r="2678" customFormat="false" ht="15" hidden="false" customHeight="false" outlineLevel="0" collapsed="false">
      <c r="A2678" s="0" t="s">
        <v>260</v>
      </c>
      <c r="B2678" s="52" t="n">
        <v>44121</v>
      </c>
      <c r="C2678" s="54" t="s">
        <v>591</v>
      </c>
      <c r="D2678" s="0" t="n">
        <v>0.549118284842451</v>
      </c>
      <c r="E2678" s="0" t="n">
        <v>0.153162661330268</v>
      </c>
      <c r="F2678" s="0" t="n">
        <v>1</v>
      </c>
      <c r="G2678" s="0" t="n">
        <v>2020</v>
      </c>
    </row>
    <row r="2679" customFormat="false" ht="15" hidden="false" customHeight="false" outlineLevel="0" collapsed="false">
      <c r="A2679" s="0" t="s">
        <v>260</v>
      </c>
      <c r="B2679" s="52" t="n">
        <v>44121</v>
      </c>
      <c r="C2679" s="54" t="s">
        <v>592</v>
      </c>
      <c r="D2679" s="0" t="n">
        <v>1</v>
      </c>
      <c r="E2679" s="0" t="n">
        <v>0</v>
      </c>
      <c r="F2679" s="0" t="n">
        <v>1</v>
      </c>
      <c r="G2679" s="0" t="n">
        <v>2020</v>
      </c>
    </row>
    <row r="2680" customFormat="false" ht="15" hidden="false" customHeight="false" outlineLevel="0" collapsed="false">
      <c r="A2680" s="0" t="s">
        <v>260</v>
      </c>
      <c r="B2680" s="52" t="n">
        <v>44122</v>
      </c>
      <c r="C2680" s="54" t="s">
        <v>590</v>
      </c>
      <c r="D2680" s="0" t="n">
        <v>0.0339656849904576</v>
      </c>
      <c r="E2680" s="0" t="n">
        <v>0.122328284623732</v>
      </c>
      <c r="F2680" s="0" t="n">
        <v>1</v>
      </c>
      <c r="G2680" s="0" t="n">
        <v>2020</v>
      </c>
    </row>
    <row r="2681" customFormat="false" ht="15" hidden="false" customHeight="false" outlineLevel="0" collapsed="false">
      <c r="A2681" s="0" t="s">
        <v>260</v>
      </c>
      <c r="B2681" s="52" t="n">
        <v>44122</v>
      </c>
      <c r="C2681" s="54" t="s">
        <v>591</v>
      </c>
      <c r="D2681" s="0" t="n">
        <v>0.471508620581266</v>
      </c>
      <c r="E2681" s="0" t="n">
        <v>0.0769366237027636</v>
      </c>
      <c r="F2681" s="0" t="n">
        <v>1</v>
      </c>
      <c r="G2681" s="0" t="n">
        <v>2020</v>
      </c>
    </row>
    <row r="2682" customFormat="false" ht="15" hidden="false" customHeight="false" outlineLevel="0" collapsed="false">
      <c r="A2682" s="0" t="s">
        <v>260</v>
      </c>
      <c r="B2682" s="52" t="n">
        <v>44122</v>
      </c>
      <c r="C2682" s="54" t="s">
        <v>592</v>
      </c>
      <c r="D2682" s="0" t="n">
        <v>1</v>
      </c>
      <c r="E2682" s="0" t="n">
        <v>0</v>
      </c>
      <c r="F2682" s="0" t="n">
        <v>1</v>
      </c>
      <c r="G2682" s="0" t="n">
        <v>2020</v>
      </c>
    </row>
    <row r="2683" customFormat="false" ht="15" hidden="false" customHeight="false" outlineLevel="0" collapsed="false">
      <c r="A2683" s="0" t="s">
        <v>260</v>
      </c>
      <c r="B2683" s="52" t="n">
        <v>44123</v>
      </c>
      <c r="C2683" s="54" t="s">
        <v>590</v>
      </c>
      <c r="D2683" s="0" t="n">
        <v>0.375769092782665</v>
      </c>
      <c r="E2683" s="0" t="n">
        <v>0.0780873901343741</v>
      </c>
      <c r="F2683" s="0" t="n">
        <v>0</v>
      </c>
      <c r="G2683" s="0" t="n">
        <v>2020</v>
      </c>
    </row>
    <row r="2684" customFormat="false" ht="15" hidden="false" customHeight="false" outlineLevel="0" collapsed="false">
      <c r="A2684" s="0" t="s">
        <v>260</v>
      </c>
      <c r="B2684" s="52" t="n">
        <v>44123</v>
      </c>
      <c r="C2684" s="54" t="s">
        <v>591</v>
      </c>
      <c r="D2684" s="0" t="n">
        <v>0.173744088139904</v>
      </c>
      <c r="E2684" s="0" t="n">
        <v>0.067759850385573</v>
      </c>
      <c r="F2684" s="0" t="n">
        <v>0</v>
      </c>
      <c r="G2684" s="0" t="n">
        <v>2020</v>
      </c>
    </row>
    <row r="2685" customFormat="false" ht="15" hidden="false" customHeight="false" outlineLevel="0" collapsed="false">
      <c r="A2685" s="0" t="s">
        <v>260</v>
      </c>
      <c r="B2685" s="52" t="n">
        <v>44123</v>
      </c>
      <c r="C2685" s="54" t="s">
        <v>592</v>
      </c>
      <c r="D2685" s="0" t="n">
        <v>1</v>
      </c>
      <c r="E2685" s="0" t="n">
        <v>0</v>
      </c>
      <c r="F2685" s="0" t="n">
        <v>0</v>
      </c>
      <c r="G2685" s="0" t="n">
        <v>2020</v>
      </c>
    </row>
    <row r="2686" customFormat="false" ht="15" hidden="false" customHeight="false" outlineLevel="0" collapsed="false">
      <c r="A2686" s="0" t="s">
        <v>260</v>
      </c>
      <c r="B2686" s="52" t="n">
        <v>44124</v>
      </c>
      <c r="C2686" s="54" t="s">
        <v>590</v>
      </c>
      <c r="D2686" s="0" t="n">
        <v>0.0298871145556991</v>
      </c>
      <c r="E2686" s="0" t="n">
        <v>0.183965176515713</v>
      </c>
      <c r="F2686" s="0" t="n">
        <v>0</v>
      </c>
      <c r="G2686" s="0" t="n">
        <v>2020</v>
      </c>
    </row>
    <row r="2687" customFormat="false" ht="15" hidden="false" customHeight="false" outlineLevel="0" collapsed="false">
      <c r="A2687" s="0" t="s">
        <v>260</v>
      </c>
      <c r="B2687" s="52" t="n">
        <v>44124</v>
      </c>
      <c r="C2687" s="54" t="s">
        <v>591</v>
      </c>
      <c r="D2687" s="0" t="n">
        <v>0.317844843624341</v>
      </c>
      <c r="E2687" s="0" t="n">
        <v>0.116707517351161</v>
      </c>
      <c r="F2687" s="0" t="n">
        <v>0</v>
      </c>
      <c r="G2687" s="0" t="n">
        <v>2020</v>
      </c>
    </row>
    <row r="2688" customFormat="false" ht="15" hidden="false" customHeight="false" outlineLevel="0" collapsed="false">
      <c r="A2688" s="0" t="s">
        <v>260</v>
      </c>
      <c r="B2688" s="52" t="n">
        <v>44124</v>
      </c>
      <c r="C2688" s="54" t="s">
        <v>592</v>
      </c>
      <c r="D2688" s="0" t="n">
        <v>1</v>
      </c>
      <c r="E2688" s="0" t="n">
        <v>0</v>
      </c>
      <c r="F2688" s="0" t="n">
        <v>0</v>
      </c>
      <c r="G2688" s="0" t="n">
        <v>2020</v>
      </c>
    </row>
    <row r="2689" customFormat="false" ht="15" hidden="false" customHeight="false" outlineLevel="0" collapsed="false">
      <c r="A2689" s="0" t="s">
        <v>260</v>
      </c>
      <c r="B2689" s="52" t="n">
        <v>44125</v>
      </c>
      <c r="C2689" s="54" t="s">
        <v>590</v>
      </c>
      <c r="D2689" s="0" t="n">
        <v>0.0182419071151388</v>
      </c>
      <c r="E2689" s="0" t="n">
        <v>0.158141487540566</v>
      </c>
      <c r="F2689" s="0" t="n">
        <v>0</v>
      </c>
      <c r="G2689" s="0" t="n">
        <v>2020</v>
      </c>
    </row>
    <row r="2690" customFormat="false" ht="15" hidden="false" customHeight="false" outlineLevel="0" collapsed="false">
      <c r="A2690" s="0" t="s">
        <v>260</v>
      </c>
      <c r="B2690" s="52" t="n">
        <v>44125</v>
      </c>
      <c r="C2690" s="54" t="s">
        <v>591</v>
      </c>
      <c r="D2690" s="0" t="n">
        <v>0.176123871286993</v>
      </c>
      <c r="E2690" s="0" t="n">
        <v>0.0793953432765686</v>
      </c>
      <c r="F2690" s="0" t="n">
        <v>0</v>
      </c>
      <c r="G2690" s="0" t="n">
        <v>2020</v>
      </c>
    </row>
    <row r="2691" customFormat="false" ht="15" hidden="false" customHeight="false" outlineLevel="0" collapsed="false">
      <c r="A2691" s="0" t="s">
        <v>260</v>
      </c>
      <c r="B2691" s="52" t="n">
        <v>44135</v>
      </c>
      <c r="C2691" s="54" t="s">
        <v>592</v>
      </c>
      <c r="D2691" s="0" t="n">
        <v>1</v>
      </c>
      <c r="E2691" s="0" t="n">
        <v>0</v>
      </c>
      <c r="F2691" s="0" t="n">
        <v>1</v>
      </c>
      <c r="G2691" s="0" t="n">
        <v>2020</v>
      </c>
    </row>
    <row r="2692" customFormat="false" ht="15" hidden="false" customHeight="false" outlineLevel="0" collapsed="false">
      <c r="A2692" s="0" t="s">
        <v>260</v>
      </c>
      <c r="B2692" s="52" t="n">
        <v>44136</v>
      </c>
      <c r="C2692" s="54" t="s">
        <v>590</v>
      </c>
      <c r="D2692" s="0" t="n">
        <v>0.206313622162037</v>
      </c>
      <c r="E2692" s="0" t="n">
        <v>0.121316719364693</v>
      </c>
      <c r="F2692" s="0" t="n">
        <v>1</v>
      </c>
      <c r="G2692" s="0" t="n">
        <v>2020</v>
      </c>
    </row>
    <row r="2693" customFormat="false" ht="15" hidden="false" customHeight="false" outlineLevel="0" collapsed="false">
      <c r="A2693" s="0" t="s">
        <v>260</v>
      </c>
      <c r="B2693" s="52" t="n">
        <v>44136</v>
      </c>
      <c r="C2693" s="54" t="s">
        <v>591</v>
      </c>
      <c r="D2693" s="0" t="n">
        <v>0.143115909553438</v>
      </c>
      <c r="E2693" s="0" t="n">
        <v>0.0579209237788335</v>
      </c>
      <c r="F2693" s="0" t="n">
        <v>1</v>
      </c>
      <c r="G2693" s="0" t="n">
        <v>2020</v>
      </c>
    </row>
    <row r="2694" customFormat="false" ht="15" hidden="false" customHeight="false" outlineLevel="0" collapsed="false">
      <c r="A2694" s="0" t="s">
        <v>260</v>
      </c>
      <c r="B2694" s="52" t="n">
        <v>44136</v>
      </c>
      <c r="C2694" s="54" t="s">
        <v>592</v>
      </c>
      <c r="D2694" s="0" t="n">
        <v>1</v>
      </c>
      <c r="E2694" s="0" t="n">
        <v>0</v>
      </c>
      <c r="F2694" s="0" t="n">
        <v>1</v>
      </c>
      <c r="G2694" s="0" t="n">
        <v>2020</v>
      </c>
    </row>
    <row r="2695" customFormat="false" ht="15" hidden="false" customHeight="false" outlineLevel="0" collapsed="false">
      <c r="A2695" s="0" t="s">
        <v>260</v>
      </c>
      <c r="B2695" s="52" t="n">
        <v>44137</v>
      </c>
      <c r="C2695" s="54" t="s">
        <v>590</v>
      </c>
      <c r="D2695" s="0" t="n">
        <v>0.642043771241208</v>
      </c>
      <c r="E2695" s="0" t="n">
        <v>0.0578404966733432</v>
      </c>
      <c r="F2695" s="0" t="n">
        <v>0</v>
      </c>
      <c r="G2695" s="0" t="n">
        <v>2020</v>
      </c>
    </row>
    <row r="2696" customFormat="false" ht="15" hidden="false" customHeight="false" outlineLevel="0" collapsed="false">
      <c r="A2696" s="0" t="s">
        <v>260</v>
      </c>
      <c r="B2696" s="52" t="n">
        <v>44137</v>
      </c>
      <c r="C2696" s="54" t="s">
        <v>591</v>
      </c>
      <c r="D2696" s="0" t="n">
        <v>0.0558986181526721</v>
      </c>
      <c r="E2696" s="0" t="n">
        <v>0.0787731257409264</v>
      </c>
      <c r="F2696" s="0" t="n">
        <v>0</v>
      </c>
      <c r="G2696" s="0" t="n">
        <v>2020</v>
      </c>
    </row>
    <row r="2697" customFormat="false" ht="15" hidden="false" customHeight="false" outlineLevel="0" collapsed="false">
      <c r="A2697" s="0" t="s">
        <v>260</v>
      </c>
      <c r="B2697" s="52" t="n">
        <v>44137</v>
      </c>
      <c r="C2697" s="54" t="s">
        <v>592</v>
      </c>
      <c r="D2697" s="0" t="n">
        <v>1</v>
      </c>
      <c r="E2697" s="0" t="n">
        <v>0</v>
      </c>
      <c r="F2697" s="0" t="n">
        <v>0</v>
      </c>
      <c r="G2697" s="0" t="n">
        <v>2020</v>
      </c>
    </row>
    <row r="2698" customFormat="false" ht="15" hidden="false" customHeight="false" outlineLevel="0" collapsed="false">
      <c r="A2698" s="0" t="s">
        <v>260</v>
      </c>
      <c r="B2698" s="52" t="n">
        <v>44138</v>
      </c>
      <c r="C2698" s="54" t="s">
        <v>590</v>
      </c>
      <c r="D2698" s="0" t="n">
        <v>0.467961910614316</v>
      </c>
      <c r="E2698" s="0" t="n">
        <v>0.0771702757445577</v>
      </c>
      <c r="F2698" s="0" t="n">
        <v>0</v>
      </c>
      <c r="G2698" s="0" t="n">
        <v>2020</v>
      </c>
    </row>
    <row r="2699" customFormat="false" ht="15" hidden="false" customHeight="false" outlineLevel="0" collapsed="false">
      <c r="A2699" s="0" t="s">
        <v>260</v>
      </c>
      <c r="B2699" s="52" t="n">
        <v>44138</v>
      </c>
      <c r="C2699" s="54" t="s">
        <v>591</v>
      </c>
      <c r="D2699" s="0" t="n">
        <v>0.153845196893886</v>
      </c>
      <c r="E2699" s="0" t="n">
        <v>0.0763930327320948</v>
      </c>
      <c r="F2699" s="0" t="n">
        <v>0</v>
      </c>
      <c r="G2699" s="0" t="n">
        <v>2020</v>
      </c>
    </row>
    <row r="2700" customFormat="false" ht="15" hidden="false" customHeight="false" outlineLevel="0" collapsed="false">
      <c r="A2700" s="0" t="s">
        <v>260</v>
      </c>
      <c r="B2700" s="52" t="n">
        <v>44138</v>
      </c>
      <c r="C2700" s="54" t="s">
        <v>592</v>
      </c>
      <c r="D2700" s="0" t="n">
        <v>1</v>
      </c>
      <c r="E2700" s="0" t="n">
        <v>0</v>
      </c>
      <c r="F2700" s="0" t="n">
        <v>0</v>
      </c>
      <c r="G2700" s="0" t="n">
        <v>2020</v>
      </c>
    </row>
    <row r="2701" customFormat="false" ht="15" hidden="false" customHeight="false" outlineLevel="0" collapsed="false">
      <c r="A2701" s="0" t="s">
        <v>260</v>
      </c>
      <c r="B2701" s="52" t="n">
        <v>44139</v>
      </c>
      <c r="C2701" s="54" t="s">
        <v>590</v>
      </c>
      <c r="D2701" s="0" t="n">
        <v>0.545292229582349</v>
      </c>
      <c r="E2701" s="0" t="n">
        <v>0.0718321326740218</v>
      </c>
      <c r="F2701" s="0" t="n">
        <v>0</v>
      </c>
      <c r="G2701" s="0" t="n">
        <v>2020</v>
      </c>
    </row>
    <row r="2702" customFormat="false" ht="15" hidden="false" customHeight="false" outlineLevel="0" collapsed="false">
      <c r="A2702" s="0" t="s">
        <v>260</v>
      </c>
      <c r="B2702" s="52" t="n">
        <v>44139</v>
      </c>
      <c r="C2702" s="54" t="s">
        <v>591</v>
      </c>
      <c r="D2702" s="0" t="n">
        <v>0.26994573979449</v>
      </c>
      <c r="E2702" s="0" t="n">
        <v>0.0699194844514904</v>
      </c>
      <c r="F2702" s="0" t="n">
        <v>0</v>
      </c>
      <c r="G2702" s="0" t="n">
        <v>2020</v>
      </c>
    </row>
    <row r="2703" customFormat="false" ht="15" hidden="false" customHeight="false" outlineLevel="0" collapsed="false">
      <c r="A2703" s="0" t="s">
        <v>260</v>
      </c>
      <c r="B2703" s="52" t="n">
        <v>44139</v>
      </c>
      <c r="C2703" s="54" t="s">
        <v>592</v>
      </c>
      <c r="D2703" s="0" t="n">
        <v>1</v>
      </c>
      <c r="E2703" s="0" t="n">
        <v>0</v>
      </c>
      <c r="F2703" s="0" t="n">
        <v>0</v>
      </c>
      <c r="G2703" s="0" t="n">
        <v>2020</v>
      </c>
    </row>
    <row r="2704" customFormat="false" ht="15" hidden="false" customHeight="false" outlineLevel="0" collapsed="false">
      <c r="A2704" s="0" t="s">
        <v>260</v>
      </c>
      <c r="B2704" s="52" t="n">
        <v>44140</v>
      </c>
      <c r="C2704" s="54" t="s">
        <v>590</v>
      </c>
      <c r="D2704" s="0" t="n">
        <v>0.302685747864663</v>
      </c>
      <c r="E2704" s="0" t="n">
        <v>0.0567437464969393</v>
      </c>
      <c r="F2704" s="0" t="n">
        <v>0</v>
      </c>
      <c r="G2704" s="0" t="n">
        <v>2020</v>
      </c>
    </row>
    <row r="2705" customFormat="false" ht="15" hidden="false" customHeight="false" outlineLevel="0" collapsed="false">
      <c r="A2705" s="0" t="s">
        <v>260</v>
      </c>
      <c r="B2705" s="52" t="n">
        <v>44140</v>
      </c>
      <c r="C2705" s="54" t="s">
        <v>591</v>
      </c>
      <c r="D2705" s="0" t="n">
        <v>0.147985618822406</v>
      </c>
      <c r="E2705" s="0" t="n">
        <v>0.0471482754473282</v>
      </c>
      <c r="F2705" s="0" t="n">
        <v>0</v>
      </c>
      <c r="G2705" s="0" t="n">
        <v>2020</v>
      </c>
    </row>
    <row r="2706" customFormat="false" ht="15" hidden="false" customHeight="false" outlineLevel="0" collapsed="false">
      <c r="A2706" s="0" t="s">
        <v>260</v>
      </c>
      <c r="B2706" s="52" t="n">
        <v>44140</v>
      </c>
      <c r="C2706" s="54" t="s">
        <v>592</v>
      </c>
      <c r="D2706" s="0" t="n">
        <v>1</v>
      </c>
      <c r="E2706" s="0" t="n">
        <v>0</v>
      </c>
      <c r="F2706" s="0" t="n">
        <v>0</v>
      </c>
      <c r="G2706" s="0" t="n">
        <v>2020</v>
      </c>
    </row>
    <row r="2707" customFormat="false" ht="15" hidden="false" customHeight="false" outlineLevel="0" collapsed="false">
      <c r="A2707" s="0" t="s">
        <v>260</v>
      </c>
      <c r="B2707" s="52" t="n">
        <v>44141</v>
      </c>
      <c r="C2707" s="54" t="s">
        <v>590</v>
      </c>
      <c r="D2707" s="0" t="n">
        <v>0.269977917016179</v>
      </c>
      <c r="E2707" s="0" t="n">
        <v>0.11582741286915</v>
      </c>
      <c r="F2707" s="0" t="n">
        <v>0</v>
      </c>
      <c r="G2707" s="0" t="n">
        <v>2020</v>
      </c>
    </row>
    <row r="2708" customFormat="false" ht="15" hidden="false" customHeight="false" outlineLevel="0" collapsed="false">
      <c r="A2708" s="0" t="s">
        <v>260</v>
      </c>
      <c r="B2708" s="52" t="n">
        <v>44141</v>
      </c>
      <c r="C2708" s="54" t="s">
        <v>591</v>
      </c>
      <c r="D2708" s="0" t="n">
        <v>0.23550794457928</v>
      </c>
      <c r="E2708" s="0" t="n">
        <v>0.0643906973137168</v>
      </c>
      <c r="F2708" s="0" t="n">
        <v>0</v>
      </c>
      <c r="G2708" s="0" t="n">
        <v>2020</v>
      </c>
    </row>
    <row r="2709" customFormat="false" ht="15" hidden="false" customHeight="false" outlineLevel="0" collapsed="false">
      <c r="A2709" s="0" t="s">
        <v>260</v>
      </c>
      <c r="B2709" s="52" t="n">
        <v>44142</v>
      </c>
      <c r="C2709" s="54" t="s">
        <v>590</v>
      </c>
      <c r="D2709" s="0" t="n">
        <v>0.223459802717992</v>
      </c>
      <c r="E2709" s="0" t="n">
        <v>0.0873190448242021</v>
      </c>
      <c r="F2709" s="0" t="n">
        <v>1</v>
      </c>
      <c r="G2709" s="0" t="n">
        <v>2020</v>
      </c>
    </row>
    <row r="2710" customFormat="false" ht="15" hidden="false" customHeight="false" outlineLevel="0" collapsed="false">
      <c r="A2710" s="0" t="s">
        <v>260</v>
      </c>
      <c r="B2710" s="52" t="n">
        <v>44142</v>
      </c>
      <c r="C2710" s="54" t="s">
        <v>591</v>
      </c>
      <c r="D2710" s="0" t="n">
        <v>0.66511864608051</v>
      </c>
      <c r="E2710" s="0" t="n">
        <v>0.0143948282840947</v>
      </c>
      <c r="F2710" s="0" t="n">
        <v>1</v>
      </c>
      <c r="G2710" s="0" t="n">
        <v>2020</v>
      </c>
    </row>
    <row r="2711" customFormat="false" ht="15" hidden="false" customHeight="false" outlineLevel="0" collapsed="false">
      <c r="A2711" s="0" t="s">
        <v>260</v>
      </c>
      <c r="B2711" s="52" t="n">
        <v>44142</v>
      </c>
      <c r="C2711" s="54" t="s">
        <v>592</v>
      </c>
      <c r="D2711" s="0" t="n">
        <v>1</v>
      </c>
      <c r="E2711" s="0" t="n">
        <v>0</v>
      </c>
      <c r="F2711" s="0" t="n">
        <v>1</v>
      </c>
      <c r="G2711" s="0" t="n">
        <v>2020</v>
      </c>
    </row>
    <row r="2712" customFormat="false" ht="15" hidden="false" customHeight="false" outlineLevel="0" collapsed="false">
      <c r="A2712" s="0" t="s">
        <v>260</v>
      </c>
      <c r="B2712" s="52" t="n">
        <v>44143</v>
      </c>
      <c r="C2712" s="54" t="s">
        <v>590</v>
      </c>
      <c r="D2712" s="0" t="n">
        <v>0.0514682010215843</v>
      </c>
      <c r="E2712" s="0" t="n">
        <v>0.101066039740414</v>
      </c>
      <c r="F2712" s="0" t="n">
        <v>1</v>
      </c>
      <c r="G2712" s="0" t="n">
        <v>2020</v>
      </c>
    </row>
    <row r="2713" customFormat="false" ht="15" hidden="false" customHeight="false" outlineLevel="0" collapsed="false">
      <c r="A2713" s="0" t="s">
        <v>260</v>
      </c>
      <c r="B2713" s="52" t="n">
        <v>44143</v>
      </c>
      <c r="C2713" s="54" t="s">
        <v>591</v>
      </c>
      <c r="D2713" s="0" t="n">
        <v>0.0094147236307102</v>
      </c>
      <c r="E2713" s="0" t="n">
        <v>0.0820821358165599</v>
      </c>
      <c r="F2713" s="0" t="n">
        <v>1</v>
      </c>
      <c r="G2713" s="0" t="n">
        <v>2020</v>
      </c>
    </row>
    <row r="2714" customFormat="false" ht="15" hidden="false" customHeight="false" outlineLevel="0" collapsed="false">
      <c r="A2714" s="0" t="s">
        <v>260</v>
      </c>
      <c r="B2714" s="52" t="n">
        <v>44143</v>
      </c>
      <c r="C2714" s="54" t="s">
        <v>592</v>
      </c>
      <c r="D2714" s="0" t="n">
        <v>0.995210306600117</v>
      </c>
      <c r="E2714" s="0" t="n">
        <v>0.0027227802104544</v>
      </c>
      <c r="F2714" s="0" t="n">
        <v>1</v>
      </c>
      <c r="G2714" s="0" t="n">
        <v>2020</v>
      </c>
    </row>
    <row r="2715" customFormat="false" ht="15" hidden="false" customHeight="false" outlineLevel="0" collapsed="false">
      <c r="A2715" s="0" t="s">
        <v>260</v>
      </c>
      <c r="B2715" s="52" t="n">
        <v>44144</v>
      </c>
      <c r="C2715" s="54" t="s">
        <v>590</v>
      </c>
      <c r="D2715" s="0" t="n">
        <v>0.0209296881402978</v>
      </c>
      <c r="E2715" s="0" t="n">
        <v>0.0821541115375194</v>
      </c>
      <c r="F2715" s="0" t="n">
        <v>0</v>
      </c>
      <c r="G2715" s="0" t="n">
        <v>2020</v>
      </c>
    </row>
    <row r="2716" customFormat="false" ht="15" hidden="false" customHeight="false" outlineLevel="0" collapsed="false">
      <c r="A2716" s="0" t="s">
        <v>260</v>
      </c>
      <c r="B2716" s="52" t="n">
        <v>44144</v>
      </c>
      <c r="C2716" s="54" t="s">
        <v>591</v>
      </c>
      <c r="D2716" s="0" t="n">
        <v>0.177811621439061</v>
      </c>
      <c r="E2716" s="0" t="n">
        <v>0.0518560958096672</v>
      </c>
      <c r="F2716" s="0" t="n">
        <v>0</v>
      </c>
      <c r="G2716" s="0" t="n">
        <v>2020</v>
      </c>
    </row>
    <row r="2717" customFormat="false" ht="15" hidden="false" customHeight="false" outlineLevel="0" collapsed="false">
      <c r="A2717" s="0" t="s">
        <v>260</v>
      </c>
      <c r="B2717" s="52" t="n">
        <v>44144</v>
      </c>
      <c r="C2717" s="54" t="s">
        <v>592</v>
      </c>
      <c r="D2717" s="0" t="n">
        <v>1</v>
      </c>
      <c r="E2717" s="0" t="n">
        <v>0</v>
      </c>
      <c r="F2717" s="0" t="n">
        <v>0</v>
      </c>
      <c r="G2717" s="0" t="n">
        <v>2020</v>
      </c>
    </row>
    <row r="2718" customFormat="false" ht="15" hidden="false" customHeight="false" outlineLevel="0" collapsed="false">
      <c r="A2718" s="0" t="s">
        <v>260</v>
      </c>
      <c r="B2718" s="52" t="n">
        <v>44145</v>
      </c>
      <c r="C2718" s="54" t="s">
        <v>590</v>
      </c>
      <c r="D2718" s="0" t="n">
        <v>0.136664869209342</v>
      </c>
      <c r="E2718" s="0" t="n">
        <v>0.203259566154108</v>
      </c>
      <c r="F2718" s="0" t="n">
        <v>0</v>
      </c>
      <c r="G2718" s="0" t="n">
        <v>2020</v>
      </c>
    </row>
    <row r="2719" customFormat="false" ht="15" hidden="false" customHeight="false" outlineLevel="0" collapsed="false">
      <c r="A2719" s="0" t="s">
        <v>260</v>
      </c>
      <c r="B2719" s="52" t="n">
        <v>44145</v>
      </c>
      <c r="C2719" s="54" t="s">
        <v>591</v>
      </c>
      <c r="D2719" s="0" t="n">
        <v>0.266489906492797</v>
      </c>
      <c r="E2719" s="0" t="n">
        <v>0.11295581019987</v>
      </c>
      <c r="F2719" s="0" t="n">
        <v>0</v>
      </c>
      <c r="G2719" s="0" t="n">
        <v>2020</v>
      </c>
    </row>
    <row r="2720" customFormat="false" ht="15" hidden="false" customHeight="false" outlineLevel="0" collapsed="false">
      <c r="A2720" s="0" t="s">
        <v>260</v>
      </c>
      <c r="B2720" s="52" t="n">
        <v>44145</v>
      </c>
      <c r="C2720" s="54" t="s">
        <v>592</v>
      </c>
      <c r="D2720" s="0" t="n">
        <v>1</v>
      </c>
      <c r="E2720" s="0" t="n">
        <v>0</v>
      </c>
      <c r="F2720" s="0" t="n">
        <v>0</v>
      </c>
      <c r="G2720" s="0" t="n">
        <v>2020</v>
      </c>
    </row>
    <row r="2721" customFormat="false" ht="15" hidden="false" customHeight="false" outlineLevel="0" collapsed="false">
      <c r="A2721" s="0" t="s">
        <v>260</v>
      </c>
      <c r="B2721" s="52" t="n">
        <v>44146</v>
      </c>
      <c r="C2721" s="54" t="s">
        <v>590</v>
      </c>
      <c r="D2721" s="0" t="n">
        <v>0.462951806573985</v>
      </c>
      <c r="E2721" s="0" t="n">
        <v>0.141711742531588</v>
      </c>
      <c r="F2721" s="0" t="n">
        <v>0</v>
      </c>
      <c r="G2721" s="0" t="n">
        <v>2020</v>
      </c>
    </row>
    <row r="2722" customFormat="false" ht="15" hidden="false" customHeight="false" outlineLevel="0" collapsed="false">
      <c r="A2722" s="0" t="s">
        <v>260</v>
      </c>
      <c r="B2722" s="52" t="n">
        <v>44146</v>
      </c>
      <c r="C2722" s="54" t="s">
        <v>591</v>
      </c>
      <c r="D2722" s="0" t="n">
        <v>0.0160038823597418</v>
      </c>
      <c r="E2722" s="0" t="n">
        <v>0.0630190974508327</v>
      </c>
      <c r="F2722" s="0" t="n">
        <v>0</v>
      </c>
      <c r="G2722" s="0" t="n">
        <v>2020</v>
      </c>
    </row>
    <row r="2723" customFormat="false" ht="15" hidden="false" customHeight="false" outlineLevel="0" collapsed="false">
      <c r="A2723" s="0" t="s">
        <v>260</v>
      </c>
      <c r="B2723" s="52" t="n">
        <v>44146</v>
      </c>
      <c r="C2723" s="54" t="s">
        <v>592</v>
      </c>
      <c r="D2723" s="0" t="n">
        <v>0.743840789609956</v>
      </c>
      <c r="E2723" s="0" t="n">
        <v>0.09635143898185</v>
      </c>
      <c r="F2723" s="0" t="n">
        <v>0</v>
      </c>
      <c r="G2723" s="0" t="n">
        <v>2020</v>
      </c>
    </row>
    <row r="2724" customFormat="false" ht="15" hidden="false" customHeight="false" outlineLevel="0" collapsed="false">
      <c r="A2724" s="0" t="s">
        <v>260</v>
      </c>
      <c r="B2724" s="52" t="n">
        <v>44147</v>
      </c>
      <c r="C2724" s="54" t="s">
        <v>590</v>
      </c>
      <c r="D2724" s="0" t="n">
        <v>0.446465135561546</v>
      </c>
      <c r="E2724" s="0" t="n">
        <v>0.108064857302163</v>
      </c>
      <c r="F2724" s="0" t="n">
        <v>0</v>
      </c>
      <c r="G2724" s="0" t="n">
        <v>2020</v>
      </c>
    </row>
    <row r="2725" customFormat="false" ht="15" hidden="false" customHeight="false" outlineLevel="0" collapsed="false">
      <c r="A2725" s="0" t="s">
        <v>260</v>
      </c>
      <c r="B2725" s="52" t="n">
        <v>44147</v>
      </c>
      <c r="C2725" s="54" t="s">
        <v>591</v>
      </c>
      <c r="D2725" s="0" t="n">
        <v>0</v>
      </c>
      <c r="E2725" s="0" t="n">
        <v>0.132646276862546</v>
      </c>
      <c r="F2725" s="0" t="n">
        <v>0</v>
      </c>
      <c r="G2725" s="0" t="n">
        <v>2020</v>
      </c>
    </row>
    <row r="2726" customFormat="false" ht="15" hidden="false" customHeight="false" outlineLevel="0" collapsed="false">
      <c r="A2726" s="0" t="s">
        <v>260</v>
      </c>
      <c r="B2726" s="52" t="n">
        <v>44147</v>
      </c>
      <c r="C2726" s="54" t="s">
        <v>592</v>
      </c>
      <c r="D2726" s="0" t="n">
        <v>0.148588437551082</v>
      </c>
      <c r="E2726" s="0" t="n">
        <v>0.851411562448918</v>
      </c>
      <c r="F2726" s="0" t="n">
        <v>0</v>
      </c>
      <c r="G2726" s="0" t="n">
        <v>2020</v>
      </c>
    </row>
    <row r="2727" customFormat="false" ht="15" hidden="false" customHeight="false" outlineLevel="0" collapsed="false">
      <c r="A2727" s="0" t="s">
        <v>260</v>
      </c>
      <c r="B2727" s="52" t="n">
        <v>44148</v>
      </c>
      <c r="C2727" s="54" t="s">
        <v>590</v>
      </c>
      <c r="D2727" s="0" t="n">
        <v>0.197495678781488</v>
      </c>
      <c r="E2727" s="0" t="n">
        <v>0.185563287551828</v>
      </c>
      <c r="F2727" s="0" t="n">
        <v>0</v>
      </c>
      <c r="G2727" s="0" t="n">
        <v>2020</v>
      </c>
    </row>
    <row r="2728" customFormat="false" ht="15" hidden="false" customHeight="false" outlineLevel="0" collapsed="false">
      <c r="A2728" s="0" t="s">
        <v>260</v>
      </c>
      <c r="B2728" s="52" t="n">
        <v>44148</v>
      </c>
      <c r="C2728" s="54" t="s">
        <v>591</v>
      </c>
      <c r="D2728" s="0" t="n">
        <v>0.385573048272877</v>
      </c>
      <c r="E2728" s="0" t="n">
        <v>0.0911365437558251</v>
      </c>
      <c r="F2728" s="0" t="n">
        <v>0</v>
      </c>
      <c r="G2728" s="0" t="n">
        <v>2020</v>
      </c>
    </row>
    <row r="2729" customFormat="false" ht="15" hidden="false" customHeight="false" outlineLevel="0" collapsed="false">
      <c r="A2729" s="0" t="s">
        <v>260</v>
      </c>
      <c r="B2729" s="52" t="n">
        <v>44148</v>
      </c>
      <c r="C2729" s="54" t="s">
        <v>592</v>
      </c>
      <c r="D2729" s="0" t="n">
        <v>1</v>
      </c>
      <c r="E2729" s="0" t="n">
        <v>0</v>
      </c>
      <c r="F2729" s="0" t="n">
        <v>0</v>
      </c>
      <c r="G2729" s="0" t="n">
        <v>2020</v>
      </c>
    </row>
    <row r="2730" customFormat="false" ht="15" hidden="false" customHeight="false" outlineLevel="0" collapsed="false">
      <c r="A2730" s="0" t="s">
        <v>260</v>
      </c>
      <c r="B2730" s="52" t="n">
        <v>44149</v>
      </c>
      <c r="C2730" s="54" t="s">
        <v>590</v>
      </c>
      <c r="D2730" s="0" t="n">
        <v>0.500558900349389</v>
      </c>
      <c r="E2730" s="0" t="n">
        <v>0.10189730686464</v>
      </c>
      <c r="F2730" s="0" t="n">
        <v>1</v>
      </c>
      <c r="G2730" s="0" t="n">
        <v>2020</v>
      </c>
    </row>
    <row r="2731" customFormat="false" ht="15" hidden="false" customHeight="false" outlineLevel="0" collapsed="false">
      <c r="A2731" s="0" t="s">
        <v>260</v>
      </c>
      <c r="B2731" s="52" t="n">
        <v>44149</v>
      </c>
      <c r="C2731" s="54" t="s">
        <v>591</v>
      </c>
      <c r="D2731" s="0" t="n">
        <v>0.116910811502788</v>
      </c>
      <c r="E2731" s="0" t="n">
        <v>0.118013141749194</v>
      </c>
      <c r="F2731" s="0" t="n">
        <v>1</v>
      </c>
      <c r="G2731" s="0" t="n">
        <v>2020</v>
      </c>
    </row>
    <row r="2732" customFormat="false" ht="15" hidden="false" customHeight="false" outlineLevel="0" collapsed="false">
      <c r="A2732" s="0" t="s">
        <v>260</v>
      </c>
      <c r="B2732" s="52" t="n">
        <v>44149</v>
      </c>
      <c r="C2732" s="54" t="s">
        <v>592</v>
      </c>
      <c r="D2732" s="0" t="n">
        <v>1</v>
      </c>
      <c r="E2732" s="0" t="n">
        <v>0</v>
      </c>
      <c r="F2732" s="0" t="n">
        <v>1</v>
      </c>
      <c r="G2732" s="0" t="n">
        <v>2020</v>
      </c>
    </row>
    <row r="2733" customFormat="false" ht="15" hidden="false" customHeight="false" outlineLevel="0" collapsed="false">
      <c r="A2733" s="0" t="s">
        <v>260</v>
      </c>
      <c r="B2733" s="52" t="n">
        <v>44150</v>
      </c>
      <c r="C2733" s="54" t="s">
        <v>590</v>
      </c>
      <c r="D2733" s="0" t="n">
        <v>0.308298467255218</v>
      </c>
      <c r="E2733" s="0" t="n">
        <v>0.184982148802263</v>
      </c>
      <c r="F2733" s="0" t="n">
        <v>1</v>
      </c>
      <c r="G2733" s="0" t="n">
        <v>2020</v>
      </c>
    </row>
    <row r="2734" customFormat="false" ht="15" hidden="false" customHeight="false" outlineLevel="0" collapsed="false">
      <c r="A2734" s="0" t="s">
        <v>260</v>
      </c>
      <c r="B2734" s="52" t="n">
        <v>44150</v>
      </c>
      <c r="C2734" s="54" t="s">
        <v>591</v>
      </c>
      <c r="D2734" s="0" t="n">
        <v>0.0205497860107772</v>
      </c>
      <c r="E2734" s="0" t="n">
        <v>0.21162303675478</v>
      </c>
      <c r="F2734" s="0" t="n">
        <v>1</v>
      </c>
      <c r="G2734" s="0" t="n">
        <v>2020</v>
      </c>
    </row>
    <row r="2735" customFormat="false" ht="15" hidden="false" customHeight="false" outlineLevel="0" collapsed="false">
      <c r="A2735" s="0" t="s">
        <v>260</v>
      </c>
      <c r="B2735" s="52" t="n">
        <v>44150</v>
      </c>
      <c r="C2735" s="54" t="s">
        <v>592</v>
      </c>
      <c r="D2735" s="0" t="n">
        <v>0.886306261496</v>
      </c>
      <c r="E2735" s="0" t="n">
        <v>0.0146730316873503</v>
      </c>
      <c r="F2735" s="0" t="n">
        <v>1</v>
      </c>
      <c r="G2735" s="0" t="n">
        <v>2020</v>
      </c>
    </row>
    <row r="2736" customFormat="false" ht="15" hidden="false" customHeight="false" outlineLevel="0" collapsed="false">
      <c r="A2736" s="0" t="s">
        <v>260</v>
      </c>
      <c r="B2736" s="52" t="n">
        <v>44151</v>
      </c>
      <c r="C2736" s="54" t="s">
        <v>590</v>
      </c>
      <c r="D2736" s="0" t="n">
        <v>0.0086868250748358</v>
      </c>
      <c r="E2736" s="0" t="n">
        <v>0.233102361907239</v>
      </c>
      <c r="F2736" s="0" t="n">
        <v>0</v>
      </c>
      <c r="G2736" s="0" t="n">
        <v>2020</v>
      </c>
    </row>
    <row r="2737" customFormat="false" ht="15" hidden="false" customHeight="false" outlineLevel="0" collapsed="false">
      <c r="A2737" s="0" t="s">
        <v>260</v>
      </c>
      <c r="B2737" s="52" t="n">
        <v>44151</v>
      </c>
      <c r="C2737" s="54" t="s">
        <v>591</v>
      </c>
      <c r="D2737" s="0" t="n">
        <v>0.0917793467474546</v>
      </c>
      <c r="E2737" s="0" t="n">
        <v>0.04630157766793</v>
      </c>
      <c r="F2737" s="0" t="n">
        <v>0</v>
      </c>
      <c r="G2737" s="0" t="n">
        <v>2020</v>
      </c>
    </row>
    <row r="2738" customFormat="false" ht="15" hidden="false" customHeight="false" outlineLevel="0" collapsed="false">
      <c r="A2738" s="0" t="s">
        <v>260</v>
      </c>
      <c r="B2738" s="52" t="n">
        <v>44151</v>
      </c>
      <c r="C2738" s="54" t="s">
        <v>592</v>
      </c>
      <c r="D2738" s="0" t="n">
        <v>1</v>
      </c>
      <c r="E2738" s="0" t="n">
        <v>0</v>
      </c>
      <c r="F2738" s="0" t="n">
        <v>0</v>
      </c>
      <c r="G2738" s="0" t="n">
        <v>2020</v>
      </c>
    </row>
    <row r="2739" customFormat="false" ht="15" hidden="false" customHeight="false" outlineLevel="0" collapsed="false">
      <c r="A2739" s="0" t="s">
        <v>260</v>
      </c>
      <c r="B2739" s="52" t="n">
        <v>44152</v>
      </c>
      <c r="C2739" s="54" t="s">
        <v>590</v>
      </c>
      <c r="D2739" s="0" t="n">
        <v>0.460009759038666</v>
      </c>
      <c r="E2739" s="0" t="n">
        <v>0.0577798742518486</v>
      </c>
      <c r="F2739" s="0" t="n">
        <v>0</v>
      </c>
      <c r="G2739" s="0" t="n">
        <v>2020</v>
      </c>
    </row>
    <row r="2740" customFormat="false" ht="15" hidden="false" customHeight="false" outlineLevel="0" collapsed="false">
      <c r="A2740" s="0" t="s">
        <v>260</v>
      </c>
      <c r="B2740" s="52" t="n">
        <v>44152</v>
      </c>
      <c r="C2740" s="54" t="s">
        <v>591</v>
      </c>
      <c r="D2740" s="0" t="n">
        <v>0.0709133347098258</v>
      </c>
      <c r="E2740" s="0" t="n">
        <v>0.143571072740959</v>
      </c>
      <c r="F2740" s="0" t="n">
        <v>0</v>
      </c>
      <c r="G2740" s="0" t="n">
        <v>2020</v>
      </c>
    </row>
    <row r="2741" customFormat="false" ht="15" hidden="false" customHeight="false" outlineLevel="0" collapsed="false">
      <c r="A2741" s="0" t="s">
        <v>260</v>
      </c>
      <c r="B2741" s="52" t="n">
        <v>44152</v>
      </c>
      <c r="C2741" s="54" t="s">
        <v>592</v>
      </c>
      <c r="D2741" s="0" t="n">
        <v>1</v>
      </c>
      <c r="E2741" s="0" t="n">
        <v>0</v>
      </c>
      <c r="F2741" s="0" t="n">
        <v>0</v>
      </c>
      <c r="G2741" s="0" t="n">
        <v>2020</v>
      </c>
    </row>
    <row r="2742" customFormat="false" ht="15" hidden="false" customHeight="false" outlineLevel="0" collapsed="false">
      <c r="A2742" s="0" t="s">
        <v>260</v>
      </c>
      <c r="B2742" s="52" t="n">
        <v>44153</v>
      </c>
      <c r="C2742" s="54" t="s">
        <v>590</v>
      </c>
      <c r="D2742" s="0" t="n">
        <v>0.0193226515199766</v>
      </c>
      <c r="E2742" s="0" t="n">
        <v>0.057930752664464</v>
      </c>
      <c r="F2742" s="0" t="n">
        <v>0</v>
      </c>
      <c r="G2742" s="0" t="n">
        <v>2020</v>
      </c>
    </row>
    <row r="2743" customFormat="false" ht="15" hidden="false" customHeight="false" outlineLevel="0" collapsed="false">
      <c r="A2743" s="0" t="s">
        <v>260</v>
      </c>
      <c r="B2743" s="52" t="n">
        <v>44153</v>
      </c>
      <c r="C2743" s="54" t="s">
        <v>591</v>
      </c>
      <c r="D2743" s="0" t="n">
        <v>0.0566869944554426</v>
      </c>
      <c r="E2743" s="0" t="n">
        <v>0.101084764529961</v>
      </c>
      <c r="F2743" s="0" t="n">
        <v>0</v>
      </c>
      <c r="G2743" s="0" t="n">
        <v>2020</v>
      </c>
    </row>
    <row r="2744" customFormat="false" ht="15" hidden="false" customHeight="false" outlineLevel="0" collapsed="false">
      <c r="A2744" s="0" t="s">
        <v>260</v>
      </c>
      <c r="B2744" s="52" t="n">
        <v>44153</v>
      </c>
      <c r="C2744" s="54" t="s">
        <v>592</v>
      </c>
      <c r="D2744" s="0" t="n">
        <v>1</v>
      </c>
      <c r="E2744" s="0" t="n">
        <v>0</v>
      </c>
      <c r="F2744" s="0" t="n">
        <v>0</v>
      </c>
      <c r="G2744" s="0" t="n">
        <v>2020</v>
      </c>
    </row>
    <row r="2745" customFormat="false" ht="15" hidden="false" customHeight="false" outlineLevel="0" collapsed="false">
      <c r="A2745" s="0" t="s">
        <v>260</v>
      </c>
      <c r="B2745" s="52" t="n">
        <v>44154</v>
      </c>
      <c r="C2745" s="54" t="s">
        <v>590</v>
      </c>
      <c r="D2745" s="0" t="n">
        <v>0.35982823326524</v>
      </c>
      <c r="E2745" s="0" t="n">
        <v>0.0973951361109732</v>
      </c>
      <c r="F2745" s="0" t="n">
        <v>0</v>
      </c>
      <c r="G2745" s="0" t="n">
        <v>2020</v>
      </c>
    </row>
    <row r="2746" customFormat="false" ht="15" hidden="false" customHeight="false" outlineLevel="0" collapsed="false">
      <c r="A2746" s="0" t="s">
        <v>260</v>
      </c>
      <c r="B2746" s="52" t="n">
        <v>44154</v>
      </c>
      <c r="C2746" s="54" t="s">
        <v>591</v>
      </c>
      <c r="D2746" s="0" t="n">
        <v>0.180744571573743</v>
      </c>
      <c r="E2746" s="0" t="n">
        <v>0.314343048964467</v>
      </c>
      <c r="F2746" s="0" t="n">
        <v>0</v>
      </c>
      <c r="G2746" s="0" t="n">
        <v>2020</v>
      </c>
    </row>
    <row r="2747" customFormat="false" ht="15" hidden="false" customHeight="false" outlineLevel="0" collapsed="false">
      <c r="A2747" s="0" t="s">
        <v>260</v>
      </c>
      <c r="B2747" s="52" t="n">
        <v>44155</v>
      </c>
      <c r="C2747" s="54" t="s">
        <v>590</v>
      </c>
      <c r="D2747" s="0" t="n">
        <v>0.569938925815601</v>
      </c>
      <c r="E2747" s="0" t="n">
        <v>0.0626540741076081</v>
      </c>
      <c r="F2747" s="0" t="n">
        <v>0</v>
      </c>
      <c r="G2747" s="0" t="n">
        <v>2020</v>
      </c>
    </row>
    <row r="2748" customFormat="false" ht="15" hidden="false" customHeight="false" outlineLevel="0" collapsed="false">
      <c r="A2748" s="0" t="s">
        <v>260</v>
      </c>
      <c r="B2748" s="52" t="n">
        <v>44155</v>
      </c>
      <c r="C2748" s="54" t="s">
        <v>591</v>
      </c>
      <c r="D2748" s="0" t="n">
        <v>0.0927640072143204</v>
      </c>
      <c r="E2748" s="0" t="n">
        <v>0.209811186319524</v>
      </c>
      <c r="F2748" s="0" t="n">
        <v>0</v>
      </c>
      <c r="G2748" s="0" t="n">
        <v>2020</v>
      </c>
    </row>
    <row r="2749" customFormat="false" ht="15" hidden="false" customHeight="false" outlineLevel="0" collapsed="false">
      <c r="A2749" s="0" t="s">
        <v>260</v>
      </c>
      <c r="B2749" s="52" t="n">
        <v>44155</v>
      </c>
      <c r="C2749" s="54" t="s">
        <v>592</v>
      </c>
      <c r="D2749" s="0" t="n">
        <v>1</v>
      </c>
      <c r="E2749" s="0" t="n">
        <v>0</v>
      </c>
      <c r="F2749" s="0" t="n">
        <v>0</v>
      </c>
      <c r="G2749" s="0" t="n">
        <v>2020</v>
      </c>
    </row>
    <row r="2750" customFormat="false" ht="15" hidden="false" customHeight="false" outlineLevel="0" collapsed="false">
      <c r="A2750" s="0" t="s">
        <v>260</v>
      </c>
      <c r="B2750" s="52" t="n">
        <v>44156</v>
      </c>
      <c r="C2750" s="54" t="s">
        <v>590</v>
      </c>
      <c r="D2750" s="0" t="n">
        <v>0.391422572574159</v>
      </c>
      <c r="E2750" s="0" t="n">
        <v>0.0720893413392885</v>
      </c>
      <c r="F2750" s="0" t="n">
        <v>1</v>
      </c>
      <c r="G2750" s="0" t="n">
        <v>2020</v>
      </c>
    </row>
    <row r="2751" customFormat="false" ht="15" hidden="false" customHeight="false" outlineLevel="0" collapsed="false">
      <c r="A2751" s="0" t="s">
        <v>260</v>
      </c>
      <c r="B2751" s="52" t="n">
        <v>44156</v>
      </c>
      <c r="C2751" s="54" t="s">
        <v>591</v>
      </c>
      <c r="D2751" s="0" t="n">
        <v>0.389293541699333</v>
      </c>
      <c r="E2751" s="0" t="n">
        <v>0.0689848835926293</v>
      </c>
      <c r="F2751" s="0" t="n">
        <v>1</v>
      </c>
      <c r="G2751" s="0" t="n">
        <v>2020</v>
      </c>
    </row>
    <row r="2752" customFormat="false" ht="15" hidden="false" customHeight="false" outlineLevel="0" collapsed="false">
      <c r="A2752" s="0" t="s">
        <v>260</v>
      </c>
      <c r="B2752" s="52" t="n">
        <v>44157</v>
      </c>
      <c r="C2752" s="54" t="s">
        <v>590</v>
      </c>
      <c r="D2752" s="0" t="n">
        <v>0.593065850312874</v>
      </c>
      <c r="E2752" s="0" t="n">
        <v>0.0801631136025093</v>
      </c>
      <c r="F2752" s="0" t="n">
        <v>1</v>
      </c>
      <c r="G2752" s="0" t="n">
        <v>2020</v>
      </c>
    </row>
    <row r="2753" customFormat="false" ht="15" hidden="false" customHeight="false" outlineLevel="0" collapsed="false">
      <c r="A2753" s="0" t="s">
        <v>260</v>
      </c>
      <c r="B2753" s="52" t="n">
        <v>44157</v>
      </c>
      <c r="C2753" s="54" t="s">
        <v>591</v>
      </c>
      <c r="D2753" s="0" t="n">
        <v>0.0591236002723254</v>
      </c>
      <c r="E2753" s="0" t="n">
        <v>0.124854710141788</v>
      </c>
      <c r="F2753" s="0" t="n">
        <v>1</v>
      </c>
      <c r="G2753" s="0" t="n">
        <v>2020</v>
      </c>
    </row>
    <row r="2754" customFormat="false" ht="15" hidden="false" customHeight="false" outlineLevel="0" collapsed="false">
      <c r="A2754" s="0" t="s">
        <v>260</v>
      </c>
      <c r="B2754" s="52" t="n">
        <v>44157</v>
      </c>
      <c r="C2754" s="54" t="s">
        <v>592</v>
      </c>
      <c r="D2754" s="0" t="n">
        <v>0.410157382123062</v>
      </c>
      <c r="E2754" s="0" t="n">
        <v>0.589842617876938</v>
      </c>
      <c r="F2754" s="0" t="n">
        <v>1</v>
      </c>
      <c r="G2754" s="0" t="n">
        <v>2020</v>
      </c>
    </row>
    <row r="2755" customFormat="false" ht="15" hidden="false" customHeight="false" outlineLevel="0" collapsed="false">
      <c r="A2755" s="0" t="s">
        <v>260</v>
      </c>
      <c r="B2755" s="52" t="n">
        <v>44158</v>
      </c>
      <c r="C2755" s="54" t="s">
        <v>590</v>
      </c>
      <c r="D2755" s="0" t="n">
        <v>0.0386398310661943</v>
      </c>
      <c r="E2755" s="0" t="n">
        <v>0.171134446968787</v>
      </c>
      <c r="F2755" s="0" t="n">
        <v>0</v>
      </c>
      <c r="G2755" s="0" t="n">
        <v>2020</v>
      </c>
    </row>
    <row r="2756" customFormat="false" ht="15" hidden="false" customHeight="false" outlineLevel="0" collapsed="false">
      <c r="A2756" s="0" t="s">
        <v>260</v>
      </c>
      <c r="B2756" s="52" t="n">
        <v>44158</v>
      </c>
      <c r="C2756" s="54" t="s">
        <v>591</v>
      </c>
      <c r="D2756" s="0" t="n">
        <v>0.109364521693088</v>
      </c>
      <c r="E2756" s="0" t="n">
        <v>0.254951536801605</v>
      </c>
      <c r="F2756" s="0" t="n">
        <v>0</v>
      </c>
      <c r="G2756" s="0" t="n">
        <v>2020</v>
      </c>
    </row>
    <row r="2757" customFormat="false" ht="15" hidden="false" customHeight="false" outlineLevel="0" collapsed="false">
      <c r="A2757" s="0" t="s">
        <v>260</v>
      </c>
      <c r="B2757" s="52" t="n">
        <v>44158</v>
      </c>
      <c r="C2757" s="54" t="s">
        <v>592</v>
      </c>
      <c r="D2757" s="0" t="n">
        <v>1</v>
      </c>
      <c r="E2757" s="0" t="n">
        <v>0</v>
      </c>
      <c r="F2757" s="0" t="n">
        <v>0</v>
      </c>
      <c r="G2757" s="0" t="n">
        <v>2020</v>
      </c>
    </row>
    <row r="2758" customFormat="false" ht="15" hidden="false" customHeight="false" outlineLevel="0" collapsed="false">
      <c r="A2758" s="0" t="s">
        <v>260</v>
      </c>
      <c r="B2758" s="52" t="n">
        <v>44159</v>
      </c>
      <c r="C2758" s="54" t="s">
        <v>590</v>
      </c>
      <c r="D2758" s="0" t="n">
        <v>0.0944495919896623</v>
      </c>
      <c r="E2758" s="0" t="n">
        <v>0.184097760503765</v>
      </c>
      <c r="F2758" s="0" t="n">
        <v>0</v>
      </c>
      <c r="G2758" s="0" t="n">
        <v>2020</v>
      </c>
    </row>
    <row r="2759" customFormat="false" ht="15" hidden="false" customHeight="false" outlineLevel="0" collapsed="false">
      <c r="A2759" s="0" t="s">
        <v>260</v>
      </c>
      <c r="B2759" s="52" t="n">
        <v>44159</v>
      </c>
      <c r="C2759" s="54" t="s">
        <v>591</v>
      </c>
      <c r="D2759" s="0" t="n">
        <v>0.136830906596535</v>
      </c>
      <c r="E2759" s="0" t="n">
        <v>0.123665333622407</v>
      </c>
      <c r="F2759" s="0" t="n">
        <v>0</v>
      </c>
      <c r="G2759" s="0" t="n">
        <v>2020</v>
      </c>
    </row>
    <row r="2760" customFormat="false" ht="15" hidden="false" customHeight="false" outlineLevel="0" collapsed="false">
      <c r="A2760" s="0" t="s">
        <v>260</v>
      </c>
      <c r="B2760" s="52" t="n">
        <v>44159</v>
      </c>
      <c r="C2760" s="54" t="s">
        <v>592</v>
      </c>
      <c r="D2760" s="0" t="n">
        <v>1</v>
      </c>
      <c r="E2760" s="0" t="n">
        <v>0</v>
      </c>
      <c r="F2760" s="0" t="n">
        <v>0</v>
      </c>
      <c r="G2760" s="0" t="n">
        <v>2020</v>
      </c>
    </row>
    <row r="2761" customFormat="false" ht="15" hidden="false" customHeight="false" outlineLevel="0" collapsed="false">
      <c r="A2761" s="0" t="s">
        <v>260</v>
      </c>
      <c r="B2761" s="52" t="n">
        <v>44160</v>
      </c>
      <c r="C2761" s="54" t="s">
        <v>590</v>
      </c>
      <c r="D2761" s="0" t="n">
        <v>0.351813932342484</v>
      </c>
      <c r="E2761" s="0" t="n">
        <v>0.100461552121445</v>
      </c>
      <c r="F2761" s="0" t="n">
        <v>0</v>
      </c>
      <c r="G2761" s="0" t="n">
        <v>2020</v>
      </c>
    </row>
    <row r="2762" customFormat="false" ht="15" hidden="false" customHeight="false" outlineLevel="0" collapsed="false">
      <c r="A2762" s="0" t="s">
        <v>260</v>
      </c>
      <c r="B2762" s="52" t="n">
        <v>44160</v>
      </c>
      <c r="C2762" s="54" t="s">
        <v>591</v>
      </c>
      <c r="D2762" s="0" t="n">
        <v>0.201264055501261</v>
      </c>
      <c r="E2762" s="0" t="n">
        <v>0.0250328641009019</v>
      </c>
      <c r="F2762" s="0" t="n">
        <v>0</v>
      </c>
      <c r="G2762" s="0" t="n">
        <v>2020</v>
      </c>
    </row>
    <row r="2763" customFormat="false" ht="15" hidden="false" customHeight="false" outlineLevel="0" collapsed="false">
      <c r="A2763" s="0" t="s">
        <v>260</v>
      </c>
      <c r="B2763" s="52" t="n">
        <v>44160</v>
      </c>
      <c r="C2763" s="54" t="s">
        <v>592</v>
      </c>
      <c r="D2763" s="0" t="n">
        <v>0.702523913820227</v>
      </c>
      <c r="E2763" s="0" t="n">
        <v>0.230218941842123</v>
      </c>
      <c r="F2763" s="0" t="n">
        <v>0</v>
      </c>
      <c r="G2763" s="0" t="n">
        <v>2020</v>
      </c>
    </row>
    <row r="2764" customFormat="false" ht="15" hidden="false" customHeight="false" outlineLevel="0" collapsed="false">
      <c r="A2764" s="0" t="s">
        <v>260</v>
      </c>
      <c r="B2764" s="52" t="n">
        <v>44161</v>
      </c>
      <c r="C2764" s="54" t="s">
        <v>590</v>
      </c>
      <c r="D2764" s="0" t="n">
        <v>0.348283304409932</v>
      </c>
      <c r="E2764" s="0" t="n">
        <v>0.114149021127161</v>
      </c>
      <c r="F2764" s="0" t="n">
        <v>0</v>
      </c>
      <c r="G2764" s="0" t="n">
        <v>2020</v>
      </c>
    </row>
    <row r="2765" customFormat="false" ht="15" hidden="false" customHeight="false" outlineLevel="0" collapsed="false">
      <c r="A2765" s="0" t="s">
        <v>260</v>
      </c>
      <c r="B2765" s="52" t="n">
        <v>44161</v>
      </c>
      <c r="C2765" s="54" t="s">
        <v>591</v>
      </c>
      <c r="D2765" s="0" t="n">
        <v>0.313148734009798</v>
      </c>
      <c r="E2765" s="0" t="n">
        <v>0.113198417667509</v>
      </c>
      <c r="F2765" s="0" t="n">
        <v>0</v>
      </c>
      <c r="G2765" s="0" t="n">
        <v>2020</v>
      </c>
    </row>
    <row r="2766" customFormat="false" ht="15" hidden="false" customHeight="false" outlineLevel="0" collapsed="false">
      <c r="A2766" s="0" t="s">
        <v>260</v>
      </c>
      <c r="B2766" s="52" t="n">
        <v>44161</v>
      </c>
      <c r="C2766" s="54" t="s">
        <v>592</v>
      </c>
      <c r="D2766" s="0" t="n">
        <v>1</v>
      </c>
      <c r="E2766" s="0" t="n">
        <v>0</v>
      </c>
      <c r="F2766" s="0" t="n">
        <v>0</v>
      </c>
      <c r="G2766" s="0" t="n">
        <v>2020</v>
      </c>
    </row>
    <row r="2767" customFormat="false" ht="15" hidden="false" customHeight="false" outlineLevel="0" collapsed="false">
      <c r="A2767" s="0" t="s">
        <v>260</v>
      </c>
      <c r="B2767" s="52" t="n">
        <v>44162</v>
      </c>
      <c r="C2767" s="54" t="s">
        <v>590</v>
      </c>
      <c r="D2767" s="0" t="n">
        <v>0.64017589882817</v>
      </c>
      <c r="E2767" s="0" t="n">
        <v>0.0314865577901045</v>
      </c>
      <c r="F2767" s="0" t="n">
        <v>0</v>
      </c>
      <c r="G2767" s="0" t="n">
        <v>2020</v>
      </c>
    </row>
    <row r="2768" customFormat="false" ht="15" hidden="false" customHeight="false" outlineLevel="0" collapsed="false">
      <c r="A2768" s="0" t="s">
        <v>260</v>
      </c>
      <c r="B2768" s="52" t="n">
        <v>44162</v>
      </c>
      <c r="C2768" s="54" t="s">
        <v>591</v>
      </c>
      <c r="D2768" s="0" t="n">
        <v>0.119648590251187</v>
      </c>
      <c r="E2768" s="0" t="n">
        <v>0.144011140500099</v>
      </c>
      <c r="F2768" s="0" t="n">
        <v>0</v>
      </c>
      <c r="G2768" s="0" t="n">
        <v>2020</v>
      </c>
    </row>
    <row r="2769" customFormat="false" ht="15" hidden="false" customHeight="false" outlineLevel="0" collapsed="false">
      <c r="A2769" s="0" t="s">
        <v>260</v>
      </c>
      <c r="B2769" s="52" t="n">
        <v>44162</v>
      </c>
      <c r="C2769" s="54" t="s">
        <v>592</v>
      </c>
      <c r="D2769" s="0" t="n">
        <v>1</v>
      </c>
      <c r="E2769" s="0" t="n">
        <v>0</v>
      </c>
      <c r="F2769" s="0" t="n">
        <v>0</v>
      </c>
      <c r="G2769" s="0" t="n">
        <v>2020</v>
      </c>
    </row>
    <row r="2770" customFormat="false" ht="15" hidden="false" customHeight="false" outlineLevel="0" collapsed="false">
      <c r="A2770" s="0" t="s">
        <v>260</v>
      </c>
      <c r="B2770" s="52" t="n">
        <v>44163</v>
      </c>
      <c r="C2770" s="54" t="s">
        <v>590</v>
      </c>
      <c r="D2770" s="0" t="n">
        <v>0.532914635797216</v>
      </c>
      <c r="E2770" s="0" t="n">
        <v>0.0499849710814914</v>
      </c>
      <c r="F2770" s="0" t="n">
        <v>1</v>
      </c>
      <c r="G2770" s="0" t="n">
        <v>2020</v>
      </c>
    </row>
    <row r="2771" customFormat="false" ht="15" hidden="false" customHeight="false" outlineLevel="0" collapsed="false">
      <c r="A2771" s="0" t="s">
        <v>260</v>
      </c>
      <c r="B2771" s="52" t="n">
        <v>44163</v>
      </c>
      <c r="C2771" s="54" t="s">
        <v>591</v>
      </c>
      <c r="D2771" s="0" t="n">
        <v>0.0399139874030093</v>
      </c>
      <c r="E2771" s="0" t="n">
        <v>0.12759642667384</v>
      </c>
      <c r="F2771" s="0" t="n">
        <v>1</v>
      </c>
      <c r="G2771" s="0" t="n">
        <v>2020</v>
      </c>
    </row>
    <row r="2772" customFormat="false" ht="15" hidden="false" customHeight="false" outlineLevel="0" collapsed="false">
      <c r="A2772" s="0" t="s">
        <v>260</v>
      </c>
      <c r="B2772" s="52" t="n">
        <v>44163</v>
      </c>
      <c r="C2772" s="54" t="s">
        <v>592</v>
      </c>
      <c r="D2772" s="0" t="n">
        <v>1</v>
      </c>
      <c r="E2772" s="0" t="n">
        <v>0</v>
      </c>
      <c r="F2772" s="0" t="n">
        <v>1</v>
      </c>
      <c r="G2772" s="0" t="n">
        <v>2020</v>
      </c>
    </row>
    <row r="2773" customFormat="false" ht="15" hidden="false" customHeight="false" outlineLevel="0" collapsed="false">
      <c r="A2773" s="0" t="s">
        <v>260</v>
      </c>
      <c r="B2773" s="52" t="n">
        <v>44164</v>
      </c>
      <c r="C2773" s="54" t="s">
        <v>590</v>
      </c>
      <c r="D2773" s="0" t="n">
        <v>0.0137836872184322</v>
      </c>
      <c r="E2773" s="0" t="n">
        <v>0.180189515127678</v>
      </c>
      <c r="F2773" s="0" t="n">
        <v>1</v>
      </c>
      <c r="G2773" s="0" t="n">
        <v>2020</v>
      </c>
    </row>
    <row r="2774" customFormat="false" ht="15" hidden="false" customHeight="false" outlineLevel="0" collapsed="false">
      <c r="A2774" s="0" t="s">
        <v>260</v>
      </c>
      <c r="B2774" s="52" t="n">
        <v>44164</v>
      </c>
      <c r="C2774" s="54" t="s">
        <v>591</v>
      </c>
      <c r="D2774" s="0" t="n">
        <v>0.0054031818878133</v>
      </c>
      <c r="E2774" s="0" t="n">
        <v>0.0927983171729488</v>
      </c>
      <c r="F2774" s="0" t="n">
        <v>1</v>
      </c>
      <c r="G2774" s="0" t="n">
        <v>2020</v>
      </c>
    </row>
    <row r="2775" customFormat="false" ht="15" hidden="false" customHeight="false" outlineLevel="0" collapsed="false">
      <c r="A2775" s="0" t="s">
        <v>260</v>
      </c>
      <c r="B2775" s="52" t="n">
        <v>44164</v>
      </c>
      <c r="C2775" s="54" t="s">
        <v>592</v>
      </c>
      <c r="D2775" s="0" t="n">
        <v>0.858789518816662</v>
      </c>
      <c r="E2775" s="0" t="n">
        <v>0.022548594965168</v>
      </c>
      <c r="F2775" s="0" t="n">
        <v>1</v>
      </c>
      <c r="G2775" s="0" t="n">
        <v>2020</v>
      </c>
    </row>
    <row r="2776" customFormat="false" ht="15" hidden="false" customHeight="false" outlineLevel="0" collapsed="false">
      <c r="A2776" s="0" t="s">
        <v>260</v>
      </c>
      <c r="B2776" s="52" t="n">
        <v>44165</v>
      </c>
      <c r="C2776" s="54" t="s">
        <v>590</v>
      </c>
      <c r="D2776" s="0" t="n">
        <v>0.0287312592694296</v>
      </c>
      <c r="E2776" s="0" t="n">
        <v>0.0918398885156434</v>
      </c>
      <c r="F2776" s="0" t="n">
        <v>0</v>
      </c>
      <c r="G2776" s="0" t="n">
        <v>2020</v>
      </c>
    </row>
    <row r="2777" customFormat="false" ht="15" hidden="false" customHeight="false" outlineLevel="0" collapsed="false">
      <c r="A2777" s="0" t="s">
        <v>260</v>
      </c>
      <c r="B2777" s="52" t="n">
        <v>44165</v>
      </c>
      <c r="C2777" s="54" t="s">
        <v>591</v>
      </c>
      <c r="D2777" s="0" t="n">
        <v>0.795203818389794</v>
      </c>
      <c r="E2777" s="0" t="n">
        <v>0.126896930111792</v>
      </c>
      <c r="F2777" s="0" t="n">
        <v>0</v>
      </c>
      <c r="G2777" s="0" t="n">
        <v>2020</v>
      </c>
    </row>
    <row r="2778" customFormat="false" ht="15" hidden="false" customHeight="false" outlineLevel="0" collapsed="false">
      <c r="A2778" s="0" t="s">
        <v>260</v>
      </c>
      <c r="B2778" s="52" t="n">
        <v>44166</v>
      </c>
      <c r="C2778" s="54" t="s">
        <v>590</v>
      </c>
      <c r="D2778" s="0" t="n">
        <v>0.54961274717681</v>
      </c>
      <c r="E2778" s="0" t="n">
        <v>0.0700237105542665</v>
      </c>
      <c r="F2778" s="0" t="n">
        <v>0</v>
      </c>
      <c r="G2778" s="0" t="n">
        <v>2020</v>
      </c>
    </row>
    <row r="2779" customFormat="false" ht="15" hidden="false" customHeight="false" outlineLevel="0" collapsed="false">
      <c r="A2779" s="0" t="s">
        <v>260</v>
      </c>
      <c r="B2779" s="52" t="n">
        <v>44166</v>
      </c>
      <c r="C2779" s="54" t="s">
        <v>591</v>
      </c>
      <c r="D2779" s="0" t="n">
        <v>0.112607378284024</v>
      </c>
      <c r="E2779" s="0" t="n">
        <v>0.0589413013201137</v>
      </c>
      <c r="F2779" s="0" t="n">
        <v>0</v>
      </c>
      <c r="G2779" s="0" t="n">
        <v>2020</v>
      </c>
    </row>
    <row r="2780" customFormat="false" ht="15" hidden="false" customHeight="false" outlineLevel="0" collapsed="false">
      <c r="A2780" s="0" t="s">
        <v>260</v>
      </c>
      <c r="B2780" s="52" t="n">
        <v>44166</v>
      </c>
      <c r="C2780" s="54" t="s">
        <v>592</v>
      </c>
      <c r="D2780" s="0" t="n">
        <v>1</v>
      </c>
      <c r="E2780" s="0" t="n">
        <v>0</v>
      </c>
      <c r="F2780" s="0" t="n">
        <v>0</v>
      </c>
      <c r="G2780" s="0" t="n">
        <v>2020</v>
      </c>
    </row>
    <row r="2781" customFormat="false" ht="15" hidden="false" customHeight="false" outlineLevel="0" collapsed="false">
      <c r="A2781" s="0" t="s">
        <v>260</v>
      </c>
      <c r="B2781" s="52" t="n">
        <v>44167</v>
      </c>
      <c r="C2781" s="54" t="s">
        <v>590</v>
      </c>
      <c r="D2781" s="0" t="n">
        <v>0.333041584322553</v>
      </c>
      <c r="E2781" s="0" t="n">
        <v>0.0867144226168922</v>
      </c>
      <c r="F2781" s="0" t="n">
        <v>0</v>
      </c>
      <c r="G2781" s="0" t="n">
        <v>2020</v>
      </c>
    </row>
    <row r="2782" customFormat="false" ht="15" hidden="false" customHeight="false" outlineLevel="0" collapsed="false">
      <c r="A2782" s="0" t="s">
        <v>260</v>
      </c>
      <c r="B2782" s="52" t="n">
        <v>44167</v>
      </c>
      <c r="C2782" s="54" t="s">
        <v>591</v>
      </c>
      <c r="D2782" s="0" t="n">
        <v>0.126653115911924</v>
      </c>
      <c r="E2782" s="0" t="n">
        <v>0.0741497118659348</v>
      </c>
      <c r="F2782" s="0" t="n">
        <v>0</v>
      </c>
      <c r="G2782" s="0" t="n">
        <v>2020</v>
      </c>
    </row>
    <row r="2783" customFormat="false" ht="15" hidden="false" customHeight="false" outlineLevel="0" collapsed="false">
      <c r="A2783" s="0" t="s">
        <v>260</v>
      </c>
      <c r="B2783" s="52" t="n">
        <v>44167</v>
      </c>
      <c r="C2783" s="54" t="s">
        <v>592</v>
      </c>
      <c r="D2783" s="0" t="n">
        <v>1</v>
      </c>
      <c r="E2783" s="0" t="n">
        <v>0</v>
      </c>
      <c r="F2783" s="0" t="n">
        <v>0</v>
      </c>
      <c r="G2783" s="0" t="n">
        <v>2020</v>
      </c>
    </row>
    <row r="2784" customFormat="false" ht="15" hidden="false" customHeight="false" outlineLevel="0" collapsed="false">
      <c r="A2784" s="0" t="s">
        <v>260</v>
      </c>
      <c r="B2784" s="52" t="n">
        <v>44168</v>
      </c>
      <c r="C2784" s="54" t="s">
        <v>590</v>
      </c>
      <c r="D2784" s="0" t="n">
        <v>0.385016746762706</v>
      </c>
      <c r="E2784" s="0" t="n">
        <v>0.0731861137528142</v>
      </c>
      <c r="F2784" s="0" t="n">
        <v>0</v>
      </c>
      <c r="G2784" s="0" t="n">
        <v>2020</v>
      </c>
    </row>
    <row r="2785" customFormat="false" ht="15" hidden="false" customHeight="false" outlineLevel="0" collapsed="false">
      <c r="A2785" s="0" t="s">
        <v>260</v>
      </c>
      <c r="B2785" s="52" t="n">
        <v>44168</v>
      </c>
      <c r="C2785" s="54" t="s">
        <v>591</v>
      </c>
      <c r="D2785" s="0" t="n">
        <v>0.115095460576374</v>
      </c>
      <c r="E2785" s="0" t="n">
        <v>0.0667041600109031</v>
      </c>
      <c r="F2785" s="0" t="n">
        <v>0</v>
      </c>
      <c r="G2785" s="0" t="n">
        <v>2020</v>
      </c>
    </row>
    <row r="2786" customFormat="false" ht="15" hidden="false" customHeight="false" outlineLevel="0" collapsed="false">
      <c r="A2786" s="0" t="s">
        <v>260</v>
      </c>
      <c r="B2786" s="52" t="n">
        <v>44169</v>
      </c>
      <c r="C2786" s="54" t="s">
        <v>590</v>
      </c>
      <c r="D2786" s="0" t="n">
        <v>0.324075307358265</v>
      </c>
      <c r="E2786" s="0" t="n">
        <v>0.0916303081538516</v>
      </c>
      <c r="F2786" s="0" t="n">
        <v>0</v>
      </c>
      <c r="G2786" s="0" t="n">
        <v>2020</v>
      </c>
    </row>
    <row r="2787" customFormat="false" ht="15" hidden="false" customHeight="false" outlineLevel="0" collapsed="false">
      <c r="A2787" s="0" t="s">
        <v>260</v>
      </c>
      <c r="B2787" s="52" t="n">
        <v>44169</v>
      </c>
      <c r="C2787" s="54" t="s">
        <v>591</v>
      </c>
      <c r="D2787" s="0" t="n">
        <v>0.391702426036685</v>
      </c>
      <c r="E2787" s="0" t="n">
        <v>0.0841339856237347</v>
      </c>
      <c r="F2787" s="0" t="n">
        <v>0</v>
      </c>
      <c r="G2787" s="0" t="n">
        <v>2020</v>
      </c>
    </row>
    <row r="2788" customFormat="false" ht="15" hidden="false" customHeight="false" outlineLevel="0" collapsed="false">
      <c r="A2788" s="0" t="s">
        <v>260</v>
      </c>
      <c r="B2788" s="52" t="n">
        <v>44169</v>
      </c>
      <c r="C2788" s="54" t="s">
        <v>592</v>
      </c>
      <c r="D2788" s="0" t="n">
        <v>1</v>
      </c>
      <c r="E2788" s="0" t="n">
        <v>0</v>
      </c>
      <c r="F2788" s="0" t="n">
        <v>0</v>
      </c>
      <c r="G2788" s="0" t="n">
        <v>2020</v>
      </c>
    </row>
    <row r="2789" customFormat="false" ht="15" hidden="false" customHeight="false" outlineLevel="0" collapsed="false">
      <c r="A2789" s="0" t="s">
        <v>260</v>
      </c>
      <c r="B2789" s="52" t="n">
        <v>44170</v>
      </c>
      <c r="C2789" s="54" t="s">
        <v>590</v>
      </c>
      <c r="D2789" s="0" t="n">
        <v>0.499928043307567</v>
      </c>
      <c r="E2789" s="0" t="n">
        <v>0.064459709679828</v>
      </c>
      <c r="F2789" s="0" t="n">
        <v>1</v>
      </c>
      <c r="G2789" s="0" t="n">
        <v>2020</v>
      </c>
    </row>
    <row r="2790" customFormat="false" ht="15" hidden="false" customHeight="false" outlineLevel="0" collapsed="false">
      <c r="A2790" s="0" t="s">
        <v>260</v>
      </c>
      <c r="B2790" s="52" t="n">
        <v>44170</v>
      </c>
      <c r="C2790" s="54" t="s">
        <v>591</v>
      </c>
      <c r="D2790" s="0" t="n">
        <v>0.196740748516624</v>
      </c>
      <c r="E2790" s="0" t="n">
        <v>0.263679351347951</v>
      </c>
      <c r="F2790" s="0" t="n">
        <v>1</v>
      </c>
      <c r="G2790" s="0" t="n">
        <v>2020</v>
      </c>
    </row>
    <row r="2791" customFormat="false" ht="15" hidden="false" customHeight="false" outlineLevel="0" collapsed="false">
      <c r="A2791" s="0" t="s">
        <v>260</v>
      </c>
      <c r="B2791" s="52" t="n">
        <v>44170</v>
      </c>
      <c r="C2791" s="54" t="s">
        <v>592</v>
      </c>
      <c r="D2791" s="0" t="n">
        <v>1</v>
      </c>
      <c r="E2791" s="0" t="n">
        <v>0</v>
      </c>
      <c r="F2791" s="0" t="n">
        <v>1</v>
      </c>
      <c r="G2791" s="0" t="n">
        <v>2020</v>
      </c>
    </row>
    <row r="2792" customFormat="false" ht="15" hidden="false" customHeight="false" outlineLevel="0" collapsed="false">
      <c r="A2792" s="0" t="s">
        <v>260</v>
      </c>
      <c r="B2792" s="52" t="n">
        <v>44171</v>
      </c>
      <c r="C2792" s="54" t="s">
        <v>590</v>
      </c>
      <c r="D2792" s="0" t="n">
        <v>0.0261588258757492</v>
      </c>
      <c r="E2792" s="0" t="n">
        <v>0.0922635822262556</v>
      </c>
      <c r="F2792" s="0" t="n">
        <v>1</v>
      </c>
      <c r="G2792" s="0" t="n">
        <v>2020</v>
      </c>
    </row>
    <row r="2793" customFormat="false" ht="15" hidden="false" customHeight="false" outlineLevel="0" collapsed="false">
      <c r="A2793" s="0" t="s">
        <v>260</v>
      </c>
      <c r="B2793" s="52" t="n">
        <v>44171</v>
      </c>
      <c r="C2793" s="54" t="s">
        <v>591</v>
      </c>
      <c r="D2793" s="0" t="n">
        <v>0.179621304191054</v>
      </c>
      <c r="E2793" s="0" t="n">
        <v>0.134050192211529</v>
      </c>
      <c r="F2793" s="0" t="n">
        <v>1</v>
      </c>
      <c r="G2793" s="0" t="n">
        <v>2020</v>
      </c>
    </row>
    <row r="2794" customFormat="false" ht="15" hidden="false" customHeight="false" outlineLevel="0" collapsed="false">
      <c r="A2794" s="0" t="s">
        <v>260</v>
      </c>
      <c r="B2794" s="52" t="n">
        <v>44171</v>
      </c>
      <c r="C2794" s="54" t="s">
        <v>592</v>
      </c>
      <c r="D2794" s="0" t="n">
        <v>1</v>
      </c>
      <c r="E2794" s="0" t="n">
        <v>0</v>
      </c>
      <c r="F2794" s="0" t="n">
        <v>1</v>
      </c>
      <c r="G2794" s="0" t="n">
        <v>2020</v>
      </c>
    </row>
    <row r="2795" customFormat="false" ht="15" hidden="false" customHeight="false" outlineLevel="0" collapsed="false">
      <c r="A2795" s="0" t="s">
        <v>260</v>
      </c>
      <c r="B2795" s="52" t="n">
        <v>44172</v>
      </c>
      <c r="C2795" s="54" t="s">
        <v>590</v>
      </c>
      <c r="D2795" s="0" t="n">
        <v>0.014591702859869</v>
      </c>
      <c r="E2795" s="0" t="n">
        <v>0.144717742015742</v>
      </c>
      <c r="F2795" s="0" t="n">
        <v>0</v>
      </c>
      <c r="G2795" s="0" t="n">
        <v>2020</v>
      </c>
    </row>
    <row r="2796" customFormat="false" ht="15" hidden="false" customHeight="false" outlineLevel="0" collapsed="false">
      <c r="A2796" s="0" t="s">
        <v>260</v>
      </c>
      <c r="B2796" s="52" t="n">
        <v>44172</v>
      </c>
      <c r="C2796" s="54" t="s">
        <v>591</v>
      </c>
      <c r="D2796" s="0" t="n">
        <v>0.0688969358457247</v>
      </c>
      <c r="E2796" s="0" t="n">
        <v>0.051050511073852</v>
      </c>
      <c r="F2796" s="0" t="n">
        <v>0</v>
      </c>
      <c r="G2796" s="0" t="n">
        <v>2020</v>
      </c>
    </row>
    <row r="2797" customFormat="false" ht="15" hidden="false" customHeight="false" outlineLevel="0" collapsed="false">
      <c r="A2797" s="0" t="s">
        <v>260</v>
      </c>
      <c r="B2797" s="52" t="n">
        <v>44172</v>
      </c>
      <c r="C2797" s="54" t="s">
        <v>592</v>
      </c>
      <c r="D2797" s="0" t="n">
        <v>1</v>
      </c>
      <c r="E2797" s="0" t="n">
        <v>0</v>
      </c>
      <c r="F2797" s="0" t="n">
        <v>0</v>
      </c>
      <c r="G2797" s="0" t="n">
        <v>2020</v>
      </c>
    </row>
    <row r="2798" customFormat="false" ht="15" hidden="false" customHeight="false" outlineLevel="0" collapsed="false">
      <c r="A2798" s="0" t="s">
        <v>260</v>
      </c>
      <c r="B2798" s="52" t="n">
        <v>44173</v>
      </c>
      <c r="C2798" s="54" t="s">
        <v>590</v>
      </c>
      <c r="D2798" s="0" t="n">
        <v>0.116393574294046</v>
      </c>
      <c r="E2798" s="0" t="n">
        <v>0.171427211575694</v>
      </c>
      <c r="F2798" s="0" t="n">
        <v>0</v>
      </c>
      <c r="G2798" s="0" t="n">
        <v>2020</v>
      </c>
    </row>
    <row r="2799" customFormat="false" ht="15" hidden="false" customHeight="false" outlineLevel="0" collapsed="false">
      <c r="A2799" s="0" t="s">
        <v>260</v>
      </c>
      <c r="B2799" s="52" t="n">
        <v>44173</v>
      </c>
      <c r="C2799" s="54" t="s">
        <v>591</v>
      </c>
      <c r="D2799" s="0" t="n">
        <v>0.186779066218422</v>
      </c>
      <c r="E2799" s="0" t="n">
        <v>0.111522744368164</v>
      </c>
      <c r="F2799" s="0" t="n">
        <v>0</v>
      </c>
      <c r="G2799" s="0" t="n">
        <v>2020</v>
      </c>
    </row>
    <row r="2800" customFormat="false" ht="15" hidden="false" customHeight="false" outlineLevel="0" collapsed="false">
      <c r="A2800" s="0" t="s">
        <v>260</v>
      </c>
      <c r="B2800" s="52" t="n">
        <v>44174</v>
      </c>
      <c r="C2800" s="54" t="s">
        <v>590</v>
      </c>
      <c r="D2800" s="0" t="n">
        <v>0.424929440004788</v>
      </c>
      <c r="E2800" s="0" t="n">
        <v>0.0785619260440392</v>
      </c>
      <c r="F2800" s="0" t="n">
        <v>0</v>
      </c>
      <c r="G2800" s="0" t="n">
        <v>2020</v>
      </c>
    </row>
    <row r="2801" customFormat="false" ht="15" hidden="false" customHeight="false" outlineLevel="0" collapsed="false">
      <c r="A2801" s="0" t="s">
        <v>260</v>
      </c>
      <c r="B2801" s="52" t="n">
        <v>44174</v>
      </c>
      <c r="C2801" s="54" t="s">
        <v>591</v>
      </c>
      <c r="D2801" s="0" t="n">
        <v>0.0678821560505484</v>
      </c>
      <c r="E2801" s="0" t="n">
        <v>0.0711155802849624</v>
      </c>
      <c r="F2801" s="0" t="n">
        <v>0</v>
      </c>
      <c r="G2801" s="0" t="n">
        <v>2020</v>
      </c>
    </row>
    <row r="2802" customFormat="false" ht="15" hidden="false" customHeight="false" outlineLevel="0" collapsed="false">
      <c r="A2802" s="0" t="s">
        <v>260</v>
      </c>
      <c r="B2802" s="52" t="n">
        <v>44174</v>
      </c>
      <c r="C2802" s="54" t="s">
        <v>592</v>
      </c>
      <c r="D2802" s="0" t="n">
        <v>1</v>
      </c>
      <c r="E2802" s="0" t="n">
        <v>0</v>
      </c>
      <c r="F2802" s="0" t="n">
        <v>0</v>
      </c>
      <c r="G2802" s="0" t="n">
        <v>2020</v>
      </c>
    </row>
    <row r="2803" customFormat="false" ht="15" hidden="false" customHeight="false" outlineLevel="0" collapsed="false">
      <c r="A2803" s="0" t="s">
        <v>260</v>
      </c>
      <c r="B2803" s="52" t="n">
        <v>44175</v>
      </c>
      <c r="C2803" s="54" t="s">
        <v>590</v>
      </c>
      <c r="D2803" s="0" t="n">
        <v>0.022674384374954</v>
      </c>
      <c r="E2803" s="0" t="n">
        <v>0.158949842520034</v>
      </c>
      <c r="F2803" s="0" t="n">
        <v>0</v>
      </c>
      <c r="G2803" s="0" t="n">
        <v>2020</v>
      </c>
    </row>
    <row r="2804" customFormat="false" ht="15" hidden="false" customHeight="false" outlineLevel="0" collapsed="false">
      <c r="A2804" s="0" t="s">
        <v>260</v>
      </c>
      <c r="B2804" s="52" t="n">
        <v>44175</v>
      </c>
      <c r="C2804" s="54" t="s">
        <v>591</v>
      </c>
      <c r="D2804" s="0" t="n">
        <v>0.0505330271217049</v>
      </c>
      <c r="E2804" s="0" t="n">
        <v>0.116767238356546</v>
      </c>
      <c r="F2804" s="0" t="n">
        <v>0</v>
      </c>
      <c r="G2804" s="0" t="n">
        <v>2020</v>
      </c>
    </row>
    <row r="2805" customFormat="false" ht="15" hidden="false" customHeight="false" outlineLevel="0" collapsed="false">
      <c r="A2805" s="0" t="s">
        <v>260</v>
      </c>
      <c r="B2805" s="52" t="n">
        <v>44175</v>
      </c>
      <c r="C2805" s="54" t="s">
        <v>592</v>
      </c>
      <c r="D2805" s="0" t="n">
        <v>1</v>
      </c>
      <c r="E2805" s="0" t="n">
        <v>0</v>
      </c>
      <c r="F2805" s="0" t="n">
        <v>0</v>
      </c>
      <c r="G2805" s="0" t="n">
        <v>2020</v>
      </c>
    </row>
    <row r="2806" customFormat="false" ht="15" hidden="false" customHeight="false" outlineLevel="0" collapsed="false">
      <c r="A2806" s="0" t="s">
        <v>260</v>
      </c>
      <c r="B2806" s="52" t="n">
        <v>44176</v>
      </c>
      <c r="C2806" s="54" t="s">
        <v>590</v>
      </c>
      <c r="D2806" s="0" t="n">
        <v>0.0459035344691491</v>
      </c>
      <c r="E2806" s="0" t="n">
        <v>0.136559238085396</v>
      </c>
      <c r="F2806" s="0" t="n">
        <v>0</v>
      </c>
      <c r="G2806" s="0" t="n">
        <v>2020</v>
      </c>
    </row>
    <row r="2807" customFormat="false" ht="15" hidden="false" customHeight="false" outlineLevel="0" collapsed="false">
      <c r="A2807" s="0" t="s">
        <v>260</v>
      </c>
      <c r="B2807" s="52" t="n">
        <v>44176</v>
      </c>
      <c r="C2807" s="54" t="s">
        <v>591</v>
      </c>
      <c r="D2807" s="0" t="n">
        <v>0.521107529210892</v>
      </c>
      <c r="E2807" s="0" t="n">
        <v>0.0227076617270422</v>
      </c>
      <c r="F2807" s="0" t="n">
        <v>0</v>
      </c>
      <c r="G2807" s="0" t="n">
        <v>2020</v>
      </c>
    </row>
    <row r="2808" customFormat="false" ht="15" hidden="false" customHeight="false" outlineLevel="0" collapsed="false">
      <c r="A2808" s="0" t="s">
        <v>260</v>
      </c>
      <c r="B2808" s="52" t="n">
        <v>44177</v>
      </c>
      <c r="C2808" s="54" t="s">
        <v>590</v>
      </c>
      <c r="D2808" s="0" t="n">
        <v>0.638831668534912</v>
      </c>
      <c r="E2808" s="0" t="n">
        <v>0.0655651534852367</v>
      </c>
      <c r="F2808" s="0" t="n">
        <v>1</v>
      </c>
      <c r="G2808" s="0" t="n">
        <v>2020</v>
      </c>
    </row>
    <row r="2809" customFormat="false" ht="15" hidden="false" customHeight="false" outlineLevel="0" collapsed="false">
      <c r="A2809" s="0" t="s">
        <v>260</v>
      </c>
      <c r="B2809" s="52" t="n">
        <v>44177</v>
      </c>
      <c r="C2809" s="54" t="s">
        <v>591</v>
      </c>
      <c r="D2809" s="0" t="n">
        <v>0.14666780614949</v>
      </c>
      <c r="E2809" s="0" t="n">
        <v>0.102719389358107</v>
      </c>
      <c r="F2809" s="0" t="n">
        <v>1</v>
      </c>
      <c r="G2809" s="0" t="n">
        <v>2020</v>
      </c>
    </row>
    <row r="2810" customFormat="false" ht="15" hidden="false" customHeight="false" outlineLevel="0" collapsed="false">
      <c r="A2810" s="0" t="s">
        <v>260</v>
      </c>
      <c r="B2810" s="52" t="n">
        <v>44177</v>
      </c>
      <c r="C2810" s="54" t="s">
        <v>592</v>
      </c>
      <c r="D2810" s="0" t="n">
        <v>1</v>
      </c>
      <c r="E2810" s="0" t="n">
        <v>0</v>
      </c>
      <c r="F2810" s="0" t="n">
        <v>1</v>
      </c>
      <c r="G2810" s="0" t="n">
        <v>2020</v>
      </c>
    </row>
    <row r="2811" customFormat="false" ht="15" hidden="false" customHeight="false" outlineLevel="0" collapsed="false">
      <c r="A2811" s="0" t="s">
        <v>260</v>
      </c>
      <c r="B2811" s="52" t="n">
        <v>44178</v>
      </c>
      <c r="C2811" s="54" t="s">
        <v>590</v>
      </c>
      <c r="D2811" s="0" t="n">
        <v>0.021830299219229</v>
      </c>
      <c r="E2811" s="0" t="n">
        <v>0.0918312254799434</v>
      </c>
      <c r="F2811" s="0" t="n">
        <v>1</v>
      </c>
      <c r="G2811" s="0" t="n">
        <v>2020</v>
      </c>
    </row>
    <row r="2812" customFormat="false" ht="15" hidden="false" customHeight="false" outlineLevel="0" collapsed="false">
      <c r="A2812" s="0" t="s">
        <v>260</v>
      </c>
      <c r="B2812" s="52" t="n">
        <v>44178</v>
      </c>
      <c r="C2812" s="54" t="s">
        <v>591</v>
      </c>
      <c r="D2812" s="0" t="n">
        <v>0.133488388297861</v>
      </c>
      <c r="E2812" s="0" t="n">
        <v>0.045292330860751</v>
      </c>
      <c r="F2812" s="0" t="n">
        <v>1</v>
      </c>
      <c r="G2812" s="0" t="n">
        <v>2020</v>
      </c>
    </row>
    <row r="2813" customFormat="false" ht="15" hidden="false" customHeight="false" outlineLevel="0" collapsed="false">
      <c r="A2813" s="0" t="s">
        <v>260</v>
      </c>
      <c r="B2813" s="52" t="n">
        <v>44178</v>
      </c>
      <c r="C2813" s="54" t="s">
        <v>592</v>
      </c>
      <c r="D2813" s="0" t="n">
        <v>1</v>
      </c>
      <c r="E2813" s="0" t="n">
        <v>0</v>
      </c>
      <c r="F2813" s="0" t="n">
        <v>1</v>
      </c>
      <c r="G2813" s="0" t="n">
        <v>2020</v>
      </c>
    </row>
    <row r="2814" customFormat="false" ht="15" hidden="false" customHeight="false" outlineLevel="0" collapsed="false">
      <c r="A2814" s="0" t="s">
        <v>260</v>
      </c>
      <c r="B2814" s="52" t="n">
        <v>44179</v>
      </c>
      <c r="C2814" s="54" t="s">
        <v>590</v>
      </c>
      <c r="D2814" s="0" t="n">
        <v>0.0322826005723468</v>
      </c>
      <c r="E2814" s="0" t="n">
        <v>0.110607112145127</v>
      </c>
      <c r="F2814" s="0" t="n">
        <v>0</v>
      </c>
      <c r="G2814" s="0" t="n">
        <v>2020</v>
      </c>
    </row>
    <row r="2815" customFormat="false" ht="15" hidden="false" customHeight="false" outlineLevel="0" collapsed="false">
      <c r="A2815" s="0" t="s">
        <v>260</v>
      </c>
      <c r="B2815" s="52" t="n">
        <v>44179</v>
      </c>
      <c r="C2815" s="54" t="s">
        <v>591</v>
      </c>
      <c r="D2815" s="0" t="n">
        <v>0.259398030410805</v>
      </c>
      <c r="E2815" s="0" t="n">
        <v>0.109082017277492</v>
      </c>
      <c r="F2815" s="0" t="n">
        <v>0</v>
      </c>
      <c r="G2815" s="0" t="n">
        <v>2020</v>
      </c>
    </row>
    <row r="2816" customFormat="false" ht="15" hidden="false" customHeight="false" outlineLevel="0" collapsed="false">
      <c r="A2816" s="0" t="s">
        <v>260</v>
      </c>
      <c r="B2816" s="52" t="n">
        <v>44179</v>
      </c>
      <c r="C2816" s="54" t="s">
        <v>592</v>
      </c>
      <c r="D2816" s="0" t="n">
        <v>1</v>
      </c>
      <c r="E2816" s="0" t="n">
        <v>0</v>
      </c>
      <c r="F2816" s="0" t="n">
        <v>0</v>
      </c>
      <c r="G2816" s="0" t="n">
        <v>2020</v>
      </c>
    </row>
    <row r="2817" customFormat="false" ht="15" hidden="false" customHeight="false" outlineLevel="0" collapsed="false">
      <c r="A2817" s="0" t="s">
        <v>260</v>
      </c>
      <c r="B2817" s="52" t="n">
        <v>44180</v>
      </c>
      <c r="C2817" s="54" t="s">
        <v>590</v>
      </c>
      <c r="D2817" s="0" t="n">
        <v>0.555065850503208</v>
      </c>
      <c r="E2817" s="0" t="n">
        <v>0.0590119443989842</v>
      </c>
      <c r="F2817" s="0" t="n">
        <v>0</v>
      </c>
      <c r="G2817" s="0" t="n">
        <v>2020</v>
      </c>
    </row>
    <row r="2818" customFormat="false" ht="15" hidden="false" customHeight="false" outlineLevel="0" collapsed="false">
      <c r="A2818" s="0" t="s">
        <v>260</v>
      </c>
      <c r="B2818" s="52" t="n">
        <v>44180</v>
      </c>
      <c r="C2818" s="54" t="s">
        <v>591</v>
      </c>
      <c r="D2818" s="0" t="n">
        <v>0.222628414917049</v>
      </c>
      <c r="E2818" s="0" t="n">
        <v>0.109592833656011</v>
      </c>
      <c r="F2818" s="0" t="n">
        <v>0</v>
      </c>
      <c r="G2818" s="0" t="n">
        <v>2020</v>
      </c>
    </row>
    <row r="2819" customFormat="false" ht="15" hidden="false" customHeight="false" outlineLevel="0" collapsed="false">
      <c r="A2819" s="0" t="s">
        <v>260</v>
      </c>
      <c r="B2819" s="52" t="n">
        <v>44180</v>
      </c>
      <c r="C2819" s="54" t="s">
        <v>592</v>
      </c>
      <c r="D2819" s="0" t="n">
        <v>1</v>
      </c>
      <c r="E2819" s="0" t="n">
        <v>0</v>
      </c>
      <c r="F2819" s="0" t="n">
        <v>0</v>
      </c>
      <c r="G2819" s="0" t="n">
        <v>2020</v>
      </c>
    </row>
    <row r="2820" customFormat="false" ht="15" hidden="false" customHeight="false" outlineLevel="0" collapsed="false">
      <c r="A2820" s="0" t="s">
        <v>260</v>
      </c>
      <c r="B2820" s="52" t="n">
        <v>44181</v>
      </c>
      <c r="C2820" s="54" t="s">
        <v>590</v>
      </c>
      <c r="D2820" s="0" t="n">
        <v>0.0391231734744089</v>
      </c>
      <c r="E2820" s="0" t="n">
        <v>0.17642720924863</v>
      </c>
      <c r="F2820" s="0" t="n">
        <v>0</v>
      </c>
      <c r="G2820" s="0" t="n">
        <v>2020</v>
      </c>
    </row>
    <row r="2821" customFormat="false" ht="15" hidden="false" customHeight="false" outlineLevel="0" collapsed="false">
      <c r="A2821" s="0" t="s">
        <v>260</v>
      </c>
      <c r="B2821" s="52" t="n">
        <v>44181</v>
      </c>
      <c r="C2821" s="54" t="s">
        <v>591</v>
      </c>
      <c r="D2821" s="0" t="n">
        <v>0.083139645897975</v>
      </c>
      <c r="E2821" s="0" t="n">
        <v>0.0964126275480386</v>
      </c>
      <c r="F2821" s="0" t="n">
        <v>0</v>
      </c>
      <c r="G2821" s="0" t="n">
        <v>2020</v>
      </c>
    </row>
    <row r="2822" customFormat="false" ht="15" hidden="false" customHeight="false" outlineLevel="0" collapsed="false">
      <c r="A2822" s="0" t="s">
        <v>260</v>
      </c>
      <c r="B2822" s="52" t="n">
        <v>44182</v>
      </c>
      <c r="C2822" s="54" t="s">
        <v>590</v>
      </c>
      <c r="D2822" s="0" t="n">
        <v>0.483602953335651</v>
      </c>
      <c r="E2822" s="0" t="n">
        <v>0.0785160077213287</v>
      </c>
      <c r="F2822" s="0" t="n">
        <v>0</v>
      </c>
      <c r="G2822" s="0" t="n">
        <v>2020</v>
      </c>
    </row>
    <row r="2823" customFormat="false" ht="15" hidden="false" customHeight="false" outlineLevel="0" collapsed="false">
      <c r="A2823" s="0" t="s">
        <v>260</v>
      </c>
      <c r="B2823" s="52" t="n">
        <v>44182</v>
      </c>
      <c r="C2823" s="54" t="s">
        <v>591</v>
      </c>
      <c r="D2823" s="0" t="n">
        <v>0.212876781228231</v>
      </c>
      <c r="E2823" s="0" t="n">
        <v>0.0290797499677755</v>
      </c>
      <c r="F2823" s="0" t="n">
        <v>0</v>
      </c>
      <c r="G2823" s="0" t="n">
        <v>2020</v>
      </c>
    </row>
    <row r="2824" customFormat="false" ht="15" hidden="false" customHeight="false" outlineLevel="0" collapsed="false">
      <c r="A2824" s="0" t="s">
        <v>260</v>
      </c>
      <c r="B2824" s="52" t="n">
        <v>44182</v>
      </c>
      <c r="C2824" s="54" t="s">
        <v>592</v>
      </c>
      <c r="D2824" s="0" t="n">
        <v>1</v>
      </c>
      <c r="E2824" s="0" t="n">
        <v>0</v>
      </c>
      <c r="F2824" s="0" t="n">
        <v>0</v>
      </c>
      <c r="G2824" s="0" t="n">
        <v>2020</v>
      </c>
    </row>
    <row r="2825" customFormat="false" ht="15" hidden="false" customHeight="false" outlineLevel="0" collapsed="false">
      <c r="A2825" s="0" t="s">
        <v>260</v>
      </c>
      <c r="B2825" s="52" t="n">
        <v>44183</v>
      </c>
      <c r="C2825" s="54" t="s">
        <v>590</v>
      </c>
      <c r="D2825" s="0" t="n">
        <v>0.0519737460159012</v>
      </c>
      <c r="E2825" s="0" t="n">
        <v>0.0620573668236426</v>
      </c>
      <c r="F2825" s="0" t="n">
        <v>0</v>
      </c>
      <c r="G2825" s="0" t="n">
        <v>2020</v>
      </c>
    </row>
    <row r="2826" customFormat="false" ht="15" hidden="false" customHeight="false" outlineLevel="0" collapsed="false">
      <c r="A2826" s="0" t="s">
        <v>260</v>
      </c>
      <c r="B2826" s="52" t="n">
        <v>44183</v>
      </c>
      <c r="C2826" s="54" t="s">
        <v>591</v>
      </c>
      <c r="D2826" s="0" t="n">
        <v>0.0225006491103045</v>
      </c>
      <c r="E2826" s="0" t="n">
        <v>0.202173828977389</v>
      </c>
      <c r="F2826" s="0" t="n">
        <v>0</v>
      </c>
      <c r="G2826" s="0" t="n">
        <v>2020</v>
      </c>
    </row>
    <row r="2827" customFormat="false" ht="15" hidden="false" customHeight="false" outlineLevel="0" collapsed="false">
      <c r="A2827" s="0" t="s">
        <v>260</v>
      </c>
      <c r="B2827" s="52" t="n">
        <v>44183</v>
      </c>
      <c r="C2827" s="54" t="s">
        <v>592</v>
      </c>
      <c r="D2827" s="0" t="n">
        <v>0.997552691802647</v>
      </c>
      <c r="E2827" s="0" t="n">
        <v>0.0024473081973528</v>
      </c>
      <c r="F2827" s="0" t="n">
        <v>0</v>
      </c>
      <c r="G2827" s="0" t="n">
        <v>2020</v>
      </c>
    </row>
    <row r="2828" customFormat="false" ht="15" hidden="false" customHeight="false" outlineLevel="0" collapsed="false">
      <c r="A2828" s="0" t="s">
        <v>260</v>
      </c>
      <c r="B2828" s="52" t="n">
        <v>44184</v>
      </c>
      <c r="C2828" s="54" t="s">
        <v>590</v>
      </c>
      <c r="D2828" s="0" t="n">
        <v>0.188967451596371</v>
      </c>
      <c r="E2828" s="0" t="n">
        <v>0.128323100691935</v>
      </c>
      <c r="F2828" s="0" t="n">
        <v>1</v>
      </c>
      <c r="G2828" s="0" t="n">
        <v>2020</v>
      </c>
    </row>
    <row r="2829" customFormat="false" ht="15" hidden="false" customHeight="false" outlineLevel="0" collapsed="false">
      <c r="A2829" s="0" t="s">
        <v>260</v>
      </c>
      <c r="B2829" s="52" t="n">
        <v>44184</v>
      </c>
      <c r="C2829" s="54" t="s">
        <v>591</v>
      </c>
      <c r="D2829" s="0" t="n">
        <v>0.1980297621206</v>
      </c>
      <c r="E2829" s="0" t="n">
        <v>0.0761641619998431</v>
      </c>
      <c r="F2829" s="0" t="n">
        <v>1</v>
      </c>
      <c r="G2829" s="0" t="n">
        <v>2020</v>
      </c>
    </row>
    <row r="2830" customFormat="false" ht="15" hidden="false" customHeight="false" outlineLevel="0" collapsed="false">
      <c r="A2830" s="0" t="s">
        <v>260</v>
      </c>
      <c r="B2830" s="52" t="n">
        <v>44184</v>
      </c>
      <c r="C2830" s="54" t="s">
        <v>592</v>
      </c>
      <c r="D2830" s="0" t="n">
        <v>1</v>
      </c>
      <c r="E2830" s="0" t="n">
        <v>0</v>
      </c>
      <c r="F2830" s="0" t="n">
        <v>1</v>
      </c>
      <c r="G2830" s="0" t="n">
        <v>2020</v>
      </c>
    </row>
    <row r="2831" customFormat="false" ht="15" hidden="false" customHeight="false" outlineLevel="0" collapsed="false">
      <c r="A2831" s="0" t="s">
        <v>260</v>
      </c>
      <c r="B2831" s="52" t="n">
        <v>44185</v>
      </c>
      <c r="C2831" s="54" t="s">
        <v>590</v>
      </c>
      <c r="D2831" s="0" t="n">
        <v>0.0255777165383257</v>
      </c>
      <c r="E2831" s="0" t="n">
        <v>0.163782878866801</v>
      </c>
      <c r="F2831" s="0" t="n">
        <v>1</v>
      </c>
      <c r="G2831" s="0" t="n">
        <v>2020</v>
      </c>
    </row>
    <row r="2832" customFormat="false" ht="15" hidden="false" customHeight="false" outlineLevel="0" collapsed="false">
      <c r="A2832" s="0" t="s">
        <v>260</v>
      </c>
      <c r="B2832" s="52" t="n">
        <v>44185</v>
      </c>
      <c r="C2832" s="54" t="s">
        <v>591</v>
      </c>
      <c r="D2832" s="0" t="n">
        <v>0.167497538547156</v>
      </c>
      <c r="E2832" s="0" t="n">
        <v>0.0781172100509384</v>
      </c>
      <c r="F2832" s="0" t="n">
        <v>1</v>
      </c>
      <c r="G2832" s="0" t="n">
        <v>2020</v>
      </c>
    </row>
    <row r="2833" customFormat="false" ht="15" hidden="false" customHeight="false" outlineLevel="0" collapsed="false">
      <c r="A2833" s="0" t="s">
        <v>260</v>
      </c>
      <c r="B2833" s="52" t="n">
        <v>44185</v>
      </c>
      <c r="C2833" s="54" t="s">
        <v>592</v>
      </c>
      <c r="D2833" s="0" t="n">
        <v>1</v>
      </c>
      <c r="E2833" s="0" t="n">
        <v>0</v>
      </c>
      <c r="F2833" s="0" t="n">
        <v>1</v>
      </c>
      <c r="G2833" s="0" t="n">
        <v>2020</v>
      </c>
    </row>
    <row r="2834" customFormat="false" ht="15" hidden="false" customHeight="false" outlineLevel="0" collapsed="false">
      <c r="A2834" s="0" t="s">
        <v>260</v>
      </c>
      <c r="B2834" s="52" t="n">
        <v>44186</v>
      </c>
      <c r="C2834" s="54" t="s">
        <v>590</v>
      </c>
      <c r="D2834" s="0" t="n">
        <v>0.0875043322842259</v>
      </c>
      <c r="E2834" s="0" t="n">
        <v>0.0733690211187339</v>
      </c>
      <c r="F2834" s="0" t="n">
        <v>0</v>
      </c>
      <c r="G2834" s="0" t="n">
        <v>2020</v>
      </c>
    </row>
    <row r="2835" customFormat="false" ht="15" hidden="false" customHeight="false" outlineLevel="0" collapsed="false">
      <c r="A2835" s="0" t="s">
        <v>260</v>
      </c>
      <c r="B2835" s="52" t="n">
        <v>44186</v>
      </c>
      <c r="C2835" s="54" t="s">
        <v>591</v>
      </c>
      <c r="D2835" s="0" t="n">
        <v>0.0860421589762758</v>
      </c>
      <c r="E2835" s="0" t="n">
        <v>0.172400396972387</v>
      </c>
      <c r="F2835" s="0" t="n">
        <v>0</v>
      </c>
      <c r="G2835" s="0" t="n">
        <v>2020</v>
      </c>
    </row>
    <row r="2836" customFormat="false" ht="15" hidden="false" customHeight="false" outlineLevel="0" collapsed="false">
      <c r="A2836" s="0" t="s">
        <v>260</v>
      </c>
      <c r="B2836" s="52" t="n">
        <v>44186</v>
      </c>
      <c r="C2836" s="54" t="s">
        <v>592</v>
      </c>
      <c r="D2836" s="0" t="n">
        <v>1</v>
      </c>
      <c r="E2836" s="0" t="n">
        <v>0</v>
      </c>
      <c r="F2836" s="0" t="n">
        <v>0</v>
      </c>
      <c r="G2836" s="0" t="n">
        <v>2020</v>
      </c>
    </row>
    <row r="2837" customFormat="false" ht="15" hidden="false" customHeight="false" outlineLevel="0" collapsed="false">
      <c r="A2837" s="0" t="s">
        <v>260</v>
      </c>
      <c r="B2837" s="52" t="n">
        <v>44187</v>
      </c>
      <c r="C2837" s="54" t="s">
        <v>590</v>
      </c>
      <c r="D2837" s="0" t="n">
        <v>0.466742577430798</v>
      </c>
      <c r="E2837" s="0" t="n">
        <v>0.113078662116736</v>
      </c>
      <c r="F2837" s="0" t="n">
        <v>0</v>
      </c>
      <c r="G2837" s="0" t="n">
        <v>2020</v>
      </c>
    </row>
    <row r="2838" customFormat="false" ht="15" hidden="false" customHeight="false" outlineLevel="0" collapsed="false">
      <c r="A2838" s="0" t="s">
        <v>260</v>
      </c>
      <c r="B2838" s="52" t="n">
        <v>44187</v>
      </c>
      <c r="C2838" s="54" t="s">
        <v>591</v>
      </c>
      <c r="D2838" s="0" t="n">
        <v>0.0636941829987666</v>
      </c>
      <c r="E2838" s="0" t="n">
        <v>0.134633266737251</v>
      </c>
      <c r="F2838" s="0" t="n">
        <v>0</v>
      </c>
      <c r="G2838" s="0" t="n">
        <v>2020</v>
      </c>
    </row>
    <row r="2839" customFormat="false" ht="15" hidden="false" customHeight="false" outlineLevel="0" collapsed="false">
      <c r="A2839" s="0" t="s">
        <v>260</v>
      </c>
      <c r="B2839" s="52" t="n">
        <v>44187</v>
      </c>
      <c r="C2839" s="54" t="s">
        <v>592</v>
      </c>
      <c r="D2839" s="0" t="n">
        <v>0.631970770037987</v>
      </c>
      <c r="E2839" s="0" t="n">
        <v>0.368029229962013</v>
      </c>
      <c r="F2839" s="0" t="n">
        <v>0</v>
      </c>
      <c r="G2839" s="0" t="n">
        <v>2020</v>
      </c>
    </row>
    <row r="2840" customFormat="false" ht="15" hidden="false" customHeight="false" outlineLevel="0" collapsed="false">
      <c r="A2840" s="0" t="s">
        <v>260</v>
      </c>
      <c r="B2840" s="52" t="n">
        <v>44188</v>
      </c>
      <c r="C2840" s="54" t="s">
        <v>590</v>
      </c>
      <c r="D2840" s="0" t="n">
        <v>0.255520841322439</v>
      </c>
      <c r="E2840" s="0" t="n">
        <v>0.0457757912915382</v>
      </c>
      <c r="F2840" s="0" t="n">
        <v>0</v>
      </c>
      <c r="G2840" s="0" t="n">
        <v>2020</v>
      </c>
    </row>
    <row r="2841" customFormat="false" ht="15" hidden="false" customHeight="false" outlineLevel="0" collapsed="false">
      <c r="A2841" s="0" t="s">
        <v>260</v>
      </c>
      <c r="B2841" s="52" t="n">
        <v>44188</v>
      </c>
      <c r="C2841" s="54" t="s">
        <v>591</v>
      </c>
      <c r="D2841" s="0" t="n">
        <v>0.0038734527358431</v>
      </c>
      <c r="E2841" s="0" t="n">
        <v>0.0460829419713066</v>
      </c>
      <c r="F2841" s="0" t="n">
        <v>0</v>
      </c>
      <c r="G2841" s="0" t="n">
        <v>2020</v>
      </c>
    </row>
    <row r="2842" customFormat="false" ht="15" hidden="false" customHeight="false" outlineLevel="0" collapsed="false">
      <c r="A2842" s="0" t="s">
        <v>260</v>
      </c>
      <c r="B2842" s="52" t="n">
        <v>44266</v>
      </c>
      <c r="C2842" s="54" t="s">
        <v>591</v>
      </c>
      <c r="D2842" s="0" t="n">
        <v>0.011109021381267</v>
      </c>
      <c r="E2842" s="0" t="n">
        <v>0.0762077289049058</v>
      </c>
      <c r="F2842" s="0" t="n">
        <v>0</v>
      </c>
      <c r="G2842" s="0" t="n">
        <v>2021</v>
      </c>
    </row>
    <row r="2843" customFormat="false" ht="15" hidden="false" customHeight="false" outlineLevel="0" collapsed="false">
      <c r="A2843" s="0" t="s">
        <v>260</v>
      </c>
      <c r="B2843" s="52" t="n">
        <v>44266</v>
      </c>
      <c r="C2843" s="54" t="s">
        <v>592</v>
      </c>
      <c r="D2843" s="0" t="n">
        <v>1</v>
      </c>
      <c r="E2843" s="0" t="n">
        <v>0</v>
      </c>
      <c r="F2843" s="0" t="n">
        <v>0</v>
      </c>
      <c r="G2843" s="0" t="n">
        <v>2021</v>
      </c>
    </row>
    <row r="2844" customFormat="false" ht="15" hidden="false" customHeight="false" outlineLevel="0" collapsed="false">
      <c r="A2844" s="0" t="s">
        <v>260</v>
      </c>
      <c r="B2844" s="52" t="n">
        <v>44267</v>
      </c>
      <c r="C2844" s="54" t="s">
        <v>590</v>
      </c>
      <c r="D2844" s="0" t="n">
        <v>0.0302599390183133</v>
      </c>
      <c r="E2844" s="0" t="n">
        <v>0.101815802915518</v>
      </c>
      <c r="F2844" s="0" t="n">
        <v>0</v>
      </c>
      <c r="G2844" s="0" t="n">
        <v>2021</v>
      </c>
    </row>
    <row r="2845" customFormat="false" ht="15" hidden="false" customHeight="false" outlineLevel="0" collapsed="false">
      <c r="A2845" s="0" t="s">
        <v>260</v>
      </c>
      <c r="B2845" s="52" t="n">
        <v>44267</v>
      </c>
      <c r="C2845" s="54" t="s">
        <v>591</v>
      </c>
      <c r="D2845" s="0" t="n">
        <v>0.671445238161689</v>
      </c>
      <c r="E2845" s="0" t="n">
        <v>0.0129621854916354</v>
      </c>
      <c r="F2845" s="0" t="n">
        <v>0</v>
      </c>
      <c r="G2845" s="0" t="n">
        <v>2021</v>
      </c>
    </row>
    <row r="2846" customFormat="false" ht="15" hidden="false" customHeight="false" outlineLevel="0" collapsed="false">
      <c r="A2846" s="0" t="s">
        <v>260</v>
      </c>
      <c r="B2846" s="52" t="n">
        <v>44268</v>
      </c>
      <c r="C2846" s="54" t="s">
        <v>590</v>
      </c>
      <c r="D2846" s="0" t="n">
        <v>0.426008374216809</v>
      </c>
      <c r="E2846" s="0" t="n">
        <v>0.0369171351076266</v>
      </c>
      <c r="F2846" s="0" t="n">
        <v>1</v>
      </c>
      <c r="G2846" s="0" t="n">
        <v>2021</v>
      </c>
    </row>
    <row r="2847" customFormat="false" ht="15" hidden="false" customHeight="false" outlineLevel="0" collapsed="false">
      <c r="A2847" s="0" t="s">
        <v>260</v>
      </c>
      <c r="B2847" s="52" t="n">
        <v>44268</v>
      </c>
      <c r="C2847" s="54" t="s">
        <v>591</v>
      </c>
      <c r="D2847" s="0" t="n">
        <v>0.391688897436024</v>
      </c>
      <c r="E2847" s="0" t="n">
        <v>0.0191584578557758</v>
      </c>
      <c r="F2847" s="0" t="n">
        <v>1</v>
      </c>
      <c r="G2847" s="0" t="n">
        <v>2021</v>
      </c>
    </row>
    <row r="2848" customFormat="false" ht="15" hidden="false" customHeight="false" outlineLevel="0" collapsed="false">
      <c r="A2848" s="0" t="s">
        <v>260</v>
      </c>
      <c r="B2848" s="52" t="n">
        <v>44268</v>
      </c>
      <c r="C2848" s="54" t="s">
        <v>592</v>
      </c>
      <c r="D2848" s="0" t="n">
        <v>0.998555964623722</v>
      </c>
      <c r="E2848" s="0" t="n">
        <v>0</v>
      </c>
      <c r="F2848" s="0" t="n">
        <v>1</v>
      </c>
      <c r="G2848" s="0" t="n">
        <v>2021</v>
      </c>
    </row>
    <row r="2849" customFormat="false" ht="15" hidden="false" customHeight="false" outlineLevel="0" collapsed="false">
      <c r="A2849" s="0" t="s">
        <v>260</v>
      </c>
      <c r="B2849" s="52" t="n">
        <v>44269</v>
      </c>
      <c r="C2849" s="54" t="s">
        <v>590</v>
      </c>
      <c r="D2849" s="0" t="n">
        <v>0.158931488619067</v>
      </c>
      <c r="E2849" s="0" t="n">
        <v>0.102894640376345</v>
      </c>
      <c r="F2849" s="0" t="n">
        <v>1</v>
      </c>
      <c r="G2849" s="0" t="n">
        <v>2021</v>
      </c>
    </row>
    <row r="2850" customFormat="false" ht="15" hidden="false" customHeight="false" outlineLevel="0" collapsed="false">
      <c r="A2850" s="0" t="s">
        <v>260</v>
      </c>
      <c r="B2850" s="52" t="n">
        <v>44269</v>
      </c>
      <c r="C2850" s="54" t="s">
        <v>591</v>
      </c>
      <c r="D2850" s="0" t="n">
        <v>0.0137585869045417</v>
      </c>
      <c r="E2850" s="0" t="n">
        <v>0.0855003697205971</v>
      </c>
      <c r="F2850" s="0" t="n">
        <v>1</v>
      </c>
      <c r="G2850" s="0" t="n">
        <v>2021</v>
      </c>
    </row>
    <row r="2851" customFormat="false" ht="15" hidden="false" customHeight="false" outlineLevel="0" collapsed="false">
      <c r="A2851" s="0" t="s">
        <v>260</v>
      </c>
      <c r="B2851" s="52" t="n">
        <v>44269</v>
      </c>
      <c r="C2851" s="54" t="s">
        <v>592</v>
      </c>
      <c r="D2851" s="0" t="n">
        <v>0.840650210304128</v>
      </c>
      <c r="E2851" s="0" t="n">
        <v>0.0152606849905874</v>
      </c>
      <c r="F2851" s="0" t="n">
        <v>1</v>
      </c>
      <c r="G2851" s="0" t="n">
        <v>2021</v>
      </c>
    </row>
    <row r="2852" customFormat="false" ht="15" hidden="false" customHeight="false" outlineLevel="0" collapsed="false">
      <c r="A2852" s="0" t="s">
        <v>260</v>
      </c>
      <c r="B2852" s="52" t="n">
        <v>44270</v>
      </c>
      <c r="C2852" s="54" t="s">
        <v>590</v>
      </c>
      <c r="D2852" s="0" t="n">
        <v>0.459676401981157</v>
      </c>
      <c r="E2852" s="0" t="n">
        <v>0.0310086630296214</v>
      </c>
      <c r="F2852" s="0" t="n">
        <v>0</v>
      </c>
      <c r="G2852" s="0" t="n">
        <v>2021</v>
      </c>
    </row>
    <row r="2853" customFormat="false" ht="15" hidden="false" customHeight="false" outlineLevel="0" collapsed="false">
      <c r="A2853" s="0" t="s">
        <v>260</v>
      </c>
      <c r="B2853" s="52" t="n">
        <v>44270</v>
      </c>
      <c r="C2853" s="54" t="s">
        <v>591</v>
      </c>
      <c r="D2853" s="0" t="n">
        <v>0.0002487341151766</v>
      </c>
      <c r="E2853" s="0" t="n">
        <v>0.157405002795804</v>
      </c>
      <c r="F2853" s="0" t="n">
        <v>0</v>
      </c>
      <c r="G2853" s="0" t="n">
        <v>2021</v>
      </c>
    </row>
    <row r="2854" customFormat="false" ht="15" hidden="false" customHeight="false" outlineLevel="0" collapsed="false">
      <c r="A2854" s="0" t="s">
        <v>260</v>
      </c>
      <c r="B2854" s="52" t="n">
        <v>44270</v>
      </c>
      <c r="C2854" s="54" t="s">
        <v>592</v>
      </c>
      <c r="D2854" s="0" t="n">
        <v>0.930058014914454</v>
      </c>
      <c r="E2854" s="0" t="n">
        <v>0.0405859730975086</v>
      </c>
      <c r="F2854" s="0" t="n">
        <v>0</v>
      </c>
      <c r="G2854" s="0" t="n">
        <v>2021</v>
      </c>
    </row>
    <row r="2855" customFormat="false" ht="15" hidden="false" customHeight="false" outlineLevel="0" collapsed="false">
      <c r="A2855" s="0" t="s">
        <v>260</v>
      </c>
      <c r="B2855" s="52" t="n">
        <v>44271</v>
      </c>
      <c r="C2855" s="54" t="s">
        <v>590</v>
      </c>
      <c r="D2855" s="0" t="n">
        <v>0.0433566281051473</v>
      </c>
      <c r="E2855" s="0" t="n">
        <v>0.12770482923275</v>
      </c>
      <c r="F2855" s="0" t="n">
        <v>0</v>
      </c>
      <c r="G2855" s="0" t="n">
        <v>2021</v>
      </c>
    </row>
    <row r="2856" customFormat="false" ht="15" hidden="false" customHeight="false" outlineLevel="0" collapsed="false">
      <c r="A2856" s="0" t="s">
        <v>260</v>
      </c>
      <c r="B2856" s="52" t="n">
        <v>44271</v>
      </c>
      <c r="C2856" s="54" t="s">
        <v>591</v>
      </c>
      <c r="D2856" s="0" t="n">
        <v>0.0194673181002858</v>
      </c>
      <c r="E2856" s="0" t="n">
        <v>0.0159630969376769</v>
      </c>
      <c r="F2856" s="0" t="n">
        <v>0</v>
      </c>
      <c r="G2856" s="0" t="n">
        <v>2021</v>
      </c>
    </row>
    <row r="2857" customFormat="false" ht="15" hidden="false" customHeight="false" outlineLevel="0" collapsed="false">
      <c r="A2857" s="0" t="s">
        <v>260</v>
      </c>
      <c r="B2857" s="52" t="n">
        <v>44271</v>
      </c>
      <c r="C2857" s="54" t="s">
        <v>592</v>
      </c>
      <c r="D2857" s="0" t="n">
        <v>0.863934939601815</v>
      </c>
      <c r="E2857" s="0" t="n">
        <v>0.0219723503660015</v>
      </c>
      <c r="F2857" s="0" t="n">
        <v>0</v>
      </c>
      <c r="G2857" s="0" t="n">
        <v>2021</v>
      </c>
    </row>
    <row r="2858" customFormat="false" ht="15" hidden="false" customHeight="false" outlineLevel="0" collapsed="false">
      <c r="A2858" s="0" t="s">
        <v>260</v>
      </c>
      <c r="B2858" s="52" t="n">
        <v>44272</v>
      </c>
      <c r="C2858" s="54" t="s">
        <v>590</v>
      </c>
      <c r="D2858" s="0" t="n">
        <v>0.044557050264449</v>
      </c>
      <c r="E2858" s="0" t="n">
        <v>0.172920878525385</v>
      </c>
      <c r="F2858" s="0" t="n">
        <v>0</v>
      </c>
      <c r="G2858" s="0" t="n">
        <v>2021</v>
      </c>
    </row>
    <row r="2859" customFormat="false" ht="15" hidden="false" customHeight="false" outlineLevel="0" collapsed="false">
      <c r="A2859" s="0" t="s">
        <v>260</v>
      </c>
      <c r="B2859" s="52" t="n">
        <v>44272</v>
      </c>
      <c r="C2859" s="54" t="s">
        <v>591</v>
      </c>
      <c r="D2859" s="0" t="n">
        <v>0.0053495509883922</v>
      </c>
      <c r="E2859" s="0" t="n">
        <v>0.0312265091414726</v>
      </c>
      <c r="F2859" s="0" t="n">
        <v>0</v>
      </c>
      <c r="G2859" s="0" t="n">
        <v>2021</v>
      </c>
    </row>
    <row r="2860" customFormat="false" ht="15" hidden="false" customHeight="false" outlineLevel="0" collapsed="false">
      <c r="A2860" s="0" t="s">
        <v>260</v>
      </c>
      <c r="B2860" s="52" t="n">
        <v>44272</v>
      </c>
      <c r="C2860" s="54" t="s">
        <v>592</v>
      </c>
      <c r="D2860" s="0" t="n">
        <v>0.392359430662111</v>
      </c>
      <c r="E2860" s="0" t="n">
        <v>0.0108202049731147</v>
      </c>
      <c r="F2860" s="0" t="n">
        <v>0</v>
      </c>
      <c r="G2860" s="0" t="n">
        <v>2021</v>
      </c>
    </row>
    <row r="2861" customFormat="false" ht="15" hidden="false" customHeight="false" outlineLevel="0" collapsed="false">
      <c r="A2861" s="0" t="s">
        <v>260</v>
      </c>
      <c r="B2861" s="52" t="n">
        <v>44273</v>
      </c>
      <c r="C2861" s="54" t="s">
        <v>590</v>
      </c>
      <c r="D2861" s="0" t="n">
        <v>0.0521834902182724</v>
      </c>
      <c r="E2861" s="0" t="n">
        <v>0.205257209527543</v>
      </c>
      <c r="F2861" s="0" t="n">
        <v>0</v>
      </c>
      <c r="G2861" s="0" t="n">
        <v>2021</v>
      </c>
    </row>
    <row r="2862" customFormat="false" ht="15" hidden="false" customHeight="false" outlineLevel="0" collapsed="false">
      <c r="A2862" s="0" t="s">
        <v>260</v>
      </c>
      <c r="B2862" s="52" t="n">
        <v>44273</v>
      </c>
      <c r="C2862" s="54" t="s">
        <v>592</v>
      </c>
      <c r="D2862" s="0" t="n">
        <v>1</v>
      </c>
      <c r="E2862" s="0" t="n">
        <v>0</v>
      </c>
      <c r="F2862" s="0" t="n">
        <v>0</v>
      </c>
      <c r="G2862" s="0" t="n">
        <v>2021</v>
      </c>
    </row>
    <row r="2863" customFormat="false" ht="15" hidden="false" customHeight="false" outlineLevel="0" collapsed="false">
      <c r="A2863" s="0" t="s">
        <v>260</v>
      </c>
      <c r="B2863" s="52" t="n">
        <v>44274</v>
      </c>
      <c r="C2863" s="54" t="s">
        <v>590</v>
      </c>
      <c r="D2863" s="0" t="n">
        <v>0.007947592986071</v>
      </c>
      <c r="E2863" s="0" t="n">
        <v>0.0675035321123771</v>
      </c>
      <c r="F2863" s="0" t="n">
        <v>0</v>
      </c>
      <c r="G2863" s="0" t="n">
        <v>2021</v>
      </c>
    </row>
    <row r="2864" customFormat="false" ht="15" hidden="false" customHeight="false" outlineLevel="0" collapsed="false">
      <c r="A2864" s="0" t="s">
        <v>260</v>
      </c>
      <c r="B2864" s="52" t="n">
        <v>44274</v>
      </c>
      <c r="C2864" s="54" t="s">
        <v>591</v>
      </c>
      <c r="D2864" s="0" t="n">
        <v>0.164660250796158</v>
      </c>
      <c r="E2864" s="0" t="n">
        <v>0.0892076962484433</v>
      </c>
      <c r="F2864" s="0" t="n">
        <v>0</v>
      </c>
      <c r="G2864" s="0" t="n">
        <v>2021</v>
      </c>
    </row>
    <row r="2865" customFormat="false" ht="15" hidden="false" customHeight="false" outlineLevel="0" collapsed="false">
      <c r="A2865" s="0" t="s">
        <v>260</v>
      </c>
      <c r="B2865" s="52" t="n">
        <v>44274</v>
      </c>
      <c r="C2865" s="54" t="s">
        <v>592</v>
      </c>
      <c r="D2865" s="0" t="n">
        <v>1</v>
      </c>
      <c r="E2865" s="0" t="n">
        <v>0</v>
      </c>
      <c r="F2865" s="0" t="n">
        <v>0</v>
      </c>
      <c r="G2865" s="0" t="n">
        <v>2021</v>
      </c>
    </row>
    <row r="2866" customFormat="false" ht="15" hidden="false" customHeight="false" outlineLevel="0" collapsed="false">
      <c r="A2866" s="0" t="s">
        <v>260</v>
      </c>
      <c r="B2866" s="52" t="n">
        <v>44275</v>
      </c>
      <c r="C2866" s="54" t="s">
        <v>590</v>
      </c>
      <c r="D2866" s="0" t="n">
        <v>0.0063602927504229</v>
      </c>
      <c r="E2866" s="0" t="n">
        <v>0.0927191698495395</v>
      </c>
      <c r="F2866" s="0" t="n">
        <v>1</v>
      </c>
      <c r="G2866" s="0" t="n">
        <v>2021</v>
      </c>
    </row>
    <row r="2867" customFormat="false" ht="15" hidden="false" customHeight="false" outlineLevel="0" collapsed="false">
      <c r="A2867" s="0" t="s">
        <v>260</v>
      </c>
      <c r="B2867" s="52" t="n">
        <v>44275</v>
      </c>
      <c r="C2867" s="54" t="s">
        <v>591</v>
      </c>
      <c r="D2867" s="0" t="n">
        <v>0.0958142368429654</v>
      </c>
      <c r="E2867" s="0" t="n">
        <v>0.0518317039976211</v>
      </c>
      <c r="F2867" s="0" t="n">
        <v>1</v>
      </c>
      <c r="G2867" s="0" t="n">
        <v>2021</v>
      </c>
    </row>
    <row r="2868" customFormat="false" ht="15" hidden="false" customHeight="false" outlineLevel="0" collapsed="false">
      <c r="A2868" s="0" t="s">
        <v>260</v>
      </c>
      <c r="B2868" s="52" t="n">
        <v>44275</v>
      </c>
      <c r="C2868" s="54" t="s">
        <v>592</v>
      </c>
      <c r="D2868" s="0" t="n">
        <v>1</v>
      </c>
      <c r="E2868" s="0" t="n">
        <v>0</v>
      </c>
      <c r="F2868" s="0" t="n">
        <v>1</v>
      </c>
      <c r="G2868" s="0" t="n">
        <v>2021</v>
      </c>
    </row>
    <row r="2869" customFormat="false" ht="15" hidden="false" customHeight="false" outlineLevel="0" collapsed="false">
      <c r="A2869" s="0" t="s">
        <v>260</v>
      </c>
      <c r="B2869" s="52" t="n">
        <v>44276</v>
      </c>
      <c r="C2869" s="54" t="s">
        <v>590</v>
      </c>
      <c r="D2869" s="0" t="n">
        <v>0.0343331306403458</v>
      </c>
      <c r="E2869" s="0" t="n">
        <v>0.084688815482204</v>
      </c>
      <c r="F2869" s="0" t="n">
        <v>1</v>
      </c>
      <c r="G2869" s="0" t="n">
        <v>2021</v>
      </c>
    </row>
    <row r="2870" customFormat="false" ht="15" hidden="false" customHeight="false" outlineLevel="0" collapsed="false">
      <c r="A2870" s="0" t="s">
        <v>260</v>
      </c>
      <c r="B2870" s="52" t="n">
        <v>44276</v>
      </c>
      <c r="C2870" s="54" t="s">
        <v>591</v>
      </c>
      <c r="D2870" s="0" t="n">
        <v>0.112232398169882</v>
      </c>
      <c r="E2870" s="0" t="n">
        <v>0.0484590051962318</v>
      </c>
      <c r="F2870" s="0" t="n">
        <v>1</v>
      </c>
      <c r="G2870" s="0" t="n">
        <v>2021</v>
      </c>
    </row>
    <row r="2871" customFormat="false" ht="15" hidden="false" customHeight="false" outlineLevel="0" collapsed="false">
      <c r="A2871" s="0" t="s">
        <v>260</v>
      </c>
      <c r="B2871" s="52" t="n">
        <v>44276</v>
      </c>
      <c r="C2871" s="54" t="s">
        <v>592</v>
      </c>
      <c r="D2871" s="0" t="n">
        <v>1</v>
      </c>
      <c r="E2871" s="0" t="n">
        <v>0</v>
      </c>
      <c r="F2871" s="0" t="n">
        <v>1</v>
      </c>
      <c r="G2871" s="0" t="n">
        <v>2021</v>
      </c>
    </row>
    <row r="2872" customFormat="false" ht="15" hidden="false" customHeight="false" outlineLevel="0" collapsed="false">
      <c r="A2872" s="0" t="s">
        <v>260</v>
      </c>
      <c r="B2872" s="52" t="n">
        <v>44277</v>
      </c>
      <c r="C2872" s="54" t="s">
        <v>590</v>
      </c>
      <c r="D2872" s="0" t="n">
        <v>0.0101076359184505</v>
      </c>
      <c r="E2872" s="0" t="n">
        <v>0.104499052409133</v>
      </c>
      <c r="F2872" s="0" t="n">
        <v>0</v>
      </c>
      <c r="G2872" s="0" t="n">
        <v>2021</v>
      </c>
    </row>
    <row r="2873" customFormat="false" ht="15" hidden="false" customHeight="false" outlineLevel="0" collapsed="false">
      <c r="A2873" s="0" t="s">
        <v>260</v>
      </c>
      <c r="B2873" s="52" t="n">
        <v>44277</v>
      </c>
      <c r="C2873" s="54" t="s">
        <v>591</v>
      </c>
      <c r="D2873" s="0" t="n">
        <v>0.0228524494149233</v>
      </c>
      <c r="E2873" s="0" t="n">
        <v>0.041133946666061</v>
      </c>
      <c r="F2873" s="0" t="n">
        <v>0</v>
      </c>
      <c r="G2873" s="0" t="n">
        <v>2021</v>
      </c>
    </row>
    <row r="2874" customFormat="false" ht="15" hidden="false" customHeight="false" outlineLevel="0" collapsed="false">
      <c r="A2874" s="0" t="s">
        <v>260</v>
      </c>
      <c r="B2874" s="52" t="n">
        <v>44277</v>
      </c>
      <c r="C2874" s="54" t="s">
        <v>592</v>
      </c>
      <c r="D2874" s="0" t="n">
        <v>0.857207741135703</v>
      </c>
      <c r="E2874" s="0" t="n">
        <v>0.0748210387136156</v>
      </c>
      <c r="F2874" s="0" t="n">
        <v>0</v>
      </c>
      <c r="G2874" s="0" t="n">
        <v>2021</v>
      </c>
    </row>
    <row r="2875" customFormat="false" ht="15" hidden="false" customHeight="false" outlineLevel="0" collapsed="false">
      <c r="A2875" s="0" t="s">
        <v>260</v>
      </c>
      <c r="B2875" s="52" t="n">
        <v>44278</v>
      </c>
      <c r="C2875" s="54" t="s">
        <v>590</v>
      </c>
      <c r="D2875" s="0" t="n">
        <v>0.0134204463853772</v>
      </c>
      <c r="E2875" s="0" t="n">
        <v>0.0570995151146666</v>
      </c>
      <c r="F2875" s="0" t="n">
        <v>0</v>
      </c>
      <c r="G2875" s="0" t="n">
        <v>2021</v>
      </c>
    </row>
    <row r="2876" customFormat="false" ht="15" hidden="false" customHeight="false" outlineLevel="0" collapsed="false">
      <c r="A2876" s="0" t="s">
        <v>260</v>
      </c>
      <c r="B2876" s="52" t="n">
        <v>44278</v>
      </c>
      <c r="C2876" s="54" t="s">
        <v>591</v>
      </c>
      <c r="D2876" s="0" t="n">
        <v>0.151544109472091</v>
      </c>
      <c r="E2876" s="0" t="n">
        <v>0.120137543649373</v>
      </c>
      <c r="F2876" s="0" t="n">
        <v>0</v>
      </c>
      <c r="G2876" s="0" t="n">
        <v>2021</v>
      </c>
    </row>
    <row r="2877" customFormat="false" ht="15" hidden="false" customHeight="false" outlineLevel="0" collapsed="false">
      <c r="A2877" s="0" t="s">
        <v>260</v>
      </c>
      <c r="B2877" s="52" t="n">
        <v>44278</v>
      </c>
      <c r="C2877" s="54" t="s">
        <v>592</v>
      </c>
      <c r="D2877" s="0" t="n">
        <v>1</v>
      </c>
      <c r="E2877" s="0" t="n">
        <v>0</v>
      </c>
      <c r="F2877" s="0" t="n">
        <v>0</v>
      </c>
      <c r="G2877" s="0" t="n">
        <v>2021</v>
      </c>
    </row>
    <row r="2878" customFormat="false" ht="15" hidden="false" customHeight="false" outlineLevel="0" collapsed="false">
      <c r="A2878" s="0" t="s">
        <v>260</v>
      </c>
      <c r="B2878" s="52" t="n">
        <v>44279</v>
      </c>
      <c r="C2878" s="54" t="s">
        <v>590</v>
      </c>
      <c r="D2878" s="0" t="n">
        <v>0.0128902374975514</v>
      </c>
      <c r="E2878" s="0" t="n">
        <v>0.0503073916801825</v>
      </c>
      <c r="F2878" s="0" t="n">
        <v>0</v>
      </c>
      <c r="G2878" s="0" t="n">
        <v>2021</v>
      </c>
    </row>
    <row r="2879" customFormat="false" ht="15" hidden="false" customHeight="false" outlineLevel="0" collapsed="false">
      <c r="A2879" s="0" t="s">
        <v>260</v>
      </c>
      <c r="B2879" s="52" t="n">
        <v>44279</v>
      </c>
      <c r="C2879" s="54" t="s">
        <v>591</v>
      </c>
      <c r="D2879" s="0" t="n">
        <v>0.0338751857783129</v>
      </c>
      <c r="E2879" s="0" t="n">
        <v>0.055270017947149</v>
      </c>
      <c r="F2879" s="0" t="n">
        <v>0</v>
      </c>
      <c r="G2879" s="0" t="n">
        <v>2021</v>
      </c>
    </row>
    <row r="2880" customFormat="false" ht="15" hidden="false" customHeight="false" outlineLevel="0" collapsed="false">
      <c r="A2880" s="0" t="s">
        <v>260</v>
      </c>
      <c r="B2880" s="52" t="n">
        <v>44279</v>
      </c>
      <c r="C2880" s="54" t="s">
        <v>592</v>
      </c>
      <c r="D2880" s="0" t="n">
        <v>0.965643927472654</v>
      </c>
      <c r="E2880" s="0" t="n">
        <v>0.0343560725273454</v>
      </c>
      <c r="F2880" s="0" t="n">
        <v>0</v>
      </c>
      <c r="G2880" s="0" t="n">
        <v>2021</v>
      </c>
    </row>
    <row r="2881" customFormat="false" ht="15" hidden="false" customHeight="false" outlineLevel="0" collapsed="false">
      <c r="A2881" s="0" t="s">
        <v>260</v>
      </c>
      <c r="B2881" s="52" t="n">
        <v>44280</v>
      </c>
      <c r="C2881" s="54" t="s">
        <v>590</v>
      </c>
      <c r="D2881" s="0" t="n">
        <v>0.0103494642634458</v>
      </c>
      <c r="E2881" s="0" t="n">
        <v>0.0617601391731715</v>
      </c>
      <c r="F2881" s="0" t="n">
        <v>0</v>
      </c>
      <c r="G2881" s="0" t="n">
        <v>2021</v>
      </c>
    </row>
    <row r="2882" customFormat="false" ht="15" hidden="false" customHeight="false" outlineLevel="0" collapsed="false">
      <c r="A2882" s="0" t="s">
        <v>260</v>
      </c>
      <c r="B2882" s="52" t="n">
        <v>44280</v>
      </c>
      <c r="C2882" s="54" t="s">
        <v>591</v>
      </c>
      <c r="D2882" s="0" t="n">
        <v>0.168237447702553</v>
      </c>
      <c r="E2882" s="0" t="n">
        <v>0.112462140547461</v>
      </c>
      <c r="F2882" s="0" t="n">
        <v>0</v>
      </c>
      <c r="G2882" s="0" t="n">
        <v>2021</v>
      </c>
    </row>
    <row r="2883" customFormat="false" ht="15" hidden="false" customHeight="false" outlineLevel="0" collapsed="false">
      <c r="A2883" s="0" t="s">
        <v>260</v>
      </c>
      <c r="B2883" s="52" t="n">
        <v>44280</v>
      </c>
      <c r="C2883" s="54" t="s">
        <v>592</v>
      </c>
      <c r="D2883" s="0" t="n">
        <v>1</v>
      </c>
      <c r="E2883" s="0" t="n">
        <v>0</v>
      </c>
      <c r="F2883" s="0" t="n">
        <v>0</v>
      </c>
      <c r="G2883" s="0" t="n">
        <v>2021</v>
      </c>
    </row>
    <row r="2884" customFormat="false" ht="15" hidden="false" customHeight="false" outlineLevel="0" collapsed="false">
      <c r="A2884" s="0" t="s">
        <v>260</v>
      </c>
      <c r="B2884" s="52" t="n">
        <v>44281</v>
      </c>
      <c r="C2884" s="54" t="s">
        <v>590</v>
      </c>
      <c r="D2884" s="0" t="n">
        <v>0.0261168243437675</v>
      </c>
      <c r="E2884" s="0" t="n">
        <v>0.036776971175397</v>
      </c>
      <c r="F2884" s="0" t="n">
        <v>0</v>
      </c>
      <c r="G2884" s="0" t="n">
        <v>2021</v>
      </c>
    </row>
    <row r="2885" customFormat="false" ht="15" hidden="false" customHeight="false" outlineLevel="0" collapsed="false">
      <c r="A2885" s="0" t="s">
        <v>260</v>
      </c>
      <c r="B2885" s="52" t="n">
        <v>44281</v>
      </c>
      <c r="C2885" s="54" t="s">
        <v>591</v>
      </c>
      <c r="D2885" s="0" t="n">
        <v>0.351897172419638</v>
      </c>
      <c r="E2885" s="0" t="n">
        <v>0.0878176130215351</v>
      </c>
      <c r="F2885" s="0" t="n">
        <v>0</v>
      </c>
      <c r="G2885" s="0" t="n">
        <v>2021</v>
      </c>
    </row>
    <row r="2886" customFormat="false" ht="15" hidden="false" customHeight="false" outlineLevel="0" collapsed="false">
      <c r="A2886" s="0" t="s">
        <v>260</v>
      </c>
      <c r="B2886" s="52" t="n">
        <v>44281</v>
      </c>
      <c r="C2886" s="54" t="s">
        <v>592</v>
      </c>
      <c r="D2886" s="0" t="n">
        <v>1</v>
      </c>
      <c r="E2886" s="0" t="n">
        <v>0</v>
      </c>
      <c r="F2886" s="0" t="n">
        <v>0</v>
      </c>
      <c r="G2886" s="0" t="n">
        <v>2021</v>
      </c>
    </row>
    <row r="2887" customFormat="false" ht="15" hidden="false" customHeight="false" outlineLevel="0" collapsed="false">
      <c r="A2887" s="0" t="s">
        <v>260</v>
      </c>
      <c r="B2887" s="52" t="n">
        <v>44282</v>
      </c>
      <c r="C2887" s="54" t="s">
        <v>590</v>
      </c>
      <c r="D2887" s="0" t="n">
        <v>0.0562361350466695</v>
      </c>
      <c r="E2887" s="0" t="n">
        <v>0.0435243988480088</v>
      </c>
      <c r="F2887" s="0" t="n">
        <v>1</v>
      </c>
      <c r="G2887" s="0" t="n">
        <v>2021</v>
      </c>
    </row>
    <row r="2888" customFormat="false" ht="15" hidden="false" customHeight="false" outlineLevel="0" collapsed="false">
      <c r="A2888" s="0" t="s">
        <v>260</v>
      </c>
      <c r="B2888" s="52" t="n">
        <v>44282</v>
      </c>
      <c r="C2888" s="54" t="s">
        <v>591</v>
      </c>
      <c r="D2888" s="0" t="n">
        <v>0.129062095271715</v>
      </c>
      <c r="E2888" s="0" t="n">
        <v>0.496335771704023</v>
      </c>
      <c r="F2888" s="0" t="n">
        <v>1</v>
      </c>
      <c r="G2888" s="0" t="n">
        <v>2021</v>
      </c>
    </row>
    <row r="2889" customFormat="false" ht="15" hidden="false" customHeight="false" outlineLevel="0" collapsed="false">
      <c r="A2889" s="0" t="s">
        <v>260</v>
      </c>
      <c r="B2889" s="52" t="n">
        <v>44282</v>
      </c>
      <c r="C2889" s="54" t="s">
        <v>592</v>
      </c>
      <c r="D2889" s="0" t="n">
        <v>1</v>
      </c>
      <c r="E2889" s="0" t="n">
        <v>0</v>
      </c>
      <c r="F2889" s="0" t="n">
        <v>1</v>
      </c>
      <c r="G2889" s="0" t="n">
        <v>2021</v>
      </c>
    </row>
    <row r="2890" customFormat="false" ht="15" hidden="false" customHeight="false" outlineLevel="0" collapsed="false">
      <c r="A2890" s="0" t="s">
        <v>260</v>
      </c>
      <c r="B2890" s="52" t="n">
        <v>44288</v>
      </c>
      <c r="C2890" s="54" t="s">
        <v>592</v>
      </c>
      <c r="D2890" s="0" t="n">
        <v>1</v>
      </c>
      <c r="E2890" s="0" t="n">
        <v>0</v>
      </c>
      <c r="F2890" s="0" t="n">
        <v>0</v>
      </c>
      <c r="G2890" s="0" t="n">
        <v>2021</v>
      </c>
    </row>
    <row r="2891" customFormat="false" ht="15" hidden="false" customHeight="false" outlineLevel="0" collapsed="false">
      <c r="A2891" s="0" t="s">
        <v>260</v>
      </c>
      <c r="B2891" s="52" t="n">
        <v>44289</v>
      </c>
      <c r="C2891" s="54" t="s">
        <v>590</v>
      </c>
      <c r="D2891" s="0" t="n">
        <v>0.0291945906170877</v>
      </c>
      <c r="E2891" s="0" t="n">
        <v>0.0474622219797794</v>
      </c>
      <c r="F2891" s="0" t="n">
        <v>1</v>
      </c>
      <c r="G2891" s="0" t="n">
        <v>2021</v>
      </c>
    </row>
    <row r="2892" customFormat="false" ht="15" hidden="false" customHeight="false" outlineLevel="0" collapsed="false">
      <c r="A2892" s="0" t="s">
        <v>260</v>
      </c>
      <c r="B2892" s="52" t="n">
        <v>44289</v>
      </c>
      <c r="C2892" s="54" t="s">
        <v>591</v>
      </c>
      <c r="D2892" s="0" t="n">
        <v>0.171790962409405</v>
      </c>
      <c r="E2892" s="0" t="n">
        <v>0.0409308597166596</v>
      </c>
      <c r="F2892" s="0" t="n">
        <v>1</v>
      </c>
      <c r="G2892" s="0" t="n">
        <v>2021</v>
      </c>
    </row>
    <row r="2893" customFormat="false" ht="15" hidden="false" customHeight="false" outlineLevel="0" collapsed="false">
      <c r="A2893" s="0" t="s">
        <v>260</v>
      </c>
      <c r="B2893" s="52" t="n">
        <v>44289</v>
      </c>
      <c r="C2893" s="54" t="s">
        <v>592</v>
      </c>
      <c r="D2893" s="0" t="n">
        <v>1</v>
      </c>
      <c r="E2893" s="0" t="n">
        <v>0</v>
      </c>
      <c r="F2893" s="0" t="n">
        <v>1</v>
      </c>
      <c r="G2893" s="0" t="n">
        <v>2021</v>
      </c>
    </row>
    <row r="2894" customFormat="false" ht="15" hidden="false" customHeight="false" outlineLevel="0" collapsed="false">
      <c r="A2894" s="0" t="s">
        <v>260</v>
      </c>
      <c r="B2894" s="52" t="n">
        <v>44290</v>
      </c>
      <c r="C2894" s="54" t="s">
        <v>590</v>
      </c>
      <c r="D2894" s="0" t="n">
        <v>0.0082012875701473</v>
      </c>
      <c r="E2894" s="0" t="n">
        <v>0.0720945575301433</v>
      </c>
      <c r="F2894" s="0" t="n">
        <v>1</v>
      </c>
      <c r="G2894" s="0" t="n">
        <v>2021</v>
      </c>
    </row>
    <row r="2895" customFormat="false" ht="15" hidden="false" customHeight="false" outlineLevel="0" collapsed="false">
      <c r="A2895" s="0" t="s">
        <v>260</v>
      </c>
      <c r="B2895" s="52" t="n">
        <v>44290</v>
      </c>
      <c r="C2895" s="54" t="s">
        <v>592</v>
      </c>
      <c r="D2895" s="0" t="n">
        <v>1</v>
      </c>
      <c r="E2895" s="0" t="n">
        <v>0</v>
      </c>
      <c r="F2895" s="0" t="n">
        <v>1</v>
      </c>
      <c r="G2895" s="0" t="n">
        <v>2021</v>
      </c>
    </row>
    <row r="2896" customFormat="false" ht="15" hidden="false" customHeight="false" outlineLevel="0" collapsed="false">
      <c r="A2896" s="0" t="s">
        <v>260</v>
      </c>
      <c r="B2896" s="52" t="n">
        <v>44291</v>
      </c>
      <c r="C2896" s="54" t="s">
        <v>590</v>
      </c>
      <c r="D2896" s="0" t="n">
        <v>0.02371355455804</v>
      </c>
      <c r="E2896" s="0" t="n">
        <v>0.111818491895136</v>
      </c>
      <c r="F2896" s="0" t="n">
        <v>0</v>
      </c>
      <c r="G2896" s="0" t="n">
        <v>2021</v>
      </c>
    </row>
    <row r="2897" customFormat="false" ht="15" hidden="false" customHeight="false" outlineLevel="0" collapsed="false">
      <c r="A2897" s="0" t="s">
        <v>260</v>
      </c>
      <c r="B2897" s="52" t="n">
        <v>44291</v>
      </c>
      <c r="C2897" s="54" t="s">
        <v>591</v>
      </c>
      <c r="D2897" s="0" t="n">
        <v>0.0597474218492946</v>
      </c>
      <c r="E2897" s="0" t="n">
        <v>0.0958762697400416</v>
      </c>
      <c r="F2897" s="0" t="n">
        <v>0</v>
      </c>
      <c r="G2897" s="0" t="n">
        <v>2021</v>
      </c>
    </row>
    <row r="2898" customFormat="false" ht="15" hidden="false" customHeight="false" outlineLevel="0" collapsed="false">
      <c r="A2898" s="0" t="s">
        <v>260</v>
      </c>
      <c r="B2898" s="52" t="n">
        <v>44291</v>
      </c>
      <c r="C2898" s="54" t="s">
        <v>592</v>
      </c>
      <c r="D2898" s="0" t="n">
        <v>0.999856726705532</v>
      </c>
      <c r="E2898" s="0" t="n">
        <v>0</v>
      </c>
      <c r="F2898" s="0" t="n">
        <v>0</v>
      </c>
      <c r="G2898" s="0" t="n">
        <v>2021</v>
      </c>
    </row>
    <row r="2899" customFormat="false" ht="15" hidden="false" customHeight="false" outlineLevel="0" collapsed="false">
      <c r="A2899" s="0" t="s">
        <v>260</v>
      </c>
      <c r="B2899" s="52" t="n">
        <v>44292</v>
      </c>
      <c r="C2899" s="54" t="s">
        <v>590</v>
      </c>
      <c r="D2899" s="0" t="n">
        <v>0.050774432126389</v>
      </c>
      <c r="E2899" s="0" t="n">
        <v>0.0404500021883026</v>
      </c>
      <c r="F2899" s="0" t="n">
        <v>0</v>
      </c>
      <c r="G2899" s="0" t="n">
        <v>2021</v>
      </c>
    </row>
    <row r="2900" customFormat="false" ht="15" hidden="false" customHeight="false" outlineLevel="0" collapsed="false">
      <c r="A2900" s="0" t="s">
        <v>260</v>
      </c>
      <c r="B2900" s="52" t="n">
        <v>44292</v>
      </c>
      <c r="C2900" s="54" t="s">
        <v>592</v>
      </c>
      <c r="D2900" s="0" t="n">
        <v>0.749463627587218</v>
      </c>
      <c r="E2900" s="0" t="n">
        <v>0.0106606025625039</v>
      </c>
      <c r="F2900" s="0" t="n">
        <v>0</v>
      </c>
      <c r="G2900" s="0" t="n">
        <v>2021</v>
      </c>
    </row>
    <row r="2901" customFormat="false" ht="15" hidden="false" customHeight="false" outlineLevel="0" collapsed="false">
      <c r="A2901" s="0" t="s">
        <v>260</v>
      </c>
      <c r="B2901" s="52" t="n">
        <v>44293</v>
      </c>
      <c r="C2901" s="54" t="s">
        <v>590</v>
      </c>
      <c r="D2901" s="0" t="n">
        <v>0.259710660746378</v>
      </c>
      <c r="E2901" s="0" t="n">
        <v>0.134637803964222</v>
      </c>
      <c r="F2901" s="0" t="n">
        <v>0</v>
      </c>
      <c r="G2901" s="0" t="n">
        <v>2021</v>
      </c>
    </row>
    <row r="2902" customFormat="false" ht="15" hidden="false" customHeight="false" outlineLevel="0" collapsed="false">
      <c r="A2902" s="0" t="s">
        <v>260</v>
      </c>
      <c r="B2902" s="52" t="n">
        <v>44293</v>
      </c>
      <c r="C2902" s="54" t="s">
        <v>591</v>
      </c>
      <c r="D2902" s="0" t="n">
        <v>0.0957773700974585</v>
      </c>
      <c r="E2902" s="0" t="n">
        <v>0.0936213132436031</v>
      </c>
      <c r="F2902" s="0" t="n">
        <v>0</v>
      </c>
      <c r="G2902" s="0" t="n">
        <v>2021</v>
      </c>
    </row>
    <row r="2903" customFormat="false" ht="15" hidden="false" customHeight="false" outlineLevel="0" collapsed="false">
      <c r="A2903" s="0" t="s">
        <v>260</v>
      </c>
      <c r="B2903" s="52" t="n">
        <v>44293</v>
      </c>
      <c r="C2903" s="54" t="s">
        <v>592</v>
      </c>
      <c r="D2903" s="0" t="n">
        <v>1</v>
      </c>
      <c r="E2903" s="0" t="n">
        <v>0</v>
      </c>
      <c r="F2903" s="0" t="n">
        <v>0</v>
      </c>
      <c r="G2903" s="0" t="n">
        <v>2021</v>
      </c>
    </row>
    <row r="2904" customFormat="false" ht="15" hidden="false" customHeight="false" outlineLevel="0" collapsed="false">
      <c r="A2904" s="0" t="s">
        <v>260</v>
      </c>
      <c r="B2904" s="52" t="n">
        <v>44294</v>
      </c>
      <c r="C2904" s="54" t="s">
        <v>590</v>
      </c>
      <c r="D2904" s="0" t="n">
        <v>0.0325998390731579</v>
      </c>
      <c r="E2904" s="0" t="n">
        <v>0.0824932368921553</v>
      </c>
      <c r="F2904" s="0" t="n">
        <v>0</v>
      </c>
      <c r="G2904" s="0" t="n">
        <v>2021</v>
      </c>
    </row>
    <row r="2905" customFormat="false" ht="15" hidden="false" customHeight="false" outlineLevel="0" collapsed="false">
      <c r="A2905" s="0" t="s">
        <v>260</v>
      </c>
      <c r="B2905" s="52" t="n">
        <v>44294</v>
      </c>
      <c r="C2905" s="54" t="s">
        <v>591</v>
      </c>
      <c r="D2905" s="0" t="n">
        <v>0.602386730758701</v>
      </c>
      <c r="E2905" s="0" t="n">
        <v>0.0281972599873276</v>
      </c>
      <c r="F2905" s="0" t="n">
        <v>0</v>
      </c>
      <c r="G2905" s="0" t="n">
        <v>2021</v>
      </c>
    </row>
    <row r="2906" customFormat="false" ht="15" hidden="false" customHeight="false" outlineLevel="0" collapsed="false">
      <c r="A2906" s="0" t="s">
        <v>260</v>
      </c>
      <c r="B2906" s="52" t="n">
        <v>44294</v>
      </c>
      <c r="C2906" s="54" t="s">
        <v>592</v>
      </c>
      <c r="D2906" s="0" t="n">
        <v>1</v>
      </c>
      <c r="E2906" s="0" t="n">
        <v>0</v>
      </c>
      <c r="F2906" s="0" t="n">
        <v>0</v>
      </c>
      <c r="G2906" s="0" t="n">
        <v>2021</v>
      </c>
    </row>
    <row r="2907" customFormat="false" ht="15" hidden="false" customHeight="false" outlineLevel="0" collapsed="false">
      <c r="A2907" s="0" t="s">
        <v>260</v>
      </c>
      <c r="B2907" s="52" t="n">
        <v>44295</v>
      </c>
      <c r="C2907" s="54" t="s">
        <v>590</v>
      </c>
      <c r="D2907" s="0" t="n">
        <v>0.012659496874339</v>
      </c>
      <c r="E2907" s="0" t="n">
        <v>0.0750450775051021</v>
      </c>
      <c r="F2907" s="0" t="n">
        <v>0</v>
      </c>
      <c r="G2907" s="0" t="n">
        <v>2021</v>
      </c>
    </row>
    <row r="2908" customFormat="false" ht="15" hidden="false" customHeight="false" outlineLevel="0" collapsed="false">
      <c r="A2908" s="0" t="s">
        <v>260</v>
      </c>
      <c r="B2908" s="52" t="n">
        <v>44295</v>
      </c>
      <c r="C2908" s="54" t="s">
        <v>591</v>
      </c>
      <c r="D2908" s="0" t="n">
        <v>0.86898814618448</v>
      </c>
      <c r="E2908" s="0" t="n">
        <v>0.033681912135262</v>
      </c>
      <c r="F2908" s="0" t="n">
        <v>0</v>
      </c>
      <c r="G2908" s="0" t="n">
        <v>2021</v>
      </c>
    </row>
    <row r="2909" customFormat="false" ht="15" hidden="false" customHeight="false" outlineLevel="0" collapsed="false">
      <c r="A2909" s="0" t="s">
        <v>260</v>
      </c>
      <c r="B2909" s="52" t="n">
        <v>44295</v>
      </c>
      <c r="C2909" s="54" t="s">
        <v>592</v>
      </c>
      <c r="D2909" s="0" t="n">
        <v>1</v>
      </c>
      <c r="E2909" s="0" t="n">
        <v>0</v>
      </c>
      <c r="F2909" s="0" t="n">
        <v>0</v>
      </c>
      <c r="G2909" s="0" t="n">
        <v>2021</v>
      </c>
    </row>
    <row r="2910" customFormat="false" ht="15" hidden="false" customHeight="false" outlineLevel="0" collapsed="false">
      <c r="A2910" s="0" t="s">
        <v>260</v>
      </c>
      <c r="B2910" s="52" t="n">
        <v>44296</v>
      </c>
      <c r="C2910" s="54" t="s">
        <v>590</v>
      </c>
      <c r="D2910" s="0" t="n">
        <v>0.0121949112036426</v>
      </c>
      <c r="E2910" s="0" t="n">
        <v>0.0950170133317583</v>
      </c>
      <c r="F2910" s="0" t="n">
        <v>1</v>
      </c>
      <c r="G2910" s="0" t="n">
        <v>2021</v>
      </c>
    </row>
    <row r="2911" customFormat="false" ht="15" hidden="false" customHeight="false" outlineLevel="0" collapsed="false">
      <c r="A2911" s="0" t="s">
        <v>260</v>
      </c>
      <c r="B2911" s="52" t="n">
        <v>44296</v>
      </c>
      <c r="C2911" s="54" t="s">
        <v>592</v>
      </c>
      <c r="D2911" s="0" t="n">
        <v>0.998722074950745</v>
      </c>
      <c r="E2911" s="0" t="n">
        <v>0</v>
      </c>
      <c r="F2911" s="0" t="n">
        <v>1</v>
      </c>
      <c r="G2911" s="0" t="n">
        <v>2021</v>
      </c>
    </row>
    <row r="2912" customFormat="false" ht="15" hidden="false" customHeight="false" outlineLevel="0" collapsed="false">
      <c r="A2912" s="0" t="s">
        <v>260</v>
      </c>
      <c r="B2912" s="52" t="n">
        <v>44297</v>
      </c>
      <c r="C2912" s="54" t="s">
        <v>590</v>
      </c>
      <c r="D2912" s="0" t="n">
        <v>0.0061638995968518</v>
      </c>
      <c r="E2912" s="0" t="n">
        <v>0.0893868271032793</v>
      </c>
      <c r="F2912" s="0" t="n">
        <v>1</v>
      </c>
      <c r="G2912" s="0" t="n">
        <v>2021</v>
      </c>
    </row>
    <row r="2913" customFormat="false" ht="15" hidden="false" customHeight="false" outlineLevel="0" collapsed="false">
      <c r="A2913" s="0" t="s">
        <v>260</v>
      </c>
      <c r="B2913" s="52" t="n">
        <v>44297</v>
      </c>
      <c r="C2913" s="54" t="s">
        <v>591</v>
      </c>
      <c r="D2913" s="0" t="n">
        <v>0.0390256138198052</v>
      </c>
      <c r="E2913" s="0" t="n">
        <v>0.0953031394861094</v>
      </c>
      <c r="F2913" s="0" t="n">
        <v>1</v>
      </c>
      <c r="G2913" s="0" t="n">
        <v>2021</v>
      </c>
    </row>
    <row r="2914" customFormat="false" ht="15" hidden="false" customHeight="false" outlineLevel="0" collapsed="false">
      <c r="A2914" s="0" t="s">
        <v>260</v>
      </c>
      <c r="B2914" s="52" t="n">
        <v>44297</v>
      </c>
      <c r="C2914" s="54" t="s">
        <v>592</v>
      </c>
      <c r="D2914" s="0" t="n">
        <v>1</v>
      </c>
      <c r="E2914" s="0" t="n">
        <v>0</v>
      </c>
      <c r="F2914" s="0" t="n">
        <v>1</v>
      </c>
      <c r="G2914" s="0" t="n">
        <v>2021</v>
      </c>
    </row>
    <row r="2915" customFormat="false" ht="15" hidden="false" customHeight="false" outlineLevel="0" collapsed="false">
      <c r="A2915" s="0" t="s">
        <v>260</v>
      </c>
      <c r="B2915" s="52" t="n">
        <v>44298</v>
      </c>
      <c r="C2915" s="54" t="s">
        <v>590</v>
      </c>
      <c r="D2915" s="0" t="n">
        <v>0.0144567989167074</v>
      </c>
      <c r="E2915" s="0" t="n">
        <v>0.149442771967336</v>
      </c>
      <c r="F2915" s="0" t="n">
        <v>0</v>
      </c>
      <c r="G2915" s="0" t="n">
        <v>2021</v>
      </c>
    </row>
    <row r="2916" customFormat="false" ht="15" hidden="false" customHeight="false" outlineLevel="0" collapsed="false">
      <c r="A2916" s="0" t="s">
        <v>260</v>
      </c>
      <c r="B2916" s="52" t="n">
        <v>44298</v>
      </c>
      <c r="C2916" s="54" t="s">
        <v>591</v>
      </c>
      <c r="D2916" s="0" t="n">
        <v>0.653910686040061</v>
      </c>
      <c r="E2916" s="0" t="n">
        <v>0.0141980651594458</v>
      </c>
      <c r="F2916" s="0" t="n">
        <v>0</v>
      </c>
      <c r="G2916" s="0" t="n">
        <v>2021</v>
      </c>
    </row>
    <row r="2917" customFormat="false" ht="15" hidden="false" customHeight="false" outlineLevel="0" collapsed="false">
      <c r="A2917" s="0" t="s">
        <v>260</v>
      </c>
      <c r="B2917" s="52" t="n">
        <v>44298</v>
      </c>
      <c r="C2917" s="54" t="s">
        <v>592</v>
      </c>
      <c r="D2917" s="0" t="n">
        <v>1</v>
      </c>
      <c r="E2917" s="0" t="n">
        <v>0</v>
      </c>
      <c r="F2917" s="0" t="n">
        <v>0</v>
      </c>
      <c r="G2917" s="0" t="n">
        <v>2021</v>
      </c>
    </row>
    <row r="2918" customFormat="false" ht="15" hidden="false" customHeight="false" outlineLevel="0" collapsed="false">
      <c r="A2918" s="0" t="s">
        <v>260</v>
      </c>
      <c r="B2918" s="52" t="n">
        <v>44299</v>
      </c>
      <c r="C2918" s="54" t="s">
        <v>590</v>
      </c>
      <c r="D2918" s="0" t="n">
        <v>0.0066427761398009</v>
      </c>
      <c r="E2918" s="0" t="n">
        <v>0.0999792225130305</v>
      </c>
      <c r="F2918" s="0" t="n">
        <v>0</v>
      </c>
      <c r="G2918" s="0" t="n">
        <v>2021</v>
      </c>
    </row>
    <row r="2919" customFormat="false" ht="15" hidden="false" customHeight="false" outlineLevel="0" collapsed="false">
      <c r="A2919" s="0" t="s">
        <v>260</v>
      </c>
      <c r="B2919" s="52" t="n">
        <v>44299</v>
      </c>
      <c r="C2919" s="54" t="s">
        <v>591</v>
      </c>
      <c r="D2919" s="0" t="n">
        <v>0.0431662144836544</v>
      </c>
      <c r="E2919" s="0" t="n">
        <v>0.0815337947878922</v>
      </c>
      <c r="F2919" s="0" t="n">
        <v>0</v>
      </c>
      <c r="G2919" s="0" t="n">
        <v>2021</v>
      </c>
    </row>
    <row r="2920" customFormat="false" ht="15" hidden="false" customHeight="false" outlineLevel="0" collapsed="false">
      <c r="A2920" s="0" t="s">
        <v>260</v>
      </c>
      <c r="B2920" s="52" t="n">
        <v>44299</v>
      </c>
      <c r="C2920" s="54" t="s">
        <v>592</v>
      </c>
      <c r="D2920" s="0" t="n">
        <v>1</v>
      </c>
      <c r="E2920" s="0" t="n">
        <v>0</v>
      </c>
      <c r="F2920" s="0" t="n">
        <v>0</v>
      </c>
      <c r="G2920" s="0" t="n">
        <v>2021</v>
      </c>
    </row>
    <row r="2921" customFormat="false" ht="15" hidden="false" customHeight="false" outlineLevel="0" collapsed="false">
      <c r="A2921" s="0" t="s">
        <v>260</v>
      </c>
      <c r="B2921" s="52" t="n">
        <v>44300</v>
      </c>
      <c r="C2921" s="54" t="s">
        <v>590</v>
      </c>
      <c r="D2921" s="0" t="n">
        <v>0.0246217393445968</v>
      </c>
      <c r="E2921" s="0" t="n">
        <v>0.0676312178508349</v>
      </c>
      <c r="F2921" s="0" t="n">
        <v>0</v>
      </c>
      <c r="G2921" s="0" t="n">
        <v>2021</v>
      </c>
    </row>
    <row r="2922" customFormat="false" ht="15" hidden="false" customHeight="false" outlineLevel="0" collapsed="false">
      <c r="A2922" s="0" t="s">
        <v>260</v>
      </c>
      <c r="B2922" s="52" t="n">
        <v>44300</v>
      </c>
      <c r="C2922" s="54" t="s">
        <v>591</v>
      </c>
      <c r="D2922" s="0" t="n">
        <v>0.023845152858472</v>
      </c>
      <c r="E2922" s="0" t="n">
        <v>0.127577836793437</v>
      </c>
      <c r="F2922" s="0" t="n">
        <v>0</v>
      </c>
      <c r="G2922" s="0" t="n">
        <v>2021</v>
      </c>
    </row>
    <row r="2923" customFormat="false" ht="15" hidden="false" customHeight="false" outlineLevel="0" collapsed="false">
      <c r="A2923" s="0" t="s">
        <v>260</v>
      </c>
      <c r="B2923" s="52" t="n">
        <v>44300</v>
      </c>
      <c r="C2923" s="54" t="s">
        <v>592</v>
      </c>
      <c r="D2923" s="0" t="n">
        <v>1</v>
      </c>
      <c r="E2923" s="0" t="n">
        <v>0</v>
      </c>
      <c r="F2923" s="0" t="n">
        <v>0</v>
      </c>
      <c r="G2923" s="0" t="n">
        <v>2021</v>
      </c>
    </row>
    <row r="2924" customFormat="false" ht="15" hidden="false" customHeight="false" outlineLevel="0" collapsed="false">
      <c r="A2924" s="0" t="s">
        <v>260</v>
      </c>
      <c r="B2924" s="52" t="n">
        <v>44301</v>
      </c>
      <c r="C2924" s="54" t="s">
        <v>590</v>
      </c>
      <c r="D2924" s="0" t="n">
        <v>0.0122394951362916</v>
      </c>
      <c r="E2924" s="0" t="n">
        <v>0.041466791611036</v>
      </c>
      <c r="F2924" s="0" t="n">
        <v>0</v>
      </c>
      <c r="G2924" s="0" t="n">
        <v>2021</v>
      </c>
    </row>
    <row r="2925" customFormat="false" ht="15" hidden="false" customHeight="false" outlineLevel="0" collapsed="false">
      <c r="A2925" s="0" t="s">
        <v>260</v>
      </c>
      <c r="B2925" s="52" t="n">
        <v>44301</v>
      </c>
      <c r="C2925" s="54" t="s">
        <v>591</v>
      </c>
      <c r="D2925" s="0" t="n">
        <v>0.780523050377934</v>
      </c>
      <c r="E2925" s="0" t="n">
        <v>0.0508842543208418</v>
      </c>
      <c r="F2925" s="0" t="n">
        <v>0</v>
      </c>
      <c r="G2925" s="0" t="n">
        <v>2021</v>
      </c>
    </row>
    <row r="2926" customFormat="false" ht="15" hidden="false" customHeight="false" outlineLevel="0" collapsed="false">
      <c r="A2926" s="0" t="s">
        <v>260</v>
      </c>
      <c r="B2926" s="52" t="n">
        <v>44301</v>
      </c>
      <c r="C2926" s="54" t="s">
        <v>592</v>
      </c>
      <c r="D2926" s="0" t="n">
        <v>1</v>
      </c>
      <c r="E2926" s="0" t="n">
        <v>0</v>
      </c>
      <c r="F2926" s="0" t="n">
        <v>0</v>
      </c>
      <c r="G2926" s="0" t="n">
        <v>2021</v>
      </c>
    </row>
    <row r="2927" customFormat="false" ht="15" hidden="false" customHeight="false" outlineLevel="0" collapsed="false">
      <c r="A2927" s="0" t="s">
        <v>260</v>
      </c>
      <c r="B2927" s="52" t="n">
        <v>44302</v>
      </c>
      <c r="C2927" s="54" t="s">
        <v>590</v>
      </c>
      <c r="D2927" s="0" t="n">
        <v>0.0258563646082386</v>
      </c>
      <c r="E2927" s="0" t="n">
        <v>0.0647721734456744</v>
      </c>
      <c r="F2927" s="0" t="n">
        <v>0</v>
      </c>
      <c r="G2927" s="0" t="n">
        <v>2021</v>
      </c>
    </row>
    <row r="2928" customFormat="false" ht="15" hidden="false" customHeight="false" outlineLevel="0" collapsed="false">
      <c r="A2928" s="0" t="s">
        <v>260</v>
      </c>
      <c r="B2928" s="52" t="n">
        <v>44302</v>
      </c>
      <c r="C2928" s="54" t="s">
        <v>591</v>
      </c>
      <c r="D2928" s="0" t="n">
        <v>0.301647668797865</v>
      </c>
      <c r="E2928" s="0" t="n">
        <v>0.0275952446922842</v>
      </c>
      <c r="F2928" s="0" t="n">
        <v>0</v>
      </c>
      <c r="G2928" s="0" t="n">
        <v>2021</v>
      </c>
    </row>
    <row r="2929" customFormat="false" ht="15" hidden="false" customHeight="false" outlineLevel="0" collapsed="false">
      <c r="A2929" s="0" t="s">
        <v>260</v>
      </c>
      <c r="B2929" s="52" t="n">
        <v>44302</v>
      </c>
      <c r="C2929" s="54" t="s">
        <v>592</v>
      </c>
      <c r="D2929" s="0" t="n">
        <v>1</v>
      </c>
      <c r="E2929" s="0" t="n">
        <v>0</v>
      </c>
      <c r="F2929" s="0" t="n">
        <v>0</v>
      </c>
      <c r="G2929" s="0" t="n">
        <v>2021</v>
      </c>
    </row>
    <row r="2930" customFormat="false" ht="15" hidden="false" customHeight="false" outlineLevel="0" collapsed="false">
      <c r="A2930" s="0" t="s">
        <v>260</v>
      </c>
      <c r="B2930" s="52" t="n">
        <v>44303</v>
      </c>
      <c r="C2930" s="54" t="s">
        <v>590</v>
      </c>
      <c r="D2930" s="0" t="n">
        <v>0.0106289867741713</v>
      </c>
      <c r="E2930" s="0" t="n">
        <v>0.103778180599899</v>
      </c>
      <c r="F2930" s="0" t="n">
        <v>1</v>
      </c>
      <c r="G2930" s="0" t="n">
        <v>2021</v>
      </c>
    </row>
    <row r="2931" customFormat="false" ht="15" hidden="false" customHeight="false" outlineLevel="0" collapsed="false">
      <c r="A2931" s="0" t="s">
        <v>260</v>
      </c>
      <c r="B2931" s="52" t="n">
        <v>44303</v>
      </c>
      <c r="C2931" s="54" t="s">
        <v>591</v>
      </c>
      <c r="D2931" s="0" t="n">
        <v>0.292801724262349</v>
      </c>
      <c r="E2931" s="0" t="n">
        <v>0.0910914702490461</v>
      </c>
      <c r="F2931" s="0" t="n">
        <v>1</v>
      </c>
      <c r="G2931" s="0" t="n">
        <v>2021</v>
      </c>
    </row>
    <row r="2932" customFormat="false" ht="15" hidden="false" customHeight="false" outlineLevel="0" collapsed="false">
      <c r="A2932" s="0" t="s">
        <v>260</v>
      </c>
      <c r="B2932" s="52" t="n">
        <v>44303</v>
      </c>
      <c r="C2932" s="54" t="s">
        <v>592</v>
      </c>
      <c r="D2932" s="0" t="n">
        <v>1</v>
      </c>
      <c r="E2932" s="0" t="n">
        <v>0</v>
      </c>
      <c r="F2932" s="0" t="n">
        <v>1</v>
      </c>
      <c r="G2932" s="0" t="n">
        <v>2021</v>
      </c>
    </row>
    <row r="2933" customFormat="false" ht="15" hidden="false" customHeight="false" outlineLevel="0" collapsed="false">
      <c r="A2933" s="0" t="s">
        <v>260</v>
      </c>
      <c r="B2933" s="52" t="n">
        <v>44304</v>
      </c>
      <c r="C2933" s="54" t="s">
        <v>590</v>
      </c>
      <c r="D2933" s="0" t="n">
        <v>0.022817930228588</v>
      </c>
      <c r="E2933" s="0" t="n">
        <v>0.0451719204209655</v>
      </c>
      <c r="F2933" s="0" t="n">
        <v>1</v>
      </c>
      <c r="G2933" s="0" t="n">
        <v>2021</v>
      </c>
    </row>
    <row r="2934" customFormat="false" ht="15" hidden="false" customHeight="false" outlineLevel="0" collapsed="false">
      <c r="A2934" s="0" t="s">
        <v>260</v>
      </c>
      <c r="B2934" s="52" t="n">
        <v>44304</v>
      </c>
      <c r="C2934" s="54" t="s">
        <v>591</v>
      </c>
      <c r="D2934" s="0" t="n">
        <v>0.637809936159849</v>
      </c>
      <c r="E2934" s="0" t="n">
        <v>0.018875178198072</v>
      </c>
      <c r="F2934" s="0" t="n">
        <v>1</v>
      </c>
      <c r="G2934" s="0" t="n">
        <v>2021</v>
      </c>
    </row>
    <row r="2935" customFormat="false" ht="15" hidden="false" customHeight="false" outlineLevel="0" collapsed="false">
      <c r="A2935" s="0" t="s">
        <v>260</v>
      </c>
      <c r="B2935" s="52" t="n">
        <v>44304</v>
      </c>
      <c r="C2935" s="54" t="s">
        <v>592</v>
      </c>
      <c r="D2935" s="0" t="n">
        <v>1</v>
      </c>
      <c r="E2935" s="0" t="n">
        <v>0</v>
      </c>
      <c r="F2935" s="0" t="n">
        <v>1</v>
      </c>
      <c r="G2935" s="0" t="n">
        <v>2021</v>
      </c>
    </row>
    <row r="2936" customFormat="false" ht="15" hidden="false" customHeight="false" outlineLevel="0" collapsed="false">
      <c r="A2936" s="0" t="s">
        <v>260</v>
      </c>
      <c r="B2936" s="52" t="n">
        <v>44305</v>
      </c>
      <c r="C2936" s="54" t="s">
        <v>590</v>
      </c>
      <c r="D2936" s="0" t="n">
        <v>0.0210520087676499</v>
      </c>
      <c r="E2936" s="0" t="n">
        <v>0.0593558981379666</v>
      </c>
      <c r="F2936" s="0" t="n">
        <v>0</v>
      </c>
      <c r="G2936" s="0" t="n">
        <v>2021</v>
      </c>
    </row>
    <row r="2937" customFormat="false" ht="15" hidden="false" customHeight="false" outlineLevel="0" collapsed="false">
      <c r="A2937" s="0" t="s">
        <v>260</v>
      </c>
      <c r="B2937" s="52" t="n">
        <v>44305</v>
      </c>
      <c r="C2937" s="54" t="s">
        <v>591</v>
      </c>
      <c r="D2937" s="0" t="n">
        <v>0.310917189611988</v>
      </c>
      <c r="E2937" s="0" t="n">
        <v>0.101867703598098</v>
      </c>
      <c r="F2937" s="0" t="n">
        <v>0</v>
      </c>
      <c r="G2937" s="0" t="n">
        <v>2021</v>
      </c>
    </row>
    <row r="2938" customFormat="false" ht="15" hidden="false" customHeight="false" outlineLevel="0" collapsed="false">
      <c r="A2938" s="0" t="s">
        <v>260</v>
      </c>
      <c r="B2938" s="52" t="n">
        <v>44305</v>
      </c>
      <c r="C2938" s="54" t="s">
        <v>592</v>
      </c>
      <c r="D2938" s="0" t="n">
        <v>1</v>
      </c>
      <c r="E2938" s="0" t="n">
        <v>0</v>
      </c>
      <c r="F2938" s="0" t="n">
        <v>0</v>
      </c>
      <c r="G2938" s="0" t="n">
        <v>2021</v>
      </c>
    </row>
    <row r="2939" customFormat="false" ht="15" hidden="false" customHeight="false" outlineLevel="0" collapsed="false">
      <c r="A2939" s="0" t="s">
        <v>260</v>
      </c>
      <c r="B2939" s="52" t="n">
        <v>44306</v>
      </c>
      <c r="C2939" s="54" t="s">
        <v>590</v>
      </c>
      <c r="D2939" s="0" t="n">
        <v>0.0093034738514458</v>
      </c>
      <c r="E2939" s="0" t="n">
        <v>0.0674980273025557</v>
      </c>
      <c r="F2939" s="0" t="n">
        <v>0</v>
      </c>
      <c r="G2939" s="0" t="n">
        <v>2021</v>
      </c>
    </row>
    <row r="2940" customFormat="false" ht="15" hidden="false" customHeight="false" outlineLevel="0" collapsed="false">
      <c r="A2940" s="0" t="s">
        <v>260</v>
      </c>
      <c r="B2940" s="52" t="n">
        <v>44306</v>
      </c>
      <c r="C2940" s="54" t="s">
        <v>591</v>
      </c>
      <c r="D2940" s="0" t="n">
        <v>0</v>
      </c>
      <c r="E2940" s="0" t="n">
        <v>0.0967284739859749</v>
      </c>
      <c r="F2940" s="0" t="n">
        <v>0</v>
      </c>
      <c r="G2940" s="0" t="n">
        <v>2021</v>
      </c>
    </row>
    <row r="2941" customFormat="false" ht="15" hidden="false" customHeight="false" outlineLevel="0" collapsed="false">
      <c r="A2941" s="0" t="s">
        <v>260</v>
      </c>
      <c r="B2941" s="52" t="n">
        <v>44306</v>
      </c>
      <c r="C2941" s="54" t="s">
        <v>592</v>
      </c>
      <c r="D2941" s="0" t="n">
        <v>0.936858209718491</v>
      </c>
      <c r="E2941" s="0" t="n">
        <v>0.0631417902815087</v>
      </c>
      <c r="F2941" s="0" t="n">
        <v>0</v>
      </c>
      <c r="G2941" s="0" t="n">
        <v>2021</v>
      </c>
    </row>
    <row r="2942" customFormat="false" ht="15" hidden="false" customHeight="false" outlineLevel="0" collapsed="false">
      <c r="A2942" s="0" t="s">
        <v>260</v>
      </c>
      <c r="B2942" s="52" t="n">
        <v>44307</v>
      </c>
      <c r="C2942" s="54" t="s">
        <v>590</v>
      </c>
      <c r="D2942" s="0" t="n">
        <v>0.0164226859829376</v>
      </c>
      <c r="E2942" s="0" t="n">
        <v>0.0568002933955943</v>
      </c>
      <c r="F2942" s="0" t="n">
        <v>0</v>
      </c>
      <c r="G2942" s="0" t="n">
        <v>2021</v>
      </c>
    </row>
    <row r="2943" customFormat="false" ht="15" hidden="false" customHeight="false" outlineLevel="0" collapsed="false">
      <c r="A2943" s="0" t="s">
        <v>260</v>
      </c>
      <c r="B2943" s="52" t="n">
        <v>44307</v>
      </c>
      <c r="C2943" s="54" t="s">
        <v>591</v>
      </c>
      <c r="D2943" s="0" t="n">
        <v>0.0708232991497734</v>
      </c>
      <c r="E2943" s="0" t="n">
        <v>0.102220285407057</v>
      </c>
      <c r="F2943" s="0" t="n">
        <v>0</v>
      </c>
      <c r="G2943" s="0" t="n">
        <v>2021</v>
      </c>
    </row>
    <row r="2944" customFormat="false" ht="15" hidden="false" customHeight="false" outlineLevel="0" collapsed="false">
      <c r="A2944" s="0" t="s">
        <v>260</v>
      </c>
      <c r="B2944" s="52" t="n">
        <v>44307</v>
      </c>
      <c r="C2944" s="54" t="s">
        <v>592</v>
      </c>
      <c r="D2944" s="0" t="n">
        <v>1</v>
      </c>
      <c r="E2944" s="0" t="n">
        <v>0</v>
      </c>
      <c r="F2944" s="0" t="n">
        <v>0</v>
      </c>
      <c r="G2944" s="0" t="n">
        <v>2021</v>
      </c>
    </row>
    <row r="2945" customFormat="false" ht="15" hidden="false" customHeight="false" outlineLevel="0" collapsed="false">
      <c r="A2945" s="0" t="s">
        <v>260</v>
      </c>
      <c r="B2945" s="52" t="n">
        <v>44308</v>
      </c>
      <c r="C2945" s="54" t="s">
        <v>590</v>
      </c>
      <c r="D2945" s="0" t="n">
        <v>0.0119179796518866</v>
      </c>
      <c r="E2945" s="0" t="n">
        <v>0.0700148962566659</v>
      </c>
      <c r="F2945" s="0" t="n">
        <v>0</v>
      </c>
      <c r="G2945" s="0" t="n">
        <v>2021</v>
      </c>
    </row>
    <row r="2946" customFormat="false" ht="15" hidden="false" customHeight="false" outlineLevel="0" collapsed="false">
      <c r="A2946" s="0" t="s">
        <v>260</v>
      </c>
      <c r="B2946" s="52" t="n">
        <v>44308</v>
      </c>
      <c r="C2946" s="54" t="s">
        <v>591</v>
      </c>
      <c r="D2946" s="0" t="n">
        <v>0.987332635531546</v>
      </c>
      <c r="E2946" s="0" t="n">
        <v>0.0126673644684539</v>
      </c>
      <c r="F2946" s="0" t="n">
        <v>0</v>
      </c>
      <c r="G2946" s="0" t="n">
        <v>2021</v>
      </c>
    </row>
    <row r="2947" customFormat="false" ht="15" hidden="false" customHeight="false" outlineLevel="0" collapsed="false">
      <c r="A2947" s="0" t="s">
        <v>260</v>
      </c>
      <c r="B2947" s="52" t="n">
        <v>44308</v>
      </c>
      <c r="C2947" s="54" t="s">
        <v>592</v>
      </c>
      <c r="D2947" s="0" t="n">
        <v>1</v>
      </c>
      <c r="E2947" s="0" t="n">
        <v>0</v>
      </c>
      <c r="F2947" s="0" t="n">
        <v>0</v>
      </c>
      <c r="G2947" s="0" t="n">
        <v>2021</v>
      </c>
    </row>
    <row r="2948" customFormat="false" ht="15" hidden="false" customHeight="false" outlineLevel="0" collapsed="false">
      <c r="A2948" s="0" t="s">
        <v>260</v>
      </c>
      <c r="B2948" s="52" t="n">
        <v>44309</v>
      </c>
      <c r="C2948" s="54" t="s">
        <v>590</v>
      </c>
      <c r="D2948" s="0" t="n">
        <v>0.0183899865229305</v>
      </c>
      <c r="E2948" s="0" t="n">
        <v>0.0343845034370876</v>
      </c>
      <c r="F2948" s="0" t="n">
        <v>0</v>
      </c>
      <c r="G2948" s="0" t="n">
        <v>2021</v>
      </c>
    </row>
    <row r="2949" customFormat="false" ht="15" hidden="false" customHeight="false" outlineLevel="0" collapsed="false">
      <c r="A2949" s="0" t="s">
        <v>260</v>
      </c>
      <c r="B2949" s="52" t="n">
        <v>44309</v>
      </c>
      <c r="C2949" s="54" t="s">
        <v>591</v>
      </c>
      <c r="D2949" s="0" t="n">
        <v>0.450640502729313</v>
      </c>
      <c r="E2949" s="0" t="n">
        <v>0.0926338655992083</v>
      </c>
      <c r="F2949" s="0" t="n">
        <v>0</v>
      </c>
      <c r="G2949" s="0" t="n">
        <v>2021</v>
      </c>
    </row>
    <row r="2950" customFormat="false" ht="15" hidden="false" customHeight="false" outlineLevel="0" collapsed="false">
      <c r="A2950" s="0" t="s">
        <v>260</v>
      </c>
      <c r="B2950" s="52" t="n">
        <v>44309</v>
      </c>
      <c r="C2950" s="54" t="s">
        <v>592</v>
      </c>
      <c r="D2950" s="0" t="n">
        <v>1</v>
      </c>
      <c r="E2950" s="0" t="n">
        <v>0</v>
      </c>
      <c r="F2950" s="0" t="n">
        <v>0</v>
      </c>
      <c r="G2950" s="0" t="n">
        <v>2021</v>
      </c>
    </row>
    <row r="2951" customFormat="false" ht="15" hidden="false" customHeight="false" outlineLevel="0" collapsed="false">
      <c r="A2951" s="0" t="s">
        <v>260</v>
      </c>
      <c r="B2951" s="52" t="n">
        <v>44310</v>
      </c>
      <c r="C2951" s="54" t="s">
        <v>590</v>
      </c>
      <c r="D2951" s="0" t="n">
        <v>0.0352866324911684</v>
      </c>
      <c r="E2951" s="0" t="n">
        <v>0.0450827360966178</v>
      </c>
      <c r="F2951" s="0" t="n">
        <v>1</v>
      </c>
      <c r="G2951" s="0" t="n">
        <v>2021</v>
      </c>
    </row>
    <row r="2952" customFormat="false" ht="15" hidden="false" customHeight="false" outlineLevel="0" collapsed="false">
      <c r="A2952" s="0" t="s">
        <v>260</v>
      </c>
      <c r="B2952" s="52" t="n">
        <v>44310</v>
      </c>
      <c r="C2952" s="54" t="s">
        <v>591</v>
      </c>
      <c r="D2952" s="0" t="n">
        <v>0.0053107609527435</v>
      </c>
      <c r="E2952" s="0" t="n">
        <v>0.652994607255311</v>
      </c>
      <c r="F2952" s="0" t="n">
        <v>1</v>
      </c>
      <c r="G2952" s="0" t="n">
        <v>2021</v>
      </c>
    </row>
    <row r="2953" customFormat="false" ht="15" hidden="false" customHeight="false" outlineLevel="0" collapsed="false">
      <c r="A2953" s="0" t="s">
        <v>260</v>
      </c>
      <c r="B2953" s="52" t="n">
        <v>44310</v>
      </c>
      <c r="C2953" s="54" t="s">
        <v>592</v>
      </c>
      <c r="D2953" s="0" t="n">
        <v>1</v>
      </c>
      <c r="E2953" s="0" t="n">
        <v>0</v>
      </c>
      <c r="F2953" s="0" t="n">
        <v>1</v>
      </c>
      <c r="G2953" s="0" t="n">
        <v>2021</v>
      </c>
    </row>
    <row r="2954" customFormat="false" ht="15" hidden="false" customHeight="false" outlineLevel="0" collapsed="false">
      <c r="A2954" s="0" t="s">
        <v>260</v>
      </c>
      <c r="B2954" s="52" t="n">
        <v>44311</v>
      </c>
      <c r="C2954" s="54" t="s">
        <v>590</v>
      </c>
      <c r="D2954" s="0" t="n">
        <v>0.0107138732736424</v>
      </c>
      <c r="E2954" s="0" t="n">
        <v>0.106033076689182</v>
      </c>
      <c r="F2954" s="0" t="n">
        <v>1</v>
      </c>
      <c r="G2954" s="0" t="n">
        <v>2021</v>
      </c>
    </row>
    <row r="2955" customFormat="false" ht="15" hidden="false" customHeight="false" outlineLevel="0" collapsed="false">
      <c r="A2955" s="0" t="s">
        <v>260</v>
      </c>
      <c r="B2955" s="52" t="n">
        <v>44311</v>
      </c>
      <c r="C2955" s="54" t="s">
        <v>591</v>
      </c>
      <c r="D2955" s="0" t="n">
        <v>0.0533867270333569</v>
      </c>
      <c r="E2955" s="0" t="n">
        <v>0.0671724063949798</v>
      </c>
      <c r="F2955" s="0" t="n">
        <v>1</v>
      </c>
      <c r="G2955" s="0" t="n">
        <v>2021</v>
      </c>
    </row>
    <row r="2956" customFormat="false" ht="15" hidden="false" customHeight="false" outlineLevel="0" collapsed="false">
      <c r="A2956" s="0" t="s">
        <v>260</v>
      </c>
      <c r="B2956" s="52" t="n">
        <v>44311</v>
      </c>
      <c r="C2956" s="54" t="s">
        <v>592</v>
      </c>
      <c r="D2956" s="0" t="n">
        <v>1</v>
      </c>
      <c r="E2956" s="0" t="n">
        <v>0</v>
      </c>
      <c r="F2956" s="0" t="n">
        <v>1</v>
      </c>
      <c r="G2956" s="0" t="n">
        <v>2021</v>
      </c>
    </row>
    <row r="2957" customFormat="false" ht="15" hidden="false" customHeight="false" outlineLevel="0" collapsed="false">
      <c r="A2957" s="0" t="s">
        <v>260</v>
      </c>
      <c r="B2957" s="52" t="n">
        <v>44312</v>
      </c>
      <c r="C2957" s="54" t="s">
        <v>590</v>
      </c>
      <c r="D2957" s="0" t="n">
        <v>0.0264496226735113</v>
      </c>
      <c r="E2957" s="0" t="n">
        <v>0.0668696383465015</v>
      </c>
      <c r="F2957" s="0" t="n">
        <v>0</v>
      </c>
      <c r="G2957" s="0" t="n">
        <v>2021</v>
      </c>
    </row>
    <row r="2958" customFormat="false" ht="15" hidden="false" customHeight="false" outlineLevel="0" collapsed="false">
      <c r="A2958" s="0" t="s">
        <v>260</v>
      </c>
      <c r="B2958" s="52" t="n">
        <v>44312</v>
      </c>
      <c r="C2958" s="54" t="s">
        <v>591</v>
      </c>
      <c r="D2958" s="0" t="n">
        <v>0.146614470292041</v>
      </c>
      <c r="E2958" s="0" t="n">
        <v>0.0890025252048662</v>
      </c>
      <c r="F2958" s="0" t="n">
        <v>0</v>
      </c>
      <c r="G2958" s="0" t="n">
        <v>2021</v>
      </c>
    </row>
    <row r="2959" customFormat="false" ht="15" hidden="false" customHeight="false" outlineLevel="0" collapsed="false">
      <c r="A2959" s="0" t="s">
        <v>260</v>
      </c>
      <c r="B2959" s="52" t="n">
        <v>44312</v>
      </c>
      <c r="C2959" s="54" t="s">
        <v>592</v>
      </c>
      <c r="D2959" s="0" t="n">
        <v>1</v>
      </c>
      <c r="E2959" s="0" t="n">
        <v>0</v>
      </c>
      <c r="F2959" s="0" t="n">
        <v>0</v>
      </c>
      <c r="G2959" s="0" t="n">
        <v>2021</v>
      </c>
    </row>
    <row r="2960" customFormat="false" ht="15" hidden="false" customHeight="false" outlineLevel="0" collapsed="false">
      <c r="A2960" s="0" t="s">
        <v>260</v>
      </c>
      <c r="B2960" s="52" t="n">
        <v>44313</v>
      </c>
      <c r="C2960" s="54" t="s">
        <v>590</v>
      </c>
      <c r="D2960" s="0" t="n">
        <v>0.0279613538113961</v>
      </c>
      <c r="E2960" s="0" t="n">
        <v>0.051369669584863</v>
      </c>
      <c r="F2960" s="0" t="n">
        <v>0</v>
      </c>
      <c r="G2960" s="0" t="n">
        <v>2021</v>
      </c>
    </row>
    <row r="2961" customFormat="false" ht="15" hidden="false" customHeight="false" outlineLevel="0" collapsed="false">
      <c r="A2961" s="0" t="s">
        <v>260</v>
      </c>
      <c r="B2961" s="52" t="n">
        <v>44313</v>
      </c>
      <c r="C2961" s="54" t="s">
        <v>591</v>
      </c>
      <c r="D2961" s="0" t="n">
        <v>0.026002743333376</v>
      </c>
      <c r="E2961" s="0" t="n">
        <v>0.0828785818096819</v>
      </c>
      <c r="F2961" s="0" t="n">
        <v>0</v>
      </c>
      <c r="G2961" s="0" t="n">
        <v>2021</v>
      </c>
    </row>
    <row r="2962" customFormat="false" ht="15" hidden="false" customHeight="false" outlineLevel="0" collapsed="false">
      <c r="A2962" s="0" t="s">
        <v>260</v>
      </c>
      <c r="B2962" s="52" t="n">
        <v>44313</v>
      </c>
      <c r="C2962" s="54" t="s">
        <v>592</v>
      </c>
      <c r="D2962" s="0" t="n">
        <v>0.902337015588111</v>
      </c>
      <c r="E2962" s="0" t="n">
        <v>0.0055540547779681</v>
      </c>
      <c r="F2962" s="0" t="n">
        <v>0</v>
      </c>
      <c r="G2962" s="0" t="n">
        <v>2021</v>
      </c>
    </row>
    <row r="2963" customFormat="false" ht="15" hidden="false" customHeight="false" outlineLevel="0" collapsed="false">
      <c r="A2963" s="0" t="s">
        <v>260</v>
      </c>
      <c r="B2963" s="52" t="n">
        <v>44314</v>
      </c>
      <c r="C2963" s="54" t="s">
        <v>590</v>
      </c>
      <c r="D2963" s="0" t="n">
        <v>0.0212995817577577</v>
      </c>
      <c r="E2963" s="0" t="n">
        <v>0.0727912829712965</v>
      </c>
      <c r="F2963" s="0" t="n">
        <v>0</v>
      </c>
      <c r="G2963" s="0" t="n">
        <v>2021</v>
      </c>
    </row>
    <row r="2964" customFormat="false" ht="15" hidden="false" customHeight="false" outlineLevel="0" collapsed="false">
      <c r="A2964" s="0" t="s">
        <v>260</v>
      </c>
      <c r="B2964" s="52" t="n">
        <v>44314</v>
      </c>
      <c r="C2964" s="54" t="s">
        <v>591</v>
      </c>
      <c r="D2964" s="0" t="n">
        <v>0.0492179648826555</v>
      </c>
      <c r="E2964" s="0" t="n">
        <v>0.0558613924061356</v>
      </c>
      <c r="F2964" s="0" t="n">
        <v>0</v>
      </c>
      <c r="G2964" s="0" t="n">
        <v>2021</v>
      </c>
    </row>
    <row r="2965" customFormat="false" ht="15" hidden="false" customHeight="false" outlineLevel="0" collapsed="false">
      <c r="A2965" s="0" t="s">
        <v>260</v>
      </c>
      <c r="B2965" s="52" t="n">
        <v>44314</v>
      </c>
      <c r="C2965" s="54" t="s">
        <v>592</v>
      </c>
      <c r="D2965" s="0" t="n">
        <v>1</v>
      </c>
      <c r="E2965" s="0" t="n">
        <v>0</v>
      </c>
      <c r="F2965" s="0" t="n">
        <v>0</v>
      </c>
      <c r="G2965" s="0" t="n">
        <v>2021</v>
      </c>
    </row>
    <row r="2966" customFormat="false" ht="15" hidden="false" customHeight="false" outlineLevel="0" collapsed="false">
      <c r="A2966" s="0" t="s">
        <v>260</v>
      </c>
      <c r="B2966" s="52" t="n">
        <v>44315</v>
      </c>
      <c r="C2966" s="54" t="s">
        <v>590</v>
      </c>
      <c r="D2966" s="0" t="n">
        <v>0.0092221735798655</v>
      </c>
      <c r="E2966" s="0" t="n">
        <v>0.0943688804282664</v>
      </c>
      <c r="F2966" s="0" t="n">
        <v>0</v>
      </c>
      <c r="G2966" s="0" t="n">
        <v>2021</v>
      </c>
    </row>
    <row r="2967" customFormat="false" ht="15" hidden="false" customHeight="false" outlineLevel="0" collapsed="false">
      <c r="A2967" s="0" t="s">
        <v>260</v>
      </c>
      <c r="B2967" s="52" t="n">
        <v>44315</v>
      </c>
      <c r="C2967" s="54" t="s">
        <v>591</v>
      </c>
      <c r="D2967" s="0" t="n">
        <v>0.511466307465946</v>
      </c>
      <c r="E2967" s="0" t="n">
        <v>0.0289761680698071</v>
      </c>
      <c r="F2967" s="0" t="n">
        <v>0</v>
      </c>
      <c r="G2967" s="0" t="n">
        <v>2021</v>
      </c>
    </row>
    <row r="2968" customFormat="false" ht="15" hidden="false" customHeight="false" outlineLevel="0" collapsed="false">
      <c r="A2968" s="0" t="s">
        <v>260</v>
      </c>
      <c r="B2968" s="52" t="n">
        <v>44315</v>
      </c>
      <c r="C2968" s="54" t="s">
        <v>592</v>
      </c>
      <c r="D2968" s="0" t="n">
        <v>1</v>
      </c>
      <c r="E2968" s="0" t="n">
        <v>0</v>
      </c>
      <c r="F2968" s="0" t="n">
        <v>0</v>
      </c>
      <c r="G2968" s="0" t="n">
        <v>2021</v>
      </c>
    </row>
    <row r="2969" customFormat="false" ht="15" hidden="false" customHeight="false" outlineLevel="0" collapsed="false">
      <c r="A2969" s="0" t="s">
        <v>260</v>
      </c>
      <c r="B2969" s="52" t="n">
        <v>44316</v>
      </c>
      <c r="C2969" s="54" t="s">
        <v>590</v>
      </c>
      <c r="D2969" s="0" t="n">
        <v>0.0283627979953062</v>
      </c>
      <c r="E2969" s="0" t="n">
        <v>0.0373037431265064</v>
      </c>
      <c r="F2969" s="0" t="n">
        <v>0</v>
      </c>
      <c r="G2969" s="0" t="n">
        <v>2021</v>
      </c>
    </row>
    <row r="2970" customFormat="false" ht="15" hidden="false" customHeight="false" outlineLevel="0" collapsed="false">
      <c r="A2970" s="0" t="s">
        <v>260</v>
      </c>
      <c r="B2970" s="52" t="n">
        <v>44316</v>
      </c>
      <c r="C2970" s="54" t="s">
        <v>591</v>
      </c>
      <c r="D2970" s="0" t="n">
        <v>0.331771053224828</v>
      </c>
      <c r="E2970" s="0" t="n">
        <v>0.102852481140491</v>
      </c>
      <c r="F2970" s="0" t="n">
        <v>0</v>
      </c>
      <c r="G2970" s="0" t="n">
        <v>2021</v>
      </c>
    </row>
    <row r="2971" customFormat="false" ht="15" hidden="false" customHeight="false" outlineLevel="0" collapsed="false">
      <c r="A2971" s="0" t="s">
        <v>260</v>
      </c>
      <c r="B2971" s="52" t="n">
        <v>44316</v>
      </c>
      <c r="C2971" s="54" t="s">
        <v>592</v>
      </c>
      <c r="D2971" s="0" t="n">
        <v>1</v>
      </c>
      <c r="E2971" s="0" t="n">
        <v>0</v>
      </c>
      <c r="F2971" s="0" t="n">
        <v>0</v>
      </c>
      <c r="G2971" s="0" t="n">
        <v>2021</v>
      </c>
    </row>
    <row r="2972" customFormat="false" ht="15" hidden="false" customHeight="false" outlineLevel="0" collapsed="false">
      <c r="A2972" s="0" t="s">
        <v>260</v>
      </c>
      <c r="B2972" s="52" t="n">
        <v>44317</v>
      </c>
      <c r="C2972" s="54" t="s">
        <v>590</v>
      </c>
      <c r="D2972" s="0" t="n">
        <v>0.0140021034776427</v>
      </c>
      <c r="E2972" s="0" t="n">
        <v>0.0524895328838729</v>
      </c>
      <c r="F2972" s="0" t="n">
        <v>1</v>
      </c>
      <c r="G2972" s="0" t="n">
        <v>2021</v>
      </c>
    </row>
    <row r="2973" customFormat="false" ht="15" hidden="false" customHeight="false" outlineLevel="0" collapsed="false">
      <c r="A2973" s="0" t="s">
        <v>260</v>
      </c>
      <c r="B2973" s="52" t="n">
        <v>44317</v>
      </c>
      <c r="C2973" s="54" t="s">
        <v>591</v>
      </c>
      <c r="D2973" s="0" t="n">
        <v>0.19045147388006</v>
      </c>
      <c r="E2973" s="0" t="n">
        <v>0.112069107201429</v>
      </c>
      <c r="F2973" s="0" t="n">
        <v>1</v>
      </c>
      <c r="G2973" s="0" t="n">
        <v>2021</v>
      </c>
    </row>
    <row r="2974" customFormat="false" ht="15" hidden="false" customHeight="false" outlineLevel="0" collapsed="false">
      <c r="A2974" s="0" t="s">
        <v>260</v>
      </c>
      <c r="B2974" s="52" t="n">
        <v>44317</v>
      </c>
      <c r="C2974" s="54" t="s">
        <v>592</v>
      </c>
      <c r="D2974" s="0" t="n">
        <v>1</v>
      </c>
      <c r="E2974" s="0" t="n">
        <v>0</v>
      </c>
      <c r="F2974" s="0" t="n">
        <v>1</v>
      </c>
      <c r="G2974" s="0" t="n">
        <v>2021</v>
      </c>
    </row>
    <row r="2975" customFormat="false" ht="15" hidden="false" customHeight="false" outlineLevel="0" collapsed="false">
      <c r="A2975" s="0" t="s">
        <v>260</v>
      </c>
      <c r="B2975" s="52" t="n">
        <v>44318</v>
      </c>
      <c r="C2975" s="54" t="s">
        <v>590</v>
      </c>
      <c r="D2975" s="0" t="n">
        <v>0.0180676283823441</v>
      </c>
      <c r="E2975" s="0" t="n">
        <v>0.143000668587362</v>
      </c>
      <c r="F2975" s="0" t="n">
        <v>1</v>
      </c>
      <c r="G2975" s="0" t="n">
        <v>2021</v>
      </c>
    </row>
    <row r="2976" customFormat="false" ht="15" hidden="false" customHeight="false" outlineLevel="0" collapsed="false">
      <c r="A2976" s="0" t="s">
        <v>260</v>
      </c>
      <c r="B2976" s="52" t="n">
        <v>44318</v>
      </c>
      <c r="C2976" s="54" t="s">
        <v>591</v>
      </c>
      <c r="D2976" s="0" t="n">
        <v>0.101706986180107</v>
      </c>
      <c r="E2976" s="0" t="n">
        <v>0.0386003327502194</v>
      </c>
      <c r="F2976" s="0" t="n">
        <v>1</v>
      </c>
      <c r="G2976" s="0" t="n">
        <v>2021</v>
      </c>
    </row>
    <row r="2977" customFormat="false" ht="15" hidden="false" customHeight="false" outlineLevel="0" collapsed="false">
      <c r="A2977" s="0" t="s">
        <v>260</v>
      </c>
      <c r="B2977" s="52" t="n">
        <v>44318</v>
      </c>
      <c r="C2977" s="54" t="s">
        <v>592</v>
      </c>
      <c r="D2977" s="0" t="n">
        <v>1</v>
      </c>
      <c r="E2977" s="0" t="n">
        <v>0</v>
      </c>
      <c r="F2977" s="0" t="n">
        <v>1</v>
      </c>
      <c r="G2977" s="0" t="n">
        <v>2021</v>
      </c>
    </row>
    <row r="2978" customFormat="false" ht="15" hidden="false" customHeight="false" outlineLevel="0" collapsed="false">
      <c r="A2978" s="0" t="s">
        <v>260</v>
      </c>
      <c r="B2978" s="52" t="n">
        <v>44319</v>
      </c>
      <c r="C2978" s="54" t="s">
        <v>590</v>
      </c>
      <c r="D2978" s="0" t="n">
        <v>0.0141297426339516</v>
      </c>
      <c r="E2978" s="0" t="n">
        <v>0.0679484032171213</v>
      </c>
      <c r="F2978" s="0" t="n">
        <v>0</v>
      </c>
      <c r="G2978" s="0" t="n">
        <v>2021</v>
      </c>
    </row>
    <row r="2979" customFormat="false" ht="15" hidden="false" customHeight="false" outlineLevel="0" collapsed="false">
      <c r="A2979" s="0" t="s">
        <v>260</v>
      </c>
      <c r="B2979" s="52" t="n">
        <v>44319</v>
      </c>
      <c r="C2979" s="54" t="s">
        <v>591</v>
      </c>
      <c r="D2979" s="0" t="n">
        <v>0.117650499753482</v>
      </c>
      <c r="E2979" s="0" t="n">
        <v>0.0915077682978525</v>
      </c>
      <c r="F2979" s="0" t="n">
        <v>0</v>
      </c>
      <c r="G2979" s="0" t="n">
        <v>2021</v>
      </c>
    </row>
    <row r="2980" customFormat="false" ht="15" hidden="false" customHeight="false" outlineLevel="0" collapsed="false">
      <c r="A2980" s="0" t="s">
        <v>260</v>
      </c>
      <c r="B2980" s="52" t="n">
        <v>44319</v>
      </c>
      <c r="C2980" s="54" t="s">
        <v>592</v>
      </c>
      <c r="D2980" s="0" t="n">
        <v>1</v>
      </c>
      <c r="E2980" s="0" t="n">
        <v>0</v>
      </c>
      <c r="F2980" s="0" t="n">
        <v>0</v>
      </c>
      <c r="G2980" s="0" t="n">
        <v>2021</v>
      </c>
    </row>
    <row r="2981" customFormat="false" ht="15" hidden="false" customHeight="false" outlineLevel="0" collapsed="false">
      <c r="A2981" s="0" t="s">
        <v>260</v>
      </c>
      <c r="B2981" s="52" t="n">
        <v>44320</v>
      </c>
      <c r="C2981" s="54" t="s">
        <v>590</v>
      </c>
      <c r="D2981" s="0" t="n">
        <v>0.0349201905512202</v>
      </c>
      <c r="E2981" s="0" t="n">
        <v>0.139960992758874</v>
      </c>
      <c r="F2981" s="0" t="n">
        <v>0</v>
      </c>
      <c r="G2981" s="0" t="n">
        <v>2021</v>
      </c>
    </row>
    <row r="2982" customFormat="false" ht="15" hidden="false" customHeight="false" outlineLevel="0" collapsed="false">
      <c r="A2982" s="0" t="s">
        <v>260</v>
      </c>
      <c r="B2982" s="52" t="n">
        <v>44320</v>
      </c>
      <c r="C2982" s="54" t="s">
        <v>591</v>
      </c>
      <c r="D2982" s="0" t="n">
        <v>0.564044072628185</v>
      </c>
      <c r="E2982" s="0" t="n">
        <v>0.0137540672981145</v>
      </c>
      <c r="F2982" s="0" t="n">
        <v>0</v>
      </c>
      <c r="G2982" s="0" t="n">
        <v>2021</v>
      </c>
    </row>
    <row r="2983" customFormat="false" ht="15" hidden="false" customHeight="false" outlineLevel="0" collapsed="false">
      <c r="A2983" s="0" t="s">
        <v>260</v>
      </c>
      <c r="B2983" s="52" t="n">
        <v>44320</v>
      </c>
      <c r="C2983" s="54" t="s">
        <v>592</v>
      </c>
      <c r="D2983" s="0" t="n">
        <v>1</v>
      </c>
      <c r="E2983" s="0" t="n">
        <v>0</v>
      </c>
      <c r="F2983" s="0" t="n">
        <v>0</v>
      </c>
      <c r="G2983" s="0" t="n">
        <v>2021</v>
      </c>
    </row>
    <row r="2984" customFormat="false" ht="15" hidden="false" customHeight="false" outlineLevel="0" collapsed="false">
      <c r="A2984" s="0" t="s">
        <v>260</v>
      </c>
      <c r="B2984" s="52" t="n">
        <v>44321</v>
      </c>
      <c r="C2984" s="54" t="s">
        <v>590</v>
      </c>
      <c r="D2984" s="0" t="n">
        <v>0.0288485561865881</v>
      </c>
      <c r="E2984" s="0" t="n">
        <v>0.0165243358722998</v>
      </c>
      <c r="F2984" s="0" t="n">
        <v>0</v>
      </c>
      <c r="G2984" s="0" t="n">
        <v>2021</v>
      </c>
    </row>
    <row r="2985" customFormat="false" ht="15" hidden="false" customHeight="false" outlineLevel="0" collapsed="false">
      <c r="A2985" s="0" t="s">
        <v>260</v>
      </c>
      <c r="B2985" s="52" t="n">
        <v>44321</v>
      </c>
      <c r="C2985" s="54" t="s">
        <v>591</v>
      </c>
      <c r="D2985" s="0" t="n">
        <v>0.0749088087141163</v>
      </c>
      <c r="E2985" s="0" t="n">
        <v>0.0492013845010712</v>
      </c>
      <c r="F2985" s="0" t="n">
        <v>0</v>
      </c>
      <c r="G2985" s="0" t="n">
        <v>2021</v>
      </c>
    </row>
    <row r="2986" customFormat="false" ht="15" hidden="false" customHeight="false" outlineLevel="0" collapsed="false">
      <c r="A2986" s="0" t="s">
        <v>260</v>
      </c>
      <c r="B2986" s="52" t="n">
        <v>44321</v>
      </c>
      <c r="C2986" s="54" t="s">
        <v>592</v>
      </c>
      <c r="D2986" s="0" t="n">
        <v>1</v>
      </c>
      <c r="E2986" s="0" t="n">
        <v>0</v>
      </c>
      <c r="F2986" s="0" t="n">
        <v>0</v>
      </c>
      <c r="G2986" s="0" t="n">
        <v>2021</v>
      </c>
    </row>
    <row r="2987" customFormat="false" ht="15" hidden="false" customHeight="false" outlineLevel="0" collapsed="false">
      <c r="A2987" s="0" t="s">
        <v>260</v>
      </c>
      <c r="B2987" s="52" t="n">
        <v>44322</v>
      </c>
      <c r="C2987" s="54" t="s">
        <v>590</v>
      </c>
      <c r="D2987" s="0" t="n">
        <v>0.0143216702987688</v>
      </c>
      <c r="E2987" s="0" t="n">
        <v>0.0895911683209144</v>
      </c>
      <c r="F2987" s="0" t="n">
        <v>0</v>
      </c>
      <c r="G2987" s="0" t="n">
        <v>2021</v>
      </c>
    </row>
    <row r="2988" customFormat="false" ht="15" hidden="false" customHeight="false" outlineLevel="0" collapsed="false">
      <c r="A2988" s="0" t="s">
        <v>260</v>
      </c>
      <c r="B2988" s="52" t="n">
        <v>44322</v>
      </c>
      <c r="C2988" s="54" t="s">
        <v>591</v>
      </c>
      <c r="D2988" s="0" t="n">
        <v>0.635370935881473</v>
      </c>
      <c r="E2988" s="0" t="n">
        <v>0.0351552832895024</v>
      </c>
      <c r="F2988" s="0" t="n">
        <v>0</v>
      </c>
      <c r="G2988" s="0" t="n">
        <v>2021</v>
      </c>
    </row>
    <row r="2989" customFormat="false" ht="15" hidden="false" customHeight="false" outlineLevel="0" collapsed="false">
      <c r="A2989" s="0" t="s">
        <v>260</v>
      </c>
      <c r="B2989" s="52" t="n">
        <v>44322</v>
      </c>
      <c r="C2989" s="54" t="s">
        <v>592</v>
      </c>
      <c r="D2989" s="0" t="n">
        <v>1</v>
      </c>
      <c r="E2989" s="0" t="n">
        <v>0</v>
      </c>
      <c r="F2989" s="0" t="n">
        <v>0</v>
      </c>
      <c r="G2989" s="0" t="n">
        <v>2021</v>
      </c>
    </row>
    <row r="2990" customFormat="false" ht="15" hidden="false" customHeight="false" outlineLevel="0" collapsed="false">
      <c r="A2990" s="0" t="s">
        <v>260</v>
      </c>
      <c r="B2990" s="52" t="n">
        <v>44323</v>
      </c>
      <c r="C2990" s="54" t="s">
        <v>590</v>
      </c>
      <c r="D2990" s="0" t="n">
        <v>0.0875407939615473</v>
      </c>
      <c r="E2990" s="0" t="n">
        <v>0.064736172612821</v>
      </c>
      <c r="F2990" s="0" t="n">
        <v>0</v>
      </c>
      <c r="G2990" s="0" t="n">
        <v>2021</v>
      </c>
    </row>
    <row r="2991" customFormat="false" ht="15" hidden="false" customHeight="false" outlineLevel="0" collapsed="false">
      <c r="A2991" s="0" t="s">
        <v>260</v>
      </c>
      <c r="B2991" s="52" t="n">
        <v>44323</v>
      </c>
      <c r="C2991" s="54" t="s">
        <v>591</v>
      </c>
      <c r="D2991" s="0" t="n">
        <v>0.635622499702168</v>
      </c>
      <c r="E2991" s="0" t="n">
        <v>0.0899490826979922</v>
      </c>
      <c r="F2991" s="0" t="n">
        <v>0</v>
      </c>
      <c r="G2991" s="0" t="n">
        <v>2021</v>
      </c>
    </row>
    <row r="2992" customFormat="false" ht="15" hidden="false" customHeight="false" outlineLevel="0" collapsed="false">
      <c r="A2992" s="0" t="s">
        <v>260</v>
      </c>
      <c r="B2992" s="52" t="n">
        <v>44323</v>
      </c>
      <c r="C2992" s="54" t="s">
        <v>592</v>
      </c>
      <c r="D2992" s="0" t="n">
        <v>1</v>
      </c>
      <c r="E2992" s="0" t="n">
        <v>0</v>
      </c>
      <c r="F2992" s="0" t="n">
        <v>0</v>
      </c>
      <c r="G2992" s="0" t="n">
        <v>2021</v>
      </c>
    </row>
    <row r="2993" customFormat="false" ht="15" hidden="false" customHeight="false" outlineLevel="0" collapsed="false">
      <c r="A2993" s="0" t="s">
        <v>260</v>
      </c>
      <c r="B2993" s="52" t="n">
        <v>44324</v>
      </c>
      <c r="C2993" s="54" t="s">
        <v>590</v>
      </c>
      <c r="D2993" s="0" t="n">
        <v>0.029144369739058</v>
      </c>
      <c r="E2993" s="0" t="n">
        <v>0.0544210415929509</v>
      </c>
      <c r="F2993" s="0" t="n">
        <v>1</v>
      </c>
      <c r="G2993" s="0" t="n">
        <v>2021</v>
      </c>
    </row>
    <row r="2994" customFormat="false" ht="15" hidden="false" customHeight="false" outlineLevel="0" collapsed="false">
      <c r="A2994" s="0" t="s">
        <v>260</v>
      </c>
      <c r="B2994" s="52" t="n">
        <v>44324</v>
      </c>
      <c r="C2994" s="54" t="s">
        <v>591</v>
      </c>
      <c r="D2994" s="0" t="n">
        <v>0</v>
      </c>
      <c r="E2994" s="0" t="n">
        <v>0.136321479978691</v>
      </c>
      <c r="F2994" s="0" t="n">
        <v>1</v>
      </c>
      <c r="G2994" s="0" t="n">
        <v>2021</v>
      </c>
    </row>
    <row r="2995" customFormat="false" ht="15" hidden="false" customHeight="false" outlineLevel="0" collapsed="false">
      <c r="A2995" s="0" t="s">
        <v>260</v>
      </c>
      <c r="B2995" s="52" t="n">
        <v>44324</v>
      </c>
      <c r="C2995" s="54" t="s">
        <v>592</v>
      </c>
      <c r="D2995" s="0" t="n">
        <v>0.267322597710528</v>
      </c>
      <c r="E2995" s="0" t="n">
        <v>0.732677402289472</v>
      </c>
      <c r="F2995" s="0" t="n">
        <v>1</v>
      </c>
      <c r="G2995" s="0" t="n">
        <v>2021</v>
      </c>
    </row>
    <row r="2996" customFormat="false" ht="15" hidden="false" customHeight="false" outlineLevel="0" collapsed="false">
      <c r="A2996" s="0" t="s">
        <v>260</v>
      </c>
      <c r="B2996" s="52" t="n">
        <v>44325</v>
      </c>
      <c r="C2996" s="54" t="s">
        <v>590</v>
      </c>
      <c r="D2996" s="0" t="n">
        <v>0.0216392052375186</v>
      </c>
      <c r="E2996" s="0" t="n">
        <v>0.0962557739473903</v>
      </c>
      <c r="F2996" s="0" t="n">
        <v>1</v>
      </c>
      <c r="G2996" s="0" t="n">
        <v>2021</v>
      </c>
    </row>
    <row r="2997" customFormat="false" ht="15" hidden="false" customHeight="false" outlineLevel="0" collapsed="false">
      <c r="A2997" s="0" t="s">
        <v>260</v>
      </c>
      <c r="B2997" s="52" t="n">
        <v>44325</v>
      </c>
      <c r="C2997" s="54" t="s">
        <v>591</v>
      </c>
      <c r="D2997" s="0" t="n">
        <v>0.147959564990904</v>
      </c>
      <c r="E2997" s="0" t="n">
        <v>0.0543044108004483</v>
      </c>
      <c r="F2997" s="0" t="n">
        <v>1</v>
      </c>
      <c r="G2997" s="0" t="n">
        <v>2021</v>
      </c>
    </row>
    <row r="2998" customFormat="false" ht="15" hidden="false" customHeight="false" outlineLevel="0" collapsed="false">
      <c r="A2998" s="0" t="s">
        <v>260</v>
      </c>
      <c r="B2998" s="52" t="n">
        <v>44325</v>
      </c>
      <c r="C2998" s="54" t="s">
        <v>592</v>
      </c>
      <c r="D2998" s="0" t="n">
        <v>1</v>
      </c>
      <c r="E2998" s="0" t="n">
        <v>0</v>
      </c>
      <c r="F2998" s="0" t="n">
        <v>1</v>
      </c>
      <c r="G2998" s="0" t="n">
        <v>2021</v>
      </c>
    </row>
    <row r="2999" customFormat="false" ht="15" hidden="false" customHeight="false" outlineLevel="0" collapsed="false">
      <c r="A2999" s="0" t="s">
        <v>260</v>
      </c>
      <c r="B2999" s="52" t="n">
        <v>44326</v>
      </c>
      <c r="C2999" s="54" t="s">
        <v>590</v>
      </c>
      <c r="D2999" s="0" t="n">
        <v>0.0221461485046829</v>
      </c>
      <c r="E2999" s="0" t="n">
        <v>0.0670767564533778</v>
      </c>
      <c r="F2999" s="0" t="n">
        <v>0</v>
      </c>
      <c r="G2999" s="0" t="n">
        <v>2021</v>
      </c>
    </row>
    <row r="3000" customFormat="false" ht="15" hidden="false" customHeight="false" outlineLevel="0" collapsed="false">
      <c r="A3000" s="0" t="s">
        <v>260</v>
      </c>
      <c r="B3000" s="52" t="n">
        <v>44326</v>
      </c>
      <c r="C3000" s="54" t="s">
        <v>591</v>
      </c>
      <c r="D3000" s="0" t="n">
        <v>0.133498688835156</v>
      </c>
      <c r="E3000" s="0" t="n">
        <v>0.176761645065974</v>
      </c>
      <c r="F3000" s="0" t="n">
        <v>0</v>
      </c>
      <c r="G3000" s="0" t="n">
        <v>2021</v>
      </c>
    </row>
    <row r="3001" customFormat="false" ht="15" hidden="false" customHeight="false" outlineLevel="0" collapsed="false">
      <c r="A3001" s="0" t="s">
        <v>260</v>
      </c>
      <c r="B3001" s="52" t="n">
        <v>44326</v>
      </c>
      <c r="C3001" s="54" t="s">
        <v>592</v>
      </c>
      <c r="D3001" s="0" t="n">
        <v>1</v>
      </c>
      <c r="E3001" s="0" t="n">
        <v>0</v>
      </c>
      <c r="F3001" s="0" t="n">
        <v>0</v>
      </c>
      <c r="G3001" s="0" t="n">
        <v>2021</v>
      </c>
    </row>
    <row r="3002" customFormat="false" ht="15" hidden="false" customHeight="false" outlineLevel="0" collapsed="false">
      <c r="A3002" s="0" t="s">
        <v>260</v>
      </c>
      <c r="B3002" s="52" t="n">
        <v>44327</v>
      </c>
      <c r="C3002" s="54" t="s">
        <v>590</v>
      </c>
      <c r="D3002" s="0" t="n">
        <v>0.0177131812422415</v>
      </c>
      <c r="E3002" s="0" t="n">
        <v>0.0464571768418182</v>
      </c>
      <c r="F3002" s="0" t="n">
        <v>0</v>
      </c>
      <c r="G3002" s="0" t="n">
        <v>2021</v>
      </c>
    </row>
    <row r="3003" customFormat="false" ht="15" hidden="false" customHeight="false" outlineLevel="0" collapsed="false">
      <c r="A3003" s="0" t="s">
        <v>260</v>
      </c>
      <c r="B3003" s="52" t="n">
        <v>44327</v>
      </c>
      <c r="C3003" s="54" t="s">
        <v>591</v>
      </c>
      <c r="D3003" s="0" t="n">
        <v>0.109481873695215</v>
      </c>
      <c r="E3003" s="0" t="n">
        <v>0.183818759118876</v>
      </c>
      <c r="F3003" s="0" t="n">
        <v>0</v>
      </c>
      <c r="G3003" s="0" t="n">
        <v>2021</v>
      </c>
    </row>
    <row r="3004" customFormat="false" ht="15" hidden="false" customHeight="false" outlineLevel="0" collapsed="false">
      <c r="A3004" s="0" t="s">
        <v>260</v>
      </c>
      <c r="B3004" s="52" t="n">
        <v>44327</v>
      </c>
      <c r="C3004" s="54" t="s">
        <v>592</v>
      </c>
      <c r="D3004" s="0" t="n">
        <v>1</v>
      </c>
      <c r="E3004" s="0" t="n">
        <v>0</v>
      </c>
      <c r="F3004" s="0" t="n">
        <v>0</v>
      </c>
      <c r="G3004" s="0" t="n">
        <v>2021</v>
      </c>
    </row>
    <row r="3005" customFormat="false" ht="15" hidden="false" customHeight="false" outlineLevel="0" collapsed="false">
      <c r="A3005" s="0" t="s">
        <v>260</v>
      </c>
      <c r="B3005" s="52" t="n">
        <v>44328</v>
      </c>
      <c r="C3005" s="54" t="s">
        <v>590</v>
      </c>
      <c r="D3005" s="0" t="n">
        <v>0.0195528257257644</v>
      </c>
      <c r="E3005" s="0" t="n">
        <v>0.0562212273490911</v>
      </c>
      <c r="F3005" s="0" t="n">
        <v>0</v>
      </c>
      <c r="G3005" s="0" t="n">
        <v>2021</v>
      </c>
    </row>
    <row r="3006" customFormat="false" ht="15" hidden="false" customHeight="false" outlineLevel="0" collapsed="false">
      <c r="A3006" s="0" t="s">
        <v>260</v>
      </c>
      <c r="B3006" s="52" t="n">
        <v>44328</v>
      </c>
      <c r="C3006" s="54" t="s">
        <v>591</v>
      </c>
      <c r="D3006" s="0" t="n">
        <v>0.0890942296564694</v>
      </c>
      <c r="E3006" s="0" t="n">
        <v>0.14716142491965</v>
      </c>
      <c r="F3006" s="0" t="n">
        <v>0</v>
      </c>
      <c r="G3006" s="0" t="n">
        <v>2021</v>
      </c>
    </row>
    <row r="3007" customFormat="false" ht="15" hidden="false" customHeight="false" outlineLevel="0" collapsed="false">
      <c r="A3007" s="0" t="s">
        <v>260</v>
      </c>
      <c r="B3007" s="52" t="n">
        <v>44328</v>
      </c>
      <c r="C3007" s="54" t="s">
        <v>592</v>
      </c>
      <c r="D3007" s="0" t="n">
        <v>1</v>
      </c>
      <c r="E3007" s="0" t="n">
        <v>0</v>
      </c>
      <c r="F3007" s="0" t="n">
        <v>0</v>
      </c>
      <c r="G3007" s="0" t="n">
        <v>2021</v>
      </c>
    </row>
    <row r="3008" customFormat="false" ht="15" hidden="false" customHeight="false" outlineLevel="0" collapsed="false">
      <c r="A3008" s="0" t="s">
        <v>260</v>
      </c>
      <c r="B3008" s="52" t="n">
        <v>44329</v>
      </c>
      <c r="C3008" s="54" t="s">
        <v>590</v>
      </c>
      <c r="D3008" s="0" t="n">
        <v>0.205478941487387</v>
      </c>
      <c r="E3008" s="0" t="n">
        <v>0.0716499894527919</v>
      </c>
      <c r="F3008" s="0" t="n">
        <v>0</v>
      </c>
      <c r="G3008" s="0" t="n">
        <v>2021</v>
      </c>
    </row>
    <row r="3009" customFormat="false" ht="15" hidden="false" customHeight="false" outlineLevel="0" collapsed="false">
      <c r="A3009" s="0" t="s">
        <v>260</v>
      </c>
      <c r="B3009" s="52" t="n">
        <v>44329</v>
      </c>
      <c r="C3009" s="54" t="s">
        <v>591</v>
      </c>
      <c r="D3009" s="0" t="n">
        <v>0.102136690625078</v>
      </c>
      <c r="E3009" s="0" t="n">
        <v>0.054277633851695</v>
      </c>
      <c r="F3009" s="0" t="n">
        <v>0</v>
      </c>
      <c r="G3009" s="0" t="n">
        <v>2021</v>
      </c>
    </row>
    <row r="3010" customFormat="false" ht="15" hidden="false" customHeight="false" outlineLevel="0" collapsed="false">
      <c r="A3010" s="0" t="s">
        <v>260</v>
      </c>
      <c r="B3010" s="52" t="n">
        <v>44329</v>
      </c>
      <c r="C3010" s="54" t="s">
        <v>592</v>
      </c>
      <c r="D3010" s="0" t="n">
        <v>0.998934785549925</v>
      </c>
      <c r="E3010" s="0" t="n">
        <v>0</v>
      </c>
      <c r="F3010" s="0" t="n">
        <v>0</v>
      </c>
      <c r="G3010" s="0" t="n">
        <v>2021</v>
      </c>
    </row>
    <row r="3011" customFormat="false" ht="15" hidden="false" customHeight="false" outlineLevel="0" collapsed="false">
      <c r="A3011" s="0" t="s">
        <v>260</v>
      </c>
      <c r="B3011" s="52" t="n">
        <v>44330</v>
      </c>
      <c r="C3011" s="54" t="s">
        <v>590</v>
      </c>
      <c r="D3011" s="0" t="n">
        <v>0.024030720879566</v>
      </c>
      <c r="E3011" s="0" t="n">
        <v>0.109552063188315</v>
      </c>
      <c r="F3011" s="0" t="n">
        <v>0</v>
      </c>
      <c r="G3011" s="0" t="n">
        <v>2021</v>
      </c>
    </row>
    <row r="3012" customFormat="false" ht="15" hidden="false" customHeight="false" outlineLevel="0" collapsed="false">
      <c r="A3012" s="0" t="s">
        <v>260</v>
      </c>
      <c r="B3012" s="52" t="n">
        <v>44330</v>
      </c>
      <c r="C3012" s="54" t="s">
        <v>592</v>
      </c>
      <c r="D3012" s="0" t="n">
        <v>0</v>
      </c>
      <c r="E3012" s="0" t="n">
        <v>1</v>
      </c>
      <c r="F3012" s="0" t="n">
        <v>0</v>
      </c>
      <c r="G3012" s="0" t="n">
        <v>2021</v>
      </c>
    </row>
    <row r="3013" customFormat="false" ht="15" hidden="false" customHeight="false" outlineLevel="0" collapsed="false">
      <c r="A3013" s="0" t="s">
        <v>260</v>
      </c>
      <c r="B3013" s="52" t="n">
        <v>44331</v>
      </c>
      <c r="C3013" s="54" t="s">
        <v>590</v>
      </c>
      <c r="D3013" s="0" t="n">
        <v>0.0469085904553735</v>
      </c>
      <c r="E3013" s="0" t="n">
        <v>0.105059084309678</v>
      </c>
      <c r="F3013" s="0" t="n">
        <v>1</v>
      </c>
      <c r="G3013" s="0" t="n">
        <v>2021</v>
      </c>
    </row>
    <row r="3014" customFormat="false" ht="15" hidden="false" customHeight="false" outlineLevel="0" collapsed="false">
      <c r="A3014" s="0" t="s">
        <v>260</v>
      </c>
      <c r="B3014" s="52" t="n">
        <v>44331</v>
      </c>
      <c r="C3014" s="54" t="s">
        <v>591</v>
      </c>
      <c r="D3014" s="0" t="n">
        <v>0.533476850283145</v>
      </c>
      <c r="E3014" s="0" t="n">
        <v>0.0360399331516714</v>
      </c>
      <c r="F3014" s="0" t="n">
        <v>1</v>
      </c>
      <c r="G3014" s="0" t="n">
        <v>2021</v>
      </c>
    </row>
    <row r="3015" customFormat="false" ht="15" hidden="false" customHeight="false" outlineLevel="0" collapsed="false">
      <c r="A3015" s="0" t="s">
        <v>260</v>
      </c>
      <c r="B3015" s="52" t="n">
        <v>44331</v>
      </c>
      <c r="C3015" s="54" t="s">
        <v>592</v>
      </c>
      <c r="D3015" s="0" t="n">
        <v>1</v>
      </c>
      <c r="E3015" s="0" t="n">
        <v>0</v>
      </c>
      <c r="F3015" s="0" t="n">
        <v>1</v>
      </c>
      <c r="G3015" s="0" t="n">
        <v>2021</v>
      </c>
    </row>
    <row r="3016" customFormat="false" ht="15" hidden="false" customHeight="false" outlineLevel="0" collapsed="false">
      <c r="A3016" s="0" t="s">
        <v>260</v>
      </c>
      <c r="B3016" s="52" t="n">
        <v>44332</v>
      </c>
      <c r="C3016" s="54" t="s">
        <v>590</v>
      </c>
      <c r="D3016" s="0" t="n">
        <v>0.0275223139145853</v>
      </c>
      <c r="E3016" s="0" t="n">
        <v>0.0979457764051487</v>
      </c>
      <c r="F3016" s="0" t="n">
        <v>1</v>
      </c>
      <c r="G3016" s="0" t="n">
        <v>2021</v>
      </c>
    </row>
    <row r="3017" customFormat="false" ht="15" hidden="false" customHeight="false" outlineLevel="0" collapsed="false">
      <c r="A3017" s="0" t="s">
        <v>260</v>
      </c>
      <c r="B3017" s="52" t="n">
        <v>44332</v>
      </c>
      <c r="C3017" s="54" t="s">
        <v>591</v>
      </c>
      <c r="D3017" s="0" t="n">
        <v>0.0396444289158531</v>
      </c>
      <c r="E3017" s="0" t="n">
        <v>0.0573956427449951</v>
      </c>
      <c r="F3017" s="0" t="n">
        <v>1</v>
      </c>
      <c r="G3017" s="0" t="n">
        <v>2021</v>
      </c>
    </row>
    <row r="3018" customFormat="false" ht="15" hidden="false" customHeight="false" outlineLevel="0" collapsed="false">
      <c r="A3018" s="0" t="s">
        <v>260</v>
      </c>
      <c r="B3018" s="52" t="n">
        <v>44332</v>
      </c>
      <c r="C3018" s="54" t="s">
        <v>592</v>
      </c>
      <c r="D3018" s="0" t="n">
        <v>1</v>
      </c>
      <c r="E3018" s="0" t="n">
        <v>0</v>
      </c>
      <c r="F3018" s="0" t="n">
        <v>1</v>
      </c>
      <c r="G3018" s="0" t="n">
        <v>2021</v>
      </c>
    </row>
    <row r="3019" customFormat="false" ht="15" hidden="false" customHeight="false" outlineLevel="0" collapsed="false">
      <c r="A3019" s="0" t="s">
        <v>260</v>
      </c>
      <c r="B3019" s="52" t="n">
        <v>44333</v>
      </c>
      <c r="C3019" s="54" t="s">
        <v>590</v>
      </c>
      <c r="D3019" s="0" t="n">
        <v>0.0447292481447461</v>
      </c>
      <c r="E3019" s="0" t="n">
        <v>0.0434752196159758</v>
      </c>
      <c r="F3019" s="0" t="n">
        <v>0</v>
      </c>
      <c r="G3019" s="0" t="n">
        <v>2021</v>
      </c>
    </row>
    <row r="3020" customFormat="false" ht="15" hidden="false" customHeight="false" outlineLevel="0" collapsed="false">
      <c r="A3020" s="0" t="s">
        <v>260</v>
      </c>
      <c r="B3020" s="52" t="n">
        <v>44333</v>
      </c>
      <c r="C3020" s="54" t="s">
        <v>591</v>
      </c>
      <c r="D3020" s="0" t="n">
        <v>0.0046290233944501</v>
      </c>
      <c r="E3020" s="0" t="n">
        <v>0.0420924637032835</v>
      </c>
      <c r="F3020" s="0" t="n">
        <v>0</v>
      </c>
      <c r="G3020" s="0" t="n">
        <v>2021</v>
      </c>
    </row>
    <row r="3021" customFormat="false" ht="15" hidden="false" customHeight="false" outlineLevel="0" collapsed="false">
      <c r="A3021" s="0" t="s">
        <v>260</v>
      </c>
      <c r="B3021" s="52" t="n">
        <v>44333</v>
      </c>
      <c r="C3021" s="54" t="s">
        <v>592</v>
      </c>
      <c r="D3021" s="0" t="n">
        <v>0.980036964953387</v>
      </c>
      <c r="E3021" s="0" t="n">
        <v>0.019963035046613</v>
      </c>
      <c r="F3021" s="0" t="n">
        <v>0</v>
      </c>
      <c r="G3021" s="0" t="n">
        <v>2021</v>
      </c>
    </row>
    <row r="3022" customFormat="false" ht="15" hidden="false" customHeight="false" outlineLevel="0" collapsed="false">
      <c r="A3022" s="0" t="s">
        <v>260</v>
      </c>
      <c r="B3022" s="52" t="n">
        <v>44334</v>
      </c>
      <c r="C3022" s="54" t="s">
        <v>590</v>
      </c>
      <c r="D3022" s="0" t="n">
        <v>0.0175758958193174</v>
      </c>
      <c r="E3022" s="0" t="n">
        <v>0.050857575314021</v>
      </c>
      <c r="F3022" s="0" t="n">
        <v>0</v>
      </c>
      <c r="G3022" s="0" t="n">
        <v>2021</v>
      </c>
    </row>
    <row r="3023" customFormat="false" ht="15" hidden="false" customHeight="false" outlineLevel="0" collapsed="false">
      <c r="A3023" s="0" t="s">
        <v>260</v>
      </c>
      <c r="B3023" s="52" t="n">
        <v>44334</v>
      </c>
      <c r="C3023" s="54" t="s">
        <v>591</v>
      </c>
      <c r="D3023" s="0" t="n">
        <v>0.705537882722064</v>
      </c>
      <c r="E3023" s="0" t="n">
        <v>0.0170812250863129</v>
      </c>
      <c r="F3023" s="0" t="n">
        <v>0</v>
      </c>
      <c r="G3023" s="0" t="n">
        <v>2021</v>
      </c>
    </row>
    <row r="3024" customFormat="false" ht="15" hidden="false" customHeight="false" outlineLevel="0" collapsed="false">
      <c r="A3024" s="0" t="s">
        <v>260</v>
      </c>
      <c r="B3024" s="52" t="n">
        <v>44334</v>
      </c>
      <c r="C3024" s="54" t="s">
        <v>592</v>
      </c>
      <c r="D3024" s="0" t="n">
        <v>1</v>
      </c>
      <c r="E3024" s="0" t="n">
        <v>0</v>
      </c>
      <c r="F3024" s="0" t="n">
        <v>0</v>
      </c>
      <c r="G3024" s="0" t="n">
        <v>2021</v>
      </c>
    </row>
    <row r="3025" customFormat="false" ht="15" hidden="false" customHeight="false" outlineLevel="0" collapsed="false">
      <c r="A3025" s="0" t="s">
        <v>260</v>
      </c>
      <c r="B3025" s="52" t="n">
        <v>44335</v>
      </c>
      <c r="C3025" s="54" t="s">
        <v>590</v>
      </c>
      <c r="D3025" s="0" t="n">
        <v>0.0153116241503269</v>
      </c>
      <c r="E3025" s="0" t="n">
        <v>0.0468480612552125</v>
      </c>
      <c r="F3025" s="0" t="n">
        <v>0</v>
      </c>
      <c r="G3025" s="0" t="n">
        <v>2021</v>
      </c>
    </row>
    <row r="3026" customFormat="false" ht="15" hidden="false" customHeight="false" outlineLevel="0" collapsed="false">
      <c r="A3026" s="0" t="s">
        <v>260</v>
      </c>
      <c r="B3026" s="52" t="n">
        <v>44335</v>
      </c>
      <c r="C3026" s="54" t="s">
        <v>591</v>
      </c>
      <c r="D3026" s="0" t="n">
        <v>0.668313543145269</v>
      </c>
      <c r="E3026" s="0" t="n">
        <v>0.0187241175407681</v>
      </c>
      <c r="F3026" s="0" t="n">
        <v>0</v>
      </c>
      <c r="G3026" s="0" t="n">
        <v>2021</v>
      </c>
    </row>
    <row r="3027" customFormat="false" ht="15" hidden="false" customHeight="false" outlineLevel="0" collapsed="false">
      <c r="A3027" s="0" t="s">
        <v>260</v>
      </c>
      <c r="B3027" s="52" t="n">
        <v>44335</v>
      </c>
      <c r="C3027" s="54" t="s">
        <v>592</v>
      </c>
      <c r="D3027" s="0" t="n">
        <v>1</v>
      </c>
      <c r="E3027" s="0" t="n">
        <v>0</v>
      </c>
      <c r="F3027" s="0" t="n">
        <v>0</v>
      </c>
      <c r="G3027" s="0" t="n">
        <v>2021</v>
      </c>
    </row>
    <row r="3028" customFormat="false" ht="15" hidden="false" customHeight="false" outlineLevel="0" collapsed="false">
      <c r="A3028" s="0" t="s">
        <v>260</v>
      </c>
      <c r="B3028" s="52" t="n">
        <v>44336</v>
      </c>
      <c r="C3028" s="54" t="s">
        <v>590</v>
      </c>
      <c r="D3028" s="0" t="n">
        <v>0.0258791560634093</v>
      </c>
      <c r="E3028" s="0" t="n">
        <v>0.099359530231524</v>
      </c>
      <c r="F3028" s="0" t="n">
        <v>0</v>
      </c>
      <c r="G3028" s="0" t="n">
        <v>2021</v>
      </c>
    </row>
    <row r="3029" customFormat="false" ht="15" hidden="false" customHeight="false" outlineLevel="0" collapsed="false">
      <c r="A3029" s="0" t="s">
        <v>260</v>
      </c>
      <c r="B3029" s="52" t="n">
        <v>44336</v>
      </c>
      <c r="C3029" s="54" t="s">
        <v>591</v>
      </c>
      <c r="D3029" s="0" t="n">
        <v>0.253408143633976</v>
      </c>
      <c r="E3029" s="0" t="n">
        <v>0.0620754947436912</v>
      </c>
      <c r="F3029" s="0" t="n">
        <v>0</v>
      </c>
      <c r="G3029" s="0" t="n">
        <v>2021</v>
      </c>
    </row>
    <row r="3030" customFormat="false" ht="15" hidden="false" customHeight="false" outlineLevel="0" collapsed="false">
      <c r="A3030" s="0" t="s">
        <v>260</v>
      </c>
      <c r="B3030" s="52" t="n">
        <v>44336</v>
      </c>
      <c r="C3030" s="54" t="s">
        <v>592</v>
      </c>
      <c r="D3030" s="0" t="n">
        <v>1</v>
      </c>
      <c r="E3030" s="0" t="n">
        <v>0</v>
      </c>
      <c r="F3030" s="0" t="n">
        <v>0</v>
      </c>
      <c r="G3030" s="0" t="n">
        <v>2021</v>
      </c>
    </row>
    <row r="3031" customFormat="false" ht="15" hidden="false" customHeight="false" outlineLevel="0" collapsed="false">
      <c r="A3031" s="0" t="s">
        <v>260</v>
      </c>
      <c r="B3031" s="52" t="n">
        <v>44337</v>
      </c>
      <c r="C3031" s="54" t="s">
        <v>590</v>
      </c>
      <c r="D3031" s="0" t="n">
        <v>0.0270128966705882</v>
      </c>
      <c r="E3031" s="0" t="n">
        <v>0.0802338352552829</v>
      </c>
      <c r="F3031" s="0" t="n">
        <v>0</v>
      </c>
      <c r="G3031" s="0" t="n">
        <v>2021</v>
      </c>
    </row>
    <row r="3032" customFormat="false" ht="15" hidden="false" customHeight="false" outlineLevel="0" collapsed="false">
      <c r="A3032" s="0" t="s">
        <v>260</v>
      </c>
      <c r="B3032" s="52" t="n">
        <v>44337</v>
      </c>
      <c r="C3032" s="54" t="s">
        <v>591</v>
      </c>
      <c r="D3032" s="0" t="n">
        <v>0.370943408737495</v>
      </c>
      <c r="E3032" s="0" t="n">
        <v>0.0197659301995542</v>
      </c>
      <c r="F3032" s="0" t="n">
        <v>0</v>
      </c>
      <c r="G3032" s="0" t="n">
        <v>2021</v>
      </c>
    </row>
    <row r="3033" customFormat="false" ht="15" hidden="false" customHeight="false" outlineLevel="0" collapsed="false">
      <c r="A3033" s="0" t="s">
        <v>260</v>
      </c>
      <c r="B3033" s="52" t="n">
        <v>44337</v>
      </c>
      <c r="C3033" s="54" t="s">
        <v>592</v>
      </c>
      <c r="D3033" s="0" t="n">
        <v>1</v>
      </c>
      <c r="E3033" s="0" t="n">
        <v>0</v>
      </c>
      <c r="F3033" s="0" t="n">
        <v>0</v>
      </c>
      <c r="G3033" s="0" t="n">
        <v>2021</v>
      </c>
    </row>
    <row r="3034" customFormat="false" ht="15" hidden="false" customHeight="false" outlineLevel="0" collapsed="false">
      <c r="A3034" s="0" t="s">
        <v>260</v>
      </c>
      <c r="B3034" s="52" t="n">
        <v>44338</v>
      </c>
      <c r="C3034" s="54" t="s">
        <v>590</v>
      </c>
      <c r="D3034" s="0" t="n">
        <v>0.0335628592731958</v>
      </c>
      <c r="E3034" s="0" t="n">
        <v>0.058946578637874</v>
      </c>
      <c r="F3034" s="0" t="n">
        <v>1</v>
      </c>
      <c r="G3034" s="0" t="n">
        <v>2021</v>
      </c>
    </row>
    <row r="3035" customFormat="false" ht="15" hidden="false" customHeight="false" outlineLevel="0" collapsed="false">
      <c r="A3035" s="0" t="s">
        <v>260</v>
      </c>
      <c r="B3035" s="52" t="n">
        <v>44338</v>
      </c>
      <c r="C3035" s="54" t="s">
        <v>591</v>
      </c>
      <c r="D3035" s="0" t="n">
        <v>0.764674885223592</v>
      </c>
      <c r="E3035" s="0" t="n">
        <v>0.0210193225953327</v>
      </c>
      <c r="F3035" s="0" t="n">
        <v>1</v>
      </c>
      <c r="G3035" s="0" t="n">
        <v>2021</v>
      </c>
    </row>
    <row r="3036" customFormat="false" ht="15" hidden="false" customHeight="false" outlineLevel="0" collapsed="false">
      <c r="A3036" s="0" t="s">
        <v>260</v>
      </c>
      <c r="B3036" s="52" t="n">
        <v>44338</v>
      </c>
      <c r="C3036" s="54" t="s">
        <v>592</v>
      </c>
      <c r="D3036" s="0" t="n">
        <v>1</v>
      </c>
      <c r="E3036" s="0" t="n">
        <v>0</v>
      </c>
      <c r="F3036" s="0" t="n">
        <v>1</v>
      </c>
      <c r="G3036" s="0" t="n">
        <v>2021</v>
      </c>
    </row>
    <row r="3037" customFormat="false" ht="15" hidden="false" customHeight="false" outlineLevel="0" collapsed="false">
      <c r="A3037" s="0" t="s">
        <v>260</v>
      </c>
      <c r="B3037" s="52" t="n">
        <v>44339</v>
      </c>
      <c r="C3037" s="54" t="s">
        <v>590</v>
      </c>
      <c r="D3037" s="0" t="n">
        <v>0.0282361030496841</v>
      </c>
      <c r="E3037" s="0" t="n">
        <v>0.0541490785496548</v>
      </c>
      <c r="F3037" s="0" t="n">
        <v>1</v>
      </c>
      <c r="G3037" s="0" t="n">
        <v>2021</v>
      </c>
    </row>
    <row r="3038" customFormat="false" ht="15" hidden="false" customHeight="false" outlineLevel="0" collapsed="false">
      <c r="A3038" s="0" t="s">
        <v>260</v>
      </c>
      <c r="B3038" s="52" t="n">
        <v>44339</v>
      </c>
      <c r="C3038" s="54" t="s">
        <v>591</v>
      </c>
      <c r="D3038" s="0" t="n">
        <v>0.163090392467959</v>
      </c>
      <c r="E3038" s="0" t="n">
        <v>0.107153453506869</v>
      </c>
      <c r="F3038" s="0" t="n">
        <v>1</v>
      </c>
      <c r="G3038" s="0" t="n">
        <v>2021</v>
      </c>
    </row>
    <row r="3039" customFormat="false" ht="15" hidden="false" customHeight="false" outlineLevel="0" collapsed="false">
      <c r="A3039" s="0" t="s">
        <v>260</v>
      </c>
      <c r="B3039" s="52" t="n">
        <v>44339</v>
      </c>
      <c r="C3039" s="54" t="s">
        <v>592</v>
      </c>
      <c r="D3039" s="0" t="n">
        <v>1</v>
      </c>
      <c r="E3039" s="0" t="n">
        <v>0</v>
      </c>
      <c r="F3039" s="0" t="n">
        <v>1</v>
      </c>
      <c r="G3039" s="0" t="n">
        <v>2021</v>
      </c>
    </row>
    <row r="3040" customFormat="false" ht="15" hidden="false" customHeight="false" outlineLevel="0" collapsed="false">
      <c r="A3040" s="0" t="s">
        <v>260</v>
      </c>
      <c r="B3040" s="52" t="n">
        <v>44340</v>
      </c>
      <c r="C3040" s="54" t="s">
        <v>590</v>
      </c>
      <c r="D3040" s="0" t="n">
        <v>0.0733753521736833</v>
      </c>
      <c r="E3040" s="0" t="n">
        <v>0.0438396236908655</v>
      </c>
      <c r="F3040" s="0" t="n">
        <v>0</v>
      </c>
      <c r="G3040" s="0" t="n">
        <v>2021</v>
      </c>
    </row>
    <row r="3041" customFormat="false" ht="15" hidden="false" customHeight="false" outlineLevel="0" collapsed="false">
      <c r="A3041" s="0" t="s">
        <v>260</v>
      </c>
      <c r="B3041" s="52" t="n">
        <v>44340</v>
      </c>
      <c r="C3041" s="54" t="s">
        <v>591</v>
      </c>
      <c r="D3041" s="0" t="n">
        <v>0.277205780479136</v>
      </c>
      <c r="E3041" s="0" t="n">
        <v>0.019128625384988</v>
      </c>
      <c r="F3041" s="0" t="n">
        <v>0</v>
      </c>
      <c r="G3041" s="0" t="n">
        <v>2021</v>
      </c>
    </row>
    <row r="3042" customFormat="false" ht="15" hidden="false" customHeight="false" outlineLevel="0" collapsed="false">
      <c r="A3042" s="0" t="s">
        <v>260</v>
      </c>
      <c r="B3042" s="52" t="n">
        <v>44340</v>
      </c>
      <c r="C3042" s="54" t="s">
        <v>592</v>
      </c>
      <c r="D3042" s="0" t="n">
        <v>0.918254275505563</v>
      </c>
      <c r="E3042" s="0" t="n">
        <v>0.0042353036049007</v>
      </c>
      <c r="F3042" s="0" t="n">
        <v>0</v>
      </c>
      <c r="G3042" s="0" t="n">
        <v>2021</v>
      </c>
    </row>
    <row r="3043" customFormat="false" ht="15" hidden="false" customHeight="false" outlineLevel="0" collapsed="false">
      <c r="A3043" s="0" t="s">
        <v>260</v>
      </c>
      <c r="B3043" s="52" t="n">
        <v>44341</v>
      </c>
      <c r="C3043" s="54" t="s">
        <v>590</v>
      </c>
      <c r="D3043" s="0" t="n">
        <v>0.249833782069546</v>
      </c>
      <c r="E3043" s="0" t="n">
        <v>0.0141842059767225</v>
      </c>
      <c r="F3043" s="0" t="n">
        <v>0</v>
      </c>
      <c r="G3043" s="0" t="n">
        <v>2021</v>
      </c>
    </row>
    <row r="3044" customFormat="false" ht="15" hidden="false" customHeight="false" outlineLevel="0" collapsed="false">
      <c r="A3044" s="0" t="s">
        <v>260</v>
      </c>
      <c r="B3044" s="52" t="n">
        <v>44341</v>
      </c>
      <c r="C3044" s="54" t="s">
        <v>591</v>
      </c>
      <c r="D3044" s="0" t="n">
        <v>0.328653373934641</v>
      </c>
      <c r="E3044" s="0" t="n">
        <v>0.0306302647594497</v>
      </c>
      <c r="F3044" s="0" t="n">
        <v>0</v>
      </c>
      <c r="G3044" s="0" t="n">
        <v>2021</v>
      </c>
    </row>
    <row r="3045" customFormat="false" ht="15" hidden="false" customHeight="false" outlineLevel="0" collapsed="false">
      <c r="A3045" s="0" t="s">
        <v>260</v>
      </c>
      <c r="B3045" s="52" t="n">
        <v>44341</v>
      </c>
      <c r="C3045" s="54" t="s">
        <v>592</v>
      </c>
      <c r="D3045" s="0" t="n">
        <v>1</v>
      </c>
      <c r="E3045" s="0" t="n">
        <v>0</v>
      </c>
      <c r="F3045" s="0" t="n">
        <v>0</v>
      </c>
      <c r="G3045" s="0" t="n">
        <v>2021</v>
      </c>
    </row>
    <row r="3046" customFormat="false" ht="15" hidden="false" customHeight="false" outlineLevel="0" collapsed="false">
      <c r="A3046" s="0" t="s">
        <v>260</v>
      </c>
      <c r="B3046" s="52" t="n">
        <v>44342</v>
      </c>
      <c r="C3046" s="54" t="s">
        <v>590</v>
      </c>
      <c r="D3046" s="0" t="n">
        <v>0.022767855727084</v>
      </c>
      <c r="E3046" s="0" t="n">
        <v>0.0764726295328061</v>
      </c>
      <c r="F3046" s="0" t="n">
        <v>0</v>
      </c>
      <c r="G3046" s="0" t="n">
        <v>2021</v>
      </c>
    </row>
    <row r="3047" customFormat="false" ht="15" hidden="false" customHeight="false" outlineLevel="0" collapsed="false">
      <c r="A3047" s="0" t="s">
        <v>260</v>
      </c>
      <c r="B3047" s="52" t="n">
        <v>44342</v>
      </c>
      <c r="C3047" s="54" t="s">
        <v>591</v>
      </c>
      <c r="D3047" s="0" t="n">
        <v>0.200283537083145</v>
      </c>
      <c r="E3047" s="0" t="n">
        <v>0.0328511724082526</v>
      </c>
      <c r="F3047" s="0" t="n">
        <v>0</v>
      </c>
      <c r="G3047" s="0" t="n">
        <v>2021</v>
      </c>
    </row>
    <row r="3048" customFormat="false" ht="15" hidden="false" customHeight="false" outlineLevel="0" collapsed="false">
      <c r="A3048" s="0" t="s">
        <v>260</v>
      </c>
      <c r="B3048" s="52" t="n">
        <v>44342</v>
      </c>
      <c r="C3048" s="54" t="s">
        <v>592</v>
      </c>
      <c r="D3048" s="0" t="n">
        <v>1</v>
      </c>
      <c r="E3048" s="0" t="n">
        <v>0</v>
      </c>
      <c r="F3048" s="0" t="n">
        <v>0</v>
      </c>
      <c r="G3048" s="0" t="n">
        <v>2021</v>
      </c>
    </row>
    <row r="3049" customFormat="false" ht="15" hidden="false" customHeight="false" outlineLevel="0" collapsed="false">
      <c r="A3049" s="0" t="s">
        <v>260</v>
      </c>
      <c r="B3049" s="52" t="n">
        <v>44343</v>
      </c>
      <c r="C3049" s="54" t="s">
        <v>590</v>
      </c>
      <c r="D3049" s="0" t="n">
        <v>0.10682509792272</v>
      </c>
      <c r="E3049" s="0" t="n">
        <v>0.163645840988356</v>
      </c>
      <c r="F3049" s="0" t="n">
        <v>0</v>
      </c>
      <c r="G3049" s="0" t="n">
        <v>2021</v>
      </c>
    </row>
    <row r="3050" customFormat="false" ht="15" hidden="false" customHeight="false" outlineLevel="0" collapsed="false">
      <c r="A3050" s="0" t="s">
        <v>260</v>
      </c>
      <c r="B3050" s="52" t="n">
        <v>44343</v>
      </c>
      <c r="C3050" s="54" t="s">
        <v>591</v>
      </c>
      <c r="D3050" s="0" t="n">
        <v>0.0949320264386616</v>
      </c>
      <c r="E3050" s="0" t="n">
        <v>0.0831507798701313</v>
      </c>
      <c r="F3050" s="0" t="n">
        <v>0</v>
      </c>
      <c r="G3050" s="0" t="n">
        <v>2021</v>
      </c>
    </row>
    <row r="3051" customFormat="false" ht="15" hidden="false" customHeight="false" outlineLevel="0" collapsed="false">
      <c r="A3051" s="0" t="s">
        <v>260</v>
      </c>
      <c r="B3051" s="52" t="n">
        <v>44343</v>
      </c>
      <c r="C3051" s="54" t="s">
        <v>592</v>
      </c>
      <c r="D3051" s="0" t="n">
        <v>1</v>
      </c>
      <c r="E3051" s="0" t="n">
        <v>0</v>
      </c>
      <c r="F3051" s="0" t="n">
        <v>0</v>
      </c>
      <c r="G3051" s="0" t="n">
        <v>2021</v>
      </c>
    </row>
    <row r="3052" customFormat="false" ht="15" hidden="false" customHeight="false" outlineLevel="0" collapsed="false">
      <c r="A3052" s="0" t="s">
        <v>260</v>
      </c>
      <c r="B3052" s="52" t="n">
        <v>44344</v>
      </c>
      <c r="C3052" s="54" t="s">
        <v>590</v>
      </c>
      <c r="D3052" s="0" t="n">
        <v>0.0273204317870851</v>
      </c>
      <c r="E3052" s="0" t="n">
        <v>0.0702625337522854</v>
      </c>
      <c r="F3052" s="0" t="n">
        <v>0</v>
      </c>
      <c r="G3052" s="0" t="n">
        <v>2021</v>
      </c>
    </row>
    <row r="3053" customFormat="false" ht="15" hidden="false" customHeight="false" outlineLevel="0" collapsed="false">
      <c r="A3053" s="0" t="s">
        <v>260</v>
      </c>
      <c r="B3053" s="52" t="n">
        <v>44344</v>
      </c>
      <c r="C3053" s="54" t="s">
        <v>591</v>
      </c>
      <c r="D3053" s="0" t="n">
        <v>0.595365226181204</v>
      </c>
      <c r="E3053" s="0" t="n">
        <v>0.0438674053782565</v>
      </c>
      <c r="F3053" s="0" t="n">
        <v>0</v>
      </c>
      <c r="G3053" s="0" t="n">
        <v>2021</v>
      </c>
    </row>
    <row r="3054" customFormat="false" ht="15" hidden="false" customHeight="false" outlineLevel="0" collapsed="false">
      <c r="A3054" s="0" t="s">
        <v>260</v>
      </c>
      <c r="B3054" s="52" t="n">
        <v>44344</v>
      </c>
      <c r="C3054" s="54" t="s">
        <v>592</v>
      </c>
      <c r="D3054" s="0" t="n">
        <v>1</v>
      </c>
      <c r="E3054" s="0" t="n">
        <v>0</v>
      </c>
      <c r="F3054" s="0" t="n">
        <v>0</v>
      </c>
      <c r="G3054" s="0" t="n">
        <v>2021</v>
      </c>
    </row>
    <row r="3055" customFormat="false" ht="15" hidden="false" customHeight="false" outlineLevel="0" collapsed="false">
      <c r="A3055" s="0" t="s">
        <v>260</v>
      </c>
      <c r="B3055" s="52" t="n">
        <v>44345</v>
      </c>
      <c r="C3055" s="54" t="s">
        <v>590</v>
      </c>
      <c r="D3055" s="0" t="n">
        <v>0.0152432407071781</v>
      </c>
      <c r="E3055" s="0" t="n">
        <v>0.0595222112043907</v>
      </c>
      <c r="F3055" s="0" t="n">
        <v>1</v>
      </c>
      <c r="G3055" s="0" t="n">
        <v>2021</v>
      </c>
    </row>
    <row r="3056" customFormat="false" ht="15" hidden="false" customHeight="false" outlineLevel="0" collapsed="false">
      <c r="A3056" s="0" t="s">
        <v>260</v>
      </c>
      <c r="B3056" s="52" t="n">
        <v>44345</v>
      </c>
      <c r="C3056" s="54" t="s">
        <v>591</v>
      </c>
      <c r="D3056" s="0" t="n">
        <v>0.385093570667447</v>
      </c>
      <c r="E3056" s="0" t="n">
        <v>0.164711341986103</v>
      </c>
      <c r="F3056" s="0" t="n">
        <v>1</v>
      </c>
      <c r="G3056" s="0" t="n">
        <v>2021</v>
      </c>
    </row>
    <row r="3057" customFormat="false" ht="15" hidden="false" customHeight="false" outlineLevel="0" collapsed="false">
      <c r="A3057" s="0" t="s">
        <v>260</v>
      </c>
      <c r="B3057" s="52" t="n">
        <v>44345</v>
      </c>
      <c r="C3057" s="54" t="s">
        <v>592</v>
      </c>
      <c r="D3057" s="0" t="n">
        <v>1</v>
      </c>
      <c r="E3057" s="0" t="n">
        <v>0</v>
      </c>
      <c r="F3057" s="0" t="n">
        <v>1</v>
      </c>
      <c r="G3057" s="0" t="n">
        <v>2021</v>
      </c>
    </row>
    <row r="3058" customFormat="false" ht="15" hidden="false" customHeight="false" outlineLevel="0" collapsed="false">
      <c r="A3058" s="0" t="s">
        <v>260</v>
      </c>
      <c r="B3058" s="52" t="n">
        <v>44346</v>
      </c>
      <c r="C3058" s="54" t="s">
        <v>590</v>
      </c>
      <c r="D3058" s="0" t="n">
        <v>0.0138643166222614</v>
      </c>
      <c r="E3058" s="0" t="n">
        <v>0.0693466185649659</v>
      </c>
      <c r="F3058" s="0" t="n">
        <v>1</v>
      </c>
      <c r="G3058" s="0" t="n">
        <v>2021</v>
      </c>
    </row>
    <row r="3059" customFormat="false" ht="15" hidden="false" customHeight="false" outlineLevel="0" collapsed="false">
      <c r="A3059" s="0" t="s">
        <v>260</v>
      </c>
      <c r="B3059" s="52" t="n">
        <v>44346</v>
      </c>
      <c r="C3059" s="54" t="s">
        <v>591</v>
      </c>
      <c r="D3059" s="0" t="n">
        <v>0.0916009959234395</v>
      </c>
      <c r="E3059" s="0" t="n">
        <v>0.0253118543186458</v>
      </c>
      <c r="F3059" s="0" t="n">
        <v>1</v>
      </c>
      <c r="G3059" s="0" t="n">
        <v>2021</v>
      </c>
    </row>
    <row r="3060" customFormat="false" ht="15" hidden="false" customHeight="false" outlineLevel="0" collapsed="false">
      <c r="A3060" s="0" t="s">
        <v>260</v>
      </c>
      <c r="B3060" s="52" t="n">
        <v>44346</v>
      </c>
      <c r="C3060" s="54" t="s">
        <v>592</v>
      </c>
      <c r="D3060" s="0" t="n">
        <v>1</v>
      </c>
      <c r="E3060" s="0" t="n">
        <v>0</v>
      </c>
      <c r="F3060" s="0" t="n">
        <v>1</v>
      </c>
      <c r="G3060" s="0" t="n">
        <v>2021</v>
      </c>
    </row>
    <row r="3061" customFormat="false" ht="15" hidden="false" customHeight="false" outlineLevel="0" collapsed="false">
      <c r="A3061" s="0" t="s">
        <v>260</v>
      </c>
      <c r="B3061" s="52" t="n">
        <v>44347</v>
      </c>
      <c r="C3061" s="54" t="s">
        <v>590</v>
      </c>
      <c r="D3061" s="0" t="n">
        <v>0.0237029114039559</v>
      </c>
      <c r="E3061" s="0" t="n">
        <v>0.0314461953898949</v>
      </c>
      <c r="F3061" s="0" t="n">
        <v>0</v>
      </c>
      <c r="G3061" s="0" t="n">
        <v>2021</v>
      </c>
    </row>
    <row r="3062" customFormat="false" ht="15" hidden="false" customHeight="false" outlineLevel="0" collapsed="false">
      <c r="A3062" s="0" t="s">
        <v>260</v>
      </c>
      <c r="B3062" s="52" t="n">
        <v>44347</v>
      </c>
      <c r="C3062" s="54" t="s">
        <v>591</v>
      </c>
      <c r="D3062" s="0" t="n">
        <v>0.0839507204863699</v>
      </c>
      <c r="E3062" s="0" t="n">
        <v>0.0598749605748676</v>
      </c>
      <c r="F3062" s="0" t="n">
        <v>0</v>
      </c>
      <c r="G3062" s="0" t="n">
        <v>2021</v>
      </c>
    </row>
    <row r="3063" customFormat="false" ht="15" hidden="false" customHeight="false" outlineLevel="0" collapsed="false">
      <c r="A3063" s="0" t="s">
        <v>260</v>
      </c>
      <c r="B3063" s="52" t="n">
        <v>44347</v>
      </c>
      <c r="C3063" s="54" t="s">
        <v>592</v>
      </c>
      <c r="D3063" s="0" t="n">
        <v>1</v>
      </c>
      <c r="E3063" s="0" t="n">
        <v>0</v>
      </c>
      <c r="F3063" s="0" t="n">
        <v>0</v>
      </c>
      <c r="G3063" s="0" t="n">
        <v>2021</v>
      </c>
    </row>
    <row r="3064" customFormat="false" ht="15" hidden="false" customHeight="false" outlineLevel="0" collapsed="false">
      <c r="A3064" s="0" t="s">
        <v>260</v>
      </c>
      <c r="B3064" s="52" t="n">
        <v>44348</v>
      </c>
      <c r="C3064" s="54" t="s">
        <v>590</v>
      </c>
      <c r="D3064" s="0" t="n">
        <v>0.0325699153554276</v>
      </c>
      <c r="E3064" s="0" t="n">
        <v>0.0636345477220261</v>
      </c>
      <c r="F3064" s="0" t="n">
        <v>0</v>
      </c>
      <c r="G3064" s="0" t="n">
        <v>2021</v>
      </c>
    </row>
    <row r="3065" customFormat="false" ht="15" hidden="false" customHeight="false" outlineLevel="0" collapsed="false">
      <c r="A3065" s="0" t="s">
        <v>260</v>
      </c>
      <c r="B3065" s="52" t="n">
        <v>44348</v>
      </c>
      <c r="C3065" s="54" t="s">
        <v>591</v>
      </c>
      <c r="D3065" s="0" t="n">
        <v>0.951682745902346</v>
      </c>
      <c r="E3065" s="0" t="n">
        <v>0.048317254097654</v>
      </c>
      <c r="F3065" s="0" t="n">
        <v>0</v>
      </c>
      <c r="G3065" s="0" t="n">
        <v>2021</v>
      </c>
    </row>
    <row r="3066" customFormat="false" ht="15" hidden="false" customHeight="false" outlineLevel="0" collapsed="false">
      <c r="A3066" s="0" t="s">
        <v>260</v>
      </c>
      <c r="B3066" s="52" t="n">
        <v>44348</v>
      </c>
      <c r="C3066" s="54" t="s">
        <v>592</v>
      </c>
      <c r="D3066" s="0" t="n">
        <v>1</v>
      </c>
      <c r="E3066" s="0" t="n">
        <v>0</v>
      </c>
      <c r="F3066" s="0" t="n">
        <v>0</v>
      </c>
      <c r="G3066" s="0" t="n">
        <v>2021</v>
      </c>
    </row>
    <row r="3067" customFormat="false" ht="15" hidden="false" customHeight="false" outlineLevel="0" collapsed="false">
      <c r="A3067" s="0" t="s">
        <v>260</v>
      </c>
      <c r="B3067" s="52" t="n">
        <v>44349</v>
      </c>
      <c r="C3067" s="54" t="s">
        <v>590</v>
      </c>
      <c r="D3067" s="0" t="n">
        <v>0.0363990715843428</v>
      </c>
      <c r="E3067" s="0" t="n">
        <v>0.084685200322828</v>
      </c>
      <c r="F3067" s="0" t="n">
        <v>0</v>
      </c>
      <c r="G3067" s="0" t="n">
        <v>2021</v>
      </c>
    </row>
    <row r="3068" customFormat="false" ht="15" hidden="false" customHeight="false" outlineLevel="0" collapsed="false">
      <c r="A3068" s="0" t="s">
        <v>260</v>
      </c>
      <c r="B3068" s="52" t="n">
        <v>44349</v>
      </c>
      <c r="C3068" s="54" t="s">
        <v>591</v>
      </c>
      <c r="D3068" s="0" t="n">
        <v>0.0208055960799593</v>
      </c>
      <c r="E3068" s="0" t="n">
        <v>0.0199688470759378</v>
      </c>
      <c r="F3068" s="0" t="n">
        <v>0</v>
      </c>
      <c r="G3068" s="0" t="n">
        <v>2021</v>
      </c>
    </row>
    <row r="3069" customFormat="false" ht="15" hidden="false" customHeight="false" outlineLevel="0" collapsed="false">
      <c r="A3069" s="0" t="s">
        <v>260</v>
      </c>
      <c r="B3069" s="52" t="n">
        <v>44349</v>
      </c>
      <c r="C3069" s="54" t="s">
        <v>592</v>
      </c>
      <c r="D3069" s="0" t="n">
        <v>0.79365326637978</v>
      </c>
      <c r="E3069" s="0" t="n">
        <v>0.0340517725321477</v>
      </c>
      <c r="F3069" s="0" t="n">
        <v>0</v>
      </c>
      <c r="G3069" s="0" t="n">
        <v>2021</v>
      </c>
    </row>
    <row r="3070" customFormat="false" ht="15" hidden="false" customHeight="false" outlineLevel="0" collapsed="false">
      <c r="A3070" s="0" t="s">
        <v>260</v>
      </c>
      <c r="B3070" s="52" t="n">
        <v>44350</v>
      </c>
      <c r="C3070" s="54" t="s">
        <v>590</v>
      </c>
      <c r="D3070" s="0" t="n">
        <v>0.0998501727257295</v>
      </c>
      <c r="E3070" s="0" t="n">
        <v>0.149317357916806</v>
      </c>
      <c r="F3070" s="0" t="n">
        <v>0</v>
      </c>
      <c r="G3070" s="0" t="n">
        <v>2021</v>
      </c>
    </row>
    <row r="3071" customFormat="false" ht="15" hidden="false" customHeight="false" outlineLevel="0" collapsed="false">
      <c r="A3071" s="0" t="s">
        <v>260</v>
      </c>
      <c r="B3071" s="52" t="n">
        <v>44350</v>
      </c>
      <c r="C3071" s="54" t="s">
        <v>591</v>
      </c>
      <c r="D3071" s="0" t="n">
        <v>0.0200239680652105</v>
      </c>
      <c r="E3071" s="0" t="n">
        <v>0.12014940091374</v>
      </c>
      <c r="F3071" s="0" t="n">
        <v>0</v>
      </c>
      <c r="G3071" s="0" t="n">
        <v>2021</v>
      </c>
    </row>
    <row r="3072" customFormat="false" ht="15" hidden="false" customHeight="false" outlineLevel="0" collapsed="false">
      <c r="A3072" s="0" t="s">
        <v>260</v>
      </c>
      <c r="B3072" s="52" t="n">
        <v>44350</v>
      </c>
      <c r="C3072" s="54" t="s">
        <v>592</v>
      </c>
      <c r="D3072" s="0" t="n">
        <v>1</v>
      </c>
      <c r="E3072" s="0" t="n">
        <v>0</v>
      </c>
      <c r="F3072" s="0" t="n">
        <v>0</v>
      </c>
      <c r="G3072" s="0" t="n">
        <v>2021</v>
      </c>
    </row>
    <row r="3073" customFormat="false" ht="15" hidden="false" customHeight="false" outlineLevel="0" collapsed="false">
      <c r="A3073" s="0" t="s">
        <v>260</v>
      </c>
      <c r="B3073" s="52" t="n">
        <v>44351</v>
      </c>
      <c r="C3073" s="54" t="s">
        <v>590</v>
      </c>
      <c r="D3073" s="0" t="n">
        <v>0.0152345879544489</v>
      </c>
      <c r="E3073" s="0" t="n">
        <v>0.0555873361466731</v>
      </c>
      <c r="F3073" s="0" t="n">
        <v>0</v>
      </c>
      <c r="G3073" s="0" t="n">
        <v>2021</v>
      </c>
    </row>
    <row r="3074" customFormat="false" ht="15" hidden="false" customHeight="false" outlineLevel="0" collapsed="false">
      <c r="A3074" s="0" t="s">
        <v>260</v>
      </c>
      <c r="B3074" s="52" t="n">
        <v>44351</v>
      </c>
      <c r="C3074" s="54" t="s">
        <v>591</v>
      </c>
      <c r="D3074" s="0" t="n">
        <v>0.857100952631768</v>
      </c>
      <c r="E3074" s="0" t="n">
        <v>0.0120777135981132</v>
      </c>
      <c r="F3074" s="0" t="n">
        <v>0</v>
      </c>
      <c r="G3074" s="0" t="n">
        <v>2021</v>
      </c>
    </row>
    <row r="3075" customFormat="false" ht="15" hidden="false" customHeight="false" outlineLevel="0" collapsed="false">
      <c r="A3075" s="0" t="s">
        <v>260</v>
      </c>
      <c r="B3075" s="52" t="n">
        <v>44351</v>
      </c>
      <c r="C3075" s="54" t="s">
        <v>592</v>
      </c>
      <c r="D3075" s="0" t="n">
        <v>1</v>
      </c>
      <c r="E3075" s="0" t="n">
        <v>0</v>
      </c>
      <c r="F3075" s="0" t="n">
        <v>0</v>
      </c>
      <c r="G3075" s="0" t="n">
        <v>2021</v>
      </c>
    </row>
    <row r="3076" customFormat="false" ht="15" hidden="false" customHeight="false" outlineLevel="0" collapsed="false">
      <c r="A3076" s="0" t="s">
        <v>260</v>
      </c>
      <c r="B3076" s="52" t="n">
        <v>44352</v>
      </c>
      <c r="C3076" s="54" t="s">
        <v>590</v>
      </c>
      <c r="D3076" s="0" t="n">
        <v>0.0203315722697442</v>
      </c>
      <c r="E3076" s="0" t="n">
        <v>0.0444783972034244</v>
      </c>
      <c r="F3076" s="0" t="n">
        <v>1</v>
      </c>
      <c r="G3076" s="0" t="n">
        <v>2021</v>
      </c>
    </row>
    <row r="3077" customFormat="false" ht="15" hidden="false" customHeight="false" outlineLevel="0" collapsed="false">
      <c r="A3077" s="0" t="s">
        <v>260</v>
      </c>
      <c r="B3077" s="52" t="n">
        <v>44352</v>
      </c>
      <c r="C3077" s="54" t="s">
        <v>591</v>
      </c>
      <c r="D3077" s="0" t="n">
        <v>0.304176398590029</v>
      </c>
      <c r="E3077" s="0" t="n">
        <v>0.0217247539399404</v>
      </c>
      <c r="F3077" s="0" t="n">
        <v>1</v>
      </c>
      <c r="G3077" s="0" t="n">
        <v>2021</v>
      </c>
    </row>
    <row r="3078" customFormat="false" ht="15" hidden="false" customHeight="false" outlineLevel="0" collapsed="false">
      <c r="A3078" s="0" t="s">
        <v>260</v>
      </c>
      <c r="B3078" s="52" t="n">
        <v>44352</v>
      </c>
      <c r="C3078" s="54" t="s">
        <v>592</v>
      </c>
      <c r="D3078" s="0" t="n">
        <v>1</v>
      </c>
      <c r="E3078" s="0" t="n">
        <v>0</v>
      </c>
      <c r="F3078" s="0" t="n">
        <v>1</v>
      </c>
      <c r="G3078" s="0" t="n">
        <v>2021</v>
      </c>
    </row>
    <row r="3079" customFormat="false" ht="15" hidden="false" customHeight="false" outlineLevel="0" collapsed="false">
      <c r="A3079" s="0" t="s">
        <v>260</v>
      </c>
      <c r="B3079" s="52" t="n">
        <v>44353</v>
      </c>
      <c r="C3079" s="54" t="s">
        <v>590</v>
      </c>
      <c r="D3079" s="0" t="n">
        <v>0.015133552966215</v>
      </c>
      <c r="E3079" s="0" t="n">
        <v>0.0408018551418938</v>
      </c>
      <c r="F3079" s="0" t="n">
        <v>1</v>
      </c>
      <c r="G3079" s="0" t="n">
        <v>2021</v>
      </c>
    </row>
    <row r="3080" customFormat="false" ht="15" hidden="false" customHeight="false" outlineLevel="0" collapsed="false">
      <c r="A3080" s="0" t="s">
        <v>260</v>
      </c>
      <c r="B3080" s="52" t="n">
        <v>44353</v>
      </c>
      <c r="C3080" s="54" t="s">
        <v>591</v>
      </c>
      <c r="D3080" s="0" t="n">
        <v>0.192830954734805</v>
      </c>
      <c r="E3080" s="0" t="n">
        <v>0.0174891632234023</v>
      </c>
      <c r="F3080" s="0" t="n">
        <v>1</v>
      </c>
      <c r="G3080" s="0" t="n">
        <v>2021</v>
      </c>
    </row>
    <row r="3081" customFormat="false" ht="15" hidden="false" customHeight="false" outlineLevel="0" collapsed="false">
      <c r="A3081" s="0" t="s">
        <v>260</v>
      </c>
      <c r="B3081" s="52" t="n">
        <v>44353</v>
      </c>
      <c r="C3081" s="54" t="s">
        <v>592</v>
      </c>
      <c r="D3081" s="0" t="n">
        <v>1</v>
      </c>
      <c r="E3081" s="0" t="n">
        <v>0</v>
      </c>
      <c r="F3081" s="0" t="n">
        <v>1</v>
      </c>
      <c r="G3081" s="0" t="n">
        <v>2021</v>
      </c>
    </row>
    <row r="3082" customFormat="false" ht="15" hidden="false" customHeight="false" outlineLevel="0" collapsed="false">
      <c r="A3082" s="0" t="s">
        <v>260</v>
      </c>
      <c r="B3082" s="52" t="n">
        <v>44354</v>
      </c>
      <c r="C3082" s="54" t="s">
        <v>590</v>
      </c>
      <c r="D3082" s="0" t="n">
        <v>0.0187392449411898</v>
      </c>
      <c r="E3082" s="0" t="n">
        <v>0.0807234723530279</v>
      </c>
      <c r="F3082" s="0" t="n">
        <v>0</v>
      </c>
      <c r="G3082" s="0" t="n">
        <v>2021</v>
      </c>
    </row>
    <row r="3083" customFormat="false" ht="15" hidden="false" customHeight="false" outlineLevel="0" collapsed="false">
      <c r="A3083" s="0" t="s">
        <v>260</v>
      </c>
      <c r="B3083" s="52" t="n">
        <v>44354</v>
      </c>
      <c r="C3083" s="54" t="s">
        <v>591</v>
      </c>
      <c r="D3083" s="0" t="n">
        <v>0.686892207560927</v>
      </c>
      <c r="E3083" s="0" t="n">
        <v>0.155108634755117</v>
      </c>
      <c r="F3083" s="0" t="n">
        <v>0</v>
      </c>
      <c r="G3083" s="0" t="n">
        <v>2021</v>
      </c>
    </row>
    <row r="3084" customFormat="false" ht="15" hidden="false" customHeight="false" outlineLevel="0" collapsed="false">
      <c r="A3084" s="0" t="s">
        <v>260</v>
      </c>
      <c r="B3084" s="52" t="n">
        <v>44354</v>
      </c>
      <c r="C3084" s="54" t="s">
        <v>592</v>
      </c>
      <c r="D3084" s="0" t="n">
        <v>1</v>
      </c>
      <c r="E3084" s="0" t="n">
        <v>0</v>
      </c>
      <c r="F3084" s="0" t="n">
        <v>0</v>
      </c>
      <c r="G3084" s="0" t="n">
        <v>2021</v>
      </c>
    </row>
    <row r="3085" customFormat="false" ht="15" hidden="false" customHeight="false" outlineLevel="0" collapsed="false">
      <c r="A3085" s="0" t="s">
        <v>260</v>
      </c>
      <c r="B3085" s="52" t="n">
        <v>44355</v>
      </c>
      <c r="C3085" s="54" t="s">
        <v>590</v>
      </c>
      <c r="D3085" s="0" t="n">
        <v>0.443266895545938</v>
      </c>
      <c r="E3085" s="0" t="n">
        <v>0.0159597369850847</v>
      </c>
      <c r="F3085" s="0" t="n">
        <v>0</v>
      </c>
      <c r="G3085" s="0" t="n">
        <v>2021</v>
      </c>
    </row>
    <row r="3086" customFormat="false" ht="15" hidden="false" customHeight="false" outlineLevel="0" collapsed="false">
      <c r="A3086" s="0" t="s">
        <v>260</v>
      </c>
      <c r="B3086" s="52" t="n">
        <v>44355</v>
      </c>
      <c r="C3086" s="54" t="s">
        <v>591</v>
      </c>
      <c r="D3086" s="0" t="n">
        <v>0.0049228685014553</v>
      </c>
      <c r="E3086" s="0" t="n">
        <v>0.0509286064349193</v>
      </c>
      <c r="F3086" s="0" t="n">
        <v>0</v>
      </c>
      <c r="G3086" s="0" t="n">
        <v>2021</v>
      </c>
    </row>
    <row r="3087" customFormat="false" ht="15" hidden="false" customHeight="false" outlineLevel="0" collapsed="false">
      <c r="A3087" s="0" t="s">
        <v>260</v>
      </c>
      <c r="B3087" s="52" t="n">
        <v>44355</v>
      </c>
      <c r="C3087" s="54" t="s">
        <v>592</v>
      </c>
      <c r="D3087" s="0" t="n">
        <v>0.987802431650861</v>
      </c>
      <c r="E3087" s="0" t="n">
        <v>0</v>
      </c>
      <c r="F3087" s="0" t="n">
        <v>0</v>
      </c>
      <c r="G3087" s="0" t="n">
        <v>2021</v>
      </c>
    </row>
    <row r="3088" customFormat="false" ht="15" hidden="false" customHeight="false" outlineLevel="0" collapsed="false">
      <c r="A3088" s="0" t="s">
        <v>260</v>
      </c>
      <c r="B3088" s="52" t="n">
        <v>44356</v>
      </c>
      <c r="C3088" s="54" t="s">
        <v>590</v>
      </c>
      <c r="D3088" s="0" t="n">
        <v>0.0361591710223254</v>
      </c>
      <c r="E3088" s="0" t="n">
        <v>0.0373672309653865</v>
      </c>
      <c r="F3088" s="0" t="n">
        <v>0</v>
      </c>
      <c r="G3088" s="0" t="n">
        <v>2021</v>
      </c>
    </row>
    <row r="3089" customFormat="false" ht="15" hidden="false" customHeight="false" outlineLevel="0" collapsed="false">
      <c r="A3089" s="0" t="s">
        <v>260</v>
      </c>
      <c r="B3089" s="52" t="n">
        <v>44356</v>
      </c>
      <c r="C3089" s="54" t="s">
        <v>591</v>
      </c>
      <c r="D3089" s="0" t="n">
        <v>0.615823815113725</v>
      </c>
      <c r="E3089" s="0" t="n">
        <v>0.017321357601822</v>
      </c>
      <c r="F3089" s="0" t="n">
        <v>0</v>
      </c>
      <c r="G3089" s="0" t="n">
        <v>2021</v>
      </c>
    </row>
    <row r="3090" customFormat="false" ht="15" hidden="false" customHeight="false" outlineLevel="0" collapsed="false">
      <c r="A3090" s="0" t="s">
        <v>260</v>
      </c>
      <c r="B3090" s="52" t="n">
        <v>44356</v>
      </c>
      <c r="C3090" s="54" t="s">
        <v>592</v>
      </c>
      <c r="D3090" s="0" t="n">
        <v>1</v>
      </c>
      <c r="E3090" s="0" t="n">
        <v>0</v>
      </c>
      <c r="F3090" s="0" t="n">
        <v>0</v>
      </c>
      <c r="G3090" s="0" t="n">
        <v>2021</v>
      </c>
    </row>
    <row r="3091" customFormat="false" ht="15" hidden="false" customHeight="false" outlineLevel="0" collapsed="false">
      <c r="A3091" s="0" t="s">
        <v>260</v>
      </c>
      <c r="B3091" s="52" t="n">
        <v>44357</v>
      </c>
      <c r="C3091" s="54" t="s">
        <v>590</v>
      </c>
      <c r="D3091" s="0" t="n">
        <v>0.0324065109802014</v>
      </c>
      <c r="E3091" s="0" t="n">
        <v>0.0397519244376273</v>
      </c>
      <c r="F3091" s="0" t="n">
        <v>0</v>
      </c>
      <c r="G3091" s="0" t="n">
        <v>2021</v>
      </c>
    </row>
    <row r="3092" customFormat="false" ht="15" hidden="false" customHeight="false" outlineLevel="0" collapsed="false">
      <c r="A3092" s="0" t="s">
        <v>260</v>
      </c>
      <c r="B3092" s="52" t="n">
        <v>44357</v>
      </c>
      <c r="C3092" s="54" t="s">
        <v>591</v>
      </c>
      <c r="D3092" s="0" t="n">
        <v>0.371662816945241</v>
      </c>
      <c r="E3092" s="0" t="n">
        <v>0.0848974895384369</v>
      </c>
      <c r="F3092" s="0" t="n">
        <v>0</v>
      </c>
      <c r="G3092" s="0" t="n">
        <v>2021</v>
      </c>
    </row>
    <row r="3093" customFormat="false" ht="15" hidden="false" customHeight="false" outlineLevel="0" collapsed="false">
      <c r="A3093" s="0" t="s">
        <v>260</v>
      </c>
      <c r="B3093" s="52" t="n">
        <v>44357</v>
      </c>
      <c r="C3093" s="54" t="s">
        <v>592</v>
      </c>
      <c r="D3093" s="0" t="n">
        <v>1</v>
      </c>
      <c r="E3093" s="0" t="n">
        <v>0</v>
      </c>
      <c r="F3093" s="0" t="n">
        <v>0</v>
      </c>
      <c r="G3093" s="0" t="n">
        <v>2021</v>
      </c>
    </row>
    <row r="3094" customFormat="false" ht="15" hidden="false" customHeight="false" outlineLevel="0" collapsed="false">
      <c r="A3094" s="0" t="s">
        <v>260</v>
      </c>
      <c r="B3094" s="52" t="n">
        <v>44358</v>
      </c>
      <c r="C3094" s="54" t="s">
        <v>590</v>
      </c>
      <c r="D3094" s="0" t="n">
        <v>0.0136793777072462</v>
      </c>
      <c r="E3094" s="0" t="n">
        <v>0.117506534368463</v>
      </c>
      <c r="F3094" s="0" t="n">
        <v>0</v>
      </c>
      <c r="G3094" s="0" t="n">
        <v>2021</v>
      </c>
    </row>
    <row r="3095" customFormat="false" ht="15" hidden="false" customHeight="false" outlineLevel="0" collapsed="false">
      <c r="A3095" s="0" t="s">
        <v>260</v>
      </c>
      <c r="B3095" s="52" t="n">
        <v>44358</v>
      </c>
      <c r="C3095" s="54" t="s">
        <v>591</v>
      </c>
      <c r="D3095" s="0" t="n">
        <v>0.988061958693341</v>
      </c>
      <c r="E3095" s="0" t="n">
        <v>0.0119380413066587</v>
      </c>
      <c r="F3095" s="0" t="n">
        <v>0</v>
      </c>
      <c r="G3095" s="0" t="n">
        <v>2021</v>
      </c>
    </row>
    <row r="3096" customFormat="false" ht="15" hidden="false" customHeight="false" outlineLevel="0" collapsed="false">
      <c r="A3096" s="0" t="s">
        <v>260</v>
      </c>
      <c r="B3096" s="52" t="n">
        <v>44358</v>
      </c>
      <c r="C3096" s="54" t="s">
        <v>592</v>
      </c>
      <c r="D3096" s="0" t="n">
        <v>1</v>
      </c>
      <c r="E3096" s="0" t="n">
        <v>0</v>
      </c>
      <c r="F3096" s="0" t="n">
        <v>0</v>
      </c>
      <c r="G3096" s="0" t="n">
        <v>2021</v>
      </c>
    </row>
    <row r="3097" customFormat="false" ht="15" hidden="false" customHeight="false" outlineLevel="0" collapsed="false">
      <c r="A3097" s="0" t="s">
        <v>260</v>
      </c>
      <c r="B3097" s="52" t="n">
        <v>44359</v>
      </c>
      <c r="C3097" s="54" t="s">
        <v>590</v>
      </c>
      <c r="D3097" s="0" t="n">
        <v>0.014958740029019</v>
      </c>
      <c r="E3097" s="0" t="n">
        <v>0.0525423629537697</v>
      </c>
      <c r="F3097" s="0" t="n">
        <v>1</v>
      </c>
      <c r="G3097" s="0" t="n">
        <v>2021</v>
      </c>
    </row>
    <row r="3098" customFormat="false" ht="15" hidden="false" customHeight="false" outlineLevel="0" collapsed="false">
      <c r="A3098" s="0" t="s">
        <v>260</v>
      </c>
      <c r="B3098" s="52" t="n">
        <v>44359</v>
      </c>
      <c r="C3098" s="54" t="s">
        <v>591</v>
      </c>
      <c r="D3098" s="0" t="n">
        <v>0.0739841176561226</v>
      </c>
      <c r="E3098" s="0" t="n">
        <v>0.0287246058840045</v>
      </c>
      <c r="F3098" s="0" t="n">
        <v>1</v>
      </c>
      <c r="G3098" s="0" t="n">
        <v>2021</v>
      </c>
    </row>
    <row r="3099" customFormat="false" ht="15" hidden="false" customHeight="false" outlineLevel="0" collapsed="false">
      <c r="A3099" s="0" t="s">
        <v>260</v>
      </c>
      <c r="B3099" s="52" t="n">
        <v>44359</v>
      </c>
      <c r="C3099" s="54" t="s">
        <v>592</v>
      </c>
      <c r="D3099" s="0" t="n">
        <v>1</v>
      </c>
      <c r="E3099" s="0" t="n">
        <v>0</v>
      </c>
      <c r="F3099" s="0" t="n">
        <v>1</v>
      </c>
      <c r="G3099" s="0" t="n">
        <v>2021</v>
      </c>
    </row>
    <row r="3100" customFormat="false" ht="15" hidden="false" customHeight="false" outlineLevel="0" collapsed="false">
      <c r="A3100" s="0" t="s">
        <v>260</v>
      </c>
      <c r="B3100" s="52" t="n">
        <v>44360</v>
      </c>
      <c r="C3100" s="54" t="s">
        <v>590</v>
      </c>
      <c r="D3100" s="0" t="n">
        <v>0.0182053748777501</v>
      </c>
      <c r="E3100" s="0" t="n">
        <v>0.0594728477877281</v>
      </c>
      <c r="F3100" s="0" t="n">
        <v>1</v>
      </c>
      <c r="G3100" s="0" t="n">
        <v>2021</v>
      </c>
    </row>
    <row r="3101" customFormat="false" ht="15" hidden="false" customHeight="false" outlineLevel="0" collapsed="false">
      <c r="A3101" s="0" t="s">
        <v>260</v>
      </c>
      <c r="B3101" s="52" t="n">
        <v>44360</v>
      </c>
      <c r="C3101" s="54" t="s">
        <v>591</v>
      </c>
      <c r="D3101" s="0" t="n">
        <v>0.29482123566563</v>
      </c>
      <c r="E3101" s="0" t="n">
        <v>0.0231703022940996</v>
      </c>
      <c r="F3101" s="0" t="n">
        <v>1</v>
      </c>
      <c r="G3101" s="0" t="n">
        <v>2021</v>
      </c>
    </row>
    <row r="3102" customFormat="false" ht="15" hidden="false" customHeight="false" outlineLevel="0" collapsed="false">
      <c r="A3102" s="0" t="s">
        <v>260</v>
      </c>
      <c r="B3102" s="52" t="n">
        <v>44360</v>
      </c>
      <c r="C3102" s="54" t="s">
        <v>592</v>
      </c>
      <c r="D3102" s="0" t="n">
        <v>1</v>
      </c>
      <c r="E3102" s="0" t="n">
        <v>0</v>
      </c>
      <c r="F3102" s="0" t="n">
        <v>1</v>
      </c>
      <c r="G3102" s="0" t="n">
        <v>2021</v>
      </c>
    </row>
    <row r="3103" customFormat="false" ht="15" hidden="false" customHeight="false" outlineLevel="0" collapsed="false">
      <c r="A3103" s="0" t="s">
        <v>260</v>
      </c>
      <c r="B3103" s="52" t="n">
        <v>44361</v>
      </c>
      <c r="C3103" s="54" t="s">
        <v>590</v>
      </c>
      <c r="D3103" s="0" t="n">
        <v>0.0320630117881605</v>
      </c>
      <c r="E3103" s="0" t="n">
        <v>0.0954317485508764</v>
      </c>
      <c r="F3103" s="0" t="n">
        <v>0</v>
      </c>
      <c r="G3103" s="0" t="n">
        <v>2021</v>
      </c>
    </row>
    <row r="3104" customFormat="false" ht="15" hidden="false" customHeight="false" outlineLevel="0" collapsed="false">
      <c r="A3104" s="0" t="s">
        <v>260</v>
      </c>
      <c r="B3104" s="52" t="n">
        <v>44361</v>
      </c>
      <c r="C3104" s="54" t="s">
        <v>591</v>
      </c>
      <c r="D3104" s="0" t="n">
        <v>0.200561866017844</v>
      </c>
      <c r="E3104" s="0" t="n">
        <v>0.0499156727787143</v>
      </c>
      <c r="F3104" s="0" t="n">
        <v>0</v>
      </c>
      <c r="G3104" s="0" t="n">
        <v>2021</v>
      </c>
    </row>
    <row r="3105" customFormat="false" ht="15" hidden="false" customHeight="false" outlineLevel="0" collapsed="false">
      <c r="A3105" s="0" t="s">
        <v>260</v>
      </c>
      <c r="B3105" s="52" t="n">
        <v>44361</v>
      </c>
      <c r="C3105" s="54" t="s">
        <v>592</v>
      </c>
      <c r="D3105" s="0" t="n">
        <v>1</v>
      </c>
      <c r="E3105" s="0" t="n">
        <v>0</v>
      </c>
      <c r="F3105" s="0" t="n">
        <v>0</v>
      </c>
      <c r="G3105" s="0" t="n">
        <v>2021</v>
      </c>
    </row>
    <row r="3106" customFormat="false" ht="15" hidden="false" customHeight="false" outlineLevel="0" collapsed="false">
      <c r="A3106" s="0" t="s">
        <v>260</v>
      </c>
      <c r="B3106" s="52" t="n">
        <v>44362</v>
      </c>
      <c r="C3106" s="54" t="s">
        <v>590</v>
      </c>
      <c r="D3106" s="0" t="n">
        <v>0.0251129990542578</v>
      </c>
      <c r="E3106" s="0" t="n">
        <v>0.124489462584226</v>
      </c>
      <c r="F3106" s="0" t="n">
        <v>0</v>
      </c>
      <c r="G3106" s="0" t="n">
        <v>2021</v>
      </c>
    </row>
    <row r="3107" customFormat="false" ht="15" hidden="false" customHeight="false" outlineLevel="0" collapsed="false">
      <c r="A3107" s="0" t="s">
        <v>260</v>
      </c>
      <c r="B3107" s="52" t="n">
        <v>44362</v>
      </c>
      <c r="C3107" s="54" t="s">
        <v>591</v>
      </c>
      <c r="D3107" s="0" t="n">
        <v>0.643590163395027</v>
      </c>
      <c r="E3107" s="0" t="n">
        <v>0.0068458857095059</v>
      </c>
      <c r="F3107" s="0" t="n">
        <v>0</v>
      </c>
      <c r="G3107" s="0" t="n">
        <v>2021</v>
      </c>
    </row>
    <row r="3108" customFormat="false" ht="15" hidden="false" customHeight="false" outlineLevel="0" collapsed="false">
      <c r="A3108" s="0" t="s">
        <v>260</v>
      </c>
      <c r="B3108" s="52" t="n">
        <v>44362</v>
      </c>
      <c r="C3108" s="54" t="s">
        <v>592</v>
      </c>
      <c r="D3108" s="0" t="n">
        <v>1</v>
      </c>
      <c r="E3108" s="0" t="n">
        <v>0</v>
      </c>
      <c r="F3108" s="0" t="n">
        <v>0</v>
      </c>
      <c r="G3108" s="0" t="n">
        <v>2021</v>
      </c>
    </row>
    <row r="3109" customFormat="false" ht="15" hidden="false" customHeight="false" outlineLevel="0" collapsed="false">
      <c r="A3109" s="0" t="s">
        <v>260</v>
      </c>
      <c r="B3109" s="52" t="n">
        <v>44363</v>
      </c>
      <c r="C3109" s="54" t="s">
        <v>590</v>
      </c>
      <c r="D3109" s="0" t="n">
        <v>0.0051393674497281</v>
      </c>
      <c r="E3109" s="0" t="n">
        <v>0.0766528468988258</v>
      </c>
      <c r="F3109" s="0" t="n">
        <v>0</v>
      </c>
      <c r="G3109" s="0" t="n">
        <v>2021</v>
      </c>
    </row>
    <row r="3110" customFormat="false" ht="15" hidden="false" customHeight="false" outlineLevel="0" collapsed="false">
      <c r="A3110" s="0" t="s">
        <v>260</v>
      </c>
      <c r="B3110" s="52" t="n">
        <v>44363</v>
      </c>
      <c r="C3110" s="54" t="s">
        <v>591</v>
      </c>
      <c r="D3110" s="0" t="n">
        <v>0.0188198776038601</v>
      </c>
      <c r="E3110" s="0" t="n">
        <v>0.186171001529952</v>
      </c>
      <c r="F3110" s="0" t="n">
        <v>0</v>
      </c>
      <c r="G3110" s="0" t="n">
        <v>2021</v>
      </c>
    </row>
    <row r="3111" customFormat="false" ht="15" hidden="false" customHeight="false" outlineLevel="0" collapsed="false">
      <c r="A3111" s="0" t="s">
        <v>260</v>
      </c>
      <c r="B3111" s="52" t="n">
        <v>44363</v>
      </c>
      <c r="C3111" s="54" t="s">
        <v>592</v>
      </c>
      <c r="D3111" s="0" t="n">
        <v>0.68107687734472</v>
      </c>
      <c r="E3111" s="0" t="n">
        <v>0.0250841412288716</v>
      </c>
      <c r="F3111" s="0" t="n">
        <v>0</v>
      </c>
      <c r="G3111" s="0" t="n">
        <v>2021</v>
      </c>
    </row>
    <row r="3112" customFormat="false" ht="15" hidden="false" customHeight="false" outlineLevel="0" collapsed="false">
      <c r="A3112" s="0" t="s">
        <v>260</v>
      </c>
      <c r="B3112" s="52" t="n">
        <v>44364</v>
      </c>
      <c r="C3112" s="54" t="s">
        <v>590</v>
      </c>
      <c r="D3112" s="0" t="n">
        <v>0.342674299557985</v>
      </c>
      <c r="E3112" s="0" t="n">
        <v>0.0550520273306094</v>
      </c>
      <c r="F3112" s="0" t="n">
        <v>0</v>
      </c>
      <c r="G3112" s="0" t="n">
        <v>2021</v>
      </c>
    </row>
    <row r="3113" customFormat="false" ht="15" hidden="false" customHeight="false" outlineLevel="0" collapsed="false">
      <c r="A3113" s="0" t="s">
        <v>260</v>
      </c>
      <c r="B3113" s="52" t="n">
        <v>44364</v>
      </c>
      <c r="C3113" s="54" t="s">
        <v>592</v>
      </c>
      <c r="D3113" s="0" t="n">
        <v>1</v>
      </c>
      <c r="E3113" s="0" t="n">
        <v>0</v>
      </c>
      <c r="F3113" s="0" t="n">
        <v>0</v>
      </c>
      <c r="G3113" s="0" t="n">
        <v>2021</v>
      </c>
    </row>
    <row r="3114" customFormat="false" ht="15" hidden="false" customHeight="false" outlineLevel="0" collapsed="false">
      <c r="A3114" s="0" t="s">
        <v>260</v>
      </c>
      <c r="B3114" s="52" t="n">
        <v>44365</v>
      </c>
      <c r="C3114" s="54" t="s">
        <v>590</v>
      </c>
      <c r="D3114" s="0" t="n">
        <v>0.0172388633907484</v>
      </c>
      <c r="E3114" s="0" t="n">
        <v>0.0427444381512765</v>
      </c>
      <c r="F3114" s="0" t="n">
        <v>0</v>
      </c>
      <c r="G3114" s="0" t="n">
        <v>2021</v>
      </c>
    </row>
    <row r="3115" customFormat="false" ht="15" hidden="false" customHeight="false" outlineLevel="0" collapsed="false">
      <c r="A3115" s="0" t="s">
        <v>260</v>
      </c>
      <c r="B3115" s="52" t="n">
        <v>44365</v>
      </c>
      <c r="C3115" s="54" t="s">
        <v>592</v>
      </c>
      <c r="D3115" s="0" t="n">
        <v>1</v>
      </c>
      <c r="E3115" s="0" t="n">
        <v>0</v>
      </c>
      <c r="F3115" s="0" t="n">
        <v>0</v>
      </c>
      <c r="G3115" s="0" t="n">
        <v>2021</v>
      </c>
    </row>
    <row r="3116" customFormat="false" ht="15" hidden="false" customHeight="false" outlineLevel="0" collapsed="false">
      <c r="A3116" s="0" t="s">
        <v>260</v>
      </c>
      <c r="B3116" s="52" t="n">
        <v>44366</v>
      </c>
      <c r="C3116" s="54" t="s">
        <v>590</v>
      </c>
      <c r="D3116" s="0" t="n">
        <v>0.0154116836140614</v>
      </c>
      <c r="E3116" s="0" t="n">
        <v>0.0136410105973781</v>
      </c>
      <c r="F3116" s="0" t="n">
        <v>1</v>
      </c>
      <c r="G3116" s="0" t="n">
        <v>2021</v>
      </c>
    </row>
    <row r="3117" customFormat="false" ht="15" hidden="false" customHeight="false" outlineLevel="0" collapsed="false">
      <c r="A3117" s="0" t="s">
        <v>260</v>
      </c>
      <c r="B3117" s="52" t="n">
        <v>44366</v>
      </c>
      <c r="C3117" s="54" t="s">
        <v>591</v>
      </c>
      <c r="D3117" s="0" t="n">
        <v>0.406444321947492</v>
      </c>
      <c r="E3117" s="0" t="n">
        <v>0.157677095105189</v>
      </c>
      <c r="F3117" s="0" t="n">
        <v>1</v>
      </c>
      <c r="G3117" s="0" t="n">
        <v>2021</v>
      </c>
    </row>
    <row r="3118" customFormat="false" ht="15" hidden="false" customHeight="false" outlineLevel="0" collapsed="false">
      <c r="A3118" s="0" t="s">
        <v>260</v>
      </c>
      <c r="B3118" s="52" t="n">
        <v>44366</v>
      </c>
      <c r="C3118" s="54" t="s">
        <v>592</v>
      </c>
      <c r="D3118" s="0" t="n">
        <v>1</v>
      </c>
      <c r="E3118" s="0" t="n">
        <v>0</v>
      </c>
      <c r="F3118" s="0" t="n">
        <v>1</v>
      </c>
      <c r="G3118" s="0" t="n">
        <v>2021</v>
      </c>
    </row>
    <row r="3119" customFormat="false" ht="15" hidden="false" customHeight="false" outlineLevel="0" collapsed="false">
      <c r="A3119" s="0" t="s">
        <v>260</v>
      </c>
      <c r="B3119" s="52" t="n">
        <v>44367</v>
      </c>
      <c r="C3119" s="54" t="s">
        <v>590</v>
      </c>
      <c r="D3119" s="0" t="n">
        <v>0.0275398164282161</v>
      </c>
      <c r="E3119" s="0" t="n">
        <v>0.123551122563158</v>
      </c>
      <c r="F3119" s="0" t="n">
        <v>1</v>
      </c>
      <c r="G3119" s="0" t="n">
        <v>2021</v>
      </c>
    </row>
    <row r="3120" customFormat="false" ht="15" hidden="false" customHeight="false" outlineLevel="0" collapsed="false">
      <c r="A3120" s="0" t="s">
        <v>260</v>
      </c>
      <c r="B3120" s="52" t="n">
        <v>44367</v>
      </c>
      <c r="C3120" s="54" t="s">
        <v>591</v>
      </c>
      <c r="D3120" s="0" t="n">
        <v>0.0091162897570677</v>
      </c>
      <c r="E3120" s="0" t="n">
        <v>0.159940579900982</v>
      </c>
      <c r="F3120" s="0" t="n">
        <v>1</v>
      </c>
      <c r="G3120" s="0" t="n">
        <v>2021</v>
      </c>
    </row>
    <row r="3121" customFormat="false" ht="15" hidden="false" customHeight="false" outlineLevel="0" collapsed="false">
      <c r="A3121" s="0" t="s">
        <v>260</v>
      </c>
      <c r="B3121" s="52" t="n">
        <v>44367</v>
      </c>
      <c r="C3121" s="54" t="s">
        <v>592</v>
      </c>
      <c r="D3121" s="0" t="n">
        <v>0.901249759674279</v>
      </c>
      <c r="E3121" s="0" t="n">
        <v>0.0170589438952652</v>
      </c>
      <c r="F3121" s="0" t="n">
        <v>1</v>
      </c>
      <c r="G3121" s="0" t="n">
        <v>2021</v>
      </c>
    </row>
    <row r="3122" customFormat="false" ht="15" hidden="false" customHeight="false" outlineLevel="0" collapsed="false">
      <c r="A3122" s="0" t="s">
        <v>260</v>
      </c>
      <c r="B3122" s="52" t="n">
        <v>44368</v>
      </c>
      <c r="C3122" s="54" t="s">
        <v>590</v>
      </c>
      <c r="D3122" s="0" t="n">
        <v>0.0310291023569999</v>
      </c>
      <c r="E3122" s="0" t="n">
        <v>0.0774908417860589</v>
      </c>
      <c r="F3122" s="0" t="n">
        <v>0</v>
      </c>
      <c r="G3122" s="0" t="n">
        <v>2021</v>
      </c>
    </row>
    <row r="3123" customFormat="false" ht="15" hidden="false" customHeight="false" outlineLevel="0" collapsed="false">
      <c r="A3123" s="0" t="s">
        <v>260</v>
      </c>
      <c r="B3123" s="52" t="n">
        <v>44368</v>
      </c>
      <c r="C3123" s="54" t="s">
        <v>591</v>
      </c>
      <c r="D3123" s="0" t="n">
        <v>0.332263998997637</v>
      </c>
      <c r="E3123" s="0" t="n">
        <v>0.392461800091515</v>
      </c>
      <c r="F3123" s="0" t="n">
        <v>0</v>
      </c>
      <c r="G3123" s="0" t="n">
        <v>2021</v>
      </c>
    </row>
    <row r="3124" customFormat="false" ht="15" hidden="false" customHeight="false" outlineLevel="0" collapsed="false">
      <c r="A3124" s="0" t="s">
        <v>260</v>
      </c>
      <c r="B3124" s="52" t="n">
        <v>44368</v>
      </c>
      <c r="C3124" s="54" t="s">
        <v>592</v>
      </c>
      <c r="D3124" s="0" t="n">
        <v>1</v>
      </c>
      <c r="E3124" s="0" t="n">
        <v>0</v>
      </c>
      <c r="F3124" s="0" t="n">
        <v>0</v>
      </c>
      <c r="G3124" s="0" t="n">
        <v>2021</v>
      </c>
    </row>
    <row r="3125" customFormat="false" ht="15" hidden="false" customHeight="false" outlineLevel="0" collapsed="false">
      <c r="A3125" s="0" t="s">
        <v>260</v>
      </c>
      <c r="B3125" s="52" t="n">
        <v>44369</v>
      </c>
      <c r="C3125" s="54" t="s">
        <v>590</v>
      </c>
      <c r="D3125" s="0" t="n">
        <v>0.0512116105933942</v>
      </c>
      <c r="E3125" s="0" t="n">
        <v>0.0604819525873026</v>
      </c>
      <c r="F3125" s="0" t="n">
        <v>0</v>
      </c>
      <c r="G3125" s="0" t="n">
        <v>2021</v>
      </c>
    </row>
    <row r="3126" customFormat="false" ht="15" hidden="false" customHeight="false" outlineLevel="0" collapsed="false">
      <c r="A3126" s="0" t="s">
        <v>260</v>
      </c>
      <c r="B3126" s="52" t="n">
        <v>44369</v>
      </c>
      <c r="C3126" s="54" t="s">
        <v>591</v>
      </c>
      <c r="D3126" s="0" t="n">
        <v>0.67411578782043</v>
      </c>
      <c r="E3126" s="0" t="n">
        <v>0.0810059994674346</v>
      </c>
      <c r="F3126" s="0" t="n">
        <v>0</v>
      </c>
      <c r="G3126" s="0" t="n">
        <v>2021</v>
      </c>
    </row>
    <row r="3127" customFormat="false" ht="15" hidden="false" customHeight="false" outlineLevel="0" collapsed="false">
      <c r="A3127" s="0" t="s">
        <v>260</v>
      </c>
      <c r="B3127" s="52" t="n">
        <v>44369</v>
      </c>
      <c r="C3127" s="54" t="s">
        <v>592</v>
      </c>
      <c r="D3127" s="0" t="n">
        <v>0.988222400356903</v>
      </c>
      <c r="E3127" s="0" t="n">
        <v>0</v>
      </c>
      <c r="F3127" s="0" t="n">
        <v>0</v>
      </c>
      <c r="G3127" s="0" t="n">
        <v>2021</v>
      </c>
    </row>
    <row r="3128" customFormat="false" ht="15" hidden="false" customHeight="false" outlineLevel="0" collapsed="false">
      <c r="A3128" s="0" t="s">
        <v>260</v>
      </c>
      <c r="B3128" s="52" t="n">
        <v>44370</v>
      </c>
      <c r="C3128" s="54" t="s">
        <v>590</v>
      </c>
      <c r="D3128" s="0" t="n">
        <v>0.0418945478181435</v>
      </c>
      <c r="E3128" s="0" t="n">
        <v>0.0994893717775009</v>
      </c>
      <c r="F3128" s="0" t="n">
        <v>0</v>
      </c>
      <c r="G3128" s="0" t="n">
        <v>2021</v>
      </c>
    </row>
    <row r="3129" customFormat="false" ht="15" hidden="false" customHeight="false" outlineLevel="0" collapsed="false">
      <c r="A3129" s="0" t="s">
        <v>260</v>
      </c>
      <c r="B3129" s="52" t="n">
        <v>44370</v>
      </c>
      <c r="C3129" s="54" t="s">
        <v>591</v>
      </c>
      <c r="D3129" s="0" t="n">
        <v>0.282617087180796</v>
      </c>
      <c r="E3129" s="0" t="n">
        <v>0.302290885797784</v>
      </c>
      <c r="F3129" s="0" t="n">
        <v>0</v>
      </c>
      <c r="G3129" s="0" t="n">
        <v>2021</v>
      </c>
    </row>
    <row r="3130" customFormat="false" ht="15" hidden="false" customHeight="false" outlineLevel="0" collapsed="false">
      <c r="A3130" s="0" t="s">
        <v>260</v>
      </c>
      <c r="B3130" s="52" t="n">
        <v>44370</v>
      </c>
      <c r="C3130" s="54" t="s">
        <v>592</v>
      </c>
      <c r="D3130" s="0" t="n">
        <v>1</v>
      </c>
      <c r="E3130" s="0" t="n">
        <v>0</v>
      </c>
      <c r="F3130" s="0" t="n">
        <v>0</v>
      </c>
      <c r="G3130" s="0" t="n">
        <v>2021</v>
      </c>
    </row>
    <row r="3131" customFormat="false" ht="15" hidden="false" customHeight="false" outlineLevel="0" collapsed="false">
      <c r="A3131" s="0" t="s">
        <v>260</v>
      </c>
      <c r="B3131" s="52" t="n">
        <v>44371</v>
      </c>
      <c r="C3131" s="54" t="s">
        <v>590</v>
      </c>
      <c r="D3131" s="0" t="n">
        <v>0.0434576579971763</v>
      </c>
      <c r="E3131" s="0" t="n">
        <v>0.103186825985556</v>
      </c>
      <c r="F3131" s="0" t="n">
        <v>0</v>
      </c>
      <c r="G3131" s="0" t="n">
        <v>2021</v>
      </c>
    </row>
    <row r="3132" customFormat="false" ht="15" hidden="false" customHeight="false" outlineLevel="0" collapsed="false">
      <c r="A3132" s="0" t="s">
        <v>260</v>
      </c>
      <c r="B3132" s="52" t="n">
        <v>44371</v>
      </c>
      <c r="C3132" s="54" t="s">
        <v>591</v>
      </c>
      <c r="D3132" s="0" t="n">
        <v>0.0969685999272671</v>
      </c>
      <c r="E3132" s="0" t="n">
        <v>0.201670962827815</v>
      </c>
      <c r="F3132" s="0" t="n">
        <v>0</v>
      </c>
      <c r="G3132" s="0" t="n">
        <v>2021</v>
      </c>
    </row>
    <row r="3133" customFormat="false" ht="15" hidden="false" customHeight="false" outlineLevel="0" collapsed="false">
      <c r="A3133" s="0" t="s">
        <v>260</v>
      </c>
      <c r="B3133" s="52" t="n">
        <v>44371</v>
      </c>
      <c r="C3133" s="54" t="s">
        <v>592</v>
      </c>
      <c r="D3133" s="0" t="n">
        <v>0.715769342939251</v>
      </c>
      <c r="E3133" s="0" t="n">
        <v>0</v>
      </c>
      <c r="F3133" s="0" t="n">
        <v>0</v>
      </c>
      <c r="G3133" s="0" t="n">
        <v>2021</v>
      </c>
    </row>
    <row r="3134" customFormat="false" ht="15" hidden="false" customHeight="false" outlineLevel="0" collapsed="false">
      <c r="A3134" s="0" t="s">
        <v>260</v>
      </c>
      <c r="B3134" s="52" t="n">
        <v>44372</v>
      </c>
      <c r="C3134" s="54" t="s">
        <v>590</v>
      </c>
      <c r="D3134" s="0" t="n">
        <v>0.0215562282722787</v>
      </c>
      <c r="E3134" s="0" t="n">
        <v>0.13177631561121</v>
      </c>
      <c r="F3134" s="0" t="n">
        <v>0</v>
      </c>
      <c r="G3134" s="0" t="n">
        <v>2021</v>
      </c>
    </row>
    <row r="3135" customFormat="false" ht="15" hidden="false" customHeight="false" outlineLevel="0" collapsed="false">
      <c r="A3135" s="0" t="s">
        <v>260</v>
      </c>
      <c r="B3135" s="52" t="n">
        <v>44372</v>
      </c>
      <c r="C3135" s="54" t="s">
        <v>591</v>
      </c>
      <c r="D3135" s="0" t="n">
        <v>0.378982621322373</v>
      </c>
      <c r="E3135" s="0" t="n">
        <v>0.0606326366413912</v>
      </c>
      <c r="F3135" s="0" t="n">
        <v>0</v>
      </c>
      <c r="G3135" s="0" t="n">
        <v>2021</v>
      </c>
    </row>
    <row r="3136" customFormat="false" ht="15" hidden="false" customHeight="false" outlineLevel="0" collapsed="false">
      <c r="A3136" s="0" t="s">
        <v>260</v>
      </c>
      <c r="B3136" s="52" t="n">
        <v>44372</v>
      </c>
      <c r="C3136" s="54" t="s">
        <v>592</v>
      </c>
      <c r="D3136" s="0" t="n">
        <v>1</v>
      </c>
      <c r="E3136" s="0" t="n">
        <v>0</v>
      </c>
      <c r="F3136" s="0" t="n">
        <v>0</v>
      </c>
      <c r="G3136" s="0" t="n">
        <v>2021</v>
      </c>
    </row>
    <row r="3137" customFormat="false" ht="15" hidden="false" customHeight="false" outlineLevel="0" collapsed="false">
      <c r="A3137" s="0" t="s">
        <v>260</v>
      </c>
      <c r="B3137" s="52" t="n">
        <v>44373</v>
      </c>
      <c r="C3137" s="54" t="s">
        <v>590</v>
      </c>
      <c r="D3137" s="0" t="n">
        <v>0.0268293200983327</v>
      </c>
      <c r="E3137" s="0" t="n">
        <v>0.0687562398814988</v>
      </c>
      <c r="F3137" s="0" t="n">
        <v>1</v>
      </c>
      <c r="G3137" s="0" t="n">
        <v>2021</v>
      </c>
    </row>
    <row r="3138" customFormat="false" ht="15" hidden="false" customHeight="false" outlineLevel="0" collapsed="false">
      <c r="A3138" s="0" t="s">
        <v>260</v>
      </c>
      <c r="B3138" s="52" t="n">
        <v>44373</v>
      </c>
      <c r="C3138" s="54" t="s">
        <v>591</v>
      </c>
      <c r="D3138" s="0" t="n">
        <v>0.348667279731055</v>
      </c>
      <c r="E3138" s="0" t="n">
        <v>0.0411134824823984</v>
      </c>
      <c r="F3138" s="0" t="n">
        <v>1</v>
      </c>
      <c r="G3138" s="0" t="n">
        <v>2021</v>
      </c>
    </row>
    <row r="3139" customFormat="false" ht="15" hidden="false" customHeight="false" outlineLevel="0" collapsed="false">
      <c r="A3139" s="0" t="s">
        <v>260</v>
      </c>
      <c r="B3139" s="52" t="n">
        <v>44373</v>
      </c>
      <c r="C3139" s="54" t="s">
        <v>592</v>
      </c>
      <c r="D3139" s="0" t="n">
        <v>1</v>
      </c>
      <c r="E3139" s="0" t="n">
        <v>0</v>
      </c>
      <c r="F3139" s="0" t="n">
        <v>1</v>
      </c>
      <c r="G3139" s="0" t="n">
        <v>2021</v>
      </c>
    </row>
    <row r="3140" customFormat="false" ht="15" hidden="false" customHeight="false" outlineLevel="0" collapsed="false">
      <c r="A3140" s="0" t="s">
        <v>260</v>
      </c>
      <c r="B3140" s="52" t="n">
        <v>44374</v>
      </c>
      <c r="C3140" s="54" t="s">
        <v>590</v>
      </c>
      <c r="D3140" s="0" t="n">
        <v>0.0106200758170487</v>
      </c>
      <c r="E3140" s="0" t="n">
        <v>0.0778798230349163</v>
      </c>
      <c r="F3140" s="0" t="n">
        <v>1</v>
      </c>
      <c r="G3140" s="0" t="n">
        <v>2021</v>
      </c>
    </row>
    <row r="3141" customFormat="false" ht="15" hidden="false" customHeight="false" outlineLevel="0" collapsed="false">
      <c r="A3141" s="0" t="s">
        <v>260</v>
      </c>
      <c r="B3141" s="52" t="n">
        <v>44374</v>
      </c>
      <c r="C3141" s="54" t="s">
        <v>591</v>
      </c>
      <c r="D3141" s="0" t="n">
        <v>0.201222106086965</v>
      </c>
      <c r="E3141" s="0" t="n">
        <v>0.0370250810413415</v>
      </c>
      <c r="F3141" s="0" t="n">
        <v>1</v>
      </c>
      <c r="G3141" s="0" t="n">
        <v>2021</v>
      </c>
    </row>
    <row r="3142" customFormat="false" ht="15" hidden="false" customHeight="false" outlineLevel="0" collapsed="false">
      <c r="A3142" s="0" t="s">
        <v>260</v>
      </c>
      <c r="B3142" s="52" t="n">
        <v>44374</v>
      </c>
      <c r="C3142" s="54" t="s">
        <v>592</v>
      </c>
      <c r="D3142" s="0" t="n">
        <v>1</v>
      </c>
      <c r="E3142" s="0" t="n">
        <v>0</v>
      </c>
      <c r="F3142" s="0" t="n">
        <v>1</v>
      </c>
      <c r="G3142" s="0" t="n">
        <v>2021</v>
      </c>
    </row>
    <row r="3143" customFormat="false" ht="15" hidden="false" customHeight="false" outlineLevel="0" collapsed="false">
      <c r="A3143" s="0" t="s">
        <v>260</v>
      </c>
      <c r="B3143" s="52" t="n">
        <v>44375</v>
      </c>
      <c r="C3143" s="54" t="s">
        <v>590</v>
      </c>
      <c r="D3143" s="0" t="n">
        <v>0.0115332892727309</v>
      </c>
      <c r="E3143" s="0" t="n">
        <v>0.0541436546278837</v>
      </c>
      <c r="F3143" s="0" t="n">
        <v>0</v>
      </c>
      <c r="G3143" s="0" t="n">
        <v>2021</v>
      </c>
    </row>
    <row r="3144" customFormat="false" ht="15" hidden="false" customHeight="false" outlineLevel="0" collapsed="false">
      <c r="A3144" s="0" t="s">
        <v>260</v>
      </c>
      <c r="B3144" s="52" t="n">
        <v>44375</v>
      </c>
      <c r="C3144" s="54" t="s">
        <v>591</v>
      </c>
      <c r="D3144" s="0" t="n">
        <v>0.110967375290605</v>
      </c>
      <c r="E3144" s="0" t="n">
        <v>0.131778688287037</v>
      </c>
      <c r="F3144" s="0" t="n">
        <v>0</v>
      </c>
      <c r="G3144" s="0" t="n">
        <v>2021</v>
      </c>
    </row>
    <row r="3145" customFormat="false" ht="15" hidden="false" customHeight="false" outlineLevel="0" collapsed="false">
      <c r="A3145" s="0" t="s">
        <v>260</v>
      </c>
      <c r="B3145" s="52" t="n">
        <v>44375</v>
      </c>
      <c r="C3145" s="54" t="s">
        <v>592</v>
      </c>
      <c r="D3145" s="0" t="n">
        <v>1</v>
      </c>
      <c r="E3145" s="0" t="n">
        <v>0</v>
      </c>
      <c r="F3145" s="0" t="n">
        <v>0</v>
      </c>
      <c r="G3145" s="0" t="n">
        <v>2021</v>
      </c>
    </row>
    <row r="3146" customFormat="false" ht="15" hidden="false" customHeight="false" outlineLevel="0" collapsed="false">
      <c r="A3146" s="0" t="s">
        <v>260</v>
      </c>
      <c r="B3146" s="52" t="n">
        <v>44376</v>
      </c>
      <c r="C3146" s="54" t="s">
        <v>590</v>
      </c>
      <c r="D3146" s="0" t="n">
        <v>0.0229040465773161</v>
      </c>
      <c r="E3146" s="0" t="n">
        <v>0.0934514649832001</v>
      </c>
      <c r="F3146" s="0" t="n">
        <v>0</v>
      </c>
      <c r="G3146" s="0" t="n">
        <v>2021</v>
      </c>
    </row>
    <row r="3147" customFormat="false" ht="15" hidden="false" customHeight="false" outlineLevel="0" collapsed="false">
      <c r="A3147" s="0" t="s">
        <v>260</v>
      </c>
      <c r="B3147" s="52" t="n">
        <v>44376</v>
      </c>
      <c r="C3147" s="54" t="s">
        <v>591</v>
      </c>
      <c r="D3147" s="0" t="n">
        <v>0.104718817575548</v>
      </c>
      <c r="E3147" s="0" t="n">
        <v>0.0139972242917628</v>
      </c>
      <c r="F3147" s="0" t="n">
        <v>0</v>
      </c>
      <c r="G3147" s="0" t="n">
        <v>2021</v>
      </c>
    </row>
    <row r="3148" customFormat="false" ht="15" hidden="false" customHeight="false" outlineLevel="0" collapsed="false">
      <c r="A3148" s="0" t="s">
        <v>260</v>
      </c>
      <c r="B3148" s="52" t="n">
        <v>44376</v>
      </c>
      <c r="C3148" s="54" t="s">
        <v>592</v>
      </c>
      <c r="D3148" s="0" t="n">
        <v>1</v>
      </c>
      <c r="E3148" s="0" t="n">
        <v>0</v>
      </c>
      <c r="F3148" s="0" t="n">
        <v>0</v>
      </c>
      <c r="G3148" s="0" t="n">
        <v>2021</v>
      </c>
    </row>
    <row r="3149" customFormat="false" ht="15" hidden="false" customHeight="false" outlineLevel="0" collapsed="false">
      <c r="A3149" s="0" t="s">
        <v>260</v>
      </c>
      <c r="B3149" s="52" t="n">
        <v>44377</v>
      </c>
      <c r="C3149" s="54" t="s">
        <v>590</v>
      </c>
      <c r="D3149" s="0" t="n">
        <v>0.0189112839337466</v>
      </c>
      <c r="E3149" s="0" t="n">
        <v>0.173522934116372</v>
      </c>
      <c r="F3149" s="0" t="n">
        <v>0</v>
      </c>
      <c r="G3149" s="0" t="n">
        <v>2021</v>
      </c>
    </row>
    <row r="3150" customFormat="false" ht="15" hidden="false" customHeight="false" outlineLevel="0" collapsed="false">
      <c r="A3150" s="0" t="s">
        <v>260</v>
      </c>
      <c r="B3150" s="52" t="n">
        <v>44377</v>
      </c>
      <c r="C3150" s="54" t="s">
        <v>591</v>
      </c>
      <c r="D3150" s="0" t="n">
        <v>0.0587368592668279</v>
      </c>
      <c r="E3150" s="0" t="n">
        <v>0.0377075049094928</v>
      </c>
      <c r="F3150" s="0" t="n">
        <v>0</v>
      </c>
      <c r="G3150" s="0" t="n">
        <v>2021</v>
      </c>
    </row>
    <row r="3151" customFormat="false" ht="15" hidden="false" customHeight="false" outlineLevel="0" collapsed="false">
      <c r="A3151" s="0" t="s">
        <v>260</v>
      </c>
      <c r="B3151" s="52" t="n">
        <v>44377</v>
      </c>
      <c r="C3151" s="54" t="s">
        <v>592</v>
      </c>
      <c r="D3151" s="0" t="n">
        <v>1</v>
      </c>
      <c r="E3151" s="0" t="n">
        <v>0</v>
      </c>
      <c r="F3151" s="0" t="n">
        <v>0</v>
      </c>
      <c r="G3151" s="0" t="n">
        <v>2021</v>
      </c>
    </row>
    <row r="3152" customFormat="false" ht="15" hidden="false" customHeight="false" outlineLevel="0" collapsed="false">
      <c r="A3152" s="0" t="s">
        <v>260</v>
      </c>
      <c r="B3152" s="52" t="n">
        <v>44378</v>
      </c>
      <c r="C3152" s="54" t="s">
        <v>590</v>
      </c>
      <c r="D3152" s="0" t="n">
        <v>0.0985588282137446</v>
      </c>
      <c r="E3152" s="0" t="n">
        <v>0.0500763356992354</v>
      </c>
      <c r="F3152" s="0" t="n">
        <v>0</v>
      </c>
      <c r="G3152" s="0" t="n">
        <v>2021</v>
      </c>
    </row>
    <row r="3153" customFormat="false" ht="15" hidden="false" customHeight="false" outlineLevel="0" collapsed="false">
      <c r="A3153" s="0" t="s">
        <v>260</v>
      </c>
      <c r="B3153" s="52" t="n">
        <v>44378</v>
      </c>
      <c r="C3153" s="54" t="s">
        <v>591</v>
      </c>
      <c r="D3153" s="0" t="n">
        <v>0</v>
      </c>
      <c r="E3153" s="0" t="n">
        <v>0.0370052115334263</v>
      </c>
      <c r="F3153" s="0" t="n">
        <v>0</v>
      </c>
      <c r="G3153" s="0" t="n">
        <v>2021</v>
      </c>
    </row>
    <row r="3154" customFormat="false" ht="15" hidden="false" customHeight="false" outlineLevel="0" collapsed="false">
      <c r="A3154" s="0" t="s">
        <v>260</v>
      </c>
      <c r="B3154" s="52" t="n">
        <v>44378</v>
      </c>
      <c r="C3154" s="54" t="s">
        <v>592</v>
      </c>
      <c r="D3154" s="0" t="n">
        <v>0.833995658375589</v>
      </c>
      <c r="E3154" s="0" t="n">
        <v>0.0430135533643049</v>
      </c>
      <c r="F3154" s="0" t="n">
        <v>0</v>
      </c>
      <c r="G3154" s="0" t="n">
        <v>2021</v>
      </c>
    </row>
    <row r="3155" customFormat="false" ht="15" hidden="false" customHeight="false" outlineLevel="0" collapsed="false">
      <c r="A3155" s="0" t="s">
        <v>260</v>
      </c>
      <c r="B3155" s="52" t="n">
        <v>44379</v>
      </c>
      <c r="C3155" s="54" t="s">
        <v>590</v>
      </c>
      <c r="D3155" s="0" t="n">
        <v>0.0292990419190113</v>
      </c>
      <c r="E3155" s="0" t="n">
        <v>0.11728431143443</v>
      </c>
      <c r="F3155" s="0" t="n">
        <v>0</v>
      </c>
      <c r="G3155" s="0" t="n">
        <v>2021</v>
      </c>
    </row>
    <row r="3156" customFormat="false" ht="15" hidden="false" customHeight="false" outlineLevel="0" collapsed="false">
      <c r="A3156" s="0" t="s">
        <v>260</v>
      </c>
      <c r="B3156" s="52" t="n">
        <v>44379</v>
      </c>
      <c r="C3156" s="54" t="s">
        <v>591</v>
      </c>
      <c r="D3156" s="0" t="n">
        <v>0.0255871597507973</v>
      </c>
      <c r="E3156" s="0" t="n">
        <v>0.328730161589528</v>
      </c>
      <c r="F3156" s="0" t="n">
        <v>0</v>
      </c>
      <c r="G3156" s="0" t="n">
        <v>2021</v>
      </c>
    </row>
    <row r="3157" customFormat="false" ht="15" hidden="false" customHeight="false" outlineLevel="0" collapsed="false">
      <c r="A3157" s="0" t="s">
        <v>260</v>
      </c>
      <c r="B3157" s="52" t="n">
        <v>44379</v>
      </c>
      <c r="C3157" s="54" t="s">
        <v>592</v>
      </c>
      <c r="D3157" s="0" t="n">
        <v>1</v>
      </c>
      <c r="E3157" s="0" t="n">
        <v>0</v>
      </c>
      <c r="F3157" s="0" t="n">
        <v>0</v>
      </c>
      <c r="G3157" s="0" t="n">
        <v>2021</v>
      </c>
    </row>
    <row r="3158" customFormat="false" ht="15" hidden="false" customHeight="false" outlineLevel="0" collapsed="false">
      <c r="A3158" s="0" t="s">
        <v>260</v>
      </c>
      <c r="B3158" s="52" t="n">
        <v>44380</v>
      </c>
      <c r="C3158" s="54" t="s">
        <v>590</v>
      </c>
      <c r="D3158" s="0" t="n">
        <v>0.0232566091720387</v>
      </c>
      <c r="E3158" s="0" t="n">
        <v>0.262647168472738</v>
      </c>
      <c r="F3158" s="0" t="n">
        <v>1</v>
      </c>
      <c r="G3158" s="0" t="n">
        <v>2021</v>
      </c>
    </row>
    <row r="3159" customFormat="false" ht="15" hidden="false" customHeight="false" outlineLevel="0" collapsed="false">
      <c r="A3159" s="0" t="s">
        <v>260</v>
      </c>
      <c r="B3159" s="52" t="n">
        <v>44380</v>
      </c>
      <c r="C3159" s="54" t="s">
        <v>591</v>
      </c>
      <c r="D3159" s="0" t="n">
        <v>0.0061113037881705</v>
      </c>
      <c r="E3159" s="0" t="n">
        <v>0.117734858047424</v>
      </c>
      <c r="F3159" s="0" t="n">
        <v>1</v>
      </c>
      <c r="G3159" s="0" t="n">
        <v>2021</v>
      </c>
    </row>
    <row r="3160" customFormat="false" ht="15" hidden="false" customHeight="false" outlineLevel="0" collapsed="false">
      <c r="A3160" s="0" t="s">
        <v>260</v>
      </c>
      <c r="B3160" s="52" t="n">
        <v>44380</v>
      </c>
      <c r="C3160" s="54" t="s">
        <v>592</v>
      </c>
      <c r="D3160" s="0" t="n">
        <v>0.974342647436027</v>
      </c>
      <c r="E3160" s="0" t="n">
        <v>0.004635118591774</v>
      </c>
      <c r="F3160" s="0" t="n">
        <v>1</v>
      </c>
      <c r="G3160" s="0" t="n">
        <v>2021</v>
      </c>
    </row>
    <row r="3161" customFormat="false" ht="15" hidden="false" customHeight="false" outlineLevel="0" collapsed="false">
      <c r="A3161" s="0" t="s">
        <v>260</v>
      </c>
      <c r="B3161" s="52" t="n">
        <v>44381</v>
      </c>
      <c r="C3161" s="54" t="s">
        <v>590</v>
      </c>
      <c r="D3161" s="0" t="n">
        <v>0.0098543422828847</v>
      </c>
      <c r="E3161" s="0" t="n">
        <v>0.0551826832451899</v>
      </c>
      <c r="F3161" s="0" t="n">
        <v>1</v>
      </c>
      <c r="G3161" s="0" t="n">
        <v>2021</v>
      </c>
    </row>
    <row r="3162" customFormat="false" ht="15" hidden="false" customHeight="false" outlineLevel="0" collapsed="false">
      <c r="A3162" s="0" t="s">
        <v>260</v>
      </c>
      <c r="B3162" s="52" t="n">
        <v>44381</v>
      </c>
      <c r="C3162" s="54" t="s">
        <v>591</v>
      </c>
      <c r="D3162" s="0" t="n">
        <v>0.0403187126655563</v>
      </c>
      <c r="E3162" s="0" t="n">
        <v>0.0689550823646619</v>
      </c>
      <c r="F3162" s="0" t="n">
        <v>1</v>
      </c>
      <c r="G3162" s="0" t="n">
        <v>2021</v>
      </c>
    </row>
    <row r="3163" customFormat="false" ht="15" hidden="false" customHeight="false" outlineLevel="0" collapsed="false">
      <c r="A3163" s="0" t="s">
        <v>260</v>
      </c>
      <c r="B3163" s="52" t="n">
        <v>44381</v>
      </c>
      <c r="C3163" s="54" t="s">
        <v>592</v>
      </c>
      <c r="D3163" s="0" t="n">
        <v>0.970801774612106</v>
      </c>
      <c r="E3163" s="0" t="n">
        <v>0.0181947586684413</v>
      </c>
      <c r="F3163" s="0" t="n">
        <v>1</v>
      </c>
      <c r="G3163" s="0" t="n">
        <v>2021</v>
      </c>
    </row>
    <row r="3164" customFormat="false" ht="15" hidden="false" customHeight="false" outlineLevel="0" collapsed="false">
      <c r="A3164" s="0" t="s">
        <v>260</v>
      </c>
      <c r="B3164" s="52" t="n">
        <v>44382</v>
      </c>
      <c r="C3164" s="54" t="s">
        <v>590</v>
      </c>
      <c r="D3164" s="0" t="n">
        <v>0.0414219930801329</v>
      </c>
      <c r="E3164" s="0" t="n">
        <v>0.0892526039510208</v>
      </c>
      <c r="F3164" s="0" t="n">
        <v>0</v>
      </c>
      <c r="G3164" s="0" t="n">
        <v>2021</v>
      </c>
    </row>
    <row r="3165" customFormat="false" ht="15" hidden="false" customHeight="false" outlineLevel="0" collapsed="false">
      <c r="A3165" s="0" t="s">
        <v>260</v>
      </c>
      <c r="B3165" s="52" t="n">
        <v>44382</v>
      </c>
      <c r="C3165" s="54" t="s">
        <v>591</v>
      </c>
      <c r="D3165" s="0" t="n">
        <v>0.0907893064673759</v>
      </c>
      <c r="E3165" s="0" t="n">
        <v>0.220574992908507</v>
      </c>
      <c r="F3165" s="0" t="n">
        <v>0</v>
      </c>
      <c r="G3165" s="0" t="n">
        <v>2021</v>
      </c>
    </row>
    <row r="3166" customFormat="false" ht="15" hidden="false" customHeight="false" outlineLevel="0" collapsed="false">
      <c r="A3166" s="0" t="s">
        <v>260</v>
      </c>
      <c r="B3166" s="52" t="n">
        <v>44382</v>
      </c>
      <c r="C3166" s="54" t="s">
        <v>592</v>
      </c>
      <c r="D3166" s="0" t="n">
        <v>1</v>
      </c>
      <c r="E3166" s="0" t="n">
        <v>0</v>
      </c>
      <c r="F3166" s="0" t="n">
        <v>0</v>
      </c>
      <c r="G3166" s="0" t="n">
        <v>2021</v>
      </c>
    </row>
    <row r="3167" customFormat="false" ht="15" hidden="false" customHeight="false" outlineLevel="0" collapsed="false">
      <c r="A3167" s="0" t="s">
        <v>260</v>
      </c>
      <c r="B3167" s="52" t="n">
        <v>44383</v>
      </c>
      <c r="C3167" s="54" t="s">
        <v>590</v>
      </c>
      <c r="D3167" s="0" t="n">
        <v>0.0425620983356014</v>
      </c>
      <c r="E3167" s="0" t="n">
        <v>0.025716610070534</v>
      </c>
      <c r="F3167" s="0" t="n">
        <v>0</v>
      </c>
      <c r="G3167" s="0" t="n">
        <v>2021</v>
      </c>
    </row>
    <row r="3168" customFormat="false" ht="15" hidden="false" customHeight="false" outlineLevel="0" collapsed="false">
      <c r="A3168" s="0" t="s">
        <v>260</v>
      </c>
      <c r="B3168" s="52" t="n">
        <v>44383</v>
      </c>
      <c r="C3168" s="54" t="s">
        <v>591</v>
      </c>
      <c r="D3168" s="0" t="n">
        <v>0.0388794058884393</v>
      </c>
      <c r="E3168" s="0" t="n">
        <v>0.0722542258270771</v>
      </c>
      <c r="F3168" s="0" t="n">
        <v>0</v>
      </c>
      <c r="G3168" s="0" t="n">
        <v>2021</v>
      </c>
    </row>
    <row r="3169" customFormat="false" ht="15" hidden="false" customHeight="false" outlineLevel="0" collapsed="false">
      <c r="A3169" s="0" t="s">
        <v>260</v>
      </c>
      <c r="B3169" s="52" t="n">
        <v>44383</v>
      </c>
      <c r="C3169" s="54" t="s">
        <v>592</v>
      </c>
      <c r="D3169" s="0" t="n">
        <v>0.839714853514138</v>
      </c>
      <c r="E3169" s="0" t="n">
        <v>0.0251335173628288</v>
      </c>
      <c r="F3169" s="0" t="n">
        <v>0</v>
      </c>
      <c r="G3169" s="0" t="n">
        <v>2021</v>
      </c>
    </row>
    <row r="3170" customFormat="false" ht="15" hidden="false" customHeight="false" outlineLevel="0" collapsed="false">
      <c r="A3170" s="0" t="s">
        <v>260</v>
      </c>
      <c r="B3170" s="52" t="n">
        <v>44384</v>
      </c>
      <c r="C3170" s="54" t="s">
        <v>590</v>
      </c>
      <c r="D3170" s="0" t="n">
        <v>0.0821748454278967</v>
      </c>
      <c r="E3170" s="0" t="n">
        <v>0.0911287078805213</v>
      </c>
      <c r="F3170" s="0" t="n">
        <v>0</v>
      </c>
      <c r="G3170" s="0" t="n">
        <v>2021</v>
      </c>
    </row>
    <row r="3171" customFormat="false" ht="15" hidden="false" customHeight="false" outlineLevel="0" collapsed="false">
      <c r="A3171" s="0" t="s">
        <v>260</v>
      </c>
      <c r="B3171" s="52" t="n">
        <v>44384</v>
      </c>
      <c r="C3171" s="54" t="s">
        <v>591</v>
      </c>
      <c r="D3171" s="0" t="n">
        <v>0.0043622695611033</v>
      </c>
      <c r="E3171" s="0" t="n">
        <v>0.131769213113313</v>
      </c>
      <c r="F3171" s="0" t="n">
        <v>0</v>
      </c>
      <c r="G3171" s="0" t="n">
        <v>2021</v>
      </c>
    </row>
    <row r="3172" customFormat="false" ht="15" hidden="false" customHeight="false" outlineLevel="0" collapsed="false">
      <c r="A3172" s="0" t="s">
        <v>260</v>
      </c>
      <c r="B3172" s="52" t="n">
        <v>44384</v>
      </c>
      <c r="C3172" s="54" t="s">
        <v>592</v>
      </c>
      <c r="D3172" s="0" t="n">
        <v>0.840936579545379</v>
      </c>
      <c r="E3172" s="0" t="n">
        <v>0.003422193027683</v>
      </c>
      <c r="F3172" s="0" t="n">
        <v>0</v>
      </c>
      <c r="G3172" s="0" t="n">
        <v>2021</v>
      </c>
    </row>
    <row r="3173" customFormat="false" ht="15" hidden="false" customHeight="false" outlineLevel="0" collapsed="false">
      <c r="A3173" s="0" t="s">
        <v>260</v>
      </c>
      <c r="B3173" s="52" t="n">
        <v>44385</v>
      </c>
      <c r="C3173" s="54" t="s">
        <v>590</v>
      </c>
      <c r="D3173" s="0" t="n">
        <v>0.023278145887478</v>
      </c>
      <c r="E3173" s="0" t="n">
        <v>0.0627680759698116</v>
      </c>
      <c r="F3173" s="0" t="n">
        <v>0</v>
      </c>
      <c r="G3173" s="0" t="n">
        <v>2021</v>
      </c>
    </row>
    <row r="3174" customFormat="false" ht="15" hidden="false" customHeight="false" outlineLevel="0" collapsed="false">
      <c r="A3174" s="0" t="s">
        <v>260</v>
      </c>
      <c r="B3174" s="52" t="n">
        <v>44385</v>
      </c>
      <c r="C3174" s="54" t="s">
        <v>591</v>
      </c>
      <c r="D3174" s="0" t="n">
        <v>0.0271774613422697</v>
      </c>
      <c r="E3174" s="0" t="n">
        <v>0.188603828571759</v>
      </c>
      <c r="F3174" s="0" t="n">
        <v>0</v>
      </c>
      <c r="G3174" s="0" t="n">
        <v>2021</v>
      </c>
    </row>
    <row r="3175" customFormat="false" ht="15" hidden="false" customHeight="false" outlineLevel="0" collapsed="false">
      <c r="A3175" s="0" t="s">
        <v>260</v>
      </c>
      <c r="B3175" s="52" t="n">
        <v>44385</v>
      </c>
      <c r="C3175" s="54" t="s">
        <v>592</v>
      </c>
      <c r="D3175" s="0" t="n">
        <v>0.395029147833682</v>
      </c>
      <c r="E3175" s="0" t="n">
        <v>0.125523789365154</v>
      </c>
      <c r="F3175" s="0" t="n">
        <v>0</v>
      </c>
      <c r="G3175" s="0" t="n">
        <v>2021</v>
      </c>
    </row>
    <row r="3176" customFormat="false" ht="15" hidden="false" customHeight="false" outlineLevel="0" collapsed="false">
      <c r="A3176" s="0" t="s">
        <v>260</v>
      </c>
      <c r="B3176" s="52" t="n">
        <v>44386</v>
      </c>
      <c r="C3176" s="54" t="s">
        <v>590</v>
      </c>
      <c r="D3176" s="0" t="n">
        <v>0.292189197292625</v>
      </c>
      <c r="E3176" s="0" t="n">
        <v>0.124338924898674</v>
      </c>
      <c r="F3176" s="0" t="n">
        <v>0</v>
      </c>
      <c r="G3176" s="0" t="n">
        <v>2021</v>
      </c>
    </row>
    <row r="3177" customFormat="false" ht="15" hidden="false" customHeight="false" outlineLevel="0" collapsed="false">
      <c r="A3177" s="0" t="s">
        <v>260</v>
      </c>
      <c r="B3177" s="52" t="n">
        <v>44386</v>
      </c>
      <c r="C3177" s="54" t="s">
        <v>592</v>
      </c>
      <c r="D3177" s="0" t="n">
        <v>1</v>
      </c>
      <c r="E3177" s="0" t="n">
        <v>0</v>
      </c>
      <c r="F3177" s="0" t="n">
        <v>0</v>
      </c>
      <c r="G3177" s="0" t="n">
        <v>2021</v>
      </c>
    </row>
    <row r="3178" customFormat="false" ht="15" hidden="false" customHeight="false" outlineLevel="0" collapsed="false">
      <c r="A3178" s="0" t="s">
        <v>260</v>
      </c>
      <c r="B3178" s="52" t="n">
        <v>44387</v>
      </c>
      <c r="C3178" s="54" t="s">
        <v>590</v>
      </c>
      <c r="D3178" s="0" t="n">
        <v>0.330987184275413</v>
      </c>
      <c r="E3178" s="0" t="n">
        <v>0.0471981578459479</v>
      </c>
      <c r="F3178" s="0" t="n">
        <v>1</v>
      </c>
      <c r="G3178" s="0" t="n">
        <v>2021</v>
      </c>
    </row>
    <row r="3179" customFormat="false" ht="15" hidden="false" customHeight="false" outlineLevel="0" collapsed="false">
      <c r="A3179" s="0" t="s">
        <v>260</v>
      </c>
      <c r="B3179" s="52" t="n">
        <v>44387</v>
      </c>
      <c r="C3179" s="54" t="s">
        <v>591</v>
      </c>
      <c r="D3179" s="0" t="n">
        <v>0.0128088975584762</v>
      </c>
      <c r="E3179" s="0" t="n">
        <v>0.166279702792809</v>
      </c>
      <c r="F3179" s="0" t="n">
        <v>1</v>
      </c>
      <c r="G3179" s="0" t="n">
        <v>2021</v>
      </c>
    </row>
    <row r="3180" customFormat="false" ht="15" hidden="false" customHeight="false" outlineLevel="0" collapsed="false">
      <c r="A3180" s="0" t="s">
        <v>260</v>
      </c>
      <c r="B3180" s="52" t="n">
        <v>44387</v>
      </c>
      <c r="C3180" s="54" t="s">
        <v>592</v>
      </c>
      <c r="D3180" s="0" t="n">
        <v>0.882341684037907</v>
      </c>
      <c r="E3180" s="0" t="n">
        <v>0.0020542079804857</v>
      </c>
      <c r="F3180" s="0" t="n">
        <v>1</v>
      </c>
      <c r="G3180" s="0" t="n">
        <v>2021</v>
      </c>
    </row>
    <row r="3181" customFormat="false" ht="15" hidden="false" customHeight="false" outlineLevel="0" collapsed="false">
      <c r="A3181" s="0" t="s">
        <v>260</v>
      </c>
      <c r="B3181" s="52" t="n">
        <v>44388</v>
      </c>
      <c r="C3181" s="54" t="s">
        <v>590</v>
      </c>
      <c r="D3181" s="0" t="n">
        <v>0.0328983504161771</v>
      </c>
      <c r="E3181" s="0" t="n">
        <v>0.223969370999114</v>
      </c>
      <c r="F3181" s="0" t="n">
        <v>1</v>
      </c>
      <c r="G3181" s="0" t="n">
        <v>2021</v>
      </c>
    </row>
    <row r="3182" customFormat="false" ht="15" hidden="false" customHeight="false" outlineLevel="0" collapsed="false">
      <c r="A3182" s="0" t="s">
        <v>260</v>
      </c>
      <c r="B3182" s="52" t="n">
        <v>44388</v>
      </c>
      <c r="C3182" s="54" t="s">
        <v>591</v>
      </c>
      <c r="D3182" s="0" t="n">
        <v>0.0411715604988637</v>
      </c>
      <c r="E3182" s="0" t="n">
        <v>0.0991075210596557</v>
      </c>
      <c r="F3182" s="0" t="n">
        <v>1</v>
      </c>
      <c r="G3182" s="0" t="n">
        <v>2021</v>
      </c>
    </row>
    <row r="3183" customFormat="false" ht="15" hidden="false" customHeight="false" outlineLevel="0" collapsed="false">
      <c r="A3183" s="0" t="s">
        <v>260</v>
      </c>
      <c r="B3183" s="52" t="n">
        <v>44388</v>
      </c>
      <c r="C3183" s="54" t="s">
        <v>592</v>
      </c>
      <c r="D3183" s="0" t="n">
        <v>1</v>
      </c>
      <c r="E3183" s="0" t="n">
        <v>0</v>
      </c>
      <c r="F3183" s="0" t="n">
        <v>1</v>
      </c>
      <c r="G3183" s="0" t="n">
        <v>2021</v>
      </c>
    </row>
    <row r="3184" customFormat="false" ht="15" hidden="false" customHeight="false" outlineLevel="0" collapsed="false">
      <c r="A3184" s="0" t="s">
        <v>260</v>
      </c>
      <c r="B3184" s="52" t="n">
        <v>44389</v>
      </c>
      <c r="C3184" s="54" t="s">
        <v>590</v>
      </c>
      <c r="D3184" s="0" t="n">
        <v>0.0187434134167833</v>
      </c>
      <c r="E3184" s="0" t="n">
        <v>0.0976035956612052</v>
      </c>
      <c r="F3184" s="0" t="n">
        <v>0</v>
      </c>
      <c r="G3184" s="0" t="n">
        <v>2021</v>
      </c>
    </row>
    <row r="3185" customFormat="false" ht="15" hidden="false" customHeight="false" outlineLevel="0" collapsed="false">
      <c r="A3185" s="0" t="s">
        <v>260</v>
      </c>
      <c r="B3185" s="52" t="n">
        <v>44389</v>
      </c>
      <c r="C3185" s="54" t="s">
        <v>591</v>
      </c>
      <c r="D3185" s="0" t="n">
        <v>0.0401258808041296</v>
      </c>
      <c r="E3185" s="0" t="n">
        <v>0.133804825174493</v>
      </c>
      <c r="F3185" s="0" t="n">
        <v>0</v>
      </c>
      <c r="G3185" s="0" t="n">
        <v>2021</v>
      </c>
    </row>
    <row r="3186" customFormat="false" ht="15" hidden="false" customHeight="false" outlineLevel="0" collapsed="false">
      <c r="A3186" s="0" t="s">
        <v>260</v>
      </c>
      <c r="B3186" s="52" t="n">
        <v>44389</v>
      </c>
      <c r="C3186" s="54" t="s">
        <v>592</v>
      </c>
      <c r="D3186" s="0" t="n">
        <v>0.0394118419941249</v>
      </c>
      <c r="E3186" s="0" t="n">
        <v>0.131226713466538</v>
      </c>
      <c r="F3186" s="0" t="n">
        <v>0</v>
      </c>
      <c r="G3186" s="0" t="n">
        <v>2021</v>
      </c>
    </row>
    <row r="3187" customFormat="false" ht="15" hidden="false" customHeight="false" outlineLevel="0" collapsed="false">
      <c r="A3187" s="0" t="s">
        <v>260</v>
      </c>
      <c r="B3187" s="52" t="n">
        <v>44393</v>
      </c>
      <c r="C3187" s="54" t="s">
        <v>592</v>
      </c>
      <c r="D3187" s="0" t="n">
        <v>0.652050576869843</v>
      </c>
      <c r="E3187" s="0" t="n">
        <v>0.0553019344094655</v>
      </c>
      <c r="F3187" s="0" t="n">
        <v>0</v>
      </c>
      <c r="G3187" s="0" t="n">
        <v>2021</v>
      </c>
    </row>
    <row r="3188" customFormat="false" ht="15" hidden="false" customHeight="false" outlineLevel="0" collapsed="false">
      <c r="A3188" s="0" t="s">
        <v>260</v>
      </c>
      <c r="B3188" s="52" t="n">
        <v>44394</v>
      </c>
      <c r="C3188" s="54" t="s">
        <v>590</v>
      </c>
      <c r="D3188" s="0" t="n">
        <v>0.454773768722673</v>
      </c>
      <c r="E3188" s="0" t="n">
        <v>0.0465414863220703</v>
      </c>
      <c r="F3188" s="0" t="n">
        <v>1</v>
      </c>
      <c r="G3188" s="0" t="n">
        <v>2021</v>
      </c>
    </row>
    <row r="3189" customFormat="false" ht="15" hidden="false" customHeight="false" outlineLevel="0" collapsed="false">
      <c r="A3189" s="0" t="s">
        <v>260</v>
      </c>
      <c r="B3189" s="52" t="n">
        <v>44394</v>
      </c>
      <c r="C3189" s="54" t="s">
        <v>591</v>
      </c>
      <c r="D3189" s="0" t="n">
        <v>0.0372123532249952</v>
      </c>
      <c r="E3189" s="0" t="n">
        <v>0.0567189425906284</v>
      </c>
      <c r="F3189" s="0" t="n">
        <v>1</v>
      </c>
      <c r="G3189" s="0" t="n">
        <v>2021</v>
      </c>
    </row>
    <row r="3190" customFormat="false" ht="15" hidden="false" customHeight="false" outlineLevel="0" collapsed="false">
      <c r="A3190" s="0" t="s">
        <v>260</v>
      </c>
      <c r="B3190" s="52" t="n">
        <v>44394</v>
      </c>
      <c r="C3190" s="54" t="s">
        <v>592</v>
      </c>
      <c r="D3190" s="0" t="n">
        <v>0.992458520981863</v>
      </c>
      <c r="E3190" s="0" t="n">
        <v>0</v>
      </c>
      <c r="F3190" s="0" t="n">
        <v>1</v>
      </c>
      <c r="G3190" s="0" t="n">
        <v>2021</v>
      </c>
    </row>
    <row r="3191" customFormat="false" ht="15" hidden="false" customHeight="false" outlineLevel="0" collapsed="false">
      <c r="A3191" s="0" t="s">
        <v>260</v>
      </c>
      <c r="B3191" s="52" t="n">
        <v>44395</v>
      </c>
      <c r="C3191" s="54" t="s">
        <v>590</v>
      </c>
      <c r="D3191" s="0" t="n">
        <v>0.0207807913730708</v>
      </c>
      <c r="E3191" s="0" t="n">
        <v>0.100181642494438</v>
      </c>
      <c r="F3191" s="0" t="n">
        <v>1</v>
      </c>
      <c r="G3191" s="0" t="n">
        <v>2021</v>
      </c>
    </row>
    <row r="3192" customFormat="false" ht="15" hidden="false" customHeight="false" outlineLevel="0" collapsed="false">
      <c r="A3192" s="0" t="s">
        <v>260</v>
      </c>
      <c r="B3192" s="52" t="n">
        <v>44395</v>
      </c>
      <c r="C3192" s="54" t="s">
        <v>591</v>
      </c>
      <c r="D3192" s="0" t="n">
        <v>0.0776938784666576</v>
      </c>
      <c r="E3192" s="0" t="n">
        <v>0.0803538045964378</v>
      </c>
      <c r="F3192" s="0" t="n">
        <v>1</v>
      </c>
      <c r="G3192" s="0" t="n">
        <v>2021</v>
      </c>
    </row>
    <row r="3193" customFormat="false" ht="15" hidden="false" customHeight="false" outlineLevel="0" collapsed="false">
      <c r="A3193" s="0" t="s">
        <v>260</v>
      </c>
      <c r="B3193" s="52" t="n">
        <v>44395</v>
      </c>
      <c r="C3193" s="54" t="s">
        <v>592</v>
      </c>
      <c r="D3193" s="0" t="n">
        <v>1</v>
      </c>
      <c r="E3193" s="0" t="n">
        <v>0</v>
      </c>
      <c r="F3193" s="0" t="n">
        <v>1</v>
      </c>
      <c r="G3193" s="0" t="n">
        <v>2021</v>
      </c>
    </row>
    <row r="3194" customFormat="false" ht="15" hidden="false" customHeight="false" outlineLevel="0" collapsed="false">
      <c r="A3194" s="0" t="s">
        <v>260</v>
      </c>
      <c r="B3194" s="52" t="n">
        <v>44396</v>
      </c>
      <c r="C3194" s="54" t="s">
        <v>590</v>
      </c>
      <c r="D3194" s="0" t="n">
        <v>0.0194287346556174</v>
      </c>
      <c r="E3194" s="0" t="n">
        <v>0.0779111697984733</v>
      </c>
      <c r="F3194" s="0" t="n">
        <v>0</v>
      </c>
      <c r="G3194" s="0" t="n">
        <v>2021</v>
      </c>
    </row>
    <row r="3195" customFormat="false" ht="15" hidden="false" customHeight="false" outlineLevel="0" collapsed="false">
      <c r="A3195" s="0" t="s">
        <v>260</v>
      </c>
      <c r="B3195" s="52" t="n">
        <v>44396</v>
      </c>
      <c r="C3195" s="54" t="s">
        <v>591</v>
      </c>
      <c r="D3195" s="0" t="n">
        <v>0.054514162829548</v>
      </c>
      <c r="E3195" s="0" t="n">
        <v>0.0202781533901467</v>
      </c>
      <c r="F3195" s="0" t="n">
        <v>0</v>
      </c>
      <c r="G3195" s="0" t="n">
        <v>2021</v>
      </c>
    </row>
    <row r="3196" customFormat="false" ht="15" hidden="false" customHeight="false" outlineLevel="0" collapsed="false">
      <c r="A3196" s="0" t="s">
        <v>260</v>
      </c>
      <c r="B3196" s="52" t="n">
        <v>44396</v>
      </c>
      <c r="C3196" s="54" t="s">
        <v>592</v>
      </c>
      <c r="D3196" s="0" t="n">
        <v>1</v>
      </c>
      <c r="E3196" s="0" t="n">
        <v>0</v>
      </c>
      <c r="F3196" s="0" t="n">
        <v>0</v>
      </c>
      <c r="G3196" s="0" t="n">
        <v>2021</v>
      </c>
    </row>
    <row r="3197" customFormat="false" ht="15" hidden="false" customHeight="false" outlineLevel="0" collapsed="false">
      <c r="A3197" s="0" t="s">
        <v>260</v>
      </c>
      <c r="B3197" s="52" t="n">
        <v>44397</v>
      </c>
      <c r="C3197" s="54" t="s">
        <v>590</v>
      </c>
      <c r="D3197" s="0" t="n">
        <v>0.0217337169358297</v>
      </c>
      <c r="E3197" s="0" t="n">
        <v>0.0640396375885018</v>
      </c>
      <c r="F3197" s="0" t="n">
        <v>0</v>
      </c>
      <c r="G3197" s="0" t="n">
        <v>2021</v>
      </c>
    </row>
    <row r="3198" customFormat="false" ht="15" hidden="false" customHeight="false" outlineLevel="0" collapsed="false">
      <c r="A3198" s="0" t="s">
        <v>260</v>
      </c>
      <c r="B3198" s="52" t="n">
        <v>44397</v>
      </c>
      <c r="C3198" s="54" t="s">
        <v>591</v>
      </c>
      <c r="D3198" s="0" t="n">
        <v>0.0134434944718938</v>
      </c>
      <c r="E3198" s="0" t="n">
        <v>0.0594938623979745</v>
      </c>
      <c r="F3198" s="0" t="n">
        <v>0</v>
      </c>
      <c r="G3198" s="0" t="n">
        <v>2021</v>
      </c>
    </row>
    <row r="3199" customFormat="false" ht="15" hidden="false" customHeight="false" outlineLevel="0" collapsed="false">
      <c r="A3199" s="0" t="s">
        <v>260</v>
      </c>
      <c r="B3199" s="52" t="n">
        <v>44397</v>
      </c>
      <c r="C3199" s="54" t="s">
        <v>592</v>
      </c>
      <c r="D3199" s="0" t="n">
        <v>0.993360460250468</v>
      </c>
      <c r="E3199" s="0" t="n">
        <v>0</v>
      </c>
      <c r="F3199" s="0" t="n">
        <v>0</v>
      </c>
      <c r="G3199" s="0" t="n">
        <v>2021</v>
      </c>
    </row>
    <row r="3200" customFormat="false" ht="15" hidden="false" customHeight="false" outlineLevel="0" collapsed="false">
      <c r="A3200" s="0" t="s">
        <v>260</v>
      </c>
      <c r="B3200" s="52" t="n">
        <v>44398</v>
      </c>
      <c r="C3200" s="54" t="s">
        <v>590</v>
      </c>
      <c r="D3200" s="0" t="n">
        <v>0.0367179086236691</v>
      </c>
      <c r="E3200" s="0" t="n">
        <v>0.0901889574560432</v>
      </c>
      <c r="F3200" s="0" t="n">
        <v>0</v>
      </c>
      <c r="G3200" s="0" t="n">
        <v>2021</v>
      </c>
    </row>
    <row r="3201" customFormat="false" ht="15" hidden="false" customHeight="false" outlineLevel="0" collapsed="false">
      <c r="A3201" s="0" t="s">
        <v>260</v>
      </c>
      <c r="B3201" s="52" t="n">
        <v>44398</v>
      </c>
      <c r="C3201" s="54" t="s">
        <v>591</v>
      </c>
      <c r="D3201" s="0" t="n">
        <v>0.57850887455369</v>
      </c>
      <c r="E3201" s="0" t="n">
        <v>0.0375774117580299</v>
      </c>
      <c r="F3201" s="0" t="n">
        <v>0</v>
      </c>
      <c r="G3201" s="0" t="n">
        <v>2021</v>
      </c>
    </row>
    <row r="3202" customFormat="false" ht="15" hidden="false" customHeight="false" outlineLevel="0" collapsed="false">
      <c r="A3202" s="0" t="s">
        <v>260</v>
      </c>
      <c r="B3202" s="52" t="n">
        <v>44398</v>
      </c>
      <c r="C3202" s="54" t="s">
        <v>592</v>
      </c>
      <c r="D3202" s="0" t="n">
        <v>1</v>
      </c>
      <c r="E3202" s="0" t="n">
        <v>0</v>
      </c>
      <c r="F3202" s="0" t="n">
        <v>0</v>
      </c>
      <c r="G3202" s="0" t="n">
        <v>2021</v>
      </c>
    </row>
    <row r="3203" customFormat="false" ht="15" hidden="false" customHeight="false" outlineLevel="0" collapsed="false">
      <c r="A3203" s="0" t="s">
        <v>260</v>
      </c>
      <c r="B3203" s="52" t="n">
        <v>44399</v>
      </c>
      <c r="C3203" s="54" t="s">
        <v>590</v>
      </c>
      <c r="D3203" s="0" t="n">
        <v>0.0704986700478519</v>
      </c>
      <c r="E3203" s="0" t="n">
        <v>0.15642484477915</v>
      </c>
      <c r="F3203" s="0" t="n">
        <v>0</v>
      </c>
      <c r="G3203" s="0" t="n">
        <v>2021</v>
      </c>
    </row>
    <row r="3204" customFormat="false" ht="15" hidden="false" customHeight="false" outlineLevel="0" collapsed="false">
      <c r="A3204" s="0" t="s">
        <v>260</v>
      </c>
      <c r="B3204" s="52" t="n">
        <v>44399</v>
      </c>
      <c r="C3204" s="54" t="s">
        <v>591</v>
      </c>
      <c r="D3204" s="0" t="n">
        <v>0.0633180113201919</v>
      </c>
      <c r="E3204" s="0" t="n">
        <v>0.120853861356347</v>
      </c>
      <c r="F3204" s="0" t="n">
        <v>0</v>
      </c>
      <c r="G3204" s="0" t="n">
        <v>2021</v>
      </c>
    </row>
    <row r="3205" customFormat="false" ht="15" hidden="false" customHeight="false" outlineLevel="0" collapsed="false">
      <c r="A3205" s="0" t="s">
        <v>260</v>
      </c>
      <c r="B3205" s="52" t="n">
        <v>44399</v>
      </c>
      <c r="C3205" s="54" t="s">
        <v>592</v>
      </c>
      <c r="D3205" s="0" t="n">
        <v>1</v>
      </c>
      <c r="E3205" s="0" t="n">
        <v>0</v>
      </c>
      <c r="F3205" s="0" t="n">
        <v>0</v>
      </c>
      <c r="G3205" s="0" t="n">
        <v>2021</v>
      </c>
    </row>
    <row r="3206" customFormat="false" ht="15" hidden="false" customHeight="false" outlineLevel="0" collapsed="false">
      <c r="A3206" s="0" t="s">
        <v>260</v>
      </c>
      <c r="B3206" s="52" t="n">
        <v>44400</v>
      </c>
      <c r="C3206" s="54" t="s">
        <v>590</v>
      </c>
      <c r="D3206" s="0" t="n">
        <v>0.0194135766242986</v>
      </c>
      <c r="E3206" s="0" t="n">
        <v>0.0466898818907758</v>
      </c>
      <c r="F3206" s="0" t="n">
        <v>0</v>
      </c>
      <c r="G3206" s="0" t="n">
        <v>2021</v>
      </c>
    </row>
    <row r="3207" customFormat="false" ht="15" hidden="false" customHeight="false" outlineLevel="0" collapsed="false">
      <c r="A3207" s="0" t="s">
        <v>260</v>
      </c>
      <c r="B3207" s="52" t="n">
        <v>44400</v>
      </c>
      <c r="C3207" s="54" t="s">
        <v>591</v>
      </c>
      <c r="D3207" s="0" t="n">
        <v>0</v>
      </c>
      <c r="E3207" s="0" t="n">
        <v>1</v>
      </c>
      <c r="F3207" s="0" t="n">
        <v>0</v>
      </c>
      <c r="G3207" s="0" t="n">
        <v>2021</v>
      </c>
    </row>
    <row r="3208" customFormat="false" ht="15" hidden="false" customHeight="false" outlineLevel="0" collapsed="false">
      <c r="A3208" s="0" t="s">
        <v>260</v>
      </c>
      <c r="B3208" s="52" t="n">
        <v>44401</v>
      </c>
      <c r="C3208" s="54" t="s">
        <v>590</v>
      </c>
      <c r="D3208" s="0" t="n">
        <v>0.031471996886391</v>
      </c>
      <c r="E3208" s="0" t="n">
        <v>0.0798514689075442</v>
      </c>
      <c r="F3208" s="0" t="n">
        <v>1</v>
      </c>
      <c r="G3208" s="0" t="n">
        <v>2021</v>
      </c>
    </row>
    <row r="3209" customFormat="false" ht="15" hidden="false" customHeight="false" outlineLevel="0" collapsed="false">
      <c r="A3209" s="0" t="s">
        <v>260</v>
      </c>
      <c r="B3209" s="52" t="n">
        <v>44401</v>
      </c>
      <c r="C3209" s="54" t="s">
        <v>591</v>
      </c>
      <c r="D3209" s="0" t="n">
        <v>0.0048414604848889</v>
      </c>
      <c r="E3209" s="0" t="n">
        <v>0.0287548976116455</v>
      </c>
      <c r="F3209" s="0" t="n">
        <v>1</v>
      </c>
      <c r="G3209" s="0" t="n">
        <v>2021</v>
      </c>
    </row>
    <row r="3210" customFormat="false" ht="15" hidden="false" customHeight="false" outlineLevel="0" collapsed="false">
      <c r="A3210" s="0" t="s">
        <v>260</v>
      </c>
      <c r="B3210" s="52" t="n">
        <v>44401</v>
      </c>
      <c r="C3210" s="54" t="s">
        <v>592</v>
      </c>
      <c r="D3210" s="0" t="n">
        <v>0.493012102173504</v>
      </c>
      <c r="E3210" s="0" t="n">
        <v>0.045251460536246</v>
      </c>
      <c r="F3210" s="0" t="n">
        <v>1</v>
      </c>
      <c r="G3210" s="0" t="n">
        <v>2021</v>
      </c>
    </row>
    <row r="3211" customFormat="false" ht="15" hidden="false" customHeight="false" outlineLevel="0" collapsed="false">
      <c r="A3211" s="0" t="s">
        <v>260</v>
      </c>
      <c r="B3211" s="52" t="n">
        <v>44402</v>
      </c>
      <c r="C3211" s="54" t="s">
        <v>590</v>
      </c>
      <c r="D3211" s="0" t="n">
        <v>0.013114455257653</v>
      </c>
      <c r="E3211" s="0" t="n">
        <v>0.045839982914917</v>
      </c>
      <c r="F3211" s="0" t="n">
        <v>1</v>
      </c>
      <c r="G3211" s="0" t="n">
        <v>2021</v>
      </c>
    </row>
    <row r="3212" customFormat="false" ht="15" hidden="false" customHeight="false" outlineLevel="0" collapsed="false">
      <c r="A3212" s="0" t="s">
        <v>260</v>
      </c>
      <c r="B3212" s="52" t="n">
        <v>44402</v>
      </c>
      <c r="C3212" s="54" t="s">
        <v>591</v>
      </c>
      <c r="D3212" s="0" t="n">
        <v>0.002070854010708</v>
      </c>
      <c r="E3212" s="0" t="n">
        <v>0.0746083081185491</v>
      </c>
      <c r="F3212" s="0" t="n">
        <v>1</v>
      </c>
      <c r="G3212" s="0" t="n">
        <v>2021</v>
      </c>
    </row>
    <row r="3213" customFormat="false" ht="15" hidden="false" customHeight="false" outlineLevel="0" collapsed="false">
      <c r="A3213" s="0" t="s">
        <v>260</v>
      </c>
      <c r="B3213" s="52" t="n">
        <v>44402</v>
      </c>
      <c r="C3213" s="54" t="s">
        <v>592</v>
      </c>
      <c r="D3213" s="0" t="n">
        <v>1</v>
      </c>
      <c r="E3213" s="0" t="n">
        <v>0</v>
      </c>
      <c r="F3213" s="0" t="n">
        <v>1</v>
      </c>
      <c r="G3213" s="0" t="n">
        <v>2021</v>
      </c>
    </row>
    <row r="3214" customFormat="false" ht="15" hidden="false" customHeight="false" outlineLevel="0" collapsed="false">
      <c r="A3214" s="0" t="s">
        <v>260</v>
      </c>
      <c r="B3214" s="52" t="n">
        <v>44403</v>
      </c>
      <c r="C3214" s="54" t="s">
        <v>590</v>
      </c>
      <c r="D3214" s="0" t="n">
        <v>0.0277298536718741</v>
      </c>
      <c r="E3214" s="0" t="n">
        <v>0.147356368365257</v>
      </c>
      <c r="F3214" s="0" t="n">
        <v>0</v>
      </c>
      <c r="G3214" s="0" t="n">
        <v>2021</v>
      </c>
    </row>
    <row r="3215" customFormat="false" ht="15" hidden="false" customHeight="false" outlineLevel="0" collapsed="false">
      <c r="A3215" s="0" t="s">
        <v>260</v>
      </c>
      <c r="B3215" s="52" t="n">
        <v>44403</v>
      </c>
      <c r="C3215" s="54" t="s">
        <v>591</v>
      </c>
      <c r="D3215" s="0" t="n">
        <v>0.0005086545488344</v>
      </c>
      <c r="E3215" s="0" t="n">
        <v>0.07590325593165</v>
      </c>
      <c r="F3215" s="0" t="n">
        <v>0</v>
      </c>
      <c r="G3215" s="0" t="n">
        <v>2021</v>
      </c>
    </row>
    <row r="3216" customFormat="false" ht="15" hidden="false" customHeight="false" outlineLevel="0" collapsed="false">
      <c r="A3216" s="0" t="s">
        <v>260</v>
      </c>
      <c r="B3216" s="52" t="n">
        <v>44403</v>
      </c>
      <c r="C3216" s="54" t="s">
        <v>592</v>
      </c>
      <c r="D3216" s="0" t="n">
        <v>0.855390987489259</v>
      </c>
      <c r="E3216" s="0" t="n">
        <v>0.0135565753738551</v>
      </c>
      <c r="F3216" s="0" t="n">
        <v>0</v>
      </c>
      <c r="G3216" s="0" t="n">
        <v>2021</v>
      </c>
    </row>
    <row r="3217" customFormat="false" ht="15" hidden="false" customHeight="false" outlineLevel="0" collapsed="false">
      <c r="A3217" s="0" t="s">
        <v>260</v>
      </c>
      <c r="B3217" s="52" t="n">
        <v>44404</v>
      </c>
      <c r="C3217" s="54" t="s">
        <v>590</v>
      </c>
      <c r="D3217" s="0" t="n">
        <v>0.0950323055641946</v>
      </c>
      <c r="E3217" s="0" t="n">
        <v>0.0434053492558314</v>
      </c>
      <c r="F3217" s="0" t="n">
        <v>0</v>
      </c>
      <c r="G3217" s="0" t="n">
        <v>2021</v>
      </c>
    </row>
    <row r="3218" customFormat="false" ht="15" hidden="false" customHeight="false" outlineLevel="0" collapsed="false">
      <c r="A3218" s="0" t="s">
        <v>260</v>
      </c>
      <c r="B3218" s="52" t="n">
        <v>44404</v>
      </c>
      <c r="C3218" s="54" t="s">
        <v>591</v>
      </c>
      <c r="D3218" s="0" t="n">
        <v>0.0024784670961406</v>
      </c>
      <c r="E3218" s="0" t="n">
        <v>0.0480319750537976</v>
      </c>
      <c r="F3218" s="0" t="n">
        <v>0</v>
      </c>
      <c r="G3218" s="0" t="n">
        <v>2021</v>
      </c>
    </row>
    <row r="3219" customFormat="false" ht="15" hidden="false" customHeight="false" outlineLevel="0" collapsed="false">
      <c r="A3219" s="0" t="s">
        <v>260</v>
      </c>
      <c r="B3219" s="52" t="n">
        <v>44404</v>
      </c>
      <c r="C3219" s="54" t="s">
        <v>592</v>
      </c>
      <c r="D3219" s="0" t="n">
        <v>0.687569759382034</v>
      </c>
      <c r="E3219" s="0" t="n">
        <v>0.0022920162333275</v>
      </c>
      <c r="F3219" s="0" t="n">
        <v>0</v>
      </c>
      <c r="G3219" s="0" t="n">
        <v>2021</v>
      </c>
    </row>
    <row r="3220" customFormat="false" ht="15" hidden="false" customHeight="false" outlineLevel="0" collapsed="false">
      <c r="A3220" s="0" t="s">
        <v>260</v>
      </c>
      <c r="B3220" s="52" t="n">
        <v>44405</v>
      </c>
      <c r="C3220" s="54" t="s">
        <v>590</v>
      </c>
      <c r="D3220" s="0" t="n">
        <v>0.0294661957973253</v>
      </c>
      <c r="E3220" s="0" t="n">
        <v>0.0427687460262072</v>
      </c>
      <c r="F3220" s="0" t="n">
        <v>0</v>
      </c>
      <c r="G3220" s="0" t="n">
        <v>2021</v>
      </c>
    </row>
    <row r="3221" customFormat="false" ht="15" hidden="false" customHeight="false" outlineLevel="0" collapsed="false">
      <c r="A3221" s="0" t="s">
        <v>260</v>
      </c>
      <c r="B3221" s="52" t="n">
        <v>44405</v>
      </c>
      <c r="C3221" s="54" t="s">
        <v>591</v>
      </c>
      <c r="D3221" s="0" t="n">
        <v>0.101356564698762</v>
      </c>
      <c r="E3221" s="0" t="n">
        <v>0.0184223755836794</v>
      </c>
      <c r="F3221" s="0" t="n">
        <v>0</v>
      </c>
      <c r="G3221" s="0" t="n">
        <v>2021</v>
      </c>
    </row>
    <row r="3222" customFormat="false" ht="15" hidden="false" customHeight="false" outlineLevel="0" collapsed="false">
      <c r="A3222" s="0" t="s">
        <v>260</v>
      </c>
      <c r="B3222" s="52" t="n">
        <v>44405</v>
      </c>
      <c r="C3222" s="54" t="s">
        <v>592</v>
      </c>
      <c r="D3222" s="0" t="n">
        <v>1</v>
      </c>
      <c r="E3222" s="0" t="n">
        <v>0</v>
      </c>
      <c r="F3222" s="0" t="n">
        <v>0</v>
      </c>
      <c r="G3222" s="0" t="n">
        <v>2021</v>
      </c>
    </row>
    <row r="3223" customFormat="false" ht="15" hidden="false" customHeight="false" outlineLevel="0" collapsed="false">
      <c r="A3223" s="0" t="s">
        <v>260</v>
      </c>
      <c r="B3223" s="52" t="n">
        <v>44406</v>
      </c>
      <c r="C3223" s="54" t="s">
        <v>590</v>
      </c>
      <c r="D3223" s="0" t="n">
        <v>0.0240897589768677</v>
      </c>
      <c r="E3223" s="0" t="n">
        <v>0.0128784217697147</v>
      </c>
      <c r="F3223" s="0" t="n">
        <v>0</v>
      </c>
      <c r="G3223" s="0" t="n">
        <v>2021</v>
      </c>
    </row>
    <row r="3224" customFormat="false" ht="15" hidden="false" customHeight="false" outlineLevel="0" collapsed="false">
      <c r="A3224" s="0" t="s">
        <v>260</v>
      </c>
      <c r="B3224" s="52" t="n">
        <v>44406</v>
      </c>
      <c r="C3224" s="54" t="s">
        <v>591</v>
      </c>
      <c r="D3224" s="0" t="n">
        <v>0.0998411063295262</v>
      </c>
      <c r="E3224" s="0" t="n">
        <v>0.0295260951031642</v>
      </c>
      <c r="F3224" s="0" t="n">
        <v>0</v>
      </c>
      <c r="G3224" s="0" t="n">
        <v>2021</v>
      </c>
    </row>
    <row r="3225" customFormat="false" ht="15" hidden="false" customHeight="false" outlineLevel="0" collapsed="false">
      <c r="A3225" s="0" t="s">
        <v>260</v>
      </c>
      <c r="B3225" s="52" t="n">
        <v>44406</v>
      </c>
      <c r="C3225" s="54" t="s">
        <v>592</v>
      </c>
      <c r="D3225" s="0" t="n">
        <v>1</v>
      </c>
      <c r="E3225" s="0" t="n">
        <v>0</v>
      </c>
      <c r="F3225" s="0" t="n">
        <v>0</v>
      </c>
      <c r="G3225" s="0" t="n">
        <v>2021</v>
      </c>
    </row>
    <row r="3226" customFormat="false" ht="15" hidden="false" customHeight="false" outlineLevel="0" collapsed="false">
      <c r="A3226" s="0" t="s">
        <v>260</v>
      </c>
      <c r="B3226" s="52" t="n">
        <v>44407</v>
      </c>
      <c r="C3226" s="54" t="s">
        <v>590</v>
      </c>
      <c r="D3226" s="0" t="n">
        <v>0.0181359453085757</v>
      </c>
      <c r="E3226" s="0" t="n">
        <v>0.0661208591934206</v>
      </c>
      <c r="F3226" s="0" t="n">
        <v>0</v>
      </c>
      <c r="G3226" s="0" t="n">
        <v>2021</v>
      </c>
    </row>
    <row r="3227" customFormat="false" ht="15" hidden="false" customHeight="false" outlineLevel="0" collapsed="false">
      <c r="A3227" s="0" t="s">
        <v>260</v>
      </c>
      <c r="B3227" s="52" t="n">
        <v>44407</v>
      </c>
      <c r="C3227" s="54" t="s">
        <v>591</v>
      </c>
      <c r="D3227" s="0" t="n">
        <v>0.0272332609784605</v>
      </c>
      <c r="E3227" s="0" t="n">
        <v>0.365639569980862</v>
      </c>
      <c r="F3227" s="0" t="n">
        <v>0</v>
      </c>
      <c r="G3227" s="0" t="n">
        <v>2021</v>
      </c>
    </row>
    <row r="3228" customFormat="false" ht="15" hidden="false" customHeight="false" outlineLevel="0" collapsed="false">
      <c r="A3228" s="0" t="s">
        <v>260</v>
      </c>
      <c r="B3228" s="52" t="n">
        <v>44407</v>
      </c>
      <c r="C3228" s="54" t="s">
        <v>592</v>
      </c>
      <c r="D3228" s="0" t="n">
        <v>1</v>
      </c>
      <c r="E3228" s="0" t="n">
        <v>0</v>
      </c>
      <c r="F3228" s="0" t="n">
        <v>0</v>
      </c>
      <c r="G3228" s="0" t="n">
        <v>2021</v>
      </c>
    </row>
    <row r="3229" customFormat="false" ht="15" hidden="false" customHeight="false" outlineLevel="0" collapsed="false">
      <c r="A3229" s="0" t="s">
        <v>260</v>
      </c>
      <c r="B3229" s="52" t="n">
        <v>44408</v>
      </c>
      <c r="C3229" s="54" t="s">
        <v>590</v>
      </c>
      <c r="D3229" s="0" t="n">
        <v>0.0387164360128619</v>
      </c>
      <c r="E3229" s="0" t="n">
        <v>0.178966553592395</v>
      </c>
      <c r="F3229" s="0" t="n">
        <v>1</v>
      </c>
      <c r="G3229" s="0" t="n">
        <v>2021</v>
      </c>
    </row>
    <row r="3230" customFormat="false" ht="15" hidden="false" customHeight="false" outlineLevel="0" collapsed="false">
      <c r="A3230" s="0" t="s">
        <v>260</v>
      </c>
      <c r="B3230" s="52" t="n">
        <v>44408</v>
      </c>
      <c r="C3230" s="54" t="s">
        <v>591</v>
      </c>
      <c r="D3230" s="0" t="n">
        <v>0.0045977050911686</v>
      </c>
      <c r="E3230" s="0" t="n">
        <v>0.0415136439147808</v>
      </c>
      <c r="F3230" s="0" t="n">
        <v>1</v>
      </c>
      <c r="G3230" s="0" t="n">
        <v>2021</v>
      </c>
    </row>
    <row r="3231" customFormat="false" ht="15" hidden="false" customHeight="false" outlineLevel="0" collapsed="false">
      <c r="A3231" s="0" t="s">
        <v>260</v>
      </c>
      <c r="B3231" s="52" t="n">
        <v>44408</v>
      </c>
      <c r="C3231" s="54" t="s">
        <v>592</v>
      </c>
      <c r="D3231" s="0" t="n">
        <v>1</v>
      </c>
      <c r="E3231" s="0" t="n">
        <v>0</v>
      </c>
      <c r="F3231" s="0" t="n">
        <v>1</v>
      </c>
      <c r="G3231" s="0" t="n">
        <v>2021</v>
      </c>
    </row>
    <row r="3232" customFormat="false" ht="15" hidden="false" customHeight="false" outlineLevel="0" collapsed="false">
      <c r="A3232" s="0" t="s">
        <v>260</v>
      </c>
      <c r="B3232" s="52" t="n">
        <v>44409</v>
      </c>
      <c r="C3232" s="54" t="s">
        <v>590</v>
      </c>
      <c r="D3232" s="0" t="n">
        <v>0.0165988741809471</v>
      </c>
      <c r="E3232" s="0" t="n">
        <v>0.0617047643559243</v>
      </c>
      <c r="F3232" s="0" t="n">
        <v>1</v>
      </c>
      <c r="G3232" s="0" t="n">
        <v>2021</v>
      </c>
    </row>
    <row r="3233" customFormat="false" ht="15" hidden="false" customHeight="false" outlineLevel="0" collapsed="false">
      <c r="A3233" s="0" t="s">
        <v>260</v>
      </c>
      <c r="B3233" s="52" t="n">
        <v>44409</v>
      </c>
      <c r="C3233" s="54" t="s">
        <v>591</v>
      </c>
      <c r="D3233" s="0" t="n">
        <v>0.0445379185440967</v>
      </c>
      <c r="E3233" s="0" t="n">
        <v>0.0352908707299815</v>
      </c>
      <c r="F3233" s="0" t="n">
        <v>1</v>
      </c>
      <c r="G3233" s="0" t="n">
        <v>2021</v>
      </c>
    </row>
    <row r="3234" customFormat="false" ht="15" hidden="false" customHeight="false" outlineLevel="0" collapsed="false">
      <c r="A3234" s="0" t="s">
        <v>260</v>
      </c>
      <c r="B3234" s="52" t="n">
        <v>44409</v>
      </c>
      <c r="C3234" s="54" t="s">
        <v>592</v>
      </c>
      <c r="D3234" s="0" t="n">
        <v>1</v>
      </c>
      <c r="E3234" s="0" t="n">
        <v>0</v>
      </c>
      <c r="F3234" s="0" t="n">
        <v>1</v>
      </c>
      <c r="G3234" s="0" t="n">
        <v>2021</v>
      </c>
    </row>
    <row r="3235" customFormat="false" ht="15" hidden="false" customHeight="false" outlineLevel="0" collapsed="false">
      <c r="A3235" s="0" t="s">
        <v>260</v>
      </c>
      <c r="B3235" s="52" t="n">
        <v>44410</v>
      </c>
      <c r="C3235" s="54" t="s">
        <v>590</v>
      </c>
      <c r="D3235" s="0" t="n">
        <v>0.0337060512476529</v>
      </c>
      <c r="E3235" s="0" t="n">
        <v>0.0500516778668002</v>
      </c>
      <c r="F3235" s="0" t="n">
        <v>0</v>
      </c>
      <c r="G3235" s="0" t="n">
        <v>2021</v>
      </c>
    </row>
    <row r="3236" customFormat="false" ht="15" hidden="false" customHeight="false" outlineLevel="0" collapsed="false">
      <c r="A3236" s="0" t="s">
        <v>260</v>
      </c>
      <c r="B3236" s="52" t="n">
        <v>44410</v>
      </c>
      <c r="C3236" s="54" t="s">
        <v>591</v>
      </c>
      <c r="D3236" s="0" t="n">
        <v>0.107596005402565</v>
      </c>
      <c r="E3236" s="0" t="n">
        <v>0.0158564225478639</v>
      </c>
      <c r="F3236" s="0" t="n">
        <v>0</v>
      </c>
      <c r="G3236" s="0" t="n">
        <v>2021</v>
      </c>
    </row>
    <row r="3237" customFormat="false" ht="15" hidden="false" customHeight="false" outlineLevel="0" collapsed="false">
      <c r="A3237" s="0" t="s">
        <v>260</v>
      </c>
      <c r="B3237" s="52" t="n">
        <v>44410</v>
      </c>
      <c r="C3237" s="54" t="s">
        <v>592</v>
      </c>
      <c r="D3237" s="0" t="n">
        <v>1</v>
      </c>
      <c r="E3237" s="0" t="n">
        <v>0</v>
      </c>
      <c r="F3237" s="0" t="n">
        <v>0</v>
      </c>
      <c r="G3237" s="0" t="n">
        <v>2021</v>
      </c>
    </row>
    <row r="3238" customFormat="false" ht="15" hidden="false" customHeight="false" outlineLevel="0" collapsed="false">
      <c r="A3238" s="0" t="s">
        <v>260</v>
      </c>
      <c r="B3238" s="52" t="n">
        <v>44411</v>
      </c>
      <c r="C3238" s="54" t="s">
        <v>590</v>
      </c>
      <c r="D3238" s="0" t="n">
        <v>0.0173616980241836</v>
      </c>
      <c r="E3238" s="0" t="n">
        <v>0.0311793250470965</v>
      </c>
      <c r="F3238" s="0" t="n">
        <v>0</v>
      </c>
      <c r="G3238" s="0" t="n">
        <v>2021</v>
      </c>
    </row>
    <row r="3239" customFormat="false" ht="15" hidden="false" customHeight="false" outlineLevel="0" collapsed="false">
      <c r="A3239" s="0" t="s">
        <v>260</v>
      </c>
      <c r="B3239" s="52" t="n">
        <v>44411</v>
      </c>
      <c r="C3239" s="54" t="s">
        <v>591</v>
      </c>
      <c r="D3239" s="0" t="n">
        <v>0.340286229913193</v>
      </c>
      <c r="E3239" s="0" t="n">
        <v>0.0111742424242424</v>
      </c>
      <c r="F3239" s="0" t="n">
        <v>0</v>
      </c>
      <c r="G3239" s="0" t="n">
        <v>2021</v>
      </c>
    </row>
    <row r="3240" customFormat="false" ht="15" hidden="false" customHeight="false" outlineLevel="0" collapsed="false">
      <c r="A3240" s="0" t="s">
        <v>260</v>
      </c>
      <c r="B3240" s="52" t="n">
        <v>44411</v>
      </c>
      <c r="C3240" s="54" t="s">
        <v>592</v>
      </c>
      <c r="D3240" s="0" t="n">
        <v>1</v>
      </c>
      <c r="E3240" s="0" t="n">
        <v>0</v>
      </c>
      <c r="F3240" s="0" t="n">
        <v>0</v>
      </c>
      <c r="G3240" s="0" t="n">
        <v>2021</v>
      </c>
    </row>
    <row r="3241" customFormat="false" ht="15" hidden="false" customHeight="false" outlineLevel="0" collapsed="false">
      <c r="A3241" s="0" t="s">
        <v>260</v>
      </c>
      <c r="B3241" s="52" t="n">
        <v>44412</v>
      </c>
      <c r="C3241" s="54" t="s">
        <v>590</v>
      </c>
      <c r="D3241" s="0" t="n">
        <v>0.110957103152978</v>
      </c>
      <c r="E3241" s="0" t="n">
        <v>0.0300006003088782</v>
      </c>
      <c r="F3241" s="0" t="n">
        <v>0</v>
      </c>
      <c r="G3241" s="0" t="n">
        <v>2021</v>
      </c>
    </row>
    <row r="3242" customFormat="false" ht="15" hidden="false" customHeight="false" outlineLevel="0" collapsed="false">
      <c r="A3242" s="0" t="s">
        <v>260</v>
      </c>
      <c r="B3242" s="52" t="n">
        <v>44412</v>
      </c>
      <c r="C3242" s="54" t="s">
        <v>591</v>
      </c>
      <c r="D3242" s="0" t="n">
        <v>0.621980010188042</v>
      </c>
      <c r="E3242" s="0" t="n">
        <v>0.0448334095116108</v>
      </c>
      <c r="F3242" s="0" t="n">
        <v>0</v>
      </c>
      <c r="G3242" s="0" t="n">
        <v>2021</v>
      </c>
    </row>
    <row r="3243" customFormat="false" ht="15" hidden="false" customHeight="false" outlineLevel="0" collapsed="false">
      <c r="A3243" s="0" t="s">
        <v>260</v>
      </c>
      <c r="B3243" s="52" t="n">
        <v>44412</v>
      </c>
      <c r="C3243" s="54" t="s">
        <v>592</v>
      </c>
      <c r="D3243" s="0" t="n">
        <v>1</v>
      </c>
      <c r="E3243" s="0" t="n">
        <v>0</v>
      </c>
      <c r="F3243" s="0" t="n">
        <v>0</v>
      </c>
      <c r="G3243" s="0" t="n">
        <v>2021</v>
      </c>
    </row>
    <row r="3244" customFormat="false" ht="15" hidden="false" customHeight="false" outlineLevel="0" collapsed="false">
      <c r="A3244" s="0" t="s">
        <v>260</v>
      </c>
      <c r="B3244" s="52" t="n">
        <v>44413</v>
      </c>
      <c r="C3244" s="54" t="s">
        <v>590</v>
      </c>
      <c r="D3244" s="0" t="n">
        <v>0.0318099635171612</v>
      </c>
      <c r="E3244" s="0" t="n">
        <v>0.0538619141691457</v>
      </c>
      <c r="F3244" s="0" t="n">
        <v>0</v>
      </c>
      <c r="G3244" s="0" t="n">
        <v>2021</v>
      </c>
    </row>
    <row r="3245" customFormat="false" ht="15" hidden="false" customHeight="false" outlineLevel="0" collapsed="false">
      <c r="A3245" s="0" t="s">
        <v>260</v>
      </c>
      <c r="B3245" s="52" t="n">
        <v>44413</v>
      </c>
      <c r="C3245" s="54" t="s">
        <v>591</v>
      </c>
      <c r="D3245" s="0" t="n">
        <v>0.0695254072156356</v>
      </c>
      <c r="E3245" s="0" t="n">
        <v>0.0865594739034958</v>
      </c>
      <c r="F3245" s="0" t="n">
        <v>0</v>
      </c>
      <c r="G3245" s="0" t="n">
        <v>2021</v>
      </c>
    </row>
    <row r="3246" customFormat="false" ht="15" hidden="false" customHeight="false" outlineLevel="0" collapsed="false">
      <c r="A3246" s="0" t="s">
        <v>260</v>
      </c>
      <c r="B3246" s="52" t="n">
        <v>44413</v>
      </c>
      <c r="C3246" s="54" t="s">
        <v>592</v>
      </c>
      <c r="D3246" s="0" t="n">
        <v>0.997406154924779</v>
      </c>
      <c r="E3246" s="0" t="n">
        <v>0</v>
      </c>
      <c r="F3246" s="0" t="n">
        <v>0</v>
      </c>
      <c r="G3246" s="0" t="n">
        <v>2021</v>
      </c>
    </row>
    <row r="3247" customFormat="false" ht="15" hidden="false" customHeight="false" outlineLevel="0" collapsed="false">
      <c r="A3247" s="0" t="s">
        <v>260</v>
      </c>
      <c r="B3247" s="52" t="n">
        <v>44414</v>
      </c>
      <c r="C3247" s="54" t="s">
        <v>590</v>
      </c>
      <c r="D3247" s="0" t="n">
        <v>0.0245420976622512</v>
      </c>
      <c r="E3247" s="0" t="n">
        <v>0.101696248497264</v>
      </c>
      <c r="F3247" s="0" t="n">
        <v>0</v>
      </c>
      <c r="G3247" s="0" t="n">
        <v>2021</v>
      </c>
    </row>
    <row r="3248" customFormat="false" ht="15" hidden="false" customHeight="false" outlineLevel="0" collapsed="false">
      <c r="A3248" s="0" t="s">
        <v>260</v>
      </c>
      <c r="B3248" s="52" t="n">
        <v>44414</v>
      </c>
      <c r="C3248" s="54" t="s">
        <v>591</v>
      </c>
      <c r="D3248" s="0" t="n">
        <v>0.692807534413352</v>
      </c>
      <c r="E3248" s="0" t="n">
        <v>0.0628609318099461</v>
      </c>
      <c r="F3248" s="0" t="n">
        <v>0</v>
      </c>
      <c r="G3248" s="0" t="n">
        <v>2021</v>
      </c>
    </row>
    <row r="3249" customFormat="false" ht="15" hidden="false" customHeight="false" outlineLevel="0" collapsed="false">
      <c r="A3249" s="0" t="s">
        <v>260</v>
      </c>
      <c r="B3249" s="52" t="n">
        <v>44414</v>
      </c>
      <c r="C3249" s="54" t="s">
        <v>592</v>
      </c>
      <c r="D3249" s="0" t="n">
        <v>1</v>
      </c>
      <c r="E3249" s="0" t="n">
        <v>0</v>
      </c>
      <c r="F3249" s="0" t="n">
        <v>0</v>
      </c>
      <c r="G3249" s="0" t="n">
        <v>2021</v>
      </c>
    </row>
    <row r="3250" customFormat="false" ht="15" hidden="false" customHeight="false" outlineLevel="0" collapsed="false">
      <c r="A3250" s="0" t="s">
        <v>260</v>
      </c>
      <c r="B3250" s="52" t="n">
        <v>44415</v>
      </c>
      <c r="C3250" s="54" t="s">
        <v>590</v>
      </c>
      <c r="D3250" s="0" t="n">
        <v>0.0224213417464284</v>
      </c>
      <c r="E3250" s="0" t="n">
        <v>0.040162289226757</v>
      </c>
      <c r="F3250" s="0" t="n">
        <v>1</v>
      </c>
      <c r="G3250" s="0" t="n">
        <v>2021</v>
      </c>
    </row>
    <row r="3251" customFormat="false" ht="15" hidden="false" customHeight="false" outlineLevel="0" collapsed="false">
      <c r="A3251" s="0" t="s">
        <v>260</v>
      </c>
      <c r="B3251" s="52" t="n">
        <v>44415</v>
      </c>
      <c r="C3251" s="54" t="s">
        <v>591</v>
      </c>
      <c r="D3251" s="0" t="n">
        <v>0.129743998914703</v>
      </c>
      <c r="E3251" s="0" t="n">
        <v>0.0527640198776571</v>
      </c>
      <c r="F3251" s="0" t="n">
        <v>1</v>
      </c>
      <c r="G3251" s="0" t="n">
        <v>2021</v>
      </c>
    </row>
    <row r="3252" customFormat="false" ht="15" hidden="false" customHeight="false" outlineLevel="0" collapsed="false">
      <c r="A3252" s="0" t="s">
        <v>260</v>
      </c>
      <c r="B3252" s="52" t="n">
        <v>44415</v>
      </c>
      <c r="C3252" s="54" t="s">
        <v>592</v>
      </c>
      <c r="D3252" s="0" t="n">
        <v>1</v>
      </c>
      <c r="E3252" s="0" t="n">
        <v>0</v>
      </c>
      <c r="F3252" s="0" t="n">
        <v>1</v>
      </c>
      <c r="G3252" s="0" t="n">
        <v>2021</v>
      </c>
    </row>
    <row r="3253" customFormat="false" ht="15" hidden="false" customHeight="false" outlineLevel="0" collapsed="false">
      <c r="A3253" s="0" t="s">
        <v>260</v>
      </c>
      <c r="B3253" s="52" t="n">
        <v>44416</v>
      </c>
      <c r="C3253" s="54" t="s">
        <v>590</v>
      </c>
      <c r="D3253" s="0" t="n">
        <v>0.0133254647336891</v>
      </c>
      <c r="E3253" s="0" t="n">
        <v>0.0858664100883873</v>
      </c>
      <c r="F3253" s="0" t="n">
        <v>1</v>
      </c>
      <c r="G3253" s="0" t="n">
        <v>2021</v>
      </c>
    </row>
    <row r="3254" customFormat="false" ht="15" hidden="false" customHeight="false" outlineLevel="0" collapsed="false">
      <c r="A3254" s="0" t="s">
        <v>260</v>
      </c>
      <c r="B3254" s="52" t="n">
        <v>44416</v>
      </c>
      <c r="C3254" s="54" t="s">
        <v>591</v>
      </c>
      <c r="D3254" s="0" t="n">
        <v>0.0399576523081961</v>
      </c>
      <c r="E3254" s="0" t="n">
        <v>0.0477280491925534</v>
      </c>
      <c r="F3254" s="0" t="n">
        <v>1</v>
      </c>
      <c r="G3254" s="0" t="n">
        <v>2021</v>
      </c>
    </row>
    <row r="3255" customFormat="false" ht="15" hidden="false" customHeight="false" outlineLevel="0" collapsed="false">
      <c r="A3255" s="0" t="s">
        <v>260</v>
      </c>
      <c r="B3255" s="52" t="n">
        <v>44416</v>
      </c>
      <c r="C3255" s="54" t="s">
        <v>592</v>
      </c>
      <c r="D3255" s="0" t="n">
        <v>1</v>
      </c>
      <c r="E3255" s="0" t="n">
        <v>0</v>
      </c>
      <c r="F3255" s="0" t="n">
        <v>1</v>
      </c>
      <c r="G3255" s="0" t="n">
        <v>2021</v>
      </c>
    </row>
    <row r="3256" customFormat="false" ht="15" hidden="false" customHeight="false" outlineLevel="0" collapsed="false">
      <c r="A3256" s="0" t="s">
        <v>260</v>
      </c>
      <c r="B3256" s="52" t="n">
        <v>44417</v>
      </c>
      <c r="C3256" s="54" t="s">
        <v>590</v>
      </c>
      <c r="D3256" s="0" t="n">
        <v>0.132475042576675</v>
      </c>
      <c r="E3256" s="0" t="n">
        <v>0.0869326991484767</v>
      </c>
      <c r="F3256" s="0" t="n">
        <v>0</v>
      </c>
      <c r="G3256" s="0" t="n">
        <v>2021</v>
      </c>
    </row>
    <row r="3257" customFormat="false" ht="15" hidden="false" customHeight="false" outlineLevel="0" collapsed="false">
      <c r="A3257" s="0" t="s">
        <v>260</v>
      </c>
      <c r="B3257" s="52" t="n">
        <v>44417</v>
      </c>
      <c r="C3257" s="54" t="s">
        <v>591</v>
      </c>
      <c r="D3257" s="0" t="n">
        <v>0.107353917003405</v>
      </c>
      <c r="E3257" s="0" t="n">
        <v>0.059602529070694</v>
      </c>
      <c r="F3257" s="0" t="n">
        <v>0</v>
      </c>
      <c r="G3257" s="0" t="n">
        <v>2021</v>
      </c>
    </row>
    <row r="3258" customFormat="false" ht="15" hidden="false" customHeight="false" outlineLevel="0" collapsed="false">
      <c r="A3258" s="0" t="s">
        <v>260</v>
      </c>
      <c r="B3258" s="52" t="n">
        <v>44417</v>
      </c>
      <c r="C3258" s="54" t="s">
        <v>592</v>
      </c>
      <c r="D3258" s="0" t="n">
        <v>1</v>
      </c>
      <c r="E3258" s="0" t="n">
        <v>0</v>
      </c>
      <c r="F3258" s="0" t="n">
        <v>0</v>
      </c>
      <c r="G3258" s="0" t="n">
        <v>2021</v>
      </c>
    </row>
    <row r="3259" customFormat="false" ht="15" hidden="false" customHeight="false" outlineLevel="0" collapsed="false">
      <c r="A3259" s="0" t="s">
        <v>260</v>
      </c>
      <c r="B3259" s="52" t="n">
        <v>44418</v>
      </c>
      <c r="C3259" s="54" t="s">
        <v>590</v>
      </c>
      <c r="D3259" s="0" t="n">
        <v>0.0211893968704945</v>
      </c>
      <c r="E3259" s="0" t="n">
        <v>0.0976783758447913</v>
      </c>
      <c r="F3259" s="0" t="n">
        <v>0</v>
      </c>
      <c r="G3259" s="0" t="n">
        <v>2021</v>
      </c>
    </row>
    <row r="3260" customFormat="false" ht="15" hidden="false" customHeight="false" outlineLevel="0" collapsed="false">
      <c r="A3260" s="0" t="s">
        <v>260</v>
      </c>
      <c r="B3260" s="52" t="n">
        <v>44418</v>
      </c>
      <c r="C3260" s="54" t="s">
        <v>591</v>
      </c>
      <c r="D3260" s="0" t="n">
        <v>0.0859564482438928</v>
      </c>
      <c r="E3260" s="0" t="n">
        <v>0.0402212866328836</v>
      </c>
      <c r="F3260" s="0" t="n">
        <v>0</v>
      </c>
      <c r="G3260" s="0" t="n">
        <v>2021</v>
      </c>
    </row>
    <row r="3261" customFormat="false" ht="15" hidden="false" customHeight="false" outlineLevel="0" collapsed="false">
      <c r="A3261" s="0" t="s">
        <v>260</v>
      </c>
      <c r="B3261" s="52" t="n">
        <v>44418</v>
      </c>
      <c r="C3261" s="54" t="s">
        <v>592</v>
      </c>
      <c r="D3261" s="0" t="n">
        <v>1</v>
      </c>
      <c r="E3261" s="0" t="n">
        <v>0</v>
      </c>
      <c r="F3261" s="0" t="n">
        <v>0</v>
      </c>
      <c r="G3261" s="0" t="n">
        <v>2021</v>
      </c>
    </row>
    <row r="3262" customFormat="false" ht="15" hidden="false" customHeight="false" outlineLevel="0" collapsed="false">
      <c r="A3262" s="0" t="s">
        <v>260</v>
      </c>
      <c r="B3262" s="52" t="n">
        <v>44419</v>
      </c>
      <c r="C3262" s="54" t="s">
        <v>590</v>
      </c>
      <c r="D3262" s="0" t="n">
        <v>0.0337541752032489</v>
      </c>
      <c r="E3262" s="0" t="n">
        <v>0.045459497319774</v>
      </c>
      <c r="F3262" s="0" t="n">
        <v>0</v>
      </c>
      <c r="G3262" s="0" t="n">
        <v>2021</v>
      </c>
    </row>
    <row r="3263" customFormat="false" ht="15" hidden="false" customHeight="false" outlineLevel="0" collapsed="false">
      <c r="A3263" s="0" t="s">
        <v>260</v>
      </c>
      <c r="B3263" s="52" t="n">
        <v>44419</v>
      </c>
      <c r="C3263" s="54" t="s">
        <v>591</v>
      </c>
      <c r="D3263" s="0" t="n">
        <v>0.0069713598084842</v>
      </c>
      <c r="E3263" s="0" t="n">
        <v>0.0447974852482016</v>
      </c>
      <c r="F3263" s="0" t="n">
        <v>0</v>
      </c>
      <c r="G3263" s="0" t="n">
        <v>2021</v>
      </c>
    </row>
    <row r="3264" customFormat="false" ht="15" hidden="false" customHeight="false" outlineLevel="0" collapsed="false">
      <c r="A3264" s="0" t="s">
        <v>260</v>
      </c>
      <c r="B3264" s="52" t="n">
        <v>44419</v>
      </c>
      <c r="C3264" s="54" t="s">
        <v>592</v>
      </c>
      <c r="D3264" s="0" t="n">
        <v>0.869538781255378</v>
      </c>
      <c r="E3264" s="0" t="n">
        <v>0.0188605775396088</v>
      </c>
      <c r="F3264" s="0" t="n">
        <v>0</v>
      </c>
      <c r="G3264" s="0" t="n">
        <v>2021</v>
      </c>
    </row>
    <row r="3265" customFormat="false" ht="15" hidden="false" customHeight="false" outlineLevel="0" collapsed="false">
      <c r="A3265" s="0" t="s">
        <v>260</v>
      </c>
      <c r="B3265" s="52" t="n">
        <v>44420</v>
      </c>
      <c r="C3265" s="54" t="s">
        <v>590</v>
      </c>
      <c r="D3265" s="0" t="n">
        <v>0.0146544436988652</v>
      </c>
      <c r="E3265" s="0" t="n">
        <v>0.0377894318495195</v>
      </c>
      <c r="F3265" s="0" t="n">
        <v>0</v>
      </c>
      <c r="G3265" s="0" t="n">
        <v>2021</v>
      </c>
    </row>
    <row r="3266" customFormat="false" ht="15" hidden="false" customHeight="false" outlineLevel="0" collapsed="false">
      <c r="A3266" s="0" t="s">
        <v>260</v>
      </c>
      <c r="B3266" s="52" t="n">
        <v>44420</v>
      </c>
      <c r="C3266" s="54" t="s">
        <v>591</v>
      </c>
      <c r="D3266" s="0" t="n">
        <v>0.277426129866676</v>
      </c>
      <c r="E3266" s="0" t="n">
        <v>0.114115689452761</v>
      </c>
      <c r="F3266" s="0" t="n">
        <v>0</v>
      </c>
      <c r="G3266" s="0" t="n">
        <v>2021</v>
      </c>
    </row>
    <row r="3267" customFormat="false" ht="15" hidden="false" customHeight="false" outlineLevel="0" collapsed="false">
      <c r="A3267" s="0" t="s">
        <v>260</v>
      </c>
      <c r="B3267" s="52" t="n">
        <v>44420</v>
      </c>
      <c r="C3267" s="54" t="s">
        <v>592</v>
      </c>
      <c r="D3267" s="0" t="n">
        <v>1</v>
      </c>
      <c r="E3267" s="0" t="n">
        <v>0</v>
      </c>
      <c r="F3267" s="0" t="n">
        <v>0</v>
      </c>
      <c r="G3267" s="0" t="n">
        <v>2021</v>
      </c>
    </row>
    <row r="3268" customFormat="false" ht="15" hidden="false" customHeight="false" outlineLevel="0" collapsed="false">
      <c r="A3268" s="0" t="s">
        <v>260</v>
      </c>
      <c r="B3268" s="52" t="n">
        <v>44421</v>
      </c>
      <c r="C3268" s="54" t="s">
        <v>590</v>
      </c>
      <c r="D3268" s="0" t="n">
        <v>0.0634387507921858</v>
      </c>
      <c r="E3268" s="0" t="n">
        <v>0.0918801155876968</v>
      </c>
      <c r="F3268" s="0" t="n">
        <v>0</v>
      </c>
      <c r="G3268" s="0" t="n">
        <v>2021</v>
      </c>
    </row>
    <row r="3269" customFormat="false" ht="15" hidden="false" customHeight="false" outlineLevel="0" collapsed="false">
      <c r="A3269" s="0" t="s">
        <v>260</v>
      </c>
      <c r="B3269" s="52" t="n">
        <v>44421</v>
      </c>
      <c r="C3269" s="54" t="s">
        <v>591</v>
      </c>
      <c r="D3269" s="0" t="n">
        <v>0.0634116993291237</v>
      </c>
      <c r="E3269" s="0" t="n">
        <v>0.0088395021853574</v>
      </c>
      <c r="F3269" s="0" t="n">
        <v>0</v>
      </c>
      <c r="G3269" s="0" t="n">
        <v>2021</v>
      </c>
    </row>
    <row r="3270" customFormat="false" ht="15" hidden="false" customHeight="false" outlineLevel="0" collapsed="false">
      <c r="A3270" s="0" t="s">
        <v>260</v>
      </c>
      <c r="B3270" s="52" t="n">
        <v>44421</v>
      </c>
      <c r="C3270" s="54" t="s">
        <v>592</v>
      </c>
      <c r="D3270" s="0" t="n">
        <v>1</v>
      </c>
      <c r="E3270" s="0" t="n">
        <v>0</v>
      </c>
      <c r="F3270" s="0" t="n">
        <v>0</v>
      </c>
      <c r="G3270" s="0" t="n">
        <v>2021</v>
      </c>
    </row>
    <row r="3271" customFormat="false" ht="15" hidden="false" customHeight="false" outlineLevel="0" collapsed="false">
      <c r="A3271" s="0" t="s">
        <v>260</v>
      </c>
      <c r="B3271" s="52" t="n">
        <v>44422</v>
      </c>
      <c r="C3271" s="54" t="s">
        <v>590</v>
      </c>
      <c r="D3271" s="0" t="n">
        <v>0.0213820791761304</v>
      </c>
      <c r="E3271" s="0" t="n">
        <v>0.0434904883709972</v>
      </c>
      <c r="F3271" s="0" t="n">
        <v>1</v>
      </c>
      <c r="G3271" s="0" t="n">
        <v>2021</v>
      </c>
    </row>
    <row r="3272" customFormat="false" ht="15" hidden="false" customHeight="false" outlineLevel="0" collapsed="false">
      <c r="A3272" s="0" t="s">
        <v>260</v>
      </c>
      <c r="B3272" s="52" t="n">
        <v>44422</v>
      </c>
      <c r="C3272" s="54" t="s">
        <v>591</v>
      </c>
      <c r="D3272" s="0" t="n">
        <v>0.168273708261658</v>
      </c>
      <c r="E3272" s="0" t="n">
        <v>0.0068561422635785</v>
      </c>
      <c r="F3272" s="0" t="n">
        <v>1</v>
      </c>
      <c r="G3272" s="0" t="n">
        <v>2021</v>
      </c>
    </row>
    <row r="3273" customFormat="false" ht="15" hidden="false" customHeight="false" outlineLevel="0" collapsed="false">
      <c r="A3273" s="0" t="s">
        <v>260</v>
      </c>
      <c r="B3273" s="52" t="n">
        <v>44422</v>
      </c>
      <c r="C3273" s="54" t="s">
        <v>592</v>
      </c>
      <c r="D3273" s="0" t="n">
        <v>1</v>
      </c>
      <c r="E3273" s="0" t="n">
        <v>0</v>
      </c>
      <c r="F3273" s="0" t="n">
        <v>1</v>
      </c>
      <c r="G3273" s="0" t="n">
        <v>2021</v>
      </c>
    </row>
    <row r="3274" customFormat="false" ht="15" hidden="false" customHeight="false" outlineLevel="0" collapsed="false">
      <c r="A3274" s="0" t="s">
        <v>260</v>
      </c>
      <c r="B3274" s="52" t="n">
        <v>44423</v>
      </c>
      <c r="C3274" s="54" t="s">
        <v>590</v>
      </c>
      <c r="D3274" s="0" t="n">
        <v>0.0324235476633277</v>
      </c>
      <c r="E3274" s="0" t="n">
        <v>0.0786267683044889</v>
      </c>
      <c r="F3274" s="0" t="n">
        <v>1</v>
      </c>
      <c r="G3274" s="0" t="n">
        <v>2021</v>
      </c>
    </row>
    <row r="3275" customFormat="false" ht="15" hidden="false" customHeight="false" outlineLevel="0" collapsed="false">
      <c r="A3275" s="0" t="s">
        <v>260</v>
      </c>
      <c r="B3275" s="52" t="n">
        <v>44423</v>
      </c>
      <c r="C3275" s="54" t="s">
        <v>591</v>
      </c>
      <c r="D3275" s="0" t="n">
        <v>0.0895686909159455</v>
      </c>
      <c r="E3275" s="0" t="n">
        <v>0.0453487104307724</v>
      </c>
      <c r="F3275" s="0" t="n">
        <v>1</v>
      </c>
      <c r="G3275" s="0" t="n">
        <v>2021</v>
      </c>
    </row>
    <row r="3276" customFormat="false" ht="15" hidden="false" customHeight="false" outlineLevel="0" collapsed="false">
      <c r="A3276" s="0" t="s">
        <v>260</v>
      </c>
      <c r="B3276" s="52" t="n">
        <v>44423</v>
      </c>
      <c r="C3276" s="54" t="s">
        <v>592</v>
      </c>
      <c r="D3276" s="0" t="n">
        <v>1</v>
      </c>
      <c r="E3276" s="0" t="n">
        <v>0</v>
      </c>
      <c r="F3276" s="0" t="n">
        <v>1</v>
      </c>
      <c r="G3276" s="0" t="n">
        <v>2021</v>
      </c>
    </row>
    <row r="3277" customFormat="false" ht="15" hidden="false" customHeight="false" outlineLevel="0" collapsed="false">
      <c r="A3277" s="0" t="s">
        <v>260</v>
      </c>
      <c r="B3277" s="52" t="n">
        <v>44424</v>
      </c>
      <c r="C3277" s="54" t="s">
        <v>590</v>
      </c>
      <c r="D3277" s="0" t="n">
        <v>0.496803804944196</v>
      </c>
      <c r="E3277" s="0" t="n">
        <v>0.0321525496892421</v>
      </c>
      <c r="F3277" s="0" t="n">
        <v>0</v>
      </c>
      <c r="G3277" s="0" t="n">
        <v>2021</v>
      </c>
    </row>
    <row r="3278" customFormat="false" ht="15" hidden="false" customHeight="false" outlineLevel="0" collapsed="false">
      <c r="A3278" s="0" t="s">
        <v>260</v>
      </c>
      <c r="B3278" s="52" t="n">
        <v>44424</v>
      </c>
      <c r="C3278" s="54" t="s">
        <v>591</v>
      </c>
      <c r="D3278" s="0" t="n">
        <v>0.0279434693071343</v>
      </c>
      <c r="E3278" s="0" t="n">
        <v>0.0562546312204449</v>
      </c>
      <c r="F3278" s="0" t="n">
        <v>0</v>
      </c>
      <c r="G3278" s="0" t="n">
        <v>2021</v>
      </c>
    </row>
    <row r="3279" customFormat="false" ht="15" hidden="false" customHeight="false" outlineLevel="0" collapsed="false">
      <c r="A3279" s="0" t="s">
        <v>260</v>
      </c>
      <c r="B3279" s="52" t="n">
        <v>44424</v>
      </c>
      <c r="C3279" s="54" t="s">
        <v>592</v>
      </c>
      <c r="D3279" s="0" t="n">
        <v>0.995722073511435</v>
      </c>
      <c r="E3279" s="0" t="n">
        <v>0</v>
      </c>
      <c r="F3279" s="0" t="n">
        <v>0</v>
      </c>
      <c r="G3279" s="0" t="n">
        <v>2021</v>
      </c>
    </row>
    <row r="3280" customFormat="false" ht="15" hidden="false" customHeight="false" outlineLevel="0" collapsed="false">
      <c r="A3280" s="0" t="s">
        <v>260</v>
      </c>
      <c r="B3280" s="52" t="n">
        <v>44425</v>
      </c>
      <c r="C3280" s="54" t="s">
        <v>590</v>
      </c>
      <c r="D3280" s="0" t="n">
        <v>0.0092529147116931</v>
      </c>
      <c r="E3280" s="0" t="n">
        <v>0.108238910423661</v>
      </c>
      <c r="F3280" s="0" t="n">
        <v>0</v>
      </c>
      <c r="G3280" s="0" t="n">
        <v>2021</v>
      </c>
    </row>
    <row r="3281" customFormat="false" ht="15" hidden="false" customHeight="false" outlineLevel="0" collapsed="false">
      <c r="A3281" s="0" t="s">
        <v>260</v>
      </c>
      <c r="B3281" s="52" t="n">
        <v>44425</v>
      </c>
      <c r="C3281" s="54" t="s">
        <v>591</v>
      </c>
      <c r="D3281" s="0" t="n">
        <v>1</v>
      </c>
      <c r="E3281" s="0" t="n">
        <v>0</v>
      </c>
      <c r="F3281" s="0" t="n">
        <v>0</v>
      </c>
      <c r="G3281" s="0" t="n">
        <v>2021</v>
      </c>
    </row>
    <row r="3282" customFormat="false" ht="15" hidden="false" customHeight="false" outlineLevel="0" collapsed="false">
      <c r="A3282" s="0" t="s">
        <v>260</v>
      </c>
      <c r="B3282" s="52" t="n">
        <v>44425</v>
      </c>
      <c r="C3282" s="54" t="s">
        <v>592</v>
      </c>
      <c r="D3282" s="0" t="n">
        <v>1</v>
      </c>
      <c r="E3282" s="0" t="n">
        <v>0</v>
      </c>
      <c r="F3282" s="0" t="n">
        <v>0</v>
      </c>
      <c r="G3282" s="0" t="n">
        <v>2021</v>
      </c>
    </row>
    <row r="3283" customFormat="false" ht="15" hidden="false" customHeight="false" outlineLevel="0" collapsed="false">
      <c r="A3283" s="0" t="s">
        <v>260</v>
      </c>
      <c r="B3283" s="52" t="n">
        <v>44426</v>
      </c>
      <c r="C3283" s="54" t="s">
        <v>590</v>
      </c>
      <c r="D3283" s="0" t="n">
        <v>0.0531398986192456</v>
      </c>
      <c r="E3283" s="0" t="n">
        <v>0.0432001505197221</v>
      </c>
      <c r="F3283" s="0" t="n">
        <v>0</v>
      </c>
      <c r="G3283" s="0" t="n">
        <v>2021</v>
      </c>
    </row>
    <row r="3284" customFormat="false" ht="15" hidden="false" customHeight="false" outlineLevel="0" collapsed="false">
      <c r="A3284" s="0" t="s">
        <v>260</v>
      </c>
      <c r="B3284" s="52" t="n">
        <v>44426</v>
      </c>
      <c r="C3284" s="54" t="s">
        <v>591</v>
      </c>
      <c r="D3284" s="0" t="n">
        <v>0.0059248395096369</v>
      </c>
      <c r="E3284" s="0" t="n">
        <v>0.0423464141670871</v>
      </c>
      <c r="F3284" s="0" t="n">
        <v>0</v>
      </c>
      <c r="G3284" s="0" t="n">
        <v>2021</v>
      </c>
    </row>
    <row r="3285" customFormat="false" ht="15" hidden="false" customHeight="false" outlineLevel="0" collapsed="false">
      <c r="A3285" s="0" t="s">
        <v>260</v>
      </c>
      <c r="B3285" s="52" t="n">
        <v>44426</v>
      </c>
      <c r="C3285" s="54" t="s">
        <v>592</v>
      </c>
      <c r="D3285" s="0" t="n">
        <v>1</v>
      </c>
      <c r="E3285" s="0" t="n">
        <v>0</v>
      </c>
      <c r="F3285" s="0" t="n">
        <v>0</v>
      </c>
      <c r="G3285" s="0" t="n">
        <v>2021</v>
      </c>
    </row>
    <row r="3286" customFormat="false" ht="15" hidden="false" customHeight="false" outlineLevel="0" collapsed="false">
      <c r="A3286" s="0" t="s">
        <v>260</v>
      </c>
      <c r="B3286" s="52" t="n">
        <v>44427</v>
      </c>
      <c r="C3286" s="54" t="s">
        <v>590</v>
      </c>
      <c r="D3286" s="0" t="n">
        <v>0.0279827965949164</v>
      </c>
      <c r="E3286" s="0" t="n">
        <v>0.0758747204646582</v>
      </c>
      <c r="F3286" s="0" t="n">
        <v>0</v>
      </c>
      <c r="G3286" s="0" t="n">
        <v>2021</v>
      </c>
    </row>
    <row r="3287" customFormat="false" ht="15" hidden="false" customHeight="false" outlineLevel="0" collapsed="false">
      <c r="A3287" s="0" t="s">
        <v>260</v>
      </c>
      <c r="B3287" s="52" t="n">
        <v>44427</v>
      </c>
      <c r="C3287" s="54" t="s">
        <v>591</v>
      </c>
      <c r="D3287" s="0" t="n">
        <v>0</v>
      </c>
      <c r="E3287" s="0" t="n">
        <v>0.0222745450787618</v>
      </c>
      <c r="F3287" s="0" t="n">
        <v>0</v>
      </c>
      <c r="G3287" s="0" t="n">
        <v>2021</v>
      </c>
    </row>
    <row r="3288" customFormat="false" ht="15" hidden="false" customHeight="false" outlineLevel="0" collapsed="false">
      <c r="A3288" s="0" t="s">
        <v>260</v>
      </c>
      <c r="B3288" s="52" t="n">
        <v>44427</v>
      </c>
      <c r="C3288" s="54" t="s">
        <v>592</v>
      </c>
      <c r="D3288" s="0" t="n">
        <v>0.930502534328548</v>
      </c>
      <c r="E3288" s="0" t="n">
        <v>0.0290594963639335</v>
      </c>
      <c r="F3288" s="0" t="n">
        <v>0</v>
      </c>
      <c r="G3288" s="0" t="n">
        <v>2021</v>
      </c>
    </row>
    <row r="3289" customFormat="false" ht="15" hidden="false" customHeight="false" outlineLevel="0" collapsed="false">
      <c r="A3289" s="0" t="s">
        <v>260</v>
      </c>
      <c r="B3289" s="52" t="n">
        <v>44428</v>
      </c>
      <c r="C3289" s="54" t="s">
        <v>590</v>
      </c>
      <c r="D3289" s="0" t="n">
        <v>0.0138834474554805</v>
      </c>
      <c r="E3289" s="0" t="n">
        <v>0.0681675553793254</v>
      </c>
      <c r="F3289" s="0" t="n">
        <v>0</v>
      </c>
      <c r="G3289" s="0" t="n">
        <v>2021</v>
      </c>
    </row>
    <row r="3290" customFormat="false" ht="15" hidden="false" customHeight="false" outlineLevel="0" collapsed="false">
      <c r="A3290" s="0" t="s">
        <v>260</v>
      </c>
      <c r="B3290" s="52" t="n">
        <v>44428</v>
      </c>
      <c r="C3290" s="54" t="s">
        <v>591</v>
      </c>
      <c r="D3290" s="0" t="n">
        <v>0.719881100087591</v>
      </c>
      <c r="E3290" s="0" t="n">
        <v>0.0360498830590258</v>
      </c>
      <c r="F3290" s="0" t="n">
        <v>0</v>
      </c>
      <c r="G3290" s="0" t="n">
        <v>2021</v>
      </c>
    </row>
    <row r="3291" customFormat="false" ht="15" hidden="false" customHeight="false" outlineLevel="0" collapsed="false">
      <c r="A3291" s="0" t="s">
        <v>260</v>
      </c>
      <c r="B3291" s="52" t="n">
        <v>44428</v>
      </c>
      <c r="C3291" s="54" t="s">
        <v>592</v>
      </c>
      <c r="D3291" s="0" t="n">
        <v>1</v>
      </c>
      <c r="E3291" s="0" t="n">
        <v>0</v>
      </c>
      <c r="F3291" s="0" t="n">
        <v>0</v>
      </c>
      <c r="G3291" s="0" t="n">
        <v>2021</v>
      </c>
    </row>
    <row r="3292" customFormat="false" ht="15" hidden="false" customHeight="false" outlineLevel="0" collapsed="false">
      <c r="A3292" s="0" t="s">
        <v>260</v>
      </c>
      <c r="B3292" s="52" t="n">
        <v>44429</v>
      </c>
      <c r="C3292" s="54" t="s">
        <v>590</v>
      </c>
      <c r="D3292" s="0" t="n">
        <v>0.296925412898079</v>
      </c>
      <c r="E3292" s="0" t="n">
        <v>0.0216092689648609</v>
      </c>
      <c r="F3292" s="0" t="n">
        <v>1</v>
      </c>
      <c r="G3292" s="0" t="n">
        <v>2021</v>
      </c>
    </row>
    <row r="3293" customFormat="false" ht="15" hidden="false" customHeight="false" outlineLevel="0" collapsed="false">
      <c r="A3293" s="0" t="s">
        <v>260</v>
      </c>
      <c r="B3293" s="52" t="n">
        <v>44429</v>
      </c>
      <c r="C3293" s="54" t="s">
        <v>591</v>
      </c>
      <c r="D3293" s="0" t="n">
        <v>0.0058279951363969</v>
      </c>
      <c r="E3293" s="0" t="n">
        <v>0.0246030361028556</v>
      </c>
      <c r="F3293" s="0" t="n">
        <v>1</v>
      </c>
      <c r="G3293" s="0" t="n">
        <v>2021</v>
      </c>
    </row>
    <row r="3294" customFormat="false" ht="15" hidden="false" customHeight="false" outlineLevel="0" collapsed="false">
      <c r="A3294" s="0" t="s">
        <v>260</v>
      </c>
      <c r="B3294" s="52" t="n">
        <v>44429</v>
      </c>
      <c r="C3294" s="54" t="s">
        <v>592</v>
      </c>
      <c r="D3294" s="0" t="n">
        <v>0.851603505117055</v>
      </c>
      <c r="E3294" s="0" t="n">
        <v>0.0095490981686161</v>
      </c>
      <c r="F3294" s="0" t="n">
        <v>1</v>
      </c>
      <c r="G3294" s="0" t="n">
        <v>2021</v>
      </c>
    </row>
    <row r="3295" customFormat="false" ht="15" hidden="false" customHeight="false" outlineLevel="0" collapsed="false">
      <c r="A3295" s="0" t="s">
        <v>260</v>
      </c>
      <c r="B3295" s="52" t="n">
        <v>44430</v>
      </c>
      <c r="C3295" s="54" t="s">
        <v>590</v>
      </c>
      <c r="D3295" s="0" t="n">
        <v>0.019977339605829</v>
      </c>
      <c r="E3295" s="0" t="n">
        <v>0.0170489610959002</v>
      </c>
      <c r="F3295" s="0" t="n">
        <v>1</v>
      </c>
      <c r="G3295" s="0" t="n">
        <v>2021</v>
      </c>
    </row>
    <row r="3296" customFormat="false" ht="15" hidden="false" customHeight="false" outlineLevel="0" collapsed="false">
      <c r="A3296" s="0" t="s">
        <v>260</v>
      </c>
      <c r="B3296" s="52" t="n">
        <v>44430</v>
      </c>
      <c r="C3296" s="54" t="s">
        <v>591</v>
      </c>
      <c r="D3296" s="0" t="n">
        <v>0.364215265052948</v>
      </c>
      <c r="E3296" s="0" t="n">
        <v>0.0083232158516322</v>
      </c>
      <c r="F3296" s="0" t="n">
        <v>1</v>
      </c>
      <c r="G3296" s="0" t="n">
        <v>2021</v>
      </c>
    </row>
    <row r="3297" customFormat="false" ht="15" hidden="false" customHeight="false" outlineLevel="0" collapsed="false">
      <c r="A3297" s="0" t="s">
        <v>260</v>
      </c>
      <c r="B3297" s="52" t="n">
        <v>44430</v>
      </c>
      <c r="C3297" s="54" t="s">
        <v>592</v>
      </c>
      <c r="D3297" s="0" t="n">
        <v>1</v>
      </c>
      <c r="E3297" s="0" t="n">
        <v>0</v>
      </c>
      <c r="F3297" s="0" t="n">
        <v>1</v>
      </c>
      <c r="G3297" s="0" t="n">
        <v>2021</v>
      </c>
    </row>
    <row r="3298" customFormat="false" ht="15" hidden="false" customHeight="false" outlineLevel="0" collapsed="false">
      <c r="A3298" s="0" t="s">
        <v>260</v>
      </c>
      <c r="B3298" s="52" t="n">
        <v>44431</v>
      </c>
      <c r="C3298" s="54" t="s">
        <v>590</v>
      </c>
      <c r="D3298" s="0" t="n">
        <v>0.0153393975013075</v>
      </c>
      <c r="E3298" s="0" t="n">
        <v>0.0544311248519036</v>
      </c>
      <c r="F3298" s="0" t="n">
        <v>0</v>
      </c>
      <c r="G3298" s="0" t="n">
        <v>2021</v>
      </c>
    </row>
    <row r="3299" customFormat="false" ht="15" hidden="false" customHeight="false" outlineLevel="0" collapsed="false">
      <c r="A3299" s="0" t="s">
        <v>260</v>
      </c>
      <c r="B3299" s="52" t="n">
        <v>44431</v>
      </c>
      <c r="C3299" s="54" t="s">
        <v>591</v>
      </c>
      <c r="D3299" s="0" t="n">
        <v>0.595766120775255</v>
      </c>
      <c r="E3299" s="0" t="n">
        <v>0.0099691424465305</v>
      </c>
      <c r="F3299" s="0" t="n">
        <v>0</v>
      </c>
      <c r="G3299" s="0" t="n">
        <v>2021</v>
      </c>
    </row>
    <row r="3300" customFormat="false" ht="15" hidden="false" customHeight="false" outlineLevel="0" collapsed="false">
      <c r="A3300" s="0" t="s">
        <v>260</v>
      </c>
      <c r="B3300" s="52" t="n">
        <v>44431</v>
      </c>
      <c r="C3300" s="54" t="s">
        <v>592</v>
      </c>
      <c r="D3300" s="0" t="n">
        <v>0.999088036453146</v>
      </c>
      <c r="E3300" s="0" t="n">
        <v>0</v>
      </c>
      <c r="F3300" s="0" t="n">
        <v>0</v>
      </c>
      <c r="G3300" s="0" t="n">
        <v>2021</v>
      </c>
    </row>
    <row r="3301" customFormat="false" ht="15" hidden="false" customHeight="false" outlineLevel="0" collapsed="false">
      <c r="A3301" s="0" t="s">
        <v>260</v>
      </c>
      <c r="B3301" s="52" t="n">
        <v>44432</v>
      </c>
      <c r="C3301" s="54" t="s">
        <v>590</v>
      </c>
      <c r="D3301" s="0" t="n">
        <v>0.0221936793430366</v>
      </c>
      <c r="E3301" s="0" t="n">
        <v>0.0586695016911223</v>
      </c>
      <c r="F3301" s="0" t="n">
        <v>0</v>
      </c>
      <c r="G3301" s="0" t="n">
        <v>2021</v>
      </c>
    </row>
    <row r="3302" customFormat="false" ht="15" hidden="false" customHeight="false" outlineLevel="0" collapsed="false">
      <c r="A3302" s="0" t="s">
        <v>260</v>
      </c>
      <c r="B3302" s="52" t="n">
        <v>44432</v>
      </c>
      <c r="C3302" s="54" t="s">
        <v>591</v>
      </c>
      <c r="D3302" s="0" t="n">
        <v>0.16229352734724</v>
      </c>
      <c r="E3302" s="0" t="n">
        <v>0.0367578996060681</v>
      </c>
      <c r="F3302" s="0" t="n">
        <v>0</v>
      </c>
      <c r="G3302" s="0" t="n">
        <v>2021</v>
      </c>
    </row>
    <row r="3303" customFormat="false" ht="15" hidden="false" customHeight="false" outlineLevel="0" collapsed="false">
      <c r="A3303" s="0" t="s">
        <v>260</v>
      </c>
      <c r="B3303" s="52" t="n">
        <v>44432</v>
      </c>
      <c r="C3303" s="54" t="s">
        <v>592</v>
      </c>
      <c r="D3303" s="0" t="n">
        <v>0.452472825551026</v>
      </c>
      <c r="E3303" s="0" t="n">
        <v>0.186320404165517</v>
      </c>
      <c r="F3303" s="0" t="n">
        <v>0</v>
      </c>
      <c r="G3303" s="0" t="n">
        <v>2021</v>
      </c>
    </row>
    <row r="3304" customFormat="false" ht="15" hidden="false" customHeight="false" outlineLevel="0" collapsed="false">
      <c r="A3304" s="0" t="s">
        <v>260</v>
      </c>
      <c r="B3304" s="52" t="n">
        <v>44433</v>
      </c>
      <c r="C3304" s="54" t="s">
        <v>590</v>
      </c>
      <c r="D3304" s="0" t="n">
        <v>0.0261512527275685</v>
      </c>
      <c r="E3304" s="0" t="n">
        <v>0.068370815133585</v>
      </c>
      <c r="F3304" s="0" t="n">
        <v>0</v>
      </c>
      <c r="G3304" s="0" t="n">
        <v>2021</v>
      </c>
    </row>
    <row r="3305" customFormat="false" ht="15" hidden="false" customHeight="false" outlineLevel="0" collapsed="false">
      <c r="A3305" s="0" t="s">
        <v>260</v>
      </c>
      <c r="B3305" s="52" t="n">
        <v>44433</v>
      </c>
      <c r="C3305" s="54" t="s">
        <v>591</v>
      </c>
      <c r="D3305" s="0" t="n">
        <v>0</v>
      </c>
      <c r="E3305" s="0" t="n">
        <v>0.0558673601084631</v>
      </c>
      <c r="F3305" s="0" t="n">
        <v>0</v>
      </c>
      <c r="G3305" s="0" t="n">
        <v>2021</v>
      </c>
    </row>
    <row r="3306" customFormat="false" ht="15" hidden="false" customHeight="false" outlineLevel="0" collapsed="false">
      <c r="A3306" s="0" t="s">
        <v>260</v>
      </c>
      <c r="B3306" s="52" t="n">
        <v>44433</v>
      </c>
      <c r="C3306" s="54" t="s">
        <v>592</v>
      </c>
      <c r="D3306" s="0" t="n">
        <v>0.875089265010138</v>
      </c>
      <c r="E3306" s="0" t="n">
        <v>0.0203216661777862</v>
      </c>
      <c r="F3306" s="0" t="n">
        <v>0</v>
      </c>
      <c r="G3306" s="0" t="n">
        <v>2021</v>
      </c>
    </row>
    <row r="3307" customFormat="false" ht="15" hidden="false" customHeight="false" outlineLevel="0" collapsed="false">
      <c r="A3307" s="0" t="s">
        <v>260</v>
      </c>
      <c r="B3307" s="52" t="n">
        <v>44434</v>
      </c>
      <c r="C3307" s="54" t="s">
        <v>590</v>
      </c>
      <c r="D3307" s="0" t="n">
        <v>0.0307024104388724</v>
      </c>
      <c r="E3307" s="0" t="n">
        <v>0.0526757891308163</v>
      </c>
      <c r="F3307" s="0" t="n">
        <v>0</v>
      </c>
      <c r="G3307" s="0" t="n">
        <v>2021</v>
      </c>
    </row>
    <row r="3308" customFormat="false" ht="15" hidden="false" customHeight="false" outlineLevel="0" collapsed="false">
      <c r="A3308" s="0" t="s">
        <v>260</v>
      </c>
      <c r="B3308" s="52" t="n">
        <v>44434</v>
      </c>
      <c r="C3308" s="54" t="s">
        <v>591</v>
      </c>
      <c r="D3308" s="0" t="n">
        <v>0.657179834107889</v>
      </c>
      <c r="E3308" s="0" t="n">
        <v>0.0431029782270557</v>
      </c>
      <c r="F3308" s="0" t="n">
        <v>0</v>
      </c>
      <c r="G3308" s="0" t="n">
        <v>2021</v>
      </c>
    </row>
    <row r="3309" customFormat="false" ht="15" hidden="false" customHeight="false" outlineLevel="0" collapsed="false">
      <c r="A3309" s="0" t="s">
        <v>260</v>
      </c>
      <c r="B3309" s="52" t="n">
        <v>44434</v>
      </c>
      <c r="C3309" s="54" t="s">
        <v>592</v>
      </c>
      <c r="D3309" s="0" t="n">
        <v>1</v>
      </c>
      <c r="E3309" s="0" t="n">
        <v>0</v>
      </c>
      <c r="F3309" s="0" t="n">
        <v>0</v>
      </c>
      <c r="G3309" s="0" t="n">
        <v>2021</v>
      </c>
    </row>
    <row r="3310" customFormat="false" ht="15" hidden="false" customHeight="false" outlineLevel="0" collapsed="false">
      <c r="A3310" s="0" t="s">
        <v>260</v>
      </c>
      <c r="B3310" s="52" t="n">
        <v>44435</v>
      </c>
      <c r="C3310" s="54" t="s">
        <v>590</v>
      </c>
      <c r="D3310" s="0" t="n">
        <v>0.30709044403289</v>
      </c>
      <c r="E3310" s="0" t="n">
        <v>0.0170618951790197</v>
      </c>
      <c r="F3310" s="0" t="n">
        <v>0</v>
      </c>
      <c r="G3310" s="0" t="n">
        <v>2021</v>
      </c>
    </row>
    <row r="3311" customFormat="false" ht="15" hidden="false" customHeight="false" outlineLevel="0" collapsed="false">
      <c r="A3311" s="0" t="s">
        <v>260</v>
      </c>
      <c r="B3311" s="52" t="n">
        <v>44435</v>
      </c>
      <c r="C3311" s="54" t="s">
        <v>591</v>
      </c>
      <c r="D3311" s="0" t="n">
        <v>0.0110848024198351</v>
      </c>
      <c r="E3311" s="0" t="n">
        <v>0.0424747560078314</v>
      </c>
      <c r="F3311" s="0" t="n">
        <v>0</v>
      </c>
      <c r="G3311" s="0" t="n">
        <v>2021</v>
      </c>
    </row>
    <row r="3312" customFormat="false" ht="15" hidden="false" customHeight="false" outlineLevel="0" collapsed="false">
      <c r="A3312" s="0" t="s">
        <v>260</v>
      </c>
      <c r="B3312" s="52" t="n">
        <v>44435</v>
      </c>
      <c r="C3312" s="54" t="s">
        <v>592</v>
      </c>
      <c r="D3312" s="0" t="n">
        <v>0.788252358992417</v>
      </c>
      <c r="E3312" s="0" t="n">
        <v>0.0342323270935292</v>
      </c>
      <c r="F3312" s="0" t="n">
        <v>0</v>
      </c>
      <c r="G3312" s="0" t="n">
        <v>2021</v>
      </c>
    </row>
    <row r="3313" customFormat="false" ht="15" hidden="false" customHeight="false" outlineLevel="0" collapsed="false">
      <c r="A3313" s="0" t="s">
        <v>260</v>
      </c>
      <c r="B3313" s="52" t="n">
        <v>44436</v>
      </c>
      <c r="C3313" s="54" t="s">
        <v>590</v>
      </c>
      <c r="D3313" s="0" t="n">
        <v>0.0239363101504257</v>
      </c>
      <c r="E3313" s="0" t="n">
        <v>0.0440525153870518</v>
      </c>
      <c r="F3313" s="0" t="n">
        <v>1</v>
      </c>
      <c r="G3313" s="0" t="n">
        <v>2021</v>
      </c>
    </row>
    <row r="3314" customFormat="false" ht="15" hidden="false" customHeight="false" outlineLevel="0" collapsed="false">
      <c r="A3314" s="0" t="s">
        <v>260</v>
      </c>
      <c r="B3314" s="52" t="n">
        <v>44436</v>
      </c>
      <c r="C3314" s="54" t="s">
        <v>591</v>
      </c>
      <c r="D3314" s="0" t="n">
        <v>0.579781769731336</v>
      </c>
      <c r="E3314" s="0" t="n">
        <v>0.0108834654588344</v>
      </c>
      <c r="F3314" s="0" t="n">
        <v>1</v>
      </c>
      <c r="G3314" s="0" t="n">
        <v>2021</v>
      </c>
    </row>
    <row r="3315" customFormat="false" ht="15" hidden="false" customHeight="false" outlineLevel="0" collapsed="false">
      <c r="A3315" s="0" t="s">
        <v>260</v>
      </c>
      <c r="B3315" s="52" t="n">
        <v>44436</v>
      </c>
      <c r="C3315" s="54" t="s">
        <v>592</v>
      </c>
      <c r="D3315" s="0" t="n">
        <v>1</v>
      </c>
      <c r="E3315" s="0" t="n">
        <v>0</v>
      </c>
      <c r="F3315" s="0" t="n">
        <v>1</v>
      </c>
      <c r="G3315" s="0" t="n">
        <v>2021</v>
      </c>
    </row>
    <row r="3316" customFormat="false" ht="15" hidden="false" customHeight="false" outlineLevel="0" collapsed="false">
      <c r="A3316" s="0" t="s">
        <v>260</v>
      </c>
      <c r="B3316" s="52" t="n">
        <v>44437</v>
      </c>
      <c r="C3316" s="54" t="s">
        <v>590</v>
      </c>
      <c r="D3316" s="0" t="n">
        <v>0.0173590537882697</v>
      </c>
      <c r="E3316" s="0" t="n">
        <v>0.0568333281471808</v>
      </c>
      <c r="F3316" s="0" t="n">
        <v>1</v>
      </c>
      <c r="G3316" s="0" t="n">
        <v>2021</v>
      </c>
    </row>
    <row r="3317" customFormat="false" ht="15" hidden="false" customHeight="false" outlineLevel="0" collapsed="false">
      <c r="A3317" s="0" t="s">
        <v>260</v>
      </c>
      <c r="B3317" s="52" t="n">
        <v>44437</v>
      </c>
      <c r="C3317" s="54" t="s">
        <v>591</v>
      </c>
      <c r="D3317" s="0" t="n">
        <v>0.932474560932508</v>
      </c>
      <c r="E3317" s="0" t="n">
        <v>0.0528002232212909</v>
      </c>
      <c r="F3317" s="0" t="n">
        <v>1</v>
      </c>
      <c r="G3317" s="0" t="n">
        <v>2021</v>
      </c>
    </row>
    <row r="3318" customFormat="false" ht="15" hidden="false" customHeight="false" outlineLevel="0" collapsed="false">
      <c r="A3318" s="0" t="s">
        <v>260</v>
      </c>
      <c r="B3318" s="52" t="n">
        <v>44437</v>
      </c>
      <c r="C3318" s="54" t="s">
        <v>592</v>
      </c>
      <c r="D3318" s="0" t="n">
        <v>1</v>
      </c>
      <c r="E3318" s="0" t="n">
        <v>0</v>
      </c>
      <c r="F3318" s="0" t="n">
        <v>1</v>
      </c>
      <c r="G3318" s="0" t="n">
        <v>2021</v>
      </c>
    </row>
    <row r="3319" customFormat="false" ht="15" hidden="false" customHeight="false" outlineLevel="0" collapsed="false">
      <c r="A3319" s="0" t="s">
        <v>260</v>
      </c>
      <c r="B3319" s="52" t="n">
        <v>44438</v>
      </c>
      <c r="C3319" s="54" t="s">
        <v>590</v>
      </c>
      <c r="D3319" s="0" t="n">
        <v>0.0607735824004461</v>
      </c>
      <c r="E3319" s="0" t="n">
        <v>0.0282423487418488</v>
      </c>
      <c r="F3319" s="0" t="n">
        <v>0</v>
      </c>
      <c r="G3319" s="0" t="n">
        <v>2021</v>
      </c>
    </row>
    <row r="3320" customFormat="false" ht="15" hidden="false" customHeight="false" outlineLevel="0" collapsed="false">
      <c r="A3320" s="0" t="s">
        <v>260</v>
      </c>
      <c r="B3320" s="52" t="n">
        <v>44438</v>
      </c>
      <c r="C3320" s="54" t="s">
        <v>591</v>
      </c>
      <c r="D3320" s="0" t="n">
        <v>0.0134814397374607</v>
      </c>
      <c r="E3320" s="0" t="n">
        <v>0.0213185735940913</v>
      </c>
      <c r="F3320" s="0" t="n">
        <v>0</v>
      </c>
      <c r="G3320" s="0" t="n">
        <v>2021</v>
      </c>
    </row>
    <row r="3321" customFormat="false" ht="15" hidden="false" customHeight="false" outlineLevel="0" collapsed="false">
      <c r="A3321" s="0" t="s">
        <v>260</v>
      </c>
      <c r="B3321" s="52" t="n">
        <v>44438</v>
      </c>
      <c r="C3321" s="54" t="s">
        <v>592</v>
      </c>
      <c r="D3321" s="0" t="n">
        <v>0.310133263350466</v>
      </c>
      <c r="E3321" s="0" t="n">
        <v>0.684047407965616</v>
      </c>
      <c r="F3321" s="0" t="n">
        <v>0</v>
      </c>
      <c r="G3321" s="0" t="n">
        <v>2021</v>
      </c>
    </row>
    <row r="3322" customFormat="false" ht="15" hidden="false" customHeight="false" outlineLevel="0" collapsed="false">
      <c r="A3322" s="0" t="s">
        <v>260</v>
      </c>
      <c r="B3322" s="52" t="n">
        <v>44439</v>
      </c>
      <c r="C3322" s="54" t="s">
        <v>590</v>
      </c>
      <c r="D3322" s="0" t="n">
        <v>0.012528975259459</v>
      </c>
      <c r="E3322" s="0" t="n">
        <v>0.103551943519339</v>
      </c>
      <c r="F3322" s="0" t="n">
        <v>0</v>
      </c>
      <c r="G3322" s="0" t="n">
        <v>2021</v>
      </c>
    </row>
    <row r="3323" customFormat="false" ht="15" hidden="false" customHeight="false" outlineLevel="0" collapsed="false">
      <c r="A3323" s="0" t="s">
        <v>260</v>
      </c>
      <c r="B3323" s="52" t="n">
        <v>44439</v>
      </c>
      <c r="C3323" s="54" t="s">
        <v>591</v>
      </c>
      <c r="D3323" s="0" t="n">
        <v>0.700872708359928</v>
      </c>
      <c r="E3323" s="0" t="n">
        <v>0.0421848799888621</v>
      </c>
      <c r="F3323" s="0" t="n">
        <v>0</v>
      </c>
      <c r="G3323" s="0" t="n">
        <v>2021</v>
      </c>
    </row>
    <row r="3324" customFormat="false" ht="15" hidden="false" customHeight="false" outlineLevel="0" collapsed="false">
      <c r="A3324" s="0" t="s">
        <v>260</v>
      </c>
      <c r="B3324" s="52" t="n">
        <v>44439</v>
      </c>
      <c r="C3324" s="54" t="s">
        <v>592</v>
      </c>
      <c r="D3324" s="0" t="n">
        <v>1</v>
      </c>
      <c r="E3324" s="0" t="n">
        <v>0</v>
      </c>
      <c r="F3324" s="0" t="n">
        <v>0</v>
      </c>
      <c r="G3324" s="0" t="n">
        <v>2021</v>
      </c>
    </row>
    <row r="3325" customFormat="false" ht="15" hidden="false" customHeight="false" outlineLevel="0" collapsed="false">
      <c r="A3325" s="0" t="s">
        <v>260</v>
      </c>
      <c r="B3325" s="52" t="n">
        <v>44440</v>
      </c>
      <c r="C3325" s="54" t="s">
        <v>590</v>
      </c>
      <c r="D3325" s="0" t="n">
        <v>0.023312335605838</v>
      </c>
      <c r="E3325" s="0" t="n">
        <v>0.0629517730857405</v>
      </c>
      <c r="F3325" s="0" t="n">
        <v>0</v>
      </c>
      <c r="G3325" s="0" t="n">
        <v>2021</v>
      </c>
    </row>
    <row r="3326" customFormat="false" ht="15" hidden="false" customHeight="false" outlineLevel="0" collapsed="false">
      <c r="A3326" s="0" t="s">
        <v>260</v>
      </c>
      <c r="B3326" s="52" t="n">
        <v>44440</v>
      </c>
      <c r="C3326" s="54" t="s">
        <v>591</v>
      </c>
      <c r="D3326" s="0" t="n">
        <v>0.254300391942987</v>
      </c>
      <c r="E3326" s="0" t="n">
        <v>0.0153122967533445</v>
      </c>
      <c r="F3326" s="0" t="n">
        <v>0</v>
      </c>
      <c r="G3326" s="0" t="n">
        <v>2021</v>
      </c>
    </row>
    <row r="3327" customFormat="false" ht="15" hidden="false" customHeight="false" outlineLevel="0" collapsed="false">
      <c r="A3327" s="0" t="s">
        <v>260</v>
      </c>
      <c r="B3327" s="52" t="n">
        <v>44440</v>
      </c>
      <c r="C3327" s="54" t="s">
        <v>592</v>
      </c>
      <c r="D3327" s="0" t="n">
        <v>1</v>
      </c>
      <c r="E3327" s="0" t="n">
        <v>0</v>
      </c>
      <c r="F3327" s="0" t="n">
        <v>0</v>
      </c>
      <c r="G3327" s="0" t="n">
        <v>2021</v>
      </c>
    </row>
    <row r="3328" customFormat="false" ht="15" hidden="false" customHeight="false" outlineLevel="0" collapsed="false">
      <c r="A3328" s="0" t="s">
        <v>260</v>
      </c>
      <c r="B3328" s="52" t="n">
        <v>44441</v>
      </c>
      <c r="C3328" s="54" t="s">
        <v>590</v>
      </c>
      <c r="D3328" s="0" t="n">
        <v>0.0303172986923471</v>
      </c>
      <c r="E3328" s="0" t="n">
        <v>0.0025920820230043</v>
      </c>
      <c r="F3328" s="0" t="n">
        <v>0</v>
      </c>
      <c r="G3328" s="0" t="n">
        <v>2021</v>
      </c>
    </row>
    <row r="3329" customFormat="false" ht="15" hidden="false" customHeight="false" outlineLevel="0" collapsed="false">
      <c r="A3329" s="0" t="s">
        <v>260</v>
      </c>
      <c r="B3329" s="52" t="n">
        <v>44441</v>
      </c>
      <c r="C3329" s="54" t="s">
        <v>591</v>
      </c>
      <c r="D3329" s="0" t="n">
        <v>0.922083960206034</v>
      </c>
      <c r="E3329" s="0" t="n">
        <v>0.019503154544951</v>
      </c>
      <c r="F3329" s="0" t="n">
        <v>0</v>
      </c>
      <c r="G3329" s="0" t="n">
        <v>2021</v>
      </c>
    </row>
    <row r="3330" customFormat="false" ht="15" hidden="false" customHeight="false" outlineLevel="0" collapsed="false">
      <c r="A3330" s="0" t="s">
        <v>260</v>
      </c>
      <c r="B3330" s="52" t="n">
        <v>44441</v>
      </c>
      <c r="C3330" s="54" t="s">
        <v>592</v>
      </c>
      <c r="D3330" s="0" t="n">
        <v>1</v>
      </c>
      <c r="E3330" s="0" t="n">
        <v>0</v>
      </c>
      <c r="F3330" s="0" t="n">
        <v>0</v>
      </c>
      <c r="G3330" s="0" t="n">
        <v>2021</v>
      </c>
    </row>
    <row r="3331" customFormat="false" ht="15" hidden="false" customHeight="false" outlineLevel="0" collapsed="false">
      <c r="A3331" s="0" t="s">
        <v>260</v>
      </c>
      <c r="B3331" s="52" t="n">
        <v>44442</v>
      </c>
      <c r="C3331" s="54" t="s">
        <v>590</v>
      </c>
      <c r="D3331" s="0" t="n">
        <v>0.0274828748284776</v>
      </c>
      <c r="E3331" s="0" t="n">
        <v>0.0350286813323463</v>
      </c>
      <c r="F3331" s="0" t="n">
        <v>0</v>
      </c>
      <c r="G3331" s="0" t="n">
        <v>2021</v>
      </c>
    </row>
    <row r="3332" customFormat="false" ht="15" hidden="false" customHeight="false" outlineLevel="0" collapsed="false">
      <c r="A3332" s="0" t="s">
        <v>260</v>
      </c>
      <c r="B3332" s="52" t="n">
        <v>44442</v>
      </c>
      <c r="C3332" s="54" t="s">
        <v>592</v>
      </c>
      <c r="D3332" s="0" t="n">
        <v>1</v>
      </c>
      <c r="E3332" s="0" t="n">
        <v>0</v>
      </c>
      <c r="F3332" s="0" t="n">
        <v>0</v>
      </c>
      <c r="G3332" s="0" t="n">
        <v>2021</v>
      </c>
    </row>
    <row r="3333" customFormat="false" ht="15" hidden="false" customHeight="false" outlineLevel="0" collapsed="false">
      <c r="A3333" s="0" t="s">
        <v>260</v>
      </c>
      <c r="B3333" s="52" t="n">
        <v>44443</v>
      </c>
      <c r="C3333" s="54" t="s">
        <v>590</v>
      </c>
      <c r="D3333" s="0" t="n">
        <v>0.0219097826960491</v>
      </c>
      <c r="E3333" s="0" t="n">
        <v>0.0653795522163873</v>
      </c>
      <c r="F3333" s="0" t="n">
        <v>1</v>
      </c>
      <c r="G3333" s="0" t="n">
        <v>2021</v>
      </c>
    </row>
    <row r="3334" customFormat="false" ht="15" hidden="false" customHeight="false" outlineLevel="0" collapsed="false">
      <c r="A3334" s="0" t="s">
        <v>260</v>
      </c>
      <c r="B3334" s="52" t="n">
        <v>44443</v>
      </c>
      <c r="C3334" s="54" t="s">
        <v>591</v>
      </c>
      <c r="D3334" s="0" t="n">
        <v>0.0236139152832018</v>
      </c>
      <c r="E3334" s="0" t="n">
        <v>0.100775846267306</v>
      </c>
      <c r="F3334" s="0" t="n">
        <v>1</v>
      </c>
      <c r="G3334" s="0" t="n">
        <v>2021</v>
      </c>
    </row>
    <row r="3335" customFormat="false" ht="15" hidden="false" customHeight="false" outlineLevel="0" collapsed="false">
      <c r="A3335" s="0" t="s">
        <v>260</v>
      </c>
      <c r="B3335" s="52" t="n">
        <v>44443</v>
      </c>
      <c r="C3335" s="54" t="s">
        <v>592</v>
      </c>
      <c r="D3335" s="0" t="n">
        <v>1</v>
      </c>
      <c r="E3335" s="0" t="n">
        <v>0</v>
      </c>
      <c r="F3335" s="0" t="n">
        <v>1</v>
      </c>
      <c r="G3335" s="0" t="n">
        <v>2021</v>
      </c>
    </row>
    <row r="3336" customFormat="false" ht="15" hidden="false" customHeight="false" outlineLevel="0" collapsed="false">
      <c r="A3336" s="0" t="s">
        <v>260</v>
      </c>
      <c r="B3336" s="52" t="n">
        <v>44444</v>
      </c>
      <c r="C3336" s="54" t="s">
        <v>590</v>
      </c>
      <c r="D3336" s="0" t="n">
        <v>0.0357004155257188</v>
      </c>
      <c r="E3336" s="0" t="n">
        <v>0.0797292751835746</v>
      </c>
      <c r="F3336" s="0" t="n">
        <v>1</v>
      </c>
      <c r="G3336" s="0" t="n">
        <v>2021</v>
      </c>
    </row>
    <row r="3337" customFormat="false" ht="15" hidden="false" customHeight="false" outlineLevel="0" collapsed="false">
      <c r="A3337" s="0" t="s">
        <v>260</v>
      </c>
      <c r="B3337" s="52" t="n">
        <v>44444</v>
      </c>
      <c r="C3337" s="54" t="s">
        <v>591</v>
      </c>
      <c r="D3337" s="0" t="n">
        <v>0.0058177502060129</v>
      </c>
      <c r="E3337" s="0" t="n">
        <v>0.0636765597103401</v>
      </c>
      <c r="F3337" s="0" t="n">
        <v>1</v>
      </c>
      <c r="G3337" s="0" t="n">
        <v>2021</v>
      </c>
    </row>
    <row r="3338" customFormat="false" ht="15" hidden="false" customHeight="false" outlineLevel="0" collapsed="false">
      <c r="A3338" s="0" t="s">
        <v>260</v>
      </c>
      <c r="B3338" s="52" t="n">
        <v>44444</v>
      </c>
      <c r="C3338" s="54" t="s">
        <v>592</v>
      </c>
      <c r="D3338" s="0" t="n">
        <v>0</v>
      </c>
      <c r="E3338" s="0" t="n">
        <v>1</v>
      </c>
      <c r="F3338" s="0" t="n">
        <v>1</v>
      </c>
      <c r="G3338" s="0" t="n">
        <v>2021</v>
      </c>
    </row>
    <row r="3339" customFormat="false" ht="15" hidden="false" customHeight="false" outlineLevel="0" collapsed="false">
      <c r="A3339" s="0" t="s">
        <v>260</v>
      </c>
      <c r="B3339" s="52" t="n">
        <v>44445</v>
      </c>
      <c r="C3339" s="54" t="s">
        <v>590</v>
      </c>
      <c r="D3339" s="0" t="n">
        <v>0.145632907551611</v>
      </c>
      <c r="E3339" s="0" t="n">
        <v>0.0637345378140048</v>
      </c>
      <c r="F3339" s="0" t="n">
        <v>0</v>
      </c>
      <c r="G3339" s="0" t="n">
        <v>2021</v>
      </c>
    </row>
    <row r="3340" customFormat="false" ht="15" hidden="false" customHeight="false" outlineLevel="0" collapsed="false">
      <c r="A3340" s="0" t="s">
        <v>260</v>
      </c>
      <c r="B3340" s="52" t="n">
        <v>44445</v>
      </c>
      <c r="C3340" s="54" t="s">
        <v>591</v>
      </c>
      <c r="D3340" s="0" t="n">
        <v>0.007810013686562</v>
      </c>
      <c r="E3340" s="0" t="n">
        <v>0.0422911321377163</v>
      </c>
      <c r="F3340" s="0" t="n">
        <v>0</v>
      </c>
      <c r="G3340" s="0" t="n">
        <v>2021</v>
      </c>
    </row>
    <row r="3341" customFormat="false" ht="15" hidden="false" customHeight="false" outlineLevel="0" collapsed="false">
      <c r="A3341" s="0" t="s">
        <v>260</v>
      </c>
      <c r="B3341" s="52" t="n">
        <v>44445</v>
      </c>
      <c r="C3341" s="54" t="s">
        <v>592</v>
      </c>
      <c r="D3341" s="0" t="n">
        <v>0.432154488578495</v>
      </c>
      <c r="E3341" s="0" t="n">
        <v>0.526621317640076</v>
      </c>
      <c r="F3341" s="0" t="n">
        <v>0</v>
      </c>
      <c r="G3341" s="0" t="n">
        <v>2021</v>
      </c>
    </row>
    <row r="3342" customFormat="false" ht="15" hidden="false" customHeight="false" outlineLevel="0" collapsed="false">
      <c r="A3342" s="0" t="s">
        <v>260</v>
      </c>
      <c r="B3342" s="52" t="n">
        <v>44446</v>
      </c>
      <c r="C3342" s="54" t="s">
        <v>590</v>
      </c>
      <c r="D3342" s="0" t="n">
        <v>0.0194981066663289</v>
      </c>
      <c r="E3342" s="0" t="n">
        <v>0.10033928769274</v>
      </c>
      <c r="F3342" s="0" t="n">
        <v>0</v>
      </c>
      <c r="G3342" s="0" t="n">
        <v>2021</v>
      </c>
    </row>
    <row r="3343" customFormat="false" ht="15" hidden="false" customHeight="false" outlineLevel="0" collapsed="false">
      <c r="A3343" s="0" t="s">
        <v>260</v>
      </c>
      <c r="B3343" s="52" t="n">
        <v>44446</v>
      </c>
      <c r="C3343" s="54" t="s">
        <v>591</v>
      </c>
      <c r="D3343" s="0" t="n">
        <v>0.0350542547642446</v>
      </c>
      <c r="E3343" s="0" t="n">
        <v>0.0367184176244355</v>
      </c>
      <c r="F3343" s="0" t="n">
        <v>0</v>
      </c>
      <c r="G3343" s="0" t="n">
        <v>2021</v>
      </c>
    </row>
    <row r="3344" customFormat="false" ht="15" hidden="false" customHeight="false" outlineLevel="0" collapsed="false">
      <c r="A3344" s="0" t="s">
        <v>260</v>
      </c>
      <c r="B3344" s="52" t="n">
        <v>44446</v>
      </c>
      <c r="C3344" s="54" t="s">
        <v>592</v>
      </c>
      <c r="D3344" s="0" t="n">
        <v>1</v>
      </c>
      <c r="E3344" s="0" t="n">
        <v>0</v>
      </c>
      <c r="F3344" s="0" t="n">
        <v>0</v>
      </c>
      <c r="G3344" s="0" t="n">
        <v>2021</v>
      </c>
    </row>
    <row r="3345" customFormat="false" ht="15" hidden="false" customHeight="false" outlineLevel="0" collapsed="false">
      <c r="A3345" s="0" t="s">
        <v>260</v>
      </c>
      <c r="B3345" s="52" t="n">
        <v>44447</v>
      </c>
      <c r="C3345" s="54" t="s">
        <v>590</v>
      </c>
      <c r="D3345" s="0" t="n">
        <v>0.0282014490068359</v>
      </c>
      <c r="E3345" s="0" t="n">
        <v>0.0553260744804667</v>
      </c>
      <c r="F3345" s="0" t="n">
        <v>0</v>
      </c>
      <c r="G3345" s="0" t="n">
        <v>2021</v>
      </c>
    </row>
    <row r="3346" customFormat="false" ht="15" hidden="false" customHeight="false" outlineLevel="0" collapsed="false">
      <c r="A3346" s="0" t="s">
        <v>260</v>
      </c>
      <c r="B3346" s="52" t="n">
        <v>44447</v>
      </c>
      <c r="C3346" s="54" t="s">
        <v>591</v>
      </c>
      <c r="D3346" s="0" t="n">
        <v>0.0094601586012681</v>
      </c>
      <c r="E3346" s="0" t="n">
        <v>0.0075402108535784</v>
      </c>
      <c r="F3346" s="0" t="n">
        <v>0</v>
      </c>
      <c r="G3346" s="0" t="n">
        <v>2021</v>
      </c>
    </row>
    <row r="3347" customFormat="false" ht="15" hidden="false" customHeight="false" outlineLevel="0" collapsed="false">
      <c r="A3347" s="0" t="s">
        <v>260</v>
      </c>
      <c r="B3347" s="52" t="n">
        <v>44447</v>
      </c>
      <c r="C3347" s="54" t="s">
        <v>592</v>
      </c>
      <c r="D3347" s="0" t="n">
        <v>0.894435839759874</v>
      </c>
      <c r="E3347" s="0" t="n">
        <v>0.0450609835344374</v>
      </c>
      <c r="F3347" s="0" t="n">
        <v>0</v>
      </c>
      <c r="G3347" s="0" t="n">
        <v>2021</v>
      </c>
    </row>
    <row r="3348" customFormat="false" ht="15" hidden="false" customHeight="false" outlineLevel="0" collapsed="false">
      <c r="A3348" s="0" t="s">
        <v>260</v>
      </c>
      <c r="B3348" s="52" t="n">
        <v>44448</v>
      </c>
      <c r="C3348" s="54" t="s">
        <v>590</v>
      </c>
      <c r="D3348" s="0" t="n">
        <v>0.0230774844754661</v>
      </c>
      <c r="E3348" s="0" t="n">
        <v>0.0398627367543014</v>
      </c>
      <c r="F3348" s="0" t="n">
        <v>0</v>
      </c>
      <c r="G3348" s="0" t="n">
        <v>2021</v>
      </c>
    </row>
    <row r="3349" customFormat="false" ht="15" hidden="false" customHeight="false" outlineLevel="0" collapsed="false">
      <c r="A3349" s="0" t="s">
        <v>260</v>
      </c>
      <c r="B3349" s="52" t="n">
        <v>44448</v>
      </c>
      <c r="C3349" s="54" t="s">
        <v>591</v>
      </c>
      <c r="D3349" s="0" t="n">
        <v>0.135373528702622</v>
      </c>
      <c r="E3349" s="0" t="n">
        <v>0.0408797000368528</v>
      </c>
      <c r="F3349" s="0" t="n">
        <v>0</v>
      </c>
      <c r="G3349" s="0" t="n">
        <v>2021</v>
      </c>
    </row>
    <row r="3350" customFormat="false" ht="15" hidden="false" customHeight="false" outlineLevel="0" collapsed="false">
      <c r="A3350" s="0" t="s">
        <v>260</v>
      </c>
      <c r="B3350" s="52" t="n">
        <v>44448</v>
      </c>
      <c r="C3350" s="54" t="s">
        <v>592</v>
      </c>
      <c r="D3350" s="0" t="n">
        <v>1</v>
      </c>
      <c r="E3350" s="0" t="n">
        <v>0</v>
      </c>
      <c r="F3350" s="0" t="n">
        <v>0</v>
      </c>
      <c r="G3350" s="0" t="n">
        <v>2021</v>
      </c>
    </row>
    <row r="3351" customFormat="false" ht="15" hidden="false" customHeight="false" outlineLevel="0" collapsed="false">
      <c r="A3351" s="0" t="s">
        <v>260</v>
      </c>
      <c r="B3351" s="52" t="n">
        <v>44449</v>
      </c>
      <c r="C3351" s="54" t="s">
        <v>590</v>
      </c>
      <c r="D3351" s="0" t="n">
        <v>0.0373531459481665</v>
      </c>
      <c r="E3351" s="0" t="n">
        <v>0.0535952780416686</v>
      </c>
      <c r="F3351" s="0" t="n">
        <v>0</v>
      </c>
      <c r="G3351" s="0" t="n">
        <v>2021</v>
      </c>
    </row>
    <row r="3352" customFormat="false" ht="15" hidden="false" customHeight="false" outlineLevel="0" collapsed="false">
      <c r="A3352" s="0" t="s">
        <v>260</v>
      </c>
      <c r="B3352" s="52" t="n">
        <v>44449</v>
      </c>
      <c r="C3352" s="54" t="s">
        <v>591</v>
      </c>
      <c r="D3352" s="0" t="n">
        <v>0.0720167758986709</v>
      </c>
      <c r="E3352" s="0" t="n">
        <v>0.0389115798059757</v>
      </c>
      <c r="F3352" s="0" t="n">
        <v>0</v>
      </c>
      <c r="G3352" s="0" t="n">
        <v>2021</v>
      </c>
    </row>
    <row r="3353" customFormat="false" ht="15" hidden="false" customHeight="false" outlineLevel="0" collapsed="false">
      <c r="A3353" s="0" t="s">
        <v>260</v>
      </c>
      <c r="B3353" s="52" t="n">
        <v>44449</v>
      </c>
      <c r="C3353" s="54" t="s">
        <v>592</v>
      </c>
      <c r="D3353" s="0" t="n">
        <v>1</v>
      </c>
      <c r="E3353" s="0" t="n">
        <v>0</v>
      </c>
      <c r="F3353" s="0" t="n">
        <v>0</v>
      </c>
      <c r="G3353" s="0" t="n">
        <v>2021</v>
      </c>
    </row>
    <row r="3354" customFormat="false" ht="15" hidden="false" customHeight="false" outlineLevel="0" collapsed="false">
      <c r="A3354" s="0" t="s">
        <v>260</v>
      </c>
      <c r="B3354" s="52" t="n">
        <v>44450</v>
      </c>
      <c r="C3354" s="54" t="s">
        <v>590</v>
      </c>
      <c r="D3354" s="0" t="n">
        <v>0.0231167889626081</v>
      </c>
      <c r="E3354" s="0" t="n">
        <v>0.0373711938134364</v>
      </c>
      <c r="F3354" s="0" t="n">
        <v>1</v>
      </c>
      <c r="G3354" s="0" t="n">
        <v>2021</v>
      </c>
    </row>
    <row r="3355" customFormat="false" ht="15" hidden="false" customHeight="false" outlineLevel="0" collapsed="false">
      <c r="A3355" s="0" t="s">
        <v>260</v>
      </c>
      <c r="B3355" s="52" t="n">
        <v>44450</v>
      </c>
      <c r="C3355" s="54" t="s">
        <v>591</v>
      </c>
      <c r="D3355" s="0" t="n">
        <v>0.0955363275689807</v>
      </c>
      <c r="E3355" s="0" t="n">
        <v>0.0937663816211856</v>
      </c>
      <c r="F3355" s="0" t="n">
        <v>1</v>
      </c>
      <c r="G3355" s="0" t="n">
        <v>2021</v>
      </c>
    </row>
    <row r="3356" customFormat="false" ht="15" hidden="false" customHeight="false" outlineLevel="0" collapsed="false">
      <c r="A3356" s="0" t="s">
        <v>260</v>
      </c>
      <c r="B3356" s="52" t="n">
        <v>44450</v>
      </c>
      <c r="C3356" s="54" t="s">
        <v>592</v>
      </c>
      <c r="D3356" s="0" t="n">
        <v>1</v>
      </c>
      <c r="E3356" s="0" t="n">
        <v>0</v>
      </c>
      <c r="F3356" s="0" t="n">
        <v>1</v>
      </c>
      <c r="G3356" s="0" t="n">
        <v>2021</v>
      </c>
    </row>
    <row r="3357" customFormat="false" ht="15" hidden="false" customHeight="false" outlineLevel="0" collapsed="false">
      <c r="A3357" s="0" t="s">
        <v>260</v>
      </c>
      <c r="B3357" s="52" t="n">
        <v>44451</v>
      </c>
      <c r="C3357" s="54" t="s">
        <v>590</v>
      </c>
      <c r="D3357" s="0" t="n">
        <v>0.0258604808079521</v>
      </c>
      <c r="E3357" s="0" t="n">
        <v>0.0806770272950115</v>
      </c>
      <c r="F3357" s="0" t="n">
        <v>1</v>
      </c>
      <c r="G3357" s="0" t="n">
        <v>2021</v>
      </c>
    </row>
    <row r="3358" customFormat="false" ht="15" hidden="false" customHeight="false" outlineLevel="0" collapsed="false">
      <c r="A3358" s="0" t="s">
        <v>260</v>
      </c>
      <c r="B3358" s="52" t="n">
        <v>44451</v>
      </c>
      <c r="C3358" s="54" t="s">
        <v>591</v>
      </c>
      <c r="D3358" s="0" t="n">
        <v>0.0737698753755385</v>
      </c>
      <c r="E3358" s="0" t="n">
        <v>0.027775830864892</v>
      </c>
      <c r="F3358" s="0" t="n">
        <v>1</v>
      </c>
      <c r="G3358" s="0" t="n">
        <v>2021</v>
      </c>
    </row>
    <row r="3359" customFormat="false" ht="15" hidden="false" customHeight="false" outlineLevel="0" collapsed="false">
      <c r="A3359" s="0" t="s">
        <v>260</v>
      </c>
      <c r="B3359" s="52" t="n">
        <v>44451</v>
      </c>
      <c r="C3359" s="54" t="s">
        <v>592</v>
      </c>
      <c r="D3359" s="0" t="n">
        <v>1</v>
      </c>
      <c r="E3359" s="0" t="n">
        <v>0</v>
      </c>
      <c r="F3359" s="0" t="n">
        <v>1</v>
      </c>
      <c r="G3359" s="0" t="n">
        <v>2021</v>
      </c>
    </row>
    <row r="3360" customFormat="false" ht="15" hidden="false" customHeight="false" outlineLevel="0" collapsed="false">
      <c r="A3360" s="0" t="s">
        <v>260</v>
      </c>
      <c r="B3360" s="52" t="n">
        <v>44452</v>
      </c>
      <c r="C3360" s="54" t="s">
        <v>590</v>
      </c>
      <c r="D3360" s="0" t="n">
        <v>0.0629571805504416</v>
      </c>
      <c r="E3360" s="0" t="n">
        <v>0.159563321258155</v>
      </c>
      <c r="F3360" s="0" t="n">
        <v>0</v>
      </c>
      <c r="G3360" s="0" t="n">
        <v>2021</v>
      </c>
    </row>
    <row r="3361" customFormat="false" ht="15" hidden="false" customHeight="false" outlineLevel="0" collapsed="false">
      <c r="A3361" s="0" t="s">
        <v>260</v>
      </c>
      <c r="B3361" s="52" t="n">
        <v>44452</v>
      </c>
      <c r="C3361" s="54" t="s">
        <v>591</v>
      </c>
      <c r="D3361" s="0" t="n">
        <v>0.0059055724617751</v>
      </c>
      <c r="E3361" s="0" t="n">
        <v>0.0732688291875669</v>
      </c>
      <c r="F3361" s="0" t="n">
        <v>0</v>
      </c>
      <c r="G3361" s="0" t="n">
        <v>2021</v>
      </c>
    </row>
    <row r="3362" customFormat="false" ht="15" hidden="false" customHeight="false" outlineLevel="0" collapsed="false">
      <c r="A3362" s="0" t="s">
        <v>260</v>
      </c>
      <c r="B3362" s="52" t="n">
        <v>44452</v>
      </c>
      <c r="C3362" s="54" t="s">
        <v>592</v>
      </c>
      <c r="D3362" s="0" t="n">
        <v>0.447413104813454</v>
      </c>
      <c r="E3362" s="0" t="n">
        <v>0.55001989226534</v>
      </c>
      <c r="F3362" s="0" t="n">
        <v>0</v>
      </c>
      <c r="G3362" s="0" t="n">
        <v>2021</v>
      </c>
    </row>
    <row r="3363" customFormat="false" ht="15" hidden="false" customHeight="false" outlineLevel="0" collapsed="false">
      <c r="A3363" s="0" t="s">
        <v>260</v>
      </c>
      <c r="B3363" s="52" t="n">
        <v>44453</v>
      </c>
      <c r="C3363" s="54" t="s">
        <v>590</v>
      </c>
      <c r="D3363" s="0" t="n">
        <v>0.0441998641738134</v>
      </c>
      <c r="E3363" s="0" t="n">
        <v>0.042877630752662</v>
      </c>
      <c r="F3363" s="0" t="n">
        <v>0</v>
      </c>
      <c r="G3363" s="0" t="n">
        <v>2021</v>
      </c>
    </row>
    <row r="3364" customFormat="false" ht="15" hidden="false" customHeight="false" outlineLevel="0" collapsed="false">
      <c r="A3364" s="0" t="s">
        <v>260</v>
      </c>
      <c r="B3364" s="52" t="n">
        <v>44453</v>
      </c>
      <c r="C3364" s="54" t="s">
        <v>591</v>
      </c>
      <c r="D3364" s="0" t="n">
        <v>0.0544804812127572</v>
      </c>
      <c r="E3364" s="0" t="n">
        <v>0.0142851282496947</v>
      </c>
      <c r="F3364" s="0" t="n">
        <v>0</v>
      </c>
      <c r="G3364" s="0" t="n">
        <v>2021</v>
      </c>
    </row>
    <row r="3365" customFormat="false" ht="15" hidden="false" customHeight="false" outlineLevel="0" collapsed="false">
      <c r="A3365" s="0" t="s">
        <v>260</v>
      </c>
      <c r="B3365" s="52" t="n">
        <v>44453</v>
      </c>
      <c r="C3365" s="54" t="s">
        <v>592</v>
      </c>
      <c r="D3365" s="0" t="n">
        <v>1</v>
      </c>
      <c r="E3365" s="0" t="n">
        <v>0</v>
      </c>
      <c r="F3365" s="0" t="n">
        <v>0</v>
      </c>
      <c r="G3365" s="0" t="n">
        <v>2021</v>
      </c>
    </row>
    <row r="3366" customFormat="false" ht="15" hidden="false" customHeight="false" outlineLevel="0" collapsed="false">
      <c r="A3366" s="0" t="s">
        <v>260</v>
      </c>
      <c r="B3366" s="52" t="n">
        <v>44454</v>
      </c>
      <c r="C3366" s="54" t="s">
        <v>590</v>
      </c>
      <c r="D3366" s="0" t="n">
        <v>0.379227648535892</v>
      </c>
      <c r="E3366" s="0" t="n">
        <v>0.0363716531563062</v>
      </c>
      <c r="F3366" s="0" t="n">
        <v>0</v>
      </c>
      <c r="G3366" s="0" t="n">
        <v>2021</v>
      </c>
    </row>
    <row r="3367" customFormat="false" ht="15" hidden="false" customHeight="false" outlineLevel="0" collapsed="false">
      <c r="A3367" s="0" t="s">
        <v>260</v>
      </c>
      <c r="B3367" s="52" t="n">
        <v>44454</v>
      </c>
      <c r="C3367" s="54" t="s">
        <v>591</v>
      </c>
      <c r="D3367" s="0" t="n">
        <v>0.125671327771034</v>
      </c>
      <c r="E3367" s="0" t="n">
        <v>0.0831185968781075</v>
      </c>
      <c r="F3367" s="0" t="n">
        <v>0</v>
      </c>
      <c r="G3367" s="0" t="n">
        <v>2021</v>
      </c>
    </row>
    <row r="3368" customFormat="false" ht="15" hidden="false" customHeight="false" outlineLevel="0" collapsed="false">
      <c r="A3368" s="0" t="s">
        <v>260</v>
      </c>
      <c r="B3368" s="52" t="n">
        <v>44454</v>
      </c>
      <c r="C3368" s="54" t="s">
        <v>592</v>
      </c>
      <c r="D3368" s="0" t="n">
        <v>1</v>
      </c>
      <c r="E3368" s="0" t="n">
        <v>0</v>
      </c>
      <c r="F3368" s="0" t="n">
        <v>0</v>
      </c>
      <c r="G3368" s="0" t="n">
        <v>2021</v>
      </c>
    </row>
    <row r="3369" customFormat="false" ht="15" hidden="false" customHeight="false" outlineLevel="0" collapsed="false">
      <c r="A3369" s="0" t="s">
        <v>260</v>
      </c>
      <c r="B3369" s="52" t="n">
        <v>44455</v>
      </c>
      <c r="C3369" s="54" t="s">
        <v>590</v>
      </c>
      <c r="D3369" s="0" t="n">
        <v>0.0853516659489456</v>
      </c>
      <c r="E3369" s="0" t="n">
        <v>0.0806082327709483</v>
      </c>
      <c r="F3369" s="0" t="n">
        <v>0</v>
      </c>
      <c r="G3369" s="0" t="n">
        <v>2021</v>
      </c>
    </row>
    <row r="3370" customFormat="false" ht="15" hidden="false" customHeight="false" outlineLevel="0" collapsed="false">
      <c r="A3370" s="0" t="s">
        <v>260</v>
      </c>
      <c r="B3370" s="52" t="n">
        <v>44455</v>
      </c>
      <c r="C3370" s="54" t="s">
        <v>591</v>
      </c>
      <c r="D3370" s="0" t="n">
        <v>0.62498274160715</v>
      </c>
      <c r="E3370" s="0" t="n">
        <v>0.0150399979585156</v>
      </c>
      <c r="F3370" s="0" t="n">
        <v>0</v>
      </c>
      <c r="G3370" s="0" t="n">
        <v>2021</v>
      </c>
    </row>
    <row r="3371" customFormat="false" ht="15" hidden="false" customHeight="false" outlineLevel="0" collapsed="false">
      <c r="A3371" s="0" t="s">
        <v>260</v>
      </c>
      <c r="B3371" s="52" t="n">
        <v>44455</v>
      </c>
      <c r="C3371" s="54" t="s">
        <v>592</v>
      </c>
      <c r="D3371" s="0" t="n">
        <v>0.985550425783831</v>
      </c>
      <c r="E3371" s="0" t="n">
        <v>0</v>
      </c>
      <c r="F3371" s="0" t="n">
        <v>0</v>
      </c>
      <c r="G3371" s="0" t="n">
        <v>2021</v>
      </c>
    </row>
    <row r="3372" customFormat="false" ht="15" hidden="false" customHeight="false" outlineLevel="0" collapsed="false">
      <c r="A3372" s="0" t="s">
        <v>260</v>
      </c>
      <c r="B3372" s="52" t="n">
        <v>44456</v>
      </c>
      <c r="C3372" s="54" t="s">
        <v>590</v>
      </c>
      <c r="D3372" s="0" t="n">
        <v>0.306836687644077</v>
      </c>
      <c r="E3372" s="0" t="n">
        <v>0.0487815633229833</v>
      </c>
      <c r="F3372" s="0" t="n">
        <v>0</v>
      </c>
      <c r="G3372" s="0" t="n">
        <v>2021</v>
      </c>
    </row>
    <row r="3373" customFormat="false" ht="15" hidden="false" customHeight="false" outlineLevel="0" collapsed="false">
      <c r="A3373" s="0" t="s">
        <v>260</v>
      </c>
      <c r="B3373" s="52" t="n">
        <v>44456</v>
      </c>
      <c r="C3373" s="54" t="s">
        <v>591</v>
      </c>
      <c r="D3373" s="0" t="n">
        <v>0.137697954306004</v>
      </c>
      <c r="E3373" s="0" t="n">
        <v>0.124723670532235</v>
      </c>
      <c r="F3373" s="0" t="n">
        <v>0</v>
      </c>
      <c r="G3373" s="0" t="n">
        <v>2021</v>
      </c>
    </row>
    <row r="3374" customFormat="false" ht="15" hidden="false" customHeight="false" outlineLevel="0" collapsed="false">
      <c r="A3374" s="0" t="s">
        <v>260</v>
      </c>
      <c r="B3374" s="52" t="n">
        <v>44456</v>
      </c>
      <c r="C3374" s="54" t="s">
        <v>592</v>
      </c>
      <c r="D3374" s="0" t="n">
        <v>1</v>
      </c>
      <c r="E3374" s="0" t="n">
        <v>0</v>
      </c>
      <c r="F3374" s="0" t="n">
        <v>0</v>
      </c>
      <c r="G3374" s="0" t="n">
        <v>2021</v>
      </c>
    </row>
    <row r="3375" customFormat="false" ht="15" hidden="false" customHeight="false" outlineLevel="0" collapsed="false">
      <c r="A3375" s="0" t="s">
        <v>260</v>
      </c>
      <c r="B3375" s="52" t="n">
        <v>44457</v>
      </c>
      <c r="C3375" s="54" t="s">
        <v>590</v>
      </c>
      <c r="D3375" s="0" t="n">
        <v>0.0218437698198783</v>
      </c>
      <c r="E3375" s="0" t="n">
        <v>0.0308033314086078</v>
      </c>
      <c r="F3375" s="0" t="n">
        <v>1</v>
      </c>
      <c r="G3375" s="0" t="n">
        <v>2021</v>
      </c>
    </row>
    <row r="3376" customFormat="false" ht="15" hidden="false" customHeight="false" outlineLevel="0" collapsed="false">
      <c r="A3376" s="0" t="s">
        <v>260</v>
      </c>
      <c r="B3376" s="52" t="n">
        <v>44457</v>
      </c>
      <c r="C3376" s="54" t="s">
        <v>591</v>
      </c>
      <c r="D3376" s="0" t="n">
        <v>0.0072309594495581</v>
      </c>
      <c r="E3376" s="0" t="n">
        <v>0.0924192513444492</v>
      </c>
      <c r="F3376" s="0" t="n">
        <v>1</v>
      </c>
      <c r="G3376" s="0" t="n">
        <v>2021</v>
      </c>
    </row>
    <row r="3377" customFormat="false" ht="15" hidden="false" customHeight="false" outlineLevel="0" collapsed="false">
      <c r="A3377" s="0" t="s">
        <v>260</v>
      </c>
      <c r="B3377" s="52" t="n">
        <v>44457</v>
      </c>
      <c r="C3377" s="54" t="s">
        <v>592</v>
      </c>
      <c r="D3377" s="0" t="n">
        <v>0.87731334155811</v>
      </c>
      <c r="E3377" s="0" t="n">
        <v>0.0196629390470713</v>
      </c>
      <c r="F3377" s="0" t="n">
        <v>1</v>
      </c>
      <c r="G3377" s="0" t="n">
        <v>2021</v>
      </c>
    </row>
    <row r="3378" customFormat="false" ht="15" hidden="false" customHeight="false" outlineLevel="0" collapsed="false">
      <c r="A3378" s="0" t="s">
        <v>260</v>
      </c>
      <c r="B3378" s="52" t="n">
        <v>44458</v>
      </c>
      <c r="C3378" s="54" t="s">
        <v>590</v>
      </c>
      <c r="D3378" s="0" t="n">
        <v>0.0193890331172375</v>
      </c>
      <c r="E3378" s="0" t="n">
        <v>0.0401880926539676</v>
      </c>
      <c r="F3378" s="0" t="n">
        <v>1</v>
      </c>
      <c r="G3378" s="0" t="n">
        <v>2021</v>
      </c>
    </row>
    <row r="3379" customFormat="false" ht="15" hidden="false" customHeight="false" outlineLevel="0" collapsed="false">
      <c r="A3379" s="0" t="s">
        <v>260</v>
      </c>
      <c r="B3379" s="52" t="n">
        <v>44458</v>
      </c>
      <c r="C3379" s="54" t="s">
        <v>591</v>
      </c>
      <c r="D3379" s="0" t="n">
        <v>0.052522536866556</v>
      </c>
      <c r="E3379" s="0" t="n">
        <v>0.0429413645738335</v>
      </c>
      <c r="F3379" s="0" t="n">
        <v>1</v>
      </c>
      <c r="G3379" s="0" t="n">
        <v>2021</v>
      </c>
    </row>
    <row r="3380" customFormat="false" ht="15" hidden="false" customHeight="false" outlineLevel="0" collapsed="false">
      <c r="A3380" s="0" t="s">
        <v>260</v>
      </c>
      <c r="B3380" s="52" t="n">
        <v>44458</v>
      </c>
      <c r="C3380" s="54" t="s">
        <v>592</v>
      </c>
      <c r="D3380" s="0" t="n">
        <v>1</v>
      </c>
      <c r="E3380" s="0" t="n">
        <v>0</v>
      </c>
      <c r="F3380" s="0" t="n">
        <v>1</v>
      </c>
      <c r="G3380" s="0" t="n">
        <v>2021</v>
      </c>
    </row>
    <row r="3381" customFormat="false" ht="15" hidden="false" customHeight="false" outlineLevel="0" collapsed="false">
      <c r="A3381" s="0" t="s">
        <v>260</v>
      </c>
      <c r="B3381" s="52" t="n">
        <v>44459</v>
      </c>
      <c r="C3381" s="54" t="s">
        <v>590</v>
      </c>
      <c r="D3381" s="0" t="n">
        <v>0.0531545552362442</v>
      </c>
      <c r="E3381" s="0" t="n">
        <v>0.0375621243689867</v>
      </c>
      <c r="F3381" s="0" t="n">
        <v>0</v>
      </c>
      <c r="G3381" s="0" t="n">
        <v>2021</v>
      </c>
    </row>
    <row r="3382" customFormat="false" ht="15" hidden="false" customHeight="false" outlineLevel="0" collapsed="false">
      <c r="A3382" s="0" t="s">
        <v>260</v>
      </c>
      <c r="B3382" s="52" t="n">
        <v>44459</v>
      </c>
      <c r="C3382" s="54" t="s">
        <v>591</v>
      </c>
      <c r="D3382" s="0" t="n">
        <v>0.0074080677665786</v>
      </c>
      <c r="E3382" s="0" t="n">
        <v>0.0370283270750985</v>
      </c>
      <c r="F3382" s="0" t="n">
        <v>0</v>
      </c>
      <c r="G3382" s="0" t="n">
        <v>2021</v>
      </c>
    </row>
    <row r="3383" customFormat="false" ht="15" hidden="false" customHeight="false" outlineLevel="0" collapsed="false">
      <c r="A3383" s="0" t="s">
        <v>260</v>
      </c>
      <c r="B3383" s="52" t="n">
        <v>44459</v>
      </c>
      <c r="C3383" s="54" t="s">
        <v>592</v>
      </c>
      <c r="D3383" s="0" t="n">
        <v>0.85902336668187</v>
      </c>
      <c r="E3383" s="0" t="n">
        <v>0.0159839628776794</v>
      </c>
      <c r="F3383" s="0" t="n">
        <v>0</v>
      </c>
      <c r="G3383" s="0" t="n">
        <v>2021</v>
      </c>
    </row>
    <row r="3384" customFormat="false" ht="15" hidden="false" customHeight="false" outlineLevel="0" collapsed="false">
      <c r="A3384" s="0" t="s">
        <v>260</v>
      </c>
      <c r="B3384" s="52" t="n">
        <v>44460</v>
      </c>
      <c r="C3384" s="54" t="s">
        <v>590</v>
      </c>
      <c r="D3384" s="0" t="n">
        <v>0.383285379190544</v>
      </c>
      <c r="E3384" s="0" t="n">
        <v>0.101660750258119</v>
      </c>
      <c r="F3384" s="0" t="n">
        <v>0</v>
      </c>
      <c r="G3384" s="0" t="n">
        <v>2021</v>
      </c>
    </row>
    <row r="3385" customFormat="false" ht="15" hidden="false" customHeight="false" outlineLevel="0" collapsed="false">
      <c r="A3385" s="0" t="s">
        <v>260</v>
      </c>
      <c r="B3385" s="52" t="n">
        <v>44460</v>
      </c>
      <c r="C3385" s="54" t="s">
        <v>591</v>
      </c>
      <c r="D3385" s="0" t="n">
        <v>0.0564250647752195</v>
      </c>
      <c r="E3385" s="0" t="n">
        <v>0.0260088769451117</v>
      </c>
      <c r="F3385" s="0" t="n">
        <v>0</v>
      </c>
      <c r="G3385" s="0" t="n">
        <v>2021</v>
      </c>
    </row>
    <row r="3386" customFormat="false" ht="15" hidden="false" customHeight="false" outlineLevel="0" collapsed="false">
      <c r="A3386" s="0" t="s">
        <v>260</v>
      </c>
      <c r="B3386" s="52" t="n">
        <v>44460</v>
      </c>
      <c r="C3386" s="54" t="s">
        <v>592</v>
      </c>
      <c r="D3386" s="0" t="n">
        <v>1</v>
      </c>
      <c r="E3386" s="0" t="n">
        <v>0</v>
      </c>
      <c r="F3386" s="0" t="n">
        <v>0</v>
      </c>
      <c r="G3386" s="0" t="n">
        <v>2021</v>
      </c>
    </row>
    <row r="3387" customFormat="false" ht="15" hidden="false" customHeight="false" outlineLevel="0" collapsed="false">
      <c r="A3387" s="0" t="s">
        <v>260</v>
      </c>
      <c r="B3387" s="52" t="n">
        <v>44461</v>
      </c>
      <c r="C3387" s="54" t="s">
        <v>590</v>
      </c>
      <c r="D3387" s="0" t="n">
        <v>0.0284151567383378</v>
      </c>
      <c r="E3387" s="0" t="n">
        <v>0.0380253448535841</v>
      </c>
      <c r="F3387" s="0" t="n">
        <v>0</v>
      </c>
      <c r="G3387" s="0" t="n">
        <v>2021</v>
      </c>
    </row>
    <row r="3388" customFormat="false" ht="15" hidden="false" customHeight="false" outlineLevel="0" collapsed="false">
      <c r="A3388" s="0" t="s">
        <v>260</v>
      </c>
      <c r="B3388" s="52" t="n">
        <v>44461</v>
      </c>
      <c r="C3388" s="54" t="s">
        <v>591</v>
      </c>
      <c r="D3388" s="0" t="n">
        <v>0.0088848325892422</v>
      </c>
      <c r="E3388" s="0" t="n">
        <v>0.0256155209719484</v>
      </c>
      <c r="F3388" s="0" t="n">
        <v>0</v>
      </c>
      <c r="G3388" s="0" t="n">
        <v>2021</v>
      </c>
    </row>
    <row r="3389" customFormat="false" ht="15" hidden="false" customHeight="false" outlineLevel="0" collapsed="false">
      <c r="A3389" s="0" t="s">
        <v>260</v>
      </c>
      <c r="B3389" s="52" t="n">
        <v>44461</v>
      </c>
      <c r="C3389" s="54" t="s">
        <v>592</v>
      </c>
      <c r="D3389" s="0" t="n">
        <v>0.648037202224632</v>
      </c>
      <c r="E3389" s="0" t="n">
        <v>0.04872925333645</v>
      </c>
      <c r="F3389" s="0" t="n">
        <v>0</v>
      </c>
      <c r="G3389" s="0" t="n">
        <v>2021</v>
      </c>
    </row>
    <row r="3390" customFormat="false" ht="15" hidden="false" customHeight="false" outlineLevel="0" collapsed="false">
      <c r="A3390" s="0" t="s">
        <v>260</v>
      </c>
      <c r="B3390" s="52" t="n">
        <v>44462</v>
      </c>
      <c r="C3390" s="54" t="s">
        <v>590</v>
      </c>
      <c r="D3390" s="0" t="n">
        <v>0.0675925663056721</v>
      </c>
      <c r="E3390" s="0" t="n">
        <v>0.110004315340947</v>
      </c>
      <c r="F3390" s="0" t="n">
        <v>0</v>
      </c>
      <c r="G3390" s="0" t="n">
        <v>2021</v>
      </c>
    </row>
    <row r="3391" customFormat="false" ht="15" hidden="false" customHeight="false" outlineLevel="0" collapsed="false">
      <c r="A3391" s="0" t="s">
        <v>260</v>
      </c>
      <c r="B3391" s="52" t="n">
        <v>44462</v>
      </c>
      <c r="C3391" s="54" t="s">
        <v>591</v>
      </c>
      <c r="D3391" s="0" t="n">
        <v>0.0006455612820151</v>
      </c>
      <c r="E3391" s="0" t="n">
        <v>0.111544920016199</v>
      </c>
      <c r="F3391" s="0" t="n">
        <v>0</v>
      </c>
      <c r="G3391" s="0" t="n">
        <v>2021</v>
      </c>
    </row>
    <row r="3392" customFormat="false" ht="15" hidden="false" customHeight="false" outlineLevel="0" collapsed="false">
      <c r="A3392" s="0" t="s">
        <v>260</v>
      </c>
      <c r="B3392" s="52" t="n">
        <v>44462</v>
      </c>
      <c r="C3392" s="54" t="s">
        <v>592</v>
      </c>
      <c r="D3392" s="0" t="n">
        <v>1</v>
      </c>
      <c r="E3392" s="0" t="n">
        <v>0</v>
      </c>
      <c r="F3392" s="0" t="n">
        <v>0</v>
      </c>
      <c r="G3392" s="0" t="n">
        <v>2021</v>
      </c>
    </row>
    <row r="3393" customFormat="false" ht="15" hidden="false" customHeight="false" outlineLevel="0" collapsed="false">
      <c r="A3393" s="0" t="s">
        <v>260</v>
      </c>
      <c r="B3393" s="52" t="n">
        <v>44463</v>
      </c>
      <c r="C3393" s="54" t="s">
        <v>590</v>
      </c>
      <c r="D3393" s="0" t="n">
        <v>0.037692407531026</v>
      </c>
      <c r="E3393" s="0" t="n">
        <v>0.0626182594087203</v>
      </c>
      <c r="F3393" s="0" t="n">
        <v>0</v>
      </c>
      <c r="G3393" s="0" t="n">
        <v>2021</v>
      </c>
    </row>
    <row r="3394" customFormat="false" ht="15" hidden="false" customHeight="false" outlineLevel="0" collapsed="false">
      <c r="A3394" s="0" t="s">
        <v>260</v>
      </c>
      <c r="B3394" s="52" t="n">
        <v>44463</v>
      </c>
      <c r="C3394" s="54" t="s">
        <v>591</v>
      </c>
      <c r="D3394" s="0" t="n">
        <v>0.8412199217316</v>
      </c>
      <c r="E3394" s="0" t="n">
        <v>0.0455585172312273</v>
      </c>
      <c r="F3394" s="0" t="n">
        <v>0</v>
      </c>
      <c r="G3394" s="0" t="n">
        <v>2021</v>
      </c>
    </row>
    <row r="3395" customFormat="false" ht="15" hidden="false" customHeight="false" outlineLevel="0" collapsed="false">
      <c r="A3395" s="0" t="s">
        <v>260</v>
      </c>
      <c r="B3395" s="52" t="n">
        <v>44463</v>
      </c>
      <c r="C3395" s="54" t="s">
        <v>592</v>
      </c>
      <c r="D3395" s="0" t="n">
        <v>0.997337217666156</v>
      </c>
      <c r="E3395" s="0" t="n">
        <v>0</v>
      </c>
      <c r="F3395" s="0" t="n">
        <v>0</v>
      </c>
      <c r="G3395" s="0" t="n">
        <v>2021</v>
      </c>
    </row>
    <row r="3396" customFormat="false" ht="15" hidden="false" customHeight="false" outlineLevel="0" collapsed="false">
      <c r="A3396" s="0" t="s">
        <v>260</v>
      </c>
      <c r="B3396" s="52" t="n">
        <v>44464</v>
      </c>
      <c r="C3396" s="54" t="s">
        <v>590</v>
      </c>
      <c r="D3396" s="0" t="n">
        <v>0.0237944203819958</v>
      </c>
      <c r="E3396" s="0" t="n">
        <v>0.0595095918281315</v>
      </c>
      <c r="F3396" s="0" t="n">
        <v>1</v>
      </c>
      <c r="G3396" s="0" t="n">
        <v>2021</v>
      </c>
    </row>
    <row r="3397" customFormat="false" ht="15" hidden="false" customHeight="false" outlineLevel="0" collapsed="false">
      <c r="A3397" s="0" t="s">
        <v>260</v>
      </c>
      <c r="B3397" s="52" t="n">
        <v>44464</v>
      </c>
      <c r="C3397" s="54" t="s">
        <v>591</v>
      </c>
      <c r="D3397" s="0" t="n">
        <v>0.606171133970277</v>
      </c>
      <c r="E3397" s="0" t="n">
        <v>0.0090513023989456</v>
      </c>
      <c r="F3397" s="0" t="n">
        <v>1</v>
      </c>
      <c r="G3397" s="0" t="n">
        <v>2021</v>
      </c>
    </row>
    <row r="3398" customFormat="false" ht="15" hidden="false" customHeight="false" outlineLevel="0" collapsed="false">
      <c r="A3398" s="0" t="s">
        <v>260</v>
      </c>
      <c r="B3398" s="52" t="n">
        <v>44464</v>
      </c>
      <c r="C3398" s="54" t="s">
        <v>592</v>
      </c>
      <c r="D3398" s="0" t="n">
        <v>1</v>
      </c>
      <c r="E3398" s="0" t="n">
        <v>0</v>
      </c>
      <c r="F3398" s="0" t="n">
        <v>1</v>
      </c>
      <c r="G3398" s="0" t="n">
        <v>2021</v>
      </c>
    </row>
    <row r="3399" customFormat="false" ht="15" hidden="false" customHeight="false" outlineLevel="0" collapsed="false">
      <c r="A3399" s="0" t="s">
        <v>260</v>
      </c>
      <c r="B3399" s="52" t="n">
        <v>44465</v>
      </c>
      <c r="C3399" s="54" t="s">
        <v>590</v>
      </c>
      <c r="D3399" s="0" t="n">
        <v>0.0121382480315708</v>
      </c>
      <c r="E3399" s="0" t="n">
        <v>0.0332773970275034</v>
      </c>
      <c r="F3399" s="0" t="n">
        <v>1</v>
      </c>
      <c r="G3399" s="0" t="n">
        <v>2021</v>
      </c>
    </row>
    <row r="3400" customFormat="false" ht="15" hidden="false" customHeight="false" outlineLevel="0" collapsed="false">
      <c r="A3400" s="0" t="s">
        <v>260</v>
      </c>
      <c r="B3400" s="52" t="n">
        <v>44465</v>
      </c>
      <c r="C3400" s="54" t="s">
        <v>591</v>
      </c>
      <c r="D3400" s="0" t="n">
        <v>0.228898425293232</v>
      </c>
      <c r="E3400" s="0" t="n">
        <v>0.0760087627715415</v>
      </c>
      <c r="F3400" s="0" t="n">
        <v>1</v>
      </c>
      <c r="G3400" s="0" t="n">
        <v>2021</v>
      </c>
    </row>
    <row r="3401" customFormat="false" ht="15" hidden="false" customHeight="false" outlineLevel="0" collapsed="false">
      <c r="A3401" s="0" t="s">
        <v>260</v>
      </c>
      <c r="B3401" s="52" t="n">
        <v>44465</v>
      </c>
      <c r="C3401" s="54" t="s">
        <v>592</v>
      </c>
      <c r="D3401" s="0" t="n">
        <v>1</v>
      </c>
      <c r="E3401" s="0" t="n">
        <v>0</v>
      </c>
      <c r="F3401" s="0" t="n">
        <v>1</v>
      </c>
      <c r="G3401" s="0" t="n">
        <v>2021</v>
      </c>
    </row>
    <row r="3402" customFormat="false" ht="15" hidden="false" customHeight="false" outlineLevel="0" collapsed="false">
      <c r="A3402" s="0" t="s">
        <v>260</v>
      </c>
      <c r="B3402" s="52" t="n">
        <v>44466</v>
      </c>
      <c r="C3402" s="54" t="s">
        <v>590</v>
      </c>
      <c r="D3402" s="0" t="n">
        <v>0.0071548272607896</v>
      </c>
      <c r="E3402" s="0" t="n">
        <v>0.0705075855212155</v>
      </c>
      <c r="F3402" s="0" t="n">
        <v>0</v>
      </c>
      <c r="G3402" s="0" t="n">
        <v>2021</v>
      </c>
    </row>
    <row r="3403" customFormat="false" ht="15" hidden="false" customHeight="false" outlineLevel="0" collapsed="false">
      <c r="A3403" s="0" t="s">
        <v>260</v>
      </c>
      <c r="B3403" s="52" t="n">
        <v>44466</v>
      </c>
      <c r="C3403" s="54" t="s">
        <v>591</v>
      </c>
      <c r="D3403" s="0" t="n">
        <v>0.496757231883582</v>
      </c>
      <c r="E3403" s="0" t="n">
        <v>0.0453050224381775</v>
      </c>
      <c r="F3403" s="0" t="n">
        <v>0</v>
      </c>
      <c r="G3403" s="0" t="n">
        <v>2021</v>
      </c>
    </row>
    <row r="3404" customFormat="false" ht="15" hidden="false" customHeight="false" outlineLevel="0" collapsed="false">
      <c r="A3404" s="0" t="s">
        <v>260</v>
      </c>
      <c r="B3404" s="52" t="n">
        <v>44466</v>
      </c>
      <c r="C3404" s="54" t="s">
        <v>592</v>
      </c>
      <c r="D3404" s="0" t="n">
        <v>1</v>
      </c>
      <c r="E3404" s="0" t="n">
        <v>0</v>
      </c>
      <c r="F3404" s="0" t="n">
        <v>0</v>
      </c>
      <c r="G3404" s="0" t="n">
        <v>2021</v>
      </c>
    </row>
    <row r="3405" customFormat="false" ht="15" hidden="false" customHeight="false" outlineLevel="0" collapsed="false">
      <c r="A3405" s="0" t="s">
        <v>260</v>
      </c>
      <c r="B3405" s="52" t="n">
        <v>44467</v>
      </c>
      <c r="C3405" s="54" t="s">
        <v>590</v>
      </c>
      <c r="D3405" s="0" t="n">
        <v>0.0082173298954033</v>
      </c>
      <c r="E3405" s="0" t="n">
        <v>0.0641061139279126</v>
      </c>
      <c r="F3405" s="0" t="n">
        <v>0</v>
      </c>
      <c r="G3405" s="0" t="n">
        <v>2021</v>
      </c>
    </row>
    <row r="3406" customFormat="false" ht="15" hidden="false" customHeight="false" outlineLevel="0" collapsed="false">
      <c r="A3406" s="0" t="s">
        <v>260</v>
      </c>
      <c r="B3406" s="52" t="n">
        <v>44467</v>
      </c>
      <c r="C3406" s="54" t="s">
        <v>591</v>
      </c>
      <c r="D3406" s="0" t="n">
        <v>0.0761223052998116</v>
      </c>
      <c r="E3406" s="0" t="n">
        <v>0.074787507536723</v>
      </c>
      <c r="F3406" s="0" t="n">
        <v>0</v>
      </c>
      <c r="G3406" s="0" t="n">
        <v>2021</v>
      </c>
    </row>
    <row r="3407" customFormat="false" ht="15" hidden="false" customHeight="false" outlineLevel="0" collapsed="false">
      <c r="A3407" s="0" t="s">
        <v>260</v>
      </c>
      <c r="B3407" s="52" t="n">
        <v>44467</v>
      </c>
      <c r="C3407" s="54" t="s">
        <v>592</v>
      </c>
      <c r="D3407" s="0" t="n">
        <v>1</v>
      </c>
      <c r="E3407" s="0" t="n">
        <v>0</v>
      </c>
      <c r="F3407" s="0" t="n">
        <v>0</v>
      </c>
      <c r="G3407" s="0" t="n">
        <v>2021</v>
      </c>
    </row>
    <row r="3408" customFormat="false" ht="15" hidden="false" customHeight="false" outlineLevel="0" collapsed="false">
      <c r="A3408" s="0" t="s">
        <v>260</v>
      </c>
      <c r="B3408" s="52" t="n">
        <v>44468</v>
      </c>
      <c r="C3408" s="54" t="s">
        <v>590</v>
      </c>
      <c r="D3408" s="0" t="n">
        <v>0.0220189649967228</v>
      </c>
      <c r="E3408" s="0" t="n">
        <v>0.0972679548807022</v>
      </c>
      <c r="F3408" s="0" t="n">
        <v>0</v>
      </c>
      <c r="G3408" s="0" t="n">
        <v>2021</v>
      </c>
    </row>
    <row r="3409" customFormat="false" ht="15" hidden="false" customHeight="false" outlineLevel="0" collapsed="false">
      <c r="A3409" s="0" t="s">
        <v>260</v>
      </c>
      <c r="B3409" s="52" t="n">
        <v>44468</v>
      </c>
      <c r="C3409" s="54" t="s">
        <v>591</v>
      </c>
      <c r="D3409" s="0" t="n">
        <v>0.0046376419217236</v>
      </c>
      <c r="E3409" s="0" t="n">
        <v>0.0358995510170967</v>
      </c>
      <c r="F3409" s="0" t="n">
        <v>0</v>
      </c>
      <c r="G3409" s="0" t="n">
        <v>2021</v>
      </c>
    </row>
    <row r="3410" customFormat="false" ht="15" hidden="false" customHeight="false" outlineLevel="0" collapsed="false">
      <c r="A3410" s="0" t="s">
        <v>260</v>
      </c>
      <c r="B3410" s="52" t="n">
        <v>44468</v>
      </c>
      <c r="C3410" s="54" t="s">
        <v>592</v>
      </c>
      <c r="D3410" s="0" t="n">
        <v>0.820446898757134</v>
      </c>
      <c r="E3410" s="0" t="n">
        <v>0.0333947043104277</v>
      </c>
      <c r="F3410" s="0" t="n">
        <v>0</v>
      </c>
      <c r="G3410" s="0" t="n">
        <v>2021</v>
      </c>
    </row>
    <row r="3411" customFormat="false" ht="15" hidden="false" customHeight="false" outlineLevel="0" collapsed="false">
      <c r="A3411" s="0" t="s">
        <v>260</v>
      </c>
      <c r="B3411" s="52" t="n">
        <v>44469</v>
      </c>
      <c r="C3411" s="54" t="s">
        <v>590</v>
      </c>
      <c r="D3411" s="0" t="n">
        <v>0.0257618852034295</v>
      </c>
      <c r="E3411" s="0" t="n">
        <v>0.0848508944044493</v>
      </c>
      <c r="F3411" s="0" t="n">
        <v>0</v>
      </c>
      <c r="G3411" s="0" t="n">
        <v>2021</v>
      </c>
    </row>
    <row r="3412" customFormat="false" ht="15" hidden="false" customHeight="false" outlineLevel="0" collapsed="false">
      <c r="A3412" s="0" t="s">
        <v>260</v>
      </c>
      <c r="B3412" s="52" t="n">
        <v>44469</v>
      </c>
      <c r="C3412" s="54" t="s">
        <v>591</v>
      </c>
      <c r="D3412" s="0" t="n">
        <v>0.20489403188762</v>
      </c>
      <c r="E3412" s="0" t="n">
        <v>0.0085150337167668</v>
      </c>
      <c r="F3412" s="0" t="n">
        <v>0</v>
      </c>
      <c r="G3412" s="0" t="n">
        <v>2021</v>
      </c>
    </row>
    <row r="3413" customFormat="false" ht="15" hidden="false" customHeight="false" outlineLevel="0" collapsed="false">
      <c r="A3413" s="0" t="s">
        <v>260</v>
      </c>
      <c r="B3413" s="52" t="n">
        <v>44469</v>
      </c>
      <c r="C3413" s="54" t="s">
        <v>592</v>
      </c>
      <c r="D3413" s="0" t="n">
        <v>1</v>
      </c>
      <c r="E3413" s="0" t="n">
        <v>0</v>
      </c>
      <c r="F3413" s="0" t="n">
        <v>0</v>
      </c>
      <c r="G3413" s="0" t="n">
        <v>2021</v>
      </c>
    </row>
    <row r="3414" customFormat="false" ht="15" hidden="false" customHeight="false" outlineLevel="0" collapsed="false">
      <c r="A3414" s="0" t="s">
        <v>260</v>
      </c>
      <c r="B3414" s="52" t="n">
        <v>44470</v>
      </c>
      <c r="C3414" s="54" t="s">
        <v>590</v>
      </c>
      <c r="D3414" s="0" t="n">
        <v>0.0282864964411732</v>
      </c>
      <c r="E3414" s="0" t="n">
        <v>0.0281892082379564</v>
      </c>
      <c r="F3414" s="0" t="n">
        <v>0</v>
      </c>
      <c r="G3414" s="0" t="n">
        <v>2021</v>
      </c>
    </row>
    <row r="3415" customFormat="false" ht="15" hidden="false" customHeight="false" outlineLevel="0" collapsed="false">
      <c r="A3415" s="0" t="s">
        <v>260</v>
      </c>
      <c r="B3415" s="52" t="n">
        <v>44470</v>
      </c>
      <c r="C3415" s="54" t="s">
        <v>591</v>
      </c>
      <c r="D3415" s="0" t="n">
        <v>0.223047322464363</v>
      </c>
      <c r="E3415" s="0" t="n">
        <v>0.045199002478478</v>
      </c>
      <c r="F3415" s="0" t="n">
        <v>0</v>
      </c>
      <c r="G3415" s="0" t="n">
        <v>2021</v>
      </c>
    </row>
    <row r="3416" customFormat="false" ht="15" hidden="false" customHeight="false" outlineLevel="0" collapsed="false">
      <c r="A3416" s="0" t="s">
        <v>260</v>
      </c>
      <c r="B3416" s="52" t="n">
        <v>44470</v>
      </c>
      <c r="C3416" s="54" t="s">
        <v>592</v>
      </c>
      <c r="D3416" s="0" t="n">
        <v>1</v>
      </c>
      <c r="E3416" s="0" t="n">
        <v>0</v>
      </c>
      <c r="F3416" s="0" t="n">
        <v>0</v>
      </c>
      <c r="G3416" s="0" t="n">
        <v>2021</v>
      </c>
    </row>
    <row r="3417" customFormat="false" ht="15" hidden="false" customHeight="false" outlineLevel="0" collapsed="false">
      <c r="A3417" s="0" t="s">
        <v>260</v>
      </c>
      <c r="B3417" s="52" t="n">
        <v>44471</v>
      </c>
      <c r="C3417" s="54" t="s">
        <v>590</v>
      </c>
      <c r="D3417" s="0" t="n">
        <v>0.180581809798997</v>
      </c>
      <c r="E3417" s="0" t="n">
        <v>0.0496224618793218</v>
      </c>
      <c r="F3417" s="0" t="n">
        <v>1</v>
      </c>
      <c r="G3417" s="0" t="n">
        <v>2021</v>
      </c>
    </row>
    <row r="3418" customFormat="false" ht="15" hidden="false" customHeight="false" outlineLevel="0" collapsed="false">
      <c r="A3418" s="0" t="s">
        <v>260</v>
      </c>
      <c r="B3418" s="52" t="n">
        <v>44471</v>
      </c>
      <c r="C3418" s="54" t="s">
        <v>591</v>
      </c>
      <c r="D3418" s="0" t="n">
        <v>0.306707918615189</v>
      </c>
      <c r="E3418" s="0" t="n">
        <v>0.0292420265139203</v>
      </c>
      <c r="F3418" s="0" t="n">
        <v>1</v>
      </c>
      <c r="G3418" s="0" t="n">
        <v>2021</v>
      </c>
    </row>
    <row r="3419" customFormat="false" ht="15" hidden="false" customHeight="false" outlineLevel="0" collapsed="false">
      <c r="A3419" s="0" t="s">
        <v>260</v>
      </c>
      <c r="B3419" s="52" t="n">
        <v>44471</v>
      </c>
      <c r="C3419" s="54" t="s">
        <v>592</v>
      </c>
      <c r="D3419" s="0" t="n">
        <v>1</v>
      </c>
      <c r="E3419" s="0" t="n">
        <v>0</v>
      </c>
      <c r="F3419" s="0" t="n">
        <v>1</v>
      </c>
      <c r="G3419" s="0" t="n">
        <v>2021</v>
      </c>
    </row>
    <row r="3420" customFormat="false" ht="15" hidden="false" customHeight="false" outlineLevel="0" collapsed="false">
      <c r="A3420" s="0" t="s">
        <v>260</v>
      </c>
      <c r="B3420" s="52" t="n">
        <v>44472</v>
      </c>
      <c r="C3420" s="54" t="s">
        <v>590</v>
      </c>
      <c r="D3420" s="0" t="n">
        <v>0.0100234911967883</v>
      </c>
      <c r="E3420" s="0" t="n">
        <v>0.0864838220252031</v>
      </c>
      <c r="F3420" s="0" t="n">
        <v>1</v>
      </c>
      <c r="G3420" s="0" t="n">
        <v>2021</v>
      </c>
    </row>
    <row r="3421" customFormat="false" ht="15" hidden="false" customHeight="false" outlineLevel="0" collapsed="false">
      <c r="A3421" s="0" t="s">
        <v>260</v>
      </c>
      <c r="B3421" s="52" t="n">
        <v>44472</v>
      </c>
      <c r="C3421" s="54" t="s">
        <v>591</v>
      </c>
      <c r="D3421" s="0" t="n">
        <v>0.780744449944026</v>
      </c>
      <c r="E3421" s="0" t="n">
        <v>0.0495349503293787</v>
      </c>
      <c r="F3421" s="0" t="n">
        <v>1</v>
      </c>
      <c r="G3421" s="0" t="n">
        <v>2021</v>
      </c>
    </row>
    <row r="3422" customFormat="false" ht="15" hidden="false" customHeight="false" outlineLevel="0" collapsed="false">
      <c r="A3422" s="0" t="s">
        <v>260</v>
      </c>
      <c r="B3422" s="52" t="n">
        <v>44472</v>
      </c>
      <c r="C3422" s="54" t="s">
        <v>592</v>
      </c>
      <c r="D3422" s="0" t="n">
        <v>0.999265727457735</v>
      </c>
      <c r="E3422" s="0" t="n">
        <v>0</v>
      </c>
      <c r="F3422" s="0" t="n">
        <v>1</v>
      </c>
      <c r="G3422" s="0" t="n">
        <v>2021</v>
      </c>
    </row>
    <row r="3423" customFormat="false" ht="15" hidden="false" customHeight="false" outlineLevel="0" collapsed="false">
      <c r="A3423" s="0" t="s">
        <v>260</v>
      </c>
      <c r="B3423" s="52" t="n">
        <v>44473</v>
      </c>
      <c r="C3423" s="54" t="s">
        <v>590</v>
      </c>
      <c r="D3423" s="0" t="n">
        <v>0.0260073875644268</v>
      </c>
      <c r="E3423" s="0" t="n">
        <v>0.204731172602061</v>
      </c>
      <c r="F3423" s="0" t="n">
        <v>0</v>
      </c>
      <c r="G3423" s="0" t="n">
        <v>2021</v>
      </c>
    </row>
    <row r="3424" customFormat="false" ht="15" hidden="false" customHeight="false" outlineLevel="0" collapsed="false">
      <c r="A3424" s="0" t="s">
        <v>260</v>
      </c>
      <c r="B3424" s="52" t="n">
        <v>44473</v>
      </c>
      <c r="C3424" s="54" t="s">
        <v>591</v>
      </c>
      <c r="D3424" s="0" t="n">
        <v>0.0078496619960587</v>
      </c>
      <c r="E3424" s="0" t="n">
        <v>0.0497495257504353</v>
      </c>
      <c r="F3424" s="0" t="n">
        <v>0</v>
      </c>
      <c r="G3424" s="0" t="n">
        <v>2021</v>
      </c>
    </row>
    <row r="3425" customFormat="false" ht="15" hidden="false" customHeight="false" outlineLevel="0" collapsed="false">
      <c r="A3425" s="0" t="s">
        <v>260</v>
      </c>
      <c r="B3425" s="52" t="n">
        <v>44473</v>
      </c>
      <c r="C3425" s="54" t="s">
        <v>592</v>
      </c>
      <c r="D3425" s="0" t="n">
        <v>0.933839934750107</v>
      </c>
      <c r="E3425" s="0" t="n">
        <v>0.0071649058596749</v>
      </c>
      <c r="F3425" s="0" t="n">
        <v>0</v>
      </c>
      <c r="G3425" s="0" t="n">
        <v>2021</v>
      </c>
    </row>
    <row r="3426" customFormat="false" ht="15" hidden="false" customHeight="false" outlineLevel="0" collapsed="false">
      <c r="A3426" s="0" t="s">
        <v>260</v>
      </c>
      <c r="B3426" s="52" t="n">
        <v>44474</v>
      </c>
      <c r="C3426" s="54" t="s">
        <v>590</v>
      </c>
      <c r="D3426" s="0" t="n">
        <v>0.0357825340030094</v>
      </c>
      <c r="E3426" s="0" t="n">
        <v>0.110119321978174</v>
      </c>
      <c r="F3426" s="0" t="n">
        <v>0</v>
      </c>
      <c r="G3426" s="0" t="n">
        <v>2021</v>
      </c>
    </row>
    <row r="3427" customFormat="false" ht="15" hidden="false" customHeight="false" outlineLevel="0" collapsed="false">
      <c r="A3427" s="0" t="s">
        <v>260</v>
      </c>
      <c r="B3427" s="52" t="n">
        <v>44474</v>
      </c>
      <c r="C3427" s="54" t="s">
        <v>591</v>
      </c>
      <c r="D3427" s="0" t="n">
        <v>0.0142321006491244</v>
      </c>
      <c r="E3427" s="0" t="n">
        <v>0.0434157978051452</v>
      </c>
      <c r="F3427" s="0" t="n">
        <v>0</v>
      </c>
      <c r="G3427" s="0" t="n">
        <v>2021</v>
      </c>
    </row>
    <row r="3428" customFormat="false" ht="15" hidden="false" customHeight="false" outlineLevel="0" collapsed="false">
      <c r="A3428" s="0" t="s">
        <v>260</v>
      </c>
      <c r="B3428" s="52" t="n">
        <v>44474</v>
      </c>
      <c r="C3428" s="54" t="s">
        <v>592</v>
      </c>
      <c r="D3428" s="0" t="n">
        <v>0.991086703917518</v>
      </c>
      <c r="E3428" s="0" t="n">
        <v>0.0069405558928844</v>
      </c>
      <c r="F3428" s="0" t="n">
        <v>0</v>
      </c>
      <c r="G3428" s="0" t="n">
        <v>2021</v>
      </c>
    </row>
    <row r="3429" customFormat="false" ht="15" hidden="false" customHeight="false" outlineLevel="0" collapsed="false">
      <c r="A3429" s="0" t="s">
        <v>260</v>
      </c>
      <c r="B3429" s="52" t="n">
        <v>44475</v>
      </c>
      <c r="C3429" s="54" t="s">
        <v>590</v>
      </c>
      <c r="D3429" s="0" t="n">
        <v>0.0378062629826449</v>
      </c>
      <c r="E3429" s="0" t="n">
        <v>0.0391948894119874</v>
      </c>
      <c r="F3429" s="0" t="n">
        <v>0</v>
      </c>
      <c r="G3429" s="0" t="n">
        <v>2021</v>
      </c>
    </row>
    <row r="3430" customFormat="false" ht="15" hidden="false" customHeight="false" outlineLevel="0" collapsed="false">
      <c r="A3430" s="0" t="s">
        <v>260</v>
      </c>
      <c r="B3430" s="52" t="n">
        <v>44475</v>
      </c>
      <c r="C3430" s="54" t="s">
        <v>591</v>
      </c>
      <c r="D3430" s="0" t="n">
        <v>0.004482008254272</v>
      </c>
      <c r="E3430" s="0" t="n">
        <v>0.0322040231488057</v>
      </c>
      <c r="F3430" s="0" t="n">
        <v>0</v>
      </c>
      <c r="G3430" s="0" t="n">
        <v>2021</v>
      </c>
    </row>
    <row r="3431" customFormat="false" ht="15" hidden="false" customHeight="false" outlineLevel="0" collapsed="false">
      <c r="A3431" s="0" t="s">
        <v>260</v>
      </c>
      <c r="B3431" s="52" t="n">
        <v>44475</v>
      </c>
      <c r="C3431" s="54" t="s">
        <v>592</v>
      </c>
      <c r="D3431" s="0" t="n">
        <v>0.918733654215852</v>
      </c>
      <c r="E3431" s="0" t="n">
        <v>0.0275672841373202</v>
      </c>
      <c r="F3431" s="0" t="n">
        <v>0</v>
      </c>
      <c r="G3431" s="0" t="n">
        <v>2021</v>
      </c>
    </row>
    <row r="3432" customFormat="false" ht="15" hidden="false" customHeight="false" outlineLevel="0" collapsed="false">
      <c r="A3432" s="0" t="s">
        <v>260</v>
      </c>
      <c r="B3432" s="52" t="n">
        <v>44476</v>
      </c>
      <c r="C3432" s="54" t="s">
        <v>590</v>
      </c>
      <c r="D3432" s="0" t="n">
        <v>0.0266207316221161</v>
      </c>
      <c r="E3432" s="0" t="n">
        <v>0.114620119115488</v>
      </c>
      <c r="F3432" s="0" t="n">
        <v>0</v>
      </c>
      <c r="G3432" s="0" t="n">
        <v>2021</v>
      </c>
    </row>
    <row r="3433" customFormat="false" ht="15" hidden="false" customHeight="false" outlineLevel="0" collapsed="false">
      <c r="A3433" s="0" t="s">
        <v>260</v>
      </c>
      <c r="B3433" s="52" t="n">
        <v>44476</v>
      </c>
      <c r="C3433" s="54" t="s">
        <v>591</v>
      </c>
      <c r="D3433" s="0" t="n">
        <v>0.609004323747263</v>
      </c>
      <c r="E3433" s="0" t="n">
        <v>0.0302403829944446</v>
      </c>
      <c r="F3433" s="0" t="n">
        <v>0</v>
      </c>
      <c r="G3433" s="0" t="n">
        <v>2021</v>
      </c>
    </row>
    <row r="3434" customFormat="false" ht="15" hidden="false" customHeight="false" outlineLevel="0" collapsed="false">
      <c r="A3434" s="0" t="s">
        <v>260</v>
      </c>
      <c r="B3434" s="52" t="n">
        <v>44476</v>
      </c>
      <c r="C3434" s="54" t="s">
        <v>592</v>
      </c>
      <c r="D3434" s="0" t="n">
        <v>1</v>
      </c>
      <c r="E3434" s="0" t="n">
        <v>0</v>
      </c>
      <c r="F3434" s="0" t="n">
        <v>0</v>
      </c>
      <c r="G3434" s="0" t="n">
        <v>2021</v>
      </c>
    </row>
    <row r="3435" customFormat="false" ht="15" hidden="false" customHeight="false" outlineLevel="0" collapsed="false">
      <c r="A3435" s="0" t="s">
        <v>260</v>
      </c>
      <c r="B3435" s="52" t="n">
        <v>44477</v>
      </c>
      <c r="C3435" s="54" t="s">
        <v>590</v>
      </c>
      <c r="D3435" s="0" t="n">
        <v>0.0154639620946913</v>
      </c>
      <c r="E3435" s="0" t="n">
        <v>0.12740752388229</v>
      </c>
      <c r="F3435" s="0" t="n">
        <v>0</v>
      </c>
      <c r="G3435" s="0" t="n">
        <v>2021</v>
      </c>
    </row>
    <row r="3436" customFormat="false" ht="15" hidden="false" customHeight="false" outlineLevel="0" collapsed="false">
      <c r="A3436" s="0" t="s">
        <v>260</v>
      </c>
      <c r="B3436" s="52" t="n">
        <v>44477</v>
      </c>
      <c r="C3436" s="54" t="s">
        <v>591</v>
      </c>
      <c r="D3436" s="0" t="n">
        <v>0.724795642984714</v>
      </c>
      <c r="E3436" s="0" t="n">
        <v>0.0368641420496227</v>
      </c>
      <c r="F3436" s="0" t="n">
        <v>0</v>
      </c>
      <c r="G3436" s="0" t="n">
        <v>2021</v>
      </c>
    </row>
    <row r="3437" customFormat="false" ht="15" hidden="false" customHeight="false" outlineLevel="0" collapsed="false">
      <c r="A3437" s="0" t="s">
        <v>260</v>
      </c>
      <c r="B3437" s="52" t="n">
        <v>44477</v>
      </c>
      <c r="C3437" s="54" t="s">
        <v>592</v>
      </c>
      <c r="D3437" s="0" t="n">
        <v>1</v>
      </c>
      <c r="E3437" s="0" t="n">
        <v>0</v>
      </c>
      <c r="F3437" s="0" t="n">
        <v>0</v>
      </c>
      <c r="G3437" s="0" t="n">
        <v>2021</v>
      </c>
    </row>
    <row r="3438" customFormat="false" ht="15" hidden="false" customHeight="false" outlineLevel="0" collapsed="false">
      <c r="A3438" s="0" t="s">
        <v>260</v>
      </c>
      <c r="B3438" s="52" t="n">
        <v>44478</v>
      </c>
      <c r="C3438" s="54" t="s">
        <v>590</v>
      </c>
      <c r="D3438" s="0" t="n">
        <v>0.0171573691135849</v>
      </c>
      <c r="E3438" s="0" t="n">
        <v>0.0472280628761236</v>
      </c>
      <c r="F3438" s="0" t="n">
        <v>1</v>
      </c>
      <c r="G3438" s="0" t="n">
        <v>2021</v>
      </c>
    </row>
    <row r="3439" customFormat="false" ht="15" hidden="false" customHeight="false" outlineLevel="0" collapsed="false">
      <c r="A3439" s="0" t="s">
        <v>260</v>
      </c>
      <c r="B3439" s="52" t="n">
        <v>44478</v>
      </c>
      <c r="C3439" s="54" t="s">
        <v>591</v>
      </c>
      <c r="D3439" s="0" t="n">
        <v>0.612874249186801</v>
      </c>
      <c r="E3439" s="0" t="n">
        <v>0.0325189054894983</v>
      </c>
      <c r="F3439" s="0" t="n">
        <v>1</v>
      </c>
      <c r="G3439" s="0" t="n">
        <v>2021</v>
      </c>
    </row>
    <row r="3440" customFormat="false" ht="15" hidden="false" customHeight="false" outlineLevel="0" collapsed="false">
      <c r="A3440" s="0" t="s">
        <v>260</v>
      </c>
      <c r="B3440" s="52" t="n">
        <v>44478</v>
      </c>
      <c r="C3440" s="54" t="s">
        <v>592</v>
      </c>
      <c r="D3440" s="0" t="n">
        <v>1</v>
      </c>
      <c r="E3440" s="0" t="n">
        <v>0</v>
      </c>
      <c r="F3440" s="0" t="n">
        <v>1</v>
      </c>
      <c r="G3440" s="0" t="n">
        <v>2021</v>
      </c>
    </row>
    <row r="3441" customFormat="false" ht="15" hidden="false" customHeight="false" outlineLevel="0" collapsed="false">
      <c r="A3441" s="0" t="s">
        <v>260</v>
      </c>
      <c r="B3441" s="52" t="n">
        <v>44479</v>
      </c>
      <c r="C3441" s="54" t="s">
        <v>590</v>
      </c>
      <c r="D3441" s="0" t="n">
        <v>0.0227751972775112</v>
      </c>
      <c r="E3441" s="0" t="n">
        <v>0.119892254506127</v>
      </c>
      <c r="F3441" s="0" t="n">
        <v>1</v>
      </c>
      <c r="G3441" s="0" t="n">
        <v>2021</v>
      </c>
    </row>
    <row r="3442" customFormat="false" ht="15" hidden="false" customHeight="false" outlineLevel="0" collapsed="false">
      <c r="A3442" s="0" t="s">
        <v>260</v>
      </c>
      <c r="B3442" s="52" t="n">
        <v>44479</v>
      </c>
      <c r="C3442" s="54" t="s">
        <v>591</v>
      </c>
      <c r="D3442" s="0" t="n">
        <v>0.0932401824444087</v>
      </c>
      <c r="E3442" s="0" t="n">
        <v>0.0555011567601121</v>
      </c>
      <c r="F3442" s="0" t="n">
        <v>1</v>
      </c>
      <c r="G3442" s="0" t="n">
        <v>2021</v>
      </c>
    </row>
    <row r="3443" customFormat="false" ht="15" hidden="false" customHeight="false" outlineLevel="0" collapsed="false">
      <c r="A3443" s="0" t="s">
        <v>260</v>
      </c>
      <c r="B3443" s="52" t="n">
        <v>44479</v>
      </c>
      <c r="C3443" s="54" t="s">
        <v>592</v>
      </c>
      <c r="D3443" s="0" t="n">
        <v>0.984578305869595</v>
      </c>
      <c r="E3443" s="0" t="n">
        <v>0</v>
      </c>
      <c r="F3443" s="0" t="n">
        <v>1</v>
      </c>
      <c r="G3443" s="0" t="n">
        <v>2021</v>
      </c>
    </row>
    <row r="3444" customFormat="false" ht="15" hidden="false" customHeight="false" outlineLevel="0" collapsed="false">
      <c r="A3444" s="0" t="s">
        <v>260</v>
      </c>
      <c r="B3444" s="52" t="n">
        <v>44480</v>
      </c>
      <c r="C3444" s="54" t="s">
        <v>590</v>
      </c>
      <c r="D3444" s="0" t="n">
        <v>0.0307954636670061</v>
      </c>
      <c r="E3444" s="0" t="n">
        <v>0.0545602309700125</v>
      </c>
      <c r="F3444" s="0" t="n">
        <v>0</v>
      </c>
      <c r="G3444" s="0" t="n">
        <v>2021</v>
      </c>
    </row>
    <row r="3445" customFormat="false" ht="15" hidden="false" customHeight="false" outlineLevel="0" collapsed="false">
      <c r="A3445" s="0" t="s">
        <v>260</v>
      </c>
      <c r="B3445" s="52" t="n">
        <v>44480</v>
      </c>
      <c r="C3445" s="54" t="s">
        <v>591</v>
      </c>
      <c r="D3445" s="0" t="n">
        <v>0.0909111037090004</v>
      </c>
      <c r="E3445" s="0" t="n">
        <v>0.0403204545969447</v>
      </c>
      <c r="F3445" s="0" t="n">
        <v>0</v>
      </c>
      <c r="G3445" s="0" t="n">
        <v>2021</v>
      </c>
    </row>
    <row r="3446" customFormat="false" ht="15" hidden="false" customHeight="false" outlineLevel="0" collapsed="false">
      <c r="A3446" s="0" t="s">
        <v>260</v>
      </c>
      <c r="B3446" s="52" t="n">
        <v>44480</v>
      </c>
      <c r="C3446" s="54" t="s">
        <v>592</v>
      </c>
      <c r="D3446" s="0" t="n">
        <v>0.997748804307333</v>
      </c>
      <c r="E3446" s="0" t="n">
        <v>0</v>
      </c>
      <c r="F3446" s="0" t="n">
        <v>0</v>
      </c>
      <c r="G3446" s="0" t="n">
        <v>2021</v>
      </c>
    </row>
    <row r="3447" customFormat="false" ht="15" hidden="false" customHeight="false" outlineLevel="0" collapsed="false">
      <c r="A3447" s="0" t="s">
        <v>260</v>
      </c>
      <c r="B3447" s="52" t="n">
        <v>44481</v>
      </c>
      <c r="C3447" s="54" t="s">
        <v>590</v>
      </c>
      <c r="D3447" s="0" t="n">
        <v>0.0111983389138051</v>
      </c>
      <c r="E3447" s="0" t="n">
        <v>0.0886802978612864</v>
      </c>
      <c r="F3447" s="0" t="n">
        <v>0</v>
      </c>
      <c r="G3447" s="0" t="n">
        <v>2021</v>
      </c>
    </row>
    <row r="3448" customFormat="false" ht="15" hidden="false" customHeight="false" outlineLevel="0" collapsed="false">
      <c r="A3448" s="0" t="s">
        <v>260</v>
      </c>
      <c r="B3448" s="52" t="n">
        <v>44481</v>
      </c>
      <c r="C3448" s="54" t="s">
        <v>591</v>
      </c>
      <c r="D3448" s="0" t="n">
        <v>0.161520556988788</v>
      </c>
      <c r="E3448" s="0" t="n">
        <v>0.0885891710408633</v>
      </c>
      <c r="F3448" s="0" t="n">
        <v>0</v>
      </c>
      <c r="G3448" s="0" t="n">
        <v>2021</v>
      </c>
    </row>
    <row r="3449" customFormat="false" ht="15" hidden="false" customHeight="false" outlineLevel="0" collapsed="false">
      <c r="A3449" s="0" t="s">
        <v>260</v>
      </c>
      <c r="B3449" s="52" t="n">
        <v>44481</v>
      </c>
      <c r="C3449" s="54" t="s">
        <v>592</v>
      </c>
      <c r="D3449" s="0" t="n">
        <v>1</v>
      </c>
      <c r="E3449" s="0" t="n">
        <v>0</v>
      </c>
      <c r="F3449" s="0" t="n">
        <v>0</v>
      </c>
      <c r="G3449" s="0" t="n">
        <v>2021</v>
      </c>
    </row>
    <row r="3450" customFormat="false" ht="15" hidden="false" customHeight="false" outlineLevel="0" collapsed="false">
      <c r="A3450" s="0" t="s">
        <v>260</v>
      </c>
      <c r="B3450" s="52" t="n">
        <v>44482</v>
      </c>
      <c r="C3450" s="54" t="s">
        <v>590</v>
      </c>
      <c r="D3450" s="0" t="n">
        <v>0.0178083876679525</v>
      </c>
      <c r="E3450" s="0" t="n">
        <v>0.133586236482542</v>
      </c>
      <c r="F3450" s="0" t="n">
        <v>0</v>
      </c>
      <c r="G3450" s="0" t="n">
        <v>2021</v>
      </c>
    </row>
    <row r="3451" customFormat="false" ht="15" hidden="false" customHeight="false" outlineLevel="0" collapsed="false">
      <c r="A3451" s="0" t="s">
        <v>260</v>
      </c>
      <c r="B3451" s="52" t="n">
        <v>44482</v>
      </c>
      <c r="C3451" s="54" t="s">
        <v>591</v>
      </c>
      <c r="D3451" s="0" t="n">
        <v>0.0030559241249556</v>
      </c>
      <c r="E3451" s="0" t="n">
        <v>0.111245849356446</v>
      </c>
      <c r="F3451" s="0" t="n">
        <v>0</v>
      </c>
      <c r="G3451" s="0" t="n">
        <v>2021</v>
      </c>
    </row>
    <row r="3452" customFormat="false" ht="15" hidden="false" customHeight="false" outlineLevel="0" collapsed="false">
      <c r="A3452" s="0" t="s">
        <v>260</v>
      </c>
      <c r="B3452" s="52" t="n">
        <v>44482</v>
      </c>
      <c r="C3452" s="54" t="s">
        <v>592</v>
      </c>
      <c r="D3452" s="0" t="n">
        <v>0.998327579382249</v>
      </c>
      <c r="E3452" s="0" t="n">
        <v>0</v>
      </c>
      <c r="F3452" s="0" t="n">
        <v>0</v>
      </c>
      <c r="G3452" s="0" t="n">
        <v>2021</v>
      </c>
    </row>
    <row r="3453" customFormat="false" ht="15" hidden="false" customHeight="false" outlineLevel="0" collapsed="false">
      <c r="A3453" s="0" t="s">
        <v>260</v>
      </c>
      <c r="B3453" s="52" t="n">
        <v>44483</v>
      </c>
      <c r="C3453" s="54" t="s">
        <v>590</v>
      </c>
      <c r="D3453" s="0" t="n">
        <v>0.0277409663990785</v>
      </c>
      <c r="E3453" s="0" t="n">
        <v>0.0839451409675079</v>
      </c>
      <c r="F3453" s="0" t="n">
        <v>0</v>
      </c>
      <c r="G3453" s="0" t="n">
        <v>2021</v>
      </c>
    </row>
    <row r="3454" customFormat="false" ht="15" hidden="false" customHeight="false" outlineLevel="0" collapsed="false">
      <c r="A3454" s="0" t="s">
        <v>260</v>
      </c>
      <c r="B3454" s="52" t="n">
        <v>44483</v>
      </c>
      <c r="C3454" s="54" t="s">
        <v>591</v>
      </c>
      <c r="D3454" s="0" t="n">
        <v>0.410346121977516</v>
      </c>
      <c r="E3454" s="0" t="n">
        <v>0.0773502583645005</v>
      </c>
      <c r="F3454" s="0" t="n">
        <v>0</v>
      </c>
      <c r="G3454" s="0" t="n">
        <v>2021</v>
      </c>
    </row>
    <row r="3455" customFormat="false" ht="15" hidden="false" customHeight="false" outlineLevel="0" collapsed="false">
      <c r="A3455" s="0" t="s">
        <v>260</v>
      </c>
      <c r="B3455" s="52" t="n">
        <v>44483</v>
      </c>
      <c r="C3455" s="54" t="s">
        <v>592</v>
      </c>
      <c r="D3455" s="0" t="n">
        <v>1</v>
      </c>
      <c r="E3455" s="0" t="n">
        <v>0</v>
      </c>
      <c r="F3455" s="0" t="n">
        <v>0</v>
      </c>
      <c r="G3455" s="0" t="n">
        <v>2021</v>
      </c>
    </row>
    <row r="3456" customFormat="false" ht="15" hidden="false" customHeight="false" outlineLevel="0" collapsed="false">
      <c r="A3456" s="0" t="s">
        <v>260</v>
      </c>
      <c r="B3456" s="52" t="n">
        <v>44484</v>
      </c>
      <c r="C3456" s="54" t="s">
        <v>590</v>
      </c>
      <c r="D3456" s="0" t="n">
        <v>0.0130261803066663</v>
      </c>
      <c r="E3456" s="0" t="n">
        <v>0.0980888009646189</v>
      </c>
      <c r="F3456" s="0" t="n">
        <v>0</v>
      </c>
      <c r="G3456" s="0" t="n">
        <v>2021</v>
      </c>
    </row>
    <row r="3457" customFormat="false" ht="15" hidden="false" customHeight="false" outlineLevel="0" collapsed="false">
      <c r="A3457" s="0" t="s">
        <v>260</v>
      </c>
      <c r="B3457" s="52" t="n">
        <v>44484</v>
      </c>
      <c r="C3457" s="54" t="s">
        <v>591</v>
      </c>
      <c r="D3457" s="0" t="n">
        <v>0.0320786924666151</v>
      </c>
      <c r="E3457" s="0" t="n">
        <v>0.0742587349862697</v>
      </c>
      <c r="F3457" s="0" t="n">
        <v>0</v>
      </c>
      <c r="G3457" s="0" t="n">
        <v>2021</v>
      </c>
    </row>
    <row r="3458" customFormat="false" ht="15" hidden="false" customHeight="false" outlineLevel="0" collapsed="false">
      <c r="A3458" s="0" t="s">
        <v>260</v>
      </c>
      <c r="B3458" s="52" t="n">
        <v>44484</v>
      </c>
      <c r="C3458" s="54" t="s">
        <v>592</v>
      </c>
      <c r="D3458" s="0" t="n">
        <v>1</v>
      </c>
      <c r="E3458" s="0" t="n">
        <v>0</v>
      </c>
      <c r="F3458" s="0" t="n">
        <v>0</v>
      </c>
      <c r="G3458" s="0" t="n">
        <v>2021</v>
      </c>
    </row>
    <row r="3459" customFormat="false" ht="15" hidden="false" customHeight="false" outlineLevel="0" collapsed="false">
      <c r="A3459" s="0" t="s">
        <v>260</v>
      </c>
      <c r="B3459" s="52" t="n">
        <v>44485</v>
      </c>
      <c r="C3459" s="54" t="s">
        <v>590</v>
      </c>
      <c r="D3459" s="0" t="n">
        <v>0.365739416177242</v>
      </c>
      <c r="E3459" s="0" t="n">
        <v>0.0078320864040577</v>
      </c>
      <c r="F3459" s="0" t="n">
        <v>1</v>
      </c>
      <c r="G3459" s="0" t="n">
        <v>2021</v>
      </c>
    </row>
    <row r="3460" customFormat="false" ht="15" hidden="false" customHeight="false" outlineLevel="0" collapsed="false">
      <c r="A3460" s="0" t="s">
        <v>260</v>
      </c>
      <c r="B3460" s="52" t="n">
        <v>44485</v>
      </c>
      <c r="C3460" s="54" t="s">
        <v>591</v>
      </c>
      <c r="D3460" s="0" t="n">
        <v>0.588990070767699</v>
      </c>
      <c r="E3460" s="0" t="n">
        <v>0.0240091192949228</v>
      </c>
      <c r="F3460" s="0" t="n">
        <v>1</v>
      </c>
      <c r="G3460" s="0" t="n">
        <v>2021</v>
      </c>
    </row>
    <row r="3461" customFormat="false" ht="15" hidden="false" customHeight="false" outlineLevel="0" collapsed="false">
      <c r="A3461" s="0" t="s">
        <v>260</v>
      </c>
      <c r="B3461" s="52" t="n">
        <v>44485</v>
      </c>
      <c r="C3461" s="54" t="s">
        <v>592</v>
      </c>
      <c r="D3461" s="0" t="n">
        <v>0.536919110102158</v>
      </c>
      <c r="E3461" s="0" t="n">
        <v>0.0625589420071783</v>
      </c>
      <c r="F3461" s="0" t="n">
        <v>1</v>
      </c>
      <c r="G3461" s="0" t="n">
        <v>2021</v>
      </c>
    </row>
    <row r="3462" customFormat="false" ht="15" hidden="false" customHeight="false" outlineLevel="0" collapsed="false">
      <c r="A3462" s="0" t="s">
        <v>260</v>
      </c>
      <c r="B3462" s="52" t="n">
        <v>44486</v>
      </c>
      <c r="C3462" s="54" t="s">
        <v>590</v>
      </c>
      <c r="D3462" s="0" t="n">
        <v>0.0130544145735119</v>
      </c>
      <c r="E3462" s="0" t="n">
        <v>0.125288631214289</v>
      </c>
      <c r="F3462" s="0" t="n">
        <v>1</v>
      </c>
      <c r="G3462" s="0" t="n">
        <v>2021</v>
      </c>
    </row>
    <row r="3463" customFormat="false" ht="15" hidden="false" customHeight="false" outlineLevel="0" collapsed="false">
      <c r="A3463" s="0" t="s">
        <v>260</v>
      </c>
      <c r="B3463" s="52" t="n">
        <v>44486</v>
      </c>
      <c r="C3463" s="54" t="s">
        <v>591</v>
      </c>
      <c r="D3463" s="0" t="n">
        <v>0.0049069025387302</v>
      </c>
      <c r="E3463" s="0" t="n">
        <v>0.0343131603148246</v>
      </c>
      <c r="F3463" s="0" t="n">
        <v>1</v>
      </c>
      <c r="G3463" s="0" t="n">
        <v>2021</v>
      </c>
    </row>
    <row r="3464" customFormat="false" ht="15" hidden="false" customHeight="false" outlineLevel="0" collapsed="false">
      <c r="A3464" s="0" t="s">
        <v>260</v>
      </c>
      <c r="B3464" s="52" t="n">
        <v>44486</v>
      </c>
      <c r="C3464" s="54" t="s">
        <v>592</v>
      </c>
      <c r="D3464" s="0" t="n">
        <v>0.978359789620962</v>
      </c>
      <c r="E3464" s="0" t="n">
        <v>0.0216402103790382</v>
      </c>
      <c r="F3464" s="0" t="n">
        <v>1</v>
      </c>
      <c r="G3464" s="0" t="n">
        <v>2021</v>
      </c>
    </row>
    <row r="3465" customFormat="false" ht="15" hidden="false" customHeight="false" outlineLevel="0" collapsed="false">
      <c r="A3465" s="0" t="s">
        <v>260</v>
      </c>
      <c r="B3465" s="52" t="n">
        <v>44487</v>
      </c>
      <c r="C3465" s="54" t="s">
        <v>590</v>
      </c>
      <c r="D3465" s="0" t="n">
        <v>0.0261647186890288</v>
      </c>
      <c r="E3465" s="0" t="n">
        <v>0.177940477708165</v>
      </c>
      <c r="F3465" s="0" t="n">
        <v>0</v>
      </c>
      <c r="G3465" s="0" t="n">
        <v>2021</v>
      </c>
    </row>
    <row r="3466" customFormat="false" ht="15" hidden="false" customHeight="false" outlineLevel="0" collapsed="false">
      <c r="A3466" s="0" t="s">
        <v>260</v>
      </c>
      <c r="B3466" s="52" t="n">
        <v>44487</v>
      </c>
      <c r="C3466" s="54" t="s">
        <v>591</v>
      </c>
      <c r="D3466" s="0" t="n">
        <v>0.0076518635914924</v>
      </c>
      <c r="E3466" s="0" t="n">
        <v>0.0760124736698061</v>
      </c>
      <c r="F3466" s="0" t="n">
        <v>0</v>
      </c>
      <c r="G3466" s="0" t="n">
        <v>2021</v>
      </c>
    </row>
    <row r="3467" customFormat="false" ht="15" hidden="false" customHeight="false" outlineLevel="0" collapsed="false">
      <c r="A3467" s="0" t="s">
        <v>260</v>
      </c>
      <c r="B3467" s="52" t="n">
        <v>44487</v>
      </c>
      <c r="C3467" s="54" t="s">
        <v>592</v>
      </c>
      <c r="D3467" s="0" t="n">
        <v>0.824689561575643</v>
      </c>
      <c r="E3467" s="0" t="n">
        <v>0.0411927469237938</v>
      </c>
      <c r="F3467" s="0" t="n">
        <v>0</v>
      </c>
      <c r="G3467" s="0" t="n">
        <v>2021</v>
      </c>
    </row>
    <row r="3468" customFormat="false" ht="15" hidden="false" customHeight="false" outlineLevel="0" collapsed="false">
      <c r="A3468" s="0" t="s">
        <v>260</v>
      </c>
      <c r="B3468" s="52" t="n">
        <v>44488</v>
      </c>
      <c r="C3468" s="54" t="s">
        <v>590</v>
      </c>
      <c r="D3468" s="0" t="n">
        <v>0.0189179112830207</v>
      </c>
      <c r="E3468" s="0" t="n">
        <v>0.0393270851006512</v>
      </c>
      <c r="F3468" s="0" t="n">
        <v>0</v>
      </c>
      <c r="G3468" s="0" t="n">
        <v>2021</v>
      </c>
    </row>
    <row r="3469" customFormat="false" ht="15" hidden="false" customHeight="false" outlineLevel="0" collapsed="false">
      <c r="A3469" s="0" t="s">
        <v>260</v>
      </c>
      <c r="B3469" s="52" t="n">
        <v>44488</v>
      </c>
      <c r="C3469" s="54" t="s">
        <v>591</v>
      </c>
      <c r="D3469" s="0" t="n">
        <v>0.0047788916045134</v>
      </c>
      <c r="E3469" s="0" t="n">
        <v>0.136991854528526</v>
      </c>
      <c r="F3469" s="0" t="n">
        <v>0</v>
      </c>
      <c r="G3469" s="0" t="n">
        <v>2021</v>
      </c>
    </row>
    <row r="3470" customFormat="false" ht="15" hidden="false" customHeight="false" outlineLevel="0" collapsed="false">
      <c r="A3470" s="0" t="s">
        <v>260</v>
      </c>
      <c r="B3470" s="52" t="n">
        <v>44488</v>
      </c>
      <c r="C3470" s="54" t="s">
        <v>592</v>
      </c>
      <c r="D3470" s="0" t="n">
        <v>0.732205694879413</v>
      </c>
      <c r="E3470" s="0" t="n">
        <v>0.0051067858923338</v>
      </c>
      <c r="F3470" s="0" t="n">
        <v>0</v>
      </c>
      <c r="G3470" s="0" t="n">
        <v>2021</v>
      </c>
    </row>
    <row r="3471" customFormat="false" ht="15" hidden="false" customHeight="false" outlineLevel="0" collapsed="false">
      <c r="A3471" s="0" t="s">
        <v>260</v>
      </c>
      <c r="B3471" s="52" t="n">
        <v>44489</v>
      </c>
      <c r="C3471" s="54" t="s">
        <v>590</v>
      </c>
      <c r="D3471" s="0" t="n">
        <v>0.0258550526650252</v>
      </c>
      <c r="E3471" s="0" t="n">
        <v>0.0985019763898021</v>
      </c>
      <c r="F3471" s="0" t="n">
        <v>0</v>
      </c>
      <c r="G3471" s="0" t="n">
        <v>2021</v>
      </c>
    </row>
    <row r="3472" customFormat="false" ht="15" hidden="false" customHeight="false" outlineLevel="0" collapsed="false">
      <c r="A3472" s="0" t="s">
        <v>260</v>
      </c>
      <c r="B3472" s="52" t="n">
        <v>44489</v>
      </c>
      <c r="C3472" s="54" t="s">
        <v>591</v>
      </c>
      <c r="D3472" s="0" t="n">
        <v>0</v>
      </c>
      <c r="E3472" s="0" t="n">
        <v>0.0574808945463096</v>
      </c>
      <c r="F3472" s="0" t="n">
        <v>0</v>
      </c>
      <c r="G3472" s="0" t="n">
        <v>2021</v>
      </c>
    </row>
    <row r="3473" customFormat="false" ht="15" hidden="false" customHeight="false" outlineLevel="0" collapsed="false">
      <c r="A3473" s="0" t="s">
        <v>260</v>
      </c>
      <c r="B3473" s="52" t="n">
        <v>44489</v>
      </c>
      <c r="C3473" s="54" t="s">
        <v>592</v>
      </c>
      <c r="D3473" s="0" t="n">
        <v>0.779870416939313</v>
      </c>
      <c r="E3473" s="0" t="n">
        <v>0.0553372535467425</v>
      </c>
      <c r="F3473" s="0" t="n">
        <v>0</v>
      </c>
      <c r="G3473" s="0" t="n">
        <v>2021</v>
      </c>
    </row>
    <row r="3474" customFormat="false" ht="15" hidden="false" customHeight="false" outlineLevel="0" collapsed="false">
      <c r="A3474" s="0" t="s">
        <v>260</v>
      </c>
      <c r="B3474" s="52" t="n">
        <v>44490</v>
      </c>
      <c r="C3474" s="54" t="s">
        <v>590</v>
      </c>
      <c r="D3474" s="0" t="n">
        <v>0.0430772152408535</v>
      </c>
      <c r="E3474" s="0" t="n">
        <v>0.0240093036573474</v>
      </c>
      <c r="F3474" s="0" t="n">
        <v>0</v>
      </c>
      <c r="G3474" s="0" t="n">
        <v>2021</v>
      </c>
    </row>
    <row r="3475" customFormat="false" ht="15" hidden="false" customHeight="false" outlineLevel="0" collapsed="false">
      <c r="A3475" s="0" t="s">
        <v>260</v>
      </c>
      <c r="B3475" s="52" t="n">
        <v>44490</v>
      </c>
      <c r="C3475" s="54" t="s">
        <v>591</v>
      </c>
      <c r="D3475" s="0" t="n">
        <v>0.0050564363476238</v>
      </c>
      <c r="E3475" s="0" t="n">
        <v>0.0493858879080233</v>
      </c>
      <c r="F3475" s="0" t="n">
        <v>0</v>
      </c>
      <c r="G3475" s="0" t="n">
        <v>2021</v>
      </c>
    </row>
    <row r="3476" customFormat="false" ht="15" hidden="false" customHeight="false" outlineLevel="0" collapsed="false">
      <c r="A3476" s="0" t="s">
        <v>260</v>
      </c>
      <c r="B3476" s="52" t="n">
        <v>44490</v>
      </c>
      <c r="C3476" s="54" t="s">
        <v>592</v>
      </c>
      <c r="D3476" s="0" t="n">
        <v>0.978437608771597</v>
      </c>
      <c r="E3476" s="0" t="n">
        <v>0.0109368290817106</v>
      </c>
      <c r="F3476" s="0" t="n">
        <v>0</v>
      </c>
      <c r="G3476" s="0" t="n">
        <v>2021</v>
      </c>
    </row>
    <row r="3477" customFormat="false" ht="15" hidden="false" customHeight="false" outlineLevel="0" collapsed="false">
      <c r="A3477" s="0" t="s">
        <v>260</v>
      </c>
      <c r="B3477" s="52" t="n">
        <v>44491</v>
      </c>
      <c r="C3477" s="54" t="s">
        <v>590</v>
      </c>
      <c r="D3477" s="0" t="n">
        <v>0.0157393872250041</v>
      </c>
      <c r="E3477" s="0" t="n">
        <v>0.0481757392259133</v>
      </c>
      <c r="F3477" s="0" t="n">
        <v>0</v>
      </c>
      <c r="G3477" s="0" t="n">
        <v>2021</v>
      </c>
    </row>
    <row r="3478" customFormat="false" ht="15" hidden="false" customHeight="false" outlineLevel="0" collapsed="false">
      <c r="A3478" s="0" t="s">
        <v>260</v>
      </c>
      <c r="B3478" s="52" t="n">
        <v>44491</v>
      </c>
      <c r="C3478" s="54" t="s">
        <v>591</v>
      </c>
      <c r="D3478" s="0" t="n">
        <v>0.0716688024879668</v>
      </c>
      <c r="E3478" s="0" t="n">
        <v>0.0864980741452457</v>
      </c>
      <c r="F3478" s="0" t="n">
        <v>0</v>
      </c>
      <c r="G3478" s="0" t="n">
        <v>2021</v>
      </c>
    </row>
    <row r="3479" customFormat="false" ht="15" hidden="false" customHeight="false" outlineLevel="0" collapsed="false">
      <c r="A3479" s="0" t="s">
        <v>260</v>
      </c>
      <c r="B3479" s="52" t="n">
        <v>44491</v>
      </c>
      <c r="C3479" s="54" t="s">
        <v>592</v>
      </c>
      <c r="D3479" s="0" t="n">
        <v>1</v>
      </c>
      <c r="E3479" s="0" t="n">
        <v>0</v>
      </c>
      <c r="F3479" s="0" t="n">
        <v>0</v>
      </c>
      <c r="G3479" s="0" t="n">
        <v>2021</v>
      </c>
    </row>
    <row r="3480" customFormat="false" ht="15" hidden="false" customHeight="false" outlineLevel="0" collapsed="false">
      <c r="A3480" s="0" t="s">
        <v>260</v>
      </c>
      <c r="B3480" s="52" t="n">
        <v>44492</v>
      </c>
      <c r="C3480" s="54" t="s">
        <v>590</v>
      </c>
      <c r="D3480" s="0" t="n">
        <v>0.0128732526846551</v>
      </c>
      <c r="E3480" s="0" t="n">
        <v>0.0492918632781302</v>
      </c>
      <c r="F3480" s="0" t="n">
        <v>1</v>
      </c>
      <c r="G3480" s="0" t="n">
        <v>2021</v>
      </c>
    </row>
    <row r="3481" customFormat="false" ht="15" hidden="false" customHeight="false" outlineLevel="0" collapsed="false">
      <c r="A3481" s="0" t="s">
        <v>260</v>
      </c>
      <c r="B3481" s="52" t="n">
        <v>44492</v>
      </c>
      <c r="C3481" s="54" t="s">
        <v>591</v>
      </c>
      <c r="D3481" s="0" t="n">
        <v>0.0249285219975707</v>
      </c>
      <c r="E3481" s="0" t="n">
        <v>0.0914439762415021</v>
      </c>
      <c r="F3481" s="0" t="n">
        <v>1</v>
      </c>
      <c r="G3481" s="0" t="n">
        <v>2021</v>
      </c>
    </row>
    <row r="3482" customFormat="false" ht="15" hidden="false" customHeight="false" outlineLevel="0" collapsed="false">
      <c r="A3482" s="0" t="s">
        <v>260</v>
      </c>
      <c r="B3482" s="52" t="n">
        <v>44492</v>
      </c>
      <c r="C3482" s="54" t="s">
        <v>592</v>
      </c>
      <c r="D3482" s="0" t="n">
        <v>1</v>
      </c>
      <c r="E3482" s="0" t="n">
        <v>0</v>
      </c>
      <c r="F3482" s="0" t="n">
        <v>1</v>
      </c>
      <c r="G3482" s="0" t="n">
        <v>2021</v>
      </c>
    </row>
    <row r="3483" customFormat="false" ht="15" hidden="false" customHeight="false" outlineLevel="0" collapsed="false">
      <c r="A3483" s="0" t="s">
        <v>260</v>
      </c>
      <c r="B3483" s="52" t="n">
        <v>44493</v>
      </c>
      <c r="C3483" s="54" t="s">
        <v>590</v>
      </c>
      <c r="D3483" s="0" t="n">
        <v>0.0236367742354252</v>
      </c>
      <c r="E3483" s="0" t="n">
        <v>0.0791668469696477</v>
      </c>
      <c r="F3483" s="0" t="n">
        <v>1</v>
      </c>
      <c r="G3483" s="0" t="n">
        <v>2021</v>
      </c>
    </row>
    <row r="3484" customFormat="false" ht="15" hidden="false" customHeight="false" outlineLevel="0" collapsed="false">
      <c r="A3484" s="0" t="s">
        <v>260</v>
      </c>
      <c r="B3484" s="52" t="n">
        <v>44493</v>
      </c>
      <c r="C3484" s="54" t="s">
        <v>591</v>
      </c>
      <c r="D3484" s="0" t="n">
        <v>0.162207253076594</v>
      </c>
      <c r="E3484" s="0" t="n">
        <v>0.0377390526211381</v>
      </c>
      <c r="F3484" s="0" t="n">
        <v>1</v>
      </c>
      <c r="G3484" s="0" t="n">
        <v>2021</v>
      </c>
    </row>
    <row r="3485" customFormat="false" ht="15" hidden="false" customHeight="false" outlineLevel="0" collapsed="false">
      <c r="A3485" s="0" t="s">
        <v>260</v>
      </c>
      <c r="B3485" s="52" t="n">
        <v>44493</v>
      </c>
      <c r="C3485" s="54" t="s">
        <v>592</v>
      </c>
      <c r="D3485" s="0" t="n">
        <v>1</v>
      </c>
      <c r="E3485" s="0" t="n">
        <v>0</v>
      </c>
      <c r="F3485" s="0" t="n">
        <v>1</v>
      </c>
      <c r="G3485" s="0" t="n">
        <v>2021</v>
      </c>
    </row>
    <row r="3486" customFormat="false" ht="15" hidden="false" customHeight="false" outlineLevel="0" collapsed="false">
      <c r="A3486" s="0" t="s">
        <v>260</v>
      </c>
      <c r="B3486" s="52" t="n">
        <v>44494</v>
      </c>
      <c r="C3486" s="54" t="s">
        <v>590</v>
      </c>
      <c r="D3486" s="0" t="n">
        <v>0.0416040850798207</v>
      </c>
      <c r="E3486" s="0" t="n">
        <v>0.0393254321275285</v>
      </c>
      <c r="F3486" s="0" t="n">
        <v>0</v>
      </c>
      <c r="G3486" s="0" t="n">
        <v>2021</v>
      </c>
    </row>
    <row r="3487" customFormat="false" ht="15" hidden="false" customHeight="false" outlineLevel="0" collapsed="false">
      <c r="A3487" s="0" t="s">
        <v>260</v>
      </c>
      <c r="B3487" s="52" t="n">
        <v>44494</v>
      </c>
      <c r="C3487" s="54" t="s">
        <v>591</v>
      </c>
      <c r="D3487" s="0" t="n">
        <v>0.0546053298258627</v>
      </c>
      <c r="E3487" s="0" t="n">
        <v>0.0194790526141562</v>
      </c>
      <c r="F3487" s="0" t="n">
        <v>0</v>
      </c>
      <c r="G3487" s="0" t="n">
        <v>2021</v>
      </c>
    </row>
    <row r="3488" customFormat="false" ht="15" hidden="false" customHeight="false" outlineLevel="0" collapsed="false">
      <c r="A3488" s="0" t="s">
        <v>260</v>
      </c>
      <c r="B3488" s="52" t="n">
        <v>44494</v>
      </c>
      <c r="C3488" s="54" t="s">
        <v>592</v>
      </c>
      <c r="D3488" s="0" t="n">
        <v>1</v>
      </c>
      <c r="E3488" s="0" t="n">
        <v>0</v>
      </c>
      <c r="F3488" s="0" t="n">
        <v>0</v>
      </c>
      <c r="G3488" s="0" t="n">
        <v>2021</v>
      </c>
    </row>
    <row r="3489" customFormat="false" ht="15" hidden="false" customHeight="false" outlineLevel="0" collapsed="false">
      <c r="A3489" s="0" t="s">
        <v>260</v>
      </c>
      <c r="B3489" s="52" t="n">
        <v>44495</v>
      </c>
      <c r="C3489" s="54" t="s">
        <v>590</v>
      </c>
      <c r="D3489" s="0" t="n">
        <v>0.0291948877836422</v>
      </c>
      <c r="E3489" s="0" t="n">
        <v>0.0721248510069475</v>
      </c>
      <c r="F3489" s="0" t="n">
        <v>0</v>
      </c>
      <c r="G3489" s="0" t="n">
        <v>2021</v>
      </c>
    </row>
    <row r="3490" customFormat="false" ht="15" hidden="false" customHeight="false" outlineLevel="0" collapsed="false">
      <c r="A3490" s="0" t="s">
        <v>260</v>
      </c>
      <c r="B3490" s="52" t="n">
        <v>44495</v>
      </c>
      <c r="C3490" s="54" t="s">
        <v>591</v>
      </c>
      <c r="D3490" s="0" t="n">
        <v>0.0683447428887925</v>
      </c>
      <c r="E3490" s="0" t="n">
        <v>0.0241322436576412</v>
      </c>
      <c r="F3490" s="0" t="n">
        <v>0</v>
      </c>
      <c r="G3490" s="0" t="n">
        <v>2021</v>
      </c>
    </row>
    <row r="3491" customFormat="false" ht="15" hidden="false" customHeight="false" outlineLevel="0" collapsed="false">
      <c r="A3491" s="0" t="s">
        <v>260</v>
      </c>
      <c r="B3491" s="52" t="n">
        <v>44495</v>
      </c>
      <c r="C3491" s="54" t="s">
        <v>592</v>
      </c>
      <c r="D3491" s="0" t="n">
        <v>1</v>
      </c>
      <c r="E3491" s="0" t="n">
        <v>0</v>
      </c>
      <c r="F3491" s="0" t="n">
        <v>0</v>
      </c>
      <c r="G3491" s="0" t="n">
        <v>2021</v>
      </c>
    </row>
    <row r="3492" customFormat="false" ht="15" hidden="false" customHeight="false" outlineLevel="0" collapsed="false">
      <c r="A3492" s="0" t="s">
        <v>260</v>
      </c>
      <c r="B3492" s="52" t="n">
        <v>44496</v>
      </c>
      <c r="C3492" s="54" t="s">
        <v>590</v>
      </c>
      <c r="D3492" s="0" t="n">
        <v>0.0170539470070975</v>
      </c>
      <c r="E3492" s="0" t="n">
        <v>0.0424990851361934</v>
      </c>
      <c r="F3492" s="0" t="n">
        <v>0</v>
      </c>
      <c r="G3492" s="0" t="n">
        <v>2021</v>
      </c>
    </row>
    <row r="3493" customFormat="false" ht="15" hidden="false" customHeight="false" outlineLevel="0" collapsed="false">
      <c r="A3493" s="0" t="s">
        <v>260</v>
      </c>
      <c r="B3493" s="52" t="n">
        <v>44496</v>
      </c>
      <c r="C3493" s="54" t="s">
        <v>591</v>
      </c>
      <c r="D3493" s="0" t="n">
        <v>0.054822483575359</v>
      </c>
      <c r="E3493" s="0" t="n">
        <v>0.0829807617567251</v>
      </c>
      <c r="F3493" s="0" t="n">
        <v>0</v>
      </c>
      <c r="G3493" s="0" t="n">
        <v>2021</v>
      </c>
    </row>
    <row r="3494" customFormat="false" ht="15" hidden="false" customHeight="false" outlineLevel="0" collapsed="false">
      <c r="A3494" s="0" t="s">
        <v>260</v>
      </c>
      <c r="B3494" s="52" t="n">
        <v>44496</v>
      </c>
      <c r="C3494" s="54" t="s">
        <v>592</v>
      </c>
      <c r="D3494" s="0" t="n">
        <v>1</v>
      </c>
      <c r="E3494" s="0" t="n">
        <v>0</v>
      </c>
      <c r="F3494" s="0" t="n">
        <v>0</v>
      </c>
      <c r="G3494" s="0" t="n">
        <v>2021</v>
      </c>
    </row>
    <row r="3495" customFormat="false" ht="15" hidden="false" customHeight="false" outlineLevel="0" collapsed="false">
      <c r="A3495" s="0" t="s">
        <v>260</v>
      </c>
      <c r="B3495" s="52" t="n">
        <v>44497</v>
      </c>
      <c r="C3495" s="54" t="s">
        <v>590</v>
      </c>
      <c r="D3495" s="0" t="n">
        <v>0.0121776226244679</v>
      </c>
      <c r="E3495" s="0" t="n">
        <v>0.0784451142723807</v>
      </c>
      <c r="F3495" s="0" t="n">
        <v>0</v>
      </c>
      <c r="G3495" s="0" t="n">
        <v>2021</v>
      </c>
    </row>
    <row r="3496" customFormat="false" ht="15" hidden="false" customHeight="false" outlineLevel="0" collapsed="false">
      <c r="A3496" s="0" t="s">
        <v>260</v>
      </c>
      <c r="B3496" s="52" t="n">
        <v>44497</v>
      </c>
      <c r="C3496" s="54" t="s">
        <v>591</v>
      </c>
      <c r="D3496" s="0" t="n">
        <v>0.0223162411187813</v>
      </c>
      <c r="E3496" s="0" t="n">
        <v>0.140403390858981</v>
      </c>
      <c r="F3496" s="0" t="n">
        <v>0</v>
      </c>
      <c r="G3496" s="0" t="n">
        <v>2021</v>
      </c>
    </row>
    <row r="3497" customFormat="false" ht="15" hidden="false" customHeight="false" outlineLevel="0" collapsed="false">
      <c r="A3497" s="0" t="s">
        <v>260</v>
      </c>
      <c r="B3497" s="52" t="n">
        <v>44497</v>
      </c>
      <c r="C3497" s="54" t="s">
        <v>592</v>
      </c>
      <c r="D3497" s="0" t="n">
        <v>0.99281078462376</v>
      </c>
      <c r="E3497" s="0" t="n">
        <v>0</v>
      </c>
      <c r="F3497" s="0" t="n">
        <v>0</v>
      </c>
      <c r="G3497" s="0" t="n">
        <v>2021</v>
      </c>
    </row>
    <row r="3498" customFormat="false" ht="15" hidden="false" customHeight="false" outlineLevel="0" collapsed="false">
      <c r="A3498" s="0" t="s">
        <v>260</v>
      </c>
      <c r="B3498" s="52" t="n">
        <v>44498</v>
      </c>
      <c r="C3498" s="54" t="s">
        <v>590</v>
      </c>
      <c r="D3498" s="0" t="n">
        <v>0.0314199379843475</v>
      </c>
      <c r="E3498" s="0" t="n">
        <v>0.0435853098625974</v>
      </c>
      <c r="F3498" s="0" t="n">
        <v>0</v>
      </c>
      <c r="G3498" s="0" t="n">
        <v>2021</v>
      </c>
    </row>
    <row r="3499" customFormat="false" ht="15" hidden="false" customHeight="false" outlineLevel="0" collapsed="false">
      <c r="A3499" s="0" t="s">
        <v>260</v>
      </c>
      <c r="B3499" s="52" t="n">
        <v>44498</v>
      </c>
      <c r="C3499" s="54" t="s">
        <v>591</v>
      </c>
      <c r="D3499" s="0" t="n">
        <v>0.576715742144912</v>
      </c>
      <c r="E3499" s="0" t="n">
        <v>0.0338065232470074</v>
      </c>
      <c r="F3499" s="0" t="n">
        <v>0</v>
      </c>
      <c r="G3499" s="0" t="n">
        <v>2021</v>
      </c>
    </row>
    <row r="3500" customFormat="false" ht="15" hidden="false" customHeight="false" outlineLevel="0" collapsed="false">
      <c r="A3500" s="0" t="s">
        <v>260</v>
      </c>
      <c r="B3500" s="52" t="n">
        <v>44498</v>
      </c>
      <c r="C3500" s="54" t="s">
        <v>592</v>
      </c>
      <c r="D3500" s="0" t="n">
        <v>1</v>
      </c>
      <c r="E3500" s="0" t="n">
        <v>0</v>
      </c>
      <c r="F3500" s="0" t="n">
        <v>0</v>
      </c>
      <c r="G3500" s="0" t="n">
        <v>2021</v>
      </c>
    </row>
    <row r="3501" customFormat="false" ht="15" hidden="false" customHeight="false" outlineLevel="0" collapsed="false">
      <c r="A3501" s="0" t="s">
        <v>260</v>
      </c>
      <c r="B3501" s="52" t="n">
        <v>44499</v>
      </c>
      <c r="C3501" s="54" t="s">
        <v>590</v>
      </c>
      <c r="D3501" s="0" t="n">
        <v>0.0305486926861669</v>
      </c>
      <c r="E3501" s="0" t="n">
        <v>0.0655173356637835</v>
      </c>
      <c r="F3501" s="0" t="n">
        <v>1</v>
      </c>
      <c r="G3501" s="0" t="n">
        <v>2021</v>
      </c>
    </row>
    <row r="3502" customFormat="false" ht="15" hidden="false" customHeight="false" outlineLevel="0" collapsed="false">
      <c r="A3502" s="0" t="s">
        <v>260</v>
      </c>
      <c r="B3502" s="52" t="n">
        <v>44499</v>
      </c>
      <c r="C3502" s="54" t="s">
        <v>591</v>
      </c>
      <c r="D3502" s="0" t="n">
        <v>0.0655263890734574</v>
      </c>
      <c r="E3502" s="0" t="n">
        <v>0.0741511368340339</v>
      </c>
      <c r="F3502" s="0" t="n">
        <v>1</v>
      </c>
      <c r="G3502" s="0" t="n">
        <v>2021</v>
      </c>
    </row>
    <row r="3503" customFormat="false" ht="15" hidden="false" customHeight="false" outlineLevel="0" collapsed="false">
      <c r="A3503" s="0" t="s">
        <v>260</v>
      </c>
      <c r="B3503" s="52" t="n">
        <v>44499</v>
      </c>
      <c r="C3503" s="54" t="s">
        <v>592</v>
      </c>
      <c r="D3503" s="0" t="n">
        <v>1</v>
      </c>
      <c r="E3503" s="0" t="n">
        <v>0</v>
      </c>
      <c r="F3503" s="0" t="n">
        <v>1</v>
      </c>
      <c r="G3503" s="0" t="n">
        <v>2021</v>
      </c>
    </row>
    <row r="3504" customFormat="false" ht="15" hidden="false" customHeight="false" outlineLevel="0" collapsed="false">
      <c r="A3504" s="0" t="s">
        <v>260</v>
      </c>
      <c r="B3504" s="52" t="n">
        <v>44500</v>
      </c>
      <c r="C3504" s="54" t="s">
        <v>590</v>
      </c>
      <c r="D3504" s="0" t="n">
        <v>0.0326088203933592</v>
      </c>
      <c r="E3504" s="0" t="n">
        <v>0.0365417846044925</v>
      </c>
      <c r="F3504" s="0" t="n">
        <v>1</v>
      </c>
      <c r="G3504" s="0" t="n">
        <v>2021</v>
      </c>
    </row>
    <row r="3505" customFormat="false" ht="15" hidden="false" customHeight="false" outlineLevel="0" collapsed="false">
      <c r="A3505" s="0" t="s">
        <v>260</v>
      </c>
      <c r="B3505" s="52" t="n">
        <v>44500</v>
      </c>
      <c r="C3505" s="54" t="s">
        <v>591</v>
      </c>
      <c r="D3505" s="0" t="n">
        <v>0</v>
      </c>
      <c r="E3505" s="0" t="n">
        <v>0.0135127120464074</v>
      </c>
      <c r="F3505" s="0" t="n">
        <v>1</v>
      </c>
      <c r="G3505" s="0" t="n">
        <v>2021</v>
      </c>
    </row>
    <row r="3506" customFormat="false" ht="15" hidden="false" customHeight="false" outlineLevel="0" collapsed="false">
      <c r="A3506" s="0" t="s">
        <v>260</v>
      </c>
      <c r="B3506" s="52" t="n">
        <v>44500</v>
      </c>
      <c r="C3506" s="54" t="s">
        <v>592</v>
      </c>
      <c r="D3506" s="0" t="n">
        <v>0.725326520558055</v>
      </c>
      <c r="E3506" s="0" t="n">
        <v>0.0406108276479952</v>
      </c>
      <c r="F3506" s="0" t="n">
        <v>1</v>
      </c>
      <c r="G3506" s="0" t="n">
        <v>2021</v>
      </c>
    </row>
    <row r="3507" customFormat="false" ht="15" hidden="false" customHeight="false" outlineLevel="0" collapsed="false">
      <c r="A3507" s="0" t="s">
        <v>260</v>
      </c>
      <c r="B3507" s="52" t="n">
        <v>44501</v>
      </c>
      <c r="C3507" s="54" t="s">
        <v>590</v>
      </c>
      <c r="D3507" s="0" t="n">
        <v>0.0107992439465303</v>
      </c>
      <c r="E3507" s="0" t="n">
        <v>0.113309278992409</v>
      </c>
      <c r="F3507" s="0" t="n">
        <v>0</v>
      </c>
      <c r="G3507" s="0" t="n">
        <v>2021</v>
      </c>
    </row>
    <row r="3508" customFormat="false" ht="15" hidden="false" customHeight="false" outlineLevel="0" collapsed="false">
      <c r="A3508" s="0" t="s">
        <v>260</v>
      </c>
      <c r="B3508" s="52" t="n">
        <v>44501</v>
      </c>
      <c r="C3508" s="54" t="s">
        <v>591</v>
      </c>
      <c r="D3508" s="0" t="n">
        <v>0</v>
      </c>
      <c r="E3508" s="0" t="n">
        <v>0.048722762291645</v>
      </c>
      <c r="F3508" s="0" t="n">
        <v>0</v>
      </c>
      <c r="G3508" s="0" t="n">
        <v>2021</v>
      </c>
    </row>
    <row r="3509" customFormat="false" ht="15" hidden="false" customHeight="false" outlineLevel="0" collapsed="false">
      <c r="A3509" s="0" t="s">
        <v>260</v>
      </c>
      <c r="B3509" s="52" t="n">
        <v>44501</v>
      </c>
      <c r="C3509" s="54" t="s">
        <v>592</v>
      </c>
      <c r="D3509" s="0" t="n">
        <v>0.48912548767941</v>
      </c>
      <c r="E3509" s="0" t="n">
        <v>0.0375677512394806</v>
      </c>
      <c r="F3509" s="0" t="n">
        <v>0</v>
      </c>
      <c r="G3509" s="0" t="n">
        <v>2021</v>
      </c>
    </row>
    <row r="3510" customFormat="false" ht="15" hidden="false" customHeight="false" outlineLevel="0" collapsed="false">
      <c r="A3510" s="0" t="s">
        <v>260</v>
      </c>
      <c r="B3510" s="52" t="n">
        <v>44502</v>
      </c>
      <c r="C3510" s="54" t="s">
        <v>590</v>
      </c>
      <c r="D3510" s="0" t="n">
        <v>0.0120591848020912</v>
      </c>
      <c r="E3510" s="0" t="n">
        <v>0.0540687716376805</v>
      </c>
      <c r="F3510" s="0" t="n">
        <v>0</v>
      </c>
      <c r="G3510" s="0" t="n">
        <v>2021</v>
      </c>
    </row>
    <row r="3511" customFormat="false" ht="15" hidden="false" customHeight="false" outlineLevel="0" collapsed="false">
      <c r="A3511" s="0" t="s">
        <v>260</v>
      </c>
      <c r="B3511" s="52" t="n">
        <v>44502</v>
      </c>
      <c r="C3511" s="54" t="s">
        <v>591</v>
      </c>
      <c r="D3511" s="0" t="n">
        <v>0.0036913522985254</v>
      </c>
      <c r="E3511" s="0" t="n">
        <v>0.0251581945063295</v>
      </c>
      <c r="F3511" s="0" t="n">
        <v>0</v>
      </c>
      <c r="G3511" s="0" t="n">
        <v>2021</v>
      </c>
    </row>
    <row r="3512" customFormat="false" ht="15" hidden="false" customHeight="false" outlineLevel="0" collapsed="false">
      <c r="A3512" s="0" t="s">
        <v>260</v>
      </c>
      <c r="B3512" s="52" t="n">
        <v>44502</v>
      </c>
      <c r="C3512" s="54" t="s">
        <v>592</v>
      </c>
      <c r="D3512" s="0" t="n">
        <v>0.0821692953080297</v>
      </c>
      <c r="E3512" s="0" t="n">
        <v>0.064505611850212</v>
      </c>
      <c r="F3512" s="0" t="n">
        <v>0</v>
      </c>
      <c r="G3512" s="0" t="n">
        <v>2021</v>
      </c>
    </row>
    <row r="3513" customFormat="false" ht="15" hidden="false" customHeight="false" outlineLevel="0" collapsed="false">
      <c r="A3513" s="0" t="s">
        <v>260</v>
      </c>
      <c r="B3513" s="52" t="n">
        <v>44503</v>
      </c>
      <c r="C3513" s="54" t="s">
        <v>590</v>
      </c>
      <c r="D3513" s="0" t="n">
        <v>0.627073746356508</v>
      </c>
      <c r="E3513" s="0" t="n">
        <v>0.0683784528723355</v>
      </c>
      <c r="F3513" s="0" t="n">
        <v>0</v>
      </c>
      <c r="G3513" s="0" t="n">
        <v>2021</v>
      </c>
    </row>
    <row r="3514" customFormat="false" ht="15" hidden="false" customHeight="false" outlineLevel="0" collapsed="false">
      <c r="A3514" s="0" t="s">
        <v>260</v>
      </c>
      <c r="B3514" s="52" t="n">
        <v>44504</v>
      </c>
      <c r="C3514" s="54" t="s">
        <v>590</v>
      </c>
      <c r="D3514" s="0" t="n">
        <v>0.992233459386552</v>
      </c>
      <c r="E3514" s="0" t="n">
        <v>0</v>
      </c>
      <c r="F3514" s="0" t="n">
        <v>0</v>
      </c>
      <c r="G3514" s="0" t="n">
        <v>2021</v>
      </c>
    </row>
    <row r="3515" customFormat="false" ht="15" hidden="false" customHeight="false" outlineLevel="0" collapsed="false">
      <c r="A3515" s="0" t="s">
        <v>260</v>
      </c>
      <c r="B3515" s="52" t="n">
        <v>44505</v>
      </c>
      <c r="C3515" s="54" t="s">
        <v>590</v>
      </c>
      <c r="D3515" s="0" t="n">
        <v>0.23982095086869</v>
      </c>
      <c r="E3515" s="0" t="n">
        <v>0.0385936531834194</v>
      </c>
      <c r="F3515" s="0" t="n">
        <v>0</v>
      </c>
      <c r="G3515" s="0" t="n">
        <v>2021</v>
      </c>
    </row>
    <row r="3516" customFormat="false" ht="15" hidden="false" customHeight="false" outlineLevel="0" collapsed="false">
      <c r="A3516" s="0" t="s">
        <v>260</v>
      </c>
      <c r="B3516" s="52" t="n">
        <v>44505</v>
      </c>
      <c r="C3516" s="54" t="s">
        <v>591</v>
      </c>
      <c r="D3516" s="0" t="n">
        <v>0.137681283121944</v>
      </c>
      <c r="E3516" s="0" t="n">
        <v>0.0978513124965232</v>
      </c>
      <c r="F3516" s="0" t="n">
        <v>0</v>
      </c>
      <c r="G3516" s="0" t="n">
        <v>2021</v>
      </c>
    </row>
    <row r="3517" customFormat="false" ht="15" hidden="false" customHeight="false" outlineLevel="0" collapsed="false">
      <c r="A3517" s="0" t="s">
        <v>260</v>
      </c>
      <c r="B3517" s="52" t="n">
        <v>44505</v>
      </c>
      <c r="C3517" s="54" t="s">
        <v>592</v>
      </c>
      <c r="D3517" s="0" t="n">
        <v>1</v>
      </c>
      <c r="E3517" s="0" t="n">
        <v>0</v>
      </c>
      <c r="F3517" s="0" t="n">
        <v>0</v>
      </c>
      <c r="G3517" s="0" t="n">
        <v>2021</v>
      </c>
    </row>
    <row r="3518" customFormat="false" ht="15" hidden="false" customHeight="false" outlineLevel="0" collapsed="false">
      <c r="A3518" s="0" t="s">
        <v>260</v>
      </c>
      <c r="B3518" s="52" t="n">
        <v>44506</v>
      </c>
      <c r="C3518" s="54" t="s">
        <v>590</v>
      </c>
      <c r="D3518" s="0" t="n">
        <v>0.0322500424876871</v>
      </c>
      <c r="E3518" s="0" t="n">
        <v>0.0823624096159972</v>
      </c>
      <c r="F3518" s="0" t="n">
        <v>1</v>
      </c>
      <c r="G3518" s="0" t="n">
        <v>2021</v>
      </c>
    </row>
    <row r="3519" customFormat="false" ht="15" hidden="false" customHeight="false" outlineLevel="0" collapsed="false">
      <c r="A3519" s="0" t="s">
        <v>260</v>
      </c>
      <c r="B3519" s="52" t="n">
        <v>44506</v>
      </c>
      <c r="C3519" s="54" t="s">
        <v>591</v>
      </c>
      <c r="D3519" s="0" t="n">
        <v>0.0665252541881827</v>
      </c>
      <c r="E3519" s="0" t="n">
        <v>0.0773146462166628</v>
      </c>
      <c r="F3519" s="0" t="n">
        <v>1</v>
      </c>
      <c r="G3519" s="0" t="n">
        <v>2021</v>
      </c>
    </row>
    <row r="3520" customFormat="false" ht="15" hidden="false" customHeight="false" outlineLevel="0" collapsed="false">
      <c r="A3520" s="0" t="s">
        <v>260</v>
      </c>
      <c r="B3520" s="52" t="n">
        <v>44506</v>
      </c>
      <c r="C3520" s="54" t="s">
        <v>592</v>
      </c>
      <c r="D3520" s="0" t="n">
        <v>1</v>
      </c>
      <c r="E3520" s="0" t="n">
        <v>0</v>
      </c>
      <c r="F3520" s="0" t="n">
        <v>1</v>
      </c>
      <c r="G3520" s="0" t="n">
        <v>2021</v>
      </c>
    </row>
    <row r="3521" customFormat="false" ht="15" hidden="false" customHeight="false" outlineLevel="0" collapsed="false">
      <c r="A3521" s="0" t="s">
        <v>260</v>
      </c>
      <c r="B3521" s="52" t="n">
        <v>44507</v>
      </c>
      <c r="C3521" s="54" t="s">
        <v>590</v>
      </c>
      <c r="D3521" s="0" t="n">
        <v>0.0473556705660078</v>
      </c>
      <c r="E3521" s="0" t="n">
        <v>0.143844370316775</v>
      </c>
      <c r="F3521" s="0" t="n">
        <v>1</v>
      </c>
      <c r="G3521" s="0" t="n">
        <v>2021</v>
      </c>
    </row>
    <row r="3522" customFormat="false" ht="15" hidden="false" customHeight="false" outlineLevel="0" collapsed="false">
      <c r="A3522" s="0" t="s">
        <v>260</v>
      </c>
      <c r="B3522" s="52" t="n">
        <v>44507</v>
      </c>
      <c r="C3522" s="54" t="s">
        <v>591</v>
      </c>
      <c r="D3522" s="0" t="n">
        <v>0.0523455928392518</v>
      </c>
      <c r="E3522" s="0" t="n">
        <v>0.125676863784065</v>
      </c>
      <c r="F3522" s="0" t="n">
        <v>1</v>
      </c>
      <c r="G3522" s="0" t="n">
        <v>2021</v>
      </c>
    </row>
    <row r="3523" customFormat="false" ht="15" hidden="false" customHeight="false" outlineLevel="0" collapsed="false">
      <c r="A3523" s="0" t="s">
        <v>260</v>
      </c>
      <c r="B3523" s="52" t="n">
        <v>44507</v>
      </c>
      <c r="C3523" s="54" t="s">
        <v>592</v>
      </c>
      <c r="D3523" s="0" t="n">
        <v>0.986071459026989</v>
      </c>
      <c r="E3523" s="0" t="n">
        <v>0.0038106777840038</v>
      </c>
      <c r="F3523" s="0" t="n">
        <v>1</v>
      </c>
      <c r="G3523" s="0" t="n">
        <v>2021</v>
      </c>
    </row>
    <row r="3524" customFormat="false" ht="15" hidden="false" customHeight="false" outlineLevel="0" collapsed="false">
      <c r="A3524" s="0" t="s">
        <v>260</v>
      </c>
      <c r="B3524" s="52" t="n">
        <v>44508</v>
      </c>
      <c r="C3524" s="54" t="s">
        <v>590</v>
      </c>
      <c r="D3524" s="0" t="n">
        <v>0.0277310438947665</v>
      </c>
      <c r="E3524" s="0" t="n">
        <v>0.0677926448782331</v>
      </c>
      <c r="F3524" s="0" t="n">
        <v>0</v>
      </c>
      <c r="G3524" s="0" t="n">
        <v>2021</v>
      </c>
    </row>
    <row r="3525" customFormat="false" ht="15" hidden="false" customHeight="false" outlineLevel="0" collapsed="false">
      <c r="A3525" s="0" t="s">
        <v>260</v>
      </c>
      <c r="B3525" s="52" t="n">
        <v>44508</v>
      </c>
      <c r="C3525" s="54" t="s">
        <v>591</v>
      </c>
      <c r="D3525" s="0" t="n">
        <v>0.115298094391219</v>
      </c>
      <c r="E3525" s="0" t="n">
        <v>0.0468590098752168</v>
      </c>
      <c r="F3525" s="0" t="n">
        <v>0</v>
      </c>
      <c r="G3525" s="0" t="n">
        <v>2021</v>
      </c>
    </row>
    <row r="3526" customFormat="false" ht="15" hidden="false" customHeight="false" outlineLevel="0" collapsed="false">
      <c r="A3526" s="0" t="s">
        <v>260</v>
      </c>
      <c r="B3526" s="52" t="n">
        <v>44508</v>
      </c>
      <c r="C3526" s="54" t="s">
        <v>592</v>
      </c>
      <c r="D3526" s="0" t="n">
        <v>1</v>
      </c>
      <c r="E3526" s="0" t="n">
        <v>0</v>
      </c>
      <c r="F3526" s="0" t="n">
        <v>0</v>
      </c>
      <c r="G3526" s="0" t="n">
        <v>2021</v>
      </c>
    </row>
    <row r="3527" customFormat="false" ht="15" hidden="false" customHeight="false" outlineLevel="0" collapsed="false">
      <c r="A3527" s="0" t="s">
        <v>260</v>
      </c>
      <c r="B3527" s="52" t="n">
        <v>44509</v>
      </c>
      <c r="C3527" s="54" t="s">
        <v>590</v>
      </c>
      <c r="D3527" s="0" t="n">
        <v>0.0226905914656205</v>
      </c>
      <c r="E3527" s="0" t="n">
        <v>0.360971560280679</v>
      </c>
      <c r="F3527" s="0" t="n">
        <v>0</v>
      </c>
      <c r="G3527" s="0" t="n">
        <v>2021</v>
      </c>
    </row>
    <row r="3528" customFormat="false" ht="15" hidden="false" customHeight="false" outlineLevel="0" collapsed="false">
      <c r="A3528" s="0" t="s">
        <v>260</v>
      </c>
      <c r="B3528" s="52" t="n">
        <v>44509</v>
      </c>
      <c r="C3528" s="54" t="s">
        <v>591</v>
      </c>
      <c r="D3528" s="0" t="n">
        <v>0.0148106328669812</v>
      </c>
      <c r="E3528" s="0" t="n">
        <v>0.108805189745376</v>
      </c>
      <c r="F3528" s="0" t="n">
        <v>0</v>
      </c>
      <c r="G3528" s="0" t="n">
        <v>2021</v>
      </c>
    </row>
    <row r="3529" customFormat="false" ht="15" hidden="false" customHeight="false" outlineLevel="0" collapsed="false">
      <c r="A3529" s="0" t="s">
        <v>260</v>
      </c>
      <c r="B3529" s="52" t="n">
        <v>44509</v>
      </c>
      <c r="C3529" s="54" t="s">
        <v>592</v>
      </c>
      <c r="D3529" s="0" t="n">
        <v>0.895423207914981</v>
      </c>
      <c r="E3529" s="0" t="n">
        <v>0.0162593542445695</v>
      </c>
      <c r="F3529" s="0" t="n">
        <v>0</v>
      </c>
      <c r="G3529" s="0" t="n">
        <v>2021</v>
      </c>
    </row>
    <row r="3530" customFormat="false" ht="15" hidden="false" customHeight="false" outlineLevel="0" collapsed="false">
      <c r="A3530" s="0" t="s">
        <v>260</v>
      </c>
      <c r="B3530" s="52" t="n">
        <v>44510</v>
      </c>
      <c r="C3530" s="54" t="s">
        <v>590</v>
      </c>
      <c r="D3530" s="0" t="n">
        <v>0.0233022754394834</v>
      </c>
      <c r="E3530" s="0" t="n">
        <v>0.0626395056821633</v>
      </c>
      <c r="F3530" s="0" t="n">
        <v>0</v>
      </c>
      <c r="G3530" s="0" t="n">
        <v>2021</v>
      </c>
    </row>
    <row r="3531" customFormat="false" ht="15" hidden="false" customHeight="false" outlineLevel="0" collapsed="false">
      <c r="A3531" s="0" t="s">
        <v>260</v>
      </c>
      <c r="B3531" s="52" t="n">
        <v>44510</v>
      </c>
      <c r="C3531" s="54" t="s">
        <v>591</v>
      </c>
      <c r="D3531" s="0" t="n">
        <v>0.0529879663992511</v>
      </c>
      <c r="E3531" s="0" t="n">
        <v>0.100131977193307</v>
      </c>
      <c r="F3531" s="0" t="n">
        <v>0</v>
      </c>
      <c r="G3531" s="0" t="n">
        <v>2021</v>
      </c>
    </row>
    <row r="3532" customFormat="false" ht="15" hidden="false" customHeight="false" outlineLevel="0" collapsed="false">
      <c r="A3532" s="0" t="s">
        <v>260</v>
      </c>
      <c r="B3532" s="52" t="n">
        <v>44510</v>
      </c>
      <c r="C3532" s="54" t="s">
        <v>592</v>
      </c>
      <c r="D3532" s="0" t="n">
        <v>1</v>
      </c>
      <c r="E3532" s="0" t="n">
        <v>0</v>
      </c>
      <c r="F3532" s="0" t="n">
        <v>0</v>
      </c>
      <c r="G3532" s="0" t="n">
        <v>2021</v>
      </c>
    </row>
    <row r="3533" customFormat="false" ht="15" hidden="false" customHeight="false" outlineLevel="0" collapsed="false">
      <c r="A3533" s="0" t="s">
        <v>260</v>
      </c>
      <c r="B3533" s="52" t="n">
        <v>44511</v>
      </c>
      <c r="C3533" s="54" t="s">
        <v>590</v>
      </c>
      <c r="D3533" s="0" t="n">
        <v>0.0369516461379065</v>
      </c>
      <c r="E3533" s="0" t="n">
        <v>0.0751759455343488</v>
      </c>
      <c r="F3533" s="0" t="n">
        <v>0</v>
      </c>
      <c r="G3533" s="0" t="n">
        <v>2021</v>
      </c>
    </row>
    <row r="3534" customFormat="false" ht="15" hidden="false" customHeight="false" outlineLevel="0" collapsed="false">
      <c r="A3534" s="0" t="s">
        <v>260</v>
      </c>
      <c r="B3534" s="52" t="n">
        <v>44511</v>
      </c>
      <c r="C3534" s="54" t="s">
        <v>591</v>
      </c>
      <c r="D3534" s="0" t="n">
        <v>0.0017244120346222</v>
      </c>
      <c r="E3534" s="0" t="n">
        <v>0.0921683499542355</v>
      </c>
      <c r="F3534" s="0" t="n">
        <v>0</v>
      </c>
      <c r="G3534" s="0" t="n">
        <v>2021</v>
      </c>
    </row>
    <row r="3535" customFormat="false" ht="15" hidden="false" customHeight="false" outlineLevel="0" collapsed="false">
      <c r="A3535" s="0" t="s">
        <v>260</v>
      </c>
      <c r="B3535" s="52" t="n">
        <v>44511</v>
      </c>
      <c r="C3535" s="54" t="s">
        <v>592</v>
      </c>
      <c r="D3535" s="0" t="n">
        <v>1</v>
      </c>
      <c r="E3535" s="0" t="n">
        <v>0</v>
      </c>
      <c r="F3535" s="0" t="n">
        <v>0</v>
      </c>
      <c r="G3535" s="0" t="n">
        <v>2021</v>
      </c>
    </row>
    <row r="3536" customFormat="false" ht="15" hidden="false" customHeight="false" outlineLevel="0" collapsed="false">
      <c r="A3536" s="0" t="s">
        <v>260</v>
      </c>
      <c r="B3536" s="52" t="n">
        <v>44512</v>
      </c>
      <c r="C3536" s="54" t="s">
        <v>590</v>
      </c>
      <c r="D3536" s="0" t="n">
        <v>0.0493145392971004</v>
      </c>
      <c r="E3536" s="0" t="n">
        <v>0.0532268002815332</v>
      </c>
      <c r="F3536" s="0" t="n">
        <v>0</v>
      </c>
      <c r="G3536" s="0" t="n">
        <v>2021</v>
      </c>
    </row>
    <row r="3537" customFormat="false" ht="15" hidden="false" customHeight="false" outlineLevel="0" collapsed="false">
      <c r="A3537" s="0" t="s">
        <v>260</v>
      </c>
      <c r="B3537" s="52" t="n">
        <v>44512</v>
      </c>
      <c r="C3537" s="54" t="s">
        <v>591</v>
      </c>
      <c r="D3537" s="0" t="n">
        <v>0.208902439835984</v>
      </c>
      <c r="E3537" s="0" t="n">
        <v>0.0827023509269403</v>
      </c>
      <c r="F3537" s="0" t="n">
        <v>0</v>
      </c>
      <c r="G3537" s="0" t="n">
        <v>2021</v>
      </c>
    </row>
    <row r="3538" customFormat="false" ht="15" hidden="false" customHeight="false" outlineLevel="0" collapsed="false">
      <c r="A3538" s="0" t="s">
        <v>260</v>
      </c>
      <c r="B3538" s="52" t="n">
        <v>44512</v>
      </c>
      <c r="C3538" s="54" t="s">
        <v>592</v>
      </c>
      <c r="D3538" s="0" t="n">
        <v>1</v>
      </c>
      <c r="E3538" s="0" t="n">
        <v>0</v>
      </c>
      <c r="F3538" s="0" t="n">
        <v>0</v>
      </c>
      <c r="G3538" s="0" t="n">
        <v>2021</v>
      </c>
    </row>
    <row r="3539" customFormat="false" ht="15" hidden="false" customHeight="false" outlineLevel="0" collapsed="false">
      <c r="A3539" s="0" t="s">
        <v>260</v>
      </c>
      <c r="B3539" s="52" t="n">
        <v>44513</v>
      </c>
      <c r="C3539" s="54" t="s">
        <v>590</v>
      </c>
      <c r="D3539" s="0" t="n">
        <v>0.0306608248760353</v>
      </c>
      <c r="E3539" s="0" t="n">
        <v>0.0596750696246961</v>
      </c>
      <c r="F3539" s="0" t="n">
        <v>1</v>
      </c>
      <c r="G3539" s="0" t="n">
        <v>2021</v>
      </c>
    </row>
    <row r="3540" customFormat="false" ht="15" hidden="false" customHeight="false" outlineLevel="0" collapsed="false">
      <c r="A3540" s="0" t="s">
        <v>260</v>
      </c>
      <c r="B3540" s="52" t="n">
        <v>44513</v>
      </c>
      <c r="C3540" s="54" t="s">
        <v>591</v>
      </c>
      <c r="D3540" s="0" t="n">
        <v>0.0673660373817503</v>
      </c>
      <c r="E3540" s="0" t="n">
        <v>0.0579411150495721</v>
      </c>
      <c r="F3540" s="0" t="n">
        <v>1</v>
      </c>
      <c r="G3540" s="0" t="n">
        <v>2021</v>
      </c>
    </row>
    <row r="3541" customFormat="false" ht="15" hidden="false" customHeight="false" outlineLevel="0" collapsed="false">
      <c r="A3541" s="0" t="s">
        <v>260</v>
      </c>
      <c r="B3541" s="52" t="n">
        <v>44513</v>
      </c>
      <c r="C3541" s="54" t="s">
        <v>592</v>
      </c>
      <c r="D3541" s="0" t="n">
        <v>0.841700247138925</v>
      </c>
      <c r="E3541" s="0" t="n">
        <v>0.0229962697900678</v>
      </c>
      <c r="F3541" s="0" t="n">
        <v>1</v>
      </c>
      <c r="G3541" s="0" t="n">
        <v>2021</v>
      </c>
    </row>
    <row r="3542" customFormat="false" ht="15" hidden="false" customHeight="false" outlineLevel="0" collapsed="false">
      <c r="A3542" s="0" t="s">
        <v>260</v>
      </c>
      <c r="B3542" s="52" t="n">
        <v>44514</v>
      </c>
      <c r="C3542" s="54" t="s">
        <v>590</v>
      </c>
      <c r="D3542" s="0" t="n">
        <v>0.0417224575229398</v>
      </c>
      <c r="E3542" s="0" t="n">
        <v>0.0844138231322626</v>
      </c>
      <c r="F3542" s="0" t="n">
        <v>1</v>
      </c>
      <c r="G3542" s="0" t="n">
        <v>2021</v>
      </c>
    </row>
    <row r="3543" customFormat="false" ht="15" hidden="false" customHeight="false" outlineLevel="0" collapsed="false">
      <c r="A3543" s="0" t="s">
        <v>260</v>
      </c>
      <c r="B3543" s="52" t="n">
        <v>44514</v>
      </c>
      <c r="C3543" s="54" t="s">
        <v>591</v>
      </c>
      <c r="D3543" s="0" t="n">
        <v>0.123046731220428</v>
      </c>
      <c r="E3543" s="0" t="n">
        <v>0.0142568160834688</v>
      </c>
      <c r="F3543" s="0" t="n">
        <v>1</v>
      </c>
      <c r="G3543" s="0" t="n">
        <v>2021</v>
      </c>
    </row>
    <row r="3544" customFormat="false" ht="15" hidden="false" customHeight="false" outlineLevel="0" collapsed="false">
      <c r="A3544" s="0" t="s">
        <v>260</v>
      </c>
      <c r="B3544" s="52" t="n">
        <v>44514</v>
      </c>
      <c r="C3544" s="54" t="s">
        <v>592</v>
      </c>
      <c r="D3544" s="0" t="n">
        <v>1</v>
      </c>
      <c r="E3544" s="0" t="n">
        <v>0</v>
      </c>
      <c r="F3544" s="0" t="n">
        <v>1</v>
      </c>
      <c r="G3544" s="0" t="n">
        <v>2021</v>
      </c>
    </row>
    <row r="3545" customFormat="false" ht="15" hidden="false" customHeight="false" outlineLevel="0" collapsed="false">
      <c r="A3545" s="0" t="s">
        <v>260</v>
      </c>
      <c r="B3545" s="52" t="n">
        <v>44515</v>
      </c>
      <c r="C3545" s="54" t="s">
        <v>590</v>
      </c>
      <c r="D3545" s="0" t="n">
        <v>0.316692193464857</v>
      </c>
      <c r="E3545" s="0" t="n">
        <v>0.103320220556383</v>
      </c>
      <c r="F3545" s="0" t="n">
        <v>0</v>
      </c>
      <c r="G3545" s="0" t="n">
        <v>2021</v>
      </c>
    </row>
    <row r="3546" customFormat="false" ht="15" hidden="false" customHeight="false" outlineLevel="0" collapsed="false">
      <c r="A3546" s="0" t="s">
        <v>260</v>
      </c>
      <c r="B3546" s="52" t="n">
        <v>44515</v>
      </c>
      <c r="C3546" s="54" t="s">
        <v>591</v>
      </c>
      <c r="D3546" s="0" t="n">
        <v>0.0181693823794093</v>
      </c>
      <c r="E3546" s="0" t="n">
        <v>0.0332540841772025</v>
      </c>
      <c r="F3546" s="0" t="n">
        <v>0</v>
      </c>
      <c r="G3546" s="0" t="n">
        <v>2021</v>
      </c>
    </row>
    <row r="3547" customFormat="false" ht="15" hidden="false" customHeight="false" outlineLevel="0" collapsed="false">
      <c r="A3547" s="0" t="s">
        <v>260</v>
      </c>
      <c r="B3547" s="52" t="n">
        <v>44515</v>
      </c>
      <c r="C3547" s="54" t="s">
        <v>592</v>
      </c>
      <c r="D3547" s="0" t="n">
        <v>0.938639772434268</v>
      </c>
      <c r="E3547" s="0" t="n">
        <v>0.0293640917227513</v>
      </c>
      <c r="F3547" s="0" t="n">
        <v>0</v>
      </c>
      <c r="G3547" s="0" t="n">
        <v>2021</v>
      </c>
    </row>
    <row r="3548" customFormat="false" ht="15" hidden="false" customHeight="false" outlineLevel="0" collapsed="false">
      <c r="A3548" s="0" t="s">
        <v>260</v>
      </c>
      <c r="B3548" s="52" t="n">
        <v>44516</v>
      </c>
      <c r="C3548" s="54" t="s">
        <v>590</v>
      </c>
      <c r="D3548" s="0" t="n">
        <v>0.336771451055339</v>
      </c>
      <c r="E3548" s="0" t="n">
        <v>0.0290056490823754</v>
      </c>
      <c r="F3548" s="0" t="n">
        <v>0</v>
      </c>
      <c r="G3548" s="0" t="n">
        <v>2021</v>
      </c>
    </row>
    <row r="3549" customFormat="false" ht="15" hidden="false" customHeight="false" outlineLevel="0" collapsed="false">
      <c r="A3549" s="0" t="s">
        <v>260</v>
      </c>
      <c r="B3549" s="52" t="n">
        <v>44516</v>
      </c>
      <c r="C3549" s="54" t="s">
        <v>591</v>
      </c>
      <c r="D3549" s="0" t="n">
        <v>0.420523414894544</v>
      </c>
      <c r="E3549" s="0" t="n">
        <v>0.034376125959183</v>
      </c>
      <c r="F3549" s="0" t="n">
        <v>0</v>
      </c>
      <c r="G3549" s="0" t="n">
        <v>2021</v>
      </c>
    </row>
    <row r="3550" customFormat="false" ht="15" hidden="false" customHeight="false" outlineLevel="0" collapsed="false">
      <c r="A3550" s="0" t="s">
        <v>260</v>
      </c>
      <c r="B3550" s="52" t="n">
        <v>44516</v>
      </c>
      <c r="C3550" s="54" t="s">
        <v>592</v>
      </c>
      <c r="D3550" s="0" t="n">
        <v>1</v>
      </c>
      <c r="E3550" s="0" t="n">
        <v>0</v>
      </c>
      <c r="F3550" s="0" t="n">
        <v>0</v>
      </c>
      <c r="G3550" s="0" t="n">
        <v>2021</v>
      </c>
    </row>
    <row r="3551" customFormat="false" ht="15" hidden="false" customHeight="false" outlineLevel="0" collapsed="false">
      <c r="A3551" s="0" t="s">
        <v>260</v>
      </c>
      <c r="B3551" s="52" t="n">
        <v>44517</v>
      </c>
      <c r="C3551" s="54" t="s">
        <v>590</v>
      </c>
      <c r="D3551" s="0" t="n">
        <v>0.0215927559977161</v>
      </c>
      <c r="E3551" s="0" t="n">
        <v>0.072680844322919</v>
      </c>
      <c r="F3551" s="0" t="n">
        <v>0</v>
      </c>
      <c r="G3551" s="0" t="n">
        <v>2021</v>
      </c>
    </row>
    <row r="3552" customFormat="false" ht="15" hidden="false" customHeight="false" outlineLevel="0" collapsed="false">
      <c r="A3552" s="0" t="s">
        <v>260</v>
      </c>
      <c r="B3552" s="52" t="n">
        <v>44517</v>
      </c>
      <c r="C3552" s="54" t="s">
        <v>591</v>
      </c>
      <c r="D3552" s="0" t="n">
        <v>0.031281157685672</v>
      </c>
      <c r="E3552" s="0" t="n">
        <v>0.0440576457111682</v>
      </c>
      <c r="F3552" s="0" t="n">
        <v>0</v>
      </c>
      <c r="G3552" s="0" t="n">
        <v>2021</v>
      </c>
    </row>
    <row r="3553" customFormat="false" ht="15" hidden="false" customHeight="false" outlineLevel="0" collapsed="false">
      <c r="A3553" s="0" t="s">
        <v>260</v>
      </c>
      <c r="B3553" s="52" t="n">
        <v>44517</v>
      </c>
      <c r="C3553" s="54" t="s">
        <v>592</v>
      </c>
      <c r="D3553" s="0" t="n">
        <v>0.829568420652171</v>
      </c>
      <c r="E3553" s="0" t="n">
        <v>0.0206423544437724</v>
      </c>
      <c r="F3553" s="0" t="n">
        <v>0</v>
      </c>
      <c r="G3553" s="0" t="n">
        <v>2021</v>
      </c>
    </row>
    <row r="3554" customFormat="false" ht="15" hidden="false" customHeight="false" outlineLevel="0" collapsed="false">
      <c r="A3554" s="0" t="s">
        <v>260</v>
      </c>
      <c r="B3554" s="52" t="n">
        <v>44518</v>
      </c>
      <c r="C3554" s="54" t="s">
        <v>590</v>
      </c>
      <c r="D3554" s="0" t="n">
        <v>0.0155289529537419</v>
      </c>
      <c r="E3554" s="0" t="n">
        <v>0.0337197299310382</v>
      </c>
      <c r="F3554" s="0" t="n">
        <v>0</v>
      </c>
      <c r="G3554" s="0" t="n">
        <v>2021</v>
      </c>
    </row>
    <row r="3555" customFormat="false" ht="15" hidden="false" customHeight="false" outlineLevel="0" collapsed="false">
      <c r="A3555" s="0" t="s">
        <v>260</v>
      </c>
      <c r="B3555" s="52" t="n">
        <v>44518</v>
      </c>
      <c r="C3555" s="54" t="s">
        <v>591</v>
      </c>
      <c r="D3555" s="0" t="n">
        <v>0</v>
      </c>
      <c r="E3555" s="0" t="n">
        <v>0.0189758163391273</v>
      </c>
      <c r="F3555" s="0" t="n">
        <v>0</v>
      </c>
      <c r="G3555" s="0" t="n">
        <v>2021</v>
      </c>
    </row>
    <row r="3556" customFormat="false" ht="15" hidden="false" customHeight="false" outlineLevel="0" collapsed="false">
      <c r="A3556" s="0" t="s">
        <v>260</v>
      </c>
      <c r="B3556" s="52" t="n">
        <v>44518</v>
      </c>
      <c r="C3556" s="54" t="s">
        <v>592</v>
      </c>
      <c r="D3556" s="0" t="n">
        <v>0.370465633651183</v>
      </c>
      <c r="E3556" s="0" t="n">
        <v>0.462624658052563</v>
      </c>
      <c r="F3556" s="0" t="n">
        <v>0</v>
      </c>
      <c r="G3556" s="0" t="n">
        <v>2021</v>
      </c>
    </row>
    <row r="3557" customFormat="false" ht="15" hidden="false" customHeight="false" outlineLevel="0" collapsed="false">
      <c r="A3557" s="0" t="s">
        <v>260</v>
      </c>
      <c r="B3557" s="52" t="n">
        <v>44519</v>
      </c>
      <c r="C3557" s="54" t="s">
        <v>590</v>
      </c>
      <c r="D3557" s="0" t="n">
        <v>0.0463725301819798</v>
      </c>
      <c r="E3557" s="0" t="n">
        <v>0.10444104648112</v>
      </c>
      <c r="F3557" s="0" t="n">
        <v>0</v>
      </c>
      <c r="G3557" s="0" t="n">
        <v>2021</v>
      </c>
    </row>
    <row r="3558" customFormat="false" ht="15" hidden="false" customHeight="false" outlineLevel="0" collapsed="false">
      <c r="A3558" s="0" t="s">
        <v>260</v>
      </c>
      <c r="B3558" s="52" t="n">
        <v>44519</v>
      </c>
      <c r="C3558" s="54" t="s">
        <v>591</v>
      </c>
      <c r="D3558" s="0" t="n">
        <v>0.385348086439516</v>
      </c>
      <c r="E3558" s="0" t="n">
        <v>0.012841401407435</v>
      </c>
      <c r="F3558" s="0" t="n">
        <v>0</v>
      </c>
      <c r="G3558" s="0" t="n">
        <v>2021</v>
      </c>
    </row>
    <row r="3559" customFormat="false" ht="15" hidden="false" customHeight="false" outlineLevel="0" collapsed="false">
      <c r="A3559" s="0" t="s">
        <v>260</v>
      </c>
      <c r="B3559" s="52" t="n">
        <v>44519</v>
      </c>
      <c r="C3559" s="54" t="s">
        <v>592</v>
      </c>
      <c r="D3559" s="0" t="n">
        <v>1</v>
      </c>
      <c r="E3559" s="0" t="n">
        <v>0</v>
      </c>
      <c r="F3559" s="0" t="n">
        <v>0</v>
      </c>
      <c r="G3559" s="0" t="n">
        <v>2021</v>
      </c>
    </row>
    <row r="3560" customFormat="false" ht="15" hidden="false" customHeight="false" outlineLevel="0" collapsed="false">
      <c r="A3560" s="0" t="s">
        <v>260</v>
      </c>
      <c r="B3560" s="52" t="n">
        <v>44520</v>
      </c>
      <c r="C3560" s="54" t="s">
        <v>590</v>
      </c>
      <c r="D3560" s="0" t="n">
        <v>0.0502505472385568</v>
      </c>
      <c r="E3560" s="0" t="n">
        <v>0.115139436917753</v>
      </c>
      <c r="F3560" s="0" t="n">
        <v>1</v>
      </c>
      <c r="G3560" s="0" t="n">
        <v>2021</v>
      </c>
    </row>
    <row r="3561" customFormat="false" ht="15" hidden="false" customHeight="false" outlineLevel="0" collapsed="false">
      <c r="A3561" s="0" t="s">
        <v>260</v>
      </c>
      <c r="B3561" s="52" t="n">
        <v>44520</v>
      </c>
      <c r="C3561" s="54" t="s">
        <v>591</v>
      </c>
      <c r="D3561" s="0" t="n">
        <v>0.153206389872769</v>
      </c>
      <c r="E3561" s="0" t="n">
        <v>0.0769803454871884</v>
      </c>
      <c r="F3561" s="0" t="n">
        <v>1</v>
      </c>
      <c r="G3561" s="0" t="n">
        <v>2021</v>
      </c>
    </row>
    <row r="3562" customFormat="false" ht="15" hidden="false" customHeight="false" outlineLevel="0" collapsed="false">
      <c r="A3562" s="0" t="s">
        <v>260</v>
      </c>
      <c r="B3562" s="52" t="n">
        <v>44520</v>
      </c>
      <c r="C3562" s="54" t="s">
        <v>592</v>
      </c>
      <c r="D3562" s="0" t="n">
        <v>1</v>
      </c>
      <c r="E3562" s="0" t="n">
        <v>0</v>
      </c>
      <c r="F3562" s="0" t="n">
        <v>1</v>
      </c>
      <c r="G3562" s="0" t="n">
        <v>2021</v>
      </c>
    </row>
    <row r="3563" customFormat="false" ht="15" hidden="false" customHeight="false" outlineLevel="0" collapsed="false">
      <c r="A3563" s="0" t="s">
        <v>260</v>
      </c>
      <c r="B3563" s="52" t="n">
        <v>44521</v>
      </c>
      <c r="C3563" s="54" t="s">
        <v>590</v>
      </c>
      <c r="D3563" s="0" t="n">
        <v>0.0191752486433667</v>
      </c>
      <c r="E3563" s="0" t="n">
        <v>0.0501956811980677</v>
      </c>
      <c r="F3563" s="0" t="n">
        <v>1</v>
      </c>
      <c r="G3563" s="0" t="n">
        <v>2021</v>
      </c>
    </row>
    <row r="3564" customFormat="false" ht="15" hidden="false" customHeight="false" outlineLevel="0" collapsed="false">
      <c r="A3564" s="0" t="s">
        <v>260</v>
      </c>
      <c r="B3564" s="52" t="n">
        <v>44521</v>
      </c>
      <c r="C3564" s="54" t="s">
        <v>591</v>
      </c>
      <c r="D3564" s="0" t="n">
        <v>0.0424245534191443</v>
      </c>
      <c r="E3564" s="0" t="n">
        <v>0.030293195119698</v>
      </c>
      <c r="F3564" s="0" t="n">
        <v>1</v>
      </c>
      <c r="G3564" s="0" t="n">
        <v>2021</v>
      </c>
    </row>
    <row r="3565" customFormat="false" ht="15" hidden="false" customHeight="false" outlineLevel="0" collapsed="false">
      <c r="A3565" s="0" t="s">
        <v>260</v>
      </c>
      <c r="B3565" s="52" t="n">
        <v>44521</v>
      </c>
      <c r="C3565" s="54" t="s">
        <v>592</v>
      </c>
      <c r="D3565" s="0" t="n">
        <v>1</v>
      </c>
      <c r="E3565" s="0" t="n">
        <v>0</v>
      </c>
      <c r="F3565" s="0" t="n">
        <v>1</v>
      </c>
      <c r="G3565" s="0" t="n">
        <v>2021</v>
      </c>
    </row>
    <row r="3566" customFormat="false" ht="15" hidden="false" customHeight="false" outlineLevel="0" collapsed="false">
      <c r="A3566" s="0" t="s">
        <v>260</v>
      </c>
      <c r="B3566" s="52" t="n">
        <v>44522</v>
      </c>
      <c r="C3566" s="54" t="s">
        <v>590</v>
      </c>
      <c r="D3566" s="0" t="n">
        <v>0.0295799760706007</v>
      </c>
      <c r="E3566" s="0" t="n">
        <v>0.0173260245711149</v>
      </c>
      <c r="F3566" s="0" t="n">
        <v>0</v>
      </c>
      <c r="G3566" s="0" t="n">
        <v>2021</v>
      </c>
    </row>
    <row r="3567" customFormat="false" ht="15" hidden="false" customHeight="false" outlineLevel="0" collapsed="false">
      <c r="A3567" s="0" t="s">
        <v>260</v>
      </c>
      <c r="B3567" s="52" t="n">
        <v>44522</v>
      </c>
      <c r="C3567" s="54" t="s">
        <v>591</v>
      </c>
      <c r="D3567" s="0" t="n">
        <v>0.0017647333245128</v>
      </c>
      <c r="E3567" s="0" t="n">
        <v>0.0482581910011219</v>
      </c>
      <c r="F3567" s="0" t="n">
        <v>0</v>
      </c>
      <c r="G3567" s="0" t="n">
        <v>2021</v>
      </c>
    </row>
    <row r="3568" customFormat="false" ht="15" hidden="false" customHeight="false" outlineLevel="0" collapsed="false">
      <c r="A3568" s="0" t="s">
        <v>260</v>
      </c>
      <c r="B3568" s="52" t="n">
        <v>44522</v>
      </c>
      <c r="C3568" s="54" t="s">
        <v>592</v>
      </c>
      <c r="D3568" s="0" t="n">
        <v>1</v>
      </c>
      <c r="E3568" s="0" t="n">
        <v>0</v>
      </c>
      <c r="F3568" s="0" t="n">
        <v>0</v>
      </c>
      <c r="G3568" s="0" t="n">
        <v>2021</v>
      </c>
    </row>
    <row r="3569" customFormat="false" ht="15" hidden="false" customHeight="false" outlineLevel="0" collapsed="false">
      <c r="A3569" s="0" t="s">
        <v>260</v>
      </c>
      <c r="B3569" s="52" t="n">
        <v>44523</v>
      </c>
      <c r="C3569" s="54" t="s">
        <v>590</v>
      </c>
      <c r="D3569" s="0" t="n">
        <v>0.0098316548116708</v>
      </c>
      <c r="E3569" s="0" t="n">
        <v>0.0329981886033717</v>
      </c>
      <c r="F3569" s="0" t="n">
        <v>0</v>
      </c>
      <c r="G3569" s="0" t="n">
        <v>2021</v>
      </c>
    </row>
    <row r="3570" customFormat="false" ht="15" hidden="false" customHeight="false" outlineLevel="0" collapsed="false">
      <c r="A3570" s="0" t="s">
        <v>260</v>
      </c>
      <c r="B3570" s="52" t="n">
        <v>44523</v>
      </c>
      <c r="C3570" s="54" t="s">
        <v>591</v>
      </c>
      <c r="D3570" s="0" t="n">
        <v>0.0830224938341442</v>
      </c>
      <c r="E3570" s="0" t="n">
        <v>0.102973268154341</v>
      </c>
      <c r="F3570" s="0" t="n">
        <v>0</v>
      </c>
      <c r="G3570" s="0" t="n">
        <v>2021</v>
      </c>
    </row>
    <row r="3571" customFormat="false" ht="15" hidden="false" customHeight="false" outlineLevel="0" collapsed="false">
      <c r="A3571" s="0" t="s">
        <v>260</v>
      </c>
      <c r="B3571" s="52" t="n">
        <v>44523</v>
      </c>
      <c r="C3571" s="54" t="s">
        <v>592</v>
      </c>
      <c r="D3571" s="0" t="n">
        <v>1</v>
      </c>
      <c r="E3571" s="0" t="n">
        <v>0</v>
      </c>
      <c r="F3571" s="0" t="n">
        <v>0</v>
      </c>
      <c r="G3571" s="0" t="n">
        <v>2021</v>
      </c>
    </row>
    <row r="3572" customFormat="false" ht="15" hidden="false" customHeight="false" outlineLevel="0" collapsed="false">
      <c r="A3572" s="0" t="s">
        <v>260</v>
      </c>
      <c r="B3572" s="52" t="n">
        <v>44524</v>
      </c>
      <c r="C3572" s="54" t="s">
        <v>590</v>
      </c>
      <c r="D3572" s="0" t="n">
        <v>0.57769462885156</v>
      </c>
      <c r="E3572" s="0" t="n">
        <v>0.0223880872617625</v>
      </c>
      <c r="F3572" s="0" t="n">
        <v>0</v>
      </c>
      <c r="G3572" s="0" t="n">
        <v>2021</v>
      </c>
    </row>
    <row r="3573" customFormat="false" ht="15" hidden="false" customHeight="false" outlineLevel="0" collapsed="false">
      <c r="A3573" s="0" t="s">
        <v>260</v>
      </c>
      <c r="B3573" s="52" t="n">
        <v>44524</v>
      </c>
      <c r="C3573" s="54" t="s">
        <v>591</v>
      </c>
      <c r="D3573" s="0" t="n">
        <v>0.0295881982505171</v>
      </c>
      <c r="E3573" s="0" t="n">
        <v>0.0853383598210806</v>
      </c>
      <c r="F3573" s="0" t="n">
        <v>0</v>
      </c>
      <c r="G3573" s="0" t="n">
        <v>2021</v>
      </c>
    </row>
    <row r="3574" customFormat="false" ht="15" hidden="false" customHeight="false" outlineLevel="0" collapsed="false">
      <c r="A3574" s="0" t="s">
        <v>260</v>
      </c>
      <c r="B3574" s="52" t="n">
        <v>44524</v>
      </c>
      <c r="C3574" s="54" t="s">
        <v>592</v>
      </c>
      <c r="D3574" s="0" t="n">
        <v>0.971799839069119</v>
      </c>
      <c r="E3574" s="0" t="n">
        <v>0.0282001609308809</v>
      </c>
      <c r="F3574" s="0" t="n">
        <v>0</v>
      </c>
      <c r="G3574" s="0" t="n">
        <v>2021</v>
      </c>
    </row>
    <row r="3575" customFormat="false" ht="15" hidden="false" customHeight="false" outlineLevel="0" collapsed="false">
      <c r="A3575" s="0" t="s">
        <v>260</v>
      </c>
      <c r="B3575" s="52" t="n">
        <v>44525</v>
      </c>
      <c r="C3575" s="54" t="s">
        <v>590</v>
      </c>
      <c r="D3575" s="0" t="n">
        <v>0.0106018081120191</v>
      </c>
      <c r="E3575" s="0" t="n">
        <v>0.105241296659153</v>
      </c>
      <c r="F3575" s="0" t="n">
        <v>0</v>
      </c>
      <c r="G3575" s="0" t="n">
        <v>2021</v>
      </c>
    </row>
    <row r="3576" customFormat="false" ht="15" hidden="false" customHeight="false" outlineLevel="0" collapsed="false">
      <c r="A3576" s="0" t="s">
        <v>260</v>
      </c>
      <c r="B3576" s="52" t="n">
        <v>44525</v>
      </c>
      <c r="C3576" s="54" t="s">
        <v>591</v>
      </c>
      <c r="D3576" s="0" t="n">
        <v>0.0463470946507787</v>
      </c>
      <c r="E3576" s="0" t="n">
        <v>0.0807235587451031</v>
      </c>
      <c r="F3576" s="0" t="n">
        <v>0</v>
      </c>
      <c r="G3576" s="0" t="n">
        <v>2021</v>
      </c>
    </row>
    <row r="3577" customFormat="false" ht="15" hidden="false" customHeight="false" outlineLevel="0" collapsed="false">
      <c r="A3577" s="0" t="s">
        <v>260</v>
      </c>
      <c r="B3577" s="52" t="n">
        <v>44525</v>
      </c>
      <c r="C3577" s="54" t="s">
        <v>592</v>
      </c>
      <c r="D3577" s="0" t="n">
        <v>0.93350425039686</v>
      </c>
      <c r="E3577" s="0" t="n">
        <v>0.0369959149279562</v>
      </c>
      <c r="F3577" s="0" t="n">
        <v>0</v>
      </c>
      <c r="G3577" s="0" t="n">
        <v>2021</v>
      </c>
    </row>
    <row r="3578" customFormat="false" ht="15" hidden="false" customHeight="false" outlineLevel="0" collapsed="false">
      <c r="A3578" s="0" t="s">
        <v>260</v>
      </c>
      <c r="B3578" s="52" t="n">
        <v>44526</v>
      </c>
      <c r="C3578" s="54" t="s">
        <v>590</v>
      </c>
      <c r="D3578" s="0" t="n">
        <v>0.0176454263235683</v>
      </c>
      <c r="E3578" s="0" t="n">
        <v>0.114696859797253</v>
      </c>
      <c r="F3578" s="0" t="n">
        <v>0</v>
      </c>
      <c r="G3578" s="0" t="n">
        <v>2021</v>
      </c>
    </row>
    <row r="3579" customFormat="false" ht="15" hidden="false" customHeight="false" outlineLevel="0" collapsed="false">
      <c r="A3579" s="0" t="s">
        <v>260</v>
      </c>
      <c r="B3579" s="52" t="n">
        <v>44526</v>
      </c>
      <c r="C3579" s="54" t="s">
        <v>591</v>
      </c>
      <c r="D3579" s="0" t="n">
        <v>0.0158382970007382</v>
      </c>
      <c r="E3579" s="0" t="n">
        <v>0.0515863093545735</v>
      </c>
      <c r="F3579" s="0" t="n">
        <v>0</v>
      </c>
      <c r="G3579" s="0" t="n">
        <v>2021</v>
      </c>
    </row>
    <row r="3580" customFormat="false" ht="15" hidden="false" customHeight="false" outlineLevel="0" collapsed="false">
      <c r="A3580" s="0" t="s">
        <v>260</v>
      </c>
      <c r="B3580" s="52" t="n">
        <v>44526</v>
      </c>
      <c r="C3580" s="54" t="s">
        <v>592</v>
      </c>
      <c r="D3580" s="0" t="n">
        <v>1</v>
      </c>
      <c r="E3580" s="0" t="n">
        <v>0</v>
      </c>
      <c r="F3580" s="0" t="n">
        <v>0</v>
      </c>
      <c r="G3580" s="0" t="n">
        <v>2021</v>
      </c>
    </row>
    <row r="3581" customFormat="false" ht="15" hidden="false" customHeight="false" outlineLevel="0" collapsed="false">
      <c r="A3581" s="0" t="s">
        <v>260</v>
      </c>
      <c r="B3581" s="52" t="n">
        <v>44527</v>
      </c>
      <c r="C3581" s="54" t="s">
        <v>590</v>
      </c>
      <c r="D3581" s="0" t="n">
        <v>0.0190325519684348</v>
      </c>
      <c r="E3581" s="0" t="n">
        <v>0.0514647829994569</v>
      </c>
      <c r="F3581" s="0" t="n">
        <v>1</v>
      </c>
      <c r="G3581" s="0" t="n">
        <v>2021</v>
      </c>
    </row>
    <row r="3582" customFormat="false" ht="15" hidden="false" customHeight="false" outlineLevel="0" collapsed="false">
      <c r="A3582" s="0" t="s">
        <v>260</v>
      </c>
      <c r="B3582" s="52" t="n">
        <v>44527</v>
      </c>
      <c r="C3582" s="54" t="s">
        <v>591</v>
      </c>
      <c r="D3582" s="0" t="n">
        <v>0.0137614928228532</v>
      </c>
      <c r="E3582" s="0" t="n">
        <v>0.0605970099757148</v>
      </c>
      <c r="F3582" s="0" t="n">
        <v>1</v>
      </c>
      <c r="G3582" s="0" t="n">
        <v>2021</v>
      </c>
    </row>
    <row r="3583" customFormat="false" ht="15" hidden="false" customHeight="false" outlineLevel="0" collapsed="false">
      <c r="A3583" s="0" t="s">
        <v>260</v>
      </c>
      <c r="B3583" s="52" t="n">
        <v>44527</v>
      </c>
      <c r="C3583" s="54" t="s">
        <v>592</v>
      </c>
      <c r="D3583" s="0" t="n">
        <v>0.973635473489105</v>
      </c>
      <c r="E3583" s="0" t="n">
        <v>0.0263645265108946</v>
      </c>
      <c r="F3583" s="0" t="n">
        <v>1</v>
      </c>
      <c r="G3583" s="0" t="n">
        <v>2021</v>
      </c>
    </row>
    <row r="3584" customFormat="false" ht="15" hidden="false" customHeight="false" outlineLevel="0" collapsed="false">
      <c r="A3584" s="0" t="s">
        <v>260</v>
      </c>
      <c r="B3584" s="52" t="n">
        <v>44528</v>
      </c>
      <c r="C3584" s="54" t="s">
        <v>590</v>
      </c>
      <c r="D3584" s="0" t="n">
        <v>0.0253857466684385</v>
      </c>
      <c r="E3584" s="0" t="n">
        <v>0.0570986424794099</v>
      </c>
      <c r="F3584" s="0" t="n">
        <v>1</v>
      </c>
      <c r="G3584" s="0" t="n">
        <v>2021</v>
      </c>
    </row>
    <row r="3585" customFormat="false" ht="15" hidden="false" customHeight="false" outlineLevel="0" collapsed="false">
      <c r="A3585" s="0" t="s">
        <v>260</v>
      </c>
      <c r="B3585" s="52" t="n">
        <v>44528</v>
      </c>
      <c r="C3585" s="54" t="s">
        <v>591</v>
      </c>
      <c r="D3585" s="0" t="n">
        <v>0.0029978396402811</v>
      </c>
      <c r="E3585" s="0" t="n">
        <v>0.0744208805041967</v>
      </c>
      <c r="F3585" s="0" t="n">
        <v>1</v>
      </c>
      <c r="G3585" s="0" t="n">
        <v>2021</v>
      </c>
    </row>
    <row r="3586" customFormat="false" ht="15" hidden="false" customHeight="false" outlineLevel="0" collapsed="false">
      <c r="A3586" s="0" t="s">
        <v>260</v>
      </c>
      <c r="B3586" s="52" t="n">
        <v>44528</v>
      </c>
      <c r="C3586" s="54" t="s">
        <v>592</v>
      </c>
      <c r="D3586" s="0" t="n">
        <v>0</v>
      </c>
      <c r="E3586" s="0" t="n">
        <v>1</v>
      </c>
      <c r="F3586" s="0" t="n">
        <v>1</v>
      </c>
      <c r="G3586" s="0" t="n">
        <v>2021</v>
      </c>
    </row>
    <row r="3587" customFormat="false" ht="15" hidden="false" customHeight="false" outlineLevel="0" collapsed="false">
      <c r="A3587" s="0" t="s">
        <v>260</v>
      </c>
      <c r="B3587" s="52" t="n">
        <v>44529</v>
      </c>
      <c r="C3587" s="54" t="s">
        <v>590</v>
      </c>
      <c r="D3587" s="0" t="n">
        <v>0.375394537737345</v>
      </c>
      <c r="E3587" s="0" t="n">
        <v>0.026669515230162</v>
      </c>
      <c r="F3587" s="0" t="n">
        <v>0</v>
      </c>
      <c r="G3587" s="0" t="n">
        <v>2021</v>
      </c>
    </row>
    <row r="3588" customFormat="false" ht="15" hidden="false" customHeight="false" outlineLevel="0" collapsed="false">
      <c r="A3588" s="0" t="s">
        <v>260</v>
      </c>
      <c r="B3588" s="52" t="n">
        <v>44529</v>
      </c>
      <c r="C3588" s="54" t="s">
        <v>591</v>
      </c>
      <c r="D3588" s="0" t="n">
        <v>0.0091833072399002</v>
      </c>
      <c r="E3588" s="0" t="n">
        <v>0.0270025899699934</v>
      </c>
      <c r="F3588" s="0" t="n">
        <v>0</v>
      </c>
      <c r="G3588" s="0" t="n">
        <v>2021</v>
      </c>
    </row>
    <row r="3589" customFormat="false" ht="15" hidden="false" customHeight="false" outlineLevel="0" collapsed="false">
      <c r="A3589" s="0" t="s">
        <v>260</v>
      </c>
      <c r="B3589" s="52" t="n">
        <v>44529</v>
      </c>
      <c r="C3589" s="54" t="s">
        <v>592</v>
      </c>
      <c r="D3589" s="0" t="n">
        <v>0.525548662899427</v>
      </c>
      <c r="E3589" s="0" t="n">
        <v>0.0263796140812701</v>
      </c>
      <c r="F3589" s="0" t="n">
        <v>0</v>
      </c>
      <c r="G3589" s="0" t="n">
        <v>2021</v>
      </c>
    </row>
    <row r="3590" customFormat="false" ht="15" hidden="false" customHeight="false" outlineLevel="0" collapsed="false">
      <c r="A3590" s="0" t="s">
        <v>260</v>
      </c>
      <c r="B3590" s="52" t="n">
        <v>44530</v>
      </c>
      <c r="C3590" s="54" t="s">
        <v>590</v>
      </c>
      <c r="D3590" s="0" t="n">
        <v>0.0152393662163359</v>
      </c>
      <c r="E3590" s="0" t="n">
        <v>0.0535423006792475</v>
      </c>
      <c r="F3590" s="0" t="n">
        <v>0</v>
      </c>
      <c r="G3590" s="0" t="n">
        <v>2021</v>
      </c>
    </row>
    <row r="3591" customFormat="false" ht="15" hidden="false" customHeight="false" outlineLevel="0" collapsed="false">
      <c r="A3591" s="0" t="s">
        <v>260</v>
      </c>
      <c r="B3591" s="52" t="n">
        <v>44531</v>
      </c>
      <c r="C3591" s="54" t="s">
        <v>590</v>
      </c>
      <c r="D3591" s="0" t="n">
        <v>0.79256139175308</v>
      </c>
      <c r="E3591" s="0" t="n">
        <v>0.0225300374490652</v>
      </c>
      <c r="F3591" s="0" t="n">
        <v>0</v>
      </c>
      <c r="G3591" s="0" t="n">
        <v>2021</v>
      </c>
    </row>
    <row r="3592" customFormat="false" ht="15" hidden="false" customHeight="false" outlineLevel="0" collapsed="false">
      <c r="A3592" s="0" t="s">
        <v>260</v>
      </c>
      <c r="B3592" s="52" t="n">
        <v>44531</v>
      </c>
      <c r="C3592" s="54" t="s">
        <v>591</v>
      </c>
      <c r="D3592" s="0" t="n">
        <v>0.105218337883328</v>
      </c>
      <c r="E3592" s="0" t="n">
        <v>0.0668528908495734</v>
      </c>
      <c r="F3592" s="0" t="n">
        <v>0</v>
      </c>
      <c r="G3592" s="0" t="n">
        <v>2021</v>
      </c>
    </row>
    <row r="3593" customFormat="false" ht="15" hidden="false" customHeight="false" outlineLevel="0" collapsed="false">
      <c r="A3593" s="0" t="s">
        <v>260</v>
      </c>
      <c r="B3593" s="52" t="n">
        <v>44531</v>
      </c>
      <c r="C3593" s="54" t="s">
        <v>592</v>
      </c>
      <c r="D3593" s="0" t="n">
        <v>0.472467913853477</v>
      </c>
      <c r="E3593" s="0" t="n">
        <v>0.0137738802897068</v>
      </c>
      <c r="F3593" s="0" t="n">
        <v>0</v>
      </c>
      <c r="G3593" s="0" t="n">
        <v>2021</v>
      </c>
    </row>
    <row r="3594" customFormat="false" ht="15" hidden="false" customHeight="false" outlineLevel="0" collapsed="false">
      <c r="A3594" s="0" t="s">
        <v>260</v>
      </c>
      <c r="B3594" s="52" t="n">
        <v>44532</v>
      </c>
      <c r="C3594" s="54" t="s">
        <v>590</v>
      </c>
      <c r="D3594" s="0" t="n">
        <v>0.0341299786436372</v>
      </c>
      <c r="E3594" s="0" t="n">
        <v>0.22198570098688</v>
      </c>
      <c r="F3594" s="0" t="n">
        <v>0</v>
      </c>
      <c r="G3594" s="0" t="n">
        <v>2021</v>
      </c>
    </row>
    <row r="3595" customFormat="false" ht="15" hidden="false" customHeight="false" outlineLevel="0" collapsed="false">
      <c r="A3595" s="0" t="s">
        <v>260</v>
      </c>
      <c r="B3595" s="52" t="n">
        <v>44532</v>
      </c>
      <c r="C3595" s="54" t="s">
        <v>591</v>
      </c>
      <c r="D3595" s="0" t="n">
        <v>0.344277083405369</v>
      </c>
      <c r="E3595" s="0" t="n">
        <v>0.0417309801690957</v>
      </c>
      <c r="F3595" s="0" t="n">
        <v>0</v>
      </c>
      <c r="G3595" s="0" t="n">
        <v>2021</v>
      </c>
    </row>
    <row r="3596" customFormat="false" ht="15" hidden="false" customHeight="false" outlineLevel="0" collapsed="false">
      <c r="A3596" s="0" t="s">
        <v>260</v>
      </c>
      <c r="B3596" s="52" t="n">
        <v>44532</v>
      </c>
      <c r="C3596" s="54" t="s">
        <v>592</v>
      </c>
      <c r="D3596" s="0" t="n">
        <v>0</v>
      </c>
      <c r="E3596" s="0" t="n">
        <v>1</v>
      </c>
      <c r="F3596" s="0" t="n">
        <v>0</v>
      </c>
      <c r="G3596" s="0" t="n">
        <v>2021</v>
      </c>
    </row>
    <row r="3597" customFormat="false" ht="15" hidden="false" customHeight="false" outlineLevel="0" collapsed="false">
      <c r="A3597" s="0" t="s">
        <v>260</v>
      </c>
      <c r="B3597" s="52" t="n">
        <v>44533</v>
      </c>
      <c r="C3597" s="54" t="s">
        <v>590</v>
      </c>
      <c r="D3597" s="0" t="n">
        <v>0.0841867392179185</v>
      </c>
      <c r="E3597" s="0" t="n">
        <v>0.0659903968191183</v>
      </c>
      <c r="F3597" s="0" t="n">
        <v>0</v>
      </c>
      <c r="G3597" s="0" t="n">
        <v>2021</v>
      </c>
    </row>
    <row r="3598" customFormat="false" ht="15" hidden="false" customHeight="false" outlineLevel="0" collapsed="false">
      <c r="A3598" s="0" t="s">
        <v>260</v>
      </c>
      <c r="B3598" s="52" t="n">
        <v>44533</v>
      </c>
      <c r="C3598" s="54" t="s">
        <v>591</v>
      </c>
      <c r="D3598" s="0" t="n">
        <v>0.0590926181981496</v>
      </c>
      <c r="E3598" s="0" t="n">
        <v>0.0451359021547239</v>
      </c>
      <c r="F3598" s="0" t="n">
        <v>0</v>
      </c>
      <c r="G3598" s="0" t="n">
        <v>2021</v>
      </c>
    </row>
    <row r="3599" customFormat="false" ht="15" hidden="false" customHeight="false" outlineLevel="0" collapsed="false">
      <c r="A3599" s="0" t="s">
        <v>260</v>
      </c>
      <c r="B3599" s="52" t="n">
        <v>44533</v>
      </c>
      <c r="C3599" s="54" t="s">
        <v>592</v>
      </c>
      <c r="D3599" s="0" t="n">
        <v>1</v>
      </c>
      <c r="E3599" s="0" t="n">
        <v>0</v>
      </c>
      <c r="F3599" s="0" t="n">
        <v>0</v>
      </c>
      <c r="G3599" s="0" t="n">
        <v>2021</v>
      </c>
    </row>
    <row r="3600" customFormat="false" ht="15" hidden="false" customHeight="false" outlineLevel="0" collapsed="false">
      <c r="A3600" s="0" t="s">
        <v>260</v>
      </c>
      <c r="B3600" s="52" t="n">
        <v>44534</v>
      </c>
      <c r="C3600" s="54" t="s">
        <v>590</v>
      </c>
      <c r="D3600" s="0" t="n">
        <v>0.0309691452473256</v>
      </c>
      <c r="E3600" s="0" t="n">
        <v>0.0389869365532345</v>
      </c>
      <c r="F3600" s="0" t="n">
        <v>1</v>
      </c>
      <c r="G3600" s="0" t="n">
        <v>2021</v>
      </c>
    </row>
    <row r="3601" customFormat="false" ht="15" hidden="false" customHeight="false" outlineLevel="0" collapsed="false">
      <c r="A3601" s="0" t="s">
        <v>260</v>
      </c>
      <c r="B3601" s="52" t="n">
        <v>44534</v>
      </c>
      <c r="C3601" s="54" t="s">
        <v>591</v>
      </c>
      <c r="D3601" s="0" t="n">
        <v>0.688828793862858</v>
      </c>
      <c r="E3601" s="0" t="n">
        <v>0.0465946525334413</v>
      </c>
      <c r="F3601" s="0" t="n">
        <v>1</v>
      </c>
      <c r="G3601" s="0" t="n">
        <v>2021</v>
      </c>
    </row>
    <row r="3602" customFormat="false" ht="15" hidden="false" customHeight="false" outlineLevel="0" collapsed="false">
      <c r="A3602" s="0" t="s">
        <v>260</v>
      </c>
      <c r="B3602" s="52" t="n">
        <v>44534</v>
      </c>
      <c r="C3602" s="54" t="s">
        <v>592</v>
      </c>
      <c r="D3602" s="0" t="n">
        <v>0.852214179497376</v>
      </c>
      <c r="E3602" s="0" t="n">
        <v>0.0267015655583642</v>
      </c>
      <c r="F3602" s="0" t="n">
        <v>1</v>
      </c>
      <c r="G3602" s="0" t="n">
        <v>2021</v>
      </c>
    </row>
    <row r="3603" customFormat="false" ht="15" hidden="false" customHeight="false" outlineLevel="0" collapsed="false">
      <c r="A3603" s="0" t="s">
        <v>260</v>
      </c>
      <c r="B3603" s="52" t="n">
        <v>44535</v>
      </c>
      <c r="C3603" s="54" t="s">
        <v>590</v>
      </c>
      <c r="D3603" s="0" t="n">
        <v>0.0265340277961974</v>
      </c>
      <c r="E3603" s="0" t="n">
        <v>0.0664782936507166</v>
      </c>
      <c r="F3603" s="0" t="n">
        <v>1</v>
      </c>
      <c r="G3603" s="0" t="n">
        <v>2021</v>
      </c>
    </row>
    <row r="3604" customFormat="false" ht="15" hidden="false" customHeight="false" outlineLevel="0" collapsed="false">
      <c r="A3604" s="0" t="s">
        <v>260</v>
      </c>
      <c r="B3604" s="52" t="n">
        <v>44535</v>
      </c>
      <c r="C3604" s="54" t="s">
        <v>591</v>
      </c>
      <c r="D3604" s="0" t="n">
        <v>0</v>
      </c>
      <c r="E3604" s="0" t="n">
        <v>0.0330856957492415</v>
      </c>
      <c r="F3604" s="0" t="n">
        <v>1</v>
      </c>
      <c r="G3604" s="0" t="n">
        <v>2021</v>
      </c>
    </row>
    <row r="3605" customFormat="false" ht="15" hidden="false" customHeight="false" outlineLevel="0" collapsed="false">
      <c r="A3605" s="0" t="s">
        <v>260</v>
      </c>
      <c r="B3605" s="52" t="n">
        <v>44535</v>
      </c>
      <c r="C3605" s="54" t="s">
        <v>592</v>
      </c>
      <c r="D3605" s="0" t="n">
        <v>0.612285913765132</v>
      </c>
      <c r="E3605" s="0" t="n">
        <v>0.0370283927045838</v>
      </c>
      <c r="F3605" s="0" t="n">
        <v>1</v>
      </c>
      <c r="G3605" s="0" t="n">
        <v>2021</v>
      </c>
    </row>
    <row r="3606" customFormat="false" ht="15" hidden="false" customHeight="false" outlineLevel="0" collapsed="false">
      <c r="A3606" s="0" t="s">
        <v>260</v>
      </c>
      <c r="B3606" s="52" t="n">
        <v>44536</v>
      </c>
      <c r="C3606" s="54" t="s">
        <v>590</v>
      </c>
      <c r="D3606" s="0" t="n">
        <v>0.0639666269774382</v>
      </c>
      <c r="E3606" s="0" t="n">
        <v>0.0595332174773576</v>
      </c>
      <c r="F3606" s="0" t="n">
        <v>0</v>
      </c>
      <c r="G3606" s="0" t="n">
        <v>2021</v>
      </c>
    </row>
    <row r="3607" customFormat="false" ht="15" hidden="false" customHeight="false" outlineLevel="0" collapsed="false">
      <c r="A3607" s="0" t="s">
        <v>260</v>
      </c>
      <c r="B3607" s="52" t="n">
        <v>44536</v>
      </c>
      <c r="C3607" s="54" t="s">
        <v>591</v>
      </c>
      <c r="D3607" s="0" t="n">
        <v>0.0263539931307289</v>
      </c>
      <c r="E3607" s="0" t="n">
        <v>0.289201080295614</v>
      </c>
      <c r="F3607" s="0" t="n">
        <v>0</v>
      </c>
      <c r="G3607" s="0" t="n">
        <v>2021</v>
      </c>
    </row>
    <row r="3608" customFormat="false" ht="15" hidden="false" customHeight="false" outlineLevel="0" collapsed="false">
      <c r="A3608" s="0" t="s">
        <v>260</v>
      </c>
      <c r="B3608" s="52" t="n">
        <v>44536</v>
      </c>
      <c r="C3608" s="54" t="s">
        <v>592</v>
      </c>
      <c r="D3608" s="0" t="n">
        <v>1</v>
      </c>
      <c r="E3608" s="0" t="n">
        <v>0</v>
      </c>
      <c r="F3608" s="0" t="n">
        <v>0</v>
      </c>
      <c r="G3608" s="0" t="n">
        <v>2021</v>
      </c>
    </row>
    <row r="3609" customFormat="false" ht="15" hidden="false" customHeight="false" outlineLevel="0" collapsed="false">
      <c r="A3609" s="0" t="s">
        <v>260</v>
      </c>
      <c r="B3609" s="52" t="n">
        <v>44537</v>
      </c>
      <c r="C3609" s="54" t="s">
        <v>590</v>
      </c>
      <c r="D3609" s="0" t="n">
        <v>0.571973772011419</v>
      </c>
      <c r="E3609" s="0" t="n">
        <v>0.0669151703092647</v>
      </c>
      <c r="F3609" s="0" t="n">
        <v>0</v>
      </c>
      <c r="G3609" s="0" t="n">
        <v>2021</v>
      </c>
    </row>
    <row r="3610" customFormat="false" ht="15" hidden="false" customHeight="false" outlineLevel="0" collapsed="false">
      <c r="A3610" s="0" t="s">
        <v>260</v>
      </c>
      <c r="B3610" s="52" t="n">
        <v>44537</v>
      </c>
      <c r="C3610" s="54" t="s">
        <v>591</v>
      </c>
      <c r="D3610" s="0" t="n">
        <v>0.121222683657765</v>
      </c>
      <c r="E3610" s="0" t="n">
        <v>0.231268799383915</v>
      </c>
      <c r="F3610" s="0" t="n">
        <v>0</v>
      </c>
      <c r="G3610" s="0" t="n">
        <v>2021</v>
      </c>
    </row>
    <row r="3611" customFormat="false" ht="15" hidden="false" customHeight="false" outlineLevel="0" collapsed="false">
      <c r="A3611" s="0" t="s">
        <v>260</v>
      </c>
      <c r="B3611" s="52" t="n">
        <v>44537</v>
      </c>
      <c r="C3611" s="54" t="s">
        <v>592</v>
      </c>
      <c r="D3611" s="0" t="n">
        <v>0.122869630974744</v>
      </c>
      <c r="E3611" s="0" t="n">
        <v>0.190881179185878</v>
      </c>
      <c r="F3611" s="0" t="n">
        <v>0</v>
      </c>
      <c r="G3611" s="0" t="n">
        <v>2021</v>
      </c>
    </row>
    <row r="3612" customFormat="false" ht="15" hidden="false" customHeight="false" outlineLevel="0" collapsed="false">
      <c r="A3612" s="0" t="s">
        <v>260</v>
      </c>
      <c r="B3612" s="52" t="n">
        <v>44538</v>
      </c>
      <c r="C3612" s="54" t="s">
        <v>590</v>
      </c>
      <c r="D3612" s="0" t="n">
        <v>0.562584336290126</v>
      </c>
      <c r="E3612" s="0" t="n">
        <v>0.069539463632126</v>
      </c>
      <c r="F3612" s="0" t="n">
        <v>0</v>
      </c>
      <c r="G3612" s="0" t="n">
        <v>2021</v>
      </c>
    </row>
    <row r="3613" customFormat="false" ht="15" hidden="false" customHeight="false" outlineLevel="0" collapsed="false">
      <c r="A3613" s="0" t="s">
        <v>260</v>
      </c>
      <c r="B3613" s="52" t="n">
        <v>44538</v>
      </c>
      <c r="C3613" s="54" t="s">
        <v>591</v>
      </c>
      <c r="D3613" s="0" t="n">
        <v>0.0056755233432377</v>
      </c>
      <c r="E3613" s="0" t="n">
        <v>0.124503116173021</v>
      </c>
      <c r="F3613" s="0" t="n">
        <v>0</v>
      </c>
      <c r="G3613" s="0" t="n">
        <v>2021</v>
      </c>
    </row>
    <row r="3614" customFormat="false" ht="15" hidden="false" customHeight="false" outlineLevel="0" collapsed="false">
      <c r="A3614" s="0" t="s">
        <v>260</v>
      </c>
      <c r="B3614" s="52" t="n">
        <v>44538</v>
      </c>
      <c r="C3614" s="54" t="s">
        <v>592</v>
      </c>
      <c r="D3614" s="0" t="n">
        <v>0.49759691906498</v>
      </c>
      <c r="E3614" s="0" t="n">
        <v>0.204965538044416</v>
      </c>
      <c r="F3614" s="0" t="n">
        <v>0</v>
      </c>
      <c r="G3614" s="0" t="n">
        <v>2021</v>
      </c>
    </row>
    <row r="3615" customFormat="false" ht="15" hidden="false" customHeight="false" outlineLevel="0" collapsed="false">
      <c r="A3615" s="0" t="s">
        <v>260</v>
      </c>
      <c r="B3615" s="52" t="n">
        <v>44539</v>
      </c>
      <c r="C3615" s="54" t="s">
        <v>590</v>
      </c>
      <c r="D3615" s="0" t="n">
        <v>0.02612467848772</v>
      </c>
      <c r="E3615" s="0" t="n">
        <v>0.0950550857945834</v>
      </c>
      <c r="F3615" s="0" t="n">
        <v>0</v>
      </c>
      <c r="G3615" s="0" t="n">
        <v>2021</v>
      </c>
    </row>
    <row r="3616" customFormat="false" ht="15" hidden="false" customHeight="false" outlineLevel="0" collapsed="false">
      <c r="A3616" s="0" t="s">
        <v>260</v>
      </c>
      <c r="B3616" s="52" t="n">
        <v>44539</v>
      </c>
      <c r="C3616" s="54" t="s">
        <v>591</v>
      </c>
      <c r="D3616" s="0" t="n">
        <v>0.0218453369649219</v>
      </c>
      <c r="E3616" s="0" t="n">
        <v>0.0293184381259244</v>
      </c>
      <c r="F3616" s="0" t="n">
        <v>0</v>
      </c>
      <c r="G3616" s="0" t="n">
        <v>2021</v>
      </c>
    </row>
    <row r="3617" customFormat="false" ht="15" hidden="false" customHeight="false" outlineLevel="0" collapsed="false">
      <c r="A3617" s="0" t="s">
        <v>260</v>
      </c>
      <c r="B3617" s="52" t="n">
        <v>44539</v>
      </c>
      <c r="C3617" s="54" t="s">
        <v>592</v>
      </c>
      <c r="D3617" s="0" t="n">
        <v>0.843700430643271</v>
      </c>
      <c r="E3617" s="0" t="n">
        <v>0.035894882567139</v>
      </c>
      <c r="F3617" s="0" t="n">
        <v>0</v>
      </c>
      <c r="G3617" s="0" t="n">
        <v>2021</v>
      </c>
    </row>
    <row r="3618" customFormat="false" ht="15" hidden="false" customHeight="false" outlineLevel="0" collapsed="false">
      <c r="A3618" s="0" t="s">
        <v>260</v>
      </c>
      <c r="B3618" s="52" t="n">
        <v>44540</v>
      </c>
      <c r="C3618" s="54" t="s">
        <v>590</v>
      </c>
      <c r="D3618" s="0" t="n">
        <v>0.539091911753688</v>
      </c>
      <c r="E3618" s="0" t="n">
        <v>0.0327014134544701</v>
      </c>
      <c r="F3618" s="0" t="n">
        <v>0</v>
      </c>
      <c r="G3618" s="0" t="n">
        <v>2021</v>
      </c>
    </row>
    <row r="3619" customFormat="false" ht="15" hidden="false" customHeight="false" outlineLevel="0" collapsed="false">
      <c r="A3619" s="0" t="s">
        <v>260</v>
      </c>
      <c r="B3619" s="52" t="n">
        <v>44540</v>
      </c>
      <c r="C3619" s="54" t="s">
        <v>591</v>
      </c>
      <c r="D3619" s="0" t="n">
        <v>0.0036198314254905</v>
      </c>
      <c r="E3619" s="0" t="n">
        <v>0.154988495678987</v>
      </c>
      <c r="F3619" s="0" t="n">
        <v>0</v>
      </c>
      <c r="G3619" s="0" t="n">
        <v>2021</v>
      </c>
    </row>
    <row r="3620" customFormat="false" ht="15" hidden="false" customHeight="false" outlineLevel="0" collapsed="false">
      <c r="A3620" s="0" t="s">
        <v>260</v>
      </c>
      <c r="B3620" s="52" t="n">
        <v>44540</v>
      </c>
      <c r="C3620" s="54" t="s">
        <v>592</v>
      </c>
      <c r="D3620" s="0" t="n">
        <v>0.952854817159074</v>
      </c>
      <c r="E3620" s="0" t="n">
        <v>0.0411316946756866</v>
      </c>
      <c r="F3620" s="0" t="n">
        <v>0</v>
      </c>
      <c r="G3620" s="0" t="n">
        <v>2021</v>
      </c>
    </row>
    <row r="3621" customFormat="false" ht="15" hidden="false" customHeight="false" outlineLevel="0" collapsed="false">
      <c r="A3621" s="0" t="s">
        <v>260</v>
      </c>
      <c r="B3621" s="52" t="n">
        <v>44541</v>
      </c>
      <c r="C3621" s="54" t="s">
        <v>590</v>
      </c>
      <c r="D3621" s="0" t="n">
        <v>0.409974243959297</v>
      </c>
      <c r="E3621" s="0" t="n">
        <v>0.0509503102517643</v>
      </c>
      <c r="F3621" s="0" t="n">
        <v>1</v>
      </c>
      <c r="G3621" s="0" t="n">
        <v>2021</v>
      </c>
    </row>
    <row r="3622" customFormat="false" ht="15" hidden="false" customHeight="false" outlineLevel="0" collapsed="false">
      <c r="A3622" s="0" t="s">
        <v>260</v>
      </c>
      <c r="B3622" s="52" t="n">
        <v>44541</v>
      </c>
      <c r="C3622" s="54" t="s">
        <v>591</v>
      </c>
      <c r="D3622" s="0" t="n">
        <v>0.0113925578447877</v>
      </c>
      <c r="E3622" s="0" t="n">
        <v>0.0946141413461795</v>
      </c>
      <c r="F3622" s="0" t="n">
        <v>1</v>
      </c>
      <c r="G3622" s="0" t="n">
        <v>2021</v>
      </c>
    </row>
    <row r="3623" customFormat="false" ht="15" hidden="false" customHeight="false" outlineLevel="0" collapsed="false">
      <c r="A3623" s="0" t="s">
        <v>260</v>
      </c>
      <c r="B3623" s="52" t="n">
        <v>44541</v>
      </c>
      <c r="C3623" s="54" t="s">
        <v>592</v>
      </c>
      <c r="D3623" s="0" t="n">
        <v>0</v>
      </c>
      <c r="E3623" s="0" t="n">
        <v>1</v>
      </c>
      <c r="F3623" s="0" t="n">
        <v>1</v>
      </c>
      <c r="G3623" s="0" t="n">
        <v>2021</v>
      </c>
    </row>
    <row r="3624" customFormat="false" ht="15" hidden="false" customHeight="false" outlineLevel="0" collapsed="false">
      <c r="A3624" s="0" t="s">
        <v>260</v>
      </c>
      <c r="B3624" s="52" t="n">
        <v>44542</v>
      </c>
      <c r="C3624" s="54" t="s">
        <v>590</v>
      </c>
      <c r="D3624" s="0" t="n">
        <v>0.0451537945146071</v>
      </c>
      <c r="E3624" s="0" t="n">
        <v>0.0885715182895935</v>
      </c>
      <c r="F3624" s="0" t="n">
        <v>1</v>
      </c>
      <c r="G3624" s="0" t="n">
        <v>2021</v>
      </c>
    </row>
    <row r="3625" customFormat="false" ht="15" hidden="false" customHeight="false" outlineLevel="0" collapsed="false">
      <c r="A3625" s="0" t="s">
        <v>260</v>
      </c>
      <c r="B3625" s="52" t="n">
        <v>44542</v>
      </c>
      <c r="C3625" s="54" t="s">
        <v>591</v>
      </c>
      <c r="D3625" s="0" t="n">
        <v>0.039897019186472</v>
      </c>
      <c r="E3625" s="0" t="n">
        <v>0.0856636721929658</v>
      </c>
      <c r="F3625" s="0" t="n">
        <v>1</v>
      </c>
      <c r="G3625" s="0" t="n">
        <v>2021</v>
      </c>
    </row>
    <row r="3626" customFormat="false" ht="15" hidden="false" customHeight="false" outlineLevel="0" collapsed="false">
      <c r="A3626" s="0" t="s">
        <v>260</v>
      </c>
      <c r="B3626" s="52" t="n">
        <v>44542</v>
      </c>
      <c r="C3626" s="54" t="s">
        <v>592</v>
      </c>
      <c r="D3626" s="0" t="n">
        <v>0.639775011676611</v>
      </c>
      <c r="E3626" s="0" t="n">
        <v>0.0099539087266253</v>
      </c>
      <c r="F3626" s="0" t="n">
        <v>1</v>
      </c>
      <c r="G3626" s="0" t="n">
        <v>2021</v>
      </c>
    </row>
    <row r="3627" customFormat="false" ht="15" hidden="false" customHeight="false" outlineLevel="0" collapsed="false">
      <c r="A3627" s="0" t="s">
        <v>260</v>
      </c>
      <c r="B3627" s="52" t="n">
        <v>44543</v>
      </c>
      <c r="C3627" s="54" t="s">
        <v>590</v>
      </c>
      <c r="D3627" s="0" t="n">
        <v>0.360019173801031</v>
      </c>
      <c r="E3627" s="0" t="n">
        <v>0.0695597776002859</v>
      </c>
      <c r="F3627" s="0" t="n">
        <v>0</v>
      </c>
      <c r="G3627" s="0" t="n">
        <v>2021</v>
      </c>
    </row>
    <row r="3628" customFormat="false" ht="15" hidden="false" customHeight="false" outlineLevel="0" collapsed="false">
      <c r="A3628" s="0" t="s">
        <v>260</v>
      </c>
      <c r="B3628" s="52" t="n">
        <v>44543</v>
      </c>
      <c r="C3628" s="54" t="s">
        <v>592</v>
      </c>
      <c r="D3628" s="0" t="n">
        <v>1</v>
      </c>
      <c r="E3628" s="0" t="n">
        <v>0</v>
      </c>
      <c r="F3628" s="0" t="n">
        <v>0</v>
      </c>
      <c r="G3628" s="0" t="n">
        <v>2021</v>
      </c>
    </row>
    <row r="3629" customFormat="false" ht="15" hidden="false" customHeight="false" outlineLevel="0" collapsed="false">
      <c r="A3629" s="0" t="s">
        <v>260</v>
      </c>
      <c r="B3629" s="52" t="n">
        <v>44544</v>
      </c>
      <c r="C3629" s="54" t="s">
        <v>590</v>
      </c>
      <c r="D3629" s="0" t="n">
        <v>0.0127435589975595</v>
      </c>
      <c r="E3629" s="0" t="n">
        <v>0.0549887820377234</v>
      </c>
      <c r="F3629" s="0" t="n">
        <v>0</v>
      </c>
      <c r="G3629" s="0" t="n">
        <v>2021</v>
      </c>
    </row>
    <row r="3630" customFormat="false" ht="15" hidden="false" customHeight="false" outlineLevel="0" collapsed="false">
      <c r="A3630" s="0" t="s">
        <v>260</v>
      </c>
      <c r="B3630" s="52" t="n">
        <v>44544</v>
      </c>
      <c r="C3630" s="54" t="s">
        <v>591</v>
      </c>
      <c r="D3630" s="0" t="n">
        <v>0.0098269143370723</v>
      </c>
      <c r="E3630" s="0" t="n">
        <v>0.113823740216722</v>
      </c>
      <c r="F3630" s="0" t="n">
        <v>0</v>
      </c>
      <c r="G3630" s="0" t="n">
        <v>2021</v>
      </c>
    </row>
    <row r="3631" customFormat="false" ht="15" hidden="false" customHeight="false" outlineLevel="0" collapsed="false">
      <c r="A3631" s="0" t="s">
        <v>260</v>
      </c>
      <c r="B3631" s="52" t="n">
        <v>44544</v>
      </c>
      <c r="C3631" s="54" t="s">
        <v>592</v>
      </c>
      <c r="D3631" s="0" t="n">
        <v>1</v>
      </c>
      <c r="E3631" s="0" t="n">
        <v>0</v>
      </c>
      <c r="F3631" s="0" t="n">
        <v>0</v>
      </c>
      <c r="G3631" s="0" t="n">
        <v>2021</v>
      </c>
    </row>
    <row r="3632" customFormat="false" ht="15" hidden="false" customHeight="false" outlineLevel="0" collapsed="false">
      <c r="A3632" s="0" t="s">
        <v>260</v>
      </c>
      <c r="B3632" s="52" t="n">
        <v>44545</v>
      </c>
      <c r="C3632" s="54" t="s">
        <v>590</v>
      </c>
      <c r="D3632" s="0" t="n">
        <v>0.314174347184678</v>
      </c>
      <c r="E3632" s="0" t="n">
        <v>0.0472606653958328</v>
      </c>
      <c r="F3632" s="0" t="n">
        <v>0</v>
      </c>
      <c r="G3632" s="0" t="n">
        <v>2021</v>
      </c>
    </row>
    <row r="3633" customFormat="false" ht="15" hidden="false" customHeight="false" outlineLevel="0" collapsed="false">
      <c r="A3633" s="0" t="s">
        <v>260</v>
      </c>
      <c r="B3633" s="52" t="n">
        <v>44545</v>
      </c>
      <c r="C3633" s="54" t="s">
        <v>591</v>
      </c>
      <c r="D3633" s="0" t="n">
        <v>0.109959337103264</v>
      </c>
      <c r="E3633" s="0" t="n">
        <v>0.0510489722375938</v>
      </c>
      <c r="F3633" s="0" t="n">
        <v>0</v>
      </c>
      <c r="G3633" s="0" t="n">
        <v>2021</v>
      </c>
    </row>
    <row r="3634" customFormat="false" ht="15" hidden="false" customHeight="false" outlineLevel="0" collapsed="false">
      <c r="A3634" s="0" t="s">
        <v>260</v>
      </c>
      <c r="B3634" s="52" t="n">
        <v>44545</v>
      </c>
      <c r="C3634" s="54" t="s">
        <v>592</v>
      </c>
      <c r="D3634" s="0" t="n">
        <v>1</v>
      </c>
      <c r="E3634" s="0" t="n">
        <v>0</v>
      </c>
      <c r="F3634" s="0" t="n">
        <v>0</v>
      </c>
      <c r="G3634" s="0" t="n">
        <v>2021</v>
      </c>
    </row>
    <row r="3635" customFormat="false" ht="15" hidden="false" customHeight="false" outlineLevel="0" collapsed="false">
      <c r="A3635" s="0" t="s">
        <v>260</v>
      </c>
      <c r="B3635" s="52" t="n">
        <v>44546</v>
      </c>
      <c r="C3635" s="54" t="s">
        <v>590</v>
      </c>
      <c r="D3635" s="0" t="n">
        <v>0.0215040143747055</v>
      </c>
      <c r="E3635" s="0" t="n">
        <v>0.0280129261309267</v>
      </c>
      <c r="F3635" s="0" t="n">
        <v>0</v>
      </c>
      <c r="G3635" s="0" t="n">
        <v>2021</v>
      </c>
    </row>
    <row r="3636" customFormat="false" ht="15" hidden="false" customHeight="false" outlineLevel="0" collapsed="false">
      <c r="A3636" s="0" t="s">
        <v>260</v>
      </c>
      <c r="B3636" s="52" t="n">
        <v>44546</v>
      </c>
      <c r="C3636" s="54" t="s">
        <v>591</v>
      </c>
      <c r="D3636" s="0" t="n">
        <v>0.0022472414120237</v>
      </c>
      <c r="E3636" s="0" t="n">
        <v>0.0392864946827844</v>
      </c>
      <c r="F3636" s="0" t="n">
        <v>0</v>
      </c>
      <c r="G3636" s="0" t="n">
        <v>2021</v>
      </c>
    </row>
    <row r="3637" customFormat="false" ht="15" hidden="false" customHeight="false" outlineLevel="0" collapsed="false">
      <c r="A3637" s="0" t="s">
        <v>260</v>
      </c>
      <c r="B3637" s="52" t="n">
        <v>44546</v>
      </c>
      <c r="C3637" s="54" t="s">
        <v>592</v>
      </c>
      <c r="D3637" s="0" t="n">
        <v>0.637529385377024</v>
      </c>
      <c r="E3637" s="0" t="n">
        <v>0</v>
      </c>
      <c r="F3637" s="0" t="n">
        <v>0</v>
      </c>
      <c r="G3637" s="0" t="n">
        <v>2021</v>
      </c>
    </row>
    <row r="3638" customFormat="false" ht="15" hidden="false" customHeight="false" outlineLevel="0" collapsed="false">
      <c r="A3638" s="0" t="s">
        <v>260</v>
      </c>
      <c r="B3638" s="52" t="n">
        <v>44547</v>
      </c>
      <c r="C3638" s="54" t="s">
        <v>590</v>
      </c>
      <c r="D3638" s="0" t="n">
        <v>0.432535512001757</v>
      </c>
      <c r="E3638" s="0" t="n">
        <v>0.0601608886525322</v>
      </c>
      <c r="F3638" s="0" t="n">
        <v>0</v>
      </c>
      <c r="G3638" s="0" t="n">
        <v>2021</v>
      </c>
    </row>
    <row r="3639" customFormat="false" ht="15" hidden="false" customHeight="false" outlineLevel="0" collapsed="false">
      <c r="A3639" s="0" t="s">
        <v>260</v>
      </c>
      <c r="B3639" s="52" t="n">
        <v>44547</v>
      </c>
      <c r="C3639" s="54" t="s">
        <v>591</v>
      </c>
      <c r="D3639" s="0" t="n">
        <v>0.0374532014649922</v>
      </c>
      <c r="E3639" s="0" t="n">
        <v>0.0659755989901767</v>
      </c>
      <c r="F3639" s="0" t="n">
        <v>0</v>
      </c>
      <c r="G3639" s="0" t="n">
        <v>2021</v>
      </c>
    </row>
    <row r="3640" customFormat="false" ht="15" hidden="false" customHeight="false" outlineLevel="0" collapsed="false">
      <c r="A3640" s="0" t="s">
        <v>260</v>
      </c>
      <c r="B3640" s="52" t="n">
        <v>44547</v>
      </c>
      <c r="C3640" s="54" t="s">
        <v>592</v>
      </c>
      <c r="D3640" s="0" t="n">
        <v>1</v>
      </c>
      <c r="E3640" s="0" t="n">
        <v>0</v>
      </c>
      <c r="F3640" s="0" t="n">
        <v>0</v>
      </c>
      <c r="G3640" s="0" t="n">
        <v>2021</v>
      </c>
    </row>
    <row r="3641" customFormat="false" ht="15" hidden="false" customHeight="false" outlineLevel="0" collapsed="false">
      <c r="A3641" s="0" t="s">
        <v>260</v>
      </c>
      <c r="B3641" s="52" t="n">
        <v>44548</v>
      </c>
      <c r="C3641" s="54" t="s">
        <v>590</v>
      </c>
      <c r="D3641" s="0" t="n">
        <v>0.513828526590849</v>
      </c>
      <c r="E3641" s="0" t="n">
        <v>0.0252275328539771</v>
      </c>
      <c r="F3641" s="0" t="n">
        <v>1</v>
      </c>
      <c r="G3641" s="0" t="n">
        <v>2021</v>
      </c>
    </row>
    <row r="3642" customFormat="false" ht="15" hidden="false" customHeight="false" outlineLevel="0" collapsed="false">
      <c r="A3642" s="0" t="s">
        <v>260</v>
      </c>
      <c r="B3642" s="52" t="n">
        <v>44548</v>
      </c>
      <c r="C3642" s="54" t="s">
        <v>591</v>
      </c>
      <c r="D3642" s="0" t="n">
        <v>0.0149359881536319</v>
      </c>
      <c r="E3642" s="0" t="n">
        <v>0.0637731740639409</v>
      </c>
      <c r="F3642" s="0" t="n">
        <v>1</v>
      </c>
      <c r="G3642" s="0" t="n">
        <v>2021</v>
      </c>
    </row>
    <row r="3643" customFormat="false" ht="15" hidden="false" customHeight="false" outlineLevel="0" collapsed="false">
      <c r="A3643" s="0" t="s">
        <v>260</v>
      </c>
      <c r="B3643" s="52" t="n">
        <v>44548</v>
      </c>
      <c r="C3643" s="54" t="s">
        <v>592</v>
      </c>
      <c r="D3643" s="0" t="n">
        <v>1</v>
      </c>
      <c r="E3643" s="0" t="n">
        <v>0</v>
      </c>
      <c r="F3643" s="0" t="n">
        <v>1</v>
      </c>
      <c r="G3643" s="0" t="n">
        <v>2021</v>
      </c>
    </row>
    <row r="3644" customFormat="false" ht="15" hidden="false" customHeight="false" outlineLevel="0" collapsed="false">
      <c r="A3644" s="0" t="s">
        <v>260</v>
      </c>
      <c r="B3644" s="52" t="n">
        <v>44549</v>
      </c>
      <c r="C3644" s="54" t="s">
        <v>590</v>
      </c>
      <c r="D3644" s="0" t="n">
        <v>0.0404672883377762</v>
      </c>
      <c r="E3644" s="0" t="n">
        <v>0.104290805731991</v>
      </c>
      <c r="F3644" s="0" t="n">
        <v>1</v>
      </c>
      <c r="G3644" s="0" t="n">
        <v>2021</v>
      </c>
    </row>
    <row r="3645" customFormat="false" ht="15" hidden="false" customHeight="false" outlineLevel="0" collapsed="false">
      <c r="A3645" s="0" t="s">
        <v>260</v>
      </c>
      <c r="B3645" s="52" t="n">
        <v>44549</v>
      </c>
      <c r="C3645" s="54" t="s">
        <v>591</v>
      </c>
      <c r="D3645" s="0" t="n">
        <v>0.0876818523880772</v>
      </c>
      <c r="E3645" s="0" t="n">
        <v>0.0277805300574231</v>
      </c>
      <c r="F3645" s="0" t="n">
        <v>1</v>
      </c>
      <c r="G3645" s="0" t="n">
        <v>2021</v>
      </c>
    </row>
    <row r="3646" customFormat="false" ht="15" hidden="false" customHeight="false" outlineLevel="0" collapsed="false">
      <c r="A3646" s="0" t="s">
        <v>260</v>
      </c>
      <c r="B3646" s="52" t="n">
        <v>44549</v>
      </c>
      <c r="C3646" s="54" t="s">
        <v>592</v>
      </c>
      <c r="D3646" s="0" t="n">
        <v>1</v>
      </c>
      <c r="E3646" s="0" t="n">
        <v>0</v>
      </c>
      <c r="F3646" s="0" t="n">
        <v>1</v>
      </c>
      <c r="G3646" s="0" t="n">
        <v>2021</v>
      </c>
    </row>
    <row r="3647" customFormat="false" ht="15" hidden="false" customHeight="false" outlineLevel="0" collapsed="false">
      <c r="A3647" s="0" t="s">
        <v>260</v>
      </c>
      <c r="B3647" s="52" t="n">
        <v>44550</v>
      </c>
      <c r="C3647" s="54" t="s">
        <v>590</v>
      </c>
      <c r="D3647" s="0" t="n">
        <v>0.0181633697764841</v>
      </c>
      <c r="E3647" s="0" t="n">
        <v>0.0587207131798037</v>
      </c>
      <c r="F3647" s="0" t="n">
        <v>0</v>
      </c>
      <c r="G3647" s="0" t="n">
        <v>2021</v>
      </c>
    </row>
    <row r="3648" customFormat="false" ht="15" hidden="false" customHeight="false" outlineLevel="0" collapsed="false">
      <c r="A3648" s="0" t="s">
        <v>260</v>
      </c>
      <c r="B3648" s="52" t="n">
        <v>44550</v>
      </c>
      <c r="C3648" s="54" t="s">
        <v>591</v>
      </c>
      <c r="D3648" s="0" t="n">
        <v>0.0067372278260964</v>
      </c>
      <c r="E3648" s="0" t="n">
        <v>0.0337989835623399</v>
      </c>
      <c r="F3648" s="0" t="n">
        <v>0</v>
      </c>
      <c r="G3648" s="0" t="n">
        <v>2021</v>
      </c>
    </row>
    <row r="3649" customFormat="false" ht="15" hidden="false" customHeight="false" outlineLevel="0" collapsed="false">
      <c r="A3649" s="0" t="s">
        <v>260</v>
      </c>
      <c r="B3649" s="52" t="n">
        <v>44550</v>
      </c>
      <c r="C3649" s="54" t="s">
        <v>592</v>
      </c>
      <c r="D3649" s="0" t="n">
        <v>0.397097017584674</v>
      </c>
      <c r="E3649" s="0" t="n">
        <v>0.57418157431923</v>
      </c>
      <c r="F3649" s="0" t="n">
        <v>0</v>
      </c>
      <c r="G3649" s="0" t="n">
        <v>2021</v>
      </c>
    </row>
    <row r="3650" customFormat="false" ht="15" hidden="false" customHeight="false" outlineLevel="0" collapsed="false">
      <c r="A3650" s="0" t="s">
        <v>260</v>
      </c>
      <c r="B3650" s="52" t="n">
        <v>44551</v>
      </c>
      <c r="C3650" s="54" t="s">
        <v>590</v>
      </c>
      <c r="D3650" s="0" t="n">
        <v>0.0191465428830226</v>
      </c>
      <c r="E3650" s="0" t="n">
        <v>0.0824232651657554</v>
      </c>
      <c r="F3650" s="0" t="n">
        <v>0</v>
      </c>
      <c r="G3650" s="0" t="n">
        <v>2021</v>
      </c>
    </row>
    <row r="3651" customFormat="false" ht="15" hidden="false" customHeight="false" outlineLevel="0" collapsed="false">
      <c r="A3651" s="0" t="s">
        <v>260</v>
      </c>
      <c r="B3651" s="52" t="n">
        <v>44551</v>
      </c>
      <c r="C3651" s="54" t="s">
        <v>591</v>
      </c>
      <c r="D3651" s="0" t="n">
        <v>0.0396026923743475</v>
      </c>
      <c r="E3651" s="0" t="n">
        <v>0.0431791725999601</v>
      </c>
      <c r="F3651" s="0" t="n">
        <v>0</v>
      </c>
      <c r="G3651" s="0" t="n">
        <v>2021</v>
      </c>
    </row>
    <row r="3652" customFormat="false" ht="15" hidden="false" customHeight="false" outlineLevel="0" collapsed="false">
      <c r="A3652" s="0" t="s">
        <v>260</v>
      </c>
      <c r="B3652" s="52" t="n">
        <v>44551</v>
      </c>
      <c r="C3652" s="54" t="s">
        <v>592</v>
      </c>
      <c r="D3652" s="0" t="n">
        <v>1</v>
      </c>
      <c r="E3652" s="0" t="n">
        <v>0</v>
      </c>
      <c r="F3652" s="0" t="n">
        <v>0</v>
      </c>
      <c r="G3652" s="0" t="n">
        <v>2021</v>
      </c>
    </row>
    <row r="3653" customFormat="false" ht="15" hidden="false" customHeight="false" outlineLevel="0" collapsed="false">
      <c r="A3653" s="0" t="s">
        <v>260</v>
      </c>
      <c r="B3653" s="52" t="n">
        <v>44552</v>
      </c>
      <c r="C3653" s="54" t="s">
        <v>590</v>
      </c>
      <c r="D3653" s="0" t="n">
        <v>0.22027643525642</v>
      </c>
      <c r="E3653" s="0" t="n">
        <v>0.0302627014580101</v>
      </c>
      <c r="F3653" s="0" t="n">
        <v>0</v>
      </c>
      <c r="G3653" s="0" t="n">
        <v>2021</v>
      </c>
    </row>
    <row r="3654" customFormat="false" ht="15" hidden="false" customHeight="false" outlineLevel="0" collapsed="false">
      <c r="A3654" s="0" t="s">
        <v>260</v>
      </c>
      <c r="B3654" s="52" t="n">
        <v>44552</v>
      </c>
      <c r="C3654" s="54" t="s">
        <v>591</v>
      </c>
      <c r="D3654" s="0" t="n">
        <v>0.0100155512415926</v>
      </c>
      <c r="E3654" s="0" t="n">
        <v>0.0260141873146108</v>
      </c>
      <c r="F3654" s="0" t="n">
        <v>0</v>
      </c>
      <c r="G3654" s="0" t="n">
        <v>2021</v>
      </c>
    </row>
    <row r="3655" customFormat="false" ht="15" hidden="false" customHeight="false" outlineLevel="0" collapsed="false">
      <c r="A3655" s="0" t="s">
        <v>260</v>
      </c>
      <c r="B3655" s="52" t="n">
        <v>44552</v>
      </c>
      <c r="C3655" s="54" t="s">
        <v>592</v>
      </c>
      <c r="D3655" s="0" t="n">
        <v>0.574304006567646</v>
      </c>
      <c r="E3655" s="0" t="n">
        <v>0.0091543786849829</v>
      </c>
      <c r="F3655" s="0" t="n">
        <v>0</v>
      </c>
      <c r="G3655" s="0" t="n">
        <v>2021</v>
      </c>
    </row>
    <row r="3656" customFormat="false" ht="15" hidden="false" customHeight="false" outlineLevel="0" collapsed="false">
      <c r="A3656" s="0" t="s">
        <v>260</v>
      </c>
      <c r="B3656" s="52" t="n">
        <v>44553</v>
      </c>
      <c r="C3656" s="54" t="s">
        <v>590</v>
      </c>
      <c r="D3656" s="0" t="n">
        <v>0.011427451050961</v>
      </c>
      <c r="E3656" s="0" t="n">
        <v>0.0383660309396775</v>
      </c>
      <c r="F3656" s="0" t="n">
        <v>0</v>
      </c>
      <c r="G3656" s="0" t="n">
        <v>2021</v>
      </c>
    </row>
    <row r="3657" customFormat="false" ht="15" hidden="false" customHeight="false" outlineLevel="0" collapsed="false">
      <c r="A3657" s="0" t="s">
        <v>260</v>
      </c>
      <c r="B3657" s="52" t="n">
        <v>44553</v>
      </c>
      <c r="C3657" s="54" t="s">
        <v>591</v>
      </c>
      <c r="D3657" s="0" t="n">
        <v>0.136845248710256</v>
      </c>
      <c r="E3657" s="0" t="n">
        <v>0.0851927202430384</v>
      </c>
      <c r="F3657" s="0" t="n">
        <v>0</v>
      </c>
      <c r="G3657" s="0" t="n">
        <v>2021</v>
      </c>
    </row>
    <row r="3658" customFormat="false" ht="15" hidden="false" customHeight="false" outlineLevel="0" collapsed="false">
      <c r="A3658" s="0" t="s">
        <v>260</v>
      </c>
      <c r="B3658" s="52" t="n">
        <v>44553</v>
      </c>
      <c r="C3658" s="54" t="s">
        <v>592</v>
      </c>
      <c r="D3658" s="0" t="n">
        <v>1</v>
      </c>
      <c r="E3658" s="0" t="n">
        <v>0</v>
      </c>
      <c r="F3658" s="0" t="n">
        <v>0</v>
      </c>
      <c r="G3658" s="0" t="n">
        <v>2021</v>
      </c>
    </row>
    <row r="3659" customFormat="false" ht="15" hidden="false" customHeight="false" outlineLevel="0" collapsed="false">
      <c r="A3659" s="0" t="s">
        <v>260</v>
      </c>
      <c r="B3659" s="52" t="n">
        <v>44554</v>
      </c>
      <c r="C3659" s="54" t="s">
        <v>590</v>
      </c>
      <c r="D3659" s="0" t="n">
        <v>0.028215873759353</v>
      </c>
      <c r="E3659" s="0" t="n">
        <v>0.138830196439263</v>
      </c>
      <c r="F3659" s="0" t="n">
        <v>0</v>
      </c>
      <c r="G3659" s="0" t="n">
        <v>2021</v>
      </c>
    </row>
    <row r="3660" customFormat="false" ht="15" hidden="false" customHeight="false" outlineLevel="0" collapsed="false">
      <c r="A3660" s="0" t="s">
        <v>260</v>
      </c>
      <c r="B3660" s="52" t="n">
        <v>44554</v>
      </c>
      <c r="C3660" s="54" t="s">
        <v>592</v>
      </c>
      <c r="D3660" s="0" t="n">
        <v>1</v>
      </c>
      <c r="E3660" s="0" t="n">
        <v>0</v>
      </c>
      <c r="F3660" s="0" t="n">
        <v>0</v>
      </c>
      <c r="G3660" s="0" t="n">
        <v>2021</v>
      </c>
    </row>
    <row r="3661" customFormat="false" ht="15" hidden="false" customHeight="false" outlineLevel="0" collapsed="false">
      <c r="A3661" s="0" t="s">
        <v>260</v>
      </c>
      <c r="B3661" s="52" t="n">
        <v>44555</v>
      </c>
      <c r="C3661" s="54" t="s">
        <v>590</v>
      </c>
      <c r="D3661" s="0" t="n">
        <v>0.0931044852073743</v>
      </c>
      <c r="E3661" s="0" t="n">
        <v>0.224165418713444</v>
      </c>
      <c r="F3661" s="0" t="n">
        <v>1</v>
      </c>
      <c r="G3661" s="0" t="n">
        <v>2021</v>
      </c>
    </row>
    <row r="3662" customFormat="false" ht="15" hidden="false" customHeight="false" outlineLevel="0" collapsed="false">
      <c r="A3662" s="0" t="s">
        <v>260</v>
      </c>
      <c r="B3662" s="52" t="n">
        <v>44555</v>
      </c>
      <c r="C3662" s="54" t="s">
        <v>591</v>
      </c>
      <c r="D3662" s="0" t="n">
        <v>0.0253715149951123</v>
      </c>
      <c r="E3662" s="0" t="n">
        <v>0.0171219496052483</v>
      </c>
      <c r="F3662" s="0" t="n">
        <v>1</v>
      </c>
      <c r="G3662" s="0" t="n">
        <v>2021</v>
      </c>
    </row>
    <row r="3663" customFormat="false" ht="15" hidden="false" customHeight="false" outlineLevel="0" collapsed="false">
      <c r="A3663" s="0" t="s">
        <v>260</v>
      </c>
      <c r="B3663" s="52" t="n">
        <v>44555</v>
      </c>
      <c r="C3663" s="54" t="s">
        <v>592</v>
      </c>
      <c r="D3663" s="0" t="n">
        <v>0.999709622139683</v>
      </c>
      <c r="E3663" s="0" t="n">
        <v>0</v>
      </c>
      <c r="F3663" s="0" t="n">
        <v>1</v>
      </c>
      <c r="G3663" s="0" t="n">
        <v>2021</v>
      </c>
    </row>
    <row r="3664" customFormat="false" ht="15" hidden="false" customHeight="false" outlineLevel="0" collapsed="false">
      <c r="A3664" s="0" t="s">
        <v>260</v>
      </c>
      <c r="B3664" s="52" t="n">
        <v>44556</v>
      </c>
      <c r="C3664" s="54" t="s">
        <v>590</v>
      </c>
      <c r="D3664" s="0" t="n">
        <v>0.0968237491238406</v>
      </c>
      <c r="E3664" s="0" t="n">
        <v>0.180584440534275</v>
      </c>
      <c r="F3664" s="0" t="n">
        <v>1</v>
      </c>
      <c r="G3664" s="0" t="n">
        <v>2021</v>
      </c>
    </row>
    <row r="3665" customFormat="false" ht="15" hidden="false" customHeight="false" outlineLevel="0" collapsed="false">
      <c r="A3665" s="0" t="s">
        <v>260</v>
      </c>
      <c r="B3665" s="52" t="n">
        <v>44556</v>
      </c>
      <c r="C3665" s="54" t="s">
        <v>591</v>
      </c>
      <c r="D3665" s="0" t="n">
        <v>0.0443442029703299</v>
      </c>
      <c r="E3665" s="0" t="n">
        <v>0.0641838990803874</v>
      </c>
      <c r="F3665" s="0" t="n">
        <v>1</v>
      </c>
      <c r="G3665" s="0" t="n">
        <v>2021</v>
      </c>
    </row>
    <row r="3666" customFormat="false" ht="15" hidden="false" customHeight="false" outlineLevel="0" collapsed="false">
      <c r="A3666" s="0" t="s">
        <v>260</v>
      </c>
      <c r="B3666" s="52" t="n">
        <v>44556</v>
      </c>
      <c r="C3666" s="54" t="s">
        <v>592</v>
      </c>
      <c r="D3666" s="0" t="n">
        <v>0.988440798443107</v>
      </c>
      <c r="E3666" s="0" t="n">
        <v>0.0080737594514094</v>
      </c>
      <c r="F3666" s="0" t="n">
        <v>1</v>
      </c>
      <c r="G3666" s="0" t="n">
        <v>2021</v>
      </c>
    </row>
    <row r="3667" customFormat="false" ht="15" hidden="false" customHeight="false" outlineLevel="0" collapsed="false">
      <c r="A3667" s="0" t="s">
        <v>260</v>
      </c>
      <c r="B3667" s="52" t="n">
        <v>44557</v>
      </c>
      <c r="C3667" s="54" t="s">
        <v>590</v>
      </c>
      <c r="D3667" s="0" t="n">
        <v>0.0625607186918067</v>
      </c>
      <c r="E3667" s="0" t="n">
        <v>0.135947922987384</v>
      </c>
      <c r="F3667" s="0" t="n">
        <v>0</v>
      </c>
      <c r="G3667" s="0" t="n">
        <v>2021</v>
      </c>
    </row>
    <row r="3668" customFormat="false" ht="15" hidden="false" customHeight="false" outlineLevel="0" collapsed="false">
      <c r="A3668" s="0" t="s">
        <v>260</v>
      </c>
      <c r="B3668" s="52" t="n">
        <v>44557</v>
      </c>
      <c r="C3668" s="54" t="s">
        <v>591</v>
      </c>
      <c r="D3668" s="0" t="n">
        <v>0.117986464778255</v>
      </c>
      <c r="E3668" s="0" t="n">
        <v>0.172876779583388</v>
      </c>
      <c r="F3668" s="0" t="n">
        <v>0</v>
      </c>
      <c r="G3668" s="0" t="n">
        <v>2021</v>
      </c>
    </row>
    <row r="3669" customFormat="false" ht="15" hidden="false" customHeight="false" outlineLevel="0" collapsed="false">
      <c r="A3669" s="0" t="s">
        <v>260</v>
      </c>
      <c r="B3669" s="52" t="n">
        <v>44557</v>
      </c>
      <c r="C3669" s="54" t="s">
        <v>592</v>
      </c>
      <c r="D3669" s="0" t="n">
        <v>1</v>
      </c>
      <c r="E3669" s="0" t="n">
        <v>0</v>
      </c>
      <c r="F3669" s="0" t="n">
        <v>0</v>
      </c>
      <c r="G3669" s="0" t="n">
        <v>2021</v>
      </c>
    </row>
    <row r="3670" customFormat="false" ht="15" hidden="false" customHeight="false" outlineLevel="0" collapsed="false">
      <c r="A3670" s="0" t="s">
        <v>260</v>
      </c>
      <c r="B3670" s="52" t="n">
        <v>44558</v>
      </c>
      <c r="C3670" s="54" t="s">
        <v>590</v>
      </c>
      <c r="D3670" s="0" t="n">
        <v>0.0543193686221956</v>
      </c>
      <c r="E3670" s="0" t="n">
        <v>0.0549785565086849</v>
      </c>
      <c r="F3670" s="0" t="n">
        <v>0</v>
      </c>
      <c r="G3670" s="0" t="n">
        <v>2021</v>
      </c>
    </row>
    <row r="3671" customFormat="false" ht="15" hidden="false" customHeight="false" outlineLevel="0" collapsed="false">
      <c r="A3671" s="0" t="s">
        <v>260</v>
      </c>
      <c r="B3671" s="52" t="n">
        <v>44558</v>
      </c>
      <c r="C3671" s="54" t="s">
        <v>591</v>
      </c>
      <c r="D3671" s="0" t="n">
        <v>0.043846606762166</v>
      </c>
      <c r="E3671" s="0" t="n">
        <v>0.0593756017650408</v>
      </c>
      <c r="F3671" s="0" t="n">
        <v>0</v>
      </c>
      <c r="G3671" s="0" t="n">
        <v>2021</v>
      </c>
    </row>
    <row r="3672" customFormat="false" ht="15" hidden="false" customHeight="false" outlineLevel="0" collapsed="false">
      <c r="A3672" s="0" t="s">
        <v>260</v>
      </c>
      <c r="B3672" s="52" t="n">
        <v>44558</v>
      </c>
      <c r="C3672" s="54" t="s">
        <v>592</v>
      </c>
      <c r="D3672" s="0" t="n">
        <v>1</v>
      </c>
      <c r="E3672" s="0" t="n">
        <v>0</v>
      </c>
      <c r="F3672" s="0" t="n">
        <v>0</v>
      </c>
      <c r="G3672" s="0" t="n">
        <v>2021</v>
      </c>
    </row>
    <row r="3673" customFormat="false" ht="15" hidden="false" customHeight="false" outlineLevel="0" collapsed="false">
      <c r="A3673" s="0" t="s">
        <v>260</v>
      </c>
      <c r="B3673" s="52" t="n">
        <v>44559</v>
      </c>
      <c r="C3673" s="54" t="s">
        <v>591</v>
      </c>
      <c r="D3673" s="0" t="n">
        <v>0.0060144963449923</v>
      </c>
      <c r="E3673" s="0" t="n">
        <v>0.11783413398983</v>
      </c>
      <c r="F3673" s="0" t="n">
        <v>0</v>
      </c>
      <c r="G3673" s="0" t="n">
        <v>2021</v>
      </c>
    </row>
    <row r="3674" customFormat="false" ht="15" hidden="false" customHeight="false" outlineLevel="0" collapsed="false">
      <c r="A3674" s="0" t="s">
        <v>260</v>
      </c>
      <c r="B3674" s="52" t="n">
        <v>44559</v>
      </c>
      <c r="C3674" s="54" t="s">
        <v>592</v>
      </c>
      <c r="D3674" s="0" t="n">
        <v>0.67510592550788</v>
      </c>
      <c r="E3674" s="0" t="n">
        <v>0.0610570678720545</v>
      </c>
      <c r="F3674" s="0" t="n">
        <v>0</v>
      </c>
      <c r="G3674" s="0" t="n">
        <v>2021</v>
      </c>
    </row>
    <row r="3675" customFormat="false" ht="15" hidden="false" customHeight="false" outlineLevel="0" collapsed="false">
      <c r="A3675" s="0" t="s">
        <v>260</v>
      </c>
      <c r="B3675" s="52" t="n">
        <v>44560</v>
      </c>
      <c r="C3675" s="54" t="s">
        <v>590</v>
      </c>
      <c r="D3675" s="0" t="n">
        <v>0.0485885394352641</v>
      </c>
      <c r="E3675" s="0" t="n">
        <v>0.0647598370954375</v>
      </c>
      <c r="F3675" s="0" t="n">
        <v>0</v>
      </c>
      <c r="G3675" s="0" t="n">
        <v>2021</v>
      </c>
    </row>
    <row r="3676" customFormat="false" ht="15" hidden="false" customHeight="false" outlineLevel="0" collapsed="false">
      <c r="A3676" s="0" t="s">
        <v>260</v>
      </c>
      <c r="B3676" s="52" t="n">
        <v>44560</v>
      </c>
      <c r="C3676" s="54" t="s">
        <v>591</v>
      </c>
      <c r="D3676" s="0" t="n">
        <v>0.0054967576500969</v>
      </c>
      <c r="E3676" s="0" t="n">
        <v>0.151768918122404</v>
      </c>
      <c r="F3676" s="0" t="n">
        <v>0</v>
      </c>
      <c r="G3676" s="0" t="n">
        <v>2021</v>
      </c>
    </row>
    <row r="3677" customFormat="false" ht="15" hidden="false" customHeight="false" outlineLevel="0" collapsed="false">
      <c r="A3677" s="0" t="s">
        <v>260</v>
      </c>
      <c r="B3677" s="52" t="n">
        <v>44560</v>
      </c>
      <c r="C3677" s="54" t="s">
        <v>592</v>
      </c>
      <c r="D3677" s="0" t="n">
        <v>0</v>
      </c>
      <c r="E3677" s="0" t="n">
        <v>1</v>
      </c>
      <c r="F3677" s="0" t="n">
        <v>0</v>
      </c>
      <c r="G3677" s="0" t="n">
        <v>2021</v>
      </c>
    </row>
    <row r="3678" customFormat="false" ht="15" hidden="false" customHeight="false" outlineLevel="0" collapsed="false">
      <c r="A3678" s="0" t="s">
        <v>260</v>
      </c>
      <c r="B3678" s="52" t="n">
        <v>44561</v>
      </c>
      <c r="C3678" s="54" t="s">
        <v>590</v>
      </c>
      <c r="D3678" s="0" t="n">
        <v>0.0360170379603469</v>
      </c>
      <c r="E3678" s="0" t="n">
        <v>0.0135328443835908</v>
      </c>
      <c r="F3678" s="0" t="n">
        <v>0</v>
      </c>
      <c r="G3678" s="0" t="n">
        <v>2021</v>
      </c>
    </row>
    <row r="3679" customFormat="false" ht="15" hidden="false" customHeight="false" outlineLevel="0" collapsed="false">
      <c r="A3679" s="0" t="s">
        <v>260</v>
      </c>
      <c r="B3679" s="52" t="n">
        <v>44562</v>
      </c>
      <c r="C3679" s="54" t="s">
        <v>590</v>
      </c>
      <c r="D3679" s="0" t="n">
        <v>0</v>
      </c>
      <c r="E3679" s="0" t="n">
        <v>1</v>
      </c>
      <c r="F3679" s="0" t="n">
        <v>1</v>
      </c>
      <c r="G3679" s="0" t="n">
        <v>2022</v>
      </c>
    </row>
    <row r="3680" customFormat="false" ht="15" hidden="false" customHeight="false" outlineLevel="0" collapsed="false">
      <c r="A3680" s="0" t="s">
        <v>260</v>
      </c>
      <c r="B3680" s="52" t="n">
        <v>44562</v>
      </c>
      <c r="C3680" s="54" t="s">
        <v>591</v>
      </c>
      <c r="D3680" s="0" t="n">
        <v>0.0176516776353882</v>
      </c>
      <c r="E3680" s="0" t="n">
        <v>0.0781358899257485</v>
      </c>
      <c r="F3680" s="0" t="n">
        <v>1</v>
      </c>
      <c r="G3680" s="0" t="n">
        <v>2022</v>
      </c>
    </row>
    <row r="3681" customFormat="false" ht="15" hidden="false" customHeight="false" outlineLevel="0" collapsed="false">
      <c r="A3681" s="0" t="s">
        <v>260</v>
      </c>
      <c r="B3681" s="52" t="n">
        <v>44562</v>
      </c>
      <c r="C3681" s="54" t="s">
        <v>592</v>
      </c>
      <c r="D3681" s="0" t="n">
        <v>0.003800187824633</v>
      </c>
      <c r="E3681" s="0" t="n">
        <v>0.0892258486817082</v>
      </c>
      <c r="F3681" s="0" t="n">
        <v>1</v>
      </c>
      <c r="G3681" s="0" t="n">
        <v>2022</v>
      </c>
    </row>
    <row r="3682" customFormat="false" ht="15" hidden="false" customHeight="false" outlineLevel="0" collapsed="false">
      <c r="A3682" s="0" t="s">
        <v>261</v>
      </c>
      <c r="B3682" s="52" t="n">
        <v>43830</v>
      </c>
      <c r="C3682" s="54" t="s">
        <v>592</v>
      </c>
      <c r="D3682" s="0" t="n">
        <v>0.334143333454311</v>
      </c>
      <c r="E3682" s="0" t="n">
        <v>0.0028883902189164</v>
      </c>
      <c r="F3682" s="0" t="n">
        <v>0</v>
      </c>
      <c r="G3682" s="0" t="n">
        <v>2019</v>
      </c>
    </row>
    <row r="3683" customFormat="false" ht="15" hidden="false" customHeight="false" outlineLevel="0" collapsed="false">
      <c r="A3683" s="0" t="s">
        <v>261</v>
      </c>
      <c r="B3683" s="52" t="n">
        <v>43831</v>
      </c>
      <c r="C3683" s="54" t="s">
        <v>591</v>
      </c>
      <c r="D3683" s="0" t="n">
        <v>1</v>
      </c>
      <c r="E3683" s="0" t="n">
        <v>0</v>
      </c>
      <c r="F3683" s="0" t="n">
        <v>0</v>
      </c>
      <c r="G3683" s="0" t="n">
        <v>2020</v>
      </c>
    </row>
    <row r="3684" customFormat="false" ht="15" hidden="false" customHeight="false" outlineLevel="0" collapsed="false">
      <c r="A3684" s="0" t="s">
        <v>261</v>
      </c>
      <c r="B3684" s="52" t="n">
        <v>43832</v>
      </c>
      <c r="C3684" s="54" t="s">
        <v>590</v>
      </c>
      <c r="D3684" s="0" t="n">
        <v>0.120565764713699</v>
      </c>
      <c r="E3684" s="0" t="n">
        <v>0.0045904444282424</v>
      </c>
      <c r="F3684" s="0" t="n">
        <v>0</v>
      </c>
      <c r="G3684" s="0" t="n">
        <v>2020</v>
      </c>
    </row>
    <row r="3685" customFormat="false" ht="15" hidden="false" customHeight="false" outlineLevel="0" collapsed="false">
      <c r="A3685" s="0" t="s">
        <v>261</v>
      </c>
      <c r="B3685" s="52" t="n">
        <v>43832</v>
      </c>
      <c r="C3685" s="54" t="s">
        <v>591</v>
      </c>
      <c r="D3685" s="0" t="n">
        <v>0.0472660979047872</v>
      </c>
      <c r="E3685" s="0" t="n">
        <v>0.0208490359141923</v>
      </c>
      <c r="F3685" s="0" t="n">
        <v>0</v>
      </c>
      <c r="G3685" s="0" t="n">
        <v>2020</v>
      </c>
    </row>
    <row r="3686" customFormat="false" ht="15" hidden="false" customHeight="false" outlineLevel="0" collapsed="false">
      <c r="A3686" s="0" t="s">
        <v>261</v>
      </c>
      <c r="B3686" s="52" t="n">
        <v>43832</v>
      </c>
      <c r="C3686" s="54" t="s">
        <v>592</v>
      </c>
      <c r="D3686" s="0" t="n">
        <v>0.398532388615841</v>
      </c>
      <c r="E3686" s="0" t="n">
        <v>0.0222477317669783</v>
      </c>
      <c r="F3686" s="0" t="n">
        <v>0</v>
      </c>
      <c r="G3686" s="0" t="n">
        <v>2020</v>
      </c>
    </row>
    <row r="3687" customFormat="false" ht="15" hidden="false" customHeight="false" outlineLevel="0" collapsed="false">
      <c r="A3687" s="0" t="s">
        <v>261</v>
      </c>
      <c r="B3687" s="52" t="n">
        <v>43833</v>
      </c>
      <c r="C3687" s="54" t="s">
        <v>590</v>
      </c>
      <c r="D3687" s="0" t="n">
        <v>0.375020969257892</v>
      </c>
      <c r="E3687" s="0" t="n">
        <v>0.0149381465684495</v>
      </c>
      <c r="F3687" s="0" t="n">
        <v>0</v>
      </c>
      <c r="G3687" s="0" t="n">
        <v>2020</v>
      </c>
    </row>
    <row r="3688" customFormat="false" ht="15" hidden="false" customHeight="false" outlineLevel="0" collapsed="false">
      <c r="A3688" s="0" t="s">
        <v>261</v>
      </c>
      <c r="B3688" s="52" t="n">
        <v>43833</v>
      </c>
      <c r="C3688" s="54" t="s">
        <v>591</v>
      </c>
      <c r="D3688" s="0" t="n">
        <v>0.0224680383391836</v>
      </c>
      <c r="E3688" s="0" t="n">
        <v>0.115877225825931</v>
      </c>
      <c r="F3688" s="0" t="n">
        <v>0</v>
      </c>
      <c r="G3688" s="0" t="n">
        <v>2020</v>
      </c>
    </row>
    <row r="3689" customFormat="false" ht="15" hidden="false" customHeight="false" outlineLevel="0" collapsed="false">
      <c r="A3689" s="0" t="s">
        <v>261</v>
      </c>
      <c r="B3689" s="52" t="n">
        <v>43833</v>
      </c>
      <c r="C3689" s="54" t="s">
        <v>592</v>
      </c>
      <c r="D3689" s="0" t="n">
        <v>0.557925467151342</v>
      </c>
      <c r="E3689" s="0" t="n">
        <v>0.0065748059570051</v>
      </c>
      <c r="F3689" s="0" t="n">
        <v>0</v>
      </c>
      <c r="G3689" s="0" t="n">
        <v>2020</v>
      </c>
    </row>
    <row r="3690" customFormat="false" ht="15" hidden="false" customHeight="false" outlineLevel="0" collapsed="false">
      <c r="A3690" s="0" t="s">
        <v>261</v>
      </c>
      <c r="B3690" s="52" t="n">
        <v>43834</v>
      </c>
      <c r="C3690" s="54" t="s">
        <v>590</v>
      </c>
      <c r="D3690" s="0" t="n">
        <v>0.0823550604939546</v>
      </c>
      <c r="E3690" s="0" t="n">
        <v>0.0118248063569537</v>
      </c>
      <c r="F3690" s="0" t="n">
        <v>1</v>
      </c>
      <c r="G3690" s="0" t="n">
        <v>2020</v>
      </c>
    </row>
    <row r="3691" customFormat="false" ht="15" hidden="false" customHeight="false" outlineLevel="0" collapsed="false">
      <c r="A3691" s="0" t="s">
        <v>261</v>
      </c>
      <c r="B3691" s="52" t="n">
        <v>43834</v>
      </c>
      <c r="C3691" s="54" t="s">
        <v>591</v>
      </c>
      <c r="D3691" s="0" t="n">
        <v>0.0452272553209013</v>
      </c>
      <c r="E3691" s="0" t="n">
        <v>0.0111012586929403</v>
      </c>
      <c r="F3691" s="0" t="n">
        <v>1</v>
      </c>
      <c r="G3691" s="0" t="n">
        <v>2020</v>
      </c>
    </row>
    <row r="3692" customFormat="false" ht="15" hidden="false" customHeight="false" outlineLevel="0" collapsed="false">
      <c r="A3692" s="0" t="s">
        <v>261</v>
      </c>
      <c r="B3692" s="52" t="n">
        <v>43834</v>
      </c>
      <c r="C3692" s="54" t="s">
        <v>592</v>
      </c>
      <c r="D3692" s="0" t="n">
        <v>0.254943630002784</v>
      </c>
      <c r="E3692" s="0" t="n">
        <v>0.0023058346615315</v>
      </c>
      <c r="F3692" s="0" t="n">
        <v>1</v>
      </c>
      <c r="G3692" s="0" t="n">
        <v>2020</v>
      </c>
    </row>
    <row r="3693" customFormat="false" ht="15" hidden="false" customHeight="false" outlineLevel="0" collapsed="false">
      <c r="A3693" s="0" t="s">
        <v>261</v>
      </c>
      <c r="B3693" s="52" t="n">
        <v>43835</v>
      </c>
      <c r="C3693" s="54" t="s">
        <v>590</v>
      </c>
      <c r="D3693" s="0" t="n">
        <v>0.99980122277657</v>
      </c>
      <c r="E3693" s="0" t="n">
        <v>0</v>
      </c>
      <c r="F3693" s="0" t="n">
        <v>1</v>
      </c>
      <c r="G3693" s="0" t="n">
        <v>2020</v>
      </c>
    </row>
    <row r="3694" customFormat="false" ht="15" hidden="false" customHeight="false" outlineLevel="0" collapsed="false">
      <c r="A3694" s="0" t="s">
        <v>261</v>
      </c>
      <c r="B3694" s="52" t="n">
        <v>43836</v>
      </c>
      <c r="C3694" s="54" t="s">
        <v>590</v>
      </c>
      <c r="D3694" s="0" t="n">
        <v>0.589923340269417</v>
      </c>
      <c r="E3694" s="0" t="n">
        <v>0.0070310848496158</v>
      </c>
      <c r="F3694" s="0" t="n">
        <v>0</v>
      </c>
      <c r="G3694" s="0" t="n">
        <v>2020</v>
      </c>
    </row>
    <row r="3695" customFormat="false" ht="15" hidden="false" customHeight="false" outlineLevel="0" collapsed="false">
      <c r="A3695" s="0" t="s">
        <v>261</v>
      </c>
      <c r="B3695" s="52" t="n">
        <v>43836</v>
      </c>
      <c r="C3695" s="54" t="s">
        <v>591</v>
      </c>
      <c r="D3695" s="0" t="n">
        <v>0.0385496556534055</v>
      </c>
      <c r="E3695" s="0" t="n">
        <v>0.1952868045658</v>
      </c>
      <c r="F3695" s="0" t="n">
        <v>0</v>
      </c>
      <c r="G3695" s="0" t="n">
        <v>2020</v>
      </c>
    </row>
    <row r="3696" customFormat="false" ht="15" hidden="false" customHeight="false" outlineLevel="0" collapsed="false">
      <c r="A3696" s="0" t="s">
        <v>261</v>
      </c>
      <c r="B3696" s="52" t="n">
        <v>43836</v>
      </c>
      <c r="C3696" s="54" t="s">
        <v>592</v>
      </c>
      <c r="D3696" s="0" t="n">
        <v>0.0449581689042056</v>
      </c>
      <c r="E3696" s="0" t="n">
        <v>0.205410825637045</v>
      </c>
      <c r="F3696" s="0" t="n">
        <v>0</v>
      </c>
      <c r="G3696" s="0" t="n">
        <v>2020</v>
      </c>
    </row>
    <row r="3697" customFormat="false" ht="15" hidden="false" customHeight="false" outlineLevel="0" collapsed="false">
      <c r="A3697" s="0" t="s">
        <v>261</v>
      </c>
      <c r="B3697" s="52" t="n">
        <v>43837</v>
      </c>
      <c r="C3697" s="54" t="s">
        <v>590</v>
      </c>
      <c r="D3697" s="0" t="n">
        <v>0.555563949692474</v>
      </c>
      <c r="E3697" s="0" t="n">
        <v>0</v>
      </c>
      <c r="F3697" s="0" t="n">
        <v>0</v>
      </c>
      <c r="G3697" s="0" t="n">
        <v>2020</v>
      </c>
    </row>
    <row r="3698" customFormat="false" ht="15" hidden="false" customHeight="false" outlineLevel="0" collapsed="false">
      <c r="A3698" s="0" t="s">
        <v>261</v>
      </c>
      <c r="B3698" s="52" t="n">
        <v>43837</v>
      </c>
      <c r="C3698" s="54" t="s">
        <v>591</v>
      </c>
      <c r="D3698" s="0" t="n">
        <v>0.0095839956592253</v>
      </c>
      <c r="E3698" s="0" t="n">
        <v>0.0054869864122311</v>
      </c>
      <c r="F3698" s="0" t="n">
        <v>0</v>
      </c>
      <c r="G3698" s="0" t="n">
        <v>2020</v>
      </c>
    </row>
    <row r="3699" customFormat="false" ht="15" hidden="false" customHeight="false" outlineLevel="0" collapsed="false">
      <c r="A3699" s="0" t="s">
        <v>261</v>
      </c>
      <c r="B3699" s="52" t="n">
        <v>43837</v>
      </c>
      <c r="C3699" s="54" t="s">
        <v>592</v>
      </c>
      <c r="D3699" s="0" t="n">
        <v>0.198251147498563</v>
      </c>
      <c r="E3699" s="0" t="n">
        <v>0.0313968510976915</v>
      </c>
      <c r="F3699" s="0" t="n">
        <v>0</v>
      </c>
      <c r="G3699" s="0" t="n">
        <v>2020</v>
      </c>
    </row>
    <row r="3700" customFormat="false" ht="15" hidden="false" customHeight="false" outlineLevel="0" collapsed="false">
      <c r="A3700" s="0" t="s">
        <v>261</v>
      </c>
      <c r="B3700" s="52" t="n">
        <v>43838</v>
      </c>
      <c r="C3700" s="54" t="s">
        <v>590</v>
      </c>
      <c r="D3700" s="0" t="n">
        <v>0.619509838998739</v>
      </c>
      <c r="E3700" s="0" t="n">
        <v>0</v>
      </c>
      <c r="F3700" s="0" t="n">
        <v>0</v>
      </c>
      <c r="G3700" s="0" t="n">
        <v>2020</v>
      </c>
    </row>
    <row r="3701" customFormat="false" ht="15" hidden="false" customHeight="false" outlineLevel="0" collapsed="false">
      <c r="A3701" s="0" t="s">
        <v>261</v>
      </c>
      <c r="B3701" s="52" t="n">
        <v>43838</v>
      </c>
      <c r="C3701" s="54" t="s">
        <v>591</v>
      </c>
      <c r="D3701" s="0" t="n">
        <v>0.0181936772734897</v>
      </c>
      <c r="E3701" s="0" t="n">
        <v>0.0126308651530317</v>
      </c>
      <c r="F3701" s="0" t="n">
        <v>0</v>
      </c>
      <c r="G3701" s="0" t="n">
        <v>2020</v>
      </c>
    </row>
    <row r="3702" customFormat="false" ht="15" hidden="false" customHeight="false" outlineLevel="0" collapsed="false">
      <c r="A3702" s="0" t="s">
        <v>261</v>
      </c>
      <c r="B3702" s="52" t="n">
        <v>43838</v>
      </c>
      <c r="C3702" s="54" t="s">
        <v>592</v>
      </c>
      <c r="D3702" s="0" t="n">
        <v>0.158816736724578</v>
      </c>
      <c r="E3702" s="0" t="n">
        <v>0.063767186803301</v>
      </c>
      <c r="F3702" s="0" t="n">
        <v>0</v>
      </c>
      <c r="G3702" s="0" t="n">
        <v>2020</v>
      </c>
    </row>
    <row r="3703" customFormat="false" ht="15" hidden="false" customHeight="false" outlineLevel="0" collapsed="false">
      <c r="A3703" s="0" t="s">
        <v>261</v>
      </c>
      <c r="B3703" s="52" t="n">
        <v>43839</v>
      </c>
      <c r="C3703" s="54" t="s">
        <v>590</v>
      </c>
      <c r="D3703" s="0" t="n">
        <v>0.347941177647923</v>
      </c>
      <c r="E3703" s="0" t="n">
        <v>0</v>
      </c>
      <c r="F3703" s="0" t="n">
        <v>0</v>
      </c>
      <c r="G3703" s="0" t="n">
        <v>2020</v>
      </c>
    </row>
    <row r="3704" customFormat="false" ht="15" hidden="false" customHeight="false" outlineLevel="0" collapsed="false">
      <c r="A3704" s="0" t="s">
        <v>261</v>
      </c>
      <c r="B3704" s="52" t="n">
        <v>43839</v>
      </c>
      <c r="C3704" s="54" t="s">
        <v>591</v>
      </c>
      <c r="D3704" s="0" t="n">
        <v>0.0077350022336569</v>
      </c>
      <c r="E3704" s="0" t="n">
        <v>0.1646113623284</v>
      </c>
      <c r="F3704" s="0" t="n">
        <v>0</v>
      </c>
      <c r="G3704" s="0" t="n">
        <v>2020</v>
      </c>
    </row>
    <row r="3705" customFormat="false" ht="15" hidden="false" customHeight="false" outlineLevel="0" collapsed="false">
      <c r="A3705" s="0" t="s">
        <v>261</v>
      </c>
      <c r="B3705" s="52" t="n">
        <v>43839</v>
      </c>
      <c r="C3705" s="54" t="s">
        <v>592</v>
      </c>
      <c r="D3705" s="0" t="n">
        <v>0.291574879248115</v>
      </c>
      <c r="E3705" s="0" t="n">
        <v>0.0226327179003986</v>
      </c>
      <c r="F3705" s="0" t="n">
        <v>0</v>
      </c>
      <c r="G3705" s="0" t="n">
        <v>2020</v>
      </c>
    </row>
    <row r="3706" customFormat="false" ht="15" hidden="false" customHeight="false" outlineLevel="0" collapsed="false">
      <c r="A3706" s="0" t="s">
        <v>261</v>
      </c>
      <c r="B3706" s="52" t="n">
        <v>43840</v>
      </c>
      <c r="C3706" s="54" t="s">
        <v>590</v>
      </c>
      <c r="D3706" s="0" t="n">
        <v>0.257881076956098</v>
      </c>
      <c r="E3706" s="0" t="n">
        <v>0</v>
      </c>
      <c r="F3706" s="0" t="n">
        <v>0</v>
      </c>
      <c r="G3706" s="0" t="n">
        <v>2020</v>
      </c>
    </row>
    <row r="3707" customFormat="false" ht="15" hidden="false" customHeight="false" outlineLevel="0" collapsed="false">
      <c r="A3707" s="0" t="s">
        <v>261</v>
      </c>
      <c r="B3707" s="52" t="n">
        <v>43840</v>
      </c>
      <c r="C3707" s="54" t="s">
        <v>591</v>
      </c>
      <c r="D3707" s="0" t="n">
        <v>0.412974056097824</v>
      </c>
      <c r="E3707" s="0" t="n">
        <v>0.0136764410015194</v>
      </c>
      <c r="F3707" s="0" t="n">
        <v>0</v>
      </c>
      <c r="G3707" s="0" t="n">
        <v>2020</v>
      </c>
    </row>
    <row r="3708" customFormat="false" ht="15" hidden="false" customHeight="false" outlineLevel="0" collapsed="false">
      <c r="A3708" s="0" t="s">
        <v>261</v>
      </c>
      <c r="B3708" s="52" t="n">
        <v>43840</v>
      </c>
      <c r="C3708" s="54" t="s">
        <v>592</v>
      </c>
      <c r="D3708" s="0" t="n">
        <v>0.503754377334027</v>
      </c>
      <c r="E3708" s="0" t="n">
        <v>0.0078496012960792</v>
      </c>
      <c r="F3708" s="0" t="n">
        <v>0</v>
      </c>
      <c r="G3708" s="0" t="n">
        <v>2020</v>
      </c>
    </row>
    <row r="3709" customFormat="false" ht="15" hidden="false" customHeight="false" outlineLevel="0" collapsed="false">
      <c r="A3709" s="0" t="s">
        <v>261</v>
      </c>
      <c r="B3709" s="52" t="n">
        <v>43842</v>
      </c>
      <c r="C3709" s="54" t="s">
        <v>591</v>
      </c>
      <c r="D3709" s="0" t="n">
        <v>0.882157115835871</v>
      </c>
      <c r="E3709" s="0" t="n">
        <v>0</v>
      </c>
      <c r="F3709" s="0" t="n">
        <v>1</v>
      </c>
      <c r="G3709" s="0" t="n">
        <v>2020</v>
      </c>
    </row>
    <row r="3710" customFormat="false" ht="15" hidden="false" customHeight="false" outlineLevel="0" collapsed="false">
      <c r="A3710" s="0" t="s">
        <v>261</v>
      </c>
      <c r="B3710" s="52" t="n">
        <v>43842</v>
      </c>
      <c r="C3710" s="54" t="s">
        <v>592</v>
      </c>
      <c r="D3710" s="0" t="n">
        <v>0.471964736460301</v>
      </c>
      <c r="E3710" s="0" t="n">
        <v>0.0125272035657295</v>
      </c>
      <c r="F3710" s="0" t="n">
        <v>1</v>
      </c>
      <c r="G3710" s="0" t="n">
        <v>2020</v>
      </c>
    </row>
    <row r="3711" customFormat="false" ht="15" hidden="false" customHeight="false" outlineLevel="0" collapsed="false">
      <c r="A3711" s="0" t="s">
        <v>261</v>
      </c>
      <c r="B3711" s="52" t="n">
        <v>43843</v>
      </c>
      <c r="C3711" s="54" t="s">
        <v>590</v>
      </c>
      <c r="D3711" s="0" t="n">
        <v>0.961267433653493</v>
      </c>
      <c r="E3711" s="0" t="n">
        <v>0</v>
      </c>
      <c r="F3711" s="0" t="n">
        <v>0</v>
      </c>
      <c r="G3711" s="0" t="n">
        <v>2020</v>
      </c>
    </row>
    <row r="3712" customFormat="false" ht="15" hidden="false" customHeight="false" outlineLevel="0" collapsed="false">
      <c r="A3712" s="0" t="s">
        <v>261</v>
      </c>
      <c r="B3712" s="52" t="n">
        <v>43843</v>
      </c>
      <c r="C3712" s="54" t="s">
        <v>591</v>
      </c>
      <c r="D3712" s="0" t="n">
        <v>0.627647951284428</v>
      </c>
      <c r="E3712" s="0" t="n">
        <v>0.0088774106100031</v>
      </c>
      <c r="F3712" s="0" t="n">
        <v>0</v>
      </c>
      <c r="G3712" s="0" t="n">
        <v>2020</v>
      </c>
    </row>
    <row r="3713" customFormat="false" ht="15" hidden="false" customHeight="false" outlineLevel="0" collapsed="false">
      <c r="A3713" s="0" t="s">
        <v>261</v>
      </c>
      <c r="B3713" s="52" t="n">
        <v>43843</v>
      </c>
      <c r="C3713" s="54" t="s">
        <v>592</v>
      </c>
      <c r="D3713" s="0" t="n">
        <v>0.181694710388314</v>
      </c>
      <c r="E3713" s="0" t="n">
        <v>0.0690594177836987</v>
      </c>
      <c r="F3713" s="0" t="n">
        <v>0</v>
      </c>
      <c r="G3713" s="0" t="n">
        <v>2020</v>
      </c>
    </row>
    <row r="3714" customFormat="false" ht="15" hidden="false" customHeight="false" outlineLevel="0" collapsed="false">
      <c r="A3714" s="0" t="s">
        <v>261</v>
      </c>
      <c r="B3714" s="52" t="n">
        <v>43844</v>
      </c>
      <c r="C3714" s="54" t="s">
        <v>590</v>
      </c>
      <c r="D3714" s="0" t="n">
        <v>0.738727883434859</v>
      </c>
      <c r="E3714" s="0" t="n">
        <v>0.0031369993823852</v>
      </c>
      <c r="F3714" s="0" t="n">
        <v>0</v>
      </c>
      <c r="G3714" s="0" t="n">
        <v>2020</v>
      </c>
    </row>
    <row r="3715" customFormat="false" ht="15" hidden="false" customHeight="false" outlineLevel="0" collapsed="false">
      <c r="A3715" s="0" t="s">
        <v>261</v>
      </c>
      <c r="B3715" s="52" t="n">
        <v>43844</v>
      </c>
      <c r="C3715" s="54" t="s">
        <v>591</v>
      </c>
      <c r="D3715" s="0" t="n">
        <v>0.13971667356215</v>
      </c>
      <c r="E3715" s="0" t="n">
        <v>0.144738096789916</v>
      </c>
      <c r="F3715" s="0" t="n">
        <v>0</v>
      </c>
      <c r="G3715" s="0" t="n">
        <v>2020</v>
      </c>
    </row>
    <row r="3716" customFormat="false" ht="15" hidden="false" customHeight="false" outlineLevel="0" collapsed="false">
      <c r="A3716" s="0" t="s">
        <v>261</v>
      </c>
      <c r="B3716" s="52" t="n">
        <v>43844</v>
      </c>
      <c r="C3716" s="54" t="s">
        <v>592</v>
      </c>
      <c r="D3716" s="0" t="n">
        <v>0.0062391459228573</v>
      </c>
      <c r="E3716" s="0" t="n">
        <v>0.0201107500359551</v>
      </c>
      <c r="F3716" s="0" t="n">
        <v>0</v>
      </c>
      <c r="G3716" s="0" t="n">
        <v>2020</v>
      </c>
    </row>
    <row r="3717" customFormat="false" ht="15" hidden="false" customHeight="false" outlineLevel="0" collapsed="false">
      <c r="A3717" s="0" t="s">
        <v>261</v>
      </c>
      <c r="B3717" s="52" t="n">
        <v>43845</v>
      </c>
      <c r="C3717" s="54" t="s">
        <v>590</v>
      </c>
      <c r="D3717" s="0" t="n">
        <v>0.114202190876743</v>
      </c>
      <c r="E3717" s="0" t="n">
        <v>0.0636040116339124</v>
      </c>
      <c r="F3717" s="0" t="n">
        <v>0</v>
      </c>
      <c r="G3717" s="0" t="n">
        <v>2020</v>
      </c>
    </row>
    <row r="3718" customFormat="false" ht="15" hidden="false" customHeight="false" outlineLevel="0" collapsed="false">
      <c r="A3718" s="0" t="s">
        <v>261</v>
      </c>
      <c r="B3718" s="52" t="n">
        <v>43845</v>
      </c>
      <c r="C3718" s="54" t="s">
        <v>591</v>
      </c>
      <c r="D3718" s="0" t="n">
        <v>0.320570412874927</v>
      </c>
      <c r="E3718" s="0" t="n">
        <v>0.0897070061851939</v>
      </c>
      <c r="F3718" s="0" t="n">
        <v>0</v>
      </c>
      <c r="G3718" s="0" t="n">
        <v>2020</v>
      </c>
    </row>
    <row r="3719" customFormat="false" ht="15" hidden="false" customHeight="false" outlineLevel="0" collapsed="false">
      <c r="A3719" s="0" t="s">
        <v>261</v>
      </c>
      <c r="B3719" s="52" t="n">
        <v>43845</v>
      </c>
      <c r="C3719" s="54" t="s">
        <v>592</v>
      </c>
      <c r="D3719" s="0" t="n">
        <v>0.184440699547324</v>
      </c>
      <c r="E3719" s="0" t="n">
        <v>0.0058625052555177</v>
      </c>
      <c r="F3719" s="0" t="n">
        <v>0</v>
      </c>
      <c r="G3719" s="0" t="n">
        <v>2020</v>
      </c>
    </row>
    <row r="3720" customFormat="false" ht="15" hidden="false" customHeight="false" outlineLevel="0" collapsed="false">
      <c r="A3720" s="0" t="s">
        <v>261</v>
      </c>
      <c r="B3720" s="52" t="n">
        <v>43846</v>
      </c>
      <c r="C3720" s="54" t="s">
        <v>590</v>
      </c>
      <c r="D3720" s="0" t="n">
        <v>0.821656359898869</v>
      </c>
      <c r="E3720" s="0" t="n">
        <v>0</v>
      </c>
      <c r="F3720" s="0" t="n">
        <v>0</v>
      </c>
      <c r="G3720" s="0" t="n">
        <v>2020</v>
      </c>
    </row>
    <row r="3721" customFormat="false" ht="15" hidden="false" customHeight="false" outlineLevel="0" collapsed="false">
      <c r="A3721" s="0" t="s">
        <v>261</v>
      </c>
      <c r="B3721" s="52" t="n">
        <v>43846</v>
      </c>
      <c r="C3721" s="54" t="s">
        <v>591</v>
      </c>
      <c r="D3721" s="0" t="n">
        <v>0.130629518906954</v>
      </c>
      <c r="E3721" s="0" t="n">
        <v>0.117191451569473</v>
      </c>
      <c r="F3721" s="0" t="n">
        <v>0</v>
      </c>
      <c r="G3721" s="0" t="n">
        <v>2020</v>
      </c>
    </row>
    <row r="3722" customFormat="false" ht="15" hidden="false" customHeight="false" outlineLevel="0" collapsed="false">
      <c r="A3722" s="0" t="s">
        <v>261</v>
      </c>
      <c r="B3722" s="52" t="n">
        <v>43846</v>
      </c>
      <c r="C3722" s="54" t="s">
        <v>592</v>
      </c>
      <c r="D3722" s="0" t="n">
        <v>0.583069080397783</v>
      </c>
      <c r="E3722" s="0" t="n">
        <v>0.0060848093949216</v>
      </c>
      <c r="F3722" s="0" t="n">
        <v>0</v>
      </c>
      <c r="G3722" s="0" t="n">
        <v>2020</v>
      </c>
    </row>
    <row r="3723" customFormat="false" ht="15" hidden="false" customHeight="false" outlineLevel="0" collapsed="false">
      <c r="A3723" s="0" t="s">
        <v>261</v>
      </c>
      <c r="B3723" s="52" t="n">
        <v>43847</v>
      </c>
      <c r="C3723" s="54" t="s">
        <v>590</v>
      </c>
      <c r="D3723" s="0" t="n">
        <v>0.787493161609985</v>
      </c>
      <c r="E3723" s="0" t="n">
        <v>0.0163204506235144</v>
      </c>
      <c r="F3723" s="0" t="n">
        <v>0</v>
      </c>
      <c r="G3723" s="0" t="n">
        <v>2020</v>
      </c>
    </row>
    <row r="3724" customFormat="false" ht="15" hidden="false" customHeight="false" outlineLevel="0" collapsed="false">
      <c r="A3724" s="0" t="s">
        <v>261</v>
      </c>
      <c r="B3724" s="52" t="n">
        <v>43847</v>
      </c>
      <c r="C3724" s="54" t="s">
        <v>591</v>
      </c>
      <c r="D3724" s="0" t="n">
        <v>0.0036407932156154</v>
      </c>
      <c r="E3724" s="0" t="n">
        <v>0.0376518004656993</v>
      </c>
      <c r="F3724" s="0" t="n">
        <v>0</v>
      </c>
      <c r="G3724" s="0" t="n">
        <v>2020</v>
      </c>
    </row>
    <row r="3725" customFormat="false" ht="15" hidden="false" customHeight="false" outlineLevel="0" collapsed="false">
      <c r="A3725" s="0" t="s">
        <v>261</v>
      </c>
      <c r="B3725" s="52" t="n">
        <v>43847</v>
      </c>
      <c r="C3725" s="54" t="s">
        <v>592</v>
      </c>
      <c r="D3725" s="0" t="n">
        <v>0.117797873726057</v>
      </c>
      <c r="E3725" s="0" t="n">
        <v>0.0501160534089013</v>
      </c>
      <c r="F3725" s="0" t="n">
        <v>0</v>
      </c>
      <c r="G3725" s="0" t="n">
        <v>2020</v>
      </c>
    </row>
    <row r="3726" customFormat="false" ht="15" hidden="false" customHeight="false" outlineLevel="0" collapsed="false">
      <c r="A3726" s="0" t="s">
        <v>261</v>
      </c>
      <c r="B3726" s="52" t="n">
        <v>43848</v>
      </c>
      <c r="C3726" s="54" t="s">
        <v>590</v>
      </c>
      <c r="D3726" s="0" t="n">
        <v>0.679154351302589</v>
      </c>
      <c r="E3726" s="0" t="n">
        <v>0.0476358981874301</v>
      </c>
      <c r="F3726" s="0" t="n">
        <v>1</v>
      </c>
      <c r="G3726" s="0" t="n">
        <v>2020</v>
      </c>
    </row>
    <row r="3727" customFormat="false" ht="15" hidden="false" customHeight="false" outlineLevel="0" collapsed="false">
      <c r="A3727" s="0" t="s">
        <v>261</v>
      </c>
      <c r="B3727" s="52" t="n">
        <v>43848</v>
      </c>
      <c r="C3727" s="54" t="s">
        <v>591</v>
      </c>
      <c r="D3727" s="0" t="n">
        <v>0.0182897420505248</v>
      </c>
      <c r="E3727" s="0" t="n">
        <v>0.0311343980352275</v>
      </c>
      <c r="F3727" s="0" t="n">
        <v>1</v>
      </c>
      <c r="G3727" s="0" t="n">
        <v>2020</v>
      </c>
    </row>
    <row r="3728" customFormat="false" ht="15" hidden="false" customHeight="false" outlineLevel="0" collapsed="false">
      <c r="A3728" s="0" t="s">
        <v>261</v>
      </c>
      <c r="B3728" s="52" t="n">
        <v>43848</v>
      </c>
      <c r="C3728" s="54" t="s">
        <v>592</v>
      </c>
      <c r="D3728" s="0" t="n">
        <v>0.364219279334356</v>
      </c>
      <c r="E3728" s="0" t="n">
        <v>0.0357156290141898</v>
      </c>
      <c r="F3728" s="0" t="n">
        <v>1</v>
      </c>
      <c r="G3728" s="0" t="n">
        <v>2020</v>
      </c>
    </row>
    <row r="3729" customFormat="false" ht="15" hidden="false" customHeight="false" outlineLevel="0" collapsed="false">
      <c r="A3729" s="0" t="s">
        <v>261</v>
      </c>
      <c r="B3729" s="52" t="n">
        <v>43850</v>
      </c>
      <c r="C3729" s="54" t="s">
        <v>590</v>
      </c>
      <c r="D3729" s="0" t="n">
        <v>0.475962293229343</v>
      </c>
      <c r="E3729" s="0" t="n">
        <v>0</v>
      </c>
      <c r="F3729" s="0" t="n">
        <v>0</v>
      </c>
      <c r="G3729" s="0" t="n">
        <v>2020</v>
      </c>
    </row>
    <row r="3730" customFormat="false" ht="15" hidden="false" customHeight="false" outlineLevel="0" collapsed="false">
      <c r="A3730" s="0" t="s">
        <v>261</v>
      </c>
      <c r="B3730" s="52" t="n">
        <v>43850</v>
      </c>
      <c r="C3730" s="54" t="s">
        <v>591</v>
      </c>
      <c r="D3730" s="0" t="n">
        <v>0.0668910037954407</v>
      </c>
      <c r="E3730" s="0" t="n">
        <v>0.0991993939723948</v>
      </c>
      <c r="F3730" s="0" t="n">
        <v>0</v>
      </c>
      <c r="G3730" s="0" t="n">
        <v>2020</v>
      </c>
    </row>
    <row r="3731" customFormat="false" ht="15" hidden="false" customHeight="false" outlineLevel="0" collapsed="false">
      <c r="A3731" s="0" t="s">
        <v>261</v>
      </c>
      <c r="B3731" s="52" t="n">
        <v>43850</v>
      </c>
      <c r="C3731" s="54" t="s">
        <v>592</v>
      </c>
      <c r="D3731" s="0" t="n">
        <v>0.0386638595112848</v>
      </c>
      <c r="E3731" s="0" t="n">
        <v>0.107215637410461</v>
      </c>
      <c r="F3731" s="0" t="n">
        <v>0</v>
      </c>
      <c r="G3731" s="0" t="n">
        <v>2020</v>
      </c>
    </row>
    <row r="3732" customFormat="false" ht="15" hidden="false" customHeight="false" outlineLevel="0" collapsed="false">
      <c r="A3732" s="0" t="s">
        <v>261</v>
      </c>
      <c r="B3732" s="52" t="n">
        <v>43851</v>
      </c>
      <c r="C3732" s="54" t="s">
        <v>590</v>
      </c>
      <c r="D3732" s="0" t="n">
        <v>0.149678176551133</v>
      </c>
      <c r="E3732" s="0" t="n">
        <v>0.0272703844804406</v>
      </c>
      <c r="F3732" s="0" t="n">
        <v>0</v>
      </c>
      <c r="G3732" s="0" t="n">
        <v>2020</v>
      </c>
    </row>
    <row r="3733" customFormat="false" ht="15" hidden="false" customHeight="false" outlineLevel="0" collapsed="false">
      <c r="A3733" s="0" t="s">
        <v>261</v>
      </c>
      <c r="B3733" s="52" t="n">
        <v>43851</v>
      </c>
      <c r="C3733" s="54" t="s">
        <v>591</v>
      </c>
      <c r="D3733" s="0" t="n">
        <v>0.111155293137146</v>
      </c>
      <c r="E3733" s="0" t="n">
        <v>0.0437063181368591</v>
      </c>
      <c r="F3733" s="0" t="n">
        <v>0</v>
      </c>
      <c r="G3733" s="0" t="n">
        <v>2020</v>
      </c>
    </row>
    <row r="3734" customFormat="false" ht="15" hidden="false" customHeight="false" outlineLevel="0" collapsed="false">
      <c r="A3734" s="0" t="s">
        <v>261</v>
      </c>
      <c r="B3734" s="52" t="n">
        <v>43851</v>
      </c>
      <c r="C3734" s="54" t="s">
        <v>592</v>
      </c>
      <c r="D3734" s="0" t="n">
        <v>0.223882823034937</v>
      </c>
      <c r="E3734" s="0" t="n">
        <v>0.0640210174613568</v>
      </c>
      <c r="F3734" s="0" t="n">
        <v>0</v>
      </c>
      <c r="G3734" s="0" t="n">
        <v>2020</v>
      </c>
    </row>
    <row r="3735" customFormat="false" ht="15" hidden="false" customHeight="false" outlineLevel="0" collapsed="false">
      <c r="A3735" s="0" t="s">
        <v>261</v>
      </c>
      <c r="B3735" s="52" t="n">
        <v>43852</v>
      </c>
      <c r="C3735" s="54" t="s">
        <v>590</v>
      </c>
      <c r="D3735" s="0" t="n">
        <v>0.893316493731021</v>
      </c>
      <c r="E3735" s="0" t="n">
        <v>0</v>
      </c>
      <c r="F3735" s="0" t="n">
        <v>0</v>
      </c>
      <c r="G3735" s="0" t="n">
        <v>2020</v>
      </c>
    </row>
    <row r="3736" customFormat="false" ht="15" hidden="false" customHeight="false" outlineLevel="0" collapsed="false">
      <c r="A3736" s="0" t="s">
        <v>261</v>
      </c>
      <c r="B3736" s="52" t="n">
        <v>43852</v>
      </c>
      <c r="C3736" s="54" t="s">
        <v>591</v>
      </c>
      <c r="D3736" s="0" t="n">
        <v>0.0333886042198962</v>
      </c>
      <c r="E3736" s="0" t="n">
        <v>0.0092388517006744</v>
      </c>
      <c r="F3736" s="0" t="n">
        <v>0</v>
      </c>
      <c r="G3736" s="0" t="n">
        <v>2020</v>
      </c>
    </row>
    <row r="3737" customFormat="false" ht="15" hidden="false" customHeight="false" outlineLevel="0" collapsed="false">
      <c r="A3737" s="0" t="s">
        <v>261</v>
      </c>
      <c r="B3737" s="52" t="n">
        <v>43852</v>
      </c>
      <c r="C3737" s="54" t="s">
        <v>592</v>
      </c>
      <c r="D3737" s="0" t="n">
        <v>0.20223790753915</v>
      </c>
      <c r="E3737" s="0" t="n">
        <v>0.196827331216983</v>
      </c>
      <c r="F3737" s="0" t="n">
        <v>0</v>
      </c>
      <c r="G3737" s="0" t="n">
        <v>2020</v>
      </c>
    </row>
    <row r="3738" customFormat="false" ht="15" hidden="false" customHeight="false" outlineLevel="0" collapsed="false">
      <c r="A3738" s="0" t="s">
        <v>261</v>
      </c>
      <c r="B3738" s="52" t="n">
        <v>43853</v>
      </c>
      <c r="C3738" s="54" t="s">
        <v>590</v>
      </c>
      <c r="D3738" s="0" t="n">
        <v>0.813060260724213</v>
      </c>
      <c r="E3738" s="0" t="n">
        <v>0</v>
      </c>
      <c r="F3738" s="0" t="n">
        <v>0</v>
      </c>
      <c r="G3738" s="0" t="n">
        <v>2020</v>
      </c>
    </row>
    <row r="3739" customFormat="false" ht="15" hidden="false" customHeight="false" outlineLevel="0" collapsed="false">
      <c r="A3739" s="0" t="s">
        <v>261</v>
      </c>
      <c r="B3739" s="52" t="n">
        <v>43853</v>
      </c>
      <c r="C3739" s="54" t="s">
        <v>591</v>
      </c>
      <c r="D3739" s="0" t="n">
        <v>0.08419714824964</v>
      </c>
      <c r="E3739" s="0" t="n">
        <v>0.0617231471433939</v>
      </c>
      <c r="F3739" s="0" t="n">
        <v>0</v>
      </c>
      <c r="G3739" s="0" t="n">
        <v>2020</v>
      </c>
    </row>
    <row r="3740" customFormat="false" ht="15" hidden="false" customHeight="false" outlineLevel="0" collapsed="false">
      <c r="A3740" s="0" t="s">
        <v>261</v>
      </c>
      <c r="B3740" s="52" t="n">
        <v>43853</v>
      </c>
      <c r="C3740" s="54" t="s">
        <v>592</v>
      </c>
      <c r="D3740" s="0" t="n">
        <v>0.286637239378799</v>
      </c>
      <c r="E3740" s="0" t="n">
        <v>0.1604591710424</v>
      </c>
      <c r="F3740" s="0" t="n">
        <v>0</v>
      </c>
      <c r="G3740" s="0" t="n">
        <v>2020</v>
      </c>
    </row>
    <row r="3741" customFormat="false" ht="15" hidden="false" customHeight="false" outlineLevel="0" collapsed="false">
      <c r="A3741" s="0" t="s">
        <v>261</v>
      </c>
      <c r="B3741" s="52" t="n">
        <v>43854</v>
      </c>
      <c r="C3741" s="54" t="s">
        <v>590</v>
      </c>
      <c r="D3741" s="0" t="n">
        <v>0.566082660437145</v>
      </c>
      <c r="E3741" s="0" t="n">
        <v>0.0077567183538097</v>
      </c>
      <c r="F3741" s="0" t="n">
        <v>0</v>
      </c>
      <c r="G3741" s="0" t="n">
        <v>2020</v>
      </c>
    </row>
    <row r="3742" customFormat="false" ht="15" hidden="false" customHeight="false" outlineLevel="0" collapsed="false">
      <c r="A3742" s="0" t="s">
        <v>261</v>
      </c>
      <c r="B3742" s="52" t="n">
        <v>43854</v>
      </c>
      <c r="C3742" s="54" t="s">
        <v>591</v>
      </c>
      <c r="D3742" s="0" t="n">
        <v>0.539406838783376</v>
      </c>
      <c r="E3742" s="0" t="n">
        <v>0.0139883779563284</v>
      </c>
      <c r="F3742" s="0" t="n">
        <v>0</v>
      </c>
      <c r="G3742" s="0" t="n">
        <v>2020</v>
      </c>
    </row>
    <row r="3743" customFormat="false" ht="15" hidden="false" customHeight="false" outlineLevel="0" collapsed="false">
      <c r="A3743" s="0" t="s">
        <v>261</v>
      </c>
      <c r="B3743" s="52" t="n">
        <v>43854</v>
      </c>
      <c r="C3743" s="54" t="s">
        <v>592</v>
      </c>
      <c r="D3743" s="0" t="n">
        <v>0.266215209832155</v>
      </c>
      <c r="E3743" s="0" t="n">
        <v>0.215654907237329</v>
      </c>
      <c r="F3743" s="0" t="n">
        <v>0</v>
      </c>
      <c r="G3743" s="0" t="n">
        <v>2020</v>
      </c>
    </row>
    <row r="3744" customFormat="false" ht="15" hidden="false" customHeight="false" outlineLevel="0" collapsed="false">
      <c r="A3744" s="0" t="s">
        <v>261</v>
      </c>
      <c r="B3744" s="52" t="n">
        <v>43855</v>
      </c>
      <c r="C3744" s="54" t="s">
        <v>590</v>
      </c>
      <c r="D3744" s="0" t="n">
        <v>0.89723258101813</v>
      </c>
      <c r="E3744" s="0" t="n">
        <v>0</v>
      </c>
      <c r="F3744" s="0" t="n">
        <v>1</v>
      </c>
      <c r="G3744" s="0" t="n">
        <v>2020</v>
      </c>
    </row>
    <row r="3745" customFormat="false" ht="15" hidden="false" customHeight="false" outlineLevel="0" collapsed="false">
      <c r="A3745" s="0" t="s">
        <v>261</v>
      </c>
      <c r="B3745" s="52" t="n">
        <v>43855</v>
      </c>
      <c r="C3745" s="54" t="s">
        <v>591</v>
      </c>
      <c r="D3745" s="0" t="n">
        <v>0.0206970806574754</v>
      </c>
      <c r="E3745" s="0" t="n">
        <v>0.0592525857109088</v>
      </c>
      <c r="F3745" s="0" t="n">
        <v>1</v>
      </c>
      <c r="G3745" s="0" t="n">
        <v>2020</v>
      </c>
    </row>
    <row r="3746" customFormat="false" ht="15" hidden="false" customHeight="false" outlineLevel="0" collapsed="false">
      <c r="A3746" s="0" t="s">
        <v>261</v>
      </c>
      <c r="B3746" s="52" t="n">
        <v>43855</v>
      </c>
      <c r="C3746" s="54" t="s">
        <v>592</v>
      </c>
      <c r="D3746" s="0" t="n">
        <v>0.27327812207528</v>
      </c>
      <c r="E3746" s="0" t="n">
        <v>0.0693869199554126</v>
      </c>
      <c r="F3746" s="0" t="n">
        <v>1</v>
      </c>
      <c r="G3746" s="0" t="n">
        <v>2020</v>
      </c>
    </row>
    <row r="3747" customFormat="false" ht="15" hidden="false" customHeight="false" outlineLevel="0" collapsed="false">
      <c r="A3747" s="0" t="s">
        <v>261</v>
      </c>
      <c r="B3747" s="52" t="n">
        <v>43857</v>
      </c>
      <c r="C3747" s="54" t="s">
        <v>590</v>
      </c>
      <c r="D3747" s="0" t="n">
        <v>0.803758292003118</v>
      </c>
      <c r="E3747" s="0" t="n">
        <v>0.0098501715483804</v>
      </c>
      <c r="F3747" s="0" t="n">
        <v>0</v>
      </c>
      <c r="G3747" s="0" t="n">
        <v>2020</v>
      </c>
    </row>
    <row r="3748" customFormat="false" ht="15" hidden="false" customHeight="false" outlineLevel="0" collapsed="false">
      <c r="A3748" s="0" t="s">
        <v>261</v>
      </c>
      <c r="B3748" s="52" t="n">
        <v>43857</v>
      </c>
      <c r="C3748" s="54" t="s">
        <v>591</v>
      </c>
      <c r="D3748" s="0" t="n">
        <v>0.0098612505183218</v>
      </c>
      <c r="E3748" s="0" t="n">
        <v>0.0741807474441314</v>
      </c>
      <c r="F3748" s="0" t="n">
        <v>0</v>
      </c>
      <c r="G3748" s="0" t="n">
        <v>2020</v>
      </c>
    </row>
    <row r="3749" customFormat="false" ht="15" hidden="false" customHeight="false" outlineLevel="0" collapsed="false">
      <c r="A3749" s="0" t="s">
        <v>261</v>
      </c>
      <c r="B3749" s="52" t="n">
        <v>43857</v>
      </c>
      <c r="C3749" s="54" t="s">
        <v>592</v>
      </c>
      <c r="D3749" s="0" t="n">
        <v>0.336571164675324</v>
      </c>
      <c r="E3749" s="0" t="n">
        <v>0.0436993178195594</v>
      </c>
      <c r="F3749" s="0" t="n">
        <v>0</v>
      </c>
      <c r="G3749" s="0" t="n">
        <v>2020</v>
      </c>
    </row>
    <row r="3750" customFormat="false" ht="15" hidden="false" customHeight="false" outlineLevel="0" collapsed="false">
      <c r="A3750" s="0" t="s">
        <v>261</v>
      </c>
      <c r="B3750" s="52" t="n">
        <v>43858</v>
      </c>
      <c r="C3750" s="54" t="s">
        <v>590</v>
      </c>
      <c r="D3750" s="0" t="n">
        <v>0.421699705792977</v>
      </c>
      <c r="E3750" s="0" t="n">
        <v>0.0330616943004506</v>
      </c>
      <c r="F3750" s="0" t="n">
        <v>0</v>
      </c>
      <c r="G3750" s="0" t="n">
        <v>2020</v>
      </c>
    </row>
    <row r="3751" customFormat="false" ht="15" hidden="false" customHeight="false" outlineLevel="0" collapsed="false">
      <c r="A3751" s="0" t="s">
        <v>261</v>
      </c>
      <c r="B3751" s="52" t="n">
        <v>43858</v>
      </c>
      <c r="C3751" s="54" t="s">
        <v>591</v>
      </c>
      <c r="D3751" s="0" t="n">
        <v>0.170688194753257</v>
      </c>
      <c r="E3751" s="0" t="n">
        <v>0.0260130212235193</v>
      </c>
      <c r="F3751" s="0" t="n">
        <v>0</v>
      </c>
      <c r="G3751" s="0" t="n">
        <v>2020</v>
      </c>
    </row>
    <row r="3752" customFormat="false" ht="15" hidden="false" customHeight="false" outlineLevel="0" collapsed="false">
      <c r="A3752" s="0" t="s">
        <v>261</v>
      </c>
      <c r="B3752" s="52" t="n">
        <v>43858</v>
      </c>
      <c r="C3752" s="54" t="s">
        <v>592</v>
      </c>
      <c r="D3752" s="0" t="n">
        <v>0.374022076375184</v>
      </c>
      <c r="E3752" s="0" t="n">
        <v>0.0543137699233654</v>
      </c>
      <c r="F3752" s="0" t="n">
        <v>0</v>
      </c>
      <c r="G3752" s="0" t="n">
        <v>2020</v>
      </c>
    </row>
    <row r="3753" customFormat="false" ht="15" hidden="false" customHeight="false" outlineLevel="0" collapsed="false">
      <c r="A3753" s="0" t="s">
        <v>261</v>
      </c>
      <c r="B3753" s="52" t="n">
        <v>43859</v>
      </c>
      <c r="C3753" s="54" t="s">
        <v>590</v>
      </c>
      <c r="D3753" s="0" t="n">
        <v>0.740345742454531</v>
      </c>
      <c r="E3753" s="0" t="n">
        <v>0.0177334295054322</v>
      </c>
      <c r="F3753" s="0" t="n">
        <v>0</v>
      </c>
      <c r="G3753" s="0" t="n">
        <v>2020</v>
      </c>
    </row>
    <row r="3754" customFormat="false" ht="15" hidden="false" customHeight="false" outlineLevel="0" collapsed="false">
      <c r="A3754" s="0" t="s">
        <v>261</v>
      </c>
      <c r="B3754" s="52" t="n">
        <v>43859</v>
      </c>
      <c r="C3754" s="54" t="s">
        <v>591</v>
      </c>
      <c r="D3754" s="0" t="n">
        <v>0.0381550722850976</v>
      </c>
      <c r="E3754" s="0" t="n">
        <v>0.105861353349712</v>
      </c>
      <c r="F3754" s="0" t="n">
        <v>0</v>
      </c>
      <c r="G3754" s="0" t="n">
        <v>2020</v>
      </c>
    </row>
    <row r="3755" customFormat="false" ht="15" hidden="false" customHeight="false" outlineLevel="0" collapsed="false">
      <c r="A3755" s="0" t="s">
        <v>261</v>
      </c>
      <c r="B3755" s="52" t="n">
        <v>43859</v>
      </c>
      <c r="C3755" s="54" t="s">
        <v>592</v>
      </c>
      <c r="D3755" s="0" t="n">
        <v>0.116029181476879</v>
      </c>
      <c r="E3755" s="0" t="n">
        <v>0.0312282072178062</v>
      </c>
      <c r="F3755" s="0" t="n">
        <v>0</v>
      </c>
      <c r="G3755" s="0" t="n">
        <v>2020</v>
      </c>
    </row>
    <row r="3756" customFormat="false" ht="15" hidden="false" customHeight="false" outlineLevel="0" collapsed="false">
      <c r="A3756" s="0" t="s">
        <v>261</v>
      </c>
      <c r="B3756" s="52" t="n">
        <v>43860</v>
      </c>
      <c r="C3756" s="54" t="s">
        <v>590</v>
      </c>
      <c r="D3756" s="0" t="n">
        <v>0.814787915189827</v>
      </c>
      <c r="E3756" s="0" t="n">
        <v>0.0044917215618692</v>
      </c>
      <c r="F3756" s="0" t="n">
        <v>0</v>
      </c>
      <c r="G3756" s="0" t="n">
        <v>2020</v>
      </c>
    </row>
    <row r="3757" customFormat="false" ht="15" hidden="false" customHeight="false" outlineLevel="0" collapsed="false">
      <c r="A3757" s="0" t="s">
        <v>261</v>
      </c>
      <c r="B3757" s="52" t="n">
        <v>43860</v>
      </c>
      <c r="C3757" s="54" t="s">
        <v>591</v>
      </c>
      <c r="D3757" s="0" t="n">
        <v>0.347305736499621</v>
      </c>
      <c r="E3757" s="0" t="n">
        <v>0.009898170704286</v>
      </c>
      <c r="F3757" s="0" t="n">
        <v>0</v>
      </c>
      <c r="G3757" s="0" t="n">
        <v>2020</v>
      </c>
    </row>
    <row r="3758" customFormat="false" ht="15" hidden="false" customHeight="false" outlineLevel="0" collapsed="false">
      <c r="A3758" s="0" t="s">
        <v>261</v>
      </c>
      <c r="B3758" s="52" t="n">
        <v>43860</v>
      </c>
      <c r="C3758" s="54" t="s">
        <v>592</v>
      </c>
      <c r="D3758" s="0" t="n">
        <v>0.272394396667869</v>
      </c>
      <c r="E3758" s="0" t="n">
        <v>0.0182929802352029</v>
      </c>
      <c r="F3758" s="0" t="n">
        <v>0</v>
      </c>
      <c r="G3758" s="0" t="n">
        <v>2020</v>
      </c>
    </row>
    <row r="3759" customFormat="false" ht="15" hidden="false" customHeight="false" outlineLevel="0" collapsed="false">
      <c r="A3759" s="0" t="s">
        <v>261</v>
      </c>
      <c r="B3759" s="52" t="n">
        <v>43861</v>
      </c>
      <c r="C3759" s="54" t="s">
        <v>590</v>
      </c>
      <c r="D3759" s="0" t="n">
        <v>0.480948540685612</v>
      </c>
      <c r="E3759" s="0" t="n">
        <v>0.350143865337706</v>
      </c>
      <c r="F3759" s="0" t="n">
        <v>0</v>
      </c>
      <c r="G3759" s="0" t="n">
        <v>2020</v>
      </c>
    </row>
    <row r="3760" customFormat="false" ht="15" hidden="false" customHeight="false" outlineLevel="0" collapsed="false">
      <c r="A3760" s="0" t="s">
        <v>261</v>
      </c>
      <c r="B3760" s="52" t="n">
        <v>43861</v>
      </c>
      <c r="C3760" s="54" t="s">
        <v>591</v>
      </c>
      <c r="D3760" s="0" t="n">
        <v>0.171918554095875</v>
      </c>
      <c r="E3760" s="0" t="n">
        <v>0.0859608380267334</v>
      </c>
      <c r="F3760" s="0" t="n">
        <v>0</v>
      </c>
      <c r="G3760" s="0" t="n">
        <v>2020</v>
      </c>
    </row>
    <row r="3761" customFormat="false" ht="15" hidden="false" customHeight="false" outlineLevel="0" collapsed="false">
      <c r="A3761" s="0" t="s">
        <v>261</v>
      </c>
      <c r="B3761" s="52" t="n">
        <v>43861</v>
      </c>
      <c r="C3761" s="54" t="s">
        <v>592</v>
      </c>
      <c r="D3761" s="0" t="n">
        <v>0.0562132137192128</v>
      </c>
      <c r="E3761" s="0" t="n">
        <v>0.0646525167190559</v>
      </c>
      <c r="F3761" s="0" t="n">
        <v>0</v>
      </c>
      <c r="G3761" s="0" t="n">
        <v>2020</v>
      </c>
    </row>
    <row r="3762" customFormat="false" ht="15" hidden="false" customHeight="false" outlineLevel="0" collapsed="false">
      <c r="A3762" s="0" t="s">
        <v>261</v>
      </c>
      <c r="B3762" s="52" t="n">
        <v>43862</v>
      </c>
      <c r="C3762" s="54" t="s">
        <v>590</v>
      </c>
      <c r="D3762" s="0" t="n">
        <v>0.848685704824354</v>
      </c>
      <c r="E3762" s="0" t="n">
        <v>0</v>
      </c>
      <c r="F3762" s="0" t="n">
        <v>1</v>
      </c>
      <c r="G3762" s="0" t="n">
        <v>2020</v>
      </c>
    </row>
    <row r="3763" customFormat="false" ht="15" hidden="false" customHeight="false" outlineLevel="0" collapsed="false">
      <c r="A3763" s="0" t="s">
        <v>261</v>
      </c>
      <c r="B3763" s="52" t="n">
        <v>43862</v>
      </c>
      <c r="C3763" s="54" t="s">
        <v>591</v>
      </c>
      <c r="D3763" s="0" t="n">
        <v>0.0273221797313811</v>
      </c>
      <c r="E3763" s="0" t="n">
        <v>0.0254974305557587</v>
      </c>
      <c r="F3763" s="0" t="n">
        <v>1</v>
      </c>
      <c r="G3763" s="0" t="n">
        <v>2020</v>
      </c>
    </row>
    <row r="3764" customFormat="false" ht="15" hidden="false" customHeight="false" outlineLevel="0" collapsed="false">
      <c r="A3764" s="0" t="s">
        <v>261</v>
      </c>
      <c r="B3764" s="52" t="n">
        <v>43862</v>
      </c>
      <c r="C3764" s="54" t="s">
        <v>592</v>
      </c>
      <c r="D3764" s="0" t="n">
        <v>0.118657760840019</v>
      </c>
      <c r="E3764" s="0" t="n">
        <v>0.0604036844206493</v>
      </c>
      <c r="F3764" s="0" t="n">
        <v>1</v>
      </c>
      <c r="G3764" s="0" t="n">
        <v>2020</v>
      </c>
    </row>
    <row r="3765" customFormat="false" ht="15" hidden="false" customHeight="false" outlineLevel="0" collapsed="false">
      <c r="A3765" s="0" t="s">
        <v>261</v>
      </c>
      <c r="B3765" s="52" t="n">
        <v>43863</v>
      </c>
      <c r="C3765" s="54" t="s">
        <v>590</v>
      </c>
      <c r="D3765" s="0" t="n">
        <v>1</v>
      </c>
      <c r="E3765" s="0" t="n">
        <v>0</v>
      </c>
      <c r="F3765" s="0" t="n">
        <v>1</v>
      </c>
      <c r="G3765" s="0" t="n">
        <v>2020</v>
      </c>
    </row>
    <row r="3766" customFormat="false" ht="15" hidden="false" customHeight="false" outlineLevel="0" collapsed="false">
      <c r="A3766" s="0" t="s">
        <v>261</v>
      </c>
      <c r="B3766" s="52" t="n">
        <v>43864</v>
      </c>
      <c r="C3766" s="54" t="s">
        <v>590</v>
      </c>
      <c r="D3766" s="0" t="n">
        <v>0.958383384893584</v>
      </c>
      <c r="E3766" s="0" t="n">
        <v>0</v>
      </c>
      <c r="F3766" s="0" t="n">
        <v>0</v>
      </c>
      <c r="G3766" s="0" t="n">
        <v>2020</v>
      </c>
    </row>
    <row r="3767" customFormat="false" ht="15" hidden="false" customHeight="false" outlineLevel="0" collapsed="false">
      <c r="A3767" s="0" t="s">
        <v>261</v>
      </c>
      <c r="B3767" s="52" t="n">
        <v>43864</v>
      </c>
      <c r="C3767" s="54" t="s">
        <v>591</v>
      </c>
      <c r="D3767" s="0" t="n">
        <v>0.106236389743238</v>
      </c>
      <c r="E3767" s="0" t="n">
        <v>0.0561087489831879</v>
      </c>
      <c r="F3767" s="0" t="n">
        <v>0</v>
      </c>
      <c r="G3767" s="0" t="n">
        <v>2020</v>
      </c>
    </row>
    <row r="3768" customFormat="false" ht="15" hidden="false" customHeight="false" outlineLevel="0" collapsed="false">
      <c r="A3768" s="0" t="s">
        <v>261</v>
      </c>
      <c r="B3768" s="52" t="n">
        <v>43864</v>
      </c>
      <c r="C3768" s="54" t="s">
        <v>592</v>
      </c>
      <c r="D3768" s="0" t="n">
        <v>0.0299203164727155</v>
      </c>
      <c r="E3768" s="0" t="n">
        <v>0.0960758840800741</v>
      </c>
      <c r="F3768" s="0" t="n">
        <v>0</v>
      </c>
      <c r="G3768" s="0" t="n">
        <v>2020</v>
      </c>
    </row>
    <row r="3769" customFormat="false" ht="15" hidden="false" customHeight="false" outlineLevel="0" collapsed="false">
      <c r="A3769" s="0" t="s">
        <v>261</v>
      </c>
      <c r="B3769" s="52" t="n">
        <v>43865</v>
      </c>
      <c r="C3769" s="54" t="s">
        <v>590</v>
      </c>
      <c r="D3769" s="0" t="n">
        <v>0.561653388050364</v>
      </c>
      <c r="E3769" s="0" t="n">
        <v>0.12749594293899</v>
      </c>
      <c r="F3769" s="0" t="n">
        <v>0</v>
      </c>
      <c r="G3769" s="0" t="n">
        <v>2020</v>
      </c>
    </row>
    <row r="3770" customFormat="false" ht="15" hidden="false" customHeight="false" outlineLevel="0" collapsed="false">
      <c r="A3770" s="0" t="s">
        <v>261</v>
      </c>
      <c r="B3770" s="52" t="n">
        <v>43865</v>
      </c>
      <c r="C3770" s="54" t="s">
        <v>591</v>
      </c>
      <c r="D3770" s="0" t="n">
        <v>0.0058892676903281</v>
      </c>
      <c r="E3770" s="0" t="n">
        <v>0.0227834959453593</v>
      </c>
      <c r="F3770" s="0" t="n">
        <v>0</v>
      </c>
      <c r="G3770" s="0" t="n">
        <v>2020</v>
      </c>
    </row>
    <row r="3771" customFormat="false" ht="15" hidden="false" customHeight="false" outlineLevel="0" collapsed="false">
      <c r="A3771" s="0" t="s">
        <v>261</v>
      </c>
      <c r="B3771" s="52" t="n">
        <v>43865</v>
      </c>
      <c r="C3771" s="54" t="s">
        <v>592</v>
      </c>
      <c r="D3771" s="0" t="n">
        <v>0.188425032168487</v>
      </c>
      <c r="E3771" s="0" t="n">
        <v>0.100041228714974</v>
      </c>
      <c r="F3771" s="0" t="n">
        <v>0</v>
      </c>
      <c r="G3771" s="0" t="n">
        <v>2020</v>
      </c>
    </row>
    <row r="3772" customFormat="false" ht="15" hidden="false" customHeight="false" outlineLevel="0" collapsed="false">
      <c r="A3772" s="0" t="s">
        <v>261</v>
      </c>
      <c r="B3772" s="52" t="n">
        <v>43866</v>
      </c>
      <c r="C3772" s="54" t="s">
        <v>590</v>
      </c>
      <c r="D3772" s="0" t="n">
        <v>0.718682589653436</v>
      </c>
      <c r="E3772" s="0" t="n">
        <v>0.0369128193026271</v>
      </c>
      <c r="F3772" s="0" t="n">
        <v>0</v>
      </c>
      <c r="G3772" s="0" t="n">
        <v>2020</v>
      </c>
    </row>
    <row r="3773" customFormat="false" ht="15" hidden="false" customHeight="false" outlineLevel="0" collapsed="false">
      <c r="A3773" s="0" t="s">
        <v>261</v>
      </c>
      <c r="B3773" s="52" t="n">
        <v>43866</v>
      </c>
      <c r="C3773" s="54" t="s">
        <v>591</v>
      </c>
      <c r="D3773" s="0" t="n">
        <v>0.0224195487305316</v>
      </c>
      <c r="E3773" s="0" t="n">
        <v>0.0674490461970211</v>
      </c>
      <c r="F3773" s="0" t="n">
        <v>0</v>
      </c>
      <c r="G3773" s="0" t="n">
        <v>2020</v>
      </c>
    </row>
    <row r="3774" customFormat="false" ht="15" hidden="false" customHeight="false" outlineLevel="0" collapsed="false">
      <c r="A3774" s="0" t="s">
        <v>261</v>
      </c>
      <c r="B3774" s="52" t="n">
        <v>43866</v>
      </c>
      <c r="C3774" s="54" t="s">
        <v>592</v>
      </c>
      <c r="D3774" s="0" t="n">
        <v>0.213480540000318</v>
      </c>
      <c r="E3774" s="0" t="n">
        <v>0.124001561139765</v>
      </c>
      <c r="F3774" s="0" t="n">
        <v>0</v>
      </c>
      <c r="G3774" s="0" t="n">
        <v>2020</v>
      </c>
    </row>
    <row r="3775" customFormat="false" ht="15" hidden="false" customHeight="false" outlineLevel="0" collapsed="false">
      <c r="A3775" s="0" t="s">
        <v>261</v>
      </c>
      <c r="B3775" s="52" t="n">
        <v>43867</v>
      </c>
      <c r="C3775" s="54" t="s">
        <v>590</v>
      </c>
      <c r="D3775" s="0" t="n">
        <v>0.623125709208497</v>
      </c>
      <c r="E3775" s="0" t="n">
        <v>0</v>
      </c>
      <c r="F3775" s="0" t="n">
        <v>0</v>
      </c>
      <c r="G3775" s="0" t="n">
        <v>2020</v>
      </c>
    </row>
    <row r="3776" customFormat="false" ht="15" hidden="false" customHeight="false" outlineLevel="0" collapsed="false">
      <c r="A3776" s="0" t="s">
        <v>261</v>
      </c>
      <c r="B3776" s="52" t="n">
        <v>43867</v>
      </c>
      <c r="C3776" s="54" t="s">
        <v>591</v>
      </c>
      <c r="D3776" s="0" t="n">
        <v>0.0282358710683541</v>
      </c>
      <c r="E3776" s="0" t="n">
        <v>0.0733231077502886</v>
      </c>
      <c r="F3776" s="0" t="n">
        <v>0</v>
      </c>
      <c r="G3776" s="0" t="n">
        <v>2020</v>
      </c>
    </row>
    <row r="3777" customFormat="false" ht="15" hidden="false" customHeight="false" outlineLevel="0" collapsed="false">
      <c r="A3777" s="0" t="s">
        <v>261</v>
      </c>
      <c r="B3777" s="52" t="n">
        <v>43867</v>
      </c>
      <c r="C3777" s="54" t="s">
        <v>592</v>
      </c>
      <c r="D3777" s="0" t="n">
        <v>0.206677371124442</v>
      </c>
      <c r="E3777" s="0" t="n">
        <v>0.0642810381704607</v>
      </c>
      <c r="F3777" s="0" t="n">
        <v>0</v>
      </c>
      <c r="G3777" s="0" t="n">
        <v>2020</v>
      </c>
    </row>
    <row r="3778" customFormat="false" ht="15" hidden="false" customHeight="false" outlineLevel="0" collapsed="false">
      <c r="A3778" s="0" t="s">
        <v>261</v>
      </c>
      <c r="B3778" s="52" t="n">
        <v>43868</v>
      </c>
      <c r="C3778" s="54" t="s">
        <v>590</v>
      </c>
      <c r="D3778" s="0" t="n">
        <v>0.922605162610925</v>
      </c>
      <c r="E3778" s="0" t="n">
        <v>0.006257158529722</v>
      </c>
      <c r="F3778" s="0" t="n">
        <v>0</v>
      </c>
      <c r="G3778" s="0" t="n">
        <v>2020</v>
      </c>
    </row>
    <row r="3779" customFormat="false" ht="15" hidden="false" customHeight="false" outlineLevel="0" collapsed="false">
      <c r="A3779" s="0" t="s">
        <v>261</v>
      </c>
      <c r="B3779" s="52" t="n">
        <v>43868</v>
      </c>
      <c r="C3779" s="54" t="s">
        <v>591</v>
      </c>
      <c r="D3779" s="0" t="n">
        <v>0.157146512012836</v>
      </c>
      <c r="E3779" s="0" t="n">
        <v>0.0832117835626826</v>
      </c>
      <c r="F3779" s="0" t="n">
        <v>0</v>
      </c>
      <c r="G3779" s="0" t="n">
        <v>2020</v>
      </c>
    </row>
    <row r="3780" customFormat="false" ht="15" hidden="false" customHeight="false" outlineLevel="0" collapsed="false">
      <c r="A3780" s="0" t="s">
        <v>261</v>
      </c>
      <c r="B3780" s="52" t="n">
        <v>43868</v>
      </c>
      <c r="C3780" s="54" t="s">
        <v>592</v>
      </c>
      <c r="D3780" s="0" t="n">
        <v>0.075706251713307</v>
      </c>
      <c r="E3780" s="0" t="n">
        <v>0.0261696407062378</v>
      </c>
      <c r="F3780" s="0" t="n">
        <v>0</v>
      </c>
      <c r="G3780" s="0" t="n">
        <v>2020</v>
      </c>
    </row>
    <row r="3781" customFormat="false" ht="15" hidden="false" customHeight="false" outlineLevel="0" collapsed="false">
      <c r="A3781" s="0" t="s">
        <v>261</v>
      </c>
      <c r="B3781" s="52" t="n">
        <v>43869</v>
      </c>
      <c r="C3781" s="54" t="s">
        <v>590</v>
      </c>
      <c r="D3781" s="0" t="n">
        <v>0.780339176139774</v>
      </c>
      <c r="E3781" s="0" t="n">
        <v>0.0010720356484783</v>
      </c>
      <c r="F3781" s="0" t="n">
        <v>1</v>
      </c>
      <c r="G3781" s="0" t="n">
        <v>2020</v>
      </c>
    </row>
    <row r="3782" customFormat="false" ht="15" hidden="false" customHeight="false" outlineLevel="0" collapsed="false">
      <c r="A3782" s="0" t="s">
        <v>261</v>
      </c>
      <c r="B3782" s="52" t="n">
        <v>43869</v>
      </c>
      <c r="C3782" s="54" t="s">
        <v>591</v>
      </c>
      <c r="D3782" s="0" t="n">
        <v>0.0199809509514737</v>
      </c>
      <c r="E3782" s="0" t="n">
        <v>0.0602497421742438</v>
      </c>
      <c r="F3782" s="0" t="n">
        <v>1</v>
      </c>
      <c r="G3782" s="0" t="n">
        <v>2020</v>
      </c>
    </row>
    <row r="3783" customFormat="false" ht="15" hidden="false" customHeight="false" outlineLevel="0" collapsed="false">
      <c r="A3783" s="0" t="s">
        <v>261</v>
      </c>
      <c r="B3783" s="52" t="n">
        <v>43869</v>
      </c>
      <c r="C3783" s="54" t="s">
        <v>592</v>
      </c>
      <c r="D3783" s="0" t="n">
        <v>0.114697495156205</v>
      </c>
      <c r="E3783" s="0" t="n">
        <v>0.0499902275266849</v>
      </c>
      <c r="F3783" s="0" t="n">
        <v>1</v>
      </c>
      <c r="G3783" s="0" t="n">
        <v>2020</v>
      </c>
    </row>
    <row r="3784" customFormat="false" ht="15" hidden="false" customHeight="false" outlineLevel="0" collapsed="false">
      <c r="A3784" s="0" t="s">
        <v>261</v>
      </c>
      <c r="B3784" s="52" t="n">
        <v>43870</v>
      </c>
      <c r="C3784" s="54" t="s">
        <v>590</v>
      </c>
      <c r="D3784" s="0" t="n">
        <v>1</v>
      </c>
      <c r="E3784" s="0" t="n">
        <v>0</v>
      </c>
      <c r="F3784" s="0" t="n">
        <v>1</v>
      </c>
      <c r="G3784" s="0" t="n">
        <v>2020</v>
      </c>
    </row>
    <row r="3785" customFormat="false" ht="15" hidden="false" customHeight="false" outlineLevel="0" collapsed="false">
      <c r="A3785" s="0" t="s">
        <v>261</v>
      </c>
      <c r="B3785" s="52" t="n">
        <v>43871</v>
      </c>
      <c r="C3785" s="54" t="s">
        <v>590</v>
      </c>
      <c r="D3785" s="0" t="n">
        <v>0.0829309894050123</v>
      </c>
      <c r="E3785" s="0" t="n">
        <v>0.048708307914493</v>
      </c>
      <c r="F3785" s="0" t="n">
        <v>0</v>
      </c>
      <c r="G3785" s="0" t="n">
        <v>2020</v>
      </c>
    </row>
    <row r="3786" customFormat="false" ht="15" hidden="false" customHeight="false" outlineLevel="0" collapsed="false">
      <c r="A3786" s="0" t="s">
        <v>261</v>
      </c>
      <c r="B3786" s="52" t="n">
        <v>43871</v>
      </c>
      <c r="C3786" s="54" t="s">
        <v>591</v>
      </c>
      <c r="D3786" s="0" t="n">
        <v>0.0290021011471878</v>
      </c>
      <c r="E3786" s="0" t="n">
        <v>0.0943172126633127</v>
      </c>
      <c r="F3786" s="0" t="n">
        <v>0</v>
      </c>
      <c r="G3786" s="0" t="n">
        <v>2020</v>
      </c>
    </row>
    <row r="3787" customFormat="false" ht="15" hidden="false" customHeight="false" outlineLevel="0" collapsed="false">
      <c r="A3787" s="0" t="s">
        <v>261</v>
      </c>
      <c r="B3787" s="52" t="n">
        <v>43871</v>
      </c>
      <c r="C3787" s="54" t="s">
        <v>592</v>
      </c>
      <c r="D3787" s="0" t="n">
        <v>0.235887704104962</v>
      </c>
      <c r="E3787" s="0" t="n">
        <v>0.126673165551901</v>
      </c>
      <c r="F3787" s="0" t="n">
        <v>0</v>
      </c>
      <c r="G3787" s="0" t="n">
        <v>2020</v>
      </c>
    </row>
    <row r="3788" customFormat="false" ht="15" hidden="false" customHeight="false" outlineLevel="0" collapsed="false">
      <c r="A3788" s="0" t="s">
        <v>261</v>
      </c>
      <c r="B3788" s="52" t="n">
        <v>43872</v>
      </c>
      <c r="C3788" s="54" t="s">
        <v>590</v>
      </c>
      <c r="D3788" s="0" t="n">
        <v>0.729263013410908</v>
      </c>
      <c r="E3788" s="0" t="n">
        <v>0.0071935552099387</v>
      </c>
      <c r="F3788" s="0" t="n">
        <v>0</v>
      </c>
      <c r="G3788" s="0" t="n">
        <v>2020</v>
      </c>
    </row>
    <row r="3789" customFormat="false" ht="15" hidden="false" customHeight="false" outlineLevel="0" collapsed="false">
      <c r="A3789" s="0" t="s">
        <v>261</v>
      </c>
      <c r="B3789" s="52" t="n">
        <v>43872</v>
      </c>
      <c r="C3789" s="54" t="s">
        <v>591</v>
      </c>
      <c r="D3789" s="0" t="n">
        <v>0.13819727873213</v>
      </c>
      <c r="E3789" s="0" t="n">
        <v>0.0868262845660982</v>
      </c>
      <c r="F3789" s="0" t="n">
        <v>0</v>
      </c>
      <c r="G3789" s="0" t="n">
        <v>2020</v>
      </c>
    </row>
    <row r="3790" customFormat="false" ht="15" hidden="false" customHeight="false" outlineLevel="0" collapsed="false">
      <c r="A3790" s="0" t="s">
        <v>261</v>
      </c>
      <c r="B3790" s="52" t="n">
        <v>43872</v>
      </c>
      <c r="C3790" s="54" t="s">
        <v>592</v>
      </c>
      <c r="D3790" s="0" t="n">
        <v>0.205519831421517</v>
      </c>
      <c r="E3790" s="0" t="n">
        <v>0.103560682325019</v>
      </c>
      <c r="F3790" s="0" t="n">
        <v>0</v>
      </c>
      <c r="G3790" s="0" t="n">
        <v>2020</v>
      </c>
    </row>
    <row r="3791" customFormat="false" ht="15" hidden="false" customHeight="false" outlineLevel="0" collapsed="false">
      <c r="A3791" s="0" t="s">
        <v>261</v>
      </c>
      <c r="B3791" s="52" t="n">
        <v>43873</v>
      </c>
      <c r="C3791" s="54" t="s">
        <v>590</v>
      </c>
      <c r="D3791" s="0" t="n">
        <v>0.647319186962413</v>
      </c>
      <c r="E3791" s="0" t="n">
        <v>0.0214631720307136</v>
      </c>
      <c r="F3791" s="0" t="n">
        <v>0</v>
      </c>
      <c r="G3791" s="0" t="n">
        <v>2020</v>
      </c>
    </row>
    <row r="3792" customFormat="false" ht="15" hidden="false" customHeight="false" outlineLevel="0" collapsed="false">
      <c r="A3792" s="0" t="s">
        <v>261</v>
      </c>
      <c r="B3792" s="52" t="n">
        <v>43873</v>
      </c>
      <c r="C3792" s="54" t="s">
        <v>591</v>
      </c>
      <c r="D3792" s="0" t="n">
        <v>0.0338918773187727</v>
      </c>
      <c r="E3792" s="0" t="n">
        <v>0.195843068184131</v>
      </c>
      <c r="F3792" s="0" t="n">
        <v>0</v>
      </c>
      <c r="G3792" s="0" t="n">
        <v>2020</v>
      </c>
    </row>
    <row r="3793" customFormat="false" ht="15" hidden="false" customHeight="false" outlineLevel="0" collapsed="false">
      <c r="A3793" s="0" t="s">
        <v>261</v>
      </c>
      <c r="B3793" s="52" t="n">
        <v>43873</v>
      </c>
      <c r="C3793" s="54" t="s">
        <v>592</v>
      </c>
      <c r="D3793" s="0" t="n">
        <v>0.181756838248673</v>
      </c>
      <c r="E3793" s="0" t="n">
        <v>0.0614818959935702</v>
      </c>
      <c r="F3793" s="0" t="n">
        <v>0</v>
      </c>
      <c r="G3793" s="0" t="n">
        <v>2020</v>
      </c>
    </row>
    <row r="3794" customFormat="false" ht="15" hidden="false" customHeight="false" outlineLevel="0" collapsed="false">
      <c r="A3794" s="0" t="s">
        <v>261</v>
      </c>
      <c r="B3794" s="52" t="n">
        <v>43874</v>
      </c>
      <c r="C3794" s="54" t="s">
        <v>590</v>
      </c>
      <c r="D3794" s="0" t="n">
        <v>0.361840634103887</v>
      </c>
      <c r="E3794" s="0" t="n">
        <v>0.0301001442207676</v>
      </c>
      <c r="F3794" s="0" t="n">
        <v>0</v>
      </c>
      <c r="G3794" s="0" t="n">
        <v>2020</v>
      </c>
    </row>
    <row r="3795" customFormat="false" ht="15" hidden="false" customHeight="false" outlineLevel="0" collapsed="false">
      <c r="A3795" s="0" t="s">
        <v>261</v>
      </c>
      <c r="B3795" s="52" t="n">
        <v>43874</v>
      </c>
      <c r="C3795" s="54" t="s">
        <v>591</v>
      </c>
      <c r="D3795" s="0" t="n">
        <v>0.116613560519609</v>
      </c>
      <c r="E3795" s="0" t="n">
        <v>0.0554561632654208</v>
      </c>
      <c r="F3795" s="0" t="n">
        <v>0</v>
      </c>
      <c r="G3795" s="0" t="n">
        <v>2020</v>
      </c>
    </row>
    <row r="3796" customFormat="false" ht="15" hidden="false" customHeight="false" outlineLevel="0" collapsed="false">
      <c r="A3796" s="0" t="s">
        <v>261</v>
      </c>
      <c r="B3796" s="52" t="n">
        <v>43874</v>
      </c>
      <c r="C3796" s="54" t="s">
        <v>592</v>
      </c>
      <c r="D3796" s="0" t="n">
        <v>0.478088069072429</v>
      </c>
      <c r="E3796" s="0" t="n">
        <v>0.0136513749198286</v>
      </c>
      <c r="F3796" s="0" t="n">
        <v>0</v>
      </c>
      <c r="G3796" s="0" t="n">
        <v>2020</v>
      </c>
    </row>
    <row r="3797" customFormat="false" ht="15" hidden="false" customHeight="false" outlineLevel="0" collapsed="false">
      <c r="A3797" s="0" t="s">
        <v>261</v>
      </c>
      <c r="B3797" s="52" t="n">
        <v>43875</v>
      </c>
      <c r="C3797" s="54" t="s">
        <v>590</v>
      </c>
      <c r="D3797" s="0" t="n">
        <v>0.219817095291338</v>
      </c>
      <c r="E3797" s="0" t="n">
        <v>0.0333686189146447</v>
      </c>
      <c r="F3797" s="0" t="n">
        <v>0</v>
      </c>
      <c r="G3797" s="0" t="n">
        <v>2020</v>
      </c>
    </row>
    <row r="3798" customFormat="false" ht="15" hidden="false" customHeight="false" outlineLevel="0" collapsed="false">
      <c r="A3798" s="0" t="s">
        <v>261</v>
      </c>
      <c r="B3798" s="52" t="n">
        <v>43875</v>
      </c>
      <c r="C3798" s="54" t="s">
        <v>591</v>
      </c>
      <c r="D3798" s="0" t="n">
        <v>0.0652920043461897</v>
      </c>
      <c r="E3798" s="0" t="n">
        <v>0.0732540506098448</v>
      </c>
      <c r="F3798" s="0" t="n">
        <v>0</v>
      </c>
      <c r="G3798" s="0" t="n">
        <v>2020</v>
      </c>
    </row>
    <row r="3799" customFormat="false" ht="15" hidden="false" customHeight="false" outlineLevel="0" collapsed="false">
      <c r="A3799" s="0" t="s">
        <v>261</v>
      </c>
      <c r="B3799" s="52" t="n">
        <v>43875</v>
      </c>
      <c r="C3799" s="54" t="s">
        <v>592</v>
      </c>
      <c r="D3799" s="0" t="n">
        <v>0.155122281113028</v>
      </c>
      <c r="E3799" s="0" t="n">
        <v>0.0567883586181406</v>
      </c>
      <c r="F3799" s="0" t="n">
        <v>0</v>
      </c>
      <c r="G3799" s="0" t="n">
        <v>2020</v>
      </c>
    </row>
    <row r="3800" customFormat="false" ht="15" hidden="false" customHeight="false" outlineLevel="0" collapsed="false">
      <c r="A3800" s="0" t="s">
        <v>261</v>
      </c>
      <c r="B3800" s="52" t="n">
        <v>43876</v>
      </c>
      <c r="C3800" s="54" t="s">
        <v>590</v>
      </c>
      <c r="D3800" s="0" t="n">
        <v>0.465159713072597</v>
      </c>
      <c r="E3800" s="0" t="n">
        <v>0.0546557272512602</v>
      </c>
      <c r="F3800" s="0" t="n">
        <v>1</v>
      </c>
      <c r="G3800" s="0" t="n">
        <v>2020</v>
      </c>
    </row>
    <row r="3801" customFormat="false" ht="15" hidden="false" customHeight="false" outlineLevel="0" collapsed="false">
      <c r="A3801" s="0" t="s">
        <v>261</v>
      </c>
      <c r="B3801" s="52" t="n">
        <v>43876</v>
      </c>
      <c r="C3801" s="54" t="s">
        <v>591</v>
      </c>
      <c r="D3801" s="0" t="n">
        <v>0.104938628617106</v>
      </c>
      <c r="E3801" s="0" t="n">
        <v>0.0538081663061627</v>
      </c>
      <c r="F3801" s="0" t="n">
        <v>1</v>
      </c>
      <c r="G3801" s="0" t="n">
        <v>2020</v>
      </c>
    </row>
    <row r="3802" customFormat="false" ht="15" hidden="false" customHeight="false" outlineLevel="0" collapsed="false">
      <c r="A3802" s="0" t="s">
        <v>261</v>
      </c>
      <c r="B3802" s="52" t="n">
        <v>43876</v>
      </c>
      <c r="C3802" s="54" t="s">
        <v>592</v>
      </c>
      <c r="D3802" s="0" t="n">
        <v>0.131771773024684</v>
      </c>
      <c r="E3802" s="0" t="n">
        <v>0.0582807663361538</v>
      </c>
      <c r="F3802" s="0" t="n">
        <v>1</v>
      </c>
      <c r="G3802" s="0" t="n">
        <v>2020</v>
      </c>
    </row>
    <row r="3803" customFormat="false" ht="15" hidden="false" customHeight="false" outlineLevel="0" collapsed="false">
      <c r="A3803" s="0" t="s">
        <v>261</v>
      </c>
      <c r="B3803" s="52" t="n">
        <v>43877</v>
      </c>
      <c r="C3803" s="54" t="s">
        <v>591</v>
      </c>
      <c r="D3803" s="0" t="n">
        <v>1</v>
      </c>
      <c r="E3803" s="0" t="n">
        <v>0</v>
      </c>
      <c r="F3803" s="0" t="n">
        <v>1</v>
      </c>
      <c r="G3803" s="0" t="n">
        <v>2020</v>
      </c>
    </row>
    <row r="3804" customFormat="false" ht="15" hidden="false" customHeight="false" outlineLevel="0" collapsed="false">
      <c r="A3804" s="0" t="s">
        <v>261</v>
      </c>
      <c r="B3804" s="52" t="n">
        <v>43878</v>
      </c>
      <c r="C3804" s="54" t="s">
        <v>590</v>
      </c>
      <c r="D3804" s="0" t="n">
        <v>0.0481913350946544</v>
      </c>
      <c r="E3804" s="0" t="n">
        <v>0.0341702919422869</v>
      </c>
      <c r="F3804" s="0" t="n">
        <v>0</v>
      </c>
      <c r="G3804" s="0" t="n">
        <v>2020</v>
      </c>
    </row>
    <row r="3805" customFormat="false" ht="15" hidden="false" customHeight="false" outlineLevel="0" collapsed="false">
      <c r="A3805" s="0" t="s">
        <v>261</v>
      </c>
      <c r="B3805" s="52" t="n">
        <v>43878</v>
      </c>
      <c r="C3805" s="54" t="s">
        <v>591</v>
      </c>
      <c r="D3805" s="0" t="n">
        <v>0.0147702316961394</v>
      </c>
      <c r="E3805" s="0" t="n">
        <v>0.0255294842760034</v>
      </c>
      <c r="F3805" s="0" t="n">
        <v>0</v>
      </c>
      <c r="G3805" s="0" t="n">
        <v>2020</v>
      </c>
    </row>
    <row r="3806" customFormat="false" ht="15" hidden="false" customHeight="false" outlineLevel="0" collapsed="false">
      <c r="A3806" s="0" t="s">
        <v>261</v>
      </c>
      <c r="B3806" s="52" t="n">
        <v>43878</v>
      </c>
      <c r="C3806" s="54" t="s">
        <v>592</v>
      </c>
      <c r="D3806" s="0" t="n">
        <v>0.0992153875754677</v>
      </c>
      <c r="E3806" s="0" t="n">
        <v>0.092070702447845</v>
      </c>
      <c r="F3806" s="0" t="n">
        <v>0</v>
      </c>
      <c r="G3806" s="0" t="n">
        <v>2020</v>
      </c>
    </row>
    <row r="3807" customFormat="false" ht="15" hidden="false" customHeight="false" outlineLevel="0" collapsed="false">
      <c r="A3807" s="0" t="s">
        <v>261</v>
      </c>
      <c r="B3807" s="52" t="n">
        <v>43879</v>
      </c>
      <c r="C3807" s="54" t="s">
        <v>590</v>
      </c>
      <c r="D3807" s="0" t="n">
        <v>0.18104215145087</v>
      </c>
      <c r="E3807" s="0" t="n">
        <v>0.0543038131419172</v>
      </c>
      <c r="F3807" s="0" t="n">
        <v>0</v>
      </c>
      <c r="G3807" s="0" t="n">
        <v>2020</v>
      </c>
    </row>
    <row r="3808" customFormat="false" ht="15" hidden="false" customHeight="false" outlineLevel="0" collapsed="false">
      <c r="A3808" s="0" t="s">
        <v>261</v>
      </c>
      <c r="B3808" s="52" t="n">
        <v>43879</v>
      </c>
      <c r="C3808" s="54" t="s">
        <v>591</v>
      </c>
      <c r="D3808" s="0" t="n">
        <v>0.0164410411292988</v>
      </c>
      <c r="E3808" s="0" t="n">
        <v>0.0596623034081048</v>
      </c>
      <c r="F3808" s="0" t="n">
        <v>0</v>
      </c>
      <c r="G3808" s="0" t="n">
        <v>2020</v>
      </c>
    </row>
    <row r="3809" customFormat="false" ht="15" hidden="false" customHeight="false" outlineLevel="0" collapsed="false">
      <c r="A3809" s="0" t="s">
        <v>261</v>
      </c>
      <c r="B3809" s="52" t="n">
        <v>43879</v>
      </c>
      <c r="C3809" s="54" t="s">
        <v>592</v>
      </c>
      <c r="D3809" s="0" t="n">
        <v>0.183309726223799</v>
      </c>
      <c r="E3809" s="0" t="n">
        <v>0.123762833293579</v>
      </c>
      <c r="F3809" s="0" t="n">
        <v>0</v>
      </c>
      <c r="G3809" s="0" t="n">
        <v>2020</v>
      </c>
    </row>
    <row r="3810" customFormat="false" ht="15" hidden="false" customHeight="false" outlineLevel="0" collapsed="false">
      <c r="A3810" s="0" t="s">
        <v>261</v>
      </c>
      <c r="B3810" s="52" t="n">
        <v>43880</v>
      </c>
      <c r="C3810" s="54" t="s">
        <v>590</v>
      </c>
      <c r="D3810" s="0" t="n">
        <v>0.70607735867844</v>
      </c>
      <c r="E3810" s="0" t="n">
        <v>0.0107576903712131</v>
      </c>
      <c r="F3810" s="0" t="n">
        <v>0</v>
      </c>
      <c r="G3810" s="0" t="n">
        <v>2020</v>
      </c>
    </row>
    <row r="3811" customFormat="false" ht="15" hidden="false" customHeight="false" outlineLevel="0" collapsed="false">
      <c r="A3811" s="0" t="s">
        <v>261</v>
      </c>
      <c r="B3811" s="52" t="n">
        <v>43880</v>
      </c>
      <c r="C3811" s="54" t="s">
        <v>591</v>
      </c>
      <c r="D3811" s="0" t="n">
        <v>0.0338597781717986</v>
      </c>
      <c r="E3811" s="0" t="n">
        <v>0.0770188525734754</v>
      </c>
      <c r="F3811" s="0" t="n">
        <v>0</v>
      </c>
      <c r="G3811" s="0" t="n">
        <v>2020</v>
      </c>
    </row>
    <row r="3812" customFormat="false" ht="15" hidden="false" customHeight="false" outlineLevel="0" collapsed="false">
      <c r="A3812" s="0" t="s">
        <v>261</v>
      </c>
      <c r="B3812" s="52" t="n">
        <v>43880</v>
      </c>
      <c r="C3812" s="54" t="s">
        <v>592</v>
      </c>
      <c r="D3812" s="0" t="n">
        <v>0.150961484816196</v>
      </c>
      <c r="E3812" s="0" t="n">
        <v>0.0697812625056566</v>
      </c>
      <c r="F3812" s="0" t="n">
        <v>0</v>
      </c>
      <c r="G3812" s="0" t="n">
        <v>2020</v>
      </c>
    </row>
    <row r="3813" customFormat="false" ht="15" hidden="false" customHeight="false" outlineLevel="0" collapsed="false">
      <c r="A3813" s="0" t="s">
        <v>261</v>
      </c>
      <c r="B3813" s="52" t="n">
        <v>43881</v>
      </c>
      <c r="C3813" s="54" t="s">
        <v>590</v>
      </c>
      <c r="D3813" s="0" t="n">
        <v>0.694244767423836</v>
      </c>
      <c r="E3813" s="0" t="n">
        <v>0.0192109333961482</v>
      </c>
      <c r="F3813" s="0" t="n">
        <v>0</v>
      </c>
      <c r="G3813" s="0" t="n">
        <v>2020</v>
      </c>
    </row>
    <row r="3814" customFormat="false" ht="15" hidden="false" customHeight="false" outlineLevel="0" collapsed="false">
      <c r="A3814" s="0" t="s">
        <v>261</v>
      </c>
      <c r="B3814" s="52" t="n">
        <v>43881</v>
      </c>
      <c r="C3814" s="54" t="s">
        <v>591</v>
      </c>
      <c r="D3814" s="0" t="n">
        <v>0.0464583580831775</v>
      </c>
      <c r="E3814" s="0" t="n">
        <v>0.107336131715718</v>
      </c>
      <c r="F3814" s="0" t="n">
        <v>0</v>
      </c>
      <c r="G3814" s="0" t="n">
        <v>2020</v>
      </c>
    </row>
    <row r="3815" customFormat="false" ht="15" hidden="false" customHeight="false" outlineLevel="0" collapsed="false">
      <c r="A3815" s="0" t="s">
        <v>261</v>
      </c>
      <c r="B3815" s="52" t="n">
        <v>43881</v>
      </c>
      <c r="C3815" s="54" t="s">
        <v>592</v>
      </c>
      <c r="D3815" s="0" t="n">
        <v>0.24261543213857</v>
      </c>
      <c r="E3815" s="0" t="n">
        <v>0.0803284084870557</v>
      </c>
      <c r="F3815" s="0" t="n">
        <v>0</v>
      </c>
      <c r="G3815" s="0" t="n">
        <v>2020</v>
      </c>
    </row>
    <row r="3816" customFormat="false" ht="15" hidden="false" customHeight="false" outlineLevel="0" collapsed="false">
      <c r="A3816" s="0" t="s">
        <v>261</v>
      </c>
      <c r="B3816" s="52" t="n">
        <v>43882</v>
      </c>
      <c r="C3816" s="54" t="s">
        <v>590</v>
      </c>
      <c r="D3816" s="0" t="n">
        <v>0.779222832096699</v>
      </c>
      <c r="E3816" s="0" t="n">
        <v>0.0121239207024952</v>
      </c>
      <c r="F3816" s="0" t="n">
        <v>0</v>
      </c>
      <c r="G3816" s="0" t="n">
        <v>2020</v>
      </c>
    </row>
    <row r="3817" customFormat="false" ht="15" hidden="false" customHeight="false" outlineLevel="0" collapsed="false">
      <c r="A3817" s="0" t="s">
        <v>261</v>
      </c>
      <c r="B3817" s="52" t="n">
        <v>43882</v>
      </c>
      <c r="C3817" s="54" t="s">
        <v>591</v>
      </c>
      <c r="D3817" s="0" t="n">
        <v>0.0279615927987701</v>
      </c>
      <c r="E3817" s="0" t="n">
        <v>0.141107043235105</v>
      </c>
      <c r="F3817" s="0" t="n">
        <v>0</v>
      </c>
      <c r="G3817" s="0" t="n">
        <v>2020</v>
      </c>
    </row>
    <row r="3818" customFormat="false" ht="15" hidden="false" customHeight="false" outlineLevel="0" collapsed="false">
      <c r="A3818" s="0" t="s">
        <v>261</v>
      </c>
      <c r="B3818" s="52" t="n">
        <v>43882</v>
      </c>
      <c r="C3818" s="54" t="s">
        <v>592</v>
      </c>
      <c r="D3818" s="0" t="n">
        <v>0.135126820351261</v>
      </c>
      <c r="E3818" s="0" t="n">
        <v>0.0437100028031311</v>
      </c>
      <c r="F3818" s="0" t="n">
        <v>0</v>
      </c>
      <c r="G3818" s="0" t="n">
        <v>2020</v>
      </c>
    </row>
    <row r="3819" customFormat="false" ht="15" hidden="false" customHeight="false" outlineLevel="0" collapsed="false">
      <c r="A3819" s="0" t="s">
        <v>261</v>
      </c>
      <c r="B3819" s="52" t="n">
        <v>43883</v>
      </c>
      <c r="C3819" s="54" t="s">
        <v>590</v>
      </c>
      <c r="D3819" s="0" t="n">
        <v>0.864959859579756</v>
      </c>
      <c r="E3819" s="0" t="n">
        <v>0</v>
      </c>
      <c r="F3819" s="0" t="n">
        <v>1</v>
      </c>
      <c r="G3819" s="0" t="n">
        <v>2020</v>
      </c>
    </row>
    <row r="3820" customFormat="false" ht="15" hidden="false" customHeight="false" outlineLevel="0" collapsed="false">
      <c r="A3820" s="0" t="s">
        <v>261</v>
      </c>
      <c r="B3820" s="52" t="n">
        <v>43883</v>
      </c>
      <c r="C3820" s="54" t="s">
        <v>591</v>
      </c>
      <c r="D3820" s="0" t="n">
        <v>0.138391319238188</v>
      </c>
      <c r="E3820" s="0" t="n">
        <v>0.0803072610918858</v>
      </c>
      <c r="F3820" s="0" t="n">
        <v>1</v>
      </c>
      <c r="G3820" s="0" t="n">
        <v>2020</v>
      </c>
    </row>
    <row r="3821" customFormat="false" ht="15" hidden="false" customHeight="false" outlineLevel="0" collapsed="false">
      <c r="A3821" s="0" t="s">
        <v>261</v>
      </c>
      <c r="B3821" s="52" t="n">
        <v>43883</v>
      </c>
      <c r="C3821" s="54" t="s">
        <v>592</v>
      </c>
      <c r="D3821" s="0" t="n">
        <v>0.197288090735918</v>
      </c>
      <c r="E3821" s="0" t="n">
        <v>0.0392625734999998</v>
      </c>
      <c r="F3821" s="0" t="n">
        <v>1</v>
      </c>
      <c r="G3821" s="0" t="n">
        <v>2020</v>
      </c>
    </row>
    <row r="3822" customFormat="false" ht="15" hidden="false" customHeight="false" outlineLevel="0" collapsed="false">
      <c r="A3822" s="0" t="s">
        <v>261</v>
      </c>
      <c r="B3822" s="52" t="n">
        <v>43884</v>
      </c>
      <c r="C3822" s="54" t="s">
        <v>590</v>
      </c>
      <c r="D3822" s="0" t="n">
        <v>1</v>
      </c>
      <c r="E3822" s="0" t="n">
        <v>0</v>
      </c>
      <c r="F3822" s="0" t="n">
        <v>1</v>
      </c>
      <c r="G3822" s="0" t="n">
        <v>2020</v>
      </c>
    </row>
    <row r="3823" customFormat="false" ht="15" hidden="false" customHeight="false" outlineLevel="0" collapsed="false">
      <c r="A3823" s="0" t="s">
        <v>261</v>
      </c>
      <c r="B3823" s="52" t="n">
        <v>43885</v>
      </c>
      <c r="C3823" s="54" t="s">
        <v>590</v>
      </c>
      <c r="D3823" s="0" t="n">
        <v>0.0828826717715161</v>
      </c>
      <c r="E3823" s="0" t="n">
        <v>0.116124187313047</v>
      </c>
      <c r="F3823" s="0" t="n">
        <v>0</v>
      </c>
      <c r="G3823" s="0" t="n">
        <v>2020</v>
      </c>
    </row>
    <row r="3824" customFormat="false" ht="15" hidden="false" customHeight="false" outlineLevel="0" collapsed="false">
      <c r="A3824" s="0" t="s">
        <v>261</v>
      </c>
      <c r="B3824" s="52" t="n">
        <v>43885</v>
      </c>
      <c r="C3824" s="54" t="s">
        <v>591</v>
      </c>
      <c r="D3824" s="0" t="n">
        <v>0.082627369916999</v>
      </c>
      <c r="E3824" s="0" t="n">
        <v>0.0239978616817637</v>
      </c>
      <c r="F3824" s="0" t="n">
        <v>0</v>
      </c>
      <c r="G3824" s="0" t="n">
        <v>2020</v>
      </c>
    </row>
    <row r="3825" customFormat="false" ht="15" hidden="false" customHeight="false" outlineLevel="0" collapsed="false">
      <c r="A3825" s="0" t="s">
        <v>261</v>
      </c>
      <c r="B3825" s="52" t="n">
        <v>43885</v>
      </c>
      <c r="C3825" s="54" t="s">
        <v>592</v>
      </c>
      <c r="D3825" s="0" t="n">
        <v>0.206848303856575</v>
      </c>
      <c r="E3825" s="0" t="n">
        <v>0.0587235148245205</v>
      </c>
      <c r="F3825" s="0" t="n">
        <v>0</v>
      </c>
      <c r="G3825" s="0" t="n">
        <v>2020</v>
      </c>
    </row>
    <row r="3826" customFormat="false" ht="15" hidden="false" customHeight="false" outlineLevel="0" collapsed="false">
      <c r="A3826" s="0" t="s">
        <v>261</v>
      </c>
      <c r="B3826" s="52" t="n">
        <v>43886</v>
      </c>
      <c r="C3826" s="54" t="s">
        <v>590</v>
      </c>
      <c r="D3826" s="0" t="n">
        <v>0.421642493417435</v>
      </c>
      <c r="E3826" s="0" t="n">
        <v>0</v>
      </c>
      <c r="F3826" s="0" t="n">
        <v>0</v>
      </c>
      <c r="G3826" s="0" t="n">
        <v>2020</v>
      </c>
    </row>
    <row r="3827" customFormat="false" ht="15" hidden="false" customHeight="false" outlineLevel="0" collapsed="false">
      <c r="A3827" s="0" t="s">
        <v>261</v>
      </c>
      <c r="B3827" s="52" t="n">
        <v>43886</v>
      </c>
      <c r="C3827" s="54" t="s">
        <v>591</v>
      </c>
      <c r="D3827" s="0" t="n">
        <v>0.121308489325947</v>
      </c>
      <c r="E3827" s="0" t="n">
        <v>0.0242935417311761</v>
      </c>
      <c r="F3827" s="0" t="n">
        <v>0</v>
      </c>
      <c r="G3827" s="0" t="n">
        <v>2020</v>
      </c>
    </row>
    <row r="3828" customFormat="false" ht="15" hidden="false" customHeight="false" outlineLevel="0" collapsed="false">
      <c r="A3828" s="0" t="s">
        <v>261</v>
      </c>
      <c r="B3828" s="52" t="n">
        <v>43886</v>
      </c>
      <c r="C3828" s="54" t="s">
        <v>592</v>
      </c>
      <c r="D3828" s="0" t="n">
        <v>0.276176515072276</v>
      </c>
      <c r="E3828" s="0" t="n">
        <v>0.0393456032599837</v>
      </c>
      <c r="F3828" s="0" t="n">
        <v>0</v>
      </c>
      <c r="G3828" s="0" t="n">
        <v>2020</v>
      </c>
    </row>
    <row r="3829" customFormat="false" ht="15" hidden="false" customHeight="false" outlineLevel="0" collapsed="false">
      <c r="A3829" s="0" t="s">
        <v>261</v>
      </c>
      <c r="B3829" s="52" t="n">
        <v>43887</v>
      </c>
      <c r="C3829" s="54" t="s">
        <v>590</v>
      </c>
      <c r="D3829" s="0" t="n">
        <v>0.451315626877925</v>
      </c>
      <c r="E3829" s="0" t="n">
        <v>0.0059653488391776</v>
      </c>
      <c r="F3829" s="0" t="n">
        <v>0</v>
      </c>
      <c r="G3829" s="0" t="n">
        <v>2020</v>
      </c>
    </row>
    <row r="3830" customFormat="false" ht="15" hidden="false" customHeight="false" outlineLevel="0" collapsed="false">
      <c r="A3830" s="0" t="s">
        <v>261</v>
      </c>
      <c r="B3830" s="52" t="n">
        <v>43887</v>
      </c>
      <c r="C3830" s="54" t="s">
        <v>591</v>
      </c>
      <c r="D3830" s="0" t="n">
        <v>0.0445132443117245</v>
      </c>
      <c r="E3830" s="0" t="n">
        <v>0.0273911432611437</v>
      </c>
      <c r="F3830" s="0" t="n">
        <v>0</v>
      </c>
      <c r="G3830" s="0" t="n">
        <v>2020</v>
      </c>
    </row>
    <row r="3831" customFormat="false" ht="15" hidden="false" customHeight="false" outlineLevel="0" collapsed="false">
      <c r="A3831" s="0" t="s">
        <v>261</v>
      </c>
      <c r="B3831" s="52" t="n">
        <v>43887</v>
      </c>
      <c r="C3831" s="54" t="s">
        <v>592</v>
      </c>
      <c r="D3831" s="0" t="n">
        <v>0.16100523047598</v>
      </c>
      <c r="E3831" s="0" t="n">
        <v>0.0758562774712606</v>
      </c>
      <c r="F3831" s="0" t="n">
        <v>0</v>
      </c>
      <c r="G3831" s="0" t="n">
        <v>2020</v>
      </c>
    </row>
    <row r="3832" customFormat="false" ht="15" hidden="false" customHeight="false" outlineLevel="0" collapsed="false">
      <c r="A3832" s="0" t="s">
        <v>261</v>
      </c>
      <c r="B3832" s="52" t="n">
        <v>43888</v>
      </c>
      <c r="C3832" s="54" t="s">
        <v>590</v>
      </c>
      <c r="D3832" s="0" t="n">
        <v>0.74734053993877</v>
      </c>
      <c r="E3832" s="0" t="n">
        <v>0.0121034901196771</v>
      </c>
      <c r="F3832" s="0" t="n">
        <v>0</v>
      </c>
      <c r="G3832" s="0" t="n">
        <v>2020</v>
      </c>
    </row>
    <row r="3833" customFormat="false" ht="15" hidden="false" customHeight="false" outlineLevel="0" collapsed="false">
      <c r="A3833" s="0" t="s">
        <v>261</v>
      </c>
      <c r="B3833" s="52" t="n">
        <v>43888</v>
      </c>
      <c r="C3833" s="54" t="s">
        <v>591</v>
      </c>
      <c r="D3833" s="0" t="n">
        <v>0.0073514151479324</v>
      </c>
      <c r="E3833" s="0" t="n">
        <v>0.0635778525888431</v>
      </c>
      <c r="F3833" s="0" t="n">
        <v>0</v>
      </c>
      <c r="G3833" s="0" t="n">
        <v>2020</v>
      </c>
    </row>
    <row r="3834" customFormat="false" ht="15" hidden="false" customHeight="false" outlineLevel="0" collapsed="false">
      <c r="A3834" s="0" t="s">
        <v>261</v>
      </c>
      <c r="B3834" s="52" t="n">
        <v>43888</v>
      </c>
      <c r="C3834" s="54" t="s">
        <v>592</v>
      </c>
      <c r="D3834" s="0" t="n">
        <v>0.332904841399591</v>
      </c>
      <c r="E3834" s="0" t="n">
        <v>0.0321049843069969</v>
      </c>
      <c r="F3834" s="0" t="n">
        <v>0</v>
      </c>
      <c r="G3834" s="0" t="n">
        <v>2020</v>
      </c>
    </row>
    <row r="3835" customFormat="false" ht="15" hidden="false" customHeight="false" outlineLevel="0" collapsed="false">
      <c r="A3835" s="0" t="s">
        <v>261</v>
      </c>
      <c r="B3835" s="52" t="n">
        <v>43889</v>
      </c>
      <c r="C3835" s="54" t="s">
        <v>590</v>
      </c>
      <c r="D3835" s="0" t="n">
        <v>0.791632983318377</v>
      </c>
      <c r="E3835" s="0" t="n">
        <v>0.0133708154614403</v>
      </c>
      <c r="F3835" s="0" t="n">
        <v>0</v>
      </c>
      <c r="G3835" s="0" t="n">
        <v>2020</v>
      </c>
    </row>
    <row r="3836" customFormat="false" ht="15" hidden="false" customHeight="false" outlineLevel="0" collapsed="false">
      <c r="A3836" s="0" t="s">
        <v>261</v>
      </c>
      <c r="B3836" s="52" t="n">
        <v>43889</v>
      </c>
      <c r="C3836" s="54" t="s">
        <v>591</v>
      </c>
      <c r="D3836" s="0" t="n">
        <v>0.0037473431916077</v>
      </c>
      <c r="E3836" s="0" t="n">
        <v>0.0109882491682429</v>
      </c>
      <c r="F3836" s="0" t="n">
        <v>0</v>
      </c>
      <c r="G3836" s="0" t="n">
        <v>2020</v>
      </c>
    </row>
    <row r="3837" customFormat="false" ht="15" hidden="false" customHeight="false" outlineLevel="0" collapsed="false">
      <c r="A3837" s="0" t="s">
        <v>261</v>
      </c>
      <c r="B3837" s="52" t="n">
        <v>43889</v>
      </c>
      <c r="C3837" s="54" t="s">
        <v>592</v>
      </c>
      <c r="D3837" s="0" t="n">
        <v>0.134125174181138</v>
      </c>
      <c r="E3837" s="0" t="n">
        <v>0.0421704153968694</v>
      </c>
      <c r="F3837" s="0" t="n">
        <v>0</v>
      </c>
      <c r="G3837" s="0" t="n">
        <v>2020</v>
      </c>
    </row>
    <row r="3838" customFormat="false" ht="15" hidden="false" customHeight="false" outlineLevel="0" collapsed="false">
      <c r="A3838" s="0" t="s">
        <v>261</v>
      </c>
      <c r="B3838" s="52" t="n">
        <v>43890</v>
      </c>
      <c r="C3838" s="54" t="s">
        <v>590</v>
      </c>
      <c r="D3838" s="0" t="n">
        <v>0.338648077659207</v>
      </c>
      <c r="E3838" s="0" t="n">
        <v>0.0038585546576879</v>
      </c>
      <c r="F3838" s="0" t="n">
        <v>1</v>
      </c>
      <c r="G3838" s="0" t="n">
        <v>2020</v>
      </c>
    </row>
    <row r="3839" customFormat="false" ht="15" hidden="false" customHeight="false" outlineLevel="0" collapsed="false">
      <c r="A3839" s="0" t="s">
        <v>261</v>
      </c>
      <c r="B3839" s="52" t="n">
        <v>43890</v>
      </c>
      <c r="C3839" s="54" t="s">
        <v>591</v>
      </c>
      <c r="D3839" s="0" t="n">
        <v>0.0008980272448001</v>
      </c>
      <c r="E3839" s="0" t="n">
        <v>0.0193934753353118</v>
      </c>
      <c r="F3839" s="0" t="n">
        <v>1</v>
      </c>
      <c r="G3839" s="0" t="n">
        <v>2020</v>
      </c>
    </row>
    <row r="3840" customFormat="false" ht="15" hidden="false" customHeight="false" outlineLevel="0" collapsed="false">
      <c r="A3840" s="0" t="s">
        <v>261</v>
      </c>
      <c r="B3840" s="52" t="n">
        <v>43890</v>
      </c>
      <c r="C3840" s="54" t="s">
        <v>592</v>
      </c>
      <c r="D3840" s="0" t="n">
        <v>0.314486809144326</v>
      </c>
      <c r="E3840" s="0" t="n">
        <v>0.0101778449410438</v>
      </c>
      <c r="F3840" s="0" t="n">
        <v>1</v>
      </c>
      <c r="G3840" s="0" t="n">
        <v>2020</v>
      </c>
    </row>
    <row r="3841" customFormat="false" ht="15" hidden="false" customHeight="false" outlineLevel="0" collapsed="false">
      <c r="A3841" s="0" t="s">
        <v>261</v>
      </c>
      <c r="B3841" s="52" t="n">
        <v>43891</v>
      </c>
      <c r="C3841" s="54" t="s">
        <v>590</v>
      </c>
      <c r="D3841" s="0" t="n">
        <v>0.996849886056016</v>
      </c>
      <c r="E3841" s="0" t="n">
        <v>0</v>
      </c>
      <c r="F3841" s="0" t="n">
        <v>1</v>
      </c>
      <c r="G3841" s="0" t="n">
        <v>2020</v>
      </c>
    </row>
    <row r="3842" customFormat="false" ht="15" hidden="false" customHeight="false" outlineLevel="0" collapsed="false">
      <c r="A3842" s="0" t="s">
        <v>261</v>
      </c>
      <c r="B3842" s="52" t="n">
        <v>43891</v>
      </c>
      <c r="C3842" s="54" t="s">
        <v>591</v>
      </c>
      <c r="D3842" s="0" t="n">
        <v>0.996379408724752</v>
      </c>
      <c r="E3842" s="0" t="n">
        <v>0</v>
      </c>
      <c r="F3842" s="0" t="n">
        <v>1</v>
      </c>
      <c r="G3842" s="0" t="n">
        <v>2020</v>
      </c>
    </row>
    <row r="3843" customFormat="false" ht="15" hidden="false" customHeight="false" outlineLevel="0" collapsed="false">
      <c r="A3843" s="0" t="s">
        <v>261</v>
      </c>
      <c r="B3843" s="52" t="n">
        <v>43892</v>
      </c>
      <c r="C3843" s="54" t="s">
        <v>590</v>
      </c>
      <c r="D3843" s="0" t="n">
        <v>0.283365034624628</v>
      </c>
      <c r="E3843" s="0" t="n">
        <v>0.0227152842634761</v>
      </c>
      <c r="F3843" s="0" t="n">
        <v>0</v>
      </c>
      <c r="G3843" s="0" t="n">
        <v>2020</v>
      </c>
    </row>
    <row r="3844" customFormat="false" ht="15" hidden="false" customHeight="false" outlineLevel="0" collapsed="false">
      <c r="A3844" s="0" t="s">
        <v>261</v>
      </c>
      <c r="B3844" s="52" t="n">
        <v>43892</v>
      </c>
      <c r="C3844" s="54" t="s">
        <v>591</v>
      </c>
      <c r="D3844" s="0" t="n">
        <v>0.229940813278415</v>
      </c>
      <c r="E3844" s="0" t="n">
        <v>0.0519066428514423</v>
      </c>
      <c r="F3844" s="0" t="n">
        <v>0</v>
      </c>
      <c r="G3844" s="0" t="n">
        <v>2020</v>
      </c>
    </row>
    <row r="3845" customFormat="false" ht="15" hidden="false" customHeight="false" outlineLevel="0" collapsed="false">
      <c r="A3845" s="0" t="s">
        <v>261</v>
      </c>
      <c r="B3845" s="52" t="n">
        <v>43892</v>
      </c>
      <c r="C3845" s="54" t="s">
        <v>592</v>
      </c>
      <c r="D3845" s="0" t="n">
        <v>0.0648503763777023</v>
      </c>
      <c r="E3845" s="0" t="n">
        <v>0.259257573045083</v>
      </c>
      <c r="F3845" s="0" t="n">
        <v>0</v>
      </c>
      <c r="G3845" s="0" t="n">
        <v>2020</v>
      </c>
    </row>
    <row r="3846" customFormat="false" ht="15" hidden="false" customHeight="false" outlineLevel="0" collapsed="false">
      <c r="A3846" s="0" t="s">
        <v>261</v>
      </c>
      <c r="B3846" s="52" t="n">
        <v>43893</v>
      </c>
      <c r="C3846" s="54" t="s">
        <v>590</v>
      </c>
      <c r="D3846" s="0" t="n">
        <v>0.505930464909617</v>
      </c>
      <c r="E3846" s="0" t="n">
        <v>0.105487981795064</v>
      </c>
      <c r="F3846" s="0" t="n">
        <v>0</v>
      </c>
      <c r="G3846" s="0" t="n">
        <v>2020</v>
      </c>
    </row>
    <row r="3847" customFormat="false" ht="15" hidden="false" customHeight="false" outlineLevel="0" collapsed="false">
      <c r="A3847" s="0" t="s">
        <v>261</v>
      </c>
      <c r="B3847" s="52" t="n">
        <v>43893</v>
      </c>
      <c r="C3847" s="54" t="s">
        <v>591</v>
      </c>
      <c r="D3847" s="0" t="n">
        <v>0.0294724871762906</v>
      </c>
      <c r="E3847" s="0" t="n">
        <v>0.134097734198116</v>
      </c>
      <c r="F3847" s="0" t="n">
        <v>0</v>
      </c>
      <c r="G3847" s="0" t="n">
        <v>2020</v>
      </c>
    </row>
    <row r="3848" customFormat="false" ht="15" hidden="false" customHeight="false" outlineLevel="0" collapsed="false">
      <c r="A3848" s="0" t="s">
        <v>261</v>
      </c>
      <c r="B3848" s="52" t="n">
        <v>43893</v>
      </c>
      <c r="C3848" s="54" t="s">
        <v>592</v>
      </c>
      <c r="D3848" s="0" t="n">
        <v>0.126004580374542</v>
      </c>
      <c r="E3848" s="0" t="n">
        <v>0.0742141424925281</v>
      </c>
      <c r="F3848" s="0" t="n">
        <v>0</v>
      </c>
      <c r="G3848" s="0" t="n">
        <v>2020</v>
      </c>
    </row>
    <row r="3849" customFormat="false" ht="15" hidden="false" customHeight="false" outlineLevel="0" collapsed="false">
      <c r="A3849" s="0" t="s">
        <v>261</v>
      </c>
      <c r="B3849" s="52" t="n">
        <v>43894</v>
      </c>
      <c r="C3849" s="54" t="s">
        <v>590</v>
      </c>
      <c r="D3849" s="0" t="n">
        <v>0.871445957566029</v>
      </c>
      <c r="E3849" s="0" t="n">
        <v>0</v>
      </c>
      <c r="F3849" s="0" t="n">
        <v>0</v>
      </c>
      <c r="G3849" s="0" t="n">
        <v>2020</v>
      </c>
    </row>
    <row r="3850" customFormat="false" ht="15" hidden="false" customHeight="false" outlineLevel="0" collapsed="false">
      <c r="A3850" s="0" t="s">
        <v>261</v>
      </c>
      <c r="B3850" s="52" t="n">
        <v>43894</v>
      </c>
      <c r="C3850" s="54" t="s">
        <v>591</v>
      </c>
      <c r="D3850" s="0" t="n">
        <v>0.184484105998788</v>
      </c>
      <c r="E3850" s="0" t="n">
        <v>0.0992298542828466</v>
      </c>
      <c r="F3850" s="0" t="n">
        <v>0</v>
      </c>
      <c r="G3850" s="0" t="n">
        <v>2020</v>
      </c>
    </row>
    <row r="3851" customFormat="false" ht="15" hidden="false" customHeight="false" outlineLevel="0" collapsed="false">
      <c r="A3851" s="0" t="s">
        <v>261</v>
      </c>
      <c r="B3851" s="52" t="n">
        <v>43894</v>
      </c>
      <c r="C3851" s="54" t="s">
        <v>592</v>
      </c>
      <c r="D3851" s="0" t="n">
        <v>0.218937773970666</v>
      </c>
      <c r="E3851" s="0" t="n">
        <v>0.037172360928144</v>
      </c>
      <c r="F3851" s="0" t="n">
        <v>0</v>
      </c>
      <c r="G3851" s="0" t="n">
        <v>2020</v>
      </c>
    </row>
    <row r="3852" customFormat="false" ht="15" hidden="false" customHeight="false" outlineLevel="0" collapsed="false">
      <c r="A3852" s="0" t="s">
        <v>261</v>
      </c>
      <c r="B3852" s="52" t="n">
        <v>43895</v>
      </c>
      <c r="C3852" s="54" t="s">
        <v>590</v>
      </c>
      <c r="D3852" s="0" t="n">
        <v>0.24310690998843</v>
      </c>
      <c r="E3852" s="0" t="n">
        <v>0.0092000351493278</v>
      </c>
      <c r="F3852" s="0" t="n">
        <v>0</v>
      </c>
      <c r="G3852" s="0" t="n">
        <v>2020</v>
      </c>
    </row>
    <row r="3853" customFormat="false" ht="15" hidden="false" customHeight="false" outlineLevel="0" collapsed="false">
      <c r="A3853" s="0" t="s">
        <v>261</v>
      </c>
      <c r="B3853" s="52" t="n">
        <v>43895</v>
      </c>
      <c r="C3853" s="54" t="s">
        <v>591</v>
      </c>
      <c r="D3853" s="0" t="n">
        <v>0.0548080526049048</v>
      </c>
      <c r="E3853" s="0" t="n">
        <v>0.0927821547538205</v>
      </c>
      <c r="F3853" s="0" t="n">
        <v>0</v>
      </c>
      <c r="G3853" s="0" t="n">
        <v>2020</v>
      </c>
    </row>
    <row r="3854" customFormat="false" ht="15" hidden="false" customHeight="false" outlineLevel="0" collapsed="false">
      <c r="A3854" s="0" t="s">
        <v>261</v>
      </c>
      <c r="B3854" s="52" t="n">
        <v>43895</v>
      </c>
      <c r="C3854" s="54" t="s">
        <v>592</v>
      </c>
      <c r="D3854" s="0" t="n">
        <v>0.0694358982585825</v>
      </c>
      <c r="E3854" s="0" t="n">
        <v>0.0529767728237037</v>
      </c>
      <c r="F3854" s="0" t="n">
        <v>0</v>
      </c>
      <c r="G3854" s="0" t="n">
        <v>2020</v>
      </c>
    </row>
    <row r="3855" customFormat="false" ht="15" hidden="false" customHeight="false" outlineLevel="0" collapsed="false">
      <c r="A3855" s="0" t="s">
        <v>261</v>
      </c>
      <c r="B3855" s="52" t="n">
        <v>43896</v>
      </c>
      <c r="C3855" s="54" t="s">
        <v>590</v>
      </c>
      <c r="D3855" s="0" t="n">
        <v>0.205319712291202</v>
      </c>
      <c r="E3855" s="0" t="n">
        <v>0.016326037245059</v>
      </c>
      <c r="F3855" s="0" t="n">
        <v>0</v>
      </c>
      <c r="G3855" s="0" t="n">
        <v>2020</v>
      </c>
    </row>
    <row r="3856" customFormat="false" ht="15" hidden="false" customHeight="false" outlineLevel="0" collapsed="false">
      <c r="A3856" s="0" t="s">
        <v>261</v>
      </c>
      <c r="B3856" s="52" t="n">
        <v>43896</v>
      </c>
      <c r="C3856" s="54" t="s">
        <v>591</v>
      </c>
      <c r="D3856" s="0" t="n">
        <v>0.0345268528574584</v>
      </c>
      <c r="E3856" s="0" t="n">
        <v>0.060279374518327</v>
      </c>
      <c r="F3856" s="0" t="n">
        <v>0</v>
      </c>
      <c r="G3856" s="0" t="n">
        <v>2020</v>
      </c>
    </row>
    <row r="3857" customFormat="false" ht="15" hidden="false" customHeight="false" outlineLevel="0" collapsed="false">
      <c r="A3857" s="0" t="s">
        <v>261</v>
      </c>
      <c r="B3857" s="52" t="n">
        <v>43896</v>
      </c>
      <c r="C3857" s="54" t="s">
        <v>592</v>
      </c>
      <c r="D3857" s="0" t="n">
        <v>0.227570223841918</v>
      </c>
      <c r="E3857" s="0" t="n">
        <v>0.0698097704640925</v>
      </c>
      <c r="F3857" s="0" t="n">
        <v>0</v>
      </c>
      <c r="G3857" s="0" t="n">
        <v>2020</v>
      </c>
    </row>
    <row r="3858" customFormat="false" ht="15" hidden="false" customHeight="false" outlineLevel="0" collapsed="false">
      <c r="A3858" s="0" t="s">
        <v>261</v>
      </c>
      <c r="B3858" s="52" t="n">
        <v>43897</v>
      </c>
      <c r="C3858" s="54" t="s">
        <v>590</v>
      </c>
      <c r="D3858" s="0" t="n">
        <v>0.711158435708693</v>
      </c>
      <c r="E3858" s="0" t="n">
        <v>0.0017239598251262</v>
      </c>
      <c r="F3858" s="0" t="n">
        <v>1</v>
      </c>
      <c r="G3858" s="0" t="n">
        <v>2020</v>
      </c>
    </row>
    <row r="3859" customFormat="false" ht="15" hidden="false" customHeight="false" outlineLevel="0" collapsed="false">
      <c r="A3859" s="0" t="s">
        <v>261</v>
      </c>
      <c r="B3859" s="52" t="n">
        <v>43897</v>
      </c>
      <c r="C3859" s="54" t="s">
        <v>591</v>
      </c>
      <c r="D3859" s="0" t="n">
        <v>0.0237950330841956</v>
      </c>
      <c r="E3859" s="0" t="n">
        <v>0.0336962745840998</v>
      </c>
      <c r="F3859" s="0" t="n">
        <v>1</v>
      </c>
      <c r="G3859" s="0" t="n">
        <v>2020</v>
      </c>
    </row>
    <row r="3860" customFormat="false" ht="15" hidden="false" customHeight="false" outlineLevel="0" collapsed="false">
      <c r="A3860" s="0" t="s">
        <v>261</v>
      </c>
      <c r="B3860" s="52" t="n">
        <v>43897</v>
      </c>
      <c r="C3860" s="54" t="s">
        <v>592</v>
      </c>
      <c r="D3860" s="0" t="n">
        <v>0.0817271604735537</v>
      </c>
      <c r="E3860" s="0" t="n">
        <v>0.0125015295833335</v>
      </c>
      <c r="F3860" s="0" t="n">
        <v>1</v>
      </c>
      <c r="G3860" s="0" t="n">
        <v>2020</v>
      </c>
    </row>
    <row r="3861" customFormat="false" ht="15" hidden="false" customHeight="false" outlineLevel="0" collapsed="false">
      <c r="A3861" s="0" t="s">
        <v>261</v>
      </c>
      <c r="B3861" s="52" t="n">
        <v>43899</v>
      </c>
      <c r="C3861" s="54" t="s">
        <v>590</v>
      </c>
      <c r="D3861" s="0" t="n">
        <v>0.0423000944262326</v>
      </c>
      <c r="E3861" s="0" t="n">
        <v>0.0448363854162077</v>
      </c>
      <c r="F3861" s="0" t="n">
        <v>0</v>
      </c>
      <c r="G3861" s="0" t="n">
        <v>2020</v>
      </c>
    </row>
    <row r="3862" customFormat="false" ht="15" hidden="false" customHeight="false" outlineLevel="0" collapsed="false">
      <c r="A3862" s="0" t="s">
        <v>261</v>
      </c>
      <c r="B3862" s="52" t="n">
        <v>43899</v>
      </c>
      <c r="C3862" s="54" t="s">
        <v>591</v>
      </c>
      <c r="D3862" s="0" t="n">
        <v>0.0286785039735435</v>
      </c>
      <c r="E3862" s="0" t="n">
        <v>0.0307010546271582</v>
      </c>
      <c r="F3862" s="0" t="n">
        <v>0</v>
      </c>
      <c r="G3862" s="0" t="n">
        <v>2020</v>
      </c>
    </row>
    <row r="3863" customFormat="false" ht="15" hidden="false" customHeight="false" outlineLevel="0" collapsed="false">
      <c r="A3863" s="0" t="s">
        <v>261</v>
      </c>
      <c r="B3863" s="52" t="n">
        <v>43906</v>
      </c>
      <c r="C3863" s="54" t="s">
        <v>590</v>
      </c>
      <c r="D3863" s="0" t="n">
        <v>0.221511619981315</v>
      </c>
      <c r="E3863" s="0" t="n">
        <v>0</v>
      </c>
      <c r="F3863" s="0" t="n">
        <v>0</v>
      </c>
      <c r="G3863" s="0" t="n">
        <v>2020</v>
      </c>
    </row>
    <row r="3864" customFormat="false" ht="15" hidden="false" customHeight="false" outlineLevel="0" collapsed="false">
      <c r="A3864" s="0" t="s">
        <v>261</v>
      </c>
      <c r="B3864" s="52" t="n">
        <v>43906</v>
      </c>
      <c r="C3864" s="54" t="s">
        <v>591</v>
      </c>
      <c r="D3864" s="0" t="n">
        <v>0.0733837468296806</v>
      </c>
      <c r="E3864" s="0" t="n">
        <v>0.058681695876959</v>
      </c>
      <c r="F3864" s="0" t="n">
        <v>0</v>
      </c>
      <c r="G3864" s="0" t="n">
        <v>2020</v>
      </c>
    </row>
    <row r="3865" customFormat="false" ht="15" hidden="false" customHeight="false" outlineLevel="0" collapsed="false">
      <c r="A3865" s="0" t="s">
        <v>261</v>
      </c>
      <c r="B3865" s="52" t="n">
        <v>43906</v>
      </c>
      <c r="C3865" s="54" t="s">
        <v>592</v>
      </c>
      <c r="D3865" s="0" t="n">
        <v>0.210501441281538</v>
      </c>
      <c r="E3865" s="0" t="n">
        <v>0.0301377495865158</v>
      </c>
      <c r="F3865" s="0" t="n">
        <v>0</v>
      </c>
      <c r="G3865" s="0" t="n">
        <v>2020</v>
      </c>
    </row>
    <row r="3866" customFormat="false" ht="15" hidden="false" customHeight="false" outlineLevel="0" collapsed="false">
      <c r="A3866" s="0" t="s">
        <v>261</v>
      </c>
      <c r="B3866" s="52" t="n">
        <v>43908</v>
      </c>
      <c r="C3866" s="54" t="s">
        <v>590</v>
      </c>
      <c r="D3866" s="0" t="n">
        <v>0.6165117432546</v>
      </c>
      <c r="E3866" s="0" t="n">
        <v>0.0186221624858333</v>
      </c>
      <c r="F3866" s="0" t="n">
        <v>0</v>
      </c>
      <c r="G3866" s="0" t="n">
        <v>2020</v>
      </c>
    </row>
    <row r="3867" customFormat="false" ht="15" hidden="false" customHeight="false" outlineLevel="0" collapsed="false">
      <c r="A3867" s="0" t="s">
        <v>261</v>
      </c>
      <c r="B3867" s="52" t="n">
        <v>43908</v>
      </c>
      <c r="C3867" s="54" t="s">
        <v>591</v>
      </c>
      <c r="D3867" s="0" t="n">
        <v>0.0042709426719243</v>
      </c>
      <c r="E3867" s="0" t="n">
        <v>0.0580563960524285</v>
      </c>
      <c r="F3867" s="0" t="n">
        <v>0</v>
      </c>
      <c r="G3867" s="0" t="n">
        <v>2020</v>
      </c>
    </row>
    <row r="3868" customFormat="false" ht="15" hidden="false" customHeight="false" outlineLevel="0" collapsed="false">
      <c r="A3868" s="0" t="s">
        <v>261</v>
      </c>
      <c r="B3868" s="52" t="n">
        <v>43908</v>
      </c>
      <c r="C3868" s="54" t="s">
        <v>592</v>
      </c>
      <c r="D3868" s="0" t="n">
        <v>0.260417537989684</v>
      </c>
      <c r="E3868" s="0" t="n">
        <v>0.0320588782006598</v>
      </c>
      <c r="F3868" s="0" t="n">
        <v>0</v>
      </c>
      <c r="G3868" s="0" t="n">
        <v>2020</v>
      </c>
    </row>
    <row r="3869" customFormat="false" ht="15" hidden="false" customHeight="false" outlineLevel="0" collapsed="false">
      <c r="A3869" s="0" t="s">
        <v>261</v>
      </c>
      <c r="B3869" s="52" t="n">
        <v>43909</v>
      </c>
      <c r="C3869" s="54" t="s">
        <v>590</v>
      </c>
      <c r="D3869" s="0" t="n">
        <v>0.792256621670355</v>
      </c>
      <c r="E3869" s="0" t="n">
        <v>0</v>
      </c>
      <c r="F3869" s="0" t="n">
        <v>0</v>
      </c>
      <c r="G3869" s="0" t="n">
        <v>2020</v>
      </c>
    </row>
    <row r="3870" customFormat="false" ht="15" hidden="false" customHeight="false" outlineLevel="0" collapsed="false">
      <c r="A3870" s="0" t="s">
        <v>261</v>
      </c>
      <c r="B3870" s="52" t="n">
        <v>43909</v>
      </c>
      <c r="C3870" s="54" t="s">
        <v>591</v>
      </c>
      <c r="D3870" s="0" t="n">
        <v>0.0840279252394534</v>
      </c>
      <c r="E3870" s="0" t="n">
        <v>0.106082785787394</v>
      </c>
      <c r="F3870" s="0" t="n">
        <v>0</v>
      </c>
      <c r="G3870" s="0" t="n">
        <v>2020</v>
      </c>
    </row>
    <row r="3871" customFormat="false" ht="15" hidden="false" customHeight="false" outlineLevel="0" collapsed="false">
      <c r="A3871" s="0" t="s">
        <v>261</v>
      </c>
      <c r="B3871" s="52" t="n">
        <v>43909</v>
      </c>
      <c r="C3871" s="54" t="s">
        <v>592</v>
      </c>
      <c r="D3871" s="0" t="n">
        <v>0.115497866086756</v>
      </c>
      <c r="E3871" s="0" t="n">
        <v>0.132341227882914</v>
      </c>
      <c r="F3871" s="0" t="n">
        <v>0</v>
      </c>
      <c r="G3871" s="0" t="n">
        <v>2020</v>
      </c>
    </row>
    <row r="3872" customFormat="false" ht="15" hidden="false" customHeight="false" outlineLevel="0" collapsed="false">
      <c r="A3872" s="0" t="s">
        <v>261</v>
      </c>
      <c r="B3872" s="52" t="n">
        <v>43910</v>
      </c>
      <c r="C3872" s="54" t="s">
        <v>590</v>
      </c>
      <c r="D3872" s="0" t="n">
        <v>0.529229612080647</v>
      </c>
      <c r="E3872" s="0" t="n">
        <v>0.0055077735692121</v>
      </c>
      <c r="F3872" s="0" t="n">
        <v>0</v>
      </c>
      <c r="G3872" s="0" t="n">
        <v>2020</v>
      </c>
    </row>
    <row r="3873" customFormat="false" ht="15" hidden="false" customHeight="false" outlineLevel="0" collapsed="false">
      <c r="A3873" s="0" t="s">
        <v>261</v>
      </c>
      <c r="B3873" s="52" t="n">
        <v>43910</v>
      </c>
      <c r="C3873" s="54" t="s">
        <v>591</v>
      </c>
      <c r="D3873" s="0" t="n">
        <v>0.0315066949199318</v>
      </c>
      <c r="E3873" s="0" t="n">
        <v>0.150352035044206</v>
      </c>
      <c r="F3873" s="0" t="n">
        <v>0</v>
      </c>
      <c r="G3873" s="0" t="n">
        <v>2020</v>
      </c>
    </row>
    <row r="3874" customFormat="false" ht="15" hidden="false" customHeight="false" outlineLevel="0" collapsed="false">
      <c r="A3874" s="0" t="s">
        <v>261</v>
      </c>
      <c r="B3874" s="52" t="n">
        <v>43910</v>
      </c>
      <c r="C3874" s="54" t="s">
        <v>592</v>
      </c>
      <c r="D3874" s="0" t="n">
        <v>0</v>
      </c>
      <c r="E3874" s="0" t="n">
        <v>0.0707901189566936</v>
      </c>
      <c r="F3874" s="0" t="n">
        <v>0</v>
      </c>
      <c r="G3874" s="0" t="n">
        <v>2020</v>
      </c>
    </row>
    <row r="3875" customFormat="false" ht="15" hidden="false" customHeight="false" outlineLevel="0" collapsed="false">
      <c r="A3875" s="0" t="s">
        <v>261</v>
      </c>
      <c r="B3875" s="52" t="n">
        <v>43911</v>
      </c>
      <c r="C3875" s="54" t="s">
        <v>590</v>
      </c>
      <c r="D3875" s="0" t="n">
        <v>0.471919725322849</v>
      </c>
      <c r="E3875" s="0" t="n">
        <v>0.0020832322717677</v>
      </c>
      <c r="F3875" s="0" t="n">
        <v>1</v>
      </c>
      <c r="G3875" s="0" t="n">
        <v>2020</v>
      </c>
    </row>
    <row r="3876" customFormat="false" ht="15" hidden="false" customHeight="false" outlineLevel="0" collapsed="false">
      <c r="A3876" s="0" t="s">
        <v>261</v>
      </c>
      <c r="B3876" s="52" t="n">
        <v>43911</v>
      </c>
      <c r="C3876" s="54" t="s">
        <v>591</v>
      </c>
      <c r="D3876" s="0" t="n">
        <v>0.0202655823553159</v>
      </c>
      <c r="E3876" s="0" t="n">
        <v>0.0848232891376039</v>
      </c>
      <c r="F3876" s="0" t="n">
        <v>1</v>
      </c>
      <c r="G3876" s="0" t="n">
        <v>2020</v>
      </c>
    </row>
    <row r="3877" customFormat="false" ht="15" hidden="false" customHeight="false" outlineLevel="0" collapsed="false">
      <c r="A3877" s="0" t="s">
        <v>261</v>
      </c>
      <c r="B3877" s="52" t="n">
        <v>43911</v>
      </c>
      <c r="C3877" s="54" t="s">
        <v>592</v>
      </c>
      <c r="D3877" s="0" t="n">
        <v>0.136237514910013</v>
      </c>
      <c r="E3877" s="0" t="n">
        <v>0.0505190481688706</v>
      </c>
      <c r="F3877" s="0" t="n">
        <v>1</v>
      </c>
      <c r="G3877" s="0" t="n">
        <v>2020</v>
      </c>
    </row>
    <row r="3878" customFormat="false" ht="15" hidden="false" customHeight="false" outlineLevel="0" collapsed="false">
      <c r="A3878" s="0" t="s">
        <v>261</v>
      </c>
      <c r="B3878" s="52" t="n">
        <v>43912</v>
      </c>
      <c r="C3878" s="54" t="s">
        <v>590</v>
      </c>
      <c r="D3878" s="0" t="n">
        <v>0.989643239225356</v>
      </c>
      <c r="E3878" s="0" t="n">
        <v>0</v>
      </c>
      <c r="F3878" s="0" t="n">
        <v>1</v>
      </c>
      <c r="G3878" s="0" t="n">
        <v>2020</v>
      </c>
    </row>
    <row r="3879" customFormat="false" ht="15" hidden="false" customHeight="false" outlineLevel="0" collapsed="false">
      <c r="A3879" s="0" t="s">
        <v>261</v>
      </c>
      <c r="B3879" s="52" t="n">
        <v>43912</v>
      </c>
      <c r="C3879" s="54" t="s">
        <v>591</v>
      </c>
      <c r="D3879" s="0" t="n">
        <v>0.732078623729296</v>
      </c>
      <c r="E3879" s="0" t="n">
        <v>0</v>
      </c>
      <c r="F3879" s="0" t="n">
        <v>1</v>
      </c>
      <c r="G3879" s="0" t="n">
        <v>2020</v>
      </c>
    </row>
    <row r="3880" customFormat="false" ht="15" hidden="false" customHeight="false" outlineLevel="0" collapsed="false">
      <c r="A3880" s="0" t="s">
        <v>261</v>
      </c>
      <c r="B3880" s="52" t="n">
        <v>43913</v>
      </c>
      <c r="C3880" s="54" t="s">
        <v>590</v>
      </c>
      <c r="D3880" s="0" t="n">
        <v>0.0782514785268329</v>
      </c>
      <c r="E3880" s="0" t="n">
        <v>0.119079375808319</v>
      </c>
      <c r="F3880" s="0" t="n">
        <v>0</v>
      </c>
      <c r="G3880" s="0" t="n">
        <v>2020</v>
      </c>
    </row>
    <row r="3881" customFormat="false" ht="15" hidden="false" customHeight="false" outlineLevel="0" collapsed="false">
      <c r="A3881" s="0" t="s">
        <v>261</v>
      </c>
      <c r="B3881" s="52" t="n">
        <v>43913</v>
      </c>
      <c r="C3881" s="54" t="s">
        <v>591</v>
      </c>
      <c r="D3881" s="0" t="n">
        <v>0.0199541591164109</v>
      </c>
      <c r="E3881" s="0" t="n">
        <v>0.060147062802052</v>
      </c>
      <c r="F3881" s="0" t="n">
        <v>0</v>
      </c>
      <c r="G3881" s="0" t="n">
        <v>2020</v>
      </c>
    </row>
    <row r="3882" customFormat="false" ht="15" hidden="false" customHeight="false" outlineLevel="0" collapsed="false">
      <c r="A3882" s="0" t="s">
        <v>261</v>
      </c>
      <c r="B3882" s="52" t="n">
        <v>43913</v>
      </c>
      <c r="C3882" s="54" t="s">
        <v>592</v>
      </c>
      <c r="D3882" s="0" t="n">
        <v>0.254398291858387</v>
      </c>
      <c r="E3882" s="0" t="n">
        <v>0.0456609599016548</v>
      </c>
      <c r="F3882" s="0" t="n">
        <v>0</v>
      </c>
      <c r="G3882" s="0" t="n">
        <v>2020</v>
      </c>
    </row>
    <row r="3883" customFormat="false" ht="15" hidden="false" customHeight="false" outlineLevel="0" collapsed="false">
      <c r="A3883" s="0" t="s">
        <v>261</v>
      </c>
      <c r="B3883" s="52" t="n">
        <v>43914</v>
      </c>
      <c r="C3883" s="54" t="s">
        <v>590</v>
      </c>
      <c r="D3883" s="0" t="n">
        <v>0.518993412172475</v>
      </c>
      <c r="E3883" s="0" t="n">
        <v>0.0357960835712169</v>
      </c>
      <c r="F3883" s="0" t="n">
        <v>0</v>
      </c>
      <c r="G3883" s="0" t="n">
        <v>2020</v>
      </c>
    </row>
    <row r="3884" customFormat="false" ht="15" hidden="false" customHeight="false" outlineLevel="0" collapsed="false">
      <c r="A3884" s="0" t="s">
        <v>261</v>
      </c>
      <c r="B3884" s="52" t="n">
        <v>43914</v>
      </c>
      <c r="C3884" s="54" t="s">
        <v>591</v>
      </c>
      <c r="D3884" s="0" t="n">
        <v>0.0919133663983941</v>
      </c>
      <c r="E3884" s="0" t="n">
        <v>0.0587759089266701</v>
      </c>
      <c r="F3884" s="0" t="n">
        <v>0</v>
      </c>
      <c r="G3884" s="0" t="n">
        <v>2020</v>
      </c>
    </row>
    <row r="3885" customFormat="false" ht="15" hidden="false" customHeight="false" outlineLevel="0" collapsed="false">
      <c r="A3885" s="0" t="s">
        <v>261</v>
      </c>
      <c r="B3885" s="52" t="n">
        <v>43914</v>
      </c>
      <c r="C3885" s="54" t="s">
        <v>592</v>
      </c>
      <c r="D3885" s="0" t="n">
        <v>0.179997803042605</v>
      </c>
      <c r="E3885" s="0" t="n">
        <v>0.0572941612655394</v>
      </c>
      <c r="F3885" s="0" t="n">
        <v>0</v>
      </c>
      <c r="G3885" s="0" t="n">
        <v>2020</v>
      </c>
    </row>
    <row r="3886" customFormat="false" ht="15" hidden="false" customHeight="false" outlineLevel="0" collapsed="false">
      <c r="A3886" s="0" t="s">
        <v>261</v>
      </c>
      <c r="B3886" s="52" t="n">
        <v>43915</v>
      </c>
      <c r="C3886" s="54" t="s">
        <v>590</v>
      </c>
      <c r="D3886" s="0" t="n">
        <v>0.710754208959217</v>
      </c>
      <c r="E3886" s="0" t="n">
        <v>0.0120114672147594</v>
      </c>
      <c r="F3886" s="0" t="n">
        <v>0</v>
      </c>
      <c r="G3886" s="0" t="n">
        <v>2020</v>
      </c>
    </row>
    <row r="3887" customFormat="false" ht="15" hidden="false" customHeight="false" outlineLevel="0" collapsed="false">
      <c r="A3887" s="0" t="s">
        <v>261</v>
      </c>
      <c r="B3887" s="52" t="n">
        <v>43915</v>
      </c>
      <c r="C3887" s="54" t="s">
        <v>591</v>
      </c>
      <c r="D3887" s="0" t="n">
        <v>0.0064431537830565</v>
      </c>
      <c r="E3887" s="0" t="n">
        <v>0.0619348795029921</v>
      </c>
      <c r="F3887" s="0" t="n">
        <v>0</v>
      </c>
      <c r="G3887" s="0" t="n">
        <v>2020</v>
      </c>
    </row>
    <row r="3888" customFormat="false" ht="15" hidden="false" customHeight="false" outlineLevel="0" collapsed="false">
      <c r="A3888" s="0" t="s">
        <v>261</v>
      </c>
      <c r="B3888" s="52" t="n">
        <v>43915</v>
      </c>
      <c r="C3888" s="54" t="s">
        <v>592</v>
      </c>
      <c r="D3888" s="0" t="n">
        <v>0.338077364081449</v>
      </c>
      <c r="E3888" s="0" t="n">
        <v>0.0146785255153752</v>
      </c>
      <c r="F3888" s="0" t="n">
        <v>0</v>
      </c>
      <c r="G3888" s="0" t="n">
        <v>2020</v>
      </c>
    </row>
    <row r="3889" customFormat="false" ht="15" hidden="false" customHeight="false" outlineLevel="0" collapsed="false">
      <c r="A3889" s="0" t="s">
        <v>261</v>
      </c>
      <c r="B3889" s="52" t="n">
        <v>43916</v>
      </c>
      <c r="C3889" s="54" t="s">
        <v>590</v>
      </c>
      <c r="D3889" s="0" t="n">
        <v>0.526053221854425</v>
      </c>
      <c r="E3889" s="0" t="n">
        <v>0.0326292342041328</v>
      </c>
      <c r="F3889" s="0" t="n">
        <v>0</v>
      </c>
      <c r="G3889" s="0" t="n">
        <v>2020</v>
      </c>
    </row>
    <row r="3890" customFormat="false" ht="15" hidden="false" customHeight="false" outlineLevel="0" collapsed="false">
      <c r="A3890" s="0" t="s">
        <v>261</v>
      </c>
      <c r="B3890" s="52" t="n">
        <v>43916</v>
      </c>
      <c r="C3890" s="54" t="s">
        <v>591</v>
      </c>
      <c r="D3890" s="0" t="n">
        <v>0.105196539263025</v>
      </c>
      <c r="E3890" s="0" t="n">
        <v>0.0882993754555266</v>
      </c>
      <c r="F3890" s="0" t="n">
        <v>0</v>
      </c>
      <c r="G3890" s="0" t="n">
        <v>2020</v>
      </c>
    </row>
    <row r="3891" customFormat="false" ht="15" hidden="false" customHeight="false" outlineLevel="0" collapsed="false">
      <c r="A3891" s="0" t="s">
        <v>261</v>
      </c>
      <c r="B3891" s="52" t="n">
        <v>43916</v>
      </c>
      <c r="C3891" s="54" t="s">
        <v>592</v>
      </c>
      <c r="D3891" s="0" t="n">
        <v>0.0898096698014196</v>
      </c>
      <c r="E3891" s="0" t="n">
        <v>0.130443108077187</v>
      </c>
      <c r="F3891" s="0" t="n">
        <v>0</v>
      </c>
      <c r="G3891" s="0" t="n">
        <v>2020</v>
      </c>
    </row>
    <row r="3892" customFormat="false" ht="15" hidden="false" customHeight="false" outlineLevel="0" collapsed="false">
      <c r="A3892" s="0" t="s">
        <v>261</v>
      </c>
      <c r="B3892" s="52" t="n">
        <v>43917</v>
      </c>
      <c r="C3892" s="54" t="s">
        <v>590</v>
      </c>
      <c r="D3892" s="0" t="n">
        <v>0.645176651630907</v>
      </c>
      <c r="E3892" s="0" t="n">
        <v>0.0112845694638922</v>
      </c>
      <c r="F3892" s="0" t="n">
        <v>0</v>
      </c>
      <c r="G3892" s="0" t="n">
        <v>2020</v>
      </c>
    </row>
    <row r="3893" customFormat="false" ht="15" hidden="false" customHeight="false" outlineLevel="0" collapsed="false">
      <c r="A3893" s="0" t="s">
        <v>261</v>
      </c>
      <c r="B3893" s="52" t="n">
        <v>43917</v>
      </c>
      <c r="C3893" s="54" t="s">
        <v>591</v>
      </c>
      <c r="D3893" s="0" t="n">
        <v>0.0066849532323435</v>
      </c>
      <c r="E3893" s="0" t="n">
        <v>0.0292587818166836</v>
      </c>
      <c r="F3893" s="0" t="n">
        <v>0</v>
      </c>
      <c r="G3893" s="0" t="n">
        <v>2020</v>
      </c>
    </row>
    <row r="3894" customFormat="false" ht="15" hidden="false" customHeight="false" outlineLevel="0" collapsed="false">
      <c r="A3894" s="0" t="s">
        <v>261</v>
      </c>
      <c r="B3894" s="52" t="n">
        <v>43917</v>
      </c>
      <c r="C3894" s="54" t="s">
        <v>592</v>
      </c>
      <c r="D3894" s="0" t="n">
        <v>0.219031592167988</v>
      </c>
      <c r="E3894" s="0" t="n">
        <v>0.0234711878975124</v>
      </c>
      <c r="F3894" s="0" t="n">
        <v>0</v>
      </c>
      <c r="G3894" s="0" t="n">
        <v>2020</v>
      </c>
    </row>
    <row r="3895" customFormat="false" ht="15" hidden="false" customHeight="false" outlineLevel="0" collapsed="false">
      <c r="A3895" s="0" t="s">
        <v>261</v>
      </c>
      <c r="B3895" s="52" t="n">
        <v>43918</v>
      </c>
      <c r="C3895" s="54" t="s">
        <v>590</v>
      </c>
      <c r="D3895" s="0" t="n">
        <v>0.556975053628355</v>
      </c>
      <c r="E3895" s="0" t="n">
        <v>0.0125637577628593</v>
      </c>
      <c r="F3895" s="0" t="n">
        <v>1</v>
      </c>
      <c r="G3895" s="0" t="n">
        <v>2020</v>
      </c>
    </row>
    <row r="3896" customFormat="false" ht="15" hidden="false" customHeight="false" outlineLevel="0" collapsed="false">
      <c r="A3896" s="0" t="s">
        <v>261</v>
      </c>
      <c r="B3896" s="52" t="n">
        <v>43918</v>
      </c>
      <c r="C3896" s="54" t="s">
        <v>591</v>
      </c>
      <c r="D3896" s="0" t="n">
        <v>0.0242392277837286</v>
      </c>
      <c r="E3896" s="0" t="n">
        <v>0.0967793688303885</v>
      </c>
      <c r="F3896" s="0" t="n">
        <v>1</v>
      </c>
      <c r="G3896" s="0" t="n">
        <v>2020</v>
      </c>
    </row>
    <row r="3897" customFormat="false" ht="15" hidden="false" customHeight="false" outlineLevel="0" collapsed="false">
      <c r="A3897" s="0" t="s">
        <v>261</v>
      </c>
      <c r="B3897" s="52" t="n">
        <v>43918</v>
      </c>
      <c r="C3897" s="54" t="s">
        <v>592</v>
      </c>
      <c r="D3897" s="0" t="n">
        <v>0.281259353503354</v>
      </c>
      <c r="E3897" s="0" t="n">
        <v>0.0644318029318397</v>
      </c>
      <c r="F3897" s="0" t="n">
        <v>1</v>
      </c>
      <c r="G3897" s="0" t="n">
        <v>2020</v>
      </c>
    </row>
    <row r="3898" customFormat="false" ht="15" hidden="false" customHeight="false" outlineLevel="0" collapsed="false">
      <c r="A3898" s="0" t="s">
        <v>261</v>
      </c>
      <c r="B3898" s="52" t="n">
        <v>43919</v>
      </c>
      <c r="C3898" s="54" t="s">
        <v>590</v>
      </c>
      <c r="D3898" s="0" t="n">
        <v>0.879449262893041</v>
      </c>
      <c r="E3898" s="0" t="n">
        <v>0</v>
      </c>
      <c r="F3898" s="0" t="n">
        <v>1</v>
      </c>
      <c r="G3898" s="0" t="n">
        <v>2020</v>
      </c>
    </row>
    <row r="3899" customFormat="false" ht="15" hidden="false" customHeight="false" outlineLevel="0" collapsed="false">
      <c r="A3899" s="0" t="s">
        <v>261</v>
      </c>
      <c r="B3899" s="52" t="n">
        <v>43920</v>
      </c>
      <c r="C3899" s="54" t="s">
        <v>590</v>
      </c>
      <c r="D3899" s="0" t="n">
        <v>0.188039264339322</v>
      </c>
      <c r="E3899" s="0" t="n">
        <v>0.0816249969848174</v>
      </c>
      <c r="F3899" s="0" t="n">
        <v>0</v>
      </c>
      <c r="G3899" s="0" t="n">
        <v>2020</v>
      </c>
    </row>
    <row r="3900" customFormat="false" ht="15" hidden="false" customHeight="false" outlineLevel="0" collapsed="false">
      <c r="A3900" s="0" t="s">
        <v>261</v>
      </c>
      <c r="B3900" s="52" t="n">
        <v>43920</v>
      </c>
      <c r="C3900" s="54" t="s">
        <v>591</v>
      </c>
      <c r="D3900" s="0" t="n">
        <v>0.0437404420976665</v>
      </c>
      <c r="E3900" s="0" t="n">
        <v>0.120343957437008</v>
      </c>
      <c r="F3900" s="0" t="n">
        <v>0</v>
      </c>
      <c r="G3900" s="0" t="n">
        <v>2020</v>
      </c>
    </row>
    <row r="3901" customFormat="false" ht="15" hidden="false" customHeight="false" outlineLevel="0" collapsed="false">
      <c r="A3901" s="0" t="s">
        <v>261</v>
      </c>
      <c r="B3901" s="52" t="n">
        <v>43920</v>
      </c>
      <c r="C3901" s="54" t="s">
        <v>592</v>
      </c>
      <c r="D3901" s="0" t="n">
        <v>0.0652856838214734</v>
      </c>
      <c r="E3901" s="0" t="n">
        <v>0.0630914079895922</v>
      </c>
      <c r="F3901" s="0" t="n">
        <v>0</v>
      </c>
      <c r="G3901" s="0" t="n">
        <v>2020</v>
      </c>
    </row>
    <row r="3902" customFormat="false" ht="15" hidden="false" customHeight="false" outlineLevel="0" collapsed="false">
      <c r="A3902" s="0" t="s">
        <v>261</v>
      </c>
      <c r="B3902" s="52" t="n">
        <v>43921</v>
      </c>
      <c r="C3902" s="54" t="s">
        <v>590</v>
      </c>
      <c r="D3902" s="0" t="n">
        <v>0.594494751370042</v>
      </c>
      <c r="E3902" s="0" t="n">
        <v>0.0537834518645056</v>
      </c>
      <c r="F3902" s="0" t="n">
        <v>0</v>
      </c>
      <c r="G3902" s="0" t="n">
        <v>2020</v>
      </c>
    </row>
    <row r="3903" customFormat="false" ht="15" hidden="false" customHeight="false" outlineLevel="0" collapsed="false">
      <c r="A3903" s="0" t="s">
        <v>261</v>
      </c>
      <c r="B3903" s="52" t="n">
        <v>43921</v>
      </c>
      <c r="C3903" s="54" t="s">
        <v>591</v>
      </c>
      <c r="D3903" s="0" t="n">
        <v>0.0420703110308774</v>
      </c>
      <c r="E3903" s="0" t="n">
        <v>0.0377943259744004</v>
      </c>
      <c r="F3903" s="0" t="n">
        <v>0</v>
      </c>
      <c r="G3903" s="0" t="n">
        <v>2020</v>
      </c>
    </row>
    <row r="3904" customFormat="false" ht="15" hidden="false" customHeight="false" outlineLevel="0" collapsed="false">
      <c r="A3904" s="0" t="s">
        <v>261</v>
      </c>
      <c r="B3904" s="52" t="n">
        <v>43921</v>
      </c>
      <c r="C3904" s="54" t="s">
        <v>592</v>
      </c>
      <c r="D3904" s="0" t="n">
        <v>0.169087833880195</v>
      </c>
      <c r="E3904" s="0" t="n">
        <v>0.0329104499917126</v>
      </c>
      <c r="F3904" s="0" t="n">
        <v>0</v>
      </c>
      <c r="G3904" s="0" t="n">
        <v>2020</v>
      </c>
    </row>
    <row r="3905" customFormat="false" ht="15" hidden="false" customHeight="false" outlineLevel="0" collapsed="false">
      <c r="A3905" s="0" t="s">
        <v>261</v>
      </c>
      <c r="B3905" s="52" t="n">
        <v>43922</v>
      </c>
      <c r="C3905" s="54" t="s">
        <v>590</v>
      </c>
      <c r="D3905" s="0" t="n">
        <v>0.687643311429734</v>
      </c>
      <c r="E3905" s="0" t="n">
        <v>0.0017854154842961</v>
      </c>
      <c r="F3905" s="0" t="n">
        <v>0</v>
      </c>
      <c r="G3905" s="0" t="n">
        <v>2020</v>
      </c>
    </row>
    <row r="3906" customFormat="false" ht="15" hidden="false" customHeight="false" outlineLevel="0" collapsed="false">
      <c r="A3906" s="0" t="s">
        <v>261</v>
      </c>
      <c r="B3906" s="52" t="n">
        <v>43922</v>
      </c>
      <c r="C3906" s="54" t="s">
        <v>591</v>
      </c>
      <c r="D3906" s="0" t="n">
        <v>0.0023681459280899</v>
      </c>
      <c r="E3906" s="0" t="n">
        <v>0.103220410816634</v>
      </c>
      <c r="F3906" s="0" t="n">
        <v>0</v>
      </c>
      <c r="G3906" s="0" t="n">
        <v>2020</v>
      </c>
    </row>
    <row r="3907" customFormat="false" ht="15" hidden="false" customHeight="false" outlineLevel="0" collapsed="false">
      <c r="A3907" s="0" t="s">
        <v>261</v>
      </c>
      <c r="B3907" s="52" t="n">
        <v>43922</v>
      </c>
      <c r="C3907" s="54" t="s">
        <v>592</v>
      </c>
      <c r="D3907" s="0" t="n">
        <v>0.178508417988169</v>
      </c>
      <c r="E3907" s="0" t="n">
        <v>0.0467217900979733</v>
      </c>
      <c r="F3907" s="0" t="n">
        <v>0</v>
      </c>
      <c r="G3907" s="0" t="n">
        <v>2020</v>
      </c>
    </row>
    <row r="3908" customFormat="false" ht="15" hidden="false" customHeight="false" outlineLevel="0" collapsed="false">
      <c r="A3908" s="0" t="s">
        <v>261</v>
      </c>
      <c r="B3908" s="52" t="n">
        <v>43923</v>
      </c>
      <c r="C3908" s="54" t="s">
        <v>590</v>
      </c>
      <c r="D3908" s="0" t="n">
        <v>0.503468382883895</v>
      </c>
      <c r="E3908" s="0" t="n">
        <v>0.0104438149640486</v>
      </c>
      <c r="F3908" s="0" t="n">
        <v>0</v>
      </c>
      <c r="G3908" s="0" t="n">
        <v>2020</v>
      </c>
    </row>
    <row r="3909" customFormat="false" ht="15" hidden="false" customHeight="false" outlineLevel="0" collapsed="false">
      <c r="A3909" s="0" t="s">
        <v>261</v>
      </c>
      <c r="B3909" s="52" t="n">
        <v>43923</v>
      </c>
      <c r="C3909" s="54" t="s">
        <v>591</v>
      </c>
      <c r="D3909" s="0" t="n">
        <v>0.0064235941847842</v>
      </c>
      <c r="E3909" s="0" t="n">
        <v>0.0432206874565188</v>
      </c>
      <c r="F3909" s="0" t="n">
        <v>0</v>
      </c>
      <c r="G3909" s="0" t="n">
        <v>2020</v>
      </c>
    </row>
    <row r="3910" customFormat="false" ht="15" hidden="false" customHeight="false" outlineLevel="0" collapsed="false">
      <c r="A3910" s="0" t="s">
        <v>261</v>
      </c>
      <c r="B3910" s="52" t="n">
        <v>43923</v>
      </c>
      <c r="C3910" s="54" t="s">
        <v>592</v>
      </c>
      <c r="D3910" s="0" t="n">
        <v>0.114394513939203</v>
      </c>
      <c r="E3910" s="0" t="n">
        <v>0.0726193391077585</v>
      </c>
      <c r="F3910" s="0" t="n">
        <v>0</v>
      </c>
      <c r="G3910" s="0" t="n">
        <v>2020</v>
      </c>
    </row>
    <row r="3911" customFormat="false" ht="15" hidden="false" customHeight="false" outlineLevel="0" collapsed="false">
      <c r="A3911" s="0" t="s">
        <v>261</v>
      </c>
      <c r="B3911" s="52" t="n">
        <v>43924</v>
      </c>
      <c r="C3911" s="54" t="s">
        <v>590</v>
      </c>
      <c r="D3911" s="0" t="n">
        <v>0.22272027419312</v>
      </c>
      <c r="E3911" s="0" t="n">
        <v>0.139691198068421</v>
      </c>
      <c r="F3911" s="0" t="n">
        <v>0</v>
      </c>
      <c r="G3911" s="0" t="n">
        <v>2020</v>
      </c>
    </row>
    <row r="3912" customFormat="false" ht="15" hidden="false" customHeight="false" outlineLevel="0" collapsed="false">
      <c r="A3912" s="0" t="s">
        <v>261</v>
      </c>
      <c r="B3912" s="52" t="n">
        <v>43924</v>
      </c>
      <c r="C3912" s="54" t="s">
        <v>591</v>
      </c>
      <c r="D3912" s="0" t="n">
        <v>0.100172708506953</v>
      </c>
      <c r="E3912" s="0" t="n">
        <v>0.104193005427246</v>
      </c>
      <c r="F3912" s="0" t="n">
        <v>0</v>
      </c>
      <c r="G3912" s="0" t="n">
        <v>2020</v>
      </c>
    </row>
    <row r="3913" customFormat="false" ht="15" hidden="false" customHeight="false" outlineLevel="0" collapsed="false">
      <c r="A3913" s="0" t="s">
        <v>261</v>
      </c>
      <c r="B3913" s="52" t="n">
        <v>43924</v>
      </c>
      <c r="C3913" s="54" t="s">
        <v>592</v>
      </c>
      <c r="D3913" s="0" t="n">
        <v>0.144939870318557</v>
      </c>
      <c r="E3913" s="0" t="n">
        <v>0.0834380328378743</v>
      </c>
      <c r="F3913" s="0" t="n">
        <v>0</v>
      </c>
      <c r="G3913" s="0" t="n">
        <v>2020</v>
      </c>
    </row>
    <row r="3914" customFormat="false" ht="15" hidden="false" customHeight="false" outlineLevel="0" collapsed="false">
      <c r="A3914" s="0" t="s">
        <v>261</v>
      </c>
      <c r="B3914" s="52" t="n">
        <v>43925</v>
      </c>
      <c r="C3914" s="54" t="s">
        <v>590</v>
      </c>
      <c r="D3914" s="0" t="n">
        <v>0.535566055100075</v>
      </c>
      <c r="E3914" s="0" t="n">
        <v>0.0192319665872857</v>
      </c>
      <c r="F3914" s="0" t="n">
        <v>1</v>
      </c>
      <c r="G3914" s="0" t="n">
        <v>2020</v>
      </c>
    </row>
    <row r="3915" customFormat="false" ht="15" hidden="false" customHeight="false" outlineLevel="0" collapsed="false">
      <c r="A3915" s="0" t="s">
        <v>261</v>
      </c>
      <c r="B3915" s="52" t="n">
        <v>43925</v>
      </c>
      <c r="C3915" s="54" t="s">
        <v>591</v>
      </c>
      <c r="D3915" s="0" t="n">
        <v>0.0392366443506322</v>
      </c>
      <c r="E3915" s="0" t="n">
        <v>0.0696996910804207</v>
      </c>
      <c r="F3915" s="0" t="n">
        <v>1</v>
      </c>
      <c r="G3915" s="0" t="n">
        <v>2020</v>
      </c>
    </row>
    <row r="3916" customFormat="false" ht="15" hidden="false" customHeight="false" outlineLevel="0" collapsed="false">
      <c r="A3916" s="0" t="s">
        <v>261</v>
      </c>
      <c r="B3916" s="52" t="n">
        <v>43925</v>
      </c>
      <c r="C3916" s="54" t="s">
        <v>592</v>
      </c>
      <c r="D3916" s="0" t="n">
        <v>0.0702521461612823</v>
      </c>
      <c r="E3916" s="0" t="n">
        <v>0.15210586634391</v>
      </c>
      <c r="F3916" s="0" t="n">
        <v>1</v>
      </c>
      <c r="G3916" s="0" t="n">
        <v>2020</v>
      </c>
    </row>
    <row r="3917" customFormat="false" ht="15" hidden="false" customHeight="false" outlineLevel="0" collapsed="false">
      <c r="A3917" s="0" t="s">
        <v>261</v>
      </c>
      <c r="B3917" s="52" t="n">
        <v>43926</v>
      </c>
      <c r="C3917" s="54" t="s">
        <v>590</v>
      </c>
      <c r="D3917" s="0" t="n">
        <v>0.902963455015162</v>
      </c>
      <c r="E3917" s="0" t="n">
        <v>0</v>
      </c>
      <c r="F3917" s="0" t="n">
        <v>1</v>
      </c>
      <c r="G3917" s="0" t="n">
        <v>2020</v>
      </c>
    </row>
    <row r="3918" customFormat="false" ht="15" hidden="false" customHeight="false" outlineLevel="0" collapsed="false">
      <c r="A3918" s="0" t="s">
        <v>261</v>
      </c>
      <c r="B3918" s="52" t="n">
        <v>43927</v>
      </c>
      <c r="C3918" s="54" t="s">
        <v>590</v>
      </c>
      <c r="D3918" s="0" t="n">
        <v>0.129065693014076</v>
      </c>
      <c r="E3918" s="0" t="n">
        <v>0.0590577853827039</v>
      </c>
      <c r="F3918" s="0" t="n">
        <v>0</v>
      </c>
      <c r="G3918" s="0" t="n">
        <v>2020</v>
      </c>
    </row>
    <row r="3919" customFormat="false" ht="15" hidden="false" customHeight="false" outlineLevel="0" collapsed="false">
      <c r="A3919" s="0" t="s">
        <v>261</v>
      </c>
      <c r="B3919" s="52" t="n">
        <v>43927</v>
      </c>
      <c r="C3919" s="54" t="s">
        <v>591</v>
      </c>
      <c r="D3919" s="0" t="n">
        <v>0.0224077013428683</v>
      </c>
      <c r="E3919" s="0" t="n">
        <v>0.0819623138916236</v>
      </c>
      <c r="F3919" s="0" t="n">
        <v>0</v>
      </c>
      <c r="G3919" s="0" t="n">
        <v>2020</v>
      </c>
    </row>
    <row r="3920" customFormat="false" ht="15" hidden="false" customHeight="false" outlineLevel="0" collapsed="false">
      <c r="A3920" s="0" t="s">
        <v>261</v>
      </c>
      <c r="B3920" s="52" t="n">
        <v>43927</v>
      </c>
      <c r="C3920" s="54" t="s">
        <v>592</v>
      </c>
      <c r="D3920" s="0" t="n">
        <v>0.201395082546509</v>
      </c>
      <c r="E3920" s="0" t="n">
        <v>0.0466513901466059</v>
      </c>
      <c r="F3920" s="0" t="n">
        <v>0</v>
      </c>
      <c r="G3920" s="0" t="n">
        <v>2020</v>
      </c>
    </row>
    <row r="3921" customFormat="false" ht="15" hidden="false" customHeight="false" outlineLevel="0" collapsed="false">
      <c r="A3921" s="0" t="s">
        <v>261</v>
      </c>
      <c r="B3921" s="52" t="n">
        <v>43928</v>
      </c>
      <c r="C3921" s="54" t="s">
        <v>590</v>
      </c>
      <c r="D3921" s="0" t="n">
        <v>0.508384321523373</v>
      </c>
      <c r="E3921" s="0" t="n">
        <v>0.0194248187018095</v>
      </c>
      <c r="F3921" s="0" t="n">
        <v>0</v>
      </c>
      <c r="G3921" s="0" t="n">
        <v>2020</v>
      </c>
    </row>
    <row r="3922" customFormat="false" ht="15" hidden="false" customHeight="false" outlineLevel="0" collapsed="false">
      <c r="A3922" s="0" t="s">
        <v>261</v>
      </c>
      <c r="B3922" s="52" t="n">
        <v>43928</v>
      </c>
      <c r="C3922" s="54" t="s">
        <v>591</v>
      </c>
      <c r="D3922" s="0" t="n">
        <v>0.0222086704112963</v>
      </c>
      <c r="E3922" s="0" t="n">
        <v>0.029515926149437</v>
      </c>
      <c r="F3922" s="0" t="n">
        <v>0</v>
      </c>
      <c r="G3922" s="0" t="n">
        <v>2020</v>
      </c>
    </row>
    <row r="3923" customFormat="false" ht="15" hidden="false" customHeight="false" outlineLevel="0" collapsed="false">
      <c r="A3923" s="0" t="s">
        <v>261</v>
      </c>
      <c r="B3923" s="52" t="n">
        <v>43928</v>
      </c>
      <c r="C3923" s="54" t="s">
        <v>592</v>
      </c>
      <c r="D3923" s="0" t="n">
        <v>0.539392466918317</v>
      </c>
      <c r="E3923" s="0" t="n">
        <v>0.0069525707356951</v>
      </c>
      <c r="F3923" s="0" t="n">
        <v>0</v>
      </c>
      <c r="G3923" s="0" t="n">
        <v>2020</v>
      </c>
    </row>
    <row r="3924" customFormat="false" ht="15" hidden="false" customHeight="false" outlineLevel="0" collapsed="false">
      <c r="A3924" s="0" t="s">
        <v>261</v>
      </c>
      <c r="B3924" s="52" t="n">
        <v>43929</v>
      </c>
      <c r="C3924" s="54" t="s">
        <v>590</v>
      </c>
      <c r="D3924" s="0" t="n">
        <v>0.282114989982984</v>
      </c>
      <c r="E3924" s="0" t="n">
        <v>0.030620129941261</v>
      </c>
      <c r="F3924" s="0" t="n">
        <v>0</v>
      </c>
      <c r="G3924" s="0" t="n">
        <v>2020</v>
      </c>
    </row>
    <row r="3925" customFormat="false" ht="15" hidden="false" customHeight="false" outlineLevel="0" collapsed="false">
      <c r="A3925" s="0" t="s">
        <v>261</v>
      </c>
      <c r="B3925" s="52" t="n">
        <v>43929</v>
      </c>
      <c r="C3925" s="54" t="s">
        <v>591</v>
      </c>
      <c r="D3925" s="0" t="n">
        <v>0.008305205631443</v>
      </c>
      <c r="E3925" s="0" t="n">
        <v>0.0245529598532121</v>
      </c>
      <c r="F3925" s="0" t="n">
        <v>0</v>
      </c>
      <c r="G3925" s="0" t="n">
        <v>2020</v>
      </c>
    </row>
    <row r="3926" customFormat="false" ht="15" hidden="false" customHeight="false" outlineLevel="0" collapsed="false">
      <c r="A3926" s="0" t="s">
        <v>261</v>
      </c>
      <c r="B3926" s="52" t="n">
        <v>43929</v>
      </c>
      <c r="C3926" s="54" t="s">
        <v>592</v>
      </c>
      <c r="D3926" s="0" t="n">
        <v>0.34363991202378</v>
      </c>
      <c r="E3926" s="0" t="n">
        <v>0.0187929733999795</v>
      </c>
      <c r="F3926" s="0" t="n">
        <v>0</v>
      </c>
      <c r="G3926" s="0" t="n">
        <v>2020</v>
      </c>
    </row>
    <row r="3927" customFormat="false" ht="15" hidden="false" customHeight="false" outlineLevel="0" collapsed="false">
      <c r="A3927" s="0" t="s">
        <v>261</v>
      </c>
      <c r="B3927" s="52" t="n">
        <v>43930</v>
      </c>
      <c r="C3927" s="54" t="s">
        <v>590</v>
      </c>
      <c r="D3927" s="0" t="n">
        <v>0.592024998486595</v>
      </c>
      <c r="E3927" s="0" t="n">
        <v>0.0155114213245514</v>
      </c>
      <c r="F3927" s="0" t="n">
        <v>0</v>
      </c>
      <c r="G3927" s="0" t="n">
        <v>2020</v>
      </c>
    </row>
    <row r="3928" customFormat="false" ht="15" hidden="false" customHeight="false" outlineLevel="0" collapsed="false">
      <c r="A3928" s="0" t="s">
        <v>261</v>
      </c>
      <c r="B3928" s="52" t="n">
        <v>43930</v>
      </c>
      <c r="C3928" s="54" t="s">
        <v>591</v>
      </c>
      <c r="D3928" s="0" t="n">
        <v>0.014208003048517</v>
      </c>
      <c r="E3928" s="0" t="n">
        <v>0.0509460076652985</v>
      </c>
      <c r="F3928" s="0" t="n">
        <v>0</v>
      </c>
      <c r="G3928" s="0" t="n">
        <v>2020</v>
      </c>
    </row>
    <row r="3929" customFormat="false" ht="15" hidden="false" customHeight="false" outlineLevel="0" collapsed="false">
      <c r="A3929" s="0" t="s">
        <v>261</v>
      </c>
      <c r="B3929" s="52" t="n">
        <v>43930</v>
      </c>
      <c r="C3929" s="54" t="s">
        <v>592</v>
      </c>
      <c r="D3929" s="0" t="n">
        <v>0.442361505572361</v>
      </c>
      <c r="E3929" s="0" t="n">
        <v>0.0161611691611295</v>
      </c>
      <c r="F3929" s="0" t="n">
        <v>0</v>
      </c>
      <c r="G3929" s="0" t="n">
        <v>2020</v>
      </c>
    </row>
    <row r="3930" customFormat="false" ht="15" hidden="false" customHeight="false" outlineLevel="0" collapsed="false">
      <c r="A3930" s="0" t="s">
        <v>261</v>
      </c>
      <c r="B3930" s="52" t="n">
        <v>43931</v>
      </c>
      <c r="C3930" s="54" t="s">
        <v>590</v>
      </c>
      <c r="D3930" s="0" t="n">
        <v>0.630883799127255</v>
      </c>
      <c r="E3930" s="0" t="n">
        <v>0.0117711307836488</v>
      </c>
      <c r="F3930" s="0" t="n">
        <v>0</v>
      </c>
      <c r="G3930" s="0" t="n">
        <v>2020</v>
      </c>
    </row>
    <row r="3931" customFormat="false" ht="15" hidden="false" customHeight="false" outlineLevel="0" collapsed="false">
      <c r="A3931" s="0" t="s">
        <v>261</v>
      </c>
      <c r="B3931" s="52" t="n">
        <v>43931</v>
      </c>
      <c r="C3931" s="54" t="s">
        <v>591</v>
      </c>
      <c r="D3931" s="0" t="n">
        <v>0.0089447411869126</v>
      </c>
      <c r="E3931" s="0" t="n">
        <v>0.0388093425068733</v>
      </c>
      <c r="F3931" s="0" t="n">
        <v>0</v>
      </c>
      <c r="G3931" s="0" t="n">
        <v>2020</v>
      </c>
    </row>
    <row r="3932" customFormat="false" ht="15" hidden="false" customHeight="false" outlineLevel="0" collapsed="false">
      <c r="A3932" s="0" t="s">
        <v>261</v>
      </c>
      <c r="B3932" s="52" t="n">
        <v>43932</v>
      </c>
      <c r="C3932" s="54" t="s">
        <v>590</v>
      </c>
      <c r="D3932" s="0" t="n">
        <v>0.785271165466991</v>
      </c>
      <c r="E3932" s="0" t="n">
        <v>0.0585200368225877</v>
      </c>
      <c r="F3932" s="0" t="n">
        <v>1</v>
      </c>
      <c r="G3932" s="0" t="n">
        <v>2020</v>
      </c>
    </row>
    <row r="3933" customFormat="false" ht="15" hidden="false" customHeight="false" outlineLevel="0" collapsed="false">
      <c r="A3933" s="0" t="s">
        <v>261</v>
      </c>
      <c r="B3933" s="52" t="n">
        <v>43932</v>
      </c>
      <c r="C3933" s="54" t="s">
        <v>591</v>
      </c>
      <c r="D3933" s="0" t="n">
        <v>0.0200660813903348</v>
      </c>
      <c r="E3933" s="0" t="n">
        <v>0.0811742515739737</v>
      </c>
      <c r="F3933" s="0" t="n">
        <v>1</v>
      </c>
      <c r="G3933" s="0" t="n">
        <v>2020</v>
      </c>
    </row>
    <row r="3934" customFormat="false" ht="15" hidden="false" customHeight="false" outlineLevel="0" collapsed="false">
      <c r="A3934" s="0" t="s">
        <v>261</v>
      </c>
      <c r="B3934" s="52" t="n">
        <v>43932</v>
      </c>
      <c r="C3934" s="54" t="s">
        <v>592</v>
      </c>
      <c r="D3934" s="0" t="n">
        <v>0.212775291318898</v>
      </c>
      <c r="E3934" s="0" t="n">
        <v>0.0177644449820571</v>
      </c>
      <c r="F3934" s="0" t="n">
        <v>1</v>
      </c>
      <c r="G3934" s="0" t="n">
        <v>2020</v>
      </c>
    </row>
    <row r="3935" customFormat="false" ht="15" hidden="false" customHeight="false" outlineLevel="0" collapsed="false">
      <c r="A3935" s="0" t="s">
        <v>261</v>
      </c>
      <c r="B3935" s="52" t="n">
        <v>43934</v>
      </c>
      <c r="C3935" s="54" t="s">
        <v>590</v>
      </c>
      <c r="D3935" s="0" t="n">
        <v>0.0702874753627574</v>
      </c>
      <c r="E3935" s="0" t="n">
        <v>0.0106801847761991</v>
      </c>
      <c r="F3935" s="0" t="n">
        <v>0</v>
      </c>
      <c r="G3935" s="0" t="n">
        <v>2020</v>
      </c>
    </row>
    <row r="3936" customFormat="false" ht="15" hidden="false" customHeight="false" outlineLevel="0" collapsed="false">
      <c r="A3936" s="0" t="s">
        <v>261</v>
      </c>
      <c r="B3936" s="52" t="n">
        <v>43934</v>
      </c>
      <c r="C3936" s="54" t="s">
        <v>591</v>
      </c>
      <c r="D3936" s="0" t="n">
        <v>0.0135534757914415</v>
      </c>
      <c r="E3936" s="0" t="n">
        <v>0.0575242865440255</v>
      </c>
      <c r="F3936" s="0" t="n">
        <v>0</v>
      </c>
      <c r="G3936" s="0" t="n">
        <v>2020</v>
      </c>
    </row>
    <row r="3937" customFormat="false" ht="15" hidden="false" customHeight="false" outlineLevel="0" collapsed="false">
      <c r="A3937" s="0" t="s">
        <v>261</v>
      </c>
      <c r="B3937" s="52" t="n">
        <v>43934</v>
      </c>
      <c r="C3937" s="54" t="s">
        <v>592</v>
      </c>
      <c r="D3937" s="0" t="n">
        <v>0.292069912364982</v>
      </c>
      <c r="E3937" s="0" t="n">
        <v>0.0451522468599981</v>
      </c>
      <c r="F3937" s="0" t="n">
        <v>0</v>
      </c>
      <c r="G3937" s="0" t="n">
        <v>2020</v>
      </c>
    </row>
    <row r="3938" customFormat="false" ht="15" hidden="false" customHeight="false" outlineLevel="0" collapsed="false">
      <c r="A3938" s="0" t="s">
        <v>261</v>
      </c>
      <c r="B3938" s="52" t="n">
        <v>43935</v>
      </c>
      <c r="C3938" s="54" t="s">
        <v>590</v>
      </c>
      <c r="D3938" s="0" t="n">
        <v>0.419630543219388</v>
      </c>
      <c r="E3938" s="0" t="n">
        <v>0.038379196740741</v>
      </c>
      <c r="F3938" s="0" t="n">
        <v>0</v>
      </c>
      <c r="G3938" s="0" t="n">
        <v>2020</v>
      </c>
    </row>
    <row r="3939" customFormat="false" ht="15" hidden="false" customHeight="false" outlineLevel="0" collapsed="false">
      <c r="A3939" s="0" t="s">
        <v>261</v>
      </c>
      <c r="B3939" s="52" t="n">
        <v>43935</v>
      </c>
      <c r="C3939" s="54" t="s">
        <v>591</v>
      </c>
      <c r="D3939" s="0" t="n">
        <v>0.0491020570415479</v>
      </c>
      <c r="E3939" s="0" t="n">
        <v>0.0489326197570054</v>
      </c>
      <c r="F3939" s="0" t="n">
        <v>0</v>
      </c>
      <c r="G3939" s="0" t="n">
        <v>2020</v>
      </c>
    </row>
    <row r="3940" customFormat="false" ht="15" hidden="false" customHeight="false" outlineLevel="0" collapsed="false">
      <c r="A3940" s="0" t="s">
        <v>261</v>
      </c>
      <c r="B3940" s="52" t="n">
        <v>43935</v>
      </c>
      <c r="C3940" s="54" t="s">
        <v>592</v>
      </c>
      <c r="D3940" s="0" t="n">
        <v>0</v>
      </c>
      <c r="E3940" s="0" t="n">
        <v>0.0125960029003259</v>
      </c>
      <c r="F3940" s="0" t="n">
        <v>0</v>
      </c>
      <c r="G3940" s="0" t="n">
        <v>2020</v>
      </c>
    </row>
    <row r="3941" customFormat="false" ht="15" hidden="false" customHeight="false" outlineLevel="0" collapsed="false">
      <c r="A3941" s="0" t="s">
        <v>261</v>
      </c>
      <c r="B3941" s="52" t="n">
        <v>43936</v>
      </c>
      <c r="C3941" s="54" t="s">
        <v>592</v>
      </c>
      <c r="D3941" s="0" t="n">
        <v>0</v>
      </c>
      <c r="E3941" s="0" t="n">
        <v>0.007399041753777</v>
      </c>
      <c r="F3941" s="0" t="n">
        <v>0</v>
      </c>
      <c r="G3941" s="0" t="n">
        <v>2020</v>
      </c>
    </row>
    <row r="3942" customFormat="false" ht="15" hidden="false" customHeight="false" outlineLevel="0" collapsed="false">
      <c r="A3942" s="0" t="s">
        <v>261</v>
      </c>
      <c r="B3942" s="52" t="n">
        <v>43937</v>
      </c>
      <c r="C3942" s="54" t="s">
        <v>590</v>
      </c>
      <c r="D3942" s="0" t="n">
        <v>0.0898010540616805</v>
      </c>
      <c r="E3942" s="0" t="n">
        <v>0.0884810309505612</v>
      </c>
      <c r="F3942" s="0" t="n">
        <v>0</v>
      </c>
      <c r="G3942" s="0" t="n">
        <v>2020</v>
      </c>
    </row>
    <row r="3943" customFormat="false" ht="15" hidden="false" customHeight="false" outlineLevel="0" collapsed="false">
      <c r="A3943" s="0" t="s">
        <v>261</v>
      </c>
      <c r="B3943" s="52" t="n">
        <v>43937</v>
      </c>
      <c r="C3943" s="54" t="s">
        <v>591</v>
      </c>
      <c r="D3943" s="0" t="n">
        <v>0.01006014415057</v>
      </c>
      <c r="E3943" s="0" t="n">
        <v>0.0276941058370089</v>
      </c>
      <c r="F3943" s="0" t="n">
        <v>0</v>
      </c>
      <c r="G3943" s="0" t="n">
        <v>2020</v>
      </c>
    </row>
    <row r="3944" customFormat="false" ht="15" hidden="false" customHeight="false" outlineLevel="0" collapsed="false">
      <c r="A3944" s="0" t="s">
        <v>261</v>
      </c>
      <c r="B3944" s="52" t="n">
        <v>43937</v>
      </c>
      <c r="C3944" s="54" t="s">
        <v>592</v>
      </c>
      <c r="D3944" s="0" t="n">
        <v>0.0351431942445425</v>
      </c>
      <c r="E3944" s="0" t="n">
        <v>0.0553317435145035</v>
      </c>
      <c r="F3944" s="0" t="n">
        <v>0</v>
      </c>
      <c r="G3944" s="0" t="n">
        <v>2020</v>
      </c>
    </row>
    <row r="3945" customFormat="false" ht="15" hidden="false" customHeight="false" outlineLevel="0" collapsed="false">
      <c r="A3945" s="0" t="s">
        <v>261</v>
      </c>
      <c r="B3945" s="52" t="n">
        <v>43938</v>
      </c>
      <c r="C3945" s="54" t="s">
        <v>590</v>
      </c>
      <c r="D3945" s="0" t="n">
        <v>0.162193036348358</v>
      </c>
      <c r="E3945" s="0" t="n">
        <v>0.054969777705241</v>
      </c>
      <c r="F3945" s="0" t="n">
        <v>0</v>
      </c>
      <c r="G3945" s="0" t="n">
        <v>2020</v>
      </c>
    </row>
    <row r="3946" customFormat="false" ht="15" hidden="false" customHeight="false" outlineLevel="0" collapsed="false">
      <c r="A3946" s="0" t="s">
        <v>261</v>
      </c>
      <c r="B3946" s="52" t="n">
        <v>43938</v>
      </c>
      <c r="C3946" s="54" t="s">
        <v>591</v>
      </c>
      <c r="D3946" s="0" t="n">
        <v>0.0222340310770982</v>
      </c>
      <c r="E3946" s="0" t="n">
        <v>0.0913085826055798</v>
      </c>
      <c r="F3946" s="0" t="n">
        <v>0</v>
      </c>
      <c r="G3946" s="0" t="n">
        <v>2020</v>
      </c>
    </row>
    <row r="3947" customFormat="false" ht="15" hidden="false" customHeight="false" outlineLevel="0" collapsed="false">
      <c r="A3947" s="0" t="s">
        <v>261</v>
      </c>
      <c r="B3947" s="52" t="n">
        <v>43938</v>
      </c>
      <c r="C3947" s="54" t="s">
        <v>592</v>
      </c>
      <c r="D3947" s="0" t="n">
        <v>0.466686430195587</v>
      </c>
      <c r="E3947" s="0" t="n">
        <v>0.0364722815981074</v>
      </c>
      <c r="F3947" s="0" t="n">
        <v>0</v>
      </c>
      <c r="G3947" s="0" t="n">
        <v>2020</v>
      </c>
    </row>
    <row r="3948" customFormat="false" ht="15" hidden="false" customHeight="false" outlineLevel="0" collapsed="false">
      <c r="A3948" s="0" t="s">
        <v>261</v>
      </c>
      <c r="B3948" s="52" t="n">
        <v>43939</v>
      </c>
      <c r="C3948" s="54" t="s">
        <v>590</v>
      </c>
      <c r="D3948" s="0" t="n">
        <v>0.349578513541627</v>
      </c>
      <c r="E3948" s="0" t="n">
        <v>0.0950076716112883</v>
      </c>
      <c r="F3948" s="0" t="n">
        <v>1</v>
      </c>
      <c r="G3948" s="0" t="n">
        <v>2020</v>
      </c>
    </row>
    <row r="3949" customFormat="false" ht="15" hidden="false" customHeight="false" outlineLevel="0" collapsed="false">
      <c r="A3949" s="0" t="s">
        <v>261</v>
      </c>
      <c r="B3949" s="52" t="n">
        <v>43939</v>
      </c>
      <c r="C3949" s="54" t="s">
        <v>591</v>
      </c>
      <c r="D3949" s="0" t="n">
        <v>0.0495056749224181</v>
      </c>
      <c r="E3949" s="0" t="n">
        <v>0.0505983090872061</v>
      </c>
      <c r="F3949" s="0" t="n">
        <v>1</v>
      </c>
      <c r="G3949" s="0" t="n">
        <v>2020</v>
      </c>
    </row>
    <row r="3950" customFormat="false" ht="15" hidden="false" customHeight="false" outlineLevel="0" collapsed="false">
      <c r="A3950" s="0" t="s">
        <v>261</v>
      </c>
      <c r="B3950" s="52" t="n">
        <v>43939</v>
      </c>
      <c r="C3950" s="54" t="s">
        <v>592</v>
      </c>
      <c r="D3950" s="0" t="n">
        <v>0.0668797747939521</v>
      </c>
      <c r="E3950" s="0" t="n">
        <v>0.0364583286973039</v>
      </c>
      <c r="F3950" s="0" t="n">
        <v>1</v>
      </c>
      <c r="G3950" s="0" t="n">
        <v>2020</v>
      </c>
    </row>
    <row r="3951" customFormat="false" ht="15" hidden="false" customHeight="false" outlineLevel="0" collapsed="false">
      <c r="A3951" s="0" t="s">
        <v>261</v>
      </c>
      <c r="B3951" s="52" t="n">
        <v>43940</v>
      </c>
      <c r="C3951" s="54" t="s">
        <v>590</v>
      </c>
      <c r="D3951" s="0" t="n">
        <v>0.992887713076866</v>
      </c>
      <c r="E3951" s="0" t="n">
        <v>0</v>
      </c>
      <c r="F3951" s="0" t="n">
        <v>1</v>
      </c>
      <c r="G3951" s="0" t="n">
        <v>2020</v>
      </c>
    </row>
    <row r="3952" customFormat="false" ht="15" hidden="false" customHeight="false" outlineLevel="0" collapsed="false">
      <c r="A3952" s="0" t="s">
        <v>261</v>
      </c>
      <c r="B3952" s="52" t="n">
        <v>43941</v>
      </c>
      <c r="C3952" s="54" t="s">
        <v>590</v>
      </c>
      <c r="D3952" s="0" t="n">
        <v>0.0747642980602506</v>
      </c>
      <c r="E3952" s="0" t="n">
        <v>0.0291241771155926</v>
      </c>
      <c r="F3952" s="0" t="n">
        <v>0</v>
      </c>
      <c r="G3952" s="0" t="n">
        <v>2020</v>
      </c>
    </row>
    <row r="3953" customFormat="false" ht="15" hidden="false" customHeight="false" outlineLevel="0" collapsed="false">
      <c r="A3953" s="0" t="s">
        <v>261</v>
      </c>
      <c r="B3953" s="52" t="n">
        <v>43941</v>
      </c>
      <c r="C3953" s="54" t="s">
        <v>591</v>
      </c>
      <c r="D3953" s="0" t="n">
        <v>0.006011812934982</v>
      </c>
      <c r="E3953" s="0" t="n">
        <v>0.0470878846798156</v>
      </c>
      <c r="F3953" s="0" t="n">
        <v>0</v>
      </c>
      <c r="G3953" s="0" t="n">
        <v>2020</v>
      </c>
    </row>
    <row r="3954" customFormat="false" ht="15" hidden="false" customHeight="false" outlineLevel="0" collapsed="false">
      <c r="A3954" s="0" t="s">
        <v>261</v>
      </c>
      <c r="B3954" s="52" t="n">
        <v>43941</v>
      </c>
      <c r="C3954" s="54" t="s">
        <v>592</v>
      </c>
      <c r="D3954" s="0" t="n">
        <v>0.213356459892821</v>
      </c>
      <c r="E3954" s="0" t="n">
        <v>0.0358966238753125</v>
      </c>
      <c r="F3954" s="0" t="n">
        <v>0</v>
      </c>
      <c r="G3954" s="0" t="n">
        <v>2020</v>
      </c>
    </row>
    <row r="3955" customFormat="false" ht="15" hidden="false" customHeight="false" outlineLevel="0" collapsed="false">
      <c r="A3955" s="0" t="s">
        <v>261</v>
      </c>
      <c r="B3955" s="52" t="n">
        <v>43942</v>
      </c>
      <c r="C3955" s="54" t="s">
        <v>590</v>
      </c>
      <c r="D3955" s="0" t="n">
        <v>0.227538028593683</v>
      </c>
      <c r="E3955" s="0" t="n">
        <v>0.026038543682002</v>
      </c>
      <c r="F3955" s="0" t="n">
        <v>0</v>
      </c>
      <c r="G3955" s="0" t="n">
        <v>2020</v>
      </c>
    </row>
    <row r="3956" customFormat="false" ht="15" hidden="false" customHeight="false" outlineLevel="0" collapsed="false">
      <c r="A3956" s="0" t="s">
        <v>261</v>
      </c>
      <c r="B3956" s="52" t="n">
        <v>43942</v>
      </c>
      <c r="C3956" s="54" t="s">
        <v>591</v>
      </c>
      <c r="D3956" s="0" t="n">
        <v>0.0210953939469967</v>
      </c>
      <c r="E3956" s="0" t="n">
        <v>0.0650628663027461</v>
      </c>
      <c r="F3956" s="0" t="n">
        <v>0</v>
      </c>
      <c r="G3956" s="0" t="n">
        <v>2020</v>
      </c>
    </row>
    <row r="3957" customFormat="false" ht="15" hidden="false" customHeight="false" outlineLevel="0" collapsed="false">
      <c r="A3957" s="0" t="s">
        <v>261</v>
      </c>
      <c r="B3957" s="52" t="n">
        <v>43942</v>
      </c>
      <c r="C3957" s="54" t="s">
        <v>592</v>
      </c>
      <c r="D3957" s="0" t="n">
        <v>0.150503834666587</v>
      </c>
      <c r="E3957" s="0" t="n">
        <v>0.0422748352819342</v>
      </c>
      <c r="F3957" s="0" t="n">
        <v>0</v>
      </c>
      <c r="G3957" s="0" t="n">
        <v>2020</v>
      </c>
    </row>
    <row r="3958" customFormat="false" ht="15" hidden="false" customHeight="false" outlineLevel="0" collapsed="false">
      <c r="A3958" s="0" t="s">
        <v>261</v>
      </c>
      <c r="B3958" s="52" t="n">
        <v>43943</v>
      </c>
      <c r="C3958" s="54" t="s">
        <v>590</v>
      </c>
      <c r="D3958" s="0" t="n">
        <v>0.453244428381442</v>
      </c>
      <c r="E3958" s="0" t="n">
        <v>0.0173842781484503</v>
      </c>
      <c r="F3958" s="0" t="n">
        <v>0</v>
      </c>
      <c r="G3958" s="0" t="n">
        <v>2020</v>
      </c>
    </row>
    <row r="3959" customFormat="false" ht="15" hidden="false" customHeight="false" outlineLevel="0" collapsed="false">
      <c r="A3959" s="0" t="s">
        <v>261</v>
      </c>
      <c r="B3959" s="52" t="n">
        <v>43943</v>
      </c>
      <c r="C3959" s="54" t="s">
        <v>591</v>
      </c>
      <c r="D3959" s="0" t="n">
        <v>0.0018672369726139</v>
      </c>
      <c r="E3959" s="0" t="n">
        <v>0.0447727898957693</v>
      </c>
      <c r="F3959" s="0" t="n">
        <v>0</v>
      </c>
      <c r="G3959" s="0" t="n">
        <v>2020</v>
      </c>
    </row>
    <row r="3960" customFormat="false" ht="15" hidden="false" customHeight="false" outlineLevel="0" collapsed="false">
      <c r="A3960" s="0" t="s">
        <v>261</v>
      </c>
      <c r="B3960" s="52" t="n">
        <v>43943</v>
      </c>
      <c r="C3960" s="54" t="s">
        <v>592</v>
      </c>
      <c r="D3960" s="0" t="n">
        <v>0.440194144167571</v>
      </c>
      <c r="E3960" s="0" t="n">
        <v>0.0176059085521354</v>
      </c>
      <c r="F3960" s="0" t="n">
        <v>0</v>
      </c>
      <c r="G3960" s="0" t="n">
        <v>2020</v>
      </c>
    </row>
    <row r="3961" customFormat="false" ht="15" hidden="false" customHeight="false" outlineLevel="0" collapsed="false">
      <c r="A3961" s="0" t="s">
        <v>261</v>
      </c>
      <c r="B3961" s="52" t="n">
        <v>43944</v>
      </c>
      <c r="C3961" s="54" t="s">
        <v>590</v>
      </c>
      <c r="D3961" s="0" t="n">
        <v>0.317435094350196</v>
      </c>
      <c r="E3961" s="0" t="n">
        <v>0.032614667426325</v>
      </c>
      <c r="F3961" s="0" t="n">
        <v>0</v>
      </c>
      <c r="G3961" s="0" t="n">
        <v>2020</v>
      </c>
    </row>
    <row r="3962" customFormat="false" ht="15" hidden="false" customHeight="false" outlineLevel="0" collapsed="false">
      <c r="A3962" s="0" t="s">
        <v>261</v>
      </c>
      <c r="B3962" s="52" t="n">
        <v>43944</v>
      </c>
      <c r="C3962" s="54" t="s">
        <v>591</v>
      </c>
      <c r="D3962" s="0" t="n">
        <v>0.0097461068214119</v>
      </c>
      <c r="E3962" s="0" t="n">
        <v>0.0641944048640042</v>
      </c>
      <c r="F3962" s="0" t="n">
        <v>0</v>
      </c>
      <c r="G3962" s="0" t="n">
        <v>2020</v>
      </c>
    </row>
    <row r="3963" customFormat="false" ht="15" hidden="false" customHeight="false" outlineLevel="0" collapsed="false">
      <c r="A3963" s="0" t="s">
        <v>261</v>
      </c>
      <c r="B3963" s="52" t="n">
        <v>43944</v>
      </c>
      <c r="C3963" s="54" t="s">
        <v>592</v>
      </c>
      <c r="D3963" s="0" t="n">
        <v>0</v>
      </c>
      <c r="E3963" s="0" t="n">
        <v>0</v>
      </c>
      <c r="F3963" s="0" t="n">
        <v>0</v>
      </c>
      <c r="G3963" s="0" t="n">
        <v>2020</v>
      </c>
    </row>
    <row r="3964" customFormat="false" ht="15" hidden="false" customHeight="false" outlineLevel="0" collapsed="false">
      <c r="A3964" s="0" t="s">
        <v>261</v>
      </c>
      <c r="B3964" s="52" t="n">
        <v>44287</v>
      </c>
      <c r="C3964" s="54" t="s">
        <v>591</v>
      </c>
      <c r="D3964" s="0" t="n">
        <v>0.0008685012295275</v>
      </c>
      <c r="E3964" s="0" t="n">
        <v>0.104146257061816</v>
      </c>
      <c r="F3964" s="0" t="n">
        <v>0</v>
      </c>
      <c r="G3964" s="0" t="n">
        <v>2021</v>
      </c>
    </row>
    <row r="3965" customFormat="false" ht="15" hidden="false" customHeight="false" outlineLevel="0" collapsed="false">
      <c r="A3965" s="0" t="s">
        <v>261</v>
      </c>
      <c r="B3965" s="52" t="n">
        <v>44287</v>
      </c>
      <c r="C3965" s="54" t="s">
        <v>592</v>
      </c>
      <c r="D3965" s="0" t="n">
        <v>0.0470931427520949</v>
      </c>
      <c r="E3965" s="0" t="n">
        <v>0.141611936179769</v>
      </c>
      <c r="F3965" s="0" t="n">
        <v>0</v>
      </c>
      <c r="G3965" s="0" t="n">
        <v>2021</v>
      </c>
    </row>
    <row r="3966" customFormat="false" ht="15" hidden="false" customHeight="false" outlineLevel="0" collapsed="false">
      <c r="A3966" s="0" t="s">
        <v>261</v>
      </c>
      <c r="B3966" s="52" t="n">
        <v>44288</v>
      </c>
      <c r="C3966" s="54" t="s">
        <v>590</v>
      </c>
      <c r="D3966" s="0" t="n">
        <v>0.882787385525229</v>
      </c>
      <c r="E3966" s="0" t="n">
        <v>0</v>
      </c>
      <c r="F3966" s="0" t="n">
        <v>0</v>
      </c>
      <c r="G3966" s="0" t="n">
        <v>2021</v>
      </c>
    </row>
    <row r="3967" customFormat="false" ht="15" hidden="false" customHeight="false" outlineLevel="0" collapsed="false">
      <c r="A3967" s="0" t="s">
        <v>261</v>
      </c>
      <c r="B3967" s="52" t="n">
        <v>44288</v>
      </c>
      <c r="C3967" s="54" t="s">
        <v>591</v>
      </c>
      <c r="D3967" s="0" t="n">
        <v>0.998539060039929</v>
      </c>
      <c r="E3967" s="0" t="n">
        <v>0</v>
      </c>
      <c r="F3967" s="0" t="n">
        <v>0</v>
      </c>
      <c r="G3967" s="0" t="n">
        <v>2021</v>
      </c>
    </row>
    <row r="3968" customFormat="false" ht="15" hidden="false" customHeight="false" outlineLevel="0" collapsed="false">
      <c r="A3968" s="0" t="s">
        <v>261</v>
      </c>
      <c r="B3968" s="52" t="n">
        <v>44289</v>
      </c>
      <c r="C3968" s="54" t="s">
        <v>590</v>
      </c>
      <c r="D3968" s="0" t="n">
        <v>0.0536872231476924</v>
      </c>
      <c r="E3968" s="0" t="n">
        <v>0.0558105856964373</v>
      </c>
      <c r="F3968" s="0" t="n">
        <v>1</v>
      </c>
      <c r="G3968" s="0" t="n">
        <v>2021</v>
      </c>
    </row>
    <row r="3969" customFormat="false" ht="15" hidden="false" customHeight="false" outlineLevel="0" collapsed="false">
      <c r="A3969" s="0" t="s">
        <v>261</v>
      </c>
      <c r="B3969" s="52" t="n">
        <v>44289</v>
      </c>
      <c r="C3969" s="54" t="s">
        <v>591</v>
      </c>
      <c r="D3969" s="0" t="n">
        <v>0.0163897110930466</v>
      </c>
      <c r="E3969" s="0" t="n">
        <v>0.0527414470743887</v>
      </c>
      <c r="F3969" s="0" t="n">
        <v>1</v>
      </c>
      <c r="G3969" s="0" t="n">
        <v>2021</v>
      </c>
    </row>
    <row r="3970" customFormat="false" ht="15" hidden="false" customHeight="false" outlineLevel="0" collapsed="false">
      <c r="A3970" s="0" t="s">
        <v>261</v>
      </c>
      <c r="B3970" s="52" t="n">
        <v>44289</v>
      </c>
      <c r="C3970" s="54" t="s">
        <v>592</v>
      </c>
      <c r="D3970" s="0" t="n">
        <v>0.0963721814956027</v>
      </c>
      <c r="E3970" s="0" t="n">
        <v>0.0348658341485829</v>
      </c>
      <c r="F3970" s="0" t="n">
        <v>1</v>
      </c>
      <c r="G3970" s="0" t="n">
        <v>2021</v>
      </c>
    </row>
    <row r="3971" customFormat="false" ht="15" hidden="false" customHeight="false" outlineLevel="0" collapsed="false">
      <c r="A3971" s="0" t="s">
        <v>261</v>
      </c>
      <c r="B3971" s="52" t="n">
        <v>44290</v>
      </c>
      <c r="C3971" s="54" t="s">
        <v>590</v>
      </c>
      <c r="D3971" s="0" t="n">
        <v>0.950152802860121</v>
      </c>
      <c r="E3971" s="0" t="n">
        <v>0</v>
      </c>
      <c r="F3971" s="0" t="n">
        <v>1</v>
      </c>
      <c r="G3971" s="0" t="n">
        <v>2021</v>
      </c>
    </row>
    <row r="3972" customFormat="false" ht="15" hidden="false" customHeight="false" outlineLevel="0" collapsed="false">
      <c r="A3972" s="0" t="s">
        <v>261</v>
      </c>
      <c r="B3972" s="52" t="n">
        <v>44291</v>
      </c>
      <c r="C3972" s="54" t="s">
        <v>590</v>
      </c>
      <c r="D3972" s="0" t="n">
        <v>0.0305444452077863</v>
      </c>
      <c r="E3972" s="0" t="n">
        <v>0.128584378785873</v>
      </c>
      <c r="F3972" s="0" t="n">
        <v>0</v>
      </c>
      <c r="G3972" s="0" t="n">
        <v>2021</v>
      </c>
    </row>
    <row r="3973" customFormat="false" ht="15" hidden="false" customHeight="false" outlineLevel="0" collapsed="false">
      <c r="A3973" s="0" t="s">
        <v>261</v>
      </c>
      <c r="B3973" s="52" t="n">
        <v>44291</v>
      </c>
      <c r="C3973" s="54" t="s">
        <v>591</v>
      </c>
      <c r="D3973" s="0" t="n">
        <v>0.0064912958581082</v>
      </c>
      <c r="E3973" s="0" t="n">
        <v>0.0299384089127527</v>
      </c>
      <c r="F3973" s="0" t="n">
        <v>0</v>
      </c>
      <c r="G3973" s="0" t="n">
        <v>2021</v>
      </c>
    </row>
    <row r="3974" customFormat="false" ht="15" hidden="false" customHeight="false" outlineLevel="0" collapsed="false">
      <c r="A3974" s="0" t="s">
        <v>261</v>
      </c>
      <c r="B3974" s="52" t="n">
        <v>44291</v>
      </c>
      <c r="C3974" s="54" t="s">
        <v>592</v>
      </c>
      <c r="D3974" s="0" t="n">
        <v>0.394949432630298</v>
      </c>
      <c r="E3974" s="0" t="n">
        <v>0.0366927952022847</v>
      </c>
      <c r="F3974" s="0" t="n">
        <v>0</v>
      </c>
      <c r="G3974" s="0" t="n">
        <v>2021</v>
      </c>
    </row>
    <row r="3975" customFormat="false" ht="15" hidden="false" customHeight="false" outlineLevel="0" collapsed="false">
      <c r="A3975" s="0" t="s">
        <v>261</v>
      </c>
      <c r="B3975" s="52" t="n">
        <v>44292</v>
      </c>
      <c r="C3975" s="54" t="s">
        <v>590</v>
      </c>
      <c r="D3975" s="0" t="n">
        <v>0.385587289126168</v>
      </c>
      <c r="E3975" s="0" t="n">
        <v>0.0514506771786083</v>
      </c>
      <c r="F3975" s="0" t="n">
        <v>0</v>
      </c>
      <c r="G3975" s="0" t="n">
        <v>2021</v>
      </c>
    </row>
    <row r="3976" customFormat="false" ht="15" hidden="false" customHeight="false" outlineLevel="0" collapsed="false">
      <c r="A3976" s="0" t="s">
        <v>261</v>
      </c>
      <c r="B3976" s="52" t="n">
        <v>44292</v>
      </c>
      <c r="C3976" s="54" t="s">
        <v>591</v>
      </c>
      <c r="D3976" s="0" t="n">
        <v>0.0334116232941387</v>
      </c>
      <c r="E3976" s="0" t="n">
        <v>0.0853205427092629</v>
      </c>
      <c r="F3976" s="0" t="n">
        <v>0</v>
      </c>
      <c r="G3976" s="0" t="n">
        <v>2021</v>
      </c>
    </row>
    <row r="3977" customFormat="false" ht="15" hidden="false" customHeight="false" outlineLevel="0" collapsed="false">
      <c r="A3977" s="0" t="s">
        <v>261</v>
      </c>
      <c r="B3977" s="52" t="n">
        <v>44292</v>
      </c>
      <c r="C3977" s="54" t="s">
        <v>592</v>
      </c>
      <c r="D3977" s="0" t="n">
        <v>0.745242140702666</v>
      </c>
      <c r="E3977" s="0" t="n">
        <v>0.0626914087035951</v>
      </c>
      <c r="F3977" s="0" t="n">
        <v>0</v>
      </c>
      <c r="G3977" s="0" t="n">
        <v>2021</v>
      </c>
    </row>
    <row r="3978" customFormat="false" ht="15" hidden="false" customHeight="false" outlineLevel="0" collapsed="false">
      <c r="A3978" s="0" t="s">
        <v>261</v>
      </c>
      <c r="B3978" s="52" t="n">
        <v>44293</v>
      </c>
      <c r="C3978" s="54" t="s">
        <v>590</v>
      </c>
      <c r="D3978" s="0" t="n">
        <v>0.554712602903343</v>
      </c>
      <c r="E3978" s="0" t="n">
        <v>0.0323379704588687</v>
      </c>
      <c r="F3978" s="0" t="n">
        <v>0</v>
      </c>
      <c r="G3978" s="0" t="n">
        <v>2021</v>
      </c>
    </row>
    <row r="3979" customFormat="false" ht="15" hidden="false" customHeight="false" outlineLevel="0" collapsed="false">
      <c r="A3979" s="0" t="s">
        <v>261</v>
      </c>
      <c r="B3979" s="52" t="n">
        <v>44293</v>
      </c>
      <c r="C3979" s="54" t="s">
        <v>591</v>
      </c>
      <c r="D3979" s="0" t="n">
        <v>0.138386476809403</v>
      </c>
      <c r="E3979" s="0" t="n">
        <v>0.0448635033633872</v>
      </c>
      <c r="F3979" s="0" t="n">
        <v>0</v>
      </c>
      <c r="G3979" s="0" t="n">
        <v>2021</v>
      </c>
    </row>
    <row r="3980" customFormat="false" ht="15" hidden="false" customHeight="false" outlineLevel="0" collapsed="false">
      <c r="A3980" s="0" t="s">
        <v>261</v>
      </c>
      <c r="B3980" s="52" t="n">
        <v>44293</v>
      </c>
      <c r="C3980" s="54" t="s">
        <v>592</v>
      </c>
      <c r="D3980" s="0" t="n">
        <v>0.351620092278011</v>
      </c>
      <c r="E3980" s="0" t="n">
        <v>0.0464875401785697</v>
      </c>
      <c r="F3980" s="0" t="n">
        <v>0</v>
      </c>
      <c r="G3980" s="0" t="n">
        <v>2021</v>
      </c>
    </row>
    <row r="3981" customFormat="false" ht="15" hidden="false" customHeight="false" outlineLevel="0" collapsed="false">
      <c r="A3981" s="0" t="s">
        <v>261</v>
      </c>
      <c r="B3981" s="52" t="n">
        <v>44294</v>
      </c>
      <c r="C3981" s="54" t="s">
        <v>590</v>
      </c>
      <c r="D3981" s="0" t="n">
        <v>0.747285485093126</v>
      </c>
      <c r="E3981" s="0" t="n">
        <v>0</v>
      </c>
      <c r="F3981" s="0" t="n">
        <v>0</v>
      </c>
      <c r="G3981" s="0" t="n">
        <v>2021</v>
      </c>
    </row>
    <row r="3982" customFormat="false" ht="15" hidden="false" customHeight="false" outlineLevel="0" collapsed="false">
      <c r="A3982" s="0" t="s">
        <v>261</v>
      </c>
      <c r="B3982" s="52" t="n">
        <v>44294</v>
      </c>
      <c r="C3982" s="54" t="s">
        <v>591</v>
      </c>
      <c r="D3982" s="0" t="n">
        <v>0.0908462694781617</v>
      </c>
      <c r="E3982" s="0" t="n">
        <v>0.0637678202841294</v>
      </c>
      <c r="F3982" s="0" t="n">
        <v>0</v>
      </c>
      <c r="G3982" s="0" t="n">
        <v>2021</v>
      </c>
    </row>
    <row r="3983" customFormat="false" ht="15" hidden="false" customHeight="false" outlineLevel="0" collapsed="false">
      <c r="A3983" s="0" t="s">
        <v>261</v>
      </c>
      <c r="B3983" s="52" t="n">
        <v>44294</v>
      </c>
      <c r="C3983" s="54" t="s">
        <v>592</v>
      </c>
      <c r="D3983" s="0" t="n">
        <v>0.191272046991288</v>
      </c>
      <c r="E3983" s="0" t="n">
        <v>0.138195016704746</v>
      </c>
      <c r="F3983" s="0" t="n">
        <v>0</v>
      </c>
      <c r="G3983" s="0" t="n">
        <v>2021</v>
      </c>
    </row>
    <row r="3984" customFormat="false" ht="15" hidden="false" customHeight="false" outlineLevel="0" collapsed="false">
      <c r="A3984" s="0" t="s">
        <v>261</v>
      </c>
      <c r="B3984" s="52" t="n">
        <v>44295</v>
      </c>
      <c r="C3984" s="54" t="s">
        <v>591</v>
      </c>
      <c r="D3984" s="0" t="n">
        <v>0.431561445021739</v>
      </c>
      <c r="E3984" s="0" t="n">
        <v>0.297767208749042</v>
      </c>
      <c r="F3984" s="0" t="n">
        <v>0</v>
      </c>
      <c r="G3984" s="0" t="n">
        <v>2021</v>
      </c>
    </row>
    <row r="3985" customFormat="false" ht="15" hidden="false" customHeight="false" outlineLevel="0" collapsed="false">
      <c r="A3985" s="0" t="s">
        <v>261</v>
      </c>
      <c r="B3985" s="52" t="n">
        <v>44295</v>
      </c>
      <c r="C3985" s="54" t="s">
        <v>592</v>
      </c>
      <c r="D3985" s="0" t="n">
        <v>0.307661233778489</v>
      </c>
      <c r="E3985" s="0" t="n">
        <v>0.0319580031229605</v>
      </c>
      <c r="F3985" s="0" t="n">
        <v>0</v>
      </c>
      <c r="G3985" s="0" t="n">
        <v>2021</v>
      </c>
    </row>
    <row r="3986" customFormat="false" ht="15" hidden="false" customHeight="false" outlineLevel="0" collapsed="false">
      <c r="A3986" s="0" t="s">
        <v>261</v>
      </c>
      <c r="B3986" s="52" t="n">
        <v>44296</v>
      </c>
      <c r="C3986" s="54" t="s">
        <v>590</v>
      </c>
      <c r="D3986" s="0" t="n">
        <v>0.378002416572172</v>
      </c>
      <c r="E3986" s="0" t="n">
        <v>0.0179117254849455</v>
      </c>
      <c r="F3986" s="0" t="n">
        <v>1</v>
      </c>
      <c r="G3986" s="0" t="n">
        <v>2021</v>
      </c>
    </row>
    <row r="3987" customFormat="false" ht="15" hidden="false" customHeight="false" outlineLevel="0" collapsed="false">
      <c r="A3987" s="0" t="s">
        <v>261</v>
      </c>
      <c r="B3987" s="52" t="n">
        <v>44296</v>
      </c>
      <c r="C3987" s="54" t="s">
        <v>591</v>
      </c>
      <c r="D3987" s="0" t="n">
        <v>0.0008958347726769</v>
      </c>
      <c r="E3987" s="0" t="n">
        <v>0.0764810296791235</v>
      </c>
      <c r="F3987" s="0" t="n">
        <v>1</v>
      </c>
      <c r="G3987" s="0" t="n">
        <v>2021</v>
      </c>
    </row>
    <row r="3988" customFormat="false" ht="15" hidden="false" customHeight="false" outlineLevel="0" collapsed="false">
      <c r="A3988" s="0" t="s">
        <v>261</v>
      </c>
      <c r="B3988" s="52" t="n">
        <v>44296</v>
      </c>
      <c r="C3988" s="54" t="s">
        <v>592</v>
      </c>
      <c r="D3988" s="0" t="n">
        <v>0.0567281047604591</v>
      </c>
      <c r="E3988" s="0" t="n">
        <v>0.0729461432992419</v>
      </c>
      <c r="F3988" s="0" t="n">
        <v>1</v>
      </c>
      <c r="G3988" s="0" t="n">
        <v>2021</v>
      </c>
    </row>
    <row r="3989" customFormat="false" ht="15" hidden="false" customHeight="false" outlineLevel="0" collapsed="false">
      <c r="A3989" s="0" t="s">
        <v>261</v>
      </c>
      <c r="B3989" s="52" t="n">
        <v>44297</v>
      </c>
      <c r="C3989" s="54" t="s">
        <v>590</v>
      </c>
      <c r="D3989" s="0" t="n">
        <v>1</v>
      </c>
      <c r="E3989" s="0" t="n">
        <v>0</v>
      </c>
      <c r="F3989" s="0" t="n">
        <v>1</v>
      </c>
      <c r="G3989" s="0" t="n">
        <v>2021</v>
      </c>
    </row>
    <row r="3990" customFormat="false" ht="15" hidden="false" customHeight="false" outlineLevel="0" collapsed="false">
      <c r="A3990" s="0" t="s">
        <v>261</v>
      </c>
      <c r="B3990" s="52" t="n">
        <v>44298</v>
      </c>
      <c r="C3990" s="54" t="s">
        <v>590</v>
      </c>
      <c r="D3990" s="0" t="n">
        <v>0.0440768609952706</v>
      </c>
      <c r="E3990" s="0" t="n">
        <v>0.0415640168001983</v>
      </c>
      <c r="F3990" s="0" t="n">
        <v>0</v>
      </c>
      <c r="G3990" s="0" t="n">
        <v>2021</v>
      </c>
    </row>
    <row r="3991" customFormat="false" ht="15" hidden="false" customHeight="false" outlineLevel="0" collapsed="false">
      <c r="A3991" s="0" t="s">
        <v>261</v>
      </c>
      <c r="B3991" s="52" t="n">
        <v>44298</v>
      </c>
      <c r="C3991" s="54" t="s">
        <v>591</v>
      </c>
      <c r="D3991" s="0" t="n">
        <v>0.298594028566846</v>
      </c>
      <c r="E3991" s="0" t="n">
        <v>0.0899184723771972</v>
      </c>
      <c r="F3991" s="0" t="n">
        <v>0</v>
      </c>
      <c r="G3991" s="0" t="n">
        <v>2021</v>
      </c>
    </row>
    <row r="3992" customFormat="false" ht="15" hidden="false" customHeight="false" outlineLevel="0" collapsed="false">
      <c r="A3992" s="0" t="s">
        <v>261</v>
      </c>
      <c r="B3992" s="52" t="n">
        <v>44298</v>
      </c>
      <c r="C3992" s="54" t="s">
        <v>592</v>
      </c>
      <c r="D3992" s="0" t="n">
        <v>0.167400779503268</v>
      </c>
      <c r="E3992" s="0" t="n">
        <v>0.144075338614265</v>
      </c>
      <c r="F3992" s="0" t="n">
        <v>0</v>
      </c>
      <c r="G3992" s="0" t="n">
        <v>2021</v>
      </c>
    </row>
    <row r="3993" customFormat="false" ht="15" hidden="false" customHeight="false" outlineLevel="0" collapsed="false">
      <c r="A3993" s="0" t="s">
        <v>261</v>
      </c>
      <c r="B3993" s="52" t="n">
        <v>44299</v>
      </c>
      <c r="C3993" s="54" t="s">
        <v>590</v>
      </c>
      <c r="D3993" s="0" t="n">
        <v>0.432343986898168</v>
      </c>
      <c r="E3993" s="0" t="n">
        <v>0.0133040060197834</v>
      </c>
      <c r="F3993" s="0" t="n">
        <v>0</v>
      </c>
      <c r="G3993" s="0" t="n">
        <v>2021</v>
      </c>
    </row>
    <row r="3994" customFormat="false" ht="15" hidden="false" customHeight="false" outlineLevel="0" collapsed="false">
      <c r="A3994" s="0" t="s">
        <v>261</v>
      </c>
      <c r="B3994" s="52" t="n">
        <v>44299</v>
      </c>
      <c r="C3994" s="54" t="s">
        <v>591</v>
      </c>
      <c r="D3994" s="0" t="n">
        <v>0.0028943141700734</v>
      </c>
      <c r="E3994" s="0" t="n">
        <v>0.012710094712705</v>
      </c>
      <c r="F3994" s="0" t="n">
        <v>0</v>
      </c>
      <c r="G3994" s="0" t="n">
        <v>2021</v>
      </c>
    </row>
    <row r="3995" customFormat="false" ht="15" hidden="false" customHeight="false" outlineLevel="0" collapsed="false">
      <c r="A3995" s="0" t="s">
        <v>261</v>
      </c>
      <c r="B3995" s="52" t="n">
        <v>44299</v>
      </c>
      <c r="C3995" s="54" t="s">
        <v>592</v>
      </c>
      <c r="D3995" s="0" t="n">
        <v>0.205645560840844</v>
      </c>
      <c r="E3995" s="0" t="n">
        <v>0.136520855677905</v>
      </c>
      <c r="F3995" s="0" t="n">
        <v>0</v>
      </c>
      <c r="G3995" s="0" t="n">
        <v>2021</v>
      </c>
    </row>
    <row r="3996" customFormat="false" ht="15" hidden="false" customHeight="false" outlineLevel="0" collapsed="false">
      <c r="A3996" s="0" t="s">
        <v>261</v>
      </c>
      <c r="B3996" s="52" t="n">
        <v>44300</v>
      </c>
      <c r="C3996" s="54" t="s">
        <v>590</v>
      </c>
      <c r="D3996" s="0" t="n">
        <v>0.565797096709893</v>
      </c>
      <c r="E3996" s="0" t="n">
        <v>0.0364044173093762</v>
      </c>
      <c r="F3996" s="0" t="n">
        <v>0</v>
      </c>
      <c r="G3996" s="0" t="n">
        <v>2021</v>
      </c>
    </row>
    <row r="3997" customFormat="false" ht="15" hidden="false" customHeight="false" outlineLevel="0" collapsed="false">
      <c r="A3997" s="0" t="s">
        <v>261</v>
      </c>
      <c r="B3997" s="52" t="n">
        <v>44300</v>
      </c>
      <c r="C3997" s="54" t="s">
        <v>591</v>
      </c>
      <c r="D3997" s="0" t="n">
        <v>0.149276242428116</v>
      </c>
      <c r="E3997" s="0" t="n">
        <v>0.0159114321176724</v>
      </c>
      <c r="F3997" s="0" t="n">
        <v>0</v>
      </c>
      <c r="G3997" s="0" t="n">
        <v>2021</v>
      </c>
    </row>
    <row r="3998" customFormat="false" ht="15" hidden="false" customHeight="false" outlineLevel="0" collapsed="false">
      <c r="A3998" s="0" t="s">
        <v>261</v>
      </c>
      <c r="B3998" s="52" t="n">
        <v>44300</v>
      </c>
      <c r="C3998" s="54" t="s">
        <v>592</v>
      </c>
      <c r="D3998" s="0" t="n">
        <v>0</v>
      </c>
      <c r="E3998" s="0" t="n">
        <v>0.127686908092643</v>
      </c>
      <c r="F3998" s="0" t="n">
        <v>0</v>
      </c>
      <c r="G3998" s="0" t="n">
        <v>2021</v>
      </c>
    </row>
    <row r="3999" customFormat="false" ht="15" hidden="false" customHeight="false" outlineLevel="0" collapsed="false">
      <c r="A3999" s="0" t="s">
        <v>261</v>
      </c>
      <c r="B3999" s="52" t="n">
        <v>44301</v>
      </c>
      <c r="C3999" s="54" t="s">
        <v>591</v>
      </c>
      <c r="D3999" s="0" t="n">
        <v>0.270569887841937</v>
      </c>
      <c r="E3999" s="0" t="n">
        <v>0.0420416784937503</v>
      </c>
      <c r="F3999" s="0" t="n">
        <v>0</v>
      </c>
      <c r="G3999" s="0" t="n">
        <v>2021</v>
      </c>
    </row>
    <row r="4000" customFormat="false" ht="15" hidden="false" customHeight="false" outlineLevel="0" collapsed="false">
      <c r="A4000" s="0" t="s">
        <v>261</v>
      </c>
      <c r="B4000" s="52" t="n">
        <v>44301</v>
      </c>
      <c r="C4000" s="54" t="s">
        <v>592</v>
      </c>
      <c r="D4000" s="0" t="n">
        <v>0.196298658118125</v>
      </c>
      <c r="E4000" s="0" t="n">
        <v>0.11446045738157</v>
      </c>
      <c r="F4000" s="0" t="n">
        <v>0</v>
      </c>
      <c r="G4000" s="0" t="n">
        <v>2021</v>
      </c>
    </row>
    <row r="4001" customFormat="false" ht="15" hidden="false" customHeight="false" outlineLevel="0" collapsed="false">
      <c r="A4001" s="0" t="s">
        <v>261</v>
      </c>
      <c r="B4001" s="52" t="n">
        <v>44302</v>
      </c>
      <c r="C4001" s="54" t="s">
        <v>590</v>
      </c>
      <c r="D4001" s="0" t="n">
        <v>0.802826962894487</v>
      </c>
      <c r="E4001" s="0" t="n">
        <v>0</v>
      </c>
      <c r="F4001" s="0" t="n">
        <v>0</v>
      </c>
      <c r="G4001" s="0" t="n">
        <v>2021</v>
      </c>
    </row>
    <row r="4002" customFormat="false" ht="15" hidden="false" customHeight="false" outlineLevel="0" collapsed="false">
      <c r="A4002" s="0" t="s">
        <v>261</v>
      </c>
      <c r="B4002" s="52" t="n">
        <v>44302</v>
      </c>
      <c r="C4002" s="54" t="s">
        <v>591</v>
      </c>
      <c r="D4002" s="0" t="n">
        <v>0.0369653819099937</v>
      </c>
      <c r="E4002" s="0" t="n">
        <v>0.0348560468356199</v>
      </c>
      <c r="F4002" s="0" t="n">
        <v>0</v>
      </c>
      <c r="G4002" s="0" t="n">
        <v>2021</v>
      </c>
    </row>
    <row r="4003" customFormat="false" ht="15" hidden="false" customHeight="false" outlineLevel="0" collapsed="false">
      <c r="A4003" s="0" t="s">
        <v>261</v>
      </c>
      <c r="B4003" s="52" t="n">
        <v>44302</v>
      </c>
      <c r="C4003" s="54" t="s">
        <v>592</v>
      </c>
      <c r="D4003" s="0" t="n">
        <v>0.25122503977593</v>
      </c>
      <c r="E4003" s="0" t="n">
        <v>0.009642656870234</v>
      </c>
      <c r="F4003" s="0" t="n">
        <v>0</v>
      </c>
      <c r="G4003" s="0" t="n">
        <v>2021</v>
      </c>
    </row>
    <row r="4004" customFormat="false" ht="15" hidden="false" customHeight="false" outlineLevel="0" collapsed="false">
      <c r="A4004" s="0" t="s">
        <v>261</v>
      </c>
      <c r="B4004" s="52" t="n">
        <v>44303</v>
      </c>
      <c r="C4004" s="54" t="s">
        <v>590</v>
      </c>
      <c r="D4004" s="0" t="n">
        <v>0.0850978012564249</v>
      </c>
      <c r="E4004" s="0" t="n">
        <v>0</v>
      </c>
      <c r="F4004" s="0" t="n">
        <v>1</v>
      </c>
      <c r="G4004" s="0" t="n">
        <v>2021</v>
      </c>
    </row>
    <row r="4005" customFormat="false" ht="15" hidden="false" customHeight="false" outlineLevel="0" collapsed="false">
      <c r="A4005" s="0" t="s">
        <v>261</v>
      </c>
      <c r="B4005" s="52" t="n">
        <v>44303</v>
      </c>
      <c r="C4005" s="54" t="s">
        <v>591</v>
      </c>
      <c r="D4005" s="0" t="n">
        <v>0.110509616983607</v>
      </c>
      <c r="E4005" s="0" t="n">
        <v>0.096784665677046</v>
      </c>
      <c r="F4005" s="0" t="n">
        <v>1</v>
      </c>
      <c r="G4005" s="0" t="n">
        <v>2021</v>
      </c>
    </row>
    <row r="4006" customFormat="false" ht="15" hidden="false" customHeight="false" outlineLevel="0" collapsed="false">
      <c r="A4006" s="0" t="s">
        <v>261</v>
      </c>
      <c r="B4006" s="52" t="n">
        <v>44303</v>
      </c>
      <c r="C4006" s="54" t="s">
        <v>592</v>
      </c>
      <c r="D4006" s="0" t="n">
        <v>0.254264693144329</v>
      </c>
      <c r="E4006" s="0" t="n">
        <v>0.0591726703372851</v>
      </c>
      <c r="F4006" s="0" t="n">
        <v>1</v>
      </c>
      <c r="G4006" s="0" t="n">
        <v>2021</v>
      </c>
    </row>
    <row r="4007" customFormat="false" ht="15" hidden="false" customHeight="false" outlineLevel="0" collapsed="false">
      <c r="A4007" s="0" t="s">
        <v>261</v>
      </c>
      <c r="B4007" s="52" t="n">
        <v>44305</v>
      </c>
      <c r="C4007" s="54" t="s">
        <v>590</v>
      </c>
      <c r="D4007" s="0" t="n">
        <v>0.0718942692238301</v>
      </c>
      <c r="E4007" s="0" t="n">
        <v>0.109677673090317</v>
      </c>
      <c r="F4007" s="0" t="n">
        <v>0</v>
      </c>
      <c r="G4007" s="0" t="n">
        <v>2021</v>
      </c>
    </row>
    <row r="4008" customFormat="false" ht="15" hidden="false" customHeight="false" outlineLevel="0" collapsed="false">
      <c r="A4008" s="0" t="s">
        <v>261</v>
      </c>
      <c r="B4008" s="52" t="n">
        <v>44305</v>
      </c>
      <c r="C4008" s="54" t="s">
        <v>591</v>
      </c>
      <c r="D4008" s="0" t="n">
        <v>0.107840195219504</v>
      </c>
      <c r="E4008" s="0" t="n">
        <v>0.0659848134992571</v>
      </c>
      <c r="F4008" s="0" t="n">
        <v>0</v>
      </c>
      <c r="G4008" s="0" t="n">
        <v>2021</v>
      </c>
    </row>
    <row r="4009" customFormat="false" ht="15" hidden="false" customHeight="false" outlineLevel="0" collapsed="false">
      <c r="A4009" s="0" t="s">
        <v>261</v>
      </c>
      <c r="B4009" s="52" t="n">
        <v>44305</v>
      </c>
      <c r="C4009" s="54" t="s">
        <v>592</v>
      </c>
      <c r="D4009" s="0" t="n">
        <v>0.212375353971984</v>
      </c>
      <c r="E4009" s="0" t="n">
        <v>0.0430807728513283</v>
      </c>
      <c r="F4009" s="0" t="n">
        <v>0</v>
      </c>
      <c r="G4009" s="0" t="n">
        <v>2021</v>
      </c>
    </row>
    <row r="4010" customFormat="false" ht="15" hidden="false" customHeight="false" outlineLevel="0" collapsed="false">
      <c r="A4010" s="0" t="s">
        <v>261</v>
      </c>
      <c r="B4010" s="52" t="n">
        <v>44306</v>
      </c>
      <c r="C4010" s="54" t="s">
        <v>590</v>
      </c>
      <c r="D4010" s="0" t="n">
        <v>0.458504993222681</v>
      </c>
      <c r="E4010" s="0" t="n">
        <v>0.05099716649344</v>
      </c>
      <c r="F4010" s="0" t="n">
        <v>0</v>
      </c>
      <c r="G4010" s="0" t="n">
        <v>2021</v>
      </c>
    </row>
    <row r="4011" customFormat="false" ht="15" hidden="false" customHeight="false" outlineLevel="0" collapsed="false">
      <c r="A4011" s="0" t="s">
        <v>261</v>
      </c>
      <c r="B4011" s="52" t="n">
        <v>44306</v>
      </c>
      <c r="C4011" s="54" t="s">
        <v>591</v>
      </c>
      <c r="D4011" s="0" t="n">
        <v>0.0125893451029213</v>
      </c>
      <c r="E4011" s="0" t="n">
        <v>0.124842938597703</v>
      </c>
      <c r="F4011" s="0" t="n">
        <v>0</v>
      </c>
      <c r="G4011" s="0" t="n">
        <v>2021</v>
      </c>
    </row>
    <row r="4012" customFormat="false" ht="15" hidden="false" customHeight="false" outlineLevel="0" collapsed="false">
      <c r="A4012" s="0" t="s">
        <v>261</v>
      </c>
      <c r="B4012" s="52" t="n">
        <v>44306</v>
      </c>
      <c r="C4012" s="54" t="s">
        <v>592</v>
      </c>
      <c r="D4012" s="0" t="n">
        <v>0.144656989591377</v>
      </c>
      <c r="E4012" s="0" t="n">
        <v>0.147132787820491</v>
      </c>
      <c r="F4012" s="0" t="n">
        <v>0</v>
      </c>
      <c r="G4012" s="0" t="n">
        <v>2021</v>
      </c>
    </row>
    <row r="4013" customFormat="false" ht="15" hidden="false" customHeight="false" outlineLevel="0" collapsed="false">
      <c r="A4013" s="0" t="s">
        <v>261</v>
      </c>
      <c r="B4013" s="52" t="n">
        <v>44307</v>
      </c>
      <c r="C4013" s="54" t="s">
        <v>590</v>
      </c>
      <c r="D4013" s="0" t="n">
        <v>0.65314561870762</v>
      </c>
      <c r="E4013" s="0" t="n">
        <v>0</v>
      </c>
      <c r="F4013" s="0" t="n">
        <v>0</v>
      </c>
      <c r="G4013" s="0" t="n">
        <v>2021</v>
      </c>
    </row>
    <row r="4014" customFormat="false" ht="15" hidden="false" customHeight="false" outlineLevel="0" collapsed="false">
      <c r="A4014" s="0" t="s">
        <v>261</v>
      </c>
      <c r="B4014" s="52" t="n">
        <v>44307</v>
      </c>
      <c r="C4014" s="54" t="s">
        <v>591</v>
      </c>
      <c r="D4014" s="0" t="n">
        <v>0.0428491624326948</v>
      </c>
      <c r="E4014" s="0" t="n">
        <v>0.152091310924539</v>
      </c>
      <c r="F4014" s="0" t="n">
        <v>0</v>
      </c>
      <c r="G4014" s="0" t="n">
        <v>2021</v>
      </c>
    </row>
    <row r="4015" customFormat="false" ht="15" hidden="false" customHeight="false" outlineLevel="0" collapsed="false">
      <c r="A4015" s="0" t="s">
        <v>261</v>
      </c>
      <c r="B4015" s="52" t="n">
        <v>44307</v>
      </c>
      <c r="C4015" s="54" t="s">
        <v>592</v>
      </c>
      <c r="D4015" s="0" t="n">
        <v>0.0459638561050379</v>
      </c>
      <c r="E4015" s="0" t="n">
        <v>0.0384432072826345</v>
      </c>
      <c r="F4015" s="0" t="n">
        <v>0</v>
      </c>
      <c r="G4015" s="0" t="n">
        <v>2021</v>
      </c>
    </row>
    <row r="4016" customFormat="false" ht="15" hidden="false" customHeight="false" outlineLevel="0" collapsed="false">
      <c r="A4016" s="0" t="s">
        <v>261</v>
      </c>
      <c r="B4016" s="52" t="n">
        <v>44308</v>
      </c>
      <c r="C4016" s="54" t="s">
        <v>590</v>
      </c>
      <c r="D4016" s="0" t="n">
        <v>0.466154395434188</v>
      </c>
      <c r="E4016" s="0" t="n">
        <v>0.0097440203069236</v>
      </c>
      <c r="F4016" s="0" t="n">
        <v>0</v>
      </c>
      <c r="G4016" s="0" t="n">
        <v>2021</v>
      </c>
    </row>
    <row r="4017" customFormat="false" ht="15" hidden="false" customHeight="false" outlineLevel="0" collapsed="false">
      <c r="A4017" s="0" t="s">
        <v>261</v>
      </c>
      <c r="B4017" s="52" t="n">
        <v>44308</v>
      </c>
      <c r="C4017" s="54" t="s">
        <v>591</v>
      </c>
      <c r="D4017" s="0" t="n">
        <v>0.155342106494539</v>
      </c>
      <c r="E4017" s="0" t="n">
        <v>0.0689770372019459</v>
      </c>
      <c r="F4017" s="0" t="n">
        <v>0</v>
      </c>
      <c r="G4017" s="0" t="n">
        <v>2021</v>
      </c>
    </row>
    <row r="4018" customFormat="false" ht="15" hidden="false" customHeight="false" outlineLevel="0" collapsed="false">
      <c r="A4018" s="0" t="s">
        <v>261</v>
      </c>
      <c r="B4018" s="52" t="n">
        <v>44308</v>
      </c>
      <c r="C4018" s="54" t="s">
        <v>592</v>
      </c>
      <c r="D4018" s="0" t="n">
        <v>0.333291136663322</v>
      </c>
      <c r="E4018" s="0" t="n">
        <v>0.0077559374707224</v>
      </c>
      <c r="F4018" s="0" t="n">
        <v>0</v>
      </c>
      <c r="G4018" s="0" t="n">
        <v>2021</v>
      </c>
    </row>
    <row r="4019" customFormat="false" ht="15" hidden="false" customHeight="false" outlineLevel="0" collapsed="false">
      <c r="A4019" s="0" t="s">
        <v>261</v>
      </c>
      <c r="B4019" s="52" t="n">
        <v>44309</v>
      </c>
      <c r="C4019" s="54" t="s">
        <v>590</v>
      </c>
      <c r="D4019" s="0" t="n">
        <v>0.524646984940562</v>
      </c>
      <c r="E4019" s="0" t="n">
        <v>0</v>
      </c>
      <c r="F4019" s="0" t="n">
        <v>0</v>
      </c>
      <c r="G4019" s="0" t="n">
        <v>2021</v>
      </c>
    </row>
    <row r="4020" customFormat="false" ht="15" hidden="false" customHeight="false" outlineLevel="0" collapsed="false">
      <c r="A4020" s="0" t="s">
        <v>261</v>
      </c>
      <c r="B4020" s="52" t="n">
        <v>44309</v>
      </c>
      <c r="C4020" s="54" t="s">
        <v>591</v>
      </c>
      <c r="D4020" s="0" t="n">
        <v>0</v>
      </c>
      <c r="E4020" s="0" t="n">
        <v>0.0327035504787859</v>
      </c>
      <c r="F4020" s="0" t="n">
        <v>0</v>
      </c>
      <c r="G4020" s="0" t="n">
        <v>2021</v>
      </c>
    </row>
    <row r="4021" customFormat="false" ht="15" hidden="false" customHeight="false" outlineLevel="0" collapsed="false">
      <c r="A4021" s="0" t="s">
        <v>261</v>
      </c>
      <c r="B4021" s="52" t="n">
        <v>44309</v>
      </c>
      <c r="C4021" s="54" t="s">
        <v>592</v>
      </c>
      <c r="D4021" s="0" t="n">
        <v>0.494609966406451</v>
      </c>
      <c r="E4021" s="0" t="n">
        <v>0.0092537605655738</v>
      </c>
      <c r="F4021" s="0" t="n">
        <v>0</v>
      </c>
      <c r="G4021" s="0" t="n">
        <v>2021</v>
      </c>
    </row>
    <row r="4022" customFormat="false" ht="15" hidden="false" customHeight="false" outlineLevel="0" collapsed="false">
      <c r="A4022" s="0" t="s">
        <v>261</v>
      </c>
      <c r="B4022" s="52" t="n">
        <v>44310</v>
      </c>
      <c r="C4022" s="54" t="s">
        <v>590</v>
      </c>
      <c r="D4022" s="0" t="n">
        <v>0.473795001944099</v>
      </c>
      <c r="E4022" s="0" t="n">
        <v>0.0053988474961505</v>
      </c>
      <c r="F4022" s="0" t="n">
        <v>1</v>
      </c>
      <c r="G4022" s="0" t="n">
        <v>2021</v>
      </c>
    </row>
    <row r="4023" customFormat="false" ht="15" hidden="false" customHeight="false" outlineLevel="0" collapsed="false">
      <c r="A4023" s="0" t="s">
        <v>261</v>
      </c>
      <c r="B4023" s="52" t="n">
        <v>44310</v>
      </c>
      <c r="C4023" s="54" t="s">
        <v>591</v>
      </c>
      <c r="D4023" s="0" t="n">
        <v>0.498869824792102</v>
      </c>
      <c r="E4023" s="0" t="n">
        <v>0.0603087593067864</v>
      </c>
      <c r="F4023" s="0" t="n">
        <v>1</v>
      </c>
      <c r="G4023" s="0" t="n">
        <v>2021</v>
      </c>
    </row>
    <row r="4024" customFormat="false" ht="15" hidden="false" customHeight="false" outlineLevel="0" collapsed="false">
      <c r="A4024" s="0" t="s">
        <v>261</v>
      </c>
      <c r="B4024" s="52" t="n">
        <v>44310</v>
      </c>
      <c r="C4024" s="54" t="s">
        <v>592</v>
      </c>
      <c r="D4024" s="0" t="n">
        <v>0.497235646302107</v>
      </c>
      <c r="E4024" s="0" t="n">
        <v>0.145364332588997</v>
      </c>
      <c r="F4024" s="0" t="n">
        <v>1</v>
      </c>
      <c r="G4024" s="0" t="n">
        <v>2021</v>
      </c>
    </row>
    <row r="4025" customFormat="false" ht="15" hidden="false" customHeight="false" outlineLevel="0" collapsed="false">
      <c r="A4025" s="0" t="s">
        <v>261</v>
      </c>
      <c r="B4025" s="52" t="n">
        <v>44312</v>
      </c>
      <c r="C4025" s="54" t="s">
        <v>590</v>
      </c>
      <c r="D4025" s="0" t="n">
        <v>0.724027286130972</v>
      </c>
      <c r="E4025" s="0" t="n">
        <v>0</v>
      </c>
      <c r="F4025" s="0" t="n">
        <v>0</v>
      </c>
      <c r="G4025" s="0" t="n">
        <v>2021</v>
      </c>
    </row>
    <row r="4026" customFormat="false" ht="15" hidden="false" customHeight="false" outlineLevel="0" collapsed="false">
      <c r="A4026" s="0" t="s">
        <v>261</v>
      </c>
      <c r="B4026" s="52" t="n">
        <v>44312</v>
      </c>
      <c r="C4026" s="54" t="s">
        <v>591</v>
      </c>
      <c r="D4026" s="0" t="n">
        <v>0.159899457812383</v>
      </c>
      <c r="E4026" s="0" t="n">
        <v>0.0968640247031731</v>
      </c>
      <c r="F4026" s="0" t="n">
        <v>0</v>
      </c>
      <c r="G4026" s="0" t="n">
        <v>2021</v>
      </c>
    </row>
    <row r="4027" customFormat="false" ht="15" hidden="false" customHeight="false" outlineLevel="0" collapsed="false">
      <c r="A4027" s="0" t="s">
        <v>261</v>
      </c>
      <c r="B4027" s="52" t="n">
        <v>44312</v>
      </c>
      <c r="C4027" s="54" t="s">
        <v>592</v>
      </c>
      <c r="D4027" s="0" t="n">
        <v>0.242020142071143</v>
      </c>
      <c r="E4027" s="0" t="n">
        <v>0.0970150127792458</v>
      </c>
      <c r="F4027" s="0" t="n">
        <v>0</v>
      </c>
      <c r="G4027" s="0" t="n">
        <v>2021</v>
      </c>
    </row>
    <row r="4028" customFormat="false" ht="15" hidden="false" customHeight="false" outlineLevel="0" collapsed="false">
      <c r="A4028" s="0" t="s">
        <v>261</v>
      </c>
      <c r="B4028" s="52" t="n">
        <v>44313</v>
      </c>
      <c r="C4028" s="54" t="s">
        <v>590</v>
      </c>
      <c r="D4028" s="0" t="n">
        <v>0.142080494883395</v>
      </c>
      <c r="E4028" s="0" t="n">
        <v>0.0480827346316383</v>
      </c>
      <c r="F4028" s="0" t="n">
        <v>0</v>
      </c>
      <c r="G4028" s="0" t="n">
        <v>2021</v>
      </c>
    </row>
    <row r="4029" customFormat="false" ht="15" hidden="false" customHeight="false" outlineLevel="0" collapsed="false">
      <c r="A4029" s="0" t="s">
        <v>261</v>
      </c>
      <c r="B4029" s="52" t="n">
        <v>44313</v>
      </c>
      <c r="C4029" s="54" t="s">
        <v>591</v>
      </c>
      <c r="D4029" s="0" t="n">
        <v>0.0774149982818414</v>
      </c>
      <c r="E4029" s="0" t="n">
        <v>0.0949971164071718</v>
      </c>
      <c r="F4029" s="0" t="n">
        <v>0</v>
      </c>
      <c r="G4029" s="0" t="n">
        <v>2021</v>
      </c>
    </row>
    <row r="4030" customFormat="false" ht="15" hidden="false" customHeight="false" outlineLevel="0" collapsed="false">
      <c r="A4030" s="0" t="s">
        <v>261</v>
      </c>
      <c r="B4030" s="52" t="n">
        <v>44313</v>
      </c>
      <c r="C4030" s="54" t="s">
        <v>592</v>
      </c>
      <c r="D4030" s="0" t="n">
        <v>0.215496980121587</v>
      </c>
      <c r="E4030" s="0" t="n">
        <v>0.121530370577213</v>
      </c>
      <c r="F4030" s="0" t="n">
        <v>0</v>
      </c>
      <c r="G4030" s="0" t="n">
        <v>2021</v>
      </c>
    </row>
    <row r="4031" customFormat="false" ht="15" hidden="false" customHeight="false" outlineLevel="0" collapsed="false">
      <c r="A4031" s="0" t="s">
        <v>261</v>
      </c>
      <c r="B4031" s="52" t="n">
        <v>44314</v>
      </c>
      <c r="C4031" s="54" t="s">
        <v>590</v>
      </c>
      <c r="D4031" s="0" t="n">
        <v>0.380431515733767</v>
      </c>
      <c r="E4031" s="0" t="n">
        <v>0.0026064333368153</v>
      </c>
      <c r="F4031" s="0" t="n">
        <v>0</v>
      </c>
      <c r="G4031" s="0" t="n">
        <v>2021</v>
      </c>
    </row>
    <row r="4032" customFormat="false" ht="15" hidden="false" customHeight="false" outlineLevel="0" collapsed="false">
      <c r="A4032" s="0" t="s">
        <v>261</v>
      </c>
      <c r="B4032" s="52" t="n">
        <v>44314</v>
      </c>
      <c r="C4032" s="54" t="s">
        <v>591</v>
      </c>
      <c r="D4032" s="0" t="n">
        <v>0.203439583095779</v>
      </c>
      <c r="E4032" s="0" t="n">
        <v>0.0180118155735052</v>
      </c>
      <c r="F4032" s="0" t="n">
        <v>0</v>
      </c>
      <c r="G4032" s="0" t="n">
        <v>2021</v>
      </c>
    </row>
    <row r="4033" customFormat="false" ht="15" hidden="false" customHeight="false" outlineLevel="0" collapsed="false">
      <c r="A4033" s="0" t="s">
        <v>261</v>
      </c>
      <c r="B4033" s="52" t="n">
        <v>44314</v>
      </c>
      <c r="C4033" s="54" t="s">
        <v>592</v>
      </c>
      <c r="D4033" s="0" t="n">
        <v>0.0837261810860331</v>
      </c>
      <c r="E4033" s="0" t="n">
        <v>0.0718509086720207</v>
      </c>
      <c r="F4033" s="0" t="n">
        <v>0</v>
      </c>
      <c r="G4033" s="0" t="n">
        <v>2021</v>
      </c>
    </row>
    <row r="4034" customFormat="false" ht="15" hidden="false" customHeight="false" outlineLevel="0" collapsed="false">
      <c r="A4034" s="0" t="s">
        <v>261</v>
      </c>
      <c r="B4034" s="52" t="n">
        <v>44315</v>
      </c>
      <c r="C4034" s="54" t="s">
        <v>590</v>
      </c>
      <c r="D4034" s="0" t="n">
        <v>0.267531337221516</v>
      </c>
      <c r="E4034" s="0" t="n">
        <v>0.0056662098218305</v>
      </c>
      <c r="F4034" s="0" t="n">
        <v>0</v>
      </c>
      <c r="G4034" s="0" t="n">
        <v>2021</v>
      </c>
    </row>
    <row r="4035" customFormat="false" ht="15" hidden="false" customHeight="false" outlineLevel="0" collapsed="false">
      <c r="A4035" s="0" t="s">
        <v>261</v>
      </c>
      <c r="B4035" s="52" t="n">
        <v>44315</v>
      </c>
      <c r="C4035" s="54" t="s">
        <v>591</v>
      </c>
      <c r="D4035" s="0" t="n">
        <v>0.0909106692461268</v>
      </c>
      <c r="E4035" s="0" t="n">
        <v>0.064200951949965</v>
      </c>
      <c r="F4035" s="0" t="n">
        <v>0</v>
      </c>
      <c r="G4035" s="0" t="n">
        <v>2021</v>
      </c>
    </row>
    <row r="4036" customFormat="false" ht="15" hidden="false" customHeight="false" outlineLevel="0" collapsed="false">
      <c r="A4036" s="0" t="s">
        <v>261</v>
      </c>
      <c r="B4036" s="52" t="n">
        <v>44315</v>
      </c>
      <c r="C4036" s="54" t="s">
        <v>592</v>
      </c>
      <c r="D4036" s="0" t="n">
        <v>0.0810497233920809</v>
      </c>
      <c r="E4036" s="0" t="n">
        <v>0.121412516303775</v>
      </c>
      <c r="F4036" s="0" t="n">
        <v>0</v>
      </c>
      <c r="G4036" s="0" t="n">
        <v>2021</v>
      </c>
    </row>
    <row r="4037" customFormat="false" ht="15" hidden="false" customHeight="false" outlineLevel="0" collapsed="false">
      <c r="A4037" s="0" t="s">
        <v>261</v>
      </c>
      <c r="B4037" s="52" t="n">
        <v>44316</v>
      </c>
      <c r="C4037" s="54" t="s">
        <v>590</v>
      </c>
      <c r="D4037" s="0" t="n">
        <v>0.466907049504733</v>
      </c>
      <c r="E4037" s="0" t="n">
        <v>0.0220435893210178</v>
      </c>
      <c r="F4037" s="0" t="n">
        <v>0</v>
      </c>
      <c r="G4037" s="0" t="n">
        <v>2021</v>
      </c>
    </row>
    <row r="4038" customFormat="false" ht="15" hidden="false" customHeight="false" outlineLevel="0" collapsed="false">
      <c r="A4038" s="0" t="s">
        <v>261</v>
      </c>
      <c r="B4038" s="52" t="n">
        <v>44316</v>
      </c>
      <c r="C4038" s="54" t="s">
        <v>591</v>
      </c>
      <c r="D4038" s="0" t="n">
        <v>0.0043673428569811</v>
      </c>
      <c r="E4038" s="0" t="n">
        <v>0.0760085588296894</v>
      </c>
      <c r="F4038" s="0" t="n">
        <v>0</v>
      </c>
      <c r="G4038" s="0" t="n">
        <v>2021</v>
      </c>
    </row>
    <row r="4039" customFormat="false" ht="15" hidden="false" customHeight="false" outlineLevel="0" collapsed="false">
      <c r="A4039" s="0" t="s">
        <v>261</v>
      </c>
      <c r="B4039" s="52" t="n">
        <v>44316</v>
      </c>
      <c r="C4039" s="54" t="s">
        <v>592</v>
      </c>
      <c r="D4039" s="0" t="n">
        <v>0.0431104654153813</v>
      </c>
      <c r="E4039" s="0" t="n">
        <v>0.0188248243891307</v>
      </c>
      <c r="F4039" s="0" t="n">
        <v>0</v>
      </c>
      <c r="G4039" s="0" t="n">
        <v>2021</v>
      </c>
    </row>
    <row r="4040" customFormat="false" ht="15" hidden="false" customHeight="false" outlineLevel="0" collapsed="false">
      <c r="A4040" s="0" t="s">
        <v>261</v>
      </c>
      <c r="B4040" s="52" t="n">
        <v>44317</v>
      </c>
      <c r="C4040" s="54" t="s">
        <v>590</v>
      </c>
      <c r="D4040" s="0" t="n">
        <v>0.664504899624598</v>
      </c>
      <c r="E4040" s="0" t="n">
        <v>0.0189347198529917</v>
      </c>
      <c r="F4040" s="0" t="n">
        <v>1</v>
      </c>
      <c r="G4040" s="0" t="n">
        <v>2021</v>
      </c>
    </row>
    <row r="4041" customFormat="false" ht="15" hidden="false" customHeight="false" outlineLevel="0" collapsed="false">
      <c r="A4041" s="0" t="s">
        <v>261</v>
      </c>
      <c r="B4041" s="52" t="n">
        <v>44317</v>
      </c>
      <c r="C4041" s="54" t="s">
        <v>591</v>
      </c>
      <c r="D4041" s="0" t="n">
        <v>0.0316008332356339</v>
      </c>
      <c r="E4041" s="0" t="n">
        <v>0.122803794049569</v>
      </c>
      <c r="F4041" s="0" t="n">
        <v>1</v>
      </c>
      <c r="G4041" s="0" t="n">
        <v>2021</v>
      </c>
    </row>
    <row r="4042" customFormat="false" ht="15" hidden="false" customHeight="false" outlineLevel="0" collapsed="false">
      <c r="A4042" s="0" t="s">
        <v>261</v>
      </c>
      <c r="B4042" s="52" t="n">
        <v>44317</v>
      </c>
      <c r="C4042" s="54" t="s">
        <v>592</v>
      </c>
      <c r="D4042" s="0" t="n">
        <v>0.433542954673801</v>
      </c>
      <c r="E4042" s="0" t="n">
        <v>0.0596593108116179</v>
      </c>
      <c r="F4042" s="0" t="n">
        <v>1</v>
      </c>
      <c r="G4042" s="0" t="n">
        <v>2021</v>
      </c>
    </row>
    <row r="4043" customFormat="false" ht="15" hidden="false" customHeight="false" outlineLevel="0" collapsed="false">
      <c r="A4043" s="0" t="s">
        <v>261</v>
      </c>
      <c r="B4043" s="52" t="n">
        <v>44318</v>
      </c>
      <c r="C4043" s="54" t="s">
        <v>590</v>
      </c>
      <c r="D4043" s="0" t="n">
        <v>0.070383916686559</v>
      </c>
      <c r="E4043" s="0" t="n">
        <v>0</v>
      </c>
      <c r="F4043" s="0" t="n">
        <v>1</v>
      </c>
      <c r="G4043" s="0" t="n">
        <v>2021</v>
      </c>
    </row>
    <row r="4044" customFormat="false" ht="15" hidden="false" customHeight="false" outlineLevel="0" collapsed="false">
      <c r="A4044" s="0" t="s">
        <v>261</v>
      </c>
      <c r="B4044" s="52" t="n">
        <v>44318</v>
      </c>
      <c r="C4044" s="54" t="s">
        <v>591</v>
      </c>
      <c r="D4044" s="0" t="n">
        <v>0.38813723034312</v>
      </c>
      <c r="E4044" s="0" t="n">
        <v>0</v>
      </c>
      <c r="F4044" s="0" t="n">
        <v>1</v>
      </c>
      <c r="G4044" s="0" t="n">
        <v>2021</v>
      </c>
    </row>
    <row r="4045" customFormat="false" ht="15" hidden="false" customHeight="false" outlineLevel="0" collapsed="false">
      <c r="A4045" s="0" t="s">
        <v>261</v>
      </c>
      <c r="B4045" s="52" t="n">
        <v>44319</v>
      </c>
      <c r="C4045" s="54" t="s">
        <v>590</v>
      </c>
      <c r="D4045" s="0" t="n">
        <v>0.132929189732211</v>
      </c>
      <c r="E4045" s="0" t="n">
        <v>0.0607321053048031</v>
      </c>
      <c r="F4045" s="0" t="n">
        <v>0</v>
      </c>
      <c r="G4045" s="0" t="n">
        <v>2021</v>
      </c>
    </row>
    <row r="4046" customFormat="false" ht="15" hidden="false" customHeight="false" outlineLevel="0" collapsed="false">
      <c r="A4046" s="0" t="s">
        <v>261</v>
      </c>
      <c r="B4046" s="52" t="n">
        <v>44319</v>
      </c>
      <c r="C4046" s="54" t="s">
        <v>591</v>
      </c>
      <c r="D4046" s="0" t="n">
        <v>0.110984382827943</v>
      </c>
      <c r="E4046" s="0" t="n">
        <v>0.0790731152348181</v>
      </c>
      <c r="F4046" s="0" t="n">
        <v>0</v>
      </c>
      <c r="G4046" s="0" t="n">
        <v>2021</v>
      </c>
    </row>
    <row r="4047" customFormat="false" ht="15" hidden="false" customHeight="false" outlineLevel="0" collapsed="false">
      <c r="A4047" s="0" t="s">
        <v>261</v>
      </c>
      <c r="B4047" s="52" t="n">
        <v>44319</v>
      </c>
      <c r="C4047" s="54" t="s">
        <v>592</v>
      </c>
      <c r="D4047" s="0" t="n">
        <v>0.106500332263145</v>
      </c>
      <c r="E4047" s="0" t="n">
        <v>0.0594010079799348</v>
      </c>
      <c r="F4047" s="0" t="n">
        <v>0</v>
      </c>
      <c r="G4047" s="0" t="n">
        <v>2021</v>
      </c>
    </row>
    <row r="4048" customFormat="false" ht="15" hidden="false" customHeight="false" outlineLevel="0" collapsed="false">
      <c r="A4048" s="0" t="s">
        <v>261</v>
      </c>
      <c r="B4048" s="52" t="n">
        <v>44320</v>
      </c>
      <c r="C4048" s="54" t="s">
        <v>590</v>
      </c>
      <c r="D4048" s="0" t="n">
        <v>0.21017867972471</v>
      </c>
      <c r="E4048" s="0" t="n">
        <v>0.0207829922577621</v>
      </c>
      <c r="F4048" s="0" t="n">
        <v>0</v>
      </c>
      <c r="G4048" s="0" t="n">
        <v>2021</v>
      </c>
    </row>
    <row r="4049" customFormat="false" ht="15" hidden="false" customHeight="false" outlineLevel="0" collapsed="false">
      <c r="A4049" s="0" t="s">
        <v>261</v>
      </c>
      <c r="B4049" s="52" t="n">
        <v>44320</v>
      </c>
      <c r="C4049" s="54" t="s">
        <v>591</v>
      </c>
      <c r="D4049" s="0" t="n">
        <v>0.0045045004817651</v>
      </c>
      <c r="E4049" s="0" t="n">
        <v>0.033870877329121</v>
      </c>
      <c r="F4049" s="0" t="n">
        <v>0</v>
      </c>
      <c r="G4049" s="0" t="n">
        <v>2021</v>
      </c>
    </row>
    <row r="4050" customFormat="false" ht="15" hidden="false" customHeight="false" outlineLevel="0" collapsed="false">
      <c r="A4050" s="0" t="s">
        <v>261</v>
      </c>
      <c r="B4050" s="52" t="n">
        <v>44320</v>
      </c>
      <c r="C4050" s="54" t="s">
        <v>592</v>
      </c>
      <c r="D4050" s="0" t="n">
        <v>0.515046073443734</v>
      </c>
      <c r="E4050" s="0" t="n">
        <v>0.0582806658130762</v>
      </c>
      <c r="F4050" s="0" t="n">
        <v>0</v>
      </c>
      <c r="G4050" s="0" t="n">
        <v>2021</v>
      </c>
    </row>
    <row r="4051" customFormat="false" ht="15" hidden="false" customHeight="false" outlineLevel="0" collapsed="false">
      <c r="A4051" s="0" t="s">
        <v>261</v>
      </c>
      <c r="B4051" s="52" t="n">
        <v>44321</v>
      </c>
      <c r="C4051" s="54" t="s">
        <v>590</v>
      </c>
      <c r="D4051" s="0" t="n">
        <v>0.0281400859071723</v>
      </c>
      <c r="E4051" s="0" t="n">
        <v>0.0687670626365916</v>
      </c>
      <c r="F4051" s="0" t="n">
        <v>0</v>
      </c>
      <c r="G4051" s="0" t="n">
        <v>2021</v>
      </c>
    </row>
    <row r="4052" customFormat="false" ht="15" hidden="false" customHeight="false" outlineLevel="0" collapsed="false">
      <c r="A4052" s="0" t="s">
        <v>261</v>
      </c>
      <c r="B4052" s="52" t="n">
        <v>44321</v>
      </c>
      <c r="C4052" s="54" t="s">
        <v>591</v>
      </c>
      <c r="D4052" s="0" t="n">
        <v>0.0191438216793412</v>
      </c>
      <c r="E4052" s="0" t="n">
        <v>0.048327250337964</v>
      </c>
      <c r="F4052" s="0" t="n">
        <v>0</v>
      </c>
      <c r="G4052" s="0" t="n">
        <v>2021</v>
      </c>
    </row>
    <row r="4053" customFormat="false" ht="15" hidden="false" customHeight="false" outlineLevel="0" collapsed="false">
      <c r="A4053" s="0" t="s">
        <v>261</v>
      </c>
      <c r="B4053" s="52" t="n">
        <v>44321</v>
      </c>
      <c r="C4053" s="54" t="s">
        <v>592</v>
      </c>
      <c r="D4053" s="0" t="n">
        <v>0.0643799424537028</v>
      </c>
      <c r="E4053" s="0" t="n">
        <v>0.0656696306479972</v>
      </c>
      <c r="F4053" s="0" t="n">
        <v>0</v>
      </c>
      <c r="G4053" s="0" t="n">
        <v>2021</v>
      </c>
    </row>
    <row r="4054" customFormat="false" ht="15" hidden="false" customHeight="false" outlineLevel="0" collapsed="false">
      <c r="A4054" s="0" t="s">
        <v>261</v>
      </c>
      <c r="B4054" s="52" t="n">
        <v>44322</v>
      </c>
      <c r="C4054" s="54" t="s">
        <v>590</v>
      </c>
      <c r="D4054" s="0" t="n">
        <v>0.17381657679241</v>
      </c>
      <c r="E4054" s="0" t="n">
        <v>0.144663941894038</v>
      </c>
      <c r="F4054" s="0" t="n">
        <v>0</v>
      </c>
      <c r="G4054" s="0" t="n">
        <v>2021</v>
      </c>
    </row>
    <row r="4055" customFormat="false" ht="15" hidden="false" customHeight="false" outlineLevel="0" collapsed="false">
      <c r="A4055" s="0" t="s">
        <v>261</v>
      </c>
      <c r="B4055" s="52" t="n">
        <v>44322</v>
      </c>
      <c r="C4055" s="54" t="s">
        <v>591</v>
      </c>
      <c r="D4055" s="0" t="n">
        <v>0.0247840393132066</v>
      </c>
      <c r="E4055" s="0" t="n">
        <v>0.143165729313968</v>
      </c>
      <c r="F4055" s="0" t="n">
        <v>0</v>
      </c>
      <c r="G4055" s="0" t="n">
        <v>2021</v>
      </c>
    </row>
    <row r="4056" customFormat="false" ht="15" hidden="false" customHeight="false" outlineLevel="0" collapsed="false">
      <c r="A4056" s="0" t="s">
        <v>261</v>
      </c>
      <c r="B4056" s="52" t="n">
        <v>44322</v>
      </c>
      <c r="C4056" s="54" t="s">
        <v>592</v>
      </c>
      <c r="D4056" s="0" t="n">
        <v>0.319683860789183</v>
      </c>
      <c r="E4056" s="0" t="n">
        <v>0.0431307983388564</v>
      </c>
      <c r="F4056" s="0" t="n">
        <v>0</v>
      </c>
      <c r="G4056" s="0" t="n">
        <v>2021</v>
      </c>
    </row>
    <row r="4057" customFormat="false" ht="15" hidden="false" customHeight="false" outlineLevel="0" collapsed="false">
      <c r="A4057" s="0" t="s">
        <v>261</v>
      </c>
      <c r="B4057" s="52" t="n">
        <v>44323</v>
      </c>
      <c r="C4057" s="54" t="s">
        <v>590</v>
      </c>
      <c r="D4057" s="0" t="n">
        <v>0.0909093624663983</v>
      </c>
      <c r="E4057" s="0" t="n">
        <v>0.02617371820549</v>
      </c>
      <c r="F4057" s="0" t="n">
        <v>0</v>
      </c>
      <c r="G4057" s="0" t="n">
        <v>2021</v>
      </c>
    </row>
    <row r="4058" customFormat="false" ht="15" hidden="false" customHeight="false" outlineLevel="0" collapsed="false">
      <c r="A4058" s="0" t="s">
        <v>261</v>
      </c>
      <c r="B4058" s="52" t="n">
        <v>44323</v>
      </c>
      <c r="C4058" s="54" t="s">
        <v>591</v>
      </c>
      <c r="D4058" s="0" t="n">
        <v>0.033544379777605</v>
      </c>
      <c r="E4058" s="0" t="n">
        <v>0.0561800344454059</v>
      </c>
      <c r="F4058" s="0" t="n">
        <v>0</v>
      </c>
      <c r="G4058" s="0" t="n">
        <v>2021</v>
      </c>
    </row>
    <row r="4059" customFormat="false" ht="15" hidden="false" customHeight="false" outlineLevel="0" collapsed="false">
      <c r="A4059" s="0" t="s">
        <v>261</v>
      </c>
      <c r="B4059" s="52" t="n">
        <v>44323</v>
      </c>
      <c r="C4059" s="54" t="s">
        <v>592</v>
      </c>
      <c r="D4059" s="0" t="n">
        <v>0.412986537462533</v>
      </c>
      <c r="E4059" s="0" t="n">
        <v>0.0827974154110967</v>
      </c>
      <c r="F4059" s="0" t="n">
        <v>0</v>
      </c>
      <c r="G4059" s="0" t="n">
        <v>2021</v>
      </c>
    </row>
    <row r="4060" customFormat="false" ht="15" hidden="false" customHeight="false" outlineLevel="0" collapsed="false">
      <c r="A4060" s="0" t="s">
        <v>261</v>
      </c>
      <c r="B4060" s="52" t="n">
        <v>44324</v>
      </c>
      <c r="C4060" s="54" t="s">
        <v>590</v>
      </c>
      <c r="D4060" s="0" t="n">
        <v>0.127633829191292</v>
      </c>
      <c r="E4060" s="0" t="n">
        <v>0.14238806277051</v>
      </c>
      <c r="F4060" s="0" t="n">
        <v>1</v>
      </c>
      <c r="G4060" s="0" t="n">
        <v>2021</v>
      </c>
    </row>
    <row r="4061" customFormat="false" ht="15" hidden="false" customHeight="false" outlineLevel="0" collapsed="false">
      <c r="A4061" s="0" t="s">
        <v>261</v>
      </c>
      <c r="B4061" s="52" t="n">
        <v>44324</v>
      </c>
      <c r="C4061" s="54" t="s">
        <v>591</v>
      </c>
      <c r="D4061" s="0" t="n">
        <v>0.0214015147696086</v>
      </c>
      <c r="E4061" s="0" t="n">
        <v>0.50136662863947</v>
      </c>
      <c r="F4061" s="0" t="n">
        <v>1</v>
      </c>
      <c r="G4061" s="0" t="n">
        <v>2021</v>
      </c>
    </row>
    <row r="4062" customFormat="false" ht="15" hidden="false" customHeight="false" outlineLevel="0" collapsed="false">
      <c r="A4062" s="0" t="s">
        <v>261</v>
      </c>
      <c r="B4062" s="52" t="n">
        <v>44324</v>
      </c>
      <c r="C4062" s="54" t="s">
        <v>592</v>
      </c>
      <c r="D4062" s="0" t="n">
        <v>0.358472276653649</v>
      </c>
      <c r="E4062" s="0" t="n">
        <v>0.0592878906126629</v>
      </c>
      <c r="F4062" s="0" t="n">
        <v>1</v>
      </c>
      <c r="G4062" s="0" t="n">
        <v>2021</v>
      </c>
    </row>
    <row r="4063" customFormat="false" ht="15" hidden="false" customHeight="false" outlineLevel="0" collapsed="false">
      <c r="A4063" s="0" t="s">
        <v>261</v>
      </c>
      <c r="B4063" s="52" t="n">
        <v>44325</v>
      </c>
      <c r="C4063" s="54" t="s">
        <v>590</v>
      </c>
      <c r="D4063" s="0" t="n">
        <v>0.990200074628203</v>
      </c>
      <c r="E4063" s="0" t="n">
        <v>0</v>
      </c>
      <c r="F4063" s="0" t="n">
        <v>1</v>
      </c>
      <c r="G4063" s="0" t="n">
        <v>2021</v>
      </c>
    </row>
    <row r="4064" customFormat="false" ht="15" hidden="false" customHeight="false" outlineLevel="0" collapsed="false">
      <c r="A4064" s="0" t="s">
        <v>261</v>
      </c>
      <c r="B4064" s="52" t="n">
        <v>44326</v>
      </c>
      <c r="C4064" s="54" t="s">
        <v>590</v>
      </c>
      <c r="D4064" s="0" t="n">
        <v>0.0941732298207565</v>
      </c>
      <c r="E4064" s="0" t="n">
        <v>0.17059998966858</v>
      </c>
      <c r="F4064" s="0" t="n">
        <v>0</v>
      </c>
      <c r="G4064" s="0" t="n">
        <v>2021</v>
      </c>
    </row>
    <row r="4065" customFormat="false" ht="15" hidden="false" customHeight="false" outlineLevel="0" collapsed="false">
      <c r="A4065" s="0" t="s">
        <v>261</v>
      </c>
      <c r="B4065" s="52" t="n">
        <v>44326</v>
      </c>
      <c r="C4065" s="54" t="s">
        <v>591</v>
      </c>
      <c r="D4065" s="0" t="n">
        <v>0.0679821837118799</v>
      </c>
      <c r="E4065" s="0" t="n">
        <v>0.170123801874319</v>
      </c>
      <c r="F4065" s="0" t="n">
        <v>0</v>
      </c>
      <c r="G4065" s="0" t="n">
        <v>2021</v>
      </c>
    </row>
    <row r="4066" customFormat="false" ht="15" hidden="false" customHeight="false" outlineLevel="0" collapsed="false">
      <c r="A4066" s="0" t="s">
        <v>261</v>
      </c>
      <c r="B4066" s="52" t="n">
        <v>44326</v>
      </c>
      <c r="C4066" s="54" t="s">
        <v>592</v>
      </c>
      <c r="D4066" s="0" t="n">
        <v>0.143614656679631</v>
      </c>
      <c r="E4066" s="0" t="n">
        <v>0.0876090459629733</v>
      </c>
      <c r="F4066" s="0" t="n">
        <v>0</v>
      </c>
      <c r="G4066" s="0" t="n">
        <v>2021</v>
      </c>
    </row>
    <row r="4067" customFormat="false" ht="15" hidden="false" customHeight="false" outlineLevel="0" collapsed="false">
      <c r="A4067" s="0" t="s">
        <v>261</v>
      </c>
      <c r="B4067" s="52" t="n">
        <v>44327</v>
      </c>
      <c r="C4067" s="54" t="s">
        <v>590</v>
      </c>
      <c r="D4067" s="0" t="n">
        <v>0.695763746302436</v>
      </c>
      <c r="E4067" s="0" t="n">
        <v>0.0627395271972619</v>
      </c>
      <c r="F4067" s="0" t="n">
        <v>0</v>
      </c>
      <c r="G4067" s="0" t="n">
        <v>2021</v>
      </c>
    </row>
    <row r="4068" customFormat="false" ht="15" hidden="false" customHeight="false" outlineLevel="0" collapsed="false">
      <c r="A4068" s="0" t="s">
        <v>261</v>
      </c>
      <c r="B4068" s="52" t="n">
        <v>44327</v>
      </c>
      <c r="C4068" s="54" t="s">
        <v>591</v>
      </c>
      <c r="D4068" s="0" t="n">
        <v>0.0308948766436571</v>
      </c>
      <c r="E4068" s="0" t="n">
        <v>0.0299905616014467</v>
      </c>
      <c r="F4068" s="0" t="n">
        <v>0</v>
      </c>
      <c r="G4068" s="0" t="n">
        <v>2021</v>
      </c>
    </row>
    <row r="4069" customFormat="false" ht="15" hidden="false" customHeight="false" outlineLevel="0" collapsed="false">
      <c r="A4069" s="0" t="s">
        <v>261</v>
      </c>
      <c r="B4069" s="52" t="n">
        <v>44327</v>
      </c>
      <c r="C4069" s="54" t="s">
        <v>592</v>
      </c>
      <c r="D4069" s="0" t="n">
        <v>0.125918556397652</v>
      </c>
      <c r="E4069" s="0" t="n">
        <v>0.0695376579973574</v>
      </c>
      <c r="F4069" s="0" t="n">
        <v>0</v>
      </c>
      <c r="G4069" s="0" t="n">
        <v>2021</v>
      </c>
    </row>
    <row r="4070" customFormat="false" ht="15" hidden="false" customHeight="false" outlineLevel="0" collapsed="false">
      <c r="A4070" s="0" t="s">
        <v>261</v>
      </c>
      <c r="B4070" s="52" t="n">
        <v>44328</v>
      </c>
      <c r="C4070" s="54" t="s">
        <v>590</v>
      </c>
      <c r="D4070" s="0" t="n">
        <v>0.702615838246933</v>
      </c>
      <c r="E4070" s="0" t="n">
        <v>0.0129443281346942</v>
      </c>
      <c r="F4070" s="0" t="n">
        <v>0</v>
      </c>
      <c r="G4070" s="0" t="n">
        <v>2021</v>
      </c>
    </row>
    <row r="4071" customFormat="false" ht="15" hidden="false" customHeight="false" outlineLevel="0" collapsed="false">
      <c r="A4071" s="0" t="s">
        <v>261</v>
      </c>
      <c r="B4071" s="52" t="n">
        <v>44328</v>
      </c>
      <c r="C4071" s="54" t="s">
        <v>591</v>
      </c>
      <c r="D4071" s="0" t="n">
        <v>0.0290112875014698</v>
      </c>
      <c r="E4071" s="0" t="n">
        <v>0.0724604796744236</v>
      </c>
      <c r="F4071" s="0" t="n">
        <v>0</v>
      </c>
      <c r="G4071" s="0" t="n">
        <v>2021</v>
      </c>
    </row>
    <row r="4072" customFormat="false" ht="15" hidden="false" customHeight="false" outlineLevel="0" collapsed="false">
      <c r="A4072" s="0" t="s">
        <v>261</v>
      </c>
      <c r="B4072" s="52" t="n">
        <v>44328</v>
      </c>
      <c r="C4072" s="54" t="s">
        <v>592</v>
      </c>
      <c r="D4072" s="0" t="n">
        <v>0.153467639446551</v>
      </c>
      <c r="E4072" s="0" t="n">
        <v>0.0256546525549423</v>
      </c>
      <c r="F4072" s="0" t="n">
        <v>0</v>
      </c>
      <c r="G4072" s="0" t="n">
        <v>2021</v>
      </c>
    </row>
    <row r="4073" customFormat="false" ht="15" hidden="false" customHeight="false" outlineLevel="0" collapsed="false">
      <c r="A4073" s="0" t="s">
        <v>261</v>
      </c>
      <c r="B4073" s="52" t="n">
        <v>44329</v>
      </c>
      <c r="C4073" s="54" t="s">
        <v>590</v>
      </c>
      <c r="D4073" s="0" t="n">
        <v>0.518256858669151</v>
      </c>
      <c r="E4073" s="0" t="n">
        <v>0.0159062514744556</v>
      </c>
      <c r="F4073" s="0" t="n">
        <v>0</v>
      </c>
      <c r="G4073" s="0" t="n">
        <v>2021</v>
      </c>
    </row>
    <row r="4074" customFormat="false" ht="15" hidden="false" customHeight="false" outlineLevel="0" collapsed="false">
      <c r="A4074" s="0" t="s">
        <v>261</v>
      </c>
      <c r="B4074" s="52" t="n">
        <v>44329</v>
      </c>
      <c r="C4074" s="54" t="s">
        <v>591</v>
      </c>
      <c r="D4074" s="0" t="n">
        <v>0.0335072326947953</v>
      </c>
      <c r="E4074" s="0" t="n">
        <v>0.0980658751721779</v>
      </c>
      <c r="F4074" s="0" t="n">
        <v>0</v>
      </c>
      <c r="G4074" s="0" t="n">
        <v>2021</v>
      </c>
    </row>
    <row r="4075" customFormat="false" ht="15" hidden="false" customHeight="false" outlineLevel="0" collapsed="false">
      <c r="A4075" s="0" t="s">
        <v>261</v>
      </c>
      <c r="B4075" s="52" t="n">
        <v>44329</v>
      </c>
      <c r="C4075" s="54" t="s">
        <v>592</v>
      </c>
      <c r="D4075" s="0" t="n">
        <v>0.195907359391785</v>
      </c>
      <c r="E4075" s="0" t="n">
        <v>0.0652745784630927</v>
      </c>
      <c r="F4075" s="0" t="n">
        <v>0</v>
      </c>
      <c r="G4075" s="0" t="n">
        <v>2021</v>
      </c>
    </row>
    <row r="4076" customFormat="false" ht="15" hidden="false" customHeight="false" outlineLevel="0" collapsed="false">
      <c r="A4076" s="0" t="s">
        <v>261</v>
      </c>
      <c r="B4076" s="52" t="n">
        <v>44330</v>
      </c>
      <c r="C4076" s="54" t="s">
        <v>590</v>
      </c>
      <c r="D4076" s="0" t="n">
        <v>0.585513062104609</v>
      </c>
      <c r="E4076" s="0" t="n">
        <v>0.0129403544615523</v>
      </c>
      <c r="F4076" s="0" t="n">
        <v>0</v>
      </c>
      <c r="G4076" s="0" t="n">
        <v>2021</v>
      </c>
    </row>
    <row r="4077" customFormat="false" ht="15" hidden="false" customHeight="false" outlineLevel="0" collapsed="false">
      <c r="A4077" s="0" t="s">
        <v>261</v>
      </c>
      <c r="B4077" s="52" t="n">
        <v>44330</v>
      </c>
      <c r="C4077" s="54" t="s">
        <v>591</v>
      </c>
      <c r="D4077" s="0" t="n">
        <v>0.0463126407921444</v>
      </c>
      <c r="E4077" s="0" t="n">
        <v>0.0626727084942758</v>
      </c>
      <c r="F4077" s="0" t="n">
        <v>0</v>
      </c>
      <c r="G4077" s="0" t="n">
        <v>2021</v>
      </c>
    </row>
    <row r="4078" customFormat="false" ht="15" hidden="false" customHeight="false" outlineLevel="0" collapsed="false">
      <c r="A4078" s="0" t="s">
        <v>261</v>
      </c>
      <c r="B4078" s="52" t="n">
        <v>44330</v>
      </c>
      <c r="C4078" s="54" t="s">
        <v>592</v>
      </c>
      <c r="D4078" s="0" t="n">
        <v>0.114498217440201</v>
      </c>
      <c r="E4078" s="0" t="n">
        <v>0.050811783088991</v>
      </c>
      <c r="F4078" s="0" t="n">
        <v>0</v>
      </c>
      <c r="G4078" s="0" t="n">
        <v>2021</v>
      </c>
    </row>
    <row r="4079" customFormat="false" ht="15" hidden="false" customHeight="false" outlineLevel="0" collapsed="false">
      <c r="A4079" s="0" t="s">
        <v>261</v>
      </c>
      <c r="B4079" s="52" t="n">
        <v>44331</v>
      </c>
      <c r="C4079" s="54" t="s">
        <v>590</v>
      </c>
      <c r="D4079" s="0" t="n">
        <v>0.643261629618961</v>
      </c>
      <c r="E4079" s="0" t="n">
        <v>0</v>
      </c>
      <c r="F4079" s="0" t="n">
        <v>1</v>
      </c>
      <c r="G4079" s="0" t="n">
        <v>2021</v>
      </c>
    </row>
    <row r="4080" customFormat="false" ht="15" hidden="false" customHeight="false" outlineLevel="0" collapsed="false">
      <c r="A4080" s="0" t="s">
        <v>261</v>
      </c>
      <c r="B4080" s="52" t="n">
        <v>44331</v>
      </c>
      <c r="C4080" s="54" t="s">
        <v>591</v>
      </c>
      <c r="D4080" s="0" t="n">
        <v>0.0894285381048721</v>
      </c>
      <c r="E4080" s="0" t="n">
        <v>0.108436725099473</v>
      </c>
      <c r="F4080" s="0" t="n">
        <v>1</v>
      </c>
      <c r="G4080" s="0" t="n">
        <v>2021</v>
      </c>
    </row>
    <row r="4081" customFormat="false" ht="15" hidden="false" customHeight="false" outlineLevel="0" collapsed="false">
      <c r="A4081" s="0" t="s">
        <v>261</v>
      </c>
      <c r="B4081" s="52" t="n">
        <v>44331</v>
      </c>
      <c r="C4081" s="54" t="s">
        <v>592</v>
      </c>
      <c r="D4081" s="0" t="n">
        <v>0.136932043934061</v>
      </c>
      <c r="E4081" s="0" t="n">
        <v>0.0460386690213981</v>
      </c>
      <c r="F4081" s="0" t="n">
        <v>1</v>
      </c>
      <c r="G4081" s="0" t="n">
        <v>2021</v>
      </c>
    </row>
    <row r="4082" customFormat="false" ht="15" hidden="false" customHeight="false" outlineLevel="0" collapsed="false">
      <c r="A4082" s="0" t="s">
        <v>261</v>
      </c>
      <c r="B4082" s="52" t="n">
        <v>44332</v>
      </c>
      <c r="C4082" s="54" t="s">
        <v>590</v>
      </c>
      <c r="D4082" s="0" t="n">
        <v>1</v>
      </c>
      <c r="E4082" s="0" t="n">
        <v>0</v>
      </c>
      <c r="F4082" s="0" t="n">
        <v>1</v>
      </c>
      <c r="G4082" s="0" t="n">
        <v>2021</v>
      </c>
    </row>
    <row r="4083" customFormat="false" ht="15" hidden="false" customHeight="false" outlineLevel="0" collapsed="false">
      <c r="A4083" s="0" t="s">
        <v>261</v>
      </c>
      <c r="B4083" s="52" t="n">
        <v>44333</v>
      </c>
      <c r="C4083" s="54" t="s">
        <v>590</v>
      </c>
      <c r="D4083" s="0" t="n">
        <v>0.0394247258169154</v>
      </c>
      <c r="E4083" s="0" t="n">
        <v>0.0161035514331366</v>
      </c>
      <c r="F4083" s="0" t="n">
        <v>0</v>
      </c>
      <c r="G4083" s="0" t="n">
        <v>2021</v>
      </c>
    </row>
    <row r="4084" customFormat="false" ht="15" hidden="false" customHeight="false" outlineLevel="0" collapsed="false">
      <c r="A4084" s="0" t="s">
        <v>261</v>
      </c>
      <c r="B4084" s="52" t="n">
        <v>44333</v>
      </c>
      <c r="C4084" s="54" t="s">
        <v>591</v>
      </c>
      <c r="D4084" s="0" t="n">
        <v>0.0062424816816861</v>
      </c>
      <c r="E4084" s="0" t="n">
        <v>0.046500668347569</v>
      </c>
      <c r="F4084" s="0" t="n">
        <v>0</v>
      </c>
      <c r="G4084" s="0" t="n">
        <v>2021</v>
      </c>
    </row>
    <row r="4085" customFormat="false" ht="15" hidden="false" customHeight="false" outlineLevel="0" collapsed="false">
      <c r="A4085" s="0" t="s">
        <v>261</v>
      </c>
      <c r="B4085" s="52" t="n">
        <v>44333</v>
      </c>
      <c r="C4085" s="54" t="s">
        <v>592</v>
      </c>
      <c r="D4085" s="0" t="n">
        <v>0.325035616405044</v>
      </c>
      <c r="E4085" s="0" t="n">
        <v>0.0381120524723274</v>
      </c>
      <c r="F4085" s="0" t="n">
        <v>0</v>
      </c>
      <c r="G4085" s="0" t="n">
        <v>2021</v>
      </c>
    </row>
    <row r="4086" customFormat="false" ht="15" hidden="false" customHeight="false" outlineLevel="0" collapsed="false">
      <c r="A4086" s="0" t="s">
        <v>261</v>
      </c>
      <c r="B4086" s="52" t="n">
        <v>44334</v>
      </c>
      <c r="C4086" s="54" t="s">
        <v>590</v>
      </c>
      <c r="D4086" s="0" t="n">
        <v>0.404127880336456</v>
      </c>
      <c r="E4086" s="0" t="n">
        <v>0.0135002575209365</v>
      </c>
      <c r="F4086" s="0" t="n">
        <v>0</v>
      </c>
      <c r="G4086" s="0" t="n">
        <v>2021</v>
      </c>
    </row>
    <row r="4087" customFormat="false" ht="15" hidden="false" customHeight="false" outlineLevel="0" collapsed="false">
      <c r="A4087" s="0" t="s">
        <v>261</v>
      </c>
      <c r="B4087" s="52" t="n">
        <v>44334</v>
      </c>
      <c r="C4087" s="54" t="s">
        <v>591</v>
      </c>
      <c r="D4087" s="0" t="n">
        <v>0.001171615678829</v>
      </c>
      <c r="E4087" s="0" t="n">
        <v>0.0870729929274813</v>
      </c>
      <c r="F4087" s="0" t="n">
        <v>0</v>
      </c>
      <c r="G4087" s="0" t="n">
        <v>2021</v>
      </c>
    </row>
    <row r="4088" customFormat="false" ht="15" hidden="false" customHeight="false" outlineLevel="0" collapsed="false">
      <c r="A4088" s="0" t="s">
        <v>261</v>
      </c>
      <c r="B4088" s="52" t="n">
        <v>44334</v>
      </c>
      <c r="C4088" s="54" t="s">
        <v>592</v>
      </c>
      <c r="D4088" s="0" t="n">
        <v>0.300994291093139</v>
      </c>
      <c r="E4088" s="0" t="n">
        <v>0.0147098394300832</v>
      </c>
      <c r="F4088" s="0" t="n">
        <v>0</v>
      </c>
      <c r="G4088" s="0" t="n">
        <v>2021</v>
      </c>
    </row>
    <row r="4089" customFormat="false" ht="15" hidden="false" customHeight="false" outlineLevel="0" collapsed="false">
      <c r="A4089" s="0" t="s">
        <v>261</v>
      </c>
      <c r="B4089" s="52" t="n">
        <v>44335</v>
      </c>
      <c r="C4089" s="54" t="s">
        <v>590</v>
      </c>
      <c r="D4089" s="0" t="n">
        <v>0.460525832930206</v>
      </c>
      <c r="E4089" s="0" t="n">
        <v>0.0032337355918066</v>
      </c>
      <c r="F4089" s="0" t="n">
        <v>0</v>
      </c>
      <c r="G4089" s="0" t="n">
        <v>2021</v>
      </c>
    </row>
    <row r="4090" customFormat="false" ht="15" hidden="false" customHeight="false" outlineLevel="0" collapsed="false">
      <c r="A4090" s="0" t="s">
        <v>261</v>
      </c>
      <c r="B4090" s="52" t="n">
        <v>44335</v>
      </c>
      <c r="C4090" s="54" t="s">
        <v>591</v>
      </c>
      <c r="D4090" s="0" t="n">
        <v>0.0804547762348895</v>
      </c>
      <c r="E4090" s="0" t="n">
        <v>0.113284589452242</v>
      </c>
      <c r="F4090" s="0" t="n">
        <v>0</v>
      </c>
      <c r="G4090" s="0" t="n">
        <v>2021</v>
      </c>
    </row>
    <row r="4091" customFormat="false" ht="15" hidden="false" customHeight="false" outlineLevel="0" collapsed="false">
      <c r="A4091" s="0" t="s">
        <v>261</v>
      </c>
      <c r="B4091" s="52" t="n">
        <v>44335</v>
      </c>
      <c r="C4091" s="54" t="s">
        <v>592</v>
      </c>
      <c r="D4091" s="0" t="n">
        <v>0.444651723605974</v>
      </c>
      <c r="E4091" s="0" t="n">
        <v>0.0208416054527605</v>
      </c>
      <c r="F4091" s="0" t="n">
        <v>0</v>
      </c>
      <c r="G4091" s="0" t="n">
        <v>2021</v>
      </c>
    </row>
    <row r="4092" customFormat="false" ht="15" hidden="false" customHeight="false" outlineLevel="0" collapsed="false">
      <c r="A4092" s="0" t="s">
        <v>261</v>
      </c>
      <c r="B4092" s="52" t="n">
        <v>44336</v>
      </c>
      <c r="C4092" s="54" t="s">
        <v>590</v>
      </c>
      <c r="D4092" s="0" t="n">
        <v>0.631659709424876</v>
      </c>
      <c r="E4092" s="0" t="n">
        <v>0.0082251943076475</v>
      </c>
      <c r="F4092" s="0" t="n">
        <v>0</v>
      </c>
      <c r="G4092" s="0" t="n">
        <v>2021</v>
      </c>
    </row>
    <row r="4093" customFormat="false" ht="15" hidden="false" customHeight="false" outlineLevel="0" collapsed="false">
      <c r="A4093" s="0" t="s">
        <v>261</v>
      </c>
      <c r="B4093" s="52" t="n">
        <v>44336</v>
      </c>
      <c r="C4093" s="54" t="s">
        <v>591</v>
      </c>
      <c r="D4093" s="0" t="n">
        <v>0.0329695232178259</v>
      </c>
      <c r="E4093" s="0" t="n">
        <v>0.0278473053773017</v>
      </c>
      <c r="F4093" s="0" t="n">
        <v>0</v>
      </c>
      <c r="G4093" s="0" t="n">
        <v>2021</v>
      </c>
    </row>
    <row r="4094" customFormat="false" ht="15" hidden="false" customHeight="false" outlineLevel="0" collapsed="false">
      <c r="A4094" s="0" t="s">
        <v>261</v>
      </c>
      <c r="B4094" s="52" t="n">
        <v>44336</v>
      </c>
      <c r="C4094" s="54" t="s">
        <v>592</v>
      </c>
      <c r="D4094" s="0" t="n">
        <v>0.291539944930221</v>
      </c>
      <c r="E4094" s="0" t="n">
        <v>0.0514831590066681</v>
      </c>
      <c r="F4094" s="0" t="n">
        <v>0</v>
      </c>
      <c r="G4094" s="0" t="n">
        <v>2021</v>
      </c>
    </row>
    <row r="4095" customFormat="false" ht="15" hidden="false" customHeight="false" outlineLevel="0" collapsed="false">
      <c r="A4095" s="0" t="s">
        <v>261</v>
      </c>
      <c r="B4095" s="52" t="n">
        <v>44337</v>
      </c>
      <c r="C4095" s="54" t="s">
        <v>590</v>
      </c>
      <c r="D4095" s="0" t="n">
        <v>0.0319312388895239</v>
      </c>
      <c r="E4095" s="0" t="n">
        <v>0.0219195092089589</v>
      </c>
      <c r="F4095" s="0" t="n">
        <v>0</v>
      </c>
      <c r="G4095" s="0" t="n">
        <v>2021</v>
      </c>
    </row>
    <row r="4096" customFormat="false" ht="15" hidden="false" customHeight="false" outlineLevel="0" collapsed="false">
      <c r="A4096" s="0" t="s">
        <v>261</v>
      </c>
      <c r="B4096" s="52" t="n">
        <v>44337</v>
      </c>
      <c r="C4096" s="54" t="s">
        <v>591</v>
      </c>
      <c r="D4096" s="0" t="n">
        <v>0.0135006746770435</v>
      </c>
      <c r="E4096" s="0" t="n">
        <v>0.0545847604938197</v>
      </c>
      <c r="F4096" s="0" t="n">
        <v>0</v>
      </c>
      <c r="G4096" s="0" t="n">
        <v>2021</v>
      </c>
    </row>
    <row r="4097" customFormat="false" ht="15" hidden="false" customHeight="false" outlineLevel="0" collapsed="false">
      <c r="A4097" s="0" t="s">
        <v>261</v>
      </c>
      <c r="B4097" s="52" t="n">
        <v>44337</v>
      </c>
      <c r="C4097" s="54" t="s">
        <v>592</v>
      </c>
      <c r="D4097" s="0" t="n">
        <v>0.023924547954541</v>
      </c>
      <c r="E4097" s="0" t="n">
        <v>0.028770926418197</v>
      </c>
      <c r="F4097" s="0" t="n">
        <v>0</v>
      </c>
      <c r="G4097" s="0" t="n">
        <v>2021</v>
      </c>
    </row>
    <row r="4098" customFormat="false" ht="15" hidden="false" customHeight="false" outlineLevel="0" collapsed="false">
      <c r="A4098" s="0" t="s">
        <v>261</v>
      </c>
      <c r="B4098" s="52" t="n">
        <v>44338</v>
      </c>
      <c r="C4098" s="54" t="s">
        <v>590</v>
      </c>
      <c r="D4098" s="0" t="n">
        <v>0.287400832811097</v>
      </c>
      <c r="E4098" s="0" t="n">
        <v>0.0312783306326023</v>
      </c>
      <c r="F4098" s="0" t="n">
        <v>1</v>
      </c>
      <c r="G4098" s="0" t="n">
        <v>2021</v>
      </c>
    </row>
    <row r="4099" customFormat="false" ht="15" hidden="false" customHeight="false" outlineLevel="0" collapsed="false">
      <c r="A4099" s="0" t="s">
        <v>261</v>
      </c>
      <c r="B4099" s="52" t="n">
        <v>44338</v>
      </c>
      <c r="C4099" s="54" t="s">
        <v>591</v>
      </c>
      <c r="D4099" s="0" t="n">
        <v>0.189770363648571</v>
      </c>
      <c r="E4099" s="0" t="n">
        <v>0.0846716904809862</v>
      </c>
      <c r="F4099" s="0" t="n">
        <v>1</v>
      </c>
      <c r="G4099" s="0" t="n">
        <v>2021</v>
      </c>
    </row>
    <row r="4100" customFormat="false" ht="15" hidden="false" customHeight="false" outlineLevel="0" collapsed="false">
      <c r="A4100" s="0" t="s">
        <v>261</v>
      </c>
      <c r="B4100" s="52" t="n">
        <v>44338</v>
      </c>
      <c r="C4100" s="54" t="s">
        <v>592</v>
      </c>
      <c r="D4100" s="0" t="n">
        <v>0.718169656928608</v>
      </c>
      <c r="E4100" s="0" t="n">
        <v>0.0213441946725731</v>
      </c>
      <c r="F4100" s="0" t="n">
        <v>1</v>
      </c>
      <c r="G4100" s="0" t="n">
        <v>2021</v>
      </c>
    </row>
    <row r="4101" customFormat="false" ht="15" hidden="false" customHeight="false" outlineLevel="0" collapsed="false">
      <c r="A4101" s="0" t="s">
        <v>261</v>
      </c>
      <c r="B4101" s="52" t="n">
        <v>44340</v>
      </c>
      <c r="C4101" s="54" t="s">
        <v>590</v>
      </c>
      <c r="D4101" s="0" t="n">
        <v>0.190391613526722</v>
      </c>
      <c r="E4101" s="0" t="n">
        <v>0.0321251879502428</v>
      </c>
      <c r="F4101" s="0" t="n">
        <v>0</v>
      </c>
      <c r="G4101" s="0" t="n">
        <v>2021</v>
      </c>
    </row>
    <row r="4102" customFormat="false" ht="15" hidden="false" customHeight="false" outlineLevel="0" collapsed="false">
      <c r="A4102" s="0" t="s">
        <v>261</v>
      </c>
      <c r="B4102" s="52" t="n">
        <v>44340</v>
      </c>
      <c r="C4102" s="54" t="s">
        <v>591</v>
      </c>
      <c r="D4102" s="0" t="n">
        <v>0.0032865529296872</v>
      </c>
      <c r="E4102" s="0" t="n">
        <v>0.179110518899992</v>
      </c>
      <c r="F4102" s="0" t="n">
        <v>0</v>
      </c>
      <c r="G4102" s="0" t="n">
        <v>2021</v>
      </c>
    </row>
    <row r="4103" customFormat="false" ht="15" hidden="false" customHeight="false" outlineLevel="0" collapsed="false">
      <c r="A4103" s="0" t="s">
        <v>261</v>
      </c>
      <c r="B4103" s="52" t="n">
        <v>44340</v>
      </c>
      <c r="C4103" s="54" t="s">
        <v>592</v>
      </c>
      <c r="D4103" s="0" t="n">
        <v>0.0925849150272375</v>
      </c>
      <c r="E4103" s="0" t="n">
        <v>0.0352612252303607</v>
      </c>
      <c r="F4103" s="0" t="n">
        <v>0</v>
      </c>
      <c r="G4103" s="0" t="n">
        <v>2021</v>
      </c>
    </row>
    <row r="4104" customFormat="false" ht="15" hidden="false" customHeight="false" outlineLevel="0" collapsed="false">
      <c r="A4104" s="0" t="s">
        <v>261</v>
      </c>
      <c r="B4104" s="52" t="n">
        <v>44341</v>
      </c>
      <c r="C4104" s="54" t="s">
        <v>590</v>
      </c>
      <c r="D4104" s="0" t="n">
        <v>0.124050088687521</v>
      </c>
      <c r="E4104" s="0" t="n">
        <v>0.0590330090458054</v>
      </c>
      <c r="F4104" s="0" t="n">
        <v>0</v>
      </c>
      <c r="G4104" s="0" t="n">
        <v>2021</v>
      </c>
    </row>
    <row r="4105" customFormat="false" ht="15" hidden="false" customHeight="false" outlineLevel="0" collapsed="false">
      <c r="A4105" s="0" t="s">
        <v>261</v>
      </c>
      <c r="B4105" s="52" t="n">
        <v>44341</v>
      </c>
      <c r="C4105" s="54" t="s">
        <v>591</v>
      </c>
      <c r="D4105" s="0" t="n">
        <v>0.0342494523624412</v>
      </c>
      <c r="E4105" s="0" t="n">
        <v>0.213578681947925</v>
      </c>
      <c r="F4105" s="0" t="n">
        <v>0</v>
      </c>
      <c r="G4105" s="0" t="n">
        <v>2021</v>
      </c>
    </row>
    <row r="4106" customFormat="false" ht="15" hidden="false" customHeight="false" outlineLevel="0" collapsed="false">
      <c r="A4106" s="0" t="s">
        <v>261</v>
      </c>
      <c r="B4106" s="52" t="n">
        <v>44341</v>
      </c>
      <c r="C4106" s="54" t="s">
        <v>592</v>
      </c>
      <c r="D4106" s="0" t="n">
        <v>0.18057302756944</v>
      </c>
      <c r="E4106" s="0" t="n">
        <v>0.0485650675170216</v>
      </c>
      <c r="F4106" s="0" t="n">
        <v>0</v>
      </c>
      <c r="G4106" s="0" t="n">
        <v>2021</v>
      </c>
    </row>
    <row r="4107" customFormat="false" ht="15" hidden="false" customHeight="false" outlineLevel="0" collapsed="false">
      <c r="A4107" s="0" t="s">
        <v>261</v>
      </c>
      <c r="B4107" s="52" t="n">
        <v>44342</v>
      </c>
      <c r="C4107" s="54" t="s">
        <v>590</v>
      </c>
      <c r="D4107" s="0" t="n">
        <v>0.402181566022711</v>
      </c>
      <c r="E4107" s="0" t="n">
        <v>0.0253437367416293</v>
      </c>
      <c r="F4107" s="0" t="n">
        <v>0</v>
      </c>
      <c r="G4107" s="0" t="n">
        <v>2021</v>
      </c>
    </row>
    <row r="4108" customFormat="false" ht="15" hidden="false" customHeight="false" outlineLevel="0" collapsed="false">
      <c r="A4108" s="0" t="s">
        <v>261</v>
      </c>
      <c r="B4108" s="52" t="n">
        <v>44342</v>
      </c>
      <c r="C4108" s="54" t="s">
        <v>591</v>
      </c>
      <c r="D4108" s="0" t="n">
        <v>0.0110358757869403</v>
      </c>
      <c r="E4108" s="0" t="n">
        <v>0.401942561304905</v>
      </c>
      <c r="F4108" s="0" t="n">
        <v>0</v>
      </c>
      <c r="G4108" s="0" t="n">
        <v>2021</v>
      </c>
    </row>
    <row r="4109" customFormat="false" ht="15" hidden="false" customHeight="false" outlineLevel="0" collapsed="false">
      <c r="A4109" s="0" t="s">
        <v>261</v>
      </c>
      <c r="B4109" s="52" t="n">
        <v>44342</v>
      </c>
      <c r="C4109" s="54" t="s">
        <v>592</v>
      </c>
      <c r="D4109" s="0" t="n">
        <v>0.176235792485436</v>
      </c>
      <c r="E4109" s="0" t="n">
        <v>0.0223634772392895</v>
      </c>
      <c r="F4109" s="0" t="n">
        <v>0</v>
      </c>
      <c r="G4109" s="0" t="n">
        <v>2021</v>
      </c>
    </row>
    <row r="4110" customFormat="false" ht="15" hidden="false" customHeight="false" outlineLevel="0" collapsed="false">
      <c r="A4110" s="0" t="s">
        <v>261</v>
      </c>
      <c r="B4110" s="52" t="n">
        <v>44343</v>
      </c>
      <c r="C4110" s="54" t="s">
        <v>590</v>
      </c>
      <c r="D4110" s="0" t="n">
        <v>0.248720452167121</v>
      </c>
      <c r="E4110" s="0" t="n">
        <v>0.1336271296377</v>
      </c>
      <c r="F4110" s="0" t="n">
        <v>0</v>
      </c>
      <c r="G4110" s="0" t="n">
        <v>2021</v>
      </c>
    </row>
    <row r="4111" customFormat="false" ht="15" hidden="false" customHeight="false" outlineLevel="0" collapsed="false">
      <c r="A4111" s="0" t="s">
        <v>261</v>
      </c>
      <c r="B4111" s="52" t="n">
        <v>44343</v>
      </c>
      <c r="C4111" s="54" t="s">
        <v>591</v>
      </c>
      <c r="D4111" s="0" t="n">
        <v>0.0066006643748113</v>
      </c>
      <c r="E4111" s="0" t="n">
        <v>0.0471153001086487</v>
      </c>
      <c r="F4111" s="0" t="n">
        <v>0</v>
      </c>
      <c r="G4111" s="0" t="n">
        <v>2021</v>
      </c>
    </row>
    <row r="4112" customFormat="false" ht="15" hidden="false" customHeight="false" outlineLevel="0" collapsed="false">
      <c r="A4112" s="0" t="s">
        <v>261</v>
      </c>
      <c r="B4112" s="52" t="n">
        <v>44343</v>
      </c>
      <c r="C4112" s="54" t="s">
        <v>592</v>
      </c>
      <c r="D4112" s="0" t="n">
        <v>0.192411856768068</v>
      </c>
      <c r="E4112" s="0" t="n">
        <v>0.0941932565465994</v>
      </c>
      <c r="F4112" s="0" t="n">
        <v>0</v>
      </c>
      <c r="G4112" s="0" t="n">
        <v>2021</v>
      </c>
    </row>
    <row r="4113" customFormat="false" ht="15" hidden="false" customHeight="false" outlineLevel="0" collapsed="false">
      <c r="A4113" s="0" t="s">
        <v>261</v>
      </c>
      <c r="B4113" s="52" t="n">
        <v>44344</v>
      </c>
      <c r="C4113" s="54" t="s">
        <v>590</v>
      </c>
      <c r="D4113" s="0" t="n">
        <v>0.196366349913353</v>
      </c>
      <c r="E4113" s="0" t="n">
        <v>0.131586468393678</v>
      </c>
      <c r="F4113" s="0" t="n">
        <v>0</v>
      </c>
      <c r="G4113" s="0" t="n">
        <v>2021</v>
      </c>
    </row>
    <row r="4114" customFormat="false" ht="15" hidden="false" customHeight="false" outlineLevel="0" collapsed="false">
      <c r="A4114" s="0" t="s">
        <v>261</v>
      </c>
      <c r="B4114" s="52" t="n">
        <v>44344</v>
      </c>
      <c r="C4114" s="54" t="s">
        <v>591</v>
      </c>
      <c r="D4114" s="0" t="n">
        <v>0.0375605373780484</v>
      </c>
      <c r="E4114" s="0" t="n">
        <v>0.187761513093578</v>
      </c>
      <c r="F4114" s="0" t="n">
        <v>0</v>
      </c>
      <c r="G4114" s="0" t="n">
        <v>2021</v>
      </c>
    </row>
    <row r="4115" customFormat="false" ht="15" hidden="false" customHeight="false" outlineLevel="0" collapsed="false">
      <c r="A4115" s="0" t="s">
        <v>261</v>
      </c>
      <c r="B4115" s="52" t="n">
        <v>44344</v>
      </c>
      <c r="C4115" s="54" t="s">
        <v>592</v>
      </c>
      <c r="D4115" s="0" t="n">
        <v>0.246954163208479</v>
      </c>
      <c r="E4115" s="0" t="n">
        <v>0.0606401610632795</v>
      </c>
      <c r="F4115" s="0" t="n">
        <v>0</v>
      </c>
      <c r="G4115" s="0" t="n">
        <v>2021</v>
      </c>
    </row>
    <row r="4116" customFormat="false" ht="15" hidden="false" customHeight="false" outlineLevel="0" collapsed="false">
      <c r="A4116" s="0" t="s">
        <v>261</v>
      </c>
      <c r="B4116" s="52" t="n">
        <v>44345</v>
      </c>
      <c r="C4116" s="54" t="s">
        <v>590</v>
      </c>
      <c r="D4116" s="0" t="n">
        <v>0.0410934937874349</v>
      </c>
      <c r="E4116" s="0" t="n">
        <v>0.16006426778332</v>
      </c>
      <c r="F4116" s="0" t="n">
        <v>1</v>
      </c>
      <c r="G4116" s="0" t="n">
        <v>2021</v>
      </c>
    </row>
    <row r="4117" customFormat="false" ht="15" hidden="false" customHeight="false" outlineLevel="0" collapsed="false">
      <c r="A4117" s="0" t="s">
        <v>261</v>
      </c>
      <c r="B4117" s="52" t="n">
        <v>44345</v>
      </c>
      <c r="C4117" s="54" t="s">
        <v>591</v>
      </c>
      <c r="D4117" s="0" t="n">
        <v>0.0876136206698683</v>
      </c>
      <c r="E4117" s="0" t="n">
        <v>0.173204396745831</v>
      </c>
      <c r="F4117" s="0" t="n">
        <v>1</v>
      </c>
      <c r="G4117" s="0" t="n">
        <v>2021</v>
      </c>
    </row>
    <row r="4118" customFormat="false" ht="15" hidden="false" customHeight="false" outlineLevel="0" collapsed="false">
      <c r="A4118" s="0" t="s">
        <v>261</v>
      </c>
      <c r="B4118" s="52" t="n">
        <v>44345</v>
      </c>
      <c r="C4118" s="54" t="s">
        <v>592</v>
      </c>
      <c r="D4118" s="0" t="n">
        <v>0.223650677024641</v>
      </c>
      <c r="E4118" s="0" t="n">
        <v>0.0833167849172357</v>
      </c>
      <c r="F4118" s="0" t="n">
        <v>1</v>
      </c>
      <c r="G4118" s="0" t="n">
        <v>2021</v>
      </c>
    </row>
    <row r="4119" customFormat="false" ht="15" hidden="false" customHeight="false" outlineLevel="0" collapsed="false">
      <c r="A4119" s="0" t="s">
        <v>261</v>
      </c>
      <c r="B4119" s="52" t="n">
        <v>44346</v>
      </c>
      <c r="C4119" s="54" t="s">
        <v>591</v>
      </c>
      <c r="D4119" s="0" t="n">
        <v>0.990747227092436</v>
      </c>
      <c r="E4119" s="0" t="n">
        <v>0</v>
      </c>
      <c r="F4119" s="0" t="n">
        <v>1</v>
      </c>
      <c r="G4119" s="0" t="n">
        <v>2021</v>
      </c>
    </row>
    <row r="4120" customFormat="false" ht="15" hidden="false" customHeight="false" outlineLevel="0" collapsed="false">
      <c r="A4120" s="0" t="s">
        <v>261</v>
      </c>
      <c r="B4120" s="52" t="n">
        <v>44347</v>
      </c>
      <c r="C4120" s="54" t="s">
        <v>590</v>
      </c>
      <c r="D4120" s="0" t="n">
        <v>0.051895524155093</v>
      </c>
      <c r="E4120" s="0" t="n">
        <v>0.0182637509930469</v>
      </c>
      <c r="F4120" s="0" t="n">
        <v>0</v>
      </c>
      <c r="G4120" s="0" t="n">
        <v>2021</v>
      </c>
    </row>
    <row r="4121" customFormat="false" ht="15" hidden="false" customHeight="false" outlineLevel="0" collapsed="false">
      <c r="A4121" s="0" t="s">
        <v>261</v>
      </c>
      <c r="B4121" s="52" t="n">
        <v>44347</v>
      </c>
      <c r="C4121" s="54" t="s">
        <v>591</v>
      </c>
      <c r="D4121" s="0" t="n">
        <v>0.0620450322683698</v>
      </c>
      <c r="E4121" s="0" t="n">
        <v>0.0574813801566028</v>
      </c>
      <c r="F4121" s="0" t="n">
        <v>0</v>
      </c>
      <c r="G4121" s="0" t="n">
        <v>2021</v>
      </c>
    </row>
    <row r="4122" customFormat="false" ht="15" hidden="false" customHeight="false" outlineLevel="0" collapsed="false">
      <c r="A4122" s="0" t="s">
        <v>261</v>
      </c>
      <c r="B4122" s="52" t="n">
        <v>44347</v>
      </c>
      <c r="C4122" s="54" t="s">
        <v>592</v>
      </c>
      <c r="D4122" s="0" t="n">
        <v>0.305575639021672</v>
      </c>
      <c r="E4122" s="0" t="n">
        <v>0.0332742293771671</v>
      </c>
      <c r="F4122" s="0" t="n">
        <v>0</v>
      </c>
      <c r="G4122" s="0" t="n">
        <v>2021</v>
      </c>
    </row>
    <row r="4123" customFormat="false" ht="15" hidden="false" customHeight="false" outlineLevel="0" collapsed="false">
      <c r="A4123" s="0" t="s">
        <v>261</v>
      </c>
      <c r="B4123" s="52" t="n">
        <v>44348</v>
      </c>
      <c r="C4123" s="54" t="s">
        <v>590</v>
      </c>
      <c r="D4123" s="0" t="n">
        <v>0.318004187529935</v>
      </c>
      <c r="E4123" s="0" t="n">
        <v>0.0046826527988523</v>
      </c>
      <c r="F4123" s="0" t="n">
        <v>0</v>
      </c>
      <c r="G4123" s="0" t="n">
        <v>2021</v>
      </c>
    </row>
    <row r="4124" customFormat="false" ht="15" hidden="false" customHeight="false" outlineLevel="0" collapsed="false">
      <c r="A4124" s="0" t="s">
        <v>261</v>
      </c>
      <c r="B4124" s="52" t="n">
        <v>44348</v>
      </c>
      <c r="C4124" s="54" t="s">
        <v>591</v>
      </c>
      <c r="D4124" s="0" t="n">
        <v>0</v>
      </c>
      <c r="E4124" s="0" t="n">
        <v>0.065573719825192</v>
      </c>
      <c r="F4124" s="0" t="n">
        <v>0</v>
      </c>
      <c r="G4124" s="0" t="n">
        <v>2021</v>
      </c>
    </row>
    <row r="4125" customFormat="false" ht="15" hidden="false" customHeight="false" outlineLevel="0" collapsed="false">
      <c r="A4125" s="0" t="s">
        <v>261</v>
      </c>
      <c r="B4125" s="52" t="n">
        <v>44348</v>
      </c>
      <c r="C4125" s="54" t="s">
        <v>592</v>
      </c>
      <c r="D4125" s="0" t="n">
        <v>0.255471985207317</v>
      </c>
      <c r="E4125" s="0" t="n">
        <v>0.0332309955591289</v>
      </c>
      <c r="F4125" s="0" t="n">
        <v>0</v>
      </c>
      <c r="G4125" s="0" t="n">
        <v>2021</v>
      </c>
    </row>
    <row r="4126" customFormat="false" ht="15" hidden="false" customHeight="false" outlineLevel="0" collapsed="false">
      <c r="A4126" s="0" t="s">
        <v>261</v>
      </c>
      <c r="B4126" s="52" t="n">
        <v>44349</v>
      </c>
      <c r="C4126" s="54" t="s">
        <v>590</v>
      </c>
      <c r="D4126" s="0" t="n">
        <v>0.546080457677965</v>
      </c>
      <c r="E4126" s="0" t="n">
        <v>0.0086959646906549</v>
      </c>
      <c r="F4126" s="0" t="n">
        <v>0</v>
      </c>
      <c r="G4126" s="0" t="n">
        <v>2021</v>
      </c>
    </row>
    <row r="4127" customFormat="false" ht="15" hidden="false" customHeight="false" outlineLevel="0" collapsed="false">
      <c r="A4127" s="0" t="s">
        <v>261</v>
      </c>
      <c r="B4127" s="52" t="n">
        <v>44349</v>
      </c>
      <c r="C4127" s="54" t="s">
        <v>591</v>
      </c>
      <c r="D4127" s="0" t="n">
        <v>0.0027416126687811</v>
      </c>
      <c r="E4127" s="0" t="n">
        <v>0.178064876823703</v>
      </c>
      <c r="F4127" s="0" t="n">
        <v>0</v>
      </c>
      <c r="G4127" s="0" t="n">
        <v>2021</v>
      </c>
    </row>
    <row r="4128" customFormat="false" ht="15" hidden="false" customHeight="false" outlineLevel="0" collapsed="false">
      <c r="A4128" s="0" t="s">
        <v>261</v>
      </c>
      <c r="B4128" s="52" t="n">
        <v>44349</v>
      </c>
      <c r="C4128" s="54" t="s">
        <v>592</v>
      </c>
      <c r="D4128" s="0" t="n">
        <v>0.312649057443317</v>
      </c>
      <c r="E4128" s="0" t="n">
        <v>0.0251453684293242</v>
      </c>
      <c r="F4128" s="0" t="n">
        <v>0</v>
      </c>
      <c r="G4128" s="0" t="n">
        <v>2021</v>
      </c>
    </row>
    <row r="4129" customFormat="false" ht="15" hidden="false" customHeight="false" outlineLevel="0" collapsed="false">
      <c r="A4129" s="0" t="s">
        <v>261</v>
      </c>
      <c r="B4129" s="52" t="n">
        <v>44350</v>
      </c>
      <c r="C4129" s="54" t="s">
        <v>590</v>
      </c>
      <c r="D4129" s="0" t="n">
        <v>0.543967924590326</v>
      </c>
      <c r="E4129" s="0" t="n">
        <v>0.0321788349961374</v>
      </c>
      <c r="F4129" s="0" t="n">
        <v>0</v>
      </c>
      <c r="G4129" s="0" t="n">
        <v>2021</v>
      </c>
    </row>
    <row r="4130" customFormat="false" ht="15" hidden="false" customHeight="false" outlineLevel="0" collapsed="false">
      <c r="A4130" s="0" t="s">
        <v>261</v>
      </c>
      <c r="B4130" s="52" t="n">
        <v>44350</v>
      </c>
      <c r="C4130" s="54" t="s">
        <v>591</v>
      </c>
      <c r="D4130" s="0" t="n">
        <v>0.147719833296228</v>
      </c>
      <c r="E4130" s="0" t="n">
        <v>0.182625946044703</v>
      </c>
      <c r="F4130" s="0" t="n">
        <v>0</v>
      </c>
      <c r="G4130" s="0" t="n">
        <v>2021</v>
      </c>
    </row>
    <row r="4131" customFormat="false" ht="15" hidden="false" customHeight="false" outlineLevel="0" collapsed="false">
      <c r="A4131" s="0" t="s">
        <v>261</v>
      </c>
      <c r="B4131" s="52" t="n">
        <v>44350</v>
      </c>
      <c r="C4131" s="54" t="s">
        <v>592</v>
      </c>
      <c r="D4131" s="0" t="n">
        <v>0.192571582349883</v>
      </c>
      <c r="E4131" s="0" t="n">
        <v>0.0066156424666953</v>
      </c>
      <c r="F4131" s="0" t="n">
        <v>0</v>
      </c>
      <c r="G4131" s="0" t="n">
        <v>2021</v>
      </c>
    </row>
    <row r="4132" customFormat="false" ht="15" hidden="false" customHeight="false" outlineLevel="0" collapsed="false">
      <c r="A4132" s="0" t="s">
        <v>261</v>
      </c>
      <c r="B4132" s="52" t="n">
        <v>44351</v>
      </c>
      <c r="C4132" s="54" t="s">
        <v>590</v>
      </c>
      <c r="D4132" s="0" t="n">
        <v>0.575655900018372</v>
      </c>
      <c r="E4132" s="0" t="n">
        <v>0.0110611938896045</v>
      </c>
      <c r="F4132" s="0" t="n">
        <v>0</v>
      </c>
      <c r="G4132" s="0" t="n">
        <v>2021</v>
      </c>
    </row>
    <row r="4133" customFormat="false" ht="15" hidden="false" customHeight="false" outlineLevel="0" collapsed="false">
      <c r="A4133" s="0" t="s">
        <v>261</v>
      </c>
      <c r="B4133" s="52" t="n">
        <v>44351</v>
      </c>
      <c r="C4133" s="54" t="s">
        <v>591</v>
      </c>
      <c r="D4133" s="0" t="n">
        <v>0.10948489418602</v>
      </c>
      <c r="E4133" s="0" t="n">
        <v>0.066936922990327</v>
      </c>
      <c r="F4133" s="0" t="n">
        <v>0</v>
      </c>
      <c r="G4133" s="0" t="n">
        <v>2021</v>
      </c>
    </row>
    <row r="4134" customFormat="false" ht="15" hidden="false" customHeight="false" outlineLevel="0" collapsed="false">
      <c r="A4134" s="0" t="s">
        <v>261</v>
      </c>
      <c r="B4134" s="52" t="n">
        <v>44351</v>
      </c>
      <c r="C4134" s="54" t="s">
        <v>592</v>
      </c>
      <c r="D4134" s="0" t="n">
        <v>0.256445396805256</v>
      </c>
      <c r="E4134" s="0" t="n">
        <v>0.0263351072133263</v>
      </c>
      <c r="F4134" s="0" t="n">
        <v>0</v>
      </c>
      <c r="G4134" s="0" t="n">
        <v>2021</v>
      </c>
    </row>
    <row r="4135" customFormat="false" ht="15" hidden="false" customHeight="false" outlineLevel="0" collapsed="false">
      <c r="A4135" s="0" t="s">
        <v>261</v>
      </c>
      <c r="B4135" s="52" t="n">
        <v>44352</v>
      </c>
      <c r="C4135" s="54" t="s">
        <v>590</v>
      </c>
      <c r="D4135" s="0" t="n">
        <v>0.588020688599398</v>
      </c>
      <c r="E4135" s="0" t="n">
        <v>0</v>
      </c>
      <c r="F4135" s="0" t="n">
        <v>1</v>
      </c>
      <c r="G4135" s="0" t="n">
        <v>2021</v>
      </c>
    </row>
    <row r="4136" customFormat="false" ht="15" hidden="false" customHeight="false" outlineLevel="0" collapsed="false">
      <c r="A4136" s="0" t="s">
        <v>261</v>
      </c>
      <c r="B4136" s="52" t="n">
        <v>44352</v>
      </c>
      <c r="C4136" s="54" t="s">
        <v>591</v>
      </c>
      <c r="D4136" s="0" t="n">
        <v>0.0058557862857511</v>
      </c>
      <c r="E4136" s="0" t="n">
        <v>0.0247274855110711</v>
      </c>
      <c r="F4136" s="0" t="n">
        <v>1</v>
      </c>
      <c r="G4136" s="0" t="n">
        <v>2021</v>
      </c>
    </row>
    <row r="4137" customFormat="false" ht="15" hidden="false" customHeight="false" outlineLevel="0" collapsed="false">
      <c r="A4137" s="0" t="s">
        <v>261</v>
      </c>
      <c r="B4137" s="52" t="n">
        <v>44352</v>
      </c>
      <c r="C4137" s="54" t="s">
        <v>592</v>
      </c>
      <c r="D4137" s="0" t="n">
        <v>0.223418277858212</v>
      </c>
      <c r="E4137" s="0" t="n">
        <v>0.0235439872169237</v>
      </c>
      <c r="F4137" s="0" t="n">
        <v>1</v>
      </c>
      <c r="G4137" s="0" t="n">
        <v>2021</v>
      </c>
    </row>
    <row r="4138" customFormat="false" ht="15" hidden="false" customHeight="false" outlineLevel="0" collapsed="false">
      <c r="A4138" s="0" t="s">
        <v>261</v>
      </c>
      <c r="B4138" s="52" t="n">
        <v>44353</v>
      </c>
      <c r="C4138" s="54" t="s">
        <v>590</v>
      </c>
      <c r="D4138" s="0" t="n">
        <v>1</v>
      </c>
      <c r="E4138" s="0" t="n">
        <v>0</v>
      </c>
      <c r="F4138" s="0" t="n">
        <v>1</v>
      </c>
      <c r="G4138" s="0" t="n">
        <v>2021</v>
      </c>
    </row>
    <row r="4139" customFormat="false" ht="15" hidden="false" customHeight="false" outlineLevel="0" collapsed="false">
      <c r="A4139" s="0" t="s">
        <v>261</v>
      </c>
      <c r="B4139" s="52" t="n">
        <v>44354</v>
      </c>
      <c r="C4139" s="54" t="s">
        <v>590</v>
      </c>
      <c r="D4139" s="0" t="n">
        <v>0.446170439809494</v>
      </c>
      <c r="E4139" s="0" t="n">
        <v>0.0304604029319065</v>
      </c>
      <c r="F4139" s="0" t="n">
        <v>0</v>
      </c>
      <c r="G4139" s="0" t="n">
        <v>2021</v>
      </c>
    </row>
    <row r="4140" customFormat="false" ht="15" hidden="false" customHeight="false" outlineLevel="0" collapsed="false">
      <c r="A4140" s="0" t="s">
        <v>261</v>
      </c>
      <c r="B4140" s="52" t="n">
        <v>44354</v>
      </c>
      <c r="C4140" s="54" t="s">
        <v>591</v>
      </c>
      <c r="D4140" s="0" t="n">
        <v>0.0026601092267897</v>
      </c>
      <c r="E4140" s="0" t="n">
        <v>0.0277334783210377</v>
      </c>
      <c r="F4140" s="0" t="n">
        <v>0</v>
      </c>
      <c r="G4140" s="0" t="n">
        <v>2021</v>
      </c>
    </row>
    <row r="4141" customFormat="false" ht="15" hidden="false" customHeight="false" outlineLevel="0" collapsed="false">
      <c r="A4141" s="0" t="s">
        <v>261</v>
      </c>
      <c r="B4141" s="52" t="n">
        <v>44354</v>
      </c>
      <c r="C4141" s="54" t="s">
        <v>592</v>
      </c>
      <c r="D4141" s="0" t="n">
        <v>0.942966368566001</v>
      </c>
      <c r="E4141" s="0" t="n">
        <v>0.0448162365723022</v>
      </c>
      <c r="F4141" s="0" t="n">
        <v>0</v>
      </c>
      <c r="G4141" s="0" t="n">
        <v>2021</v>
      </c>
    </row>
    <row r="4142" customFormat="false" ht="15" hidden="false" customHeight="false" outlineLevel="0" collapsed="false">
      <c r="A4142" s="0" t="s">
        <v>261</v>
      </c>
      <c r="B4142" s="52" t="n">
        <v>44355</v>
      </c>
      <c r="C4142" s="54" t="s">
        <v>590</v>
      </c>
      <c r="D4142" s="0" t="n">
        <v>0.516994006910713</v>
      </c>
      <c r="E4142" s="0" t="n">
        <v>0.0256090007939108</v>
      </c>
      <c r="F4142" s="0" t="n">
        <v>0</v>
      </c>
      <c r="G4142" s="0" t="n">
        <v>2021</v>
      </c>
    </row>
    <row r="4143" customFormat="false" ht="15" hidden="false" customHeight="false" outlineLevel="0" collapsed="false">
      <c r="A4143" s="0" t="s">
        <v>261</v>
      </c>
      <c r="B4143" s="52" t="n">
        <v>44355</v>
      </c>
      <c r="C4143" s="54" t="s">
        <v>591</v>
      </c>
      <c r="D4143" s="0" t="n">
        <v>0.132763606695572</v>
      </c>
      <c r="E4143" s="0" t="n">
        <v>0.0115078341372301</v>
      </c>
      <c r="F4143" s="0" t="n">
        <v>0</v>
      </c>
      <c r="G4143" s="0" t="n">
        <v>2021</v>
      </c>
    </row>
    <row r="4144" customFormat="false" ht="15" hidden="false" customHeight="false" outlineLevel="0" collapsed="false">
      <c r="A4144" s="0" t="s">
        <v>261</v>
      </c>
      <c r="B4144" s="52" t="n">
        <v>44355</v>
      </c>
      <c r="C4144" s="54" t="s">
        <v>592</v>
      </c>
      <c r="D4144" s="0" t="n">
        <v>0.04774372118526</v>
      </c>
      <c r="E4144" s="0" t="n">
        <v>0.170760006124863</v>
      </c>
      <c r="F4144" s="0" t="n">
        <v>0</v>
      </c>
      <c r="G4144" s="0" t="n">
        <v>2021</v>
      </c>
    </row>
    <row r="4145" customFormat="false" ht="15" hidden="false" customHeight="false" outlineLevel="0" collapsed="false">
      <c r="A4145" s="0" t="s">
        <v>261</v>
      </c>
      <c r="B4145" s="52" t="n">
        <v>44356</v>
      </c>
      <c r="C4145" s="54" t="s">
        <v>590</v>
      </c>
      <c r="D4145" s="0" t="n">
        <v>0.5173783154175</v>
      </c>
      <c r="E4145" s="0" t="n">
        <v>0.0102036556630862</v>
      </c>
      <c r="F4145" s="0" t="n">
        <v>0</v>
      </c>
      <c r="G4145" s="0" t="n">
        <v>2021</v>
      </c>
    </row>
    <row r="4146" customFormat="false" ht="15" hidden="false" customHeight="false" outlineLevel="0" collapsed="false">
      <c r="A4146" s="0" t="s">
        <v>261</v>
      </c>
      <c r="B4146" s="52" t="n">
        <v>44356</v>
      </c>
      <c r="C4146" s="54" t="s">
        <v>591</v>
      </c>
      <c r="D4146" s="0" t="n">
        <v>0.0014719083424242</v>
      </c>
      <c r="E4146" s="0" t="n">
        <v>0.0377575104368249</v>
      </c>
      <c r="F4146" s="0" t="n">
        <v>0</v>
      </c>
      <c r="G4146" s="0" t="n">
        <v>2021</v>
      </c>
    </row>
    <row r="4147" customFormat="false" ht="15" hidden="false" customHeight="false" outlineLevel="0" collapsed="false">
      <c r="A4147" s="0" t="s">
        <v>261</v>
      </c>
      <c r="B4147" s="52" t="n">
        <v>44356</v>
      </c>
      <c r="C4147" s="54" t="s">
        <v>592</v>
      </c>
      <c r="D4147" s="0" t="n">
        <v>0.178153756309083</v>
      </c>
      <c r="E4147" s="0" t="n">
        <v>0.0633508866651959</v>
      </c>
      <c r="F4147" s="0" t="n">
        <v>0</v>
      </c>
      <c r="G4147" s="0" t="n">
        <v>2021</v>
      </c>
    </row>
    <row r="4148" customFormat="false" ht="15" hidden="false" customHeight="false" outlineLevel="0" collapsed="false">
      <c r="A4148" s="0" t="s">
        <v>261</v>
      </c>
      <c r="B4148" s="52" t="n">
        <v>44357</v>
      </c>
      <c r="C4148" s="54" t="s">
        <v>590</v>
      </c>
      <c r="D4148" s="0" t="n">
        <v>0.411162346848499</v>
      </c>
      <c r="E4148" s="0" t="n">
        <v>0.0022277596823264</v>
      </c>
      <c r="F4148" s="0" t="n">
        <v>0</v>
      </c>
      <c r="G4148" s="0" t="n">
        <v>2021</v>
      </c>
    </row>
    <row r="4149" customFormat="false" ht="15" hidden="false" customHeight="false" outlineLevel="0" collapsed="false">
      <c r="A4149" s="0" t="s">
        <v>261</v>
      </c>
      <c r="B4149" s="52" t="n">
        <v>44357</v>
      </c>
      <c r="C4149" s="54" t="s">
        <v>591</v>
      </c>
      <c r="D4149" s="0" t="n">
        <v>0.0522234854962564</v>
      </c>
      <c r="E4149" s="0" t="n">
        <v>0.0422691872097502</v>
      </c>
      <c r="F4149" s="0" t="n">
        <v>0</v>
      </c>
      <c r="G4149" s="0" t="n">
        <v>2021</v>
      </c>
    </row>
    <row r="4150" customFormat="false" ht="15" hidden="false" customHeight="false" outlineLevel="0" collapsed="false">
      <c r="A4150" s="0" t="s">
        <v>261</v>
      </c>
      <c r="B4150" s="52" t="n">
        <v>44357</v>
      </c>
      <c r="C4150" s="54" t="s">
        <v>592</v>
      </c>
      <c r="D4150" s="0" t="n">
        <v>0</v>
      </c>
      <c r="E4150" s="0" t="n">
        <v>0.0915242405245225</v>
      </c>
      <c r="F4150" s="0" t="n">
        <v>0</v>
      </c>
      <c r="G4150" s="0" t="n">
        <v>2021</v>
      </c>
    </row>
    <row r="4151" customFormat="false" ht="15" hidden="false" customHeight="false" outlineLevel="0" collapsed="false">
      <c r="A4151" s="0" t="s">
        <v>261</v>
      </c>
      <c r="B4151" s="52" t="n">
        <v>44358</v>
      </c>
      <c r="C4151" s="54" t="s">
        <v>590</v>
      </c>
      <c r="D4151" s="0" t="n">
        <v>0.432002225144998</v>
      </c>
      <c r="E4151" s="0" t="n">
        <v>0.0282208796383728</v>
      </c>
      <c r="F4151" s="0" t="n">
        <v>0</v>
      </c>
      <c r="G4151" s="0" t="n">
        <v>2021</v>
      </c>
    </row>
    <row r="4152" customFormat="false" ht="15" hidden="false" customHeight="false" outlineLevel="0" collapsed="false">
      <c r="A4152" s="0" t="s">
        <v>261</v>
      </c>
      <c r="B4152" s="52" t="n">
        <v>44358</v>
      </c>
      <c r="C4152" s="54" t="s">
        <v>591</v>
      </c>
      <c r="D4152" s="0" t="n">
        <v>0.0674912711997653</v>
      </c>
      <c r="E4152" s="0" t="n">
        <v>0.0490648511612264</v>
      </c>
      <c r="F4152" s="0" t="n">
        <v>0</v>
      </c>
      <c r="G4152" s="0" t="n">
        <v>2021</v>
      </c>
    </row>
    <row r="4153" customFormat="false" ht="15" hidden="false" customHeight="false" outlineLevel="0" collapsed="false">
      <c r="A4153" s="0" t="s">
        <v>261</v>
      </c>
      <c r="B4153" s="52" t="n">
        <v>44358</v>
      </c>
      <c r="C4153" s="54" t="s">
        <v>592</v>
      </c>
      <c r="D4153" s="0" t="n">
        <v>0.398099203447437</v>
      </c>
      <c r="E4153" s="0" t="n">
        <v>0.0122837251814607</v>
      </c>
      <c r="F4153" s="0" t="n">
        <v>0</v>
      </c>
      <c r="G4153" s="0" t="n">
        <v>2021</v>
      </c>
    </row>
    <row r="4154" customFormat="false" ht="15" hidden="false" customHeight="false" outlineLevel="0" collapsed="false">
      <c r="A4154" s="0" t="s">
        <v>261</v>
      </c>
      <c r="B4154" s="52" t="n">
        <v>44359</v>
      </c>
      <c r="C4154" s="54" t="s">
        <v>590</v>
      </c>
      <c r="D4154" s="0" t="n">
        <v>0.126567824497294</v>
      </c>
      <c r="E4154" s="0" t="n">
        <v>0</v>
      </c>
      <c r="F4154" s="0" t="n">
        <v>1</v>
      </c>
      <c r="G4154" s="0" t="n">
        <v>2021</v>
      </c>
    </row>
    <row r="4155" customFormat="false" ht="15" hidden="false" customHeight="false" outlineLevel="0" collapsed="false">
      <c r="A4155" s="0" t="s">
        <v>261</v>
      </c>
      <c r="B4155" s="52" t="n">
        <v>44359</v>
      </c>
      <c r="C4155" s="54" t="s">
        <v>591</v>
      </c>
      <c r="D4155" s="0" t="n">
        <v>0.0208358090820028</v>
      </c>
      <c r="E4155" s="0" t="n">
        <v>0.0191089905078119</v>
      </c>
      <c r="F4155" s="0" t="n">
        <v>1</v>
      </c>
      <c r="G4155" s="0" t="n">
        <v>2021</v>
      </c>
    </row>
    <row r="4156" customFormat="false" ht="15" hidden="false" customHeight="false" outlineLevel="0" collapsed="false">
      <c r="A4156" s="0" t="s">
        <v>261</v>
      </c>
      <c r="B4156" s="52" t="n">
        <v>44359</v>
      </c>
      <c r="C4156" s="54" t="s">
        <v>592</v>
      </c>
      <c r="D4156" s="0" t="n">
        <v>0.716659555668875</v>
      </c>
      <c r="E4156" s="0" t="n">
        <v>0.0519054121771634</v>
      </c>
      <c r="F4156" s="0" t="n">
        <v>1</v>
      </c>
      <c r="G4156" s="0" t="n">
        <v>2021</v>
      </c>
    </row>
    <row r="4157" customFormat="false" ht="15" hidden="false" customHeight="false" outlineLevel="0" collapsed="false">
      <c r="A4157" s="0" t="s">
        <v>261</v>
      </c>
      <c r="B4157" s="52" t="n">
        <v>44361</v>
      </c>
      <c r="C4157" s="54" t="s">
        <v>590</v>
      </c>
      <c r="D4157" s="0" t="n">
        <v>0.0340929232030638</v>
      </c>
      <c r="E4157" s="0" t="n">
        <v>0.0355571117347681</v>
      </c>
      <c r="F4157" s="0" t="n">
        <v>0</v>
      </c>
      <c r="G4157" s="0" t="n">
        <v>2021</v>
      </c>
    </row>
    <row r="4158" customFormat="false" ht="15" hidden="false" customHeight="false" outlineLevel="0" collapsed="false">
      <c r="A4158" s="0" t="s">
        <v>261</v>
      </c>
      <c r="B4158" s="52" t="n">
        <v>44361</v>
      </c>
      <c r="C4158" s="54" t="s">
        <v>591</v>
      </c>
      <c r="D4158" s="0" t="n">
        <v>0.0012150574600148</v>
      </c>
      <c r="E4158" s="0" t="n">
        <v>0.0296520693912026</v>
      </c>
      <c r="F4158" s="0" t="n">
        <v>0</v>
      </c>
      <c r="G4158" s="0" t="n">
        <v>2021</v>
      </c>
    </row>
    <row r="4159" customFormat="false" ht="15" hidden="false" customHeight="false" outlineLevel="0" collapsed="false">
      <c r="A4159" s="0" t="s">
        <v>261</v>
      </c>
      <c r="B4159" s="52" t="n">
        <v>44361</v>
      </c>
      <c r="C4159" s="54" t="s">
        <v>592</v>
      </c>
      <c r="D4159" s="0" t="n">
        <v>0.507708285456348</v>
      </c>
      <c r="E4159" s="0" t="n">
        <v>0.0328787737887064</v>
      </c>
      <c r="F4159" s="0" t="n">
        <v>0</v>
      </c>
      <c r="G4159" s="0" t="n">
        <v>2021</v>
      </c>
    </row>
    <row r="4160" customFormat="false" ht="15" hidden="false" customHeight="false" outlineLevel="0" collapsed="false">
      <c r="A4160" s="0" t="s">
        <v>261</v>
      </c>
      <c r="B4160" s="52" t="n">
        <v>44362</v>
      </c>
      <c r="C4160" s="54" t="s">
        <v>590</v>
      </c>
      <c r="D4160" s="0" t="n">
        <v>0.0940097568406224</v>
      </c>
      <c r="E4160" s="0" t="n">
        <v>0.023045094837998</v>
      </c>
      <c r="F4160" s="0" t="n">
        <v>0</v>
      </c>
      <c r="G4160" s="0" t="n">
        <v>2021</v>
      </c>
    </row>
    <row r="4161" customFormat="false" ht="15" hidden="false" customHeight="false" outlineLevel="0" collapsed="false">
      <c r="A4161" s="0" t="s">
        <v>261</v>
      </c>
      <c r="B4161" s="52" t="n">
        <v>44362</v>
      </c>
      <c r="C4161" s="54" t="s">
        <v>591</v>
      </c>
      <c r="D4161" s="0" t="n">
        <v>0.0349130267407718</v>
      </c>
      <c r="E4161" s="0" t="n">
        <v>0.0758549508163716</v>
      </c>
      <c r="F4161" s="0" t="n">
        <v>0</v>
      </c>
      <c r="G4161" s="0" t="n">
        <v>2021</v>
      </c>
    </row>
    <row r="4162" customFormat="false" ht="15" hidden="false" customHeight="false" outlineLevel="0" collapsed="false">
      <c r="A4162" s="0" t="s">
        <v>261</v>
      </c>
      <c r="B4162" s="52" t="n">
        <v>44362</v>
      </c>
      <c r="C4162" s="54" t="s">
        <v>592</v>
      </c>
      <c r="D4162" s="0" t="n">
        <v>0.196760872626456</v>
      </c>
      <c r="E4162" s="0" t="n">
        <v>0.0395051510263338</v>
      </c>
      <c r="F4162" s="0" t="n">
        <v>0</v>
      </c>
      <c r="G4162" s="0" t="n">
        <v>2021</v>
      </c>
    </row>
    <row r="4163" customFormat="false" ht="15" hidden="false" customHeight="false" outlineLevel="0" collapsed="false">
      <c r="A4163" s="0" t="s">
        <v>261</v>
      </c>
      <c r="B4163" s="52" t="n">
        <v>44363</v>
      </c>
      <c r="C4163" s="54" t="s">
        <v>590</v>
      </c>
      <c r="D4163" s="0" t="n">
        <v>0.114275525531295</v>
      </c>
      <c r="E4163" s="0" t="n">
        <v>0.0129383081436913</v>
      </c>
      <c r="F4163" s="0" t="n">
        <v>0</v>
      </c>
      <c r="G4163" s="0" t="n">
        <v>2021</v>
      </c>
    </row>
    <row r="4164" customFormat="false" ht="15" hidden="false" customHeight="false" outlineLevel="0" collapsed="false">
      <c r="A4164" s="0" t="s">
        <v>261</v>
      </c>
      <c r="B4164" s="52" t="n">
        <v>44363</v>
      </c>
      <c r="C4164" s="54" t="s">
        <v>591</v>
      </c>
      <c r="D4164" s="0" t="n">
        <v>0.309054489201012</v>
      </c>
      <c r="E4164" s="0" t="n">
        <v>0.0413995554037963</v>
      </c>
      <c r="F4164" s="0" t="n">
        <v>0</v>
      </c>
      <c r="G4164" s="0" t="n">
        <v>2021</v>
      </c>
    </row>
    <row r="4165" customFormat="false" ht="15" hidden="false" customHeight="false" outlineLevel="0" collapsed="false">
      <c r="A4165" s="0" t="s">
        <v>261</v>
      </c>
      <c r="B4165" s="52" t="n">
        <v>44363</v>
      </c>
      <c r="C4165" s="54" t="s">
        <v>592</v>
      </c>
      <c r="D4165" s="0" t="n">
        <v>0.0503987772620129</v>
      </c>
      <c r="E4165" s="0" t="n">
        <v>0.0342998866554869</v>
      </c>
      <c r="F4165" s="0" t="n">
        <v>0</v>
      </c>
      <c r="G4165" s="0" t="n">
        <v>2021</v>
      </c>
    </row>
    <row r="4166" customFormat="false" ht="15" hidden="false" customHeight="false" outlineLevel="0" collapsed="false">
      <c r="A4166" s="0" t="s">
        <v>261</v>
      </c>
      <c r="B4166" s="52" t="n">
        <v>44364</v>
      </c>
      <c r="C4166" s="54" t="s">
        <v>590</v>
      </c>
      <c r="D4166" s="0" t="n">
        <v>0.0269769746745203</v>
      </c>
      <c r="E4166" s="0" t="n">
        <v>0.0173419105612438</v>
      </c>
      <c r="F4166" s="0" t="n">
        <v>0</v>
      </c>
      <c r="G4166" s="0" t="n">
        <v>2021</v>
      </c>
    </row>
    <row r="4167" customFormat="false" ht="15" hidden="false" customHeight="false" outlineLevel="0" collapsed="false">
      <c r="A4167" s="0" t="s">
        <v>261</v>
      </c>
      <c r="B4167" s="52" t="n">
        <v>44364</v>
      </c>
      <c r="C4167" s="54" t="s">
        <v>591</v>
      </c>
      <c r="D4167" s="0" t="n">
        <v>0.236279000974927</v>
      </c>
      <c r="E4167" s="0" t="n">
        <v>0.061297855908603</v>
      </c>
      <c r="F4167" s="0" t="n">
        <v>0</v>
      </c>
      <c r="G4167" s="0" t="n">
        <v>2021</v>
      </c>
    </row>
    <row r="4168" customFormat="false" ht="15" hidden="false" customHeight="false" outlineLevel="0" collapsed="false">
      <c r="A4168" s="0" t="s">
        <v>261</v>
      </c>
      <c r="B4168" s="52" t="n">
        <v>44365</v>
      </c>
      <c r="C4168" s="54" t="s">
        <v>590</v>
      </c>
      <c r="D4168" s="0" t="n">
        <v>0.106433457371026</v>
      </c>
      <c r="E4168" s="0" t="n">
        <v>0.140654857740262</v>
      </c>
      <c r="F4168" s="0" t="n">
        <v>0</v>
      </c>
      <c r="G4168" s="0" t="n">
        <v>2021</v>
      </c>
    </row>
    <row r="4169" customFormat="false" ht="15" hidden="false" customHeight="false" outlineLevel="0" collapsed="false">
      <c r="A4169" s="0" t="s">
        <v>261</v>
      </c>
      <c r="B4169" s="52" t="n">
        <v>44365</v>
      </c>
      <c r="C4169" s="54" t="s">
        <v>591</v>
      </c>
      <c r="D4169" s="0" t="n">
        <v>0.185053140103025</v>
      </c>
      <c r="E4169" s="0" t="n">
        <v>0.11307155696623</v>
      </c>
      <c r="F4169" s="0" t="n">
        <v>0</v>
      </c>
      <c r="G4169" s="0" t="n">
        <v>2021</v>
      </c>
    </row>
    <row r="4170" customFormat="false" ht="15" hidden="false" customHeight="false" outlineLevel="0" collapsed="false">
      <c r="A4170" s="0" t="s">
        <v>261</v>
      </c>
      <c r="B4170" s="52" t="n">
        <v>44366</v>
      </c>
      <c r="C4170" s="54" t="s">
        <v>592</v>
      </c>
      <c r="D4170" s="0" t="n">
        <v>0.203668695422069</v>
      </c>
      <c r="E4170" s="0" t="n">
        <v>0.0719453660919657</v>
      </c>
      <c r="F4170" s="0" t="n">
        <v>1</v>
      </c>
      <c r="G4170" s="0" t="n">
        <v>2021</v>
      </c>
    </row>
    <row r="4171" customFormat="false" ht="15" hidden="false" customHeight="false" outlineLevel="0" collapsed="false">
      <c r="A4171" s="0" t="s">
        <v>261</v>
      </c>
      <c r="B4171" s="52" t="n">
        <v>44367</v>
      </c>
      <c r="C4171" s="54" t="s">
        <v>591</v>
      </c>
      <c r="D4171" s="0" t="n">
        <v>1</v>
      </c>
      <c r="E4171" s="0" t="n">
        <v>0</v>
      </c>
      <c r="F4171" s="0" t="n">
        <v>1</v>
      </c>
      <c r="G4171" s="0" t="n">
        <v>2021</v>
      </c>
    </row>
    <row r="4172" customFormat="false" ht="15" hidden="false" customHeight="false" outlineLevel="0" collapsed="false">
      <c r="A4172" s="0" t="s">
        <v>261</v>
      </c>
      <c r="B4172" s="52" t="n">
        <v>44368</v>
      </c>
      <c r="C4172" s="54" t="s">
        <v>590</v>
      </c>
      <c r="D4172" s="0" t="n">
        <v>0.179784463409285</v>
      </c>
      <c r="E4172" s="0" t="n">
        <v>0.011280098197546</v>
      </c>
      <c r="F4172" s="0" t="n">
        <v>0</v>
      </c>
      <c r="G4172" s="0" t="n">
        <v>2021</v>
      </c>
    </row>
    <row r="4173" customFormat="false" ht="15" hidden="false" customHeight="false" outlineLevel="0" collapsed="false">
      <c r="A4173" s="0" t="s">
        <v>261</v>
      </c>
      <c r="B4173" s="52" t="n">
        <v>44368</v>
      </c>
      <c r="C4173" s="54" t="s">
        <v>591</v>
      </c>
      <c r="D4173" s="0" t="n">
        <v>0.010805446722037</v>
      </c>
      <c r="E4173" s="0" t="n">
        <v>0.0467729942346031</v>
      </c>
      <c r="F4173" s="0" t="n">
        <v>0</v>
      </c>
      <c r="G4173" s="0" t="n">
        <v>2021</v>
      </c>
    </row>
    <row r="4174" customFormat="false" ht="15" hidden="false" customHeight="false" outlineLevel="0" collapsed="false">
      <c r="A4174" s="0" t="s">
        <v>261</v>
      </c>
      <c r="B4174" s="52" t="n">
        <v>44368</v>
      </c>
      <c r="C4174" s="54" t="s">
        <v>592</v>
      </c>
      <c r="D4174" s="0" t="n">
        <v>0.312237923417709</v>
      </c>
      <c r="E4174" s="0" t="n">
        <v>0.0922672653418741</v>
      </c>
      <c r="F4174" s="0" t="n">
        <v>0</v>
      </c>
      <c r="G4174" s="0" t="n">
        <v>2021</v>
      </c>
    </row>
    <row r="4175" customFormat="false" ht="15" hidden="false" customHeight="false" outlineLevel="0" collapsed="false">
      <c r="A4175" s="0" t="s">
        <v>261</v>
      </c>
      <c r="B4175" s="52" t="n">
        <v>44369</v>
      </c>
      <c r="C4175" s="54" t="s">
        <v>590</v>
      </c>
      <c r="D4175" s="0" t="n">
        <v>0.665717053851204</v>
      </c>
      <c r="E4175" s="0" t="n">
        <v>0.0301999409319842</v>
      </c>
      <c r="F4175" s="0" t="n">
        <v>0</v>
      </c>
      <c r="G4175" s="0" t="n">
        <v>2021</v>
      </c>
    </row>
    <row r="4176" customFormat="false" ht="15" hidden="false" customHeight="false" outlineLevel="0" collapsed="false">
      <c r="A4176" s="0" t="s">
        <v>261</v>
      </c>
      <c r="B4176" s="52" t="n">
        <v>44369</v>
      </c>
      <c r="C4176" s="54" t="s">
        <v>591</v>
      </c>
      <c r="D4176" s="0" t="n">
        <v>0.0186315146795054</v>
      </c>
      <c r="E4176" s="0" t="n">
        <v>0.091914871491356</v>
      </c>
      <c r="F4176" s="0" t="n">
        <v>0</v>
      </c>
      <c r="G4176" s="0" t="n">
        <v>2021</v>
      </c>
    </row>
    <row r="4177" customFormat="false" ht="15" hidden="false" customHeight="false" outlineLevel="0" collapsed="false">
      <c r="A4177" s="0" t="s">
        <v>261</v>
      </c>
      <c r="B4177" s="52" t="n">
        <v>44369</v>
      </c>
      <c r="C4177" s="54" t="s">
        <v>592</v>
      </c>
      <c r="D4177" s="0" t="n">
        <v>0.227280652737619</v>
      </c>
      <c r="E4177" s="0" t="n">
        <v>0.0854936482727236</v>
      </c>
      <c r="F4177" s="0" t="n">
        <v>0</v>
      </c>
      <c r="G4177" s="0" t="n">
        <v>2021</v>
      </c>
    </row>
    <row r="4178" customFormat="false" ht="15" hidden="false" customHeight="false" outlineLevel="0" collapsed="false">
      <c r="A4178" s="0" t="s">
        <v>261</v>
      </c>
      <c r="B4178" s="52" t="n">
        <v>44370</v>
      </c>
      <c r="C4178" s="54" t="s">
        <v>590</v>
      </c>
      <c r="D4178" s="0" t="n">
        <v>0.406379168350607</v>
      </c>
      <c r="E4178" s="0" t="n">
        <v>0.0149917746864457</v>
      </c>
      <c r="F4178" s="0" t="n">
        <v>0</v>
      </c>
      <c r="G4178" s="0" t="n">
        <v>2021</v>
      </c>
    </row>
    <row r="4179" customFormat="false" ht="15" hidden="false" customHeight="false" outlineLevel="0" collapsed="false">
      <c r="A4179" s="0" t="s">
        <v>261</v>
      </c>
      <c r="B4179" s="52" t="n">
        <v>44370</v>
      </c>
      <c r="C4179" s="54" t="s">
        <v>591</v>
      </c>
      <c r="D4179" s="0" t="n">
        <v>0.0056819317263083</v>
      </c>
      <c r="E4179" s="0" t="n">
        <v>0.0191829662500575</v>
      </c>
      <c r="F4179" s="0" t="n">
        <v>0</v>
      </c>
      <c r="G4179" s="0" t="n">
        <v>2021</v>
      </c>
    </row>
    <row r="4180" customFormat="false" ht="15" hidden="false" customHeight="false" outlineLevel="0" collapsed="false">
      <c r="A4180" s="0" t="s">
        <v>261</v>
      </c>
      <c r="B4180" s="52" t="n">
        <v>44370</v>
      </c>
      <c r="C4180" s="54" t="s">
        <v>592</v>
      </c>
      <c r="D4180" s="0" t="n">
        <v>0.233877327130029</v>
      </c>
      <c r="E4180" s="0" t="n">
        <v>0.0511127086520091</v>
      </c>
      <c r="F4180" s="0" t="n">
        <v>0</v>
      </c>
      <c r="G4180" s="0" t="n">
        <v>2021</v>
      </c>
    </row>
    <row r="4181" customFormat="false" ht="15" hidden="false" customHeight="false" outlineLevel="0" collapsed="false">
      <c r="A4181" s="0" t="s">
        <v>261</v>
      </c>
      <c r="B4181" s="52" t="n">
        <v>44371</v>
      </c>
      <c r="C4181" s="54" t="s">
        <v>590</v>
      </c>
      <c r="D4181" s="0" t="n">
        <v>0.0575326377912943</v>
      </c>
      <c r="E4181" s="0" t="n">
        <v>0.009194317305885</v>
      </c>
      <c r="F4181" s="0" t="n">
        <v>0</v>
      </c>
      <c r="G4181" s="0" t="n">
        <v>2021</v>
      </c>
    </row>
    <row r="4182" customFormat="false" ht="15" hidden="false" customHeight="false" outlineLevel="0" collapsed="false">
      <c r="A4182" s="0" t="s">
        <v>261</v>
      </c>
      <c r="B4182" s="52" t="n">
        <v>44371</v>
      </c>
      <c r="C4182" s="54" t="s">
        <v>591</v>
      </c>
      <c r="D4182" s="0" t="n">
        <v>0.260813995858539</v>
      </c>
      <c r="E4182" s="0" t="n">
        <v>0.0258206103856103</v>
      </c>
      <c r="F4182" s="0" t="n">
        <v>0</v>
      </c>
      <c r="G4182" s="0" t="n">
        <v>2021</v>
      </c>
    </row>
    <row r="4183" customFormat="false" ht="15" hidden="false" customHeight="false" outlineLevel="0" collapsed="false">
      <c r="A4183" s="0" t="s">
        <v>261</v>
      </c>
      <c r="B4183" s="52" t="n">
        <v>44371</v>
      </c>
      <c r="C4183" s="54" t="s">
        <v>592</v>
      </c>
      <c r="D4183" s="0" t="n">
        <v>0.272819067311122</v>
      </c>
      <c r="E4183" s="0" t="n">
        <v>0.047103878229978</v>
      </c>
      <c r="F4183" s="0" t="n">
        <v>0</v>
      </c>
      <c r="G4183" s="0" t="n">
        <v>2021</v>
      </c>
    </row>
    <row r="4184" customFormat="false" ht="15" hidden="false" customHeight="false" outlineLevel="0" collapsed="false">
      <c r="A4184" s="0" t="s">
        <v>261</v>
      </c>
      <c r="B4184" s="52" t="n">
        <v>44372</v>
      </c>
      <c r="C4184" s="54" t="s">
        <v>590</v>
      </c>
      <c r="D4184" s="0" t="n">
        <v>0.532045278343661</v>
      </c>
      <c r="E4184" s="0" t="n">
        <v>0.0341206405547372</v>
      </c>
      <c r="F4184" s="0" t="n">
        <v>0</v>
      </c>
      <c r="G4184" s="0" t="n">
        <v>2021</v>
      </c>
    </row>
    <row r="4185" customFormat="false" ht="15" hidden="false" customHeight="false" outlineLevel="0" collapsed="false">
      <c r="A4185" s="0" t="s">
        <v>261</v>
      </c>
      <c r="B4185" s="52" t="n">
        <v>44372</v>
      </c>
      <c r="C4185" s="54" t="s">
        <v>591</v>
      </c>
      <c r="D4185" s="0" t="n">
        <v>0.0001333165111336</v>
      </c>
      <c r="E4185" s="0" t="n">
        <v>0.087263379245559</v>
      </c>
      <c r="F4185" s="0" t="n">
        <v>0</v>
      </c>
      <c r="G4185" s="0" t="n">
        <v>2021</v>
      </c>
    </row>
    <row r="4186" customFormat="false" ht="15" hidden="false" customHeight="false" outlineLevel="0" collapsed="false">
      <c r="A4186" s="0" t="s">
        <v>261</v>
      </c>
      <c r="B4186" s="52" t="n">
        <v>44372</v>
      </c>
      <c r="C4186" s="54" t="s">
        <v>592</v>
      </c>
      <c r="D4186" s="0" t="n">
        <v>0.196754229950945</v>
      </c>
      <c r="E4186" s="0" t="n">
        <v>0.0299757310478688</v>
      </c>
      <c r="F4186" s="0" t="n">
        <v>0</v>
      </c>
      <c r="G4186" s="0" t="n">
        <v>2021</v>
      </c>
    </row>
    <row r="4187" customFormat="false" ht="15" hidden="false" customHeight="false" outlineLevel="0" collapsed="false">
      <c r="A4187" s="0" t="s">
        <v>261</v>
      </c>
      <c r="B4187" s="52" t="n">
        <v>44373</v>
      </c>
      <c r="C4187" s="54" t="s">
        <v>590</v>
      </c>
      <c r="D4187" s="0" t="n">
        <v>0.668762930711154</v>
      </c>
      <c r="E4187" s="0" t="n">
        <v>0.0096050513198219</v>
      </c>
      <c r="F4187" s="0" t="n">
        <v>1</v>
      </c>
      <c r="G4187" s="0" t="n">
        <v>2021</v>
      </c>
    </row>
    <row r="4188" customFormat="false" ht="15" hidden="false" customHeight="false" outlineLevel="0" collapsed="false">
      <c r="A4188" s="0" t="s">
        <v>261</v>
      </c>
      <c r="B4188" s="52" t="n">
        <v>44373</v>
      </c>
      <c r="C4188" s="54" t="s">
        <v>591</v>
      </c>
      <c r="D4188" s="0" t="n">
        <v>0.0157948849465038</v>
      </c>
      <c r="E4188" s="0" t="n">
        <v>0.0294794640320475</v>
      </c>
      <c r="F4188" s="0" t="n">
        <v>1</v>
      </c>
      <c r="G4188" s="0" t="n">
        <v>2021</v>
      </c>
    </row>
    <row r="4189" customFormat="false" ht="15" hidden="false" customHeight="false" outlineLevel="0" collapsed="false">
      <c r="A4189" s="0" t="s">
        <v>261</v>
      </c>
      <c r="B4189" s="52" t="n">
        <v>44373</v>
      </c>
      <c r="C4189" s="54" t="s">
        <v>592</v>
      </c>
      <c r="D4189" s="0" t="n">
        <v>0.745400305385941</v>
      </c>
      <c r="E4189" s="0" t="n">
        <v>0.0180526170463067</v>
      </c>
      <c r="F4189" s="0" t="n">
        <v>1</v>
      </c>
      <c r="G4189" s="0" t="n">
        <v>2021</v>
      </c>
    </row>
    <row r="4190" customFormat="false" ht="15" hidden="false" customHeight="false" outlineLevel="0" collapsed="false">
      <c r="A4190" s="0" t="s">
        <v>261</v>
      </c>
      <c r="B4190" s="52" t="n">
        <v>44375</v>
      </c>
      <c r="C4190" s="54" t="s">
        <v>590</v>
      </c>
      <c r="D4190" s="0" t="n">
        <v>0.0736670142990664</v>
      </c>
      <c r="E4190" s="0" t="n">
        <v>0.0246403761457096</v>
      </c>
      <c r="F4190" s="0" t="n">
        <v>0</v>
      </c>
      <c r="G4190" s="0" t="n">
        <v>2021</v>
      </c>
    </row>
    <row r="4191" customFormat="false" ht="15" hidden="false" customHeight="false" outlineLevel="0" collapsed="false">
      <c r="A4191" s="0" t="s">
        <v>261</v>
      </c>
      <c r="B4191" s="52" t="n">
        <v>44375</v>
      </c>
      <c r="C4191" s="54" t="s">
        <v>591</v>
      </c>
      <c r="D4191" s="0" t="n">
        <v>0.0753339898153826</v>
      </c>
      <c r="E4191" s="0" t="n">
        <v>0.047984827540937</v>
      </c>
      <c r="F4191" s="0" t="n">
        <v>0</v>
      </c>
      <c r="G4191" s="0" t="n">
        <v>2021</v>
      </c>
    </row>
    <row r="4192" customFormat="false" ht="15" hidden="false" customHeight="false" outlineLevel="0" collapsed="false">
      <c r="A4192" s="0" t="s">
        <v>261</v>
      </c>
      <c r="B4192" s="52" t="n">
        <v>44375</v>
      </c>
      <c r="C4192" s="54" t="s">
        <v>592</v>
      </c>
      <c r="D4192" s="0" t="n">
        <v>0.190671847406435</v>
      </c>
      <c r="E4192" s="0" t="n">
        <v>0.0604166965481487</v>
      </c>
      <c r="F4192" s="0" t="n">
        <v>0</v>
      </c>
      <c r="G4192" s="0" t="n">
        <v>2021</v>
      </c>
    </row>
    <row r="4193" customFormat="false" ht="15" hidden="false" customHeight="false" outlineLevel="0" collapsed="false">
      <c r="A4193" s="0" t="s">
        <v>261</v>
      </c>
      <c r="B4193" s="52" t="n">
        <v>44376</v>
      </c>
      <c r="C4193" s="54" t="s">
        <v>590</v>
      </c>
      <c r="D4193" s="0" t="n">
        <v>0.118378776500277</v>
      </c>
      <c r="E4193" s="0" t="n">
        <v>0.042884633490523</v>
      </c>
      <c r="F4193" s="0" t="n">
        <v>0</v>
      </c>
      <c r="G4193" s="0" t="n">
        <v>2021</v>
      </c>
    </row>
    <row r="4194" customFormat="false" ht="15" hidden="false" customHeight="false" outlineLevel="0" collapsed="false">
      <c r="A4194" s="0" t="s">
        <v>261</v>
      </c>
      <c r="B4194" s="52" t="n">
        <v>44376</v>
      </c>
      <c r="C4194" s="54" t="s">
        <v>591</v>
      </c>
      <c r="D4194" s="0" t="n">
        <v>0.0201926004659061</v>
      </c>
      <c r="E4194" s="0" t="n">
        <v>0.0981832165769444</v>
      </c>
      <c r="F4194" s="0" t="n">
        <v>0</v>
      </c>
      <c r="G4194" s="0" t="n">
        <v>2021</v>
      </c>
    </row>
    <row r="4195" customFormat="false" ht="15" hidden="false" customHeight="false" outlineLevel="0" collapsed="false">
      <c r="A4195" s="0" t="s">
        <v>261</v>
      </c>
      <c r="B4195" s="52" t="n">
        <v>44376</v>
      </c>
      <c r="C4195" s="54" t="s">
        <v>592</v>
      </c>
      <c r="D4195" s="0" t="n">
        <v>0.210751018421672</v>
      </c>
      <c r="E4195" s="0" t="n">
        <v>0.0537918653615205</v>
      </c>
      <c r="F4195" s="0" t="n">
        <v>0</v>
      </c>
      <c r="G4195" s="0" t="n">
        <v>2021</v>
      </c>
    </row>
    <row r="4196" customFormat="false" ht="15" hidden="false" customHeight="false" outlineLevel="0" collapsed="false">
      <c r="A4196" s="0" t="s">
        <v>261</v>
      </c>
      <c r="B4196" s="52" t="n">
        <v>44377</v>
      </c>
      <c r="C4196" s="54" t="s">
        <v>590</v>
      </c>
      <c r="D4196" s="0" t="n">
        <v>0.0962854135454995</v>
      </c>
      <c r="E4196" s="0" t="n">
        <v>0.032808138460442</v>
      </c>
      <c r="F4196" s="0" t="n">
        <v>0</v>
      </c>
      <c r="G4196" s="0" t="n">
        <v>2021</v>
      </c>
    </row>
    <row r="4197" customFormat="false" ht="15" hidden="false" customHeight="false" outlineLevel="0" collapsed="false">
      <c r="A4197" s="0" t="s">
        <v>261</v>
      </c>
      <c r="B4197" s="52" t="n">
        <v>44377</v>
      </c>
      <c r="C4197" s="54" t="s">
        <v>591</v>
      </c>
      <c r="D4197" s="0" t="n">
        <v>0.0366731575090714</v>
      </c>
      <c r="E4197" s="0" t="n">
        <v>0.0345643933082295</v>
      </c>
      <c r="F4197" s="0" t="n">
        <v>0</v>
      </c>
      <c r="G4197" s="0" t="n">
        <v>2021</v>
      </c>
    </row>
    <row r="4198" customFormat="false" ht="15" hidden="false" customHeight="false" outlineLevel="0" collapsed="false">
      <c r="A4198" s="0" t="s">
        <v>261</v>
      </c>
      <c r="B4198" s="52" t="n">
        <v>44377</v>
      </c>
      <c r="C4198" s="54" t="s">
        <v>592</v>
      </c>
      <c r="D4198" s="0" t="n">
        <v>0.290241275451062</v>
      </c>
      <c r="E4198" s="0" t="n">
        <v>0.0219914702567964</v>
      </c>
      <c r="F4198" s="0" t="n">
        <v>0</v>
      </c>
      <c r="G4198" s="0" t="n">
        <v>2021</v>
      </c>
    </row>
    <row r="4199" customFormat="false" ht="15" hidden="false" customHeight="false" outlineLevel="0" collapsed="false">
      <c r="A4199" s="0" t="s">
        <v>261</v>
      </c>
      <c r="B4199" s="52" t="n">
        <v>44378</v>
      </c>
      <c r="C4199" s="54" t="s">
        <v>590</v>
      </c>
      <c r="D4199" s="0" t="n">
        <v>0.584412899794298</v>
      </c>
      <c r="E4199" s="0" t="n">
        <v>0.063814817311668</v>
      </c>
      <c r="F4199" s="0" t="n">
        <v>0</v>
      </c>
      <c r="G4199" s="0" t="n">
        <v>2021</v>
      </c>
    </row>
    <row r="4200" customFormat="false" ht="15" hidden="false" customHeight="false" outlineLevel="0" collapsed="false">
      <c r="A4200" s="0" t="s">
        <v>261</v>
      </c>
      <c r="B4200" s="52" t="n">
        <v>44378</v>
      </c>
      <c r="C4200" s="54" t="s">
        <v>591</v>
      </c>
      <c r="D4200" s="0" t="n">
        <v>0.126739850403616</v>
      </c>
      <c r="E4200" s="0" t="n">
        <v>0.0446877436585363</v>
      </c>
      <c r="F4200" s="0" t="n">
        <v>0</v>
      </c>
      <c r="G4200" s="0" t="n">
        <v>2021</v>
      </c>
    </row>
    <row r="4201" customFormat="false" ht="15" hidden="false" customHeight="false" outlineLevel="0" collapsed="false">
      <c r="A4201" s="0" t="s">
        <v>261</v>
      </c>
      <c r="B4201" s="52" t="n">
        <v>44378</v>
      </c>
      <c r="C4201" s="54" t="s">
        <v>592</v>
      </c>
      <c r="D4201" s="0" t="n">
        <v>0.298838427566263</v>
      </c>
      <c r="E4201" s="0" t="n">
        <v>0.10805736371811</v>
      </c>
      <c r="F4201" s="0" t="n">
        <v>0</v>
      </c>
      <c r="G4201" s="0" t="n">
        <v>2021</v>
      </c>
    </row>
    <row r="4202" customFormat="false" ht="15" hidden="false" customHeight="false" outlineLevel="0" collapsed="false">
      <c r="A4202" s="0" t="s">
        <v>261</v>
      </c>
      <c r="B4202" s="52" t="n">
        <v>44379</v>
      </c>
      <c r="C4202" s="54" t="s">
        <v>590</v>
      </c>
      <c r="D4202" s="0" t="n">
        <v>0.112065837833419</v>
      </c>
      <c r="E4202" s="0" t="n">
        <v>0.0027867656017401</v>
      </c>
      <c r="F4202" s="0" t="n">
        <v>0</v>
      </c>
      <c r="G4202" s="0" t="n">
        <v>2021</v>
      </c>
    </row>
    <row r="4203" customFormat="false" ht="15" hidden="false" customHeight="false" outlineLevel="0" collapsed="false">
      <c r="A4203" s="0" t="s">
        <v>261</v>
      </c>
      <c r="B4203" s="52" t="n">
        <v>44379</v>
      </c>
      <c r="C4203" s="54" t="s">
        <v>591</v>
      </c>
      <c r="D4203" s="0" t="n">
        <v>0.0034794506188913</v>
      </c>
      <c r="E4203" s="0" t="n">
        <v>0.0445715221384218</v>
      </c>
      <c r="F4203" s="0" t="n">
        <v>0</v>
      </c>
      <c r="G4203" s="0" t="n">
        <v>2021</v>
      </c>
    </row>
    <row r="4204" customFormat="false" ht="15" hidden="false" customHeight="false" outlineLevel="0" collapsed="false">
      <c r="A4204" s="0" t="s">
        <v>261</v>
      </c>
      <c r="B4204" s="52" t="n">
        <v>44379</v>
      </c>
      <c r="C4204" s="54" t="s">
        <v>592</v>
      </c>
      <c r="D4204" s="0" t="n">
        <v>0.121344728645112</v>
      </c>
      <c r="E4204" s="0" t="n">
        <v>0.0561911847259133</v>
      </c>
      <c r="F4204" s="0" t="n">
        <v>0</v>
      </c>
      <c r="G4204" s="0" t="n">
        <v>2021</v>
      </c>
    </row>
    <row r="4205" customFormat="false" ht="15" hidden="false" customHeight="false" outlineLevel="0" collapsed="false">
      <c r="A4205" s="0" t="s">
        <v>261</v>
      </c>
      <c r="B4205" s="52" t="n">
        <v>44380</v>
      </c>
      <c r="C4205" s="54" t="s">
        <v>590</v>
      </c>
      <c r="D4205" s="0" t="n">
        <v>0.185416469783349</v>
      </c>
      <c r="E4205" s="0" t="n">
        <v>0.0741965469157759</v>
      </c>
      <c r="F4205" s="0" t="n">
        <v>1</v>
      </c>
      <c r="G4205" s="0" t="n">
        <v>2021</v>
      </c>
    </row>
    <row r="4206" customFormat="false" ht="15" hidden="false" customHeight="false" outlineLevel="0" collapsed="false">
      <c r="A4206" s="0" t="s">
        <v>261</v>
      </c>
      <c r="B4206" s="52" t="n">
        <v>44380</v>
      </c>
      <c r="C4206" s="54" t="s">
        <v>591</v>
      </c>
      <c r="D4206" s="0" t="n">
        <v>0.062909073999738</v>
      </c>
      <c r="E4206" s="0" t="n">
        <v>0.0560732259023682</v>
      </c>
      <c r="F4206" s="0" t="n">
        <v>1</v>
      </c>
      <c r="G4206" s="0" t="n">
        <v>2021</v>
      </c>
    </row>
    <row r="4207" customFormat="false" ht="15" hidden="false" customHeight="false" outlineLevel="0" collapsed="false">
      <c r="A4207" s="0" t="s">
        <v>261</v>
      </c>
      <c r="B4207" s="52" t="n">
        <v>44380</v>
      </c>
      <c r="C4207" s="54" t="s">
        <v>592</v>
      </c>
      <c r="D4207" s="0" t="n">
        <v>0.405819850837172</v>
      </c>
      <c r="E4207" s="0" t="n">
        <v>0.0134269521258661</v>
      </c>
      <c r="F4207" s="0" t="n">
        <v>1</v>
      </c>
      <c r="G4207" s="0" t="n">
        <v>2021</v>
      </c>
    </row>
    <row r="4208" customFormat="false" ht="15" hidden="false" customHeight="false" outlineLevel="0" collapsed="false">
      <c r="A4208" s="0" t="s">
        <v>261</v>
      </c>
      <c r="B4208" s="52" t="n">
        <v>44381</v>
      </c>
      <c r="C4208" s="54" t="s">
        <v>590</v>
      </c>
      <c r="D4208" s="0" t="n">
        <v>0.99136068339316</v>
      </c>
      <c r="E4208" s="0" t="n">
        <v>0</v>
      </c>
      <c r="F4208" s="0" t="n">
        <v>1</v>
      </c>
      <c r="G4208" s="0" t="n">
        <v>2021</v>
      </c>
    </row>
    <row r="4209" customFormat="false" ht="15" hidden="false" customHeight="false" outlineLevel="0" collapsed="false">
      <c r="A4209" s="0" t="s">
        <v>261</v>
      </c>
      <c r="B4209" s="52" t="n">
        <v>44382</v>
      </c>
      <c r="C4209" s="54" t="s">
        <v>590</v>
      </c>
      <c r="D4209" s="0" t="n">
        <v>0.068405388641387</v>
      </c>
      <c r="E4209" s="0" t="n">
        <v>0.0362343952856347</v>
      </c>
      <c r="F4209" s="0" t="n">
        <v>0</v>
      </c>
      <c r="G4209" s="0" t="n">
        <v>2021</v>
      </c>
    </row>
    <row r="4210" customFormat="false" ht="15" hidden="false" customHeight="false" outlineLevel="0" collapsed="false">
      <c r="A4210" s="0" t="s">
        <v>261</v>
      </c>
      <c r="B4210" s="52" t="n">
        <v>44382</v>
      </c>
      <c r="C4210" s="54" t="s">
        <v>591</v>
      </c>
      <c r="D4210" s="0" t="n">
        <v>0.0228950038124178</v>
      </c>
      <c r="E4210" s="0" t="n">
        <v>0.0471936476675784</v>
      </c>
      <c r="F4210" s="0" t="n">
        <v>0</v>
      </c>
      <c r="G4210" s="0" t="n">
        <v>2021</v>
      </c>
    </row>
    <row r="4211" customFormat="false" ht="15" hidden="false" customHeight="false" outlineLevel="0" collapsed="false">
      <c r="A4211" s="0" t="s">
        <v>261</v>
      </c>
      <c r="B4211" s="52" t="n">
        <v>44382</v>
      </c>
      <c r="C4211" s="54" t="s">
        <v>592</v>
      </c>
      <c r="D4211" s="0" t="n">
        <v>0.206875342059684</v>
      </c>
      <c r="E4211" s="0" t="n">
        <v>0.0870732797437694</v>
      </c>
      <c r="F4211" s="0" t="n">
        <v>0</v>
      </c>
      <c r="G4211" s="0" t="n">
        <v>2021</v>
      </c>
    </row>
    <row r="4212" customFormat="false" ht="15" hidden="false" customHeight="false" outlineLevel="0" collapsed="false">
      <c r="A4212" s="0" t="s">
        <v>261</v>
      </c>
      <c r="B4212" s="52" t="n">
        <v>44383</v>
      </c>
      <c r="C4212" s="54" t="s">
        <v>590</v>
      </c>
      <c r="D4212" s="0" t="n">
        <v>0.0853656234877201</v>
      </c>
      <c r="E4212" s="0" t="n">
        <v>0.0534742139542327</v>
      </c>
      <c r="F4212" s="0" t="n">
        <v>0</v>
      </c>
      <c r="G4212" s="0" t="n">
        <v>2021</v>
      </c>
    </row>
    <row r="4213" customFormat="false" ht="15" hidden="false" customHeight="false" outlineLevel="0" collapsed="false">
      <c r="A4213" s="0" t="s">
        <v>261</v>
      </c>
      <c r="B4213" s="52" t="n">
        <v>44383</v>
      </c>
      <c r="C4213" s="54" t="s">
        <v>591</v>
      </c>
      <c r="D4213" s="0" t="n">
        <v>0.0010000083277144</v>
      </c>
      <c r="E4213" s="0" t="n">
        <v>0.0433876992013175</v>
      </c>
      <c r="F4213" s="0" t="n">
        <v>0</v>
      </c>
      <c r="G4213" s="0" t="n">
        <v>2021</v>
      </c>
    </row>
    <row r="4214" customFormat="false" ht="15" hidden="false" customHeight="false" outlineLevel="0" collapsed="false">
      <c r="A4214" s="0" t="s">
        <v>261</v>
      </c>
      <c r="B4214" s="52" t="n">
        <v>44383</v>
      </c>
      <c r="C4214" s="54" t="s">
        <v>592</v>
      </c>
      <c r="D4214" s="0" t="n">
        <v>0.0025246916706236</v>
      </c>
      <c r="E4214" s="0" t="n">
        <v>0.303155658598695</v>
      </c>
      <c r="F4214" s="0" t="n">
        <v>0</v>
      </c>
      <c r="G4214" s="0" t="n">
        <v>2021</v>
      </c>
    </row>
    <row r="4215" customFormat="false" ht="15" hidden="false" customHeight="false" outlineLevel="0" collapsed="false">
      <c r="A4215" s="0" t="s">
        <v>261</v>
      </c>
      <c r="B4215" s="52" t="n">
        <v>44384</v>
      </c>
      <c r="C4215" s="54" t="s">
        <v>590</v>
      </c>
      <c r="D4215" s="0" t="n">
        <v>0.120718185531291</v>
      </c>
      <c r="E4215" s="0" t="n">
        <v>0.0165403783154122</v>
      </c>
      <c r="F4215" s="0" t="n">
        <v>0</v>
      </c>
      <c r="G4215" s="0" t="n">
        <v>2021</v>
      </c>
    </row>
    <row r="4216" customFormat="false" ht="15" hidden="false" customHeight="false" outlineLevel="0" collapsed="false">
      <c r="A4216" s="0" t="s">
        <v>261</v>
      </c>
      <c r="B4216" s="52" t="n">
        <v>44384</v>
      </c>
      <c r="C4216" s="54" t="s">
        <v>591</v>
      </c>
      <c r="D4216" s="0" t="n">
        <v>0.223130167290381</v>
      </c>
      <c r="E4216" s="0" t="n">
        <v>0.0084907683190384</v>
      </c>
      <c r="F4216" s="0" t="n">
        <v>0</v>
      </c>
      <c r="G4216" s="0" t="n">
        <v>2021</v>
      </c>
    </row>
    <row r="4217" customFormat="false" ht="15" hidden="false" customHeight="false" outlineLevel="0" collapsed="false">
      <c r="A4217" s="0" t="s">
        <v>261</v>
      </c>
      <c r="B4217" s="52" t="n">
        <v>44384</v>
      </c>
      <c r="C4217" s="54" t="s">
        <v>592</v>
      </c>
      <c r="D4217" s="0" t="n">
        <v>0.40878408111289</v>
      </c>
      <c r="E4217" s="0" t="n">
        <v>0.021598566863414</v>
      </c>
      <c r="F4217" s="0" t="n">
        <v>0</v>
      </c>
      <c r="G4217" s="0" t="n">
        <v>2021</v>
      </c>
    </row>
    <row r="4218" customFormat="false" ht="15" hidden="false" customHeight="false" outlineLevel="0" collapsed="false">
      <c r="A4218" s="0" t="s">
        <v>261</v>
      </c>
      <c r="B4218" s="52" t="n">
        <v>44385</v>
      </c>
      <c r="C4218" s="54" t="s">
        <v>590</v>
      </c>
      <c r="D4218" s="0" t="n">
        <v>0.216618074591812</v>
      </c>
      <c r="E4218" s="0" t="n">
        <v>0.0325779818897535</v>
      </c>
      <c r="F4218" s="0" t="n">
        <v>0</v>
      </c>
      <c r="G4218" s="0" t="n">
        <v>2021</v>
      </c>
    </row>
    <row r="4219" customFormat="false" ht="15" hidden="false" customHeight="false" outlineLevel="0" collapsed="false">
      <c r="A4219" s="0" t="s">
        <v>261</v>
      </c>
      <c r="B4219" s="52" t="n">
        <v>44385</v>
      </c>
      <c r="C4219" s="54" t="s">
        <v>591</v>
      </c>
      <c r="D4219" s="0" t="n">
        <v>0.155352388990293</v>
      </c>
      <c r="E4219" s="0" t="n">
        <v>0.0207281402463791</v>
      </c>
      <c r="F4219" s="0" t="n">
        <v>0</v>
      </c>
      <c r="G4219" s="0" t="n">
        <v>2021</v>
      </c>
    </row>
    <row r="4220" customFormat="false" ht="15" hidden="false" customHeight="false" outlineLevel="0" collapsed="false">
      <c r="A4220" s="0" t="s">
        <v>261</v>
      </c>
      <c r="B4220" s="52" t="n">
        <v>44385</v>
      </c>
      <c r="C4220" s="54" t="s">
        <v>592</v>
      </c>
      <c r="D4220" s="0" t="n">
        <v>0.333381990363337</v>
      </c>
      <c r="E4220" s="0" t="n">
        <v>0.0333795797051971</v>
      </c>
      <c r="F4220" s="0" t="n">
        <v>0</v>
      </c>
      <c r="G4220" s="0" t="n">
        <v>2021</v>
      </c>
    </row>
    <row r="4221" customFormat="false" ht="15" hidden="false" customHeight="false" outlineLevel="0" collapsed="false">
      <c r="A4221" s="0" t="s">
        <v>261</v>
      </c>
      <c r="B4221" s="52" t="n">
        <v>44386</v>
      </c>
      <c r="C4221" s="54" t="s">
        <v>590</v>
      </c>
      <c r="D4221" s="0" t="n">
        <v>0.0539326202626698</v>
      </c>
      <c r="E4221" s="0" t="n">
        <v>0.0145268700745832</v>
      </c>
      <c r="F4221" s="0" t="n">
        <v>0</v>
      </c>
      <c r="G4221" s="0" t="n">
        <v>2021</v>
      </c>
    </row>
    <row r="4222" customFormat="false" ht="15" hidden="false" customHeight="false" outlineLevel="0" collapsed="false">
      <c r="A4222" s="0" t="s">
        <v>261</v>
      </c>
      <c r="B4222" s="52" t="n">
        <v>44386</v>
      </c>
      <c r="C4222" s="54" t="s">
        <v>591</v>
      </c>
      <c r="D4222" s="0" t="n">
        <v>0.0220726797352889</v>
      </c>
      <c r="E4222" s="0" t="n">
        <v>0.0662516340994429</v>
      </c>
      <c r="F4222" s="0" t="n">
        <v>0</v>
      </c>
      <c r="G4222" s="0" t="n">
        <v>2021</v>
      </c>
    </row>
    <row r="4223" customFormat="false" ht="15" hidden="false" customHeight="false" outlineLevel="0" collapsed="false">
      <c r="A4223" s="0" t="s">
        <v>261</v>
      </c>
      <c r="B4223" s="52" t="n">
        <v>44386</v>
      </c>
      <c r="C4223" s="54" t="s">
        <v>592</v>
      </c>
      <c r="D4223" s="0" t="n">
        <v>0.096607583344837</v>
      </c>
      <c r="E4223" s="0" t="n">
        <v>0.200683465514879</v>
      </c>
      <c r="F4223" s="0" t="n">
        <v>0</v>
      </c>
      <c r="G4223" s="0" t="n">
        <v>2021</v>
      </c>
    </row>
    <row r="4224" customFormat="false" ht="15" hidden="false" customHeight="false" outlineLevel="0" collapsed="false">
      <c r="A4224" s="0" t="s">
        <v>261</v>
      </c>
      <c r="B4224" s="52" t="n">
        <v>44387</v>
      </c>
      <c r="C4224" s="54" t="s">
        <v>590</v>
      </c>
      <c r="D4224" s="0" t="n">
        <v>0.1369235064326</v>
      </c>
      <c r="E4224" s="0" t="n">
        <v>0.0810894374883128</v>
      </c>
      <c r="F4224" s="0" t="n">
        <v>1</v>
      </c>
      <c r="G4224" s="0" t="n">
        <v>2021</v>
      </c>
    </row>
    <row r="4225" customFormat="false" ht="15" hidden="false" customHeight="false" outlineLevel="0" collapsed="false">
      <c r="A4225" s="0" t="s">
        <v>261</v>
      </c>
      <c r="B4225" s="52" t="n">
        <v>44387</v>
      </c>
      <c r="C4225" s="54" t="s">
        <v>591</v>
      </c>
      <c r="D4225" s="0" t="n">
        <v>0.0332117905026117</v>
      </c>
      <c r="E4225" s="0" t="n">
        <v>0.0689761450279603</v>
      </c>
      <c r="F4225" s="0" t="n">
        <v>1</v>
      </c>
      <c r="G4225" s="0" t="n">
        <v>2021</v>
      </c>
    </row>
    <row r="4226" customFormat="false" ht="15" hidden="false" customHeight="false" outlineLevel="0" collapsed="false">
      <c r="A4226" s="0" t="s">
        <v>261</v>
      </c>
      <c r="B4226" s="52" t="n">
        <v>44387</v>
      </c>
      <c r="C4226" s="54" t="s">
        <v>592</v>
      </c>
      <c r="D4226" s="0" t="n">
        <v>0.343385704065221</v>
      </c>
      <c r="E4226" s="0" t="n">
        <v>0.061442620097549</v>
      </c>
      <c r="F4226" s="0" t="n">
        <v>1</v>
      </c>
      <c r="G4226" s="0" t="n">
        <v>2021</v>
      </c>
    </row>
    <row r="4227" customFormat="false" ht="15" hidden="false" customHeight="false" outlineLevel="0" collapsed="false">
      <c r="A4227" s="0" t="s">
        <v>261</v>
      </c>
      <c r="B4227" s="52" t="n">
        <v>44389</v>
      </c>
      <c r="C4227" s="54" t="s">
        <v>590</v>
      </c>
      <c r="D4227" s="0" t="n">
        <v>0.0537106475988332</v>
      </c>
      <c r="E4227" s="0" t="n">
        <v>0.111058709586676</v>
      </c>
      <c r="F4227" s="0" t="n">
        <v>0</v>
      </c>
      <c r="G4227" s="0" t="n">
        <v>2021</v>
      </c>
    </row>
    <row r="4228" customFormat="false" ht="15" hidden="false" customHeight="false" outlineLevel="0" collapsed="false">
      <c r="A4228" s="0" t="s">
        <v>261</v>
      </c>
      <c r="B4228" s="52" t="n">
        <v>44389</v>
      </c>
      <c r="C4228" s="54" t="s">
        <v>591</v>
      </c>
      <c r="D4228" s="0" t="n">
        <v>0.0093171055562522</v>
      </c>
      <c r="E4228" s="0" t="n">
        <v>0.0738361611074032</v>
      </c>
      <c r="F4228" s="0" t="n">
        <v>0</v>
      </c>
      <c r="G4228" s="0" t="n">
        <v>2021</v>
      </c>
    </row>
    <row r="4229" customFormat="false" ht="15" hidden="false" customHeight="false" outlineLevel="0" collapsed="false">
      <c r="A4229" s="0" t="s">
        <v>261</v>
      </c>
      <c r="B4229" s="52" t="n">
        <v>44389</v>
      </c>
      <c r="C4229" s="54" t="s">
        <v>592</v>
      </c>
      <c r="D4229" s="0" t="n">
        <v>0.254398558773104</v>
      </c>
      <c r="E4229" s="0" t="n">
        <v>0.0488239557466853</v>
      </c>
      <c r="F4229" s="0" t="n">
        <v>0</v>
      </c>
      <c r="G4229" s="0" t="n">
        <v>2021</v>
      </c>
    </row>
    <row r="4230" customFormat="false" ht="15" hidden="false" customHeight="false" outlineLevel="0" collapsed="false">
      <c r="A4230" s="0" t="s">
        <v>261</v>
      </c>
      <c r="B4230" s="52" t="n">
        <v>44390</v>
      </c>
      <c r="C4230" s="54" t="s">
        <v>590</v>
      </c>
      <c r="D4230" s="0" t="n">
        <v>0.0799356265198206</v>
      </c>
      <c r="E4230" s="0" t="n">
        <v>0.0104060682329558</v>
      </c>
      <c r="F4230" s="0" t="n">
        <v>0</v>
      </c>
      <c r="G4230" s="0" t="n">
        <v>2021</v>
      </c>
    </row>
    <row r="4231" customFormat="false" ht="15" hidden="false" customHeight="false" outlineLevel="0" collapsed="false">
      <c r="A4231" s="0" t="s">
        <v>261</v>
      </c>
      <c r="B4231" s="52" t="n">
        <v>44390</v>
      </c>
      <c r="C4231" s="54" t="s">
        <v>591</v>
      </c>
      <c r="D4231" s="0" t="n">
        <v>0</v>
      </c>
      <c r="E4231" s="0" t="n">
        <v>0.047428496910466</v>
      </c>
      <c r="F4231" s="0" t="n">
        <v>0</v>
      </c>
      <c r="G4231" s="0" t="n">
        <v>2021</v>
      </c>
    </row>
    <row r="4232" customFormat="false" ht="15" hidden="false" customHeight="false" outlineLevel="0" collapsed="false">
      <c r="A4232" s="0" t="s">
        <v>261</v>
      </c>
      <c r="B4232" s="52" t="n">
        <v>44390</v>
      </c>
      <c r="C4232" s="54" t="s">
        <v>592</v>
      </c>
      <c r="D4232" s="0" t="n">
        <v>0.0241049273307337</v>
      </c>
      <c r="E4232" s="0" t="n">
        <v>0.0253535297882605</v>
      </c>
      <c r="F4232" s="0" t="n">
        <v>0</v>
      </c>
      <c r="G4232" s="0" t="n">
        <v>2021</v>
      </c>
    </row>
    <row r="4233" customFormat="false" ht="15" hidden="false" customHeight="false" outlineLevel="0" collapsed="false">
      <c r="A4233" s="0" t="s">
        <v>261</v>
      </c>
      <c r="B4233" s="52" t="n">
        <v>44391</v>
      </c>
      <c r="C4233" s="54" t="s">
        <v>590</v>
      </c>
      <c r="D4233" s="0" t="n">
        <v>0.24096124719274</v>
      </c>
      <c r="E4233" s="0" t="n">
        <v>0.0058805893495182</v>
      </c>
      <c r="F4233" s="0" t="n">
        <v>0</v>
      </c>
      <c r="G4233" s="0" t="n">
        <v>2021</v>
      </c>
    </row>
    <row r="4234" customFormat="false" ht="15" hidden="false" customHeight="false" outlineLevel="0" collapsed="false">
      <c r="A4234" s="0" t="s">
        <v>261</v>
      </c>
      <c r="B4234" s="52" t="n">
        <v>44391</v>
      </c>
      <c r="C4234" s="54" t="s">
        <v>591</v>
      </c>
      <c r="D4234" s="0" t="n">
        <v>0.001200568399204</v>
      </c>
      <c r="E4234" s="0" t="n">
        <v>0.0472271396688914</v>
      </c>
      <c r="F4234" s="0" t="n">
        <v>0</v>
      </c>
      <c r="G4234" s="0" t="n">
        <v>2021</v>
      </c>
    </row>
    <row r="4235" customFormat="false" ht="15" hidden="false" customHeight="false" outlineLevel="0" collapsed="false">
      <c r="A4235" s="0" t="s">
        <v>261</v>
      </c>
      <c r="B4235" s="52" t="n">
        <v>44391</v>
      </c>
      <c r="C4235" s="54" t="s">
        <v>592</v>
      </c>
      <c r="D4235" s="0" t="n">
        <v>0.0484095045526408</v>
      </c>
      <c r="E4235" s="0" t="n">
        <v>0.0112393466230818</v>
      </c>
      <c r="F4235" s="0" t="n">
        <v>0</v>
      </c>
      <c r="G4235" s="0" t="n">
        <v>2021</v>
      </c>
    </row>
    <row r="4236" customFormat="false" ht="15" hidden="false" customHeight="false" outlineLevel="0" collapsed="false">
      <c r="A4236" s="0" t="s">
        <v>261</v>
      </c>
      <c r="B4236" s="52" t="n">
        <v>44392</v>
      </c>
      <c r="C4236" s="54" t="s">
        <v>590</v>
      </c>
      <c r="D4236" s="0" t="n">
        <v>0.049158801968137</v>
      </c>
      <c r="E4236" s="0" t="n">
        <v>0.0422482361403608</v>
      </c>
      <c r="F4236" s="0" t="n">
        <v>0</v>
      </c>
      <c r="G4236" s="0" t="n">
        <v>2021</v>
      </c>
    </row>
    <row r="4237" customFormat="false" ht="15" hidden="false" customHeight="false" outlineLevel="0" collapsed="false">
      <c r="A4237" s="0" t="s">
        <v>261</v>
      </c>
      <c r="B4237" s="52" t="n">
        <v>44392</v>
      </c>
      <c r="C4237" s="54" t="s">
        <v>591</v>
      </c>
      <c r="D4237" s="0" t="n">
        <v>0.0132341304475091</v>
      </c>
      <c r="E4237" s="0" t="n">
        <v>0.055089947236616</v>
      </c>
      <c r="F4237" s="0" t="n">
        <v>0</v>
      </c>
      <c r="G4237" s="0" t="n">
        <v>2021</v>
      </c>
    </row>
    <row r="4238" customFormat="false" ht="15" hidden="false" customHeight="false" outlineLevel="0" collapsed="false">
      <c r="A4238" s="0" t="s">
        <v>261</v>
      </c>
      <c r="B4238" s="52" t="n">
        <v>44392</v>
      </c>
      <c r="C4238" s="54" t="s">
        <v>592</v>
      </c>
      <c r="D4238" s="0" t="n">
        <v>0.167991900283141</v>
      </c>
      <c r="E4238" s="0" t="n">
        <v>0.0485108534035445</v>
      </c>
      <c r="F4238" s="0" t="n">
        <v>0</v>
      </c>
      <c r="G4238" s="0" t="n">
        <v>2021</v>
      </c>
    </row>
    <row r="4239" customFormat="false" ht="15" hidden="false" customHeight="false" outlineLevel="0" collapsed="false">
      <c r="A4239" s="0" t="s">
        <v>261</v>
      </c>
      <c r="B4239" s="52" t="n">
        <v>44393</v>
      </c>
      <c r="C4239" s="54" t="s">
        <v>590</v>
      </c>
      <c r="D4239" s="0" t="n">
        <v>0.0214102365240487</v>
      </c>
      <c r="E4239" s="0" t="n">
        <v>0.0433112959703747</v>
      </c>
      <c r="F4239" s="0" t="n">
        <v>0</v>
      </c>
      <c r="G4239" s="0" t="n">
        <v>2021</v>
      </c>
    </row>
    <row r="4240" customFormat="false" ht="15" hidden="false" customHeight="false" outlineLevel="0" collapsed="false">
      <c r="A4240" s="0" t="s">
        <v>261</v>
      </c>
      <c r="B4240" s="52" t="n">
        <v>44393</v>
      </c>
      <c r="C4240" s="54" t="s">
        <v>591</v>
      </c>
      <c r="D4240" s="0" t="n">
        <v>0.0292391448292825</v>
      </c>
      <c r="E4240" s="0" t="n">
        <v>0.334658884602572</v>
      </c>
      <c r="F4240" s="0" t="n">
        <v>0</v>
      </c>
      <c r="G4240" s="0" t="n">
        <v>2021</v>
      </c>
    </row>
    <row r="4241" customFormat="false" ht="15" hidden="false" customHeight="false" outlineLevel="0" collapsed="false">
      <c r="A4241" s="0" t="s">
        <v>261</v>
      </c>
      <c r="B4241" s="52" t="n">
        <v>44393</v>
      </c>
      <c r="C4241" s="54" t="s">
        <v>592</v>
      </c>
      <c r="D4241" s="0" t="n">
        <v>0.485402909389442</v>
      </c>
      <c r="E4241" s="0" t="n">
        <v>0.0904562457926913</v>
      </c>
      <c r="F4241" s="0" t="n">
        <v>0</v>
      </c>
      <c r="G4241" s="0" t="n">
        <v>2021</v>
      </c>
    </row>
    <row r="4242" customFormat="false" ht="15" hidden="false" customHeight="false" outlineLevel="0" collapsed="false">
      <c r="A4242" s="0" t="s">
        <v>261</v>
      </c>
      <c r="B4242" s="52" t="n">
        <v>44394</v>
      </c>
      <c r="C4242" s="54" t="s">
        <v>590</v>
      </c>
      <c r="D4242" s="0" t="n">
        <v>0.219047000136005</v>
      </c>
      <c r="E4242" s="0" t="n">
        <v>0.0116834142114341</v>
      </c>
      <c r="F4242" s="0" t="n">
        <v>1</v>
      </c>
      <c r="G4242" s="0" t="n">
        <v>2021</v>
      </c>
    </row>
    <row r="4243" customFormat="false" ht="15" hidden="false" customHeight="false" outlineLevel="0" collapsed="false">
      <c r="A4243" s="0" t="s">
        <v>261</v>
      </c>
      <c r="B4243" s="52" t="n">
        <v>44394</v>
      </c>
      <c r="C4243" s="54" t="s">
        <v>591</v>
      </c>
      <c r="D4243" s="0" t="n">
        <v>0.018664317401368</v>
      </c>
      <c r="E4243" s="0" t="n">
        <v>0.0974377231909588</v>
      </c>
      <c r="F4243" s="0" t="n">
        <v>1</v>
      </c>
      <c r="G4243" s="0" t="n">
        <v>2021</v>
      </c>
    </row>
    <row r="4244" customFormat="false" ht="15" hidden="false" customHeight="false" outlineLevel="0" collapsed="false">
      <c r="A4244" s="0" t="s">
        <v>261</v>
      </c>
      <c r="B4244" s="52" t="n">
        <v>44394</v>
      </c>
      <c r="C4244" s="54" t="s">
        <v>592</v>
      </c>
      <c r="D4244" s="0" t="n">
        <v>0.0926142746580352</v>
      </c>
      <c r="E4244" s="0" t="n">
        <v>0.0089311537208899</v>
      </c>
      <c r="F4244" s="0" t="n">
        <v>1</v>
      </c>
      <c r="G4244" s="0" t="n">
        <v>2021</v>
      </c>
    </row>
    <row r="4245" customFormat="false" ht="15" hidden="false" customHeight="false" outlineLevel="0" collapsed="false">
      <c r="A4245" s="0" t="s">
        <v>261</v>
      </c>
      <c r="B4245" s="52" t="n">
        <v>44395</v>
      </c>
      <c r="C4245" s="54" t="s">
        <v>590</v>
      </c>
      <c r="D4245" s="0" t="n">
        <v>1</v>
      </c>
      <c r="E4245" s="0" t="n">
        <v>0</v>
      </c>
      <c r="F4245" s="0" t="n">
        <v>1</v>
      </c>
      <c r="G4245" s="0" t="n">
        <v>2021</v>
      </c>
    </row>
    <row r="4246" customFormat="false" ht="15" hidden="false" customHeight="false" outlineLevel="0" collapsed="false">
      <c r="A4246" s="0" t="s">
        <v>261</v>
      </c>
      <c r="B4246" s="52" t="n">
        <v>44396</v>
      </c>
      <c r="C4246" s="54" t="s">
        <v>590</v>
      </c>
      <c r="D4246" s="0" t="n">
        <v>0.023499285118024</v>
      </c>
      <c r="E4246" s="0" t="n">
        <v>0.0524790370815791</v>
      </c>
      <c r="F4246" s="0" t="n">
        <v>0</v>
      </c>
      <c r="G4246" s="0" t="n">
        <v>2021</v>
      </c>
    </row>
    <row r="4247" customFormat="false" ht="15" hidden="false" customHeight="false" outlineLevel="0" collapsed="false">
      <c r="A4247" s="0" t="s">
        <v>261</v>
      </c>
      <c r="B4247" s="52" t="n">
        <v>44396</v>
      </c>
      <c r="C4247" s="54" t="s">
        <v>591</v>
      </c>
      <c r="D4247" s="0" t="n">
        <v>0.0292259303029437</v>
      </c>
      <c r="E4247" s="0" t="n">
        <v>0.104524949756077</v>
      </c>
      <c r="F4247" s="0" t="n">
        <v>0</v>
      </c>
      <c r="G4247" s="0" t="n">
        <v>2021</v>
      </c>
    </row>
    <row r="4248" customFormat="false" ht="15" hidden="false" customHeight="false" outlineLevel="0" collapsed="false">
      <c r="A4248" s="0" t="s">
        <v>261</v>
      </c>
      <c r="B4248" s="52" t="n">
        <v>44396</v>
      </c>
      <c r="C4248" s="54" t="s">
        <v>592</v>
      </c>
      <c r="D4248" s="0" t="n">
        <v>0.342043139111105</v>
      </c>
      <c r="E4248" s="0" t="n">
        <v>0.0783749630400803</v>
      </c>
      <c r="F4248" s="0" t="n">
        <v>0</v>
      </c>
      <c r="G4248" s="0" t="n">
        <v>2021</v>
      </c>
    </row>
    <row r="4249" customFormat="false" ht="15" hidden="false" customHeight="false" outlineLevel="0" collapsed="false">
      <c r="A4249" s="0" t="s">
        <v>261</v>
      </c>
      <c r="B4249" s="52" t="n">
        <v>44397</v>
      </c>
      <c r="C4249" s="54" t="s">
        <v>590</v>
      </c>
      <c r="D4249" s="0" t="n">
        <v>0.0666355101694302</v>
      </c>
      <c r="E4249" s="0" t="n">
        <v>0.0181660310685193</v>
      </c>
      <c r="F4249" s="0" t="n">
        <v>0</v>
      </c>
      <c r="G4249" s="0" t="n">
        <v>2021</v>
      </c>
    </row>
    <row r="4250" customFormat="false" ht="15" hidden="false" customHeight="false" outlineLevel="0" collapsed="false">
      <c r="A4250" s="0" t="s">
        <v>261</v>
      </c>
      <c r="B4250" s="52" t="n">
        <v>44397</v>
      </c>
      <c r="C4250" s="54" t="s">
        <v>591</v>
      </c>
      <c r="D4250" s="0" t="n">
        <v>0.0108534288961447</v>
      </c>
      <c r="E4250" s="0" t="n">
        <v>0.0368280214036672</v>
      </c>
      <c r="F4250" s="0" t="n">
        <v>0</v>
      </c>
      <c r="G4250" s="0" t="n">
        <v>2021</v>
      </c>
    </row>
    <row r="4251" customFormat="false" ht="15" hidden="false" customHeight="false" outlineLevel="0" collapsed="false">
      <c r="A4251" s="0" t="s">
        <v>261</v>
      </c>
      <c r="B4251" s="52" t="n">
        <v>44397</v>
      </c>
      <c r="C4251" s="54" t="s">
        <v>592</v>
      </c>
      <c r="D4251" s="0" t="n">
        <v>0.317774865872665</v>
      </c>
      <c r="E4251" s="0" t="n">
        <v>0.040396134310092</v>
      </c>
      <c r="F4251" s="0" t="n">
        <v>0</v>
      </c>
      <c r="G4251" s="0" t="n">
        <v>2021</v>
      </c>
    </row>
    <row r="4252" customFormat="false" ht="15" hidden="false" customHeight="false" outlineLevel="0" collapsed="false">
      <c r="A4252" s="0" t="s">
        <v>261</v>
      </c>
      <c r="B4252" s="52" t="n">
        <v>44398</v>
      </c>
      <c r="C4252" s="54" t="s">
        <v>590</v>
      </c>
      <c r="D4252" s="0" t="n">
        <v>0.547709071200882</v>
      </c>
      <c r="E4252" s="0" t="n">
        <v>0.0430412231663911</v>
      </c>
      <c r="F4252" s="0" t="n">
        <v>0</v>
      </c>
      <c r="G4252" s="0" t="n">
        <v>2021</v>
      </c>
    </row>
    <row r="4253" customFormat="false" ht="15" hidden="false" customHeight="false" outlineLevel="0" collapsed="false">
      <c r="A4253" s="0" t="s">
        <v>261</v>
      </c>
      <c r="B4253" s="52" t="n">
        <v>44398</v>
      </c>
      <c r="C4253" s="54" t="s">
        <v>591</v>
      </c>
      <c r="D4253" s="0" t="n">
        <v>0.0058472218217129</v>
      </c>
      <c r="E4253" s="0" t="n">
        <v>0.0587616651138386</v>
      </c>
      <c r="F4253" s="0" t="n">
        <v>0</v>
      </c>
      <c r="G4253" s="0" t="n">
        <v>2021</v>
      </c>
    </row>
    <row r="4254" customFormat="false" ht="15" hidden="false" customHeight="false" outlineLevel="0" collapsed="false">
      <c r="A4254" s="0" t="s">
        <v>261</v>
      </c>
      <c r="B4254" s="52" t="n">
        <v>44398</v>
      </c>
      <c r="C4254" s="54" t="s">
        <v>592</v>
      </c>
      <c r="D4254" s="0" t="n">
        <v>0.210821699644938</v>
      </c>
      <c r="E4254" s="0" t="n">
        <v>0.0097611616521087</v>
      </c>
      <c r="F4254" s="0" t="n">
        <v>0</v>
      </c>
      <c r="G4254" s="0" t="n">
        <v>2021</v>
      </c>
    </row>
    <row r="4255" customFormat="false" ht="15" hidden="false" customHeight="false" outlineLevel="0" collapsed="false">
      <c r="A4255" s="0" t="s">
        <v>261</v>
      </c>
      <c r="B4255" s="52" t="n">
        <v>44399</v>
      </c>
      <c r="C4255" s="54" t="s">
        <v>590</v>
      </c>
      <c r="D4255" s="0" t="n">
        <v>0.33320964887285</v>
      </c>
      <c r="E4255" s="0" t="n">
        <v>0.0670777932544686</v>
      </c>
      <c r="F4255" s="0" t="n">
        <v>0</v>
      </c>
      <c r="G4255" s="0" t="n">
        <v>2021</v>
      </c>
    </row>
    <row r="4256" customFormat="false" ht="15" hidden="false" customHeight="false" outlineLevel="0" collapsed="false">
      <c r="A4256" s="0" t="s">
        <v>261</v>
      </c>
      <c r="B4256" s="52" t="n">
        <v>44399</v>
      </c>
      <c r="C4256" s="54" t="s">
        <v>591</v>
      </c>
      <c r="D4256" s="0" t="n">
        <v>0.0150889291175532</v>
      </c>
      <c r="E4256" s="0" t="n">
        <v>0.058018574298441</v>
      </c>
      <c r="F4256" s="0" t="n">
        <v>0</v>
      </c>
      <c r="G4256" s="0" t="n">
        <v>2021</v>
      </c>
    </row>
    <row r="4257" customFormat="false" ht="15" hidden="false" customHeight="false" outlineLevel="0" collapsed="false">
      <c r="A4257" s="0" t="s">
        <v>261</v>
      </c>
      <c r="B4257" s="52" t="n">
        <v>44399</v>
      </c>
      <c r="C4257" s="54" t="s">
        <v>592</v>
      </c>
      <c r="D4257" s="0" t="n">
        <v>0.358761136261703</v>
      </c>
      <c r="E4257" s="0" t="n">
        <v>0.0187467551609865</v>
      </c>
      <c r="F4257" s="0" t="n">
        <v>0</v>
      </c>
      <c r="G4257" s="0" t="n">
        <v>2021</v>
      </c>
    </row>
    <row r="4258" customFormat="false" ht="15" hidden="false" customHeight="false" outlineLevel="0" collapsed="false">
      <c r="A4258" s="0" t="s">
        <v>261</v>
      </c>
      <c r="B4258" s="52" t="n">
        <v>44400</v>
      </c>
      <c r="C4258" s="54" t="s">
        <v>590</v>
      </c>
      <c r="D4258" s="0" t="n">
        <v>0.225215784724158</v>
      </c>
      <c r="E4258" s="0" t="n">
        <v>0.147511865062701</v>
      </c>
      <c r="F4258" s="0" t="n">
        <v>0</v>
      </c>
      <c r="G4258" s="0" t="n">
        <v>2021</v>
      </c>
    </row>
    <row r="4259" customFormat="false" ht="15" hidden="false" customHeight="false" outlineLevel="0" collapsed="false">
      <c r="A4259" s="0" t="s">
        <v>261</v>
      </c>
      <c r="B4259" s="52" t="n">
        <v>44400</v>
      </c>
      <c r="C4259" s="54" t="s">
        <v>591</v>
      </c>
      <c r="D4259" s="0" t="n">
        <v>0.171689779404097</v>
      </c>
      <c r="E4259" s="0" t="n">
        <v>0.0934718424791022</v>
      </c>
      <c r="F4259" s="0" t="n">
        <v>0</v>
      </c>
      <c r="G4259" s="0" t="n">
        <v>2021</v>
      </c>
    </row>
    <row r="4260" customFormat="false" ht="15" hidden="false" customHeight="false" outlineLevel="0" collapsed="false">
      <c r="A4260" s="0" t="s">
        <v>261</v>
      </c>
      <c r="B4260" s="52" t="n">
        <v>44400</v>
      </c>
      <c r="C4260" s="54" t="s">
        <v>592</v>
      </c>
      <c r="D4260" s="0" t="n">
        <v>0.120859460825241</v>
      </c>
      <c r="E4260" s="0" t="n">
        <v>0.091561387704882</v>
      </c>
      <c r="F4260" s="0" t="n">
        <v>0</v>
      </c>
      <c r="G4260" s="0" t="n">
        <v>2021</v>
      </c>
    </row>
    <row r="4261" customFormat="false" ht="15" hidden="false" customHeight="false" outlineLevel="0" collapsed="false">
      <c r="A4261" s="0" t="s">
        <v>261</v>
      </c>
      <c r="B4261" s="52" t="n">
        <v>44401</v>
      </c>
      <c r="C4261" s="54" t="s">
        <v>590</v>
      </c>
      <c r="D4261" s="0" t="n">
        <v>0.238824007457896</v>
      </c>
      <c r="E4261" s="0" t="n">
        <v>0.0272967551710392</v>
      </c>
      <c r="F4261" s="0" t="n">
        <v>1</v>
      </c>
      <c r="G4261" s="0" t="n">
        <v>2021</v>
      </c>
    </row>
    <row r="4262" customFormat="false" ht="15" hidden="false" customHeight="false" outlineLevel="0" collapsed="false">
      <c r="A4262" s="0" t="s">
        <v>261</v>
      </c>
      <c r="B4262" s="52" t="n">
        <v>44401</v>
      </c>
      <c r="C4262" s="54" t="s">
        <v>591</v>
      </c>
      <c r="D4262" s="0" t="n">
        <v>0</v>
      </c>
      <c r="E4262" s="0" t="n">
        <v>0.158869969765371</v>
      </c>
      <c r="F4262" s="0" t="n">
        <v>1</v>
      </c>
      <c r="G4262" s="0" t="n">
        <v>2021</v>
      </c>
    </row>
    <row r="4263" customFormat="false" ht="15" hidden="false" customHeight="false" outlineLevel="0" collapsed="false">
      <c r="A4263" s="0" t="s">
        <v>261</v>
      </c>
      <c r="B4263" s="52" t="n">
        <v>44401</v>
      </c>
      <c r="C4263" s="54" t="s">
        <v>592</v>
      </c>
      <c r="D4263" s="0" t="n">
        <v>0.653235602851899</v>
      </c>
      <c r="E4263" s="0" t="n">
        <v>0.0264547855983883</v>
      </c>
      <c r="F4263" s="0" t="n">
        <v>1</v>
      </c>
      <c r="G4263" s="0" t="n">
        <v>2021</v>
      </c>
    </row>
    <row r="4264" customFormat="false" ht="15" hidden="false" customHeight="false" outlineLevel="0" collapsed="false">
      <c r="A4264" s="0" t="s">
        <v>261</v>
      </c>
      <c r="B4264" s="52" t="n">
        <v>44402</v>
      </c>
      <c r="C4264" s="54" t="s">
        <v>590</v>
      </c>
      <c r="D4264" s="0" t="n">
        <v>0.0011926741275879</v>
      </c>
      <c r="E4264" s="0" t="n">
        <v>0</v>
      </c>
      <c r="F4264" s="0" t="n">
        <v>1</v>
      </c>
      <c r="G4264" s="0" t="n">
        <v>2021</v>
      </c>
    </row>
    <row r="4265" customFormat="false" ht="15" hidden="false" customHeight="false" outlineLevel="0" collapsed="false">
      <c r="A4265" s="0" t="s">
        <v>261</v>
      </c>
      <c r="B4265" s="52" t="n">
        <v>44403</v>
      </c>
      <c r="C4265" s="54" t="s">
        <v>590</v>
      </c>
      <c r="D4265" s="0" t="n">
        <v>0.0287535695693609</v>
      </c>
      <c r="E4265" s="0" t="n">
        <v>0.0265024928405592</v>
      </c>
      <c r="F4265" s="0" t="n">
        <v>0</v>
      </c>
      <c r="G4265" s="0" t="n">
        <v>2021</v>
      </c>
    </row>
    <row r="4266" customFormat="false" ht="15" hidden="false" customHeight="false" outlineLevel="0" collapsed="false">
      <c r="A4266" s="0" t="s">
        <v>261</v>
      </c>
      <c r="B4266" s="52" t="n">
        <v>44403</v>
      </c>
      <c r="C4266" s="54" t="s">
        <v>591</v>
      </c>
      <c r="D4266" s="0" t="n">
        <v>0.0196575948387886</v>
      </c>
      <c r="E4266" s="0" t="n">
        <v>0.0507156369311783</v>
      </c>
      <c r="F4266" s="0" t="n">
        <v>0</v>
      </c>
      <c r="G4266" s="0" t="n">
        <v>2021</v>
      </c>
    </row>
    <row r="4267" customFormat="false" ht="15" hidden="false" customHeight="false" outlineLevel="0" collapsed="false">
      <c r="A4267" s="0" t="s">
        <v>261</v>
      </c>
      <c r="B4267" s="52" t="n">
        <v>44403</v>
      </c>
      <c r="C4267" s="54" t="s">
        <v>592</v>
      </c>
      <c r="D4267" s="0" t="n">
        <v>0.106907732562044</v>
      </c>
      <c r="E4267" s="0" t="n">
        <v>0.0916682028615619</v>
      </c>
      <c r="F4267" s="0" t="n">
        <v>0</v>
      </c>
      <c r="G4267" s="0" t="n">
        <v>2021</v>
      </c>
    </row>
    <row r="4268" customFormat="false" ht="15" hidden="false" customHeight="false" outlineLevel="0" collapsed="false">
      <c r="A4268" s="0" t="s">
        <v>261</v>
      </c>
      <c r="B4268" s="52" t="n">
        <v>44404</v>
      </c>
      <c r="C4268" s="54" t="s">
        <v>590</v>
      </c>
      <c r="D4268" s="0" t="n">
        <v>0.0498107120563558</v>
      </c>
      <c r="E4268" s="0" t="n">
        <v>0.0058107372018685</v>
      </c>
      <c r="F4268" s="0" t="n">
        <v>0</v>
      </c>
      <c r="G4268" s="0" t="n">
        <v>2021</v>
      </c>
    </row>
    <row r="4269" customFormat="false" ht="15" hidden="false" customHeight="false" outlineLevel="0" collapsed="false">
      <c r="A4269" s="0" t="s">
        <v>261</v>
      </c>
      <c r="B4269" s="52" t="n">
        <v>44404</v>
      </c>
      <c r="C4269" s="54" t="s">
        <v>591</v>
      </c>
      <c r="D4269" s="0" t="n">
        <v>0.0080444060049746</v>
      </c>
      <c r="E4269" s="0" t="n">
        <v>0.0112544875275143</v>
      </c>
      <c r="F4269" s="0" t="n">
        <v>0</v>
      </c>
      <c r="G4269" s="0" t="n">
        <v>2021</v>
      </c>
    </row>
    <row r="4270" customFormat="false" ht="15" hidden="false" customHeight="false" outlineLevel="0" collapsed="false">
      <c r="A4270" s="0" t="s">
        <v>261</v>
      </c>
      <c r="B4270" s="52" t="n">
        <v>44404</v>
      </c>
      <c r="C4270" s="54" t="s">
        <v>592</v>
      </c>
      <c r="D4270" s="0" t="n">
        <v>0.167487698003339</v>
      </c>
      <c r="E4270" s="0" t="n">
        <v>0.016195066351421</v>
      </c>
      <c r="F4270" s="0" t="n">
        <v>0</v>
      </c>
      <c r="G4270" s="0" t="n">
        <v>2021</v>
      </c>
    </row>
    <row r="4271" customFormat="false" ht="15" hidden="false" customHeight="false" outlineLevel="0" collapsed="false">
      <c r="A4271" s="0" t="s">
        <v>261</v>
      </c>
      <c r="B4271" s="52" t="n">
        <v>44405</v>
      </c>
      <c r="C4271" s="54" t="s">
        <v>590</v>
      </c>
      <c r="D4271" s="0" t="n">
        <v>0.351320826115853</v>
      </c>
      <c r="E4271" s="0" t="n">
        <v>0.0182112110744329</v>
      </c>
      <c r="F4271" s="0" t="n">
        <v>0</v>
      </c>
      <c r="G4271" s="0" t="n">
        <v>2021</v>
      </c>
    </row>
    <row r="4272" customFormat="false" ht="15" hidden="false" customHeight="false" outlineLevel="0" collapsed="false">
      <c r="A4272" s="0" t="s">
        <v>261</v>
      </c>
      <c r="B4272" s="52" t="n">
        <v>44405</v>
      </c>
      <c r="C4272" s="54" t="s">
        <v>591</v>
      </c>
      <c r="D4272" s="0" t="n">
        <v>0.0314452105784918</v>
      </c>
      <c r="E4272" s="0" t="n">
        <v>0.0226898656103194</v>
      </c>
      <c r="F4272" s="0" t="n">
        <v>0</v>
      </c>
      <c r="G4272" s="0" t="n">
        <v>2021</v>
      </c>
    </row>
    <row r="4273" customFormat="false" ht="15" hidden="false" customHeight="false" outlineLevel="0" collapsed="false">
      <c r="A4273" s="0" t="s">
        <v>261</v>
      </c>
      <c r="B4273" s="52" t="n">
        <v>44405</v>
      </c>
      <c r="C4273" s="54" t="s">
        <v>592</v>
      </c>
      <c r="D4273" s="0" t="n">
        <v>0.232029257233191</v>
      </c>
      <c r="E4273" s="0" t="n">
        <v>0.0739988061851535</v>
      </c>
      <c r="F4273" s="0" t="n">
        <v>0</v>
      </c>
      <c r="G4273" s="0" t="n">
        <v>2021</v>
      </c>
    </row>
    <row r="4274" customFormat="false" ht="15" hidden="false" customHeight="false" outlineLevel="0" collapsed="false">
      <c r="A4274" s="0" t="s">
        <v>261</v>
      </c>
      <c r="B4274" s="52" t="n">
        <v>44406</v>
      </c>
      <c r="C4274" s="54" t="s">
        <v>590</v>
      </c>
      <c r="D4274" s="0" t="n">
        <v>0.0155241642025752</v>
      </c>
      <c r="E4274" s="0" t="n">
        <v>0</v>
      </c>
      <c r="F4274" s="0" t="n">
        <v>0</v>
      </c>
      <c r="G4274" s="0" t="n">
        <v>2021</v>
      </c>
    </row>
    <row r="4275" customFormat="false" ht="15" hidden="false" customHeight="false" outlineLevel="0" collapsed="false">
      <c r="A4275" s="0" t="s">
        <v>261</v>
      </c>
      <c r="B4275" s="52" t="n">
        <v>44406</v>
      </c>
      <c r="C4275" s="54" t="s">
        <v>591</v>
      </c>
      <c r="D4275" s="0" t="n">
        <v>0.828331934627338</v>
      </c>
      <c r="E4275" s="0" t="n">
        <v>0.0047936178774375</v>
      </c>
      <c r="F4275" s="0" t="n">
        <v>0</v>
      </c>
      <c r="G4275" s="0" t="n">
        <v>2021</v>
      </c>
    </row>
    <row r="4276" customFormat="false" ht="15" hidden="false" customHeight="false" outlineLevel="0" collapsed="false">
      <c r="A4276" s="0" t="s">
        <v>261</v>
      </c>
      <c r="B4276" s="52" t="n">
        <v>44406</v>
      </c>
      <c r="C4276" s="54" t="s">
        <v>592</v>
      </c>
      <c r="D4276" s="0" t="n">
        <v>0.0183095119311236</v>
      </c>
      <c r="E4276" s="0" t="n">
        <v>0.0573093388260167</v>
      </c>
      <c r="F4276" s="0" t="n">
        <v>0</v>
      </c>
      <c r="G4276" s="0" t="n">
        <v>2021</v>
      </c>
    </row>
    <row r="4277" customFormat="false" ht="15" hidden="false" customHeight="false" outlineLevel="0" collapsed="false">
      <c r="A4277" s="0" t="s">
        <v>261</v>
      </c>
      <c r="B4277" s="52" t="n">
        <v>44407</v>
      </c>
      <c r="C4277" s="54" t="s">
        <v>590</v>
      </c>
      <c r="D4277" s="0" t="n">
        <v>0.295035360907821</v>
      </c>
      <c r="E4277" s="0" t="n">
        <v>0.0445003481806715</v>
      </c>
      <c r="F4277" s="0" t="n">
        <v>0</v>
      </c>
      <c r="G4277" s="0" t="n">
        <v>2021</v>
      </c>
    </row>
    <row r="4278" customFormat="false" ht="15" hidden="false" customHeight="false" outlineLevel="0" collapsed="false">
      <c r="A4278" s="0" t="s">
        <v>261</v>
      </c>
      <c r="B4278" s="52" t="n">
        <v>44407</v>
      </c>
      <c r="C4278" s="54" t="s">
        <v>591</v>
      </c>
      <c r="D4278" s="0" t="n">
        <v>0.0456133634804759</v>
      </c>
      <c r="E4278" s="0" t="n">
        <v>0.0708703572584932</v>
      </c>
      <c r="F4278" s="0" t="n">
        <v>0</v>
      </c>
      <c r="G4278" s="0" t="n">
        <v>2021</v>
      </c>
    </row>
    <row r="4279" customFormat="false" ht="15" hidden="false" customHeight="false" outlineLevel="0" collapsed="false">
      <c r="A4279" s="0" t="s">
        <v>261</v>
      </c>
      <c r="B4279" s="52" t="n">
        <v>44407</v>
      </c>
      <c r="C4279" s="54" t="s">
        <v>592</v>
      </c>
      <c r="D4279" s="0" t="n">
        <v>0.0514068890495744</v>
      </c>
      <c r="E4279" s="0" t="n">
        <v>0.0377603814490466</v>
      </c>
      <c r="F4279" s="0" t="n">
        <v>0</v>
      </c>
      <c r="G4279" s="0" t="n">
        <v>2021</v>
      </c>
    </row>
    <row r="4280" customFormat="false" ht="15" hidden="false" customHeight="false" outlineLevel="0" collapsed="false">
      <c r="A4280" s="0" t="s">
        <v>261</v>
      </c>
      <c r="B4280" s="52" t="n">
        <v>44408</v>
      </c>
      <c r="C4280" s="54" t="s">
        <v>590</v>
      </c>
      <c r="D4280" s="0" t="n">
        <v>0.0416329161669151</v>
      </c>
      <c r="E4280" s="0" t="n">
        <v>0.103723538352591</v>
      </c>
      <c r="F4280" s="0" t="n">
        <v>1</v>
      </c>
      <c r="G4280" s="0" t="n">
        <v>2021</v>
      </c>
    </row>
    <row r="4281" customFormat="false" ht="15" hidden="false" customHeight="false" outlineLevel="0" collapsed="false">
      <c r="A4281" s="0" t="s">
        <v>261</v>
      </c>
      <c r="B4281" s="52" t="n">
        <v>44408</v>
      </c>
      <c r="C4281" s="54" t="s">
        <v>591</v>
      </c>
      <c r="D4281" s="0" t="n">
        <v>0.0317335950987504</v>
      </c>
      <c r="E4281" s="0" t="n">
        <v>0.112759896682704</v>
      </c>
      <c r="F4281" s="0" t="n">
        <v>1</v>
      </c>
      <c r="G4281" s="0" t="n">
        <v>2021</v>
      </c>
    </row>
    <row r="4282" customFormat="false" ht="15" hidden="false" customHeight="false" outlineLevel="0" collapsed="false">
      <c r="A4282" s="0" t="s">
        <v>261</v>
      </c>
      <c r="B4282" s="52" t="n">
        <v>44408</v>
      </c>
      <c r="C4282" s="54" t="s">
        <v>592</v>
      </c>
      <c r="D4282" s="0" t="n">
        <v>0.0685774621576443</v>
      </c>
      <c r="E4282" s="0" t="n">
        <v>0.0384633962234987</v>
      </c>
      <c r="F4282" s="0" t="n">
        <v>1</v>
      </c>
      <c r="G4282" s="0" t="n">
        <v>2021</v>
      </c>
    </row>
    <row r="4283" customFormat="false" ht="15" hidden="false" customHeight="false" outlineLevel="0" collapsed="false">
      <c r="A4283" s="0" t="s">
        <v>261</v>
      </c>
      <c r="B4283" s="52" t="n">
        <v>44410</v>
      </c>
      <c r="C4283" s="54" t="s">
        <v>590</v>
      </c>
      <c r="D4283" s="0" t="n">
        <v>0.0275615216205046</v>
      </c>
      <c r="E4283" s="0" t="n">
        <v>0.0276637935409955</v>
      </c>
      <c r="F4283" s="0" t="n">
        <v>0</v>
      </c>
      <c r="G4283" s="0" t="n">
        <v>2021</v>
      </c>
    </row>
    <row r="4284" customFormat="false" ht="15" hidden="false" customHeight="false" outlineLevel="0" collapsed="false">
      <c r="A4284" s="0" t="s">
        <v>261</v>
      </c>
      <c r="B4284" s="52" t="n">
        <v>44410</v>
      </c>
      <c r="C4284" s="54" t="s">
        <v>591</v>
      </c>
      <c r="D4284" s="0" t="n">
        <v>0.0514925639516026</v>
      </c>
      <c r="E4284" s="0" t="n">
        <v>0.0796928689614974</v>
      </c>
      <c r="F4284" s="0" t="n">
        <v>0</v>
      </c>
      <c r="G4284" s="0" t="n">
        <v>2021</v>
      </c>
    </row>
    <row r="4285" customFormat="false" ht="15" hidden="false" customHeight="false" outlineLevel="0" collapsed="false">
      <c r="A4285" s="0" t="s">
        <v>261</v>
      </c>
      <c r="B4285" s="52" t="n">
        <v>44410</v>
      </c>
      <c r="C4285" s="54" t="s">
        <v>592</v>
      </c>
      <c r="D4285" s="0" t="n">
        <v>0.0843367493726507</v>
      </c>
      <c r="E4285" s="0" t="n">
        <v>0.120775972590046</v>
      </c>
      <c r="F4285" s="0" t="n">
        <v>0</v>
      </c>
      <c r="G4285" s="0" t="n">
        <v>2021</v>
      </c>
    </row>
    <row r="4286" customFormat="false" ht="15" hidden="false" customHeight="false" outlineLevel="0" collapsed="false">
      <c r="A4286" s="0" t="s">
        <v>261</v>
      </c>
      <c r="B4286" s="52" t="n">
        <v>44411</v>
      </c>
      <c r="C4286" s="54" t="s">
        <v>590</v>
      </c>
      <c r="D4286" s="0" t="n">
        <v>0.332207986972647</v>
      </c>
      <c r="E4286" s="0" t="n">
        <v>0.01733344632144</v>
      </c>
      <c r="F4286" s="0" t="n">
        <v>0</v>
      </c>
      <c r="G4286" s="0" t="n">
        <v>2021</v>
      </c>
    </row>
    <row r="4287" customFormat="false" ht="15" hidden="false" customHeight="false" outlineLevel="0" collapsed="false">
      <c r="A4287" s="0" t="s">
        <v>261</v>
      </c>
      <c r="B4287" s="52" t="n">
        <v>44411</v>
      </c>
      <c r="C4287" s="54" t="s">
        <v>591</v>
      </c>
      <c r="D4287" s="0" t="n">
        <v>0.0131514996499495</v>
      </c>
      <c r="E4287" s="0" t="n">
        <v>0.050180242306023</v>
      </c>
      <c r="F4287" s="0" t="n">
        <v>0</v>
      </c>
      <c r="G4287" s="0" t="n">
        <v>2021</v>
      </c>
    </row>
    <row r="4288" customFormat="false" ht="15" hidden="false" customHeight="false" outlineLevel="0" collapsed="false">
      <c r="A4288" s="0" t="s">
        <v>261</v>
      </c>
      <c r="B4288" s="52" t="n">
        <v>44411</v>
      </c>
      <c r="C4288" s="54" t="s">
        <v>592</v>
      </c>
      <c r="D4288" s="0" t="n">
        <v>0.0369430305025704</v>
      </c>
      <c r="E4288" s="0" t="n">
        <v>0.0657357976336212</v>
      </c>
      <c r="F4288" s="0" t="n">
        <v>0</v>
      </c>
      <c r="G4288" s="0" t="n">
        <v>2021</v>
      </c>
    </row>
    <row r="4289" customFormat="false" ht="15" hidden="false" customHeight="false" outlineLevel="0" collapsed="false">
      <c r="A4289" s="0" t="s">
        <v>261</v>
      </c>
      <c r="B4289" s="52" t="n">
        <v>44412</v>
      </c>
      <c r="C4289" s="54" t="s">
        <v>590</v>
      </c>
      <c r="D4289" s="0" t="n">
        <v>0.175383057390098</v>
      </c>
      <c r="E4289" s="0" t="n">
        <v>0.24975814245925</v>
      </c>
      <c r="F4289" s="0" t="n">
        <v>0</v>
      </c>
      <c r="G4289" s="0" t="n">
        <v>2021</v>
      </c>
    </row>
    <row r="4290" customFormat="false" ht="15" hidden="false" customHeight="false" outlineLevel="0" collapsed="false">
      <c r="A4290" s="0" t="s">
        <v>261</v>
      </c>
      <c r="B4290" s="52" t="n">
        <v>44412</v>
      </c>
      <c r="C4290" s="54" t="s">
        <v>591</v>
      </c>
      <c r="D4290" s="0" t="n">
        <v>0.0552995591495639</v>
      </c>
      <c r="E4290" s="0" t="n">
        <v>0.162785338769903</v>
      </c>
      <c r="F4290" s="0" t="n">
        <v>0</v>
      </c>
      <c r="G4290" s="0" t="n">
        <v>2021</v>
      </c>
    </row>
    <row r="4291" customFormat="false" ht="15" hidden="false" customHeight="false" outlineLevel="0" collapsed="false">
      <c r="A4291" s="0" t="s">
        <v>261</v>
      </c>
      <c r="B4291" s="52" t="n">
        <v>44412</v>
      </c>
      <c r="C4291" s="54" t="s">
        <v>592</v>
      </c>
      <c r="D4291" s="0" t="n">
        <v>0.449660610332753</v>
      </c>
      <c r="E4291" s="0" t="n">
        <v>0.0562354077826807</v>
      </c>
      <c r="F4291" s="0" t="n">
        <v>0</v>
      </c>
      <c r="G4291" s="0" t="n">
        <v>2021</v>
      </c>
    </row>
    <row r="4292" customFormat="false" ht="15" hidden="false" customHeight="false" outlineLevel="0" collapsed="false">
      <c r="A4292" s="0" t="s">
        <v>261</v>
      </c>
      <c r="B4292" s="52" t="n">
        <v>44413</v>
      </c>
      <c r="C4292" s="54" t="s">
        <v>590</v>
      </c>
      <c r="D4292" s="0" t="n">
        <v>0.371054575734595</v>
      </c>
      <c r="E4292" s="0" t="n">
        <v>0.0052393793081979</v>
      </c>
      <c r="F4292" s="0" t="n">
        <v>0</v>
      </c>
      <c r="G4292" s="0" t="n">
        <v>2021</v>
      </c>
    </row>
    <row r="4293" customFormat="false" ht="15" hidden="false" customHeight="false" outlineLevel="0" collapsed="false">
      <c r="A4293" s="0" t="s">
        <v>261</v>
      </c>
      <c r="B4293" s="52" t="n">
        <v>44413</v>
      </c>
      <c r="C4293" s="54" t="s">
        <v>591</v>
      </c>
      <c r="D4293" s="0" t="n">
        <v>0.0263824674299769</v>
      </c>
      <c r="E4293" s="0" t="n">
        <v>0.031860177855628</v>
      </c>
      <c r="F4293" s="0" t="n">
        <v>0</v>
      </c>
      <c r="G4293" s="0" t="n">
        <v>2021</v>
      </c>
    </row>
    <row r="4294" customFormat="false" ht="15" hidden="false" customHeight="false" outlineLevel="0" collapsed="false">
      <c r="A4294" s="0" t="s">
        <v>261</v>
      </c>
      <c r="B4294" s="52" t="n">
        <v>44413</v>
      </c>
      <c r="C4294" s="54" t="s">
        <v>592</v>
      </c>
      <c r="D4294" s="0" t="n">
        <v>0.176136771294634</v>
      </c>
      <c r="E4294" s="0" t="n">
        <v>0.201838981820131</v>
      </c>
      <c r="F4294" s="0" t="n">
        <v>0</v>
      </c>
      <c r="G4294" s="0" t="n">
        <v>2021</v>
      </c>
    </row>
    <row r="4295" customFormat="false" ht="15" hidden="false" customHeight="false" outlineLevel="0" collapsed="false">
      <c r="A4295" s="0" t="s">
        <v>261</v>
      </c>
      <c r="B4295" s="52" t="n">
        <v>44414</v>
      </c>
      <c r="C4295" s="54" t="s">
        <v>590</v>
      </c>
      <c r="D4295" s="0" t="n">
        <v>0.171539974779068</v>
      </c>
      <c r="E4295" s="0" t="n">
        <v>0.135082027846707</v>
      </c>
      <c r="F4295" s="0" t="n">
        <v>0</v>
      </c>
      <c r="G4295" s="0" t="n">
        <v>2021</v>
      </c>
    </row>
    <row r="4296" customFormat="false" ht="15" hidden="false" customHeight="false" outlineLevel="0" collapsed="false">
      <c r="A4296" s="0" t="s">
        <v>261</v>
      </c>
      <c r="B4296" s="52" t="n">
        <v>44414</v>
      </c>
      <c r="C4296" s="54" t="s">
        <v>591</v>
      </c>
      <c r="D4296" s="0" t="n">
        <v>0.112307818757418</v>
      </c>
      <c r="E4296" s="0" t="n">
        <v>0.104526515361626</v>
      </c>
      <c r="F4296" s="0" t="n">
        <v>0</v>
      </c>
      <c r="G4296" s="0" t="n">
        <v>2021</v>
      </c>
    </row>
    <row r="4297" customFormat="false" ht="15" hidden="false" customHeight="false" outlineLevel="0" collapsed="false">
      <c r="A4297" s="0" t="s">
        <v>261</v>
      </c>
      <c r="B4297" s="52" t="n">
        <v>44414</v>
      </c>
      <c r="C4297" s="54" t="s">
        <v>592</v>
      </c>
      <c r="D4297" s="0" t="n">
        <v>0.229144773228867</v>
      </c>
      <c r="E4297" s="0" t="n">
        <v>0.0507193986589517</v>
      </c>
      <c r="F4297" s="0" t="n">
        <v>0</v>
      </c>
      <c r="G4297" s="0" t="n">
        <v>2021</v>
      </c>
    </row>
    <row r="4298" customFormat="false" ht="15" hidden="false" customHeight="false" outlineLevel="0" collapsed="false">
      <c r="A4298" s="0" t="s">
        <v>261</v>
      </c>
      <c r="B4298" s="52" t="n">
        <v>44415</v>
      </c>
      <c r="C4298" s="54" t="s">
        <v>590</v>
      </c>
      <c r="D4298" s="0" t="n">
        <v>0.424448219119646</v>
      </c>
      <c r="E4298" s="0" t="n">
        <v>0.0132027673680744</v>
      </c>
      <c r="F4298" s="0" t="n">
        <v>1</v>
      </c>
      <c r="G4298" s="0" t="n">
        <v>2021</v>
      </c>
    </row>
    <row r="4299" customFormat="false" ht="15" hidden="false" customHeight="false" outlineLevel="0" collapsed="false">
      <c r="A4299" s="0" t="s">
        <v>261</v>
      </c>
      <c r="B4299" s="52" t="n">
        <v>44415</v>
      </c>
      <c r="C4299" s="54" t="s">
        <v>591</v>
      </c>
      <c r="D4299" s="0" t="n">
        <v>0.0198374985691695</v>
      </c>
      <c r="E4299" s="0" t="n">
        <v>0.183354387023075</v>
      </c>
      <c r="F4299" s="0" t="n">
        <v>1</v>
      </c>
      <c r="G4299" s="0" t="n">
        <v>2021</v>
      </c>
    </row>
    <row r="4300" customFormat="false" ht="15" hidden="false" customHeight="false" outlineLevel="0" collapsed="false">
      <c r="A4300" s="0" t="s">
        <v>261</v>
      </c>
      <c r="B4300" s="52" t="n">
        <v>44415</v>
      </c>
      <c r="C4300" s="54" t="s">
        <v>592</v>
      </c>
      <c r="D4300" s="0" t="n">
        <v>0.149495268709872</v>
      </c>
      <c r="E4300" s="0" t="n">
        <v>0.270856140438301</v>
      </c>
      <c r="F4300" s="0" t="n">
        <v>1</v>
      </c>
      <c r="G4300" s="0" t="n">
        <v>2021</v>
      </c>
    </row>
    <row r="4301" customFormat="false" ht="15" hidden="false" customHeight="false" outlineLevel="0" collapsed="false">
      <c r="A4301" s="0" t="s">
        <v>261</v>
      </c>
      <c r="B4301" s="52" t="n">
        <v>44416</v>
      </c>
      <c r="C4301" s="54" t="s">
        <v>590</v>
      </c>
      <c r="D4301" s="0" t="n">
        <v>0.564346377495258</v>
      </c>
      <c r="E4301" s="0" t="n">
        <v>0</v>
      </c>
      <c r="F4301" s="0" t="n">
        <v>1</v>
      </c>
      <c r="G4301" s="0" t="n">
        <v>2021</v>
      </c>
    </row>
    <row r="4302" customFormat="false" ht="15" hidden="false" customHeight="false" outlineLevel="0" collapsed="false">
      <c r="A4302" s="0" t="s">
        <v>261</v>
      </c>
      <c r="B4302" s="52" t="n">
        <v>44416</v>
      </c>
      <c r="C4302" s="54" t="s">
        <v>591</v>
      </c>
      <c r="D4302" s="0" t="n">
        <v>0.89296281787019</v>
      </c>
      <c r="E4302" s="0" t="n">
        <v>0</v>
      </c>
      <c r="F4302" s="0" t="n">
        <v>1</v>
      </c>
      <c r="G4302" s="0" t="n">
        <v>2021</v>
      </c>
    </row>
    <row r="4303" customFormat="false" ht="15" hidden="false" customHeight="false" outlineLevel="0" collapsed="false">
      <c r="A4303" s="0" t="s">
        <v>261</v>
      </c>
      <c r="B4303" s="52" t="n">
        <v>44417</v>
      </c>
      <c r="C4303" s="54" t="s">
        <v>590</v>
      </c>
      <c r="D4303" s="0" t="n">
        <v>0.0382029962937426</v>
      </c>
      <c r="E4303" s="0" t="n">
        <v>0.103122101770467</v>
      </c>
      <c r="F4303" s="0" t="n">
        <v>0</v>
      </c>
      <c r="G4303" s="0" t="n">
        <v>2021</v>
      </c>
    </row>
    <row r="4304" customFormat="false" ht="15" hidden="false" customHeight="false" outlineLevel="0" collapsed="false">
      <c r="A4304" s="0" t="s">
        <v>261</v>
      </c>
      <c r="B4304" s="52" t="n">
        <v>44417</v>
      </c>
      <c r="C4304" s="54" t="s">
        <v>591</v>
      </c>
      <c r="D4304" s="0" t="n">
        <v>0.0240675957651074</v>
      </c>
      <c r="E4304" s="0" t="n">
        <v>0.158199571862959</v>
      </c>
      <c r="F4304" s="0" t="n">
        <v>0</v>
      </c>
      <c r="G4304" s="0" t="n">
        <v>2021</v>
      </c>
    </row>
    <row r="4305" customFormat="false" ht="15" hidden="false" customHeight="false" outlineLevel="0" collapsed="false">
      <c r="A4305" s="0" t="s">
        <v>261</v>
      </c>
      <c r="B4305" s="52" t="n">
        <v>44417</v>
      </c>
      <c r="C4305" s="54" t="s">
        <v>592</v>
      </c>
      <c r="D4305" s="0" t="n">
        <v>0.0498951623801267</v>
      </c>
      <c r="E4305" s="0" t="n">
        <v>0.0258885770209116</v>
      </c>
      <c r="F4305" s="0" t="n">
        <v>0</v>
      </c>
      <c r="G4305" s="0" t="n">
        <v>2021</v>
      </c>
    </row>
    <row r="4306" customFormat="false" ht="15" hidden="false" customHeight="false" outlineLevel="0" collapsed="false">
      <c r="A4306" s="0" t="s">
        <v>261</v>
      </c>
      <c r="B4306" s="52" t="n">
        <v>44418</v>
      </c>
      <c r="C4306" s="54" t="s">
        <v>590</v>
      </c>
      <c r="D4306" s="0" t="n">
        <v>0.225682778910075</v>
      </c>
      <c r="E4306" s="0" t="n">
        <v>0.0103359283246839</v>
      </c>
      <c r="F4306" s="0" t="n">
        <v>0</v>
      </c>
      <c r="G4306" s="0" t="n">
        <v>2021</v>
      </c>
    </row>
    <row r="4307" customFormat="false" ht="15" hidden="false" customHeight="false" outlineLevel="0" collapsed="false">
      <c r="A4307" s="0" t="s">
        <v>261</v>
      </c>
      <c r="B4307" s="52" t="n">
        <v>44418</v>
      </c>
      <c r="C4307" s="54" t="s">
        <v>591</v>
      </c>
      <c r="D4307" s="0" t="n">
        <v>0.261344656270429</v>
      </c>
      <c r="E4307" s="0" t="n">
        <v>0.0777629924500854</v>
      </c>
      <c r="F4307" s="0" t="n">
        <v>0</v>
      </c>
      <c r="G4307" s="0" t="n">
        <v>2021</v>
      </c>
    </row>
    <row r="4308" customFormat="false" ht="15" hidden="false" customHeight="false" outlineLevel="0" collapsed="false">
      <c r="A4308" s="0" t="s">
        <v>261</v>
      </c>
      <c r="B4308" s="52" t="n">
        <v>44418</v>
      </c>
      <c r="C4308" s="54" t="s">
        <v>592</v>
      </c>
      <c r="D4308" s="0" t="n">
        <v>0.492191396860026</v>
      </c>
      <c r="E4308" s="0" t="n">
        <v>0.0662816429131431</v>
      </c>
      <c r="F4308" s="0" t="n">
        <v>0</v>
      </c>
      <c r="G4308" s="0" t="n">
        <v>2021</v>
      </c>
    </row>
    <row r="4309" customFormat="false" ht="15" hidden="false" customHeight="false" outlineLevel="0" collapsed="false">
      <c r="A4309" s="0" t="s">
        <v>261</v>
      </c>
      <c r="B4309" s="52" t="n">
        <v>44419</v>
      </c>
      <c r="C4309" s="54" t="s">
        <v>590</v>
      </c>
      <c r="D4309" s="0" t="n">
        <v>0.982637655036436</v>
      </c>
      <c r="E4309" s="0" t="n">
        <v>0</v>
      </c>
      <c r="F4309" s="0" t="n">
        <v>0</v>
      </c>
      <c r="G4309" s="0" t="n">
        <v>2021</v>
      </c>
    </row>
    <row r="4310" customFormat="false" ht="15" hidden="false" customHeight="false" outlineLevel="0" collapsed="false">
      <c r="A4310" s="0" t="s">
        <v>261</v>
      </c>
      <c r="B4310" s="52" t="n">
        <v>44419</v>
      </c>
      <c r="C4310" s="54" t="s">
        <v>591</v>
      </c>
      <c r="D4310" s="0" t="n">
        <v>0.318264237138588</v>
      </c>
      <c r="E4310" s="0" t="n">
        <v>0.017826674788033</v>
      </c>
      <c r="F4310" s="0" t="n">
        <v>0</v>
      </c>
      <c r="G4310" s="0" t="n">
        <v>2021</v>
      </c>
    </row>
    <row r="4311" customFormat="false" ht="15" hidden="false" customHeight="false" outlineLevel="0" collapsed="false">
      <c r="A4311" s="0" t="s">
        <v>261</v>
      </c>
      <c r="B4311" s="52" t="n">
        <v>44419</v>
      </c>
      <c r="C4311" s="54" t="s">
        <v>592</v>
      </c>
      <c r="D4311" s="0" t="n">
        <v>0.291043627492633</v>
      </c>
      <c r="E4311" s="0" t="n">
        <v>0.0463393688072076</v>
      </c>
      <c r="F4311" s="0" t="n">
        <v>0</v>
      </c>
      <c r="G4311" s="0" t="n">
        <v>2021</v>
      </c>
    </row>
    <row r="4312" customFormat="false" ht="15" hidden="false" customHeight="false" outlineLevel="0" collapsed="false">
      <c r="A4312" s="0" t="s">
        <v>261</v>
      </c>
      <c r="B4312" s="52" t="n">
        <v>44420</v>
      </c>
      <c r="C4312" s="54" t="s">
        <v>590</v>
      </c>
      <c r="D4312" s="0" t="n">
        <v>0.0944586915432609</v>
      </c>
      <c r="E4312" s="0" t="n">
        <v>0</v>
      </c>
      <c r="F4312" s="0" t="n">
        <v>0</v>
      </c>
      <c r="G4312" s="0" t="n">
        <v>2021</v>
      </c>
    </row>
    <row r="4313" customFormat="false" ht="15" hidden="false" customHeight="false" outlineLevel="0" collapsed="false">
      <c r="A4313" s="0" t="s">
        <v>261</v>
      </c>
      <c r="B4313" s="52" t="n">
        <v>44420</v>
      </c>
      <c r="C4313" s="54" t="s">
        <v>591</v>
      </c>
      <c r="D4313" s="0" t="n">
        <v>0.0376195098497759</v>
      </c>
      <c r="E4313" s="0" t="n">
        <v>0.133275354337711</v>
      </c>
      <c r="F4313" s="0" t="n">
        <v>0</v>
      </c>
      <c r="G4313" s="0" t="n">
        <v>2021</v>
      </c>
    </row>
    <row r="4314" customFormat="false" ht="15" hidden="false" customHeight="false" outlineLevel="0" collapsed="false">
      <c r="A4314" s="0" t="s">
        <v>261</v>
      </c>
      <c r="B4314" s="52" t="n">
        <v>44420</v>
      </c>
      <c r="C4314" s="54" t="s">
        <v>592</v>
      </c>
      <c r="D4314" s="0" t="n">
        <v>0.0712771078284252</v>
      </c>
      <c r="E4314" s="0" t="n">
        <v>0.0786045082085913</v>
      </c>
      <c r="F4314" s="0" t="n">
        <v>0</v>
      </c>
      <c r="G4314" s="0" t="n">
        <v>2021</v>
      </c>
    </row>
    <row r="4315" customFormat="false" ht="15" hidden="false" customHeight="false" outlineLevel="0" collapsed="false">
      <c r="A4315" s="0" t="s">
        <v>261</v>
      </c>
      <c r="B4315" s="52" t="n">
        <v>44421</v>
      </c>
      <c r="C4315" s="54" t="s">
        <v>590</v>
      </c>
      <c r="D4315" s="0" t="n">
        <v>0.201633159170979</v>
      </c>
      <c r="E4315" s="0" t="n">
        <v>0.0479558560541457</v>
      </c>
      <c r="F4315" s="0" t="n">
        <v>0</v>
      </c>
      <c r="G4315" s="0" t="n">
        <v>2021</v>
      </c>
    </row>
    <row r="4316" customFormat="false" ht="15" hidden="false" customHeight="false" outlineLevel="0" collapsed="false">
      <c r="A4316" s="0" t="s">
        <v>261</v>
      </c>
      <c r="B4316" s="52" t="n">
        <v>44421</v>
      </c>
      <c r="C4316" s="54" t="s">
        <v>591</v>
      </c>
      <c r="D4316" s="0" t="n">
        <v>0.0067317021802005</v>
      </c>
      <c r="E4316" s="0" t="n">
        <v>0.117627572159858</v>
      </c>
      <c r="F4316" s="0" t="n">
        <v>0</v>
      </c>
      <c r="G4316" s="0" t="n">
        <v>2021</v>
      </c>
    </row>
    <row r="4317" customFormat="false" ht="15" hidden="false" customHeight="false" outlineLevel="0" collapsed="false">
      <c r="A4317" s="0" t="s">
        <v>261</v>
      </c>
      <c r="B4317" s="52" t="n">
        <v>44421</v>
      </c>
      <c r="C4317" s="54" t="s">
        <v>592</v>
      </c>
      <c r="D4317" s="0" t="n">
        <v>0.169064443727623</v>
      </c>
      <c r="E4317" s="0" t="n">
        <v>0.0156000429271912</v>
      </c>
      <c r="F4317" s="0" t="n">
        <v>0</v>
      </c>
      <c r="G4317" s="0" t="n">
        <v>2021</v>
      </c>
    </row>
    <row r="4318" customFormat="false" ht="15" hidden="false" customHeight="false" outlineLevel="0" collapsed="false">
      <c r="A4318" s="0" t="s">
        <v>261</v>
      </c>
      <c r="B4318" s="52" t="n">
        <v>44422</v>
      </c>
      <c r="C4318" s="54" t="s">
        <v>590</v>
      </c>
      <c r="D4318" s="0" t="n">
        <v>0.453800419535845</v>
      </c>
      <c r="E4318" s="0" t="n">
        <v>0.0141856529401378</v>
      </c>
      <c r="F4318" s="0" t="n">
        <v>1</v>
      </c>
      <c r="G4318" s="0" t="n">
        <v>2021</v>
      </c>
    </row>
    <row r="4319" customFormat="false" ht="15" hidden="false" customHeight="false" outlineLevel="0" collapsed="false">
      <c r="A4319" s="0" t="s">
        <v>261</v>
      </c>
      <c r="B4319" s="52" t="n">
        <v>44422</v>
      </c>
      <c r="C4319" s="54" t="s">
        <v>591</v>
      </c>
      <c r="D4319" s="0" t="n">
        <v>0.0098243201371822</v>
      </c>
      <c r="E4319" s="0" t="n">
        <v>0.0334631980611123</v>
      </c>
      <c r="F4319" s="0" t="n">
        <v>1</v>
      </c>
      <c r="G4319" s="0" t="n">
        <v>2021</v>
      </c>
    </row>
    <row r="4320" customFormat="false" ht="15" hidden="false" customHeight="false" outlineLevel="0" collapsed="false">
      <c r="A4320" s="0" t="s">
        <v>261</v>
      </c>
      <c r="B4320" s="52" t="n">
        <v>44422</v>
      </c>
      <c r="C4320" s="54" t="s">
        <v>592</v>
      </c>
      <c r="D4320" s="0" t="n">
        <v>0.257787480243858</v>
      </c>
      <c r="E4320" s="0" t="n">
        <v>0.0914524095101558</v>
      </c>
      <c r="F4320" s="0" t="n">
        <v>1</v>
      </c>
      <c r="G4320" s="0" t="n">
        <v>2021</v>
      </c>
    </row>
    <row r="4321" customFormat="false" ht="15" hidden="false" customHeight="false" outlineLevel="0" collapsed="false">
      <c r="A4321" s="0" t="s">
        <v>261</v>
      </c>
      <c r="B4321" s="52" t="n">
        <v>44423</v>
      </c>
      <c r="C4321" s="54" t="s">
        <v>590</v>
      </c>
      <c r="D4321" s="0" t="n">
        <v>1</v>
      </c>
      <c r="E4321" s="0" t="n">
        <v>0</v>
      </c>
      <c r="F4321" s="0" t="n">
        <v>1</v>
      </c>
      <c r="G4321" s="0" t="n">
        <v>2021</v>
      </c>
    </row>
    <row r="4322" customFormat="false" ht="15" hidden="false" customHeight="false" outlineLevel="0" collapsed="false">
      <c r="A4322" s="0" t="s">
        <v>261</v>
      </c>
      <c r="B4322" s="52" t="n">
        <v>44424</v>
      </c>
      <c r="C4322" s="54" t="s">
        <v>590</v>
      </c>
      <c r="D4322" s="0" t="n">
        <v>0.0887570266908508</v>
      </c>
      <c r="E4322" s="0" t="n">
        <v>0.0286388311046778</v>
      </c>
      <c r="F4322" s="0" t="n">
        <v>0</v>
      </c>
      <c r="G4322" s="0" t="n">
        <v>2021</v>
      </c>
    </row>
    <row r="4323" customFormat="false" ht="15" hidden="false" customHeight="false" outlineLevel="0" collapsed="false">
      <c r="A4323" s="0" t="s">
        <v>261</v>
      </c>
      <c r="B4323" s="52" t="n">
        <v>44424</v>
      </c>
      <c r="C4323" s="54" t="s">
        <v>591</v>
      </c>
      <c r="D4323" s="0" t="n">
        <v>0.0180654068785037</v>
      </c>
      <c r="E4323" s="0" t="n">
        <v>0.025358882758179</v>
      </c>
      <c r="F4323" s="0" t="n">
        <v>0</v>
      </c>
      <c r="G4323" s="0" t="n">
        <v>2021</v>
      </c>
    </row>
    <row r="4324" customFormat="false" ht="15" hidden="false" customHeight="false" outlineLevel="0" collapsed="false">
      <c r="A4324" s="0" t="s">
        <v>261</v>
      </c>
      <c r="B4324" s="52" t="n">
        <v>44424</v>
      </c>
      <c r="C4324" s="54" t="s">
        <v>592</v>
      </c>
      <c r="D4324" s="0" t="n">
        <v>0.0920278873175168</v>
      </c>
      <c r="E4324" s="0" t="n">
        <v>0.197374217031143</v>
      </c>
      <c r="F4324" s="0" t="n">
        <v>0</v>
      </c>
      <c r="G4324" s="0" t="n">
        <v>2021</v>
      </c>
    </row>
    <row r="4325" customFormat="false" ht="15" hidden="false" customHeight="false" outlineLevel="0" collapsed="false">
      <c r="A4325" s="0" t="s">
        <v>261</v>
      </c>
      <c r="B4325" s="52" t="n">
        <v>44425</v>
      </c>
      <c r="C4325" s="54" t="s">
        <v>590</v>
      </c>
      <c r="D4325" s="0" t="n">
        <v>0.175927125291251</v>
      </c>
      <c r="E4325" s="0" t="n">
        <v>0.0352525152881204</v>
      </c>
      <c r="F4325" s="0" t="n">
        <v>0</v>
      </c>
      <c r="G4325" s="0" t="n">
        <v>2021</v>
      </c>
    </row>
    <row r="4326" customFormat="false" ht="15" hidden="false" customHeight="false" outlineLevel="0" collapsed="false">
      <c r="A4326" s="0" t="s">
        <v>261</v>
      </c>
      <c r="B4326" s="52" t="n">
        <v>44425</v>
      </c>
      <c r="C4326" s="54" t="s">
        <v>591</v>
      </c>
      <c r="D4326" s="0" t="n">
        <v>0.033796977585616</v>
      </c>
      <c r="E4326" s="0" t="n">
        <v>0.0634701958632251</v>
      </c>
      <c r="F4326" s="0" t="n">
        <v>0</v>
      </c>
      <c r="G4326" s="0" t="n">
        <v>2021</v>
      </c>
    </row>
    <row r="4327" customFormat="false" ht="15" hidden="false" customHeight="false" outlineLevel="0" collapsed="false">
      <c r="A4327" s="0" t="s">
        <v>261</v>
      </c>
      <c r="B4327" s="52" t="n">
        <v>44425</v>
      </c>
      <c r="C4327" s="54" t="s">
        <v>592</v>
      </c>
      <c r="D4327" s="0" t="n">
        <v>0.0460838103713806</v>
      </c>
      <c r="E4327" s="0" t="n">
        <v>0.0951622731252072</v>
      </c>
      <c r="F4327" s="0" t="n">
        <v>0</v>
      </c>
      <c r="G4327" s="0" t="n">
        <v>2021</v>
      </c>
    </row>
    <row r="4328" customFormat="false" ht="15" hidden="false" customHeight="false" outlineLevel="0" collapsed="false">
      <c r="A4328" s="0" t="s">
        <v>261</v>
      </c>
      <c r="B4328" s="52" t="n">
        <v>44426</v>
      </c>
      <c r="C4328" s="54" t="s">
        <v>590</v>
      </c>
      <c r="D4328" s="0" t="n">
        <v>0.997014062290881</v>
      </c>
      <c r="E4328" s="0" t="n">
        <v>0</v>
      </c>
      <c r="F4328" s="0" t="n">
        <v>0</v>
      </c>
      <c r="G4328" s="0" t="n">
        <v>2021</v>
      </c>
    </row>
    <row r="4329" customFormat="false" ht="15" hidden="false" customHeight="false" outlineLevel="0" collapsed="false">
      <c r="A4329" s="0" t="s">
        <v>261</v>
      </c>
      <c r="B4329" s="52" t="n">
        <v>44426</v>
      </c>
      <c r="C4329" s="54" t="s">
        <v>592</v>
      </c>
      <c r="D4329" s="0" t="n">
        <v>0.797085612578628</v>
      </c>
      <c r="E4329" s="0" t="n">
        <v>0.0276758323557036</v>
      </c>
      <c r="F4329" s="0" t="n">
        <v>0</v>
      </c>
      <c r="G4329" s="0" t="n">
        <v>2021</v>
      </c>
    </row>
    <row r="4330" customFormat="false" ht="15" hidden="false" customHeight="false" outlineLevel="0" collapsed="false">
      <c r="A4330" s="0" t="s">
        <v>261</v>
      </c>
      <c r="B4330" s="52" t="n">
        <v>44427</v>
      </c>
      <c r="C4330" s="54" t="s">
        <v>590</v>
      </c>
      <c r="D4330" s="0" t="n">
        <v>0.445510149194317</v>
      </c>
      <c r="E4330" s="0" t="n">
        <v>0</v>
      </c>
      <c r="F4330" s="0" t="n">
        <v>0</v>
      </c>
      <c r="G4330" s="0" t="n">
        <v>2021</v>
      </c>
    </row>
    <row r="4331" customFormat="false" ht="15" hidden="false" customHeight="false" outlineLevel="0" collapsed="false">
      <c r="A4331" s="0" t="s">
        <v>261</v>
      </c>
      <c r="B4331" s="52" t="n">
        <v>44427</v>
      </c>
      <c r="C4331" s="54" t="s">
        <v>591</v>
      </c>
      <c r="D4331" s="0" t="n">
        <v>0.0257599880448089</v>
      </c>
      <c r="E4331" s="0" t="n">
        <v>0.0929696647170734</v>
      </c>
      <c r="F4331" s="0" t="n">
        <v>0</v>
      </c>
      <c r="G4331" s="0" t="n">
        <v>2021</v>
      </c>
    </row>
    <row r="4332" customFormat="false" ht="15" hidden="false" customHeight="false" outlineLevel="0" collapsed="false">
      <c r="A4332" s="0" t="s">
        <v>261</v>
      </c>
      <c r="B4332" s="52" t="n">
        <v>44427</v>
      </c>
      <c r="C4332" s="54" t="s">
        <v>592</v>
      </c>
      <c r="D4332" s="0" t="n">
        <v>0.270075036392913</v>
      </c>
      <c r="E4332" s="0" t="n">
        <v>0.0916317041991675</v>
      </c>
      <c r="F4332" s="0" t="n">
        <v>0</v>
      </c>
      <c r="G4332" s="0" t="n">
        <v>2021</v>
      </c>
    </row>
    <row r="4333" customFormat="false" ht="15" hidden="false" customHeight="false" outlineLevel="0" collapsed="false">
      <c r="A4333" s="0" t="s">
        <v>261</v>
      </c>
      <c r="B4333" s="52" t="n">
        <v>44428</v>
      </c>
      <c r="C4333" s="54" t="s">
        <v>590</v>
      </c>
      <c r="D4333" s="0" t="n">
        <v>0.0782388940411911</v>
      </c>
      <c r="E4333" s="0" t="n">
        <v>0.0760883995596493</v>
      </c>
      <c r="F4333" s="0" t="n">
        <v>0</v>
      </c>
      <c r="G4333" s="0" t="n">
        <v>2021</v>
      </c>
    </row>
    <row r="4334" customFormat="false" ht="15" hidden="false" customHeight="false" outlineLevel="0" collapsed="false">
      <c r="A4334" s="0" t="s">
        <v>261</v>
      </c>
      <c r="B4334" s="52" t="n">
        <v>44428</v>
      </c>
      <c r="C4334" s="54" t="s">
        <v>591</v>
      </c>
      <c r="D4334" s="0" t="n">
        <v>0.0002268570888357</v>
      </c>
      <c r="E4334" s="0" t="n">
        <v>0.180653970406543</v>
      </c>
      <c r="F4334" s="0" t="n">
        <v>0</v>
      </c>
      <c r="G4334" s="0" t="n">
        <v>2021</v>
      </c>
    </row>
    <row r="4335" customFormat="false" ht="15" hidden="false" customHeight="false" outlineLevel="0" collapsed="false">
      <c r="A4335" s="0" t="s">
        <v>261</v>
      </c>
      <c r="B4335" s="52" t="n">
        <v>44428</v>
      </c>
      <c r="C4335" s="54" t="s">
        <v>592</v>
      </c>
      <c r="D4335" s="0" t="n">
        <v>0.2256196865624</v>
      </c>
      <c r="E4335" s="0" t="n">
        <v>0.0404361243475545</v>
      </c>
      <c r="F4335" s="0" t="n">
        <v>0</v>
      </c>
      <c r="G4335" s="0" t="n">
        <v>2021</v>
      </c>
    </row>
    <row r="4336" customFormat="false" ht="15" hidden="false" customHeight="false" outlineLevel="0" collapsed="false">
      <c r="A4336" s="0" t="s">
        <v>261</v>
      </c>
      <c r="B4336" s="52" t="n">
        <v>44429</v>
      </c>
      <c r="C4336" s="54" t="s">
        <v>590</v>
      </c>
      <c r="D4336" s="0" t="n">
        <v>0.0906903795168482</v>
      </c>
      <c r="E4336" s="0" t="n">
        <v>0.115790510636875</v>
      </c>
      <c r="F4336" s="0" t="n">
        <v>1</v>
      </c>
      <c r="G4336" s="0" t="n">
        <v>2021</v>
      </c>
    </row>
    <row r="4337" customFormat="false" ht="15" hidden="false" customHeight="false" outlineLevel="0" collapsed="false">
      <c r="A4337" s="0" t="s">
        <v>261</v>
      </c>
      <c r="B4337" s="52" t="n">
        <v>44429</v>
      </c>
      <c r="C4337" s="54" t="s">
        <v>591</v>
      </c>
      <c r="D4337" s="0" t="n">
        <v>0.0292893713236614</v>
      </c>
      <c r="E4337" s="0" t="n">
        <v>0.0601550003084333</v>
      </c>
      <c r="F4337" s="0" t="n">
        <v>1</v>
      </c>
      <c r="G4337" s="0" t="n">
        <v>2021</v>
      </c>
    </row>
    <row r="4338" customFormat="false" ht="15" hidden="false" customHeight="false" outlineLevel="0" collapsed="false">
      <c r="A4338" s="0" t="s">
        <v>261</v>
      </c>
      <c r="B4338" s="52" t="n">
        <v>44429</v>
      </c>
      <c r="C4338" s="54" t="s">
        <v>592</v>
      </c>
      <c r="D4338" s="0" t="n">
        <v>0.616784878698767</v>
      </c>
      <c r="E4338" s="0" t="n">
        <v>0.0267250821776174</v>
      </c>
      <c r="F4338" s="0" t="n">
        <v>1</v>
      </c>
      <c r="G4338" s="0" t="n">
        <v>2021</v>
      </c>
    </row>
    <row r="4339" customFormat="false" ht="15" hidden="false" customHeight="false" outlineLevel="0" collapsed="false">
      <c r="A4339" s="0" t="s">
        <v>261</v>
      </c>
      <c r="B4339" s="52" t="n">
        <v>44431</v>
      </c>
      <c r="C4339" s="54" t="s">
        <v>590</v>
      </c>
      <c r="D4339" s="0" t="n">
        <v>0.309772814354081</v>
      </c>
      <c r="E4339" s="0" t="n">
        <v>0.0353118510825078</v>
      </c>
      <c r="F4339" s="0" t="n">
        <v>0</v>
      </c>
      <c r="G4339" s="0" t="n">
        <v>2021</v>
      </c>
    </row>
    <row r="4340" customFormat="false" ht="15" hidden="false" customHeight="false" outlineLevel="0" collapsed="false">
      <c r="A4340" s="0" t="s">
        <v>261</v>
      </c>
      <c r="B4340" s="52" t="n">
        <v>44431</v>
      </c>
      <c r="C4340" s="54" t="s">
        <v>591</v>
      </c>
      <c r="D4340" s="0" t="n">
        <v>0.180597419923123</v>
      </c>
      <c r="E4340" s="0" t="n">
        <v>0.0282442843560431</v>
      </c>
      <c r="F4340" s="0" t="n">
        <v>0</v>
      </c>
      <c r="G4340" s="0" t="n">
        <v>2021</v>
      </c>
    </row>
    <row r="4341" customFormat="false" ht="15" hidden="false" customHeight="false" outlineLevel="0" collapsed="false">
      <c r="A4341" s="0" t="s">
        <v>261</v>
      </c>
      <c r="B4341" s="52" t="n">
        <v>44431</v>
      </c>
      <c r="C4341" s="54" t="s">
        <v>592</v>
      </c>
      <c r="D4341" s="0" t="n">
        <v>0.23628493628421</v>
      </c>
      <c r="E4341" s="0" t="n">
        <v>0.0974323803824338</v>
      </c>
      <c r="F4341" s="0" t="n">
        <v>0</v>
      </c>
      <c r="G4341" s="0" t="n">
        <v>2021</v>
      </c>
    </row>
    <row r="4342" customFormat="false" ht="15" hidden="false" customHeight="false" outlineLevel="0" collapsed="false">
      <c r="A4342" s="0" t="s">
        <v>261</v>
      </c>
      <c r="B4342" s="52" t="n">
        <v>44432</v>
      </c>
      <c r="C4342" s="54" t="s">
        <v>590</v>
      </c>
      <c r="D4342" s="0" t="n">
        <v>0.168172991296249</v>
      </c>
      <c r="E4342" s="0" t="n">
        <v>0.0214852557735261</v>
      </c>
      <c r="F4342" s="0" t="n">
        <v>0</v>
      </c>
      <c r="G4342" s="0" t="n">
        <v>2021</v>
      </c>
    </row>
    <row r="4343" customFormat="false" ht="15" hidden="false" customHeight="false" outlineLevel="0" collapsed="false">
      <c r="A4343" s="0" t="s">
        <v>261</v>
      </c>
      <c r="B4343" s="52" t="n">
        <v>44432</v>
      </c>
      <c r="C4343" s="54" t="s">
        <v>591</v>
      </c>
      <c r="D4343" s="0" t="n">
        <v>0.0375998998688499</v>
      </c>
      <c r="E4343" s="0" t="n">
        <v>0.0284673792459533</v>
      </c>
      <c r="F4343" s="0" t="n">
        <v>0</v>
      </c>
      <c r="G4343" s="0" t="n">
        <v>2021</v>
      </c>
    </row>
    <row r="4344" customFormat="false" ht="15" hidden="false" customHeight="false" outlineLevel="0" collapsed="false">
      <c r="A4344" s="0" t="s">
        <v>261</v>
      </c>
      <c r="B4344" s="52" t="n">
        <v>44432</v>
      </c>
      <c r="C4344" s="54" t="s">
        <v>592</v>
      </c>
      <c r="D4344" s="0" t="n">
        <v>0.244221923174125</v>
      </c>
      <c r="E4344" s="0" t="n">
        <v>0.0191526343797799</v>
      </c>
      <c r="F4344" s="0" t="n">
        <v>0</v>
      </c>
      <c r="G4344" s="0" t="n">
        <v>2021</v>
      </c>
    </row>
    <row r="4345" customFormat="false" ht="15" hidden="false" customHeight="false" outlineLevel="0" collapsed="false">
      <c r="A4345" s="0" t="s">
        <v>261</v>
      </c>
      <c r="B4345" s="52" t="n">
        <v>44433</v>
      </c>
      <c r="C4345" s="54" t="s">
        <v>590</v>
      </c>
      <c r="D4345" s="0" t="n">
        <v>0.357985134813335</v>
      </c>
      <c r="E4345" s="0" t="n">
        <v>0.0159516775394862</v>
      </c>
      <c r="F4345" s="0" t="n">
        <v>0</v>
      </c>
      <c r="G4345" s="0" t="n">
        <v>2021</v>
      </c>
    </row>
    <row r="4346" customFormat="false" ht="15" hidden="false" customHeight="false" outlineLevel="0" collapsed="false">
      <c r="A4346" s="0" t="s">
        <v>261</v>
      </c>
      <c r="B4346" s="52" t="n">
        <v>44433</v>
      </c>
      <c r="C4346" s="54" t="s">
        <v>591</v>
      </c>
      <c r="D4346" s="0" t="n">
        <v>0</v>
      </c>
      <c r="E4346" s="0" t="n">
        <v>0.0301004446268831</v>
      </c>
      <c r="F4346" s="0" t="n">
        <v>0</v>
      </c>
      <c r="G4346" s="0" t="n">
        <v>2021</v>
      </c>
    </row>
    <row r="4347" customFormat="false" ht="15" hidden="false" customHeight="false" outlineLevel="0" collapsed="false">
      <c r="A4347" s="0" t="s">
        <v>261</v>
      </c>
      <c r="B4347" s="52" t="n">
        <v>44434</v>
      </c>
      <c r="C4347" s="54" t="s">
        <v>590</v>
      </c>
      <c r="D4347" s="0" t="n">
        <v>0.249403156390228</v>
      </c>
      <c r="E4347" s="0" t="n">
        <v>0.0179848375795074</v>
      </c>
      <c r="F4347" s="0" t="n">
        <v>0</v>
      </c>
      <c r="G4347" s="0" t="n">
        <v>2021</v>
      </c>
    </row>
    <row r="4348" customFormat="false" ht="15" hidden="false" customHeight="false" outlineLevel="0" collapsed="false">
      <c r="A4348" s="0" t="s">
        <v>261</v>
      </c>
      <c r="B4348" s="52" t="n">
        <v>44434</v>
      </c>
      <c r="C4348" s="54" t="s">
        <v>591</v>
      </c>
      <c r="D4348" s="0" t="n">
        <v>0.0134028407611951</v>
      </c>
      <c r="E4348" s="0" t="n">
        <v>0.0430265631994099</v>
      </c>
      <c r="F4348" s="0" t="n">
        <v>0</v>
      </c>
      <c r="G4348" s="0" t="n">
        <v>2021</v>
      </c>
    </row>
    <row r="4349" customFormat="false" ht="15" hidden="false" customHeight="false" outlineLevel="0" collapsed="false">
      <c r="A4349" s="0" t="s">
        <v>261</v>
      </c>
      <c r="B4349" s="52" t="n">
        <v>44434</v>
      </c>
      <c r="C4349" s="54" t="s">
        <v>592</v>
      </c>
      <c r="D4349" s="0" t="n">
        <v>0.0649624995585998</v>
      </c>
      <c r="E4349" s="0" t="n">
        <v>0.0108912138639898</v>
      </c>
      <c r="F4349" s="0" t="n">
        <v>0</v>
      </c>
      <c r="G4349" s="0" t="n">
        <v>2021</v>
      </c>
    </row>
    <row r="4350" customFormat="false" ht="15" hidden="false" customHeight="false" outlineLevel="0" collapsed="false">
      <c r="A4350" s="0" t="s">
        <v>261</v>
      </c>
      <c r="B4350" s="52" t="n">
        <v>44435</v>
      </c>
      <c r="C4350" s="54" t="s">
        <v>590</v>
      </c>
      <c r="D4350" s="0" t="n">
        <v>0.383706991667113</v>
      </c>
      <c r="E4350" s="0" t="n">
        <v>0.0038492687207763</v>
      </c>
      <c r="F4350" s="0" t="n">
        <v>0</v>
      </c>
      <c r="G4350" s="0" t="n">
        <v>2021</v>
      </c>
    </row>
    <row r="4351" customFormat="false" ht="15" hidden="false" customHeight="false" outlineLevel="0" collapsed="false">
      <c r="A4351" s="0" t="s">
        <v>261</v>
      </c>
      <c r="B4351" s="52" t="n">
        <v>44435</v>
      </c>
      <c r="C4351" s="54" t="s">
        <v>591</v>
      </c>
      <c r="D4351" s="0" t="n">
        <v>0.0001264004403475</v>
      </c>
      <c r="E4351" s="0" t="n">
        <v>0.0094151211332615</v>
      </c>
      <c r="F4351" s="0" t="n">
        <v>0</v>
      </c>
      <c r="G4351" s="0" t="n">
        <v>2021</v>
      </c>
    </row>
    <row r="4352" customFormat="false" ht="15" hidden="false" customHeight="false" outlineLevel="0" collapsed="false">
      <c r="A4352" s="0" t="s">
        <v>261</v>
      </c>
      <c r="B4352" s="52" t="n">
        <v>44435</v>
      </c>
      <c r="C4352" s="54" t="s">
        <v>592</v>
      </c>
      <c r="D4352" s="0" t="n">
        <v>0.0176358736185202</v>
      </c>
      <c r="E4352" s="0" t="n">
        <v>0.0455808549617004</v>
      </c>
      <c r="F4352" s="0" t="n">
        <v>0</v>
      </c>
      <c r="G4352" s="0" t="n">
        <v>2021</v>
      </c>
    </row>
    <row r="4353" customFormat="false" ht="15" hidden="false" customHeight="false" outlineLevel="0" collapsed="false">
      <c r="A4353" s="0" t="s">
        <v>261</v>
      </c>
      <c r="B4353" s="52" t="n">
        <v>44436</v>
      </c>
      <c r="C4353" s="54" t="s">
        <v>590</v>
      </c>
      <c r="D4353" s="0" t="n">
        <v>0.118944733878853</v>
      </c>
      <c r="E4353" s="0" t="n">
        <v>0.0320063546822564</v>
      </c>
      <c r="F4353" s="0" t="n">
        <v>1</v>
      </c>
      <c r="G4353" s="0" t="n">
        <v>2021</v>
      </c>
    </row>
    <row r="4354" customFormat="false" ht="15" hidden="false" customHeight="false" outlineLevel="0" collapsed="false">
      <c r="A4354" s="0" t="s">
        <v>261</v>
      </c>
      <c r="B4354" s="52" t="n">
        <v>44436</v>
      </c>
      <c r="C4354" s="54" t="s">
        <v>591</v>
      </c>
      <c r="D4354" s="0" t="n">
        <v>0.0422531805122468</v>
      </c>
      <c r="E4354" s="0" t="n">
        <v>0.0459317330858263</v>
      </c>
      <c r="F4354" s="0" t="n">
        <v>1</v>
      </c>
      <c r="G4354" s="0" t="n">
        <v>2021</v>
      </c>
    </row>
    <row r="4355" customFormat="false" ht="15" hidden="false" customHeight="false" outlineLevel="0" collapsed="false">
      <c r="A4355" s="0" t="s">
        <v>261</v>
      </c>
      <c r="B4355" s="52" t="n">
        <v>44436</v>
      </c>
      <c r="C4355" s="54" t="s">
        <v>592</v>
      </c>
      <c r="D4355" s="0" t="n">
        <v>0.0471415948344519</v>
      </c>
      <c r="E4355" s="0" t="n">
        <v>0.0485698333201992</v>
      </c>
      <c r="F4355" s="0" t="n">
        <v>1</v>
      </c>
      <c r="G4355" s="0" t="n">
        <v>2021</v>
      </c>
    </row>
    <row r="4356" customFormat="false" ht="15" hidden="false" customHeight="false" outlineLevel="0" collapsed="false">
      <c r="A4356" s="0" t="s">
        <v>261</v>
      </c>
      <c r="B4356" s="52" t="n">
        <v>44437</v>
      </c>
      <c r="C4356" s="54" t="s">
        <v>590</v>
      </c>
      <c r="D4356" s="0" t="n">
        <v>0.1066418810576</v>
      </c>
      <c r="E4356" s="0" t="n">
        <v>0.0127911911003748</v>
      </c>
      <c r="F4356" s="0" t="n">
        <v>1</v>
      </c>
      <c r="G4356" s="0" t="n">
        <v>2021</v>
      </c>
    </row>
    <row r="4357" customFormat="false" ht="15" hidden="false" customHeight="false" outlineLevel="0" collapsed="false">
      <c r="A4357" s="0" t="s">
        <v>261</v>
      </c>
      <c r="B4357" s="52" t="n">
        <v>44437</v>
      </c>
      <c r="C4357" s="54" t="s">
        <v>591</v>
      </c>
      <c r="D4357" s="0" t="n">
        <v>0.0262489681640698</v>
      </c>
      <c r="E4357" s="0" t="n">
        <v>0.0656946326011122</v>
      </c>
      <c r="F4357" s="0" t="n">
        <v>1</v>
      </c>
      <c r="G4357" s="0" t="n">
        <v>2021</v>
      </c>
    </row>
    <row r="4358" customFormat="false" ht="15" hidden="false" customHeight="false" outlineLevel="0" collapsed="false">
      <c r="A4358" s="0" t="s">
        <v>261</v>
      </c>
      <c r="B4358" s="52" t="n">
        <v>44438</v>
      </c>
      <c r="C4358" s="54" t="s">
        <v>590</v>
      </c>
      <c r="D4358" s="0" t="n">
        <v>0.634062942439824</v>
      </c>
      <c r="E4358" s="0" t="n">
        <v>0.003532773277657</v>
      </c>
      <c r="F4358" s="0" t="n">
        <v>0</v>
      </c>
      <c r="G4358" s="0" t="n">
        <v>2021</v>
      </c>
    </row>
    <row r="4359" customFormat="false" ht="15" hidden="false" customHeight="false" outlineLevel="0" collapsed="false">
      <c r="A4359" s="0" t="s">
        <v>261</v>
      </c>
      <c r="B4359" s="52" t="n">
        <v>44438</v>
      </c>
      <c r="C4359" s="54" t="s">
        <v>591</v>
      </c>
      <c r="D4359" s="0" t="n">
        <v>0.29967698934919</v>
      </c>
      <c r="E4359" s="0" t="n">
        <v>0.0129403364228297</v>
      </c>
      <c r="F4359" s="0" t="n">
        <v>0</v>
      </c>
      <c r="G4359" s="0" t="n">
        <v>2021</v>
      </c>
    </row>
    <row r="4360" customFormat="false" ht="15" hidden="false" customHeight="false" outlineLevel="0" collapsed="false">
      <c r="A4360" s="0" t="s">
        <v>261</v>
      </c>
      <c r="B4360" s="52" t="n">
        <v>44438</v>
      </c>
      <c r="C4360" s="54" t="s">
        <v>592</v>
      </c>
      <c r="D4360" s="0" t="n">
        <v>0.095526140557937</v>
      </c>
      <c r="E4360" s="0" t="n">
        <v>0.145840721039344</v>
      </c>
      <c r="F4360" s="0" t="n">
        <v>0</v>
      </c>
      <c r="G4360" s="0" t="n">
        <v>2021</v>
      </c>
    </row>
    <row r="4361" customFormat="false" ht="15" hidden="false" customHeight="false" outlineLevel="0" collapsed="false">
      <c r="A4361" s="0" t="s">
        <v>261</v>
      </c>
      <c r="B4361" s="52" t="n">
        <v>44439</v>
      </c>
      <c r="C4361" s="54" t="s">
        <v>590</v>
      </c>
      <c r="D4361" s="0" t="n">
        <v>0.0847553223635637</v>
      </c>
      <c r="E4361" s="0" t="n">
        <v>0.0348620631627473</v>
      </c>
      <c r="F4361" s="0" t="n">
        <v>0</v>
      </c>
      <c r="G4361" s="0" t="n">
        <v>2021</v>
      </c>
    </row>
    <row r="4362" customFormat="false" ht="15" hidden="false" customHeight="false" outlineLevel="0" collapsed="false">
      <c r="A4362" s="0" t="s">
        <v>261</v>
      </c>
      <c r="B4362" s="52" t="n">
        <v>44439</v>
      </c>
      <c r="C4362" s="54" t="s">
        <v>591</v>
      </c>
      <c r="D4362" s="0" t="n">
        <v>0.0106959807539299</v>
      </c>
      <c r="E4362" s="0" t="n">
        <v>0.173531334238896</v>
      </c>
      <c r="F4362" s="0" t="n">
        <v>0</v>
      </c>
      <c r="G4362" s="0" t="n">
        <v>2021</v>
      </c>
    </row>
    <row r="4363" customFormat="false" ht="15" hidden="false" customHeight="false" outlineLevel="0" collapsed="false">
      <c r="A4363" s="0" t="s">
        <v>261</v>
      </c>
      <c r="B4363" s="52" t="n">
        <v>44439</v>
      </c>
      <c r="C4363" s="54" t="s">
        <v>592</v>
      </c>
      <c r="D4363" s="0" t="n">
        <v>0.296572259953921</v>
      </c>
      <c r="E4363" s="0" t="n">
        <v>0.116902817884512</v>
      </c>
      <c r="F4363" s="0" t="n">
        <v>0</v>
      </c>
      <c r="G4363" s="0" t="n">
        <v>2021</v>
      </c>
    </row>
    <row r="4364" customFormat="false" ht="15" hidden="false" customHeight="false" outlineLevel="0" collapsed="false">
      <c r="A4364" s="0" t="s">
        <v>261</v>
      </c>
      <c r="B4364" s="52" t="n">
        <v>44440</v>
      </c>
      <c r="C4364" s="54" t="s">
        <v>590</v>
      </c>
      <c r="D4364" s="0" t="n">
        <v>0.101434554044614</v>
      </c>
      <c r="E4364" s="0" t="n">
        <v>0.0257507250906447</v>
      </c>
      <c r="F4364" s="0" t="n">
        <v>0</v>
      </c>
      <c r="G4364" s="0" t="n">
        <v>2021</v>
      </c>
    </row>
    <row r="4365" customFormat="false" ht="15" hidden="false" customHeight="false" outlineLevel="0" collapsed="false">
      <c r="A4365" s="0" t="s">
        <v>261</v>
      </c>
      <c r="B4365" s="52" t="n">
        <v>44440</v>
      </c>
      <c r="C4365" s="54" t="s">
        <v>591</v>
      </c>
      <c r="D4365" s="0" t="n">
        <v>0.337858703571029</v>
      </c>
      <c r="E4365" s="0" t="n">
        <v>0.157398073732791</v>
      </c>
      <c r="F4365" s="0" t="n">
        <v>0</v>
      </c>
      <c r="G4365" s="0" t="n">
        <v>2021</v>
      </c>
    </row>
    <row r="4366" customFormat="false" ht="15" hidden="false" customHeight="false" outlineLevel="0" collapsed="false">
      <c r="A4366" s="0" t="s">
        <v>261</v>
      </c>
      <c r="B4366" s="52" t="n">
        <v>44440</v>
      </c>
      <c r="C4366" s="54" t="s">
        <v>592</v>
      </c>
      <c r="D4366" s="0" t="n">
        <v>0.280709428182856</v>
      </c>
      <c r="E4366" s="0" t="n">
        <v>0.0130912976423049</v>
      </c>
      <c r="F4366" s="0" t="n">
        <v>0</v>
      </c>
      <c r="G4366" s="0" t="n">
        <v>2021</v>
      </c>
    </row>
    <row r="4367" customFormat="false" ht="15" hidden="false" customHeight="false" outlineLevel="0" collapsed="false">
      <c r="A4367" s="0" t="s">
        <v>261</v>
      </c>
      <c r="B4367" s="52" t="n">
        <v>44441</v>
      </c>
      <c r="C4367" s="54" t="s">
        <v>590</v>
      </c>
      <c r="D4367" s="0" t="n">
        <v>0.0464165482038416</v>
      </c>
      <c r="E4367" s="0" t="n">
        <v>0.0153548564232194</v>
      </c>
      <c r="F4367" s="0" t="n">
        <v>0</v>
      </c>
      <c r="G4367" s="0" t="n">
        <v>2021</v>
      </c>
    </row>
    <row r="4368" customFormat="false" ht="15" hidden="false" customHeight="false" outlineLevel="0" collapsed="false">
      <c r="A4368" s="0" t="s">
        <v>261</v>
      </c>
      <c r="B4368" s="52" t="n">
        <v>44441</v>
      </c>
      <c r="C4368" s="54" t="s">
        <v>591</v>
      </c>
      <c r="D4368" s="0" t="n">
        <v>0.0858469512224357</v>
      </c>
      <c r="E4368" s="0" t="n">
        <v>0.028712129127367</v>
      </c>
      <c r="F4368" s="0" t="n">
        <v>0</v>
      </c>
      <c r="G4368" s="0" t="n">
        <v>2021</v>
      </c>
    </row>
    <row r="4369" customFormat="false" ht="15" hidden="false" customHeight="false" outlineLevel="0" collapsed="false">
      <c r="A4369" s="0" t="s">
        <v>261</v>
      </c>
      <c r="B4369" s="52" t="n">
        <v>44441</v>
      </c>
      <c r="C4369" s="54" t="s">
        <v>592</v>
      </c>
      <c r="D4369" s="0" t="n">
        <v>0.129669078120488</v>
      </c>
      <c r="E4369" s="0" t="n">
        <v>0.0626592727932273</v>
      </c>
      <c r="F4369" s="0" t="n">
        <v>0</v>
      </c>
      <c r="G4369" s="0" t="n">
        <v>2021</v>
      </c>
    </row>
    <row r="4370" customFormat="false" ht="15" hidden="false" customHeight="false" outlineLevel="0" collapsed="false">
      <c r="A4370" s="0" t="s">
        <v>261</v>
      </c>
      <c r="B4370" s="52" t="n">
        <v>44442</v>
      </c>
      <c r="C4370" s="54" t="s">
        <v>590</v>
      </c>
      <c r="D4370" s="0" t="n">
        <v>0.230724270898567</v>
      </c>
      <c r="E4370" s="0" t="n">
        <v>0.0140651005070765</v>
      </c>
      <c r="F4370" s="0" t="n">
        <v>0</v>
      </c>
      <c r="G4370" s="0" t="n">
        <v>2021</v>
      </c>
    </row>
    <row r="4371" customFormat="false" ht="15" hidden="false" customHeight="false" outlineLevel="0" collapsed="false">
      <c r="A4371" s="0" t="s">
        <v>261</v>
      </c>
      <c r="B4371" s="52" t="n">
        <v>44442</v>
      </c>
      <c r="C4371" s="54" t="s">
        <v>591</v>
      </c>
      <c r="D4371" s="0" t="n">
        <v>0.0133272119851266</v>
      </c>
      <c r="E4371" s="0" t="n">
        <v>0.0406161074350592</v>
      </c>
      <c r="F4371" s="0" t="n">
        <v>0</v>
      </c>
      <c r="G4371" s="0" t="n">
        <v>2021</v>
      </c>
    </row>
    <row r="4372" customFormat="false" ht="15" hidden="false" customHeight="false" outlineLevel="0" collapsed="false">
      <c r="A4372" s="0" t="s">
        <v>261</v>
      </c>
      <c r="B4372" s="52" t="n">
        <v>44442</v>
      </c>
      <c r="C4372" s="54" t="s">
        <v>592</v>
      </c>
      <c r="D4372" s="0" t="n">
        <v>0.0714093647497085</v>
      </c>
      <c r="E4372" s="0" t="n">
        <v>0.0793847653237744</v>
      </c>
      <c r="F4372" s="0" t="n">
        <v>0</v>
      </c>
      <c r="G4372" s="0" t="n">
        <v>2021</v>
      </c>
    </row>
    <row r="4373" customFormat="false" ht="15" hidden="false" customHeight="false" outlineLevel="0" collapsed="false">
      <c r="A4373" s="0" t="s">
        <v>261</v>
      </c>
      <c r="B4373" s="52" t="n">
        <v>44443</v>
      </c>
      <c r="C4373" s="54" t="s">
        <v>590</v>
      </c>
      <c r="D4373" s="0" t="n">
        <v>0.313707357706409</v>
      </c>
      <c r="E4373" s="0" t="n">
        <v>0.0186305153996886</v>
      </c>
      <c r="F4373" s="0" t="n">
        <v>1</v>
      </c>
      <c r="G4373" s="0" t="n">
        <v>2021</v>
      </c>
    </row>
    <row r="4374" customFormat="false" ht="15" hidden="false" customHeight="false" outlineLevel="0" collapsed="false">
      <c r="A4374" s="0" t="s">
        <v>261</v>
      </c>
      <c r="B4374" s="52" t="n">
        <v>44443</v>
      </c>
      <c r="C4374" s="54" t="s">
        <v>591</v>
      </c>
      <c r="D4374" s="0" t="n">
        <v>0.0084031607498279</v>
      </c>
      <c r="E4374" s="0" t="n">
        <v>0.0440949640956006</v>
      </c>
      <c r="F4374" s="0" t="n">
        <v>1</v>
      </c>
      <c r="G4374" s="0" t="n">
        <v>2021</v>
      </c>
    </row>
    <row r="4375" customFormat="false" ht="15" hidden="false" customHeight="false" outlineLevel="0" collapsed="false">
      <c r="A4375" s="0" t="s">
        <v>261</v>
      </c>
      <c r="B4375" s="52" t="n">
        <v>44443</v>
      </c>
      <c r="C4375" s="54" t="s">
        <v>592</v>
      </c>
      <c r="D4375" s="0" t="n">
        <v>0.066120806024907</v>
      </c>
      <c r="E4375" s="0" t="n">
        <v>0.0775228980042498</v>
      </c>
      <c r="F4375" s="0" t="n">
        <v>1</v>
      </c>
      <c r="G4375" s="0" t="n">
        <v>2021</v>
      </c>
    </row>
    <row r="4376" customFormat="false" ht="15" hidden="false" customHeight="false" outlineLevel="0" collapsed="false">
      <c r="A4376" s="0" t="s">
        <v>261</v>
      </c>
      <c r="B4376" s="52" t="n">
        <v>44445</v>
      </c>
      <c r="C4376" s="54" t="s">
        <v>590</v>
      </c>
      <c r="D4376" s="0" t="n">
        <v>0.0510413861032038</v>
      </c>
      <c r="E4376" s="0" t="n">
        <v>0.0161338117137853</v>
      </c>
      <c r="F4376" s="0" t="n">
        <v>0</v>
      </c>
      <c r="G4376" s="0" t="n">
        <v>2021</v>
      </c>
    </row>
    <row r="4377" customFormat="false" ht="15" hidden="false" customHeight="false" outlineLevel="0" collapsed="false">
      <c r="A4377" s="0" t="s">
        <v>261</v>
      </c>
      <c r="B4377" s="52" t="n">
        <v>44445</v>
      </c>
      <c r="C4377" s="54" t="s">
        <v>591</v>
      </c>
      <c r="D4377" s="0" t="n">
        <v>0.0088448698663987</v>
      </c>
      <c r="E4377" s="0" t="n">
        <v>0.0289125929357391</v>
      </c>
      <c r="F4377" s="0" t="n">
        <v>0</v>
      </c>
      <c r="G4377" s="0" t="n">
        <v>2021</v>
      </c>
    </row>
    <row r="4378" customFormat="false" ht="15" hidden="false" customHeight="false" outlineLevel="0" collapsed="false">
      <c r="A4378" s="0" t="s">
        <v>261</v>
      </c>
      <c r="B4378" s="52" t="n">
        <v>44445</v>
      </c>
      <c r="C4378" s="54" t="s">
        <v>592</v>
      </c>
      <c r="D4378" s="0" t="n">
        <v>0.0307501000606443</v>
      </c>
      <c r="E4378" s="0" t="n">
        <v>0.0430743195631592</v>
      </c>
      <c r="F4378" s="0" t="n">
        <v>0</v>
      </c>
      <c r="G4378" s="0" t="n">
        <v>2021</v>
      </c>
    </row>
    <row r="4379" customFormat="false" ht="15" hidden="false" customHeight="false" outlineLevel="0" collapsed="false">
      <c r="A4379" s="0" t="s">
        <v>261</v>
      </c>
      <c r="B4379" s="52" t="n">
        <v>44446</v>
      </c>
      <c r="C4379" s="54" t="s">
        <v>590</v>
      </c>
      <c r="D4379" s="0" t="n">
        <v>0.0630705232686257</v>
      </c>
      <c r="E4379" s="0" t="n">
        <v>0.0112790590654035</v>
      </c>
      <c r="F4379" s="0" t="n">
        <v>0</v>
      </c>
      <c r="G4379" s="0" t="n">
        <v>2021</v>
      </c>
    </row>
    <row r="4380" customFormat="false" ht="15" hidden="false" customHeight="false" outlineLevel="0" collapsed="false">
      <c r="A4380" s="0" t="s">
        <v>261</v>
      </c>
      <c r="B4380" s="52" t="n">
        <v>44446</v>
      </c>
      <c r="C4380" s="54" t="s">
        <v>591</v>
      </c>
      <c r="D4380" s="0" t="n">
        <v>0.0121651978561118</v>
      </c>
      <c r="E4380" s="0" t="n">
        <v>0.0215058195548037</v>
      </c>
      <c r="F4380" s="0" t="n">
        <v>0</v>
      </c>
      <c r="G4380" s="0" t="n">
        <v>2021</v>
      </c>
    </row>
    <row r="4381" customFormat="false" ht="15" hidden="false" customHeight="false" outlineLevel="0" collapsed="false">
      <c r="A4381" s="0" t="s">
        <v>261</v>
      </c>
      <c r="B4381" s="52" t="n">
        <v>44446</v>
      </c>
      <c r="C4381" s="54" t="s">
        <v>592</v>
      </c>
      <c r="D4381" s="0" t="n">
        <v>0.244370047099497</v>
      </c>
      <c r="E4381" s="0" t="n">
        <v>0.0139747417270304</v>
      </c>
      <c r="F4381" s="0" t="n">
        <v>0</v>
      </c>
      <c r="G4381" s="0" t="n">
        <v>2021</v>
      </c>
    </row>
    <row r="4382" customFormat="false" ht="15" hidden="false" customHeight="false" outlineLevel="0" collapsed="false">
      <c r="A4382" s="0" t="s">
        <v>261</v>
      </c>
      <c r="B4382" s="52" t="n">
        <v>44447</v>
      </c>
      <c r="C4382" s="54" t="s">
        <v>590</v>
      </c>
      <c r="D4382" s="0" t="n">
        <v>0.0440982484588252</v>
      </c>
      <c r="E4382" s="0" t="n">
        <v>0.0281963951479604</v>
      </c>
      <c r="F4382" s="0" t="n">
        <v>0</v>
      </c>
      <c r="G4382" s="0" t="n">
        <v>2021</v>
      </c>
    </row>
    <row r="4383" customFormat="false" ht="15" hidden="false" customHeight="false" outlineLevel="0" collapsed="false">
      <c r="A4383" s="0" t="s">
        <v>261</v>
      </c>
      <c r="B4383" s="52" t="n">
        <v>44447</v>
      </c>
      <c r="C4383" s="54" t="s">
        <v>591</v>
      </c>
      <c r="D4383" s="0" t="n">
        <v>0.0141278215408904</v>
      </c>
      <c r="E4383" s="0" t="n">
        <v>0.021935124134204</v>
      </c>
      <c r="F4383" s="0" t="n">
        <v>0</v>
      </c>
      <c r="G4383" s="0" t="n">
        <v>2021</v>
      </c>
    </row>
    <row r="4384" customFormat="false" ht="15" hidden="false" customHeight="false" outlineLevel="0" collapsed="false">
      <c r="A4384" s="0" t="s">
        <v>261</v>
      </c>
      <c r="B4384" s="52" t="n">
        <v>44447</v>
      </c>
      <c r="C4384" s="54" t="s">
        <v>592</v>
      </c>
      <c r="D4384" s="0" t="n">
        <v>0.041508428856099</v>
      </c>
      <c r="E4384" s="0" t="n">
        <v>0.0399510364629463</v>
      </c>
      <c r="F4384" s="0" t="n">
        <v>0</v>
      </c>
      <c r="G4384" s="0" t="n">
        <v>2021</v>
      </c>
    </row>
    <row r="4385" customFormat="false" ht="15" hidden="false" customHeight="false" outlineLevel="0" collapsed="false">
      <c r="A4385" s="0" t="s">
        <v>261</v>
      </c>
      <c r="B4385" s="52" t="n">
        <v>44448</v>
      </c>
      <c r="C4385" s="54" t="s">
        <v>590</v>
      </c>
      <c r="D4385" s="0" t="n">
        <v>0.0346720138418608</v>
      </c>
      <c r="E4385" s="0" t="n">
        <v>0.008321615756262</v>
      </c>
      <c r="F4385" s="0" t="n">
        <v>0</v>
      </c>
      <c r="G4385" s="0" t="n">
        <v>2021</v>
      </c>
    </row>
    <row r="4386" customFormat="false" ht="15" hidden="false" customHeight="false" outlineLevel="0" collapsed="false">
      <c r="A4386" s="0" t="s">
        <v>261</v>
      </c>
      <c r="B4386" s="52" t="n">
        <v>44448</v>
      </c>
      <c r="C4386" s="54" t="s">
        <v>591</v>
      </c>
      <c r="D4386" s="0" t="n">
        <v>0.0142764144393614</v>
      </c>
      <c r="E4386" s="0" t="n">
        <v>0.0162379495165763</v>
      </c>
      <c r="F4386" s="0" t="n">
        <v>0</v>
      </c>
      <c r="G4386" s="0" t="n">
        <v>2021</v>
      </c>
    </row>
    <row r="4387" customFormat="false" ht="15" hidden="false" customHeight="false" outlineLevel="0" collapsed="false">
      <c r="A4387" s="0" t="s">
        <v>261</v>
      </c>
      <c r="B4387" s="52" t="n">
        <v>44448</v>
      </c>
      <c r="C4387" s="54" t="s">
        <v>592</v>
      </c>
      <c r="D4387" s="0" t="n">
        <v>0.250327197789208</v>
      </c>
      <c r="E4387" s="0" t="n">
        <v>0.0218313400115817</v>
      </c>
      <c r="F4387" s="0" t="n">
        <v>0</v>
      </c>
      <c r="G4387" s="0" t="n">
        <v>2021</v>
      </c>
    </row>
    <row r="4388" customFormat="false" ht="15" hidden="false" customHeight="false" outlineLevel="0" collapsed="false">
      <c r="A4388" s="0" t="s">
        <v>261</v>
      </c>
      <c r="B4388" s="52" t="n">
        <v>44449</v>
      </c>
      <c r="C4388" s="54" t="s">
        <v>590</v>
      </c>
      <c r="D4388" s="0" t="n">
        <v>0.0700890549904897</v>
      </c>
      <c r="E4388" s="0" t="n">
        <v>0.0066448453227672</v>
      </c>
      <c r="F4388" s="0" t="n">
        <v>0</v>
      </c>
      <c r="G4388" s="0" t="n">
        <v>2021</v>
      </c>
    </row>
    <row r="4389" customFormat="false" ht="15" hidden="false" customHeight="false" outlineLevel="0" collapsed="false">
      <c r="A4389" s="0" t="s">
        <v>261</v>
      </c>
      <c r="B4389" s="52" t="n">
        <v>44449</v>
      </c>
      <c r="C4389" s="54" t="s">
        <v>591</v>
      </c>
      <c r="D4389" s="0" t="n">
        <v>0.0920010442737065</v>
      </c>
      <c r="E4389" s="0" t="n">
        <v>0.0430651870438133</v>
      </c>
      <c r="F4389" s="0" t="n">
        <v>0</v>
      </c>
      <c r="G4389" s="0" t="n">
        <v>2021</v>
      </c>
    </row>
    <row r="4390" customFormat="false" ht="15" hidden="false" customHeight="false" outlineLevel="0" collapsed="false">
      <c r="A4390" s="0" t="s">
        <v>261</v>
      </c>
      <c r="B4390" s="52" t="n">
        <v>44449</v>
      </c>
      <c r="C4390" s="54" t="s">
        <v>592</v>
      </c>
      <c r="D4390" s="0" t="n">
        <v>0.0728454618488851</v>
      </c>
      <c r="E4390" s="0" t="n">
        <v>0.0130217229514561</v>
      </c>
      <c r="F4390" s="0" t="n">
        <v>0</v>
      </c>
      <c r="G4390" s="0" t="n">
        <v>2021</v>
      </c>
    </row>
    <row r="4391" customFormat="false" ht="15" hidden="false" customHeight="false" outlineLevel="0" collapsed="false">
      <c r="A4391" s="0" t="s">
        <v>261</v>
      </c>
      <c r="B4391" s="52" t="n">
        <v>44451</v>
      </c>
      <c r="C4391" s="54" t="s">
        <v>591</v>
      </c>
      <c r="D4391" s="0" t="n">
        <v>0.666045624225864</v>
      </c>
      <c r="E4391" s="0" t="n">
        <v>0</v>
      </c>
      <c r="F4391" s="0" t="n">
        <v>1</v>
      </c>
      <c r="G4391" s="0" t="n">
        <v>2021</v>
      </c>
    </row>
    <row r="4392" customFormat="false" ht="15" hidden="false" customHeight="false" outlineLevel="0" collapsed="false">
      <c r="A4392" s="0" t="s">
        <v>261</v>
      </c>
      <c r="B4392" s="52" t="n">
        <v>44452</v>
      </c>
      <c r="C4392" s="54" t="s">
        <v>590</v>
      </c>
      <c r="D4392" s="0" t="n">
        <v>0.142160693583124</v>
      </c>
      <c r="E4392" s="0" t="n">
        <v>0.0840454322465115</v>
      </c>
      <c r="F4392" s="0" t="n">
        <v>0</v>
      </c>
      <c r="G4392" s="0" t="n">
        <v>2021</v>
      </c>
    </row>
    <row r="4393" customFormat="false" ht="15" hidden="false" customHeight="false" outlineLevel="0" collapsed="false">
      <c r="A4393" s="0" t="s">
        <v>261</v>
      </c>
      <c r="B4393" s="52" t="n">
        <v>44452</v>
      </c>
      <c r="C4393" s="54" t="s">
        <v>591</v>
      </c>
      <c r="D4393" s="0" t="n">
        <v>0.147020376827932</v>
      </c>
      <c r="E4393" s="0" t="n">
        <v>0.0639378103983502</v>
      </c>
      <c r="F4393" s="0" t="n">
        <v>0</v>
      </c>
      <c r="G4393" s="0" t="n">
        <v>2021</v>
      </c>
    </row>
    <row r="4394" customFormat="false" ht="15" hidden="false" customHeight="false" outlineLevel="0" collapsed="false">
      <c r="A4394" s="0" t="s">
        <v>261</v>
      </c>
      <c r="B4394" s="52" t="n">
        <v>44452</v>
      </c>
      <c r="C4394" s="54" t="s">
        <v>592</v>
      </c>
      <c r="D4394" s="0" t="n">
        <v>0.125273015205611</v>
      </c>
      <c r="E4394" s="0" t="n">
        <v>0.0338887340487026</v>
      </c>
      <c r="F4394" s="0" t="n">
        <v>0</v>
      </c>
      <c r="G4394" s="0" t="n">
        <v>2021</v>
      </c>
    </row>
    <row r="4395" customFormat="false" ht="15" hidden="false" customHeight="false" outlineLevel="0" collapsed="false">
      <c r="A4395" s="0" t="s">
        <v>261</v>
      </c>
      <c r="B4395" s="52" t="n">
        <v>44453</v>
      </c>
      <c r="C4395" s="54" t="s">
        <v>590</v>
      </c>
      <c r="D4395" s="0" t="n">
        <v>0.225987254590032</v>
      </c>
      <c r="E4395" s="0" t="n">
        <v>0.112498455952537</v>
      </c>
      <c r="F4395" s="0" t="n">
        <v>0</v>
      </c>
      <c r="G4395" s="0" t="n">
        <v>2021</v>
      </c>
    </row>
    <row r="4396" customFormat="false" ht="15" hidden="false" customHeight="false" outlineLevel="0" collapsed="false">
      <c r="A4396" s="0" t="s">
        <v>261</v>
      </c>
      <c r="B4396" s="52" t="n">
        <v>44453</v>
      </c>
      <c r="C4396" s="54" t="s">
        <v>591</v>
      </c>
      <c r="D4396" s="0" t="n">
        <v>0.032695359949155</v>
      </c>
      <c r="E4396" s="0" t="n">
        <v>0.153527142744886</v>
      </c>
      <c r="F4396" s="0" t="n">
        <v>0</v>
      </c>
      <c r="G4396" s="0" t="n">
        <v>2021</v>
      </c>
    </row>
    <row r="4397" customFormat="false" ht="15" hidden="false" customHeight="false" outlineLevel="0" collapsed="false">
      <c r="A4397" s="0" t="s">
        <v>261</v>
      </c>
      <c r="B4397" s="52" t="n">
        <v>44453</v>
      </c>
      <c r="C4397" s="54" t="s">
        <v>592</v>
      </c>
      <c r="D4397" s="0" t="n">
        <v>0.0640361559706979</v>
      </c>
      <c r="E4397" s="0" t="n">
        <v>0.0312519123190827</v>
      </c>
      <c r="F4397" s="0" t="n">
        <v>0</v>
      </c>
      <c r="G4397" s="0" t="n">
        <v>2021</v>
      </c>
    </row>
    <row r="4398" customFormat="false" ht="15" hidden="false" customHeight="false" outlineLevel="0" collapsed="false">
      <c r="A4398" s="0" t="s">
        <v>261</v>
      </c>
      <c r="B4398" s="52" t="n">
        <v>44454</v>
      </c>
      <c r="C4398" s="54" t="s">
        <v>590</v>
      </c>
      <c r="D4398" s="0" t="n">
        <v>0.124971940030644</v>
      </c>
      <c r="E4398" s="0" t="n">
        <v>0.151976753746285</v>
      </c>
      <c r="F4398" s="0" t="n">
        <v>0</v>
      </c>
      <c r="G4398" s="0" t="n">
        <v>2021</v>
      </c>
    </row>
    <row r="4399" customFormat="false" ht="15" hidden="false" customHeight="false" outlineLevel="0" collapsed="false">
      <c r="A4399" s="0" t="s">
        <v>261</v>
      </c>
      <c r="B4399" s="52" t="n">
        <v>44454</v>
      </c>
      <c r="C4399" s="54" t="s">
        <v>591</v>
      </c>
      <c r="D4399" s="0" t="n">
        <v>0.0319669554988025</v>
      </c>
      <c r="E4399" s="0" t="n">
        <v>0.102938108405435</v>
      </c>
      <c r="F4399" s="0" t="n">
        <v>0</v>
      </c>
      <c r="G4399" s="0" t="n">
        <v>2021</v>
      </c>
    </row>
    <row r="4400" customFormat="false" ht="15" hidden="false" customHeight="false" outlineLevel="0" collapsed="false">
      <c r="A4400" s="0" t="s">
        <v>261</v>
      </c>
      <c r="B4400" s="52" t="n">
        <v>44454</v>
      </c>
      <c r="C4400" s="54" t="s">
        <v>592</v>
      </c>
      <c r="D4400" s="0" t="n">
        <v>0.0611450933263969</v>
      </c>
      <c r="E4400" s="0" t="n">
        <v>0.0599221327568224</v>
      </c>
      <c r="F4400" s="0" t="n">
        <v>0</v>
      </c>
      <c r="G4400" s="0" t="n">
        <v>2021</v>
      </c>
    </row>
    <row r="4401" customFormat="false" ht="15" hidden="false" customHeight="false" outlineLevel="0" collapsed="false">
      <c r="A4401" s="0" t="s">
        <v>261</v>
      </c>
      <c r="B4401" s="52" t="n">
        <v>44455</v>
      </c>
      <c r="C4401" s="54" t="s">
        <v>590</v>
      </c>
      <c r="D4401" s="0" t="n">
        <v>0.126161074479403</v>
      </c>
      <c r="E4401" s="0" t="n">
        <v>0.0292778784272006</v>
      </c>
      <c r="F4401" s="0" t="n">
        <v>0</v>
      </c>
      <c r="G4401" s="0" t="n">
        <v>2021</v>
      </c>
    </row>
    <row r="4402" customFormat="false" ht="15" hidden="false" customHeight="false" outlineLevel="0" collapsed="false">
      <c r="A4402" s="0" t="s">
        <v>261</v>
      </c>
      <c r="B4402" s="52" t="n">
        <v>44455</v>
      </c>
      <c r="C4402" s="54" t="s">
        <v>591</v>
      </c>
      <c r="D4402" s="0" t="n">
        <v>0.0073792305740262</v>
      </c>
      <c r="E4402" s="0" t="n">
        <v>0.167878718321774</v>
      </c>
      <c r="F4402" s="0" t="n">
        <v>0</v>
      </c>
      <c r="G4402" s="0" t="n">
        <v>2021</v>
      </c>
    </row>
    <row r="4403" customFormat="false" ht="15" hidden="false" customHeight="false" outlineLevel="0" collapsed="false">
      <c r="A4403" s="0" t="s">
        <v>261</v>
      </c>
      <c r="B4403" s="52" t="n">
        <v>44455</v>
      </c>
      <c r="C4403" s="54" t="s">
        <v>592</v>
      </c>
      <c r="D4403" s="0" t="n">
        <v>0.322922491605172</v>
      </c>
      <c r="E4403" s="0" t="n">
        <v>0.0233635360214672</v>
      </c>
      <c r="F4403" s="0" t="n">
        <v>0</v>
      </c>
      <c r="G4403" s="0" t="n">
        <v>2021</v>
      </c>
    </row>
    <row r="4404" customFormat="false" ht="15" hidden="false" customHeight="false" outlineLevel="0" collapsed="false">
      <c r="A4404" s="0" t="s">
        <v>261</v>
      </c>
      <c r="B4404" s="52" t="n">
        <v>44456</v>
      </c>
      <c r="C4404" s="54" t="s">
        <v>590</v>
      </c>
      <c r="D4404" s="0" t="n">
        <v>0.469794816831581</v>
      </c>
      <c r="E4404" s="0" t="n">
        <v>0.0103727673269173</v>
      </c>
      <c r="F4404" s="0" t="n">
        <v>0</v>
      </c>
      <c r="G4404" s="0" t="n">
        <v>2021</v>
      </c>
    </row>
    <row r="4405" customFormat="false" ht="15" hidden="false" customHeight="false" outlineLevel="0" collapsed="false">
      <c r="A4405" s="0" t="s">
        <v>261</v>
      </c>
      <c r="B4405" s="52" t="n">
        <v>44456</v>
      </c>
      <c r="C4405" s="54" t="s">
        <v>591</v>
      </c>
      <c r="D4405" s="0" t="n">
        <v>0.06753526175754</v>
      </c>
      <c r="E4405" s="0" t="n">
        <v>0.063094200082657</v>
      </c>
      <c r="F4405" s="0" t="n">
        <v>0</v>
      </c>
      <c r="G4405" s="0" t="n">
        <v>2021</v>
      </c>
    </row>
    <row r="4406" customFormat="false" ht="15" hidden="false" customHeight="false" outlineLevel="0" collapsed="false">
      <c r="A4406" s="0" t="s">
        <v>261</v>
      </c>
      <c r="B4406" s="52" t="n">
        <v>44456</v>
      </c>
      <c r="C4406" s="54" t="s">
        <v>592</v>
      </c>
      <c r="D4406" s="0" t="n">
        <v>0.369140128086963</v>
      </c>
      <c r="E4406" s="0" t="n">
        <v>0.034034926293252</v>
      </c>
      <c r="F4406" s="0" t="n">
        <v>0</v>
      </c>
      <c r="G4406" s="0" t="n">
        <v>2021</v>
      </c>
    </row>
    <row r="4407" customFormat="false" ht="15" hidden="false" customHeight="false" outlineLevel="0" collapsed="false">
      <c r="A4407" s="0" t="s">
        <v>261</v>
      </c>
      <c r="B4407" s="52" t="n">
        <v>44457</v>
      </c>
      <c r="C4407" s="54" t="s">
        <v>590</v>
      </c>
      <c r="D4407" s="0" t="n">
        <v>0.450121999474093</v>
      </c>
      <c r="E4407" s="0" t="n">
        <v>0.0003861347459429</v>
      </c>
      <c r="F4407" s="0" t="n">
        <v>1</v>
      </c>
      <c r="G4407" s="0" t="n">
        <v>2021</v>
      </c>
    </row>
    <row r="4408" customFormat="false" ht="15" hidden="false" customHeight="false" outlineLevel="0" collapsed="false">
      <c r="A4408" s="0" t="s">
        <v>261</v>
      </c>
      <c r="B4408" s="52" t="n">
        <v>44457</v>
      </c>
      <c r="C4408" s="54" t="s">
        <v>591</v>
      </c>
      <c r="D4408" s="0" t="n">
        <v>0.0105905758220035</v>
      </c>
      <c r="E4408" s="0" t="n">
        <v>0.0826598362180873</v>
      </c>
      <c r="F4408" s="0" t="n">
        <v>1</v>
      </c>
      <c r="G4408" s="0" t="n">
        <v>2021</v>
      </c>
    </row>
    <row r="4409" customFormat="false" ht="15" hidden="false" customHeight="false" outlineLevel="0" collapsed="false">
      <c r="A4409" s="0" t="s">
        <v>261</v>
      </c>
      <c r="B4409" s="52" t="n">
        <v>44457</v>
      </c>
      <c r="C4409" s="54" t="s">
        <v>592</v>
      </c>
      <c r="D4409" s="0" t="n">
        <v>0.367112083882856</v>
      </c>
      <c r="E4409" s="0" t="n">
        <v>0.0321772523147498</v>
      </c>
      <c r="F4409" s="0" t="n">
        <v>1</v>
      </c>
      <c r="G4409" s="0" t="n">
        <v>2021</v>
      </c>
    </row>
    <row r="4410" customFormat="false" ht="15" hidden="false" customHeight="false" outlineLevel="0" collapsed="false">
      <c r="A4410" s="0" t="s">
        <v>261</v>
      </c>
      <c r="B4410" s="52" t="n">
        <v>44458</v>
      </c>
      <c r="C4410" s="54" t="s">
        <v>590</v>
      </c>
      <c r="D4410" s="0" t="n">
        <v>0.549110480524756</v>
      </c>
      <c r="E4410" s="0" t="n">
        <v>0.0064156272539119</v>
      </c>
      <c r="F4410" s="0" t="n">
        <v>1</v>
      </c>
      <c r="G4410" s="0" t="n">
        <v>2021</v>
      </c>
    </row>
    <row r="4411" customFormat="false" ht="15" hidden="false" customHeight="false" outlineLevel="0" collapsed="false">
      <c r="A4411" s="0" t="s">
        <v>261</v>
      </c>
      <c r="B4411" s="52" t="n">
        <v>44458</v>
      </c>
      <c r="C4411" s="54" t="s">
        <v>591</v>
      </c>
      <c r="D4411" s="0" t="n">
        <v>0.165324450205053</v>
      </c>
      <c r="E4411" s="0" t="n">
        <v>0.0070816429939078</v>
      </c>
      <c r="F4411" s="0" t="n">
        <v>1</v>
      </c>
      <c r="G4411" s="0" t="n">
        <v>2021</v>
      </c>
    </row>
    <row r="4412" customFormat="false" ht="15" hidden="false" customHeight="false" outlineLevel="0" collapsed="false">
      <c r="A4412" s="0" t="s">
        <v>261</v>
      </c>
      <c r="B4412" s="52" t="n">
        <v>44458</v>
      </c>
      <c r="C4412" s="54" t="s">
        <v>592</v>
      </c>
      <c r="D4412" s="0" t="n">
        <v>0.233514112088249</v>
      </c>
      <c r="E4412" s="0" t="n">
        <v>0.0226525505453907</v>
      </c>
      <c r="F4412" s="0" t="n">
        <v>1</v>
      </c>
      <c r="G4412" s="0" t="n">
        <v>2021</v>
      </c>
    </row>
    <row r="4413" customFormat="false" ht="15" hidden="false" customHeight="false" outlineLevel="0" collapsed="false">
      <c r="A4413" s="0" t="s">
        <v>261</v>
      </c>
      <c r="B4413" s="52" t="n">
        <v>44459</v>
      </c>
      <c r="C4413" s="54" t="s">
        <v>590</v>
      </c>
      <c r="D4413" s="0" t="n">
        <v>0.330797859954954</v>
      </c>
      <c r="E4413" s="0" t="n">
        <v>0.0346609851675478</v>
      </c>
      <c r="F4413" s="0" t="n">
        <v>0</v>
      </c>
      <c r="G4413" s="0" t="n">
        <v>2021</v>
      </c>
    </row>
    <row r="4414" customFormat="false" ht="15" hidden="false" customHeight="false" outlineLevel="0" collapsed="false">
      <c r="A4414" s="0" t="s">
        <v>261</v>
      </c>
      <c r="B4414" s="52" t="n">
        <v>44459</v>
      </c>
      <c r="C4414" s="54" t="s">
        <v>591</v>
      </c>
      <c r="D4414" s="0" t="n">
        <v>0.0468874414814754</v>
      </c>
      <c r="E4414" s="0" t="n">
        <v>0.0473006619760506</v>
      </c>
      <c r="F4414" s="0" t="n">
        <v>0</v>
      </c>
      <c r="G4414" s="0" t="n">
        <v>2021</v>
      </c>
    </row>
    <row r="4415" customFormat="false" ht="15" hidden="false" customHeight="false" outlineLevel="0" collapsed="false">
      <c r="A4415" s="0" t="s">
        <v>261</v>
      </c>
      <c r="B4415" s="52" t="n">
        <v>44459</v>
      </c>
      <c r="C4415" s="54" t="s">
        <v>592</v>
      </c>
      <c r="D4415" s="0" t="n">
        <v>0.121847345750722</v>
      </c>
      <c r="E4415" s="0" t="n">
        <v>0.0263834142137907</v>
      </c>
      <c r="F4415" s="0" t="n">
        <v>0</v>
      </c>
      <c r="G4415" s="0" t="n">
        <v>2021</v>
      </c>
    </row>
    <row r="4416" customFormat="false" ht="15" hidden="false" customHeight="false" outlineLevel="0" collapsed="false">
      <c r="A4416" s="0" t="s">
        <v>261</v>
      </c>
      <c r="B4416" s="52" t="n">
        <v>44460</v>
      </c>
      <c r="C4416" s="54" t="s">
        <v>590</v>
      </c>
      <c r="D4416" s="0" t="n">
        <v>0.0524569916045796</v>
      </c>
      <c r="E4416" s="0" t="n">
        <v>0.0082581846365726</v>
      </c>
      <c r="F4416" s="0" t="n">
        <v>0</v>
      </c>
      <c r="G4416" s="0" t="n">
        <v>2021</v>
      </c>
    </row>
    <row r="4417" customFormat="false" ht="15" hidden="false" customHeight="false" outlineLevel="0" collapsed="false">
      <c r="A4417" s="0" t="s">
        <v>261</v>
      </c>
      <c r="B4417" s="52" t="n">
        <v>44460</v>
      </c>
      <c r="C4417" s="54" t="s">
        <v>591</v>
      </c>
      <c r="D4417" s="0" t="n">
        <v>0.487047582211554</v>
      </c>
      <c r="E4417" s="0" t="n">
        <v>0.0957151316175292</v>
      </c>
      <c r="F4417" s="0" t="n">
        <v>0</v>
      </c>
      <c r="G4417" s="0" t="n">
        <v>2021</v>
      </c>
    </row>
    <row r="4418" customFormat="false" ht="15" hidden="false" customHeight="false" outlineLevel="0" collapsed="false">
      <c r="A4418" s="0" t="s">
        <v>261</v>
      </c>
      <c r="B4418" s="52" t="n">
        <v>44461</v>
      </c>
      <c r="C4418" s="54" t="s">
        <v>590</v>
      </c>
      <c r="D4418" s="0" t="n">
        <v>0.0479022439449758</v>
      </c>
      <c r="E4418" s="0" t="n">
        <v>0.0310488413886848</v>
      </c>
      <c r="F4418" s="0" t="n">
        <v>0</v>
      </c>
      <c r="G4418" s="0" t="n">
        <v>2021</v>
      </c>
    </row>
    <row r="4419" customFormat="false" ht="15" hidden="false" customHeight="false" outlineLevel="0" collapsed="false">
      <c r="A4419" s="0" t="s">
        <v>261</v>
      </c>
      <c r="B4419" s="52" t="n">
        <v>44461</v>
      </c>
      <c r="C4419" s="54" t="s">
        <v>591</v>
      </c>
      <c r="D4419" s="0" t="n">
        <v>0.305696936663081</v>
      </c>
      <c r="E4419" s="0" t="n">
        <v>0.0157280548942761</v>
      </c>
      <c r="F4419" s="0" t="n">
        <v>0</v>
      </c>
      <c r="G4419" s="0" t="n">
        <v>2021</v>
      </c>
    </row>
    <row r="4420" customFormat="false" ht="15" hidden="false" customHeight="false" outlineLevel="0" collapsed="false">
      <c r="A4420" s="0" t="s">
        <v>261</v>
      </c>
      <c r="B4420" s="52" t="n">
        <v>44461</v>
      </c>
      <c r="C4420" s="54" t="s">
        <v>592</v>
      </c>
      <c r="D4420" s="0" t="n">
        <v>0.0658321669555018</v>
      </c>
      <c r="E4420" s="0" t="n">
        <v>0.0716171727804066</v>
      </c>
      <c r="F4420" s="0" t="n">
        <v>0</v>
      </c>
      <c r="G4420" s="0" t="n">
        <v>2021</v>
      </c>
    </row>
    <row r="4421" customFormat="false" ht="15" hidden="false" customHeight="false" outlineLevel="0" collapsed="false">
      <c r="A4421" s="0" t="s">
        <v>261</v>
      </c>
      <c r="B4421" s="52" t="n">
        <v>44462</v>
      </c>
      <c r="C4421" s="54" t="s">
        <v>590</v>
      </c>
      <c r="D4421" s="0" t="n">
        <v>0.0503769062313075</v>
      </c>
      <c r="E4421" s="0" t="n">
        <v>0.0235171533872682</v>
      </c>
      <c r="F4421" s="0" t="n">
        <v>0</v>
      </c>
      <c r="G4421" s="0" t="n">
        <v>2021</v>
      </c>
    </row>
    <row r="4422" customFormat="false" ht="15" hidden="false" customHeight="false" outlineLevel="0" collapsed="false">
      <c r="A4422" s="0" t="s">
        <v>261</v>
      </c>
      <c r="B4422" s="52" t="n">
        <v>44462</v>
      </c>
      <c r="C4422" s="54" t="s">
        <v>591</v>
      </c>
      <c r="D4422" s="0" t="n">
        <v>0.0564091384925605</v>
      </c>
      <c r="E4422" s="0" t="n">
        <v>0.0432024280296114</v>
      </c>
      <c r="F4422" s="0" t="n">
        <v>0</v>
      </c>
      <c r="G4422" s="0" t="n">
        <v>2021</v>
      </c>
    </row>
    <row r="4423" customFormat="false" ht="15" hidden="false" customHeight="false" outlineLevel="0" collapsed="false">
      <c r="A4423" s="0" t="s">
        <v>261</v>
      </c>
      <c r="B4423" s="52" t="n">
        <v>44462</v>
      </c>
      <c r="C4423" s="54" t="s">
        <v>592</v>
      </c>
      <c r="D4423" s="0" t="n">
        <v>0.431484780776895</v>
      </c>
      <c r="E4423" s="0" t="n">
        <v>0.0531332501815491</v>
      </c>
      <c r="F4423" s="0" t="n">
        <v>0</v>
      </c>
      <c r="G4423" s="0" t="n">
        <v>2021</v>
      </c>
    </row>
    <row r="4424" customFormat="false" ht="15" hidden="false" customHeight="false" outlineLevel="0" collapsed="false">
      <c r="A4424" s="0" t="s">
        <v>261</v>
      </c>
      <c r="B4424" s="52" t="n">
        <v>44463</v>
      </c>
      <c r="C4424" s="54" t="s">
        <v>590</v>
      </c>
      <c r="D4424" s="0" t="n">
        <v>0.0881351594057053</v>
      </c>
      <c r="E4424" s="0" t="n">
        <v>0.0057672753574573</v>
      </c>
      <c r="F4424" s="0" t="n">
        <v>0</v>
      </c>
      <c r="G4424" s="0" t="n">
        <v>2021</v>
      </c>
    </row>
    <row r="4425" customFormat="false" ht="15" hidden="false" customHeight="false" outlineLevel="0" collapsed="false">
      <c r="A4425" s="0" t="s">
        <v>261</v>
      </c>
      <c r="B4425" s="52" t="n">
        <v>44463</v>
      </c>
      <c r="C4425" s="54" t="s">
        <v>591</v>
      </c>
      <c r="D4425" s="0" t="n">
        <v>0.0361224227397133</v>
      </c>
      <c r="E4425" s="0" t="n">
        <v>0.0429169115408588</v>
      </c>
      <c r="F4425" s="0" t="n">
        <v>0</v>
      </c>
      <c r="G4425" s="0" t="n">
        <v>2021</v>
      </c>
    </row>
    <row r="4426" customFormat="false" ht="15" hidden="false" customHeight="false" outlineLevel="0" collapsed="false">
      <c r="A4426" s="0" t="s">
        <v>261</v>
      </c>
      <c r="B4426" s="52" t="n">
        <v>44463</v>
      </c>
      <c r="C4426" s="54" t="s">
        <v>592</v>
      </c>
      <c r="D4426" s="0" t="n">
        <v>0.330256755072763</v>
      </c>
      <c r="E4426" s="0" t="n">
        <v>0.0192033568029341</v>
      </c>
      <c r="F4426" s="0" t="n">
        <v>0</v>
      </c>
      <c r="G4426" s="0" t="n">
        <v>2021</v>
      </c>
    </row>
    <row r="4427" customFormat="false" ht="15" hidden="false" customHeight="false" outlineLevel="0" collapsed="false">
      <c r="A4427" s="0" t="s">
        <v>261</v>
      </c>
      <c r="B4427" s="52" t="n">
        <v>44464</v>
      </c>
      <c r="C4427" s="54" t="s">
        <v>590</v>
      </c>
      <c r="D4427" s="0" t="n">
        <v>0.0652956930688093</v>
      </c>
      <c r="E4427" s="0" t="n">
        <v>0.0025329604638103</v>
      </c>
      <c r="F4427" s="0" t="n">
        <v>1</v>
      </c>
      <c r="G4427" s="0" t="n">
        <v>2021</v>
      </c>
    </row>
    <row r="4428" customFormat="false" ht="15" hidden="false" customHeight="false" outlineLevel="0" collapsed="false">
      <c r="A4428" s="0" t="s">
        <v>261</v>
      </c>
      <c r="B4428" s="52" t="n">
        <v>44464</v>
      </c>
      <c r="C4428" s="54" t="s">
        <v>591</v>
      </c>
      <c r="D4428" s="0" t="n">
        <v>0.0057638992997864</v>
      </c>
      <c r="E4428" s="0" t="n">
        <v>0.0435345910189888</v>
      </c>
      <c r="F4428" s="0" t="n">
        <v>1</v>
      </c>
      <c r="G4428" s="0" t="n">
        <v>2021</v>
      </c>
    </row>
    <row r="4429" customFormat="false" ht="15" hidden="false" customHeight="false" outlineLevel="0" collapsed="false">
      <c r="A4429" s="0" t="s">
        <v>261</v>
      </c>
      <c r="B4429" s="52" t="n">
        <v>44464</v>
      </c>
      <c r="C4429" s="54" t="s">
        <v>592</v>
      </c>
      <c r="D4429" s="0" t="n">
        <v>0.110293635312984</v>
      </c>
      <c r="E4429" s="0" t="n">
        <v>0.0212661725604385</v>
      </c>
      <c r="F4429" s="0" t="n">
        <v>1</v>
      </c>
      <c r="G4429" s="0" t="n">
        <v>2021</v>
      </c>
    </row>
    <row r="4430" customFormat="false" ht="15" hidden="false" customHeight="false" outlineLevel="0" collapsed="false">
      <c r="A4430" s="0" t="s">
        <v>261</v>
      </c>
      <c r="B4430" s="52" t="n">
        <v>44466</v>
      </c>
      <c r="C4430" s="54" t="s">
        <v>590</v>
      </c>
      <c r="D4430" s="0" t="n">
        <v>0.222949193929276</v>
      </c>
      <c r="E4430" s="0" t="n">
        <v>0.0004172721933445</v>
      </c>
      <c r="F4430" s="0" t="n">
        <v>0</v>
      </c>
      <c r="G4430" s="0" t="n">
        <v>2021</v>
      </c>
    </row>
    <row r="4431" customFormat="false" ht="15" hidden="false" customHeight="false" outlineLevel="0" collapsed="false">
      <c r="A4431" s="0" t="s">
        <v>261</v>
      </c>
      <c r="B4431" s="52" t="n">
        <v>44466</v>
      </c>
      <c r="C4431" s="54" t="s">
        <v>591</v>
      </c>
      <c r="D4431" s="0" t="n">
        <v>0.0137930117785218</v>
      </c>
      <c r="E4431" s="0" t="n">
        <v>0.116633143658165</v>
      </c>
      <c r="F4431" s="0" t="n">
        <v>0</v>
      </c>
      <c r="G4431" s="0" t="n">
        <v>2021</v>
      </c>
    </row>
    <row r="4432" customFormat="false" ht="15" hidden="false" customHeight="false" outlineLevel="0" collapsed="false">
      <c r="A4432" s="0" t="s">
        <v>261</v>
      </c>
      <c r="B4432" s="52" t="n">
        <v>44466</v>
      </c>
      <c r="C4432" s="54" t="s">
        <v>592</v>
      </c>
      <c r="D4432" s="0" t="n">
        <v>0.293131664874798</v>
      </c>
      <c r="E4432" s="0" t="n">
        <v>0.0649910282928159</v>
      </c>
      <c r="F4432" s="0" t="n">
        <v>0</v>
      </c>
      <c r="G4432" s="0" t="n">
        <v>2021</v>
      </c>
    </row>
    <row r="4433" customFormat="false" ht="15" hidden="false" customHeight="false" outlineLevel="0" collapsed="false">
      <c r="A4433" s="0" t="s">
        <v>261</v>
      </c>
      <c r="B4433" s="52" t="n">
        <v>44467</v>
      </c>
      <c r="C4433" s="54" t="s">
        <v>590</v>
      </c>
      <c r="D4433" s="0" t="n">
        <v>0.0623251852613858</v>
      </c>
      <c r="E4433" s="0" t="n">
        <v>0</v>
      </c>
      <c r="F4433" s="0" t="n">
        <v>0</v>
      </c>
      <c r="G4433" s="0" t="n">
        <v>2021</v>
      </c>
    </row>
    <row r="4434" customFormat="false" ht="15" hidden="false" customHeight="false" outlineLevel="0" collapsed="false">
      <c r="A4434" s="0" t="s">
        <v>261</v>
      </c>
      <c r="B4434" s="52" t="n">
        <v>44467</v>
      </c>
      <c r="C4434" s="54" t="s">
        <v>591</v>
      </c>
      <c r="D4434" s="0" t="n">
        <v>0.151442131865226</v>
      </c>
      <c r="E4434" s="0" t="n">
        <v>0.0295455103758307</v>
      </c>
      <c r="F4434" s="0" t="n">
        <v>0</v>
      </c>
      <c r="G4434" s="0" t="n">
        <v>2021</v>
      </c>
    </row>
    <row r="4435" customFormat="false" ht="15" hidden="false" customHeight="false" outlineLevel="0" collapsed="false">
      <c r="A4435" s="0" t="s">
        <v>261</v>
      </c>
      <c r="B4435" s="52" t="n">
        <v>44467</v>
      </c>
      <c r="C4435" s="54" t="s">
        <v>592</v>
      </c>
      <c r="D4435" s="0" t="n">
        <v>0.239422343702597</v>
      </c>
      <c r="E4435" s="0" t="n">
        <v>0.0681226643225143</v>
      </c>
      <c r="F4435" s="0" t="n">
        <v>0</v>
      </c>
      <c r="G4435" s="0" t="n">
        <v>2021</v>
      </c>
    </row>
    <row r="4436" customFormat="false" ht="15" hidden="false" customHeight="false" outlineLevel="0" collapsed="false">
      <c r="A4436" s="0" t="s">
        <v>261</v>
      </c>
      <c r="B4436" s="52" t="n">
        <v>44468</v>
      </c>
      <c r="C4436" s="54" t="s">
        <v>590</v>
      </c>
      <c r="D4436" s="0" t="n">
        <v>0.0717286390143977</v>
      </c>
      <c r="E4436" s="0" t="n">
        <v>0.0361624999501509</v>
      </c>
      <c r="F4436" s="0" t="n">
        <v>0</v>
      </c>
      <c r="G4436" s="0" t="n">
        <v>2021</v>
      </c>
    </row>
    <row r="4437" customFormat="false" ht="15" hidden="false" customHeight="false" outlineLevel="0" collapsed="false">
      <c r="A4437" s="0" t="s">
        <v>261</v>
      </c>
      <c r="B4437" s="52" t="n">
        <v>44468</v>
      </c>
      <c r="C4437" s="54" t="s">
        <v>591</v>
      </c>
      <c r="D4437" s="0" t="n">
        <v>0.0303833291736349</v>
      </c>
      <c r="E4437" s="0" t="n">
        <v>0.0215944708306941</v>
      </c>
      <c r="F4437" s="0" t="n">
        <v>0</v>
      </c>
      <c r="G4437" s="0" t="n">
        <v>2021</v>
      </c>
    </row>
    <row r="4438" customFormat="false" ht="15" hidden="false" customHeight="false" outlineLevel="0" collapsed="false">
      <c r="A4438" s="0" t="s">
        <v>261</v>
      </c>
      <c r="B4438" s="52" t="n">
        <v>44468</v>
      </c>
      <c r="C4438" s="54" t="s">
        <v>592</v>
      </c>
      <c r="D4438" s="0" t="n">
        <v>0.205346161315381</v>
      </c>
      <c r="E4438" s="0" t="n">
        <v>0.0494933607910409</v>
      </c>
      <c r="F4438" s="0" t="n">
        <v>0</v>
      </c>
      <c r="G4438" s="0" t="n">
        <v>2021</v>
      </c>
    </row>
    <row r="4439" customFormat="false" ht="15" hidden="false" customHeight="false" outlineLevel="0" collapsed="false">
      <c r="A4439" s="0" t="s">
        <v>261</v>
      </c>
      <c r="B4439" s="52" t="n">
        <v>44469</v>
      </c>
      <c r="C4439" s="54" t="s">
        <v>590</v>
      </c>
      <c r="D4439" s="0" t="n">
        <v>0.140910521272426</v>
      </c>
      <c r="E4439" s="0" t="n">
        <v>0.0312062473258992</v>
      </c>
      <c r="F4439" s="0" t="n">
        <v>0</v>
      </c>
      <c r="G4439" s="0" t="n">
        <v>2021</v>
      </c>
    </row>
    <row r="4440" customFormat="false" ht="15" hidden="false" customHeight="false" outlineLevel="0" collapsed="false">
      <c r="A4440" s="0" t="s">
        <v>261</v>
      </c>
      <c r="B4440" s="52" t="n">
        <v>44469</v>
      </c>
      <c r="C4440" s="54" t="s">
        <v>591</v>
      </c>
      <c r="D4440" s="0" t="n">
        <v>0.0186759956942949</v>
      </c>
      <c r="E4440" s="0" t="n">
        <v>0.0400311115886329</v>
      </c>
      <c r="F4440" s="0" t="n">
        <v>0</v>
      </c>
      <c r="G4440" s="0" t="n">
        <v>2021</v>
      </c>
    </row>
    <row r="4441" customFormat="false" ht="15" hidden="false" customHeight="false" outlineLevel="0" collapsed="false">
      <c r="A4441" s="0" t="s">
        <v>261</v>
      </c>
      <c r="B4441" s="52" t="n">
        <v>44469</v>
      </c>
      <c r="C4441" s="54" t="s">
        <v>592</v>
      </c>
      <c r="D4441" s="0" t="n">
        <v>0.241999110286463</v>
      </c>
      <c r="E4441" s="0" t="n">
        <v>0.0454861279709496</v>
      </c>
      <c r="F4441" s="0" t="n">
        <v>0</v>
      </c>
      <c r="G4441" s="0" t="n">
        <v>2021</v>
      </c>
    </row>
    <row r="4442" customFormat="false" ht="15" hidden="false" customHeight="false" outlineLevel="0" collapsed="false">
      <c r="A4442" s="0" t="s">
        <v>261</v>
      </c>
      <c r="B4442" s="52" t="n">
        <v>44470</v>
      </c>
      <c r="C4442" s="54" t="s">
        <v>590</v>
      </c>
      <c r="D4442" s="0" t="n">
        <v>0.158370773101415</v>
      </c>
      <c r="E4442" s="0" t="n">
        <v>0</v>
      </c>
      <c r="F4442" s="0" t="n">
        <v>0</v>
      </c>
      <c r="G4442" s="0" t="n">
        <v>2021</v>
      </c>
    </row>
    <row r="4443" customFormat="false" ht="15" hidden="false" customHeight="false" outlineLevel="0" collapsed="false">
      <c r="A4443" s="0" t="s">
        <v>261</v>
      </c>
      <c r="B4443" s="52" t="n">
        <v>44470</v>
      </c>
      <c r="C4443" s="54" t="s">
        <v>591</v>
      </c>
      <c r="D4443" s="0" t="n">
        <v>0.0069103906536043</v>
      </c>
      <c r="E4443" s="0" t="n">
        <v>0.0152350645429573</v>
      </c>
      <c r="F4443" s="0" t="n">
        <v>0</v>
      </c>
      <c r="G4443" s="0" t="n">
        <v>2021</v>
      </c>
    </row>
    <row r="4444" customFormat="false" ht="15" hidden="false" customHeight="false" outlineLevel="0" collapsed="false">
      <c r="A4444" s="0" t="s">
        <v>261</v>
      </c>
      <c r="B4444" s="52" t="n">
        <v>44470</v>
      </c>
      <c r="C4444" s="54" t="s">
        <v>592</v>
      </c>
      <c r="D4444" s="0" t="n">
        <v>0.226287985792794</v>
      </c>
      <c r="E4444" s="0" t="n">
        <v>0.0483685166718549</v>
      </c>
      <c r="F4444" s="0" t="n">
        <v>0</v>
      </c>
      <c r="G4444" s="0" t="n">
        <v>2021</v>
      </c>
    </row>
    <row r="4445" customFormat="false" ht="15" hidden="false" customHeight="false" outlineLevel="0" collapsed="false">
      <c r="A4445" s="0" t="s">
        <v>261</v>
      </c>
      <c r="B4445" s="52" t="n">
        <v>44471</v>
      </c>
      <c r="C4445" s="54" t="s">
        <v>590</v>
      </c>
      <c r="D4445" s="0" t="n">
        <v>0.132973461762695</v>
      </c>
      <c r="E4445" s="0" t="n">
        <v>0.0800816989997914</v>
      </c>
      <c r="F4445" s="0" t="n">
        <v>1</v>
      </c>
      <c r="G4445" s="0" t="n">
        <v>2021</v>
      </c>
    </row>
    <row r="4446" customFormat="false" ht="15" hidden="false" customHeight="false" outlineLevel="0" collapsed="false">
      <c r="A4446" s="0" t="s">
        <v>261</v>
      </c>
      <c r="B4446" s="52" t="n">
        <v>44471</v>
      </c>
      <c r="C4446" s="54" t="s">
        <v>591</v>
      </c>
      <c r="D4446" s="0" t="n">
        <v>0.773107991395729</v>
      </c>
      <c r="E4446" s="0" t="n">
        <v>0.0065522759331499</v>
      </c>
      <c r="F4446" s="0" t="n">
        <v>1</v>
      </c>
      <c r="G4446" s="0" t="n">
        <v>2021</v>
      </c>
    </row>
    <row r="4447" customFormat="false" ht="15" hidden="false" customHeight="false" outlineLevel="0" collapsed="false">
      <c r="A4447" s="0" t="s">
        <v>261</v>
      </c>
      <c r="B4447" s="52" t="n">
        <v>44473</v>
      </c>
      <c r="C4447" s="54" t="s">
        <v>590</v>
      </c>
      <c r="D4447" s="0" t="n">
        <v>0.0352071944259819</v>
      </c>
      <c r="E4447" s="0" t="n">
        <v>0</v>
      </c>
      <c r="F4447" s="0" t="n">
        <v>0</v>
      </c>
      <c r="G4447" s="0" t="n">
        <v>2021</v>
      </c>
    </row>
    <row r="4448" customFormat="false" ht="15" hidden="false" customHeight="false" outlineLevel="0" collapsed="false">
      <c r="A4448" s="0" t="s">
        <v>261</v>
      </c>
      <c r="B4448" s="52" t="n">
        <v>44473</v>
      </c>
      <c r="C4448" s="54" t="s">
        <v>591</v>
      </c>
      <c r="D4448" s="0" t="n">
        <v>0.0975625079572404</v>
      </c>
      <c r="E4448" s="0" t="n">
        <v>0.0550511436144241</v>
      </c>
      <c r="F4448" s="0" t="n">
        <v>0</v>
      </c>
      <c r="G4448" s="0" t="n">
        <v>2021</v>
      </c>
    </row>
    <row r="4449" customFormat="false" ht="15" hidden="false" customHeight="false" outlineLevel="0" collapsed="false">
      <c r="A4449" s="0" t="s">
        <v>261</v>
      </c>
      <c r="B4449" s="52" t="n">
        <v>44473</v>
      </c>
      <c r="C4449" s="54" t="s">
        <v>592</v>
      </c>
      <c r="D4449" s="0" t="n">
        <v>0.107268128687817</v>
      </c>
      <c r="E4449" s="0" t="n">
        <v>0.0626088499444528</v>
      </c>
      <c r="F4449" s="0" t="n">
        <v>0</v>
      </c>
      <c r="G4449" s="0" t="n">
        <v>2021</v>
      </c>
    </row>
    <row r="4450" customFormat="false" ht="15" hidden="false" customHeight="false" outlineLevel="0" collapsed="false">
      <c r="A4450" s="0" t="s">
        <v>261</v>
      </c>
      <c r="B4450" s="52" t="n">
        <v>44474</v>
      </c>
      <c r="C4450" s="54" t="s">
        <v>590</v>
      </c>
      <c r="D4450" s="0" t="n">
        <v>0.0314569427236061</v>
      </c>
      <c r="E4450" s="0" t="n">
        <v>0.0008370503158554</v>
      </c>
      <c r="F4450" s="0" t="n">
        <v>0</v>
      </c>
      <c r="G4450" s="0" t="n">
        <v>2021</v>
      </c>
    </row>
    <row r="4451" customFormat="false" ht="15" hidden="false" customHeight="false" outlineLevel="0" collapsed="false">
      <c r="A4451" s="0" t="s">
        <v>261</v>
      </c>
      <c r="B4451" s="52" t="n">
        <v>44474</v>
      </c>
      <c r="C4451" s="54" t="s">
        <v>591</v>
      </c>
      <c r="D4451" s="0" t="n">
        <v>0.320239774845722</v>
      </c>
      <c r="E4451" s="0" t="n">
        <v>0.0258844957951791</v>
      </c>
      <c r="F4451" s="0" t="n">
        <v>0</v>
      </c>
      <c r="G4451" s="0" t="n">
        <v>2021</v>
      </c>
    </row>
    <row r="4452" customFormat="false" ht="15" hidden="false" customHeight="false" outlineLevel="0" collapsed="false">
      <c r="A4452" s="0" t="s">
        <v>261</v>
      </c>
      <c r="B4452" s="52" t="n">
        <v>44474</v>
      </c>
      <c r="C4452" s="54" t="s">
        <v>592</v>
      </c>
      <c r="D4452" s="0" t="n">
        <v>0.126876189418128</v>
      </c>
      <c r="E4452" s="0" t="n">
        <v>0.0529725215374634</v>
      </c>
      <c r="F4452" s="0" t="n">
        <v>0</v>
      </c>
      <c r="G4452" s="0" t="n">
        <v>2021</v>
      </c>
    </row>
    <row r="4453" customFormat="false" ht="15" hidden="false" customHeight="false" outlineLevel="0" collapsed="false">
      <c r="A4453" s="0" t="s">
        <v>261</v>
      </c>
      <c r="B4453" s="52" t="n">
        <v>44475</v>
      </c>
      <c r="C4453" s="54" t="s">
        <v>590</v>
      </c>
      <c r="D4453" s="0" t="n">
        <v>0.55572871565934</v>
      </c>
      <c r="E4453" s="0" t="n">
        <v>0.0114389448244058</v>
      </c>
      <c r="F4453" s="0" t="n">
        <v>0</v>
      </c>
      <c r="G4453" s="0" t="n">
        <v>2021</v>
      </c>
    </row>
    <row r="4454" customFormat="false" ht="15" hidden="false" customHeight="false" outlineLevel="0" collapsed="false">
      <c r="A4454" s="0" t="s">
        <v>261</v>
      </c>
      <c r="B4454" s="52" t="n">
        <v>44475</v>
      </c>
      <c r="C4454" s="54" t="s">
        <v>591</v>
      </c>
      <c r="D4454" s="0" t="n">
        <v>0.159025292217242</v>
      </c>
      <c r="E4454" s="0" t="n">
        <v>0.0078136513901005</v>
      </c>
      <c r="F4454" s="0" t="n">
        <v>0</v>
      </c>
      <c r="G4454" s="0" t="n">
        <v>2021</v>
      </c>
    </row>
    <row r="4455" customFormat="false" ht="15" hidden="false" customHeight="false" outlineLevel="0" collapsed="false">
      <c r="A4455" s="0" t="s">
        <v>261</v>
      </c>
      <c r="B4455" s="52" t="n">
        <v>44475</v>
      </c>
      <c r="C4455" s="54" t="s">
        <v>592</v>
      </c>
      <c r="D4455" s="0" t="n">
        <v>0.172818723356478</v>
      </c>
      <c r="E4455" s="0" t="n">
        <v>0.0054555660444122</v>
      </c>
      <c r="F4455" s="0" t="n">
        <v>0</v>
      </c>
      <c r="G4455" s="0" t="n">
        <v>2021</v>
      </c>
    </row>
    <row r="4456" customFormat="false" ht="15" hidden="false" customHeight="false" outlineLevel="0" collapsed="false">
      <c r="A4456" s="0" t="s">
        <v>261</v>
      </c>
      <c r="B4456" s="52" t="n">
        <v>44476</v>
      </c>
      <c r="C4456" s="54" t="s">
        <v>590</v>
      </c>
      <c r="D4456" s="0" t="n">
        <v>0.57368215706636</v>
      </c>
      <c r="E4456" s="0" t="n">
        <v>0.0133101343093272</v>
      </c>
      <c r="F4456" s="0" t="n">
        <v>0</v>
      </c>
      <c r="G4456" s="0" t="n">
        <v>2021</v>
      </c>
    </row>
    <row r="4457" customFormat="false" ht="15" hidden="false" customHeight="false" outlineLevel="0" collapsed="false">
      <c r="A4457" s="0" t="s">
        <v>261</v>
      </c>
      <c r="B4457" s="52" t="n">
        <v>44476</v>
      </c>
      <c r="C4457" s="54" t="s">
        <v>591</v>
      </c>
      <c r="D4457" s="0" t="n">
        <v>0.0127481228354701</v>
      </c>
      <c r="E4457" s="0" t="n">
        <v>0.0951976736855936</v>
      </c>
      <c r="F4457" s="0" t="n">
        <v>0</v>
      </c>
      <c r="G4457" s="0" t="n">
        <v>2021</v>
      </c>
    </row>
    <row r="4458" customFormat="false" ht="15" hidden="false" customHeight="false" outlineLevel="0" collapsed="false">
      <c r="A4458" s="0" t="s">
        <v>261</v>
      </c>
      <c r="B4458" s="52" t="n">
        <v>44476</v>
      </c>
      <c r="C4458" s="54" t="s">
        <v>592</v>
      </c>
      <c r="D4458" s="0" t="n">
        <v>0.134037363370035</v>
      </c>
      <c r="E4458" s="0" t="n">
        <v>0.113578433941834</v>
      </c>
      <c r="F4458" s="0" t="n">
        <v>0</v>
      </c>
      <c r="G4458" s="0" t="n">
        <v>2021</v>
      </c>
    </row>
    <row r="4459" customFormat="false" ht="15" hidden="false" customHeight="false" outlineLevel="0" collapsed="false">
      <c r="A4459" s="0" t="s">
        <v>261</v>
      </c>
      <c r="B4459" s="52" t="n">
        <v>44477</v>
      </c>
      <c r="C4459" s="54" t="s">
        <v>590</v>
      </c>
      <c r="D4459" s="0" t="n">
        <v>0.109069436953646</v>
      </c>
      <c r="E4459" s="0" t="n">
        <v>0.0648263724528194</v>
      </c>
      <c r="F4459" s="0" t="n">
        <v>0</v>
      </c>
      <c r="G4459" s="0" t="n">
        <v>2021</v>
      </c>
    </row>
    <row r="4460" customFormat="false" ht="15" hidden="false" customHeight="false" outlineLevel="0" collapsed="false">
      <c r="A4460" s="0" t="s">
        <v>261</v>
      </c>
      <c r="B4460" s="52" t="n">
        <v>44477</v>
      </c>
      <c r="C4460" s="54" t="s">
        <v>591</v>
      </c>
      <c r="D4460" s="0" t="n">
        <v>0.0094182736232441</v>
      </c>
      <c r="E4460" s="0" t="n">
        <v>0.126110054407665</v>
      </c>
      <c r="F4460" s="0" t="n">
        <v>0</v>
      </c>
      <c r="G4460" s="0" t="n">
        <v>2021</v>
      </c>
    </row>
    <row r="4461" customFormat="false" ht="15" hidden="false" customHeight="false" outlineLevel="0" collapsed="false">
      <c r="A4461" s="0" t="s">
        <v>261</v>
      </c>
      <c r="B4461" s="52" t="n">
        <v>44477</v>
      </c>
      <c r="C4461" s="54" t="s">
        <v>592</v>
      </c>
      <c r="D4461" s="0" t="n">
        <v>0.0675851425317449</v>
      </c>
      <c r="E4461" s="0" t="n">
        <v>0.0295567449911012</v>
      </c>
      <c r="F4461" s="0" t="n">
        <v>0</v>
      </c>
      <c r="G4461" s="0" t="n">
        <v>2021</v>
      </c>
    </row>
    <row r="4462" customFormat="false" ht="15" hidden="false" customHeight="false" outlineLevel="0" collapsed="false">
      <c r="A4462" s="0" t="s">
        <v>261</v>
      </c>
      <c r="B4462" s="52" t="n">
        <v>44478</v>
      </c>
      <c r="C4462" s="54" t="s">
        <v>590</v>
      </c>
      <c r="D4462" s="0" t="n">
        <v>0.0840828406378075</v>
      </c>
      <c r="E4462" s="0" t="n">
        <v>0.0941491844688938</v>
      </c>
      <c r="F4462" s="0" t="n">
        <v>1</v>
      </c>
      <c r="G4462" s="0" t="n">
        <v>2021</v>
      </c>
    </row>
    <row r="4463" customFormat="false" ht="15" hidden="false" customHeight="false" outlineLevel="0" collapsed="false">
      <c r="A4463" s="0" t="s">
        <v>261</v>
      </c>
      <c r="B4463" s="52" t="n">
        <v>44478</v>
      </c>
      <c r="C4463" s="54" t="s">
        <v>591</v>
      </c>
      <c r="D4463" s="0" t="n">
        <v>0.0361408378327891</v>
      </c>
      <c r="E4463" s="0" t="n">
        <v>0.0375898517278119</v>
      </c>
      <c r="F4463" s="0" t="n">
        <v>1</v>
      </c>
      <c r="G4463" s="0" t="n">
        <v>2021</v>
      </c>
    </row>
    <row r="4464" customFormat="false" ht="15" hidden="false" customHeight="false" outlineLevel="0" collapsed="false">
      <c r="A4464" s="0" t="s">
        <v>261</v>
      </c>
      <c r="B4464" s="52" t="n">
        <v>44478</v>
      </c>
      <c r="C4464" s="54" t="s">
        <v>592</v>
      </c>
      <c r="D4464" s="0" t="n">
        <v>0.117416631805661</v>
      </c>
      <c r="E4464" s="0" t="n">
        <v>0.127500578573592</v>
      </c>
      <c r="F4464" s="0" t="n">
        <v>1</v>
      </c>
      <c r="G4464" s="0" t="n">
        <v>2021</v>
      </c>
    </row>
    <row r="4465" customFormat="false" ht="15" hidden="false" customHeight="false" outlineLevel="0" collapsed="false">
      <c r="A4465" s="0" t="s">
        <v>261</v>
      </c>
      <c r="B4465" s="52" t="n">
        <v>44479</v>
      </c>
      <c r="C4465" s="54" t="s">
        <v>590</v>
      </c>
      <c r="D4465" s="0" t="n">
        <v>0.998838228322583</v>
      </c>
      <c r="E4465" s="0" t="n">
        <v>0</v>
      </c>
      <c r="F4465" s="0" t="n">
        <v>1</v>
      </c>
      <c r="G4465" s="0" t="n">
        <v>2021</v>
      </c>
    </row>
    <row r="4466" customFormat="false" ht="15" hidden="false" customHeight="false" outlineLevel="0" collapsed="false">
      <c r="A4466" s="0" t="s">
        <v>261</v>
      </c>
      <c r="B4466" s="52" t="n">
        <v>44480</v>
      </c>
      <c r="C4466" s="54" t="s">
        <v>590</v>
      </c>
      <c r="D4466" s="0" t="n">
        <v>0.791106726204961</v>
      </c>
      <c r="E4466" s="0" t="n">
        <v>0</v>
      </c>
      <c r="F4466" s="0" t="n">
        <v>0</v>
      </c>
      <c r="G4466" s="0" t="n">
        <v>2021</v>
      </c>
    </row>
    <row r="4467" customFormat="false" ht="15" hidden="false" customHeight="false" outlineLevel="0" collapsed="false">
      <c r="A4467" s="0" t="s">
        <v>261</v>
      </c>
      <c r="B4467" s="52" t="n">
        <v>44480</v>
      </c>
      <c r="C4467" s="54" t="s">
        <v>591</v>
      </c>
      <c r="D4467" s="0" t="n">
        <v>0.357447641665456</v>
      </c>
      <c r="E4467" s="0" t="n">
        <v>0.012717470629105</v>
      </c>
      <c r="F4467" s="0" t="n">
        <v>0</v>
      </c>
      <c r="G4467" s="0" t="n">
        <v>2021</v>
      </c>
    </row>
    <row r="4468" customFormat="false" ht="15" hidden="false" customHeight="false" outlineLevel="0" collapsed="false">
      <c r="A4468" s="0" t="s">
        <v>261</v>
      </c>
      <c r="B4468" s="52" t="n">
        <v>44480</v>
      </c>
      <c r="C4468" s="54" t="s">
        <v>592</v>
      </c>
      <c r="D4468" s="0" t="n">
        <v>0.388555334546718</v>
      </c>
      <c r="E4468" s="0" t="n">
        <v>0.0925777582966885</v>
      </c>
      <c r="F4468" s="0" t="n">
        <v>0</v>
      </c>
      <c r="G4468" s="0" t="n">
        <v>2021</v>
      </c>
    </row>
    <row r="4469" customFormat="false" ht="15" hidden="false" customHeight="false" outlineLevel="0" collapsed="false">
      <c r="A4469" s="0" t="s">
        <v>261</v>
      </c>
      <c r="B4469" s="52" t="n">
        <v>44481</v>
      </c>
      <c r="C4469" s="54" t="s">
        <v>590</v>
      </c>
      <c r="D4469" s="0" t="n">
        <v>0.10700343722716</v>
      </c>
      <c r="E4469" s="0" t="n">
        <v>0.0909509737247641</v>
      </c>
      <c r="F4469" s="0" t="n">
        <v>0</v>
      </c>
      <c r="G4469" s="0" t="n">
        <v>2021</v>
      </c>
    </row>
    <row r="4470" customFormat="false" ht="15" hidden="false" customHeight="false" outlineLevel="0" collapsed="false">
      <c r="A4470" s="0" t="s">
        <v>261</v>
      </c>
      <c r="B4470" s="52" t="n">
        <v>44481</v>
      </c>
      <c r="C4470" s="54" t="s">
        <v>591</v>
      </c>
      <c r="D4470" s="0" t="n">
        <v>0.041448778132779</v>
      </c>
      <c r="E4470" s="0" t="n">
        <v>0.0641411226620867</v>
      </c>
      <c r="F4470" s="0" t="n">
        <v>0</v>
      </c>
      <c r="G4470" s="0" t="n">
        <v>2021</v>
      </c>
    </row>
    <row r="4471" customFormat="false" ht="15" hidden="false" customHeight="false" outlineLevel="0" collapsed="false">
      <c r="A4471" s="0" t="s">
        <v>261</v>
      </c>
      <c r="B4471" s="52" t="n">
        <v>44481</v>
      </c>
      <c r="C4471" s="54" t="s">
        <v>592</v>
      </c>
      <c r="D4471" s="0" t="n">
        <v>0.100468038858444</v>
      </c>
      <c r="E4471" s="0" t="n">
        <v>0.0354768855496618</v>
      </c>
      <c r="F4471" s="0" t="n">
        <v>0</v>
      </c>
      <c r="G4471" s="0" t="n">
        <v>2021</v>
      </c>
    </row>
    <row r="4472" customFormat="false" ht="15" hidden="false" customHeight="false" outlineLevel="0" collapsed="false">
      <c r="A4472" s="0" t="s">
        <v>261</v>
      </c>
      <c r="B4472" s="52" t="n">
        <v>44482</v>
      </c>
      <c r="C4472" s="54" t="s">
        <v>590</v>
      </c>
      <c r="D4472" s="0" t="n">
        <v>0.310171962810666</v>
      </c>
      <c r="E4472" s="0" t="n">
        <v>0.0542721697838852</v>
      </c>
      <c r="F4472" s="0" t="n">
        <v>0</v>
      </c>
      <c r="G4472" s="0" t="n">
        <v>2021</v>
      </c>
    </row>
    <row r="4473" customFormat="false" ht="15" hidden="false" customHeight="false" outlineLevel="0" collapsed="false">
      <c r="A4473" s="0" t="s">
        <v>261</v>
      </c>
      <c r="B4473" s="52" t="n">
        <v>44482</v>
      </c>
      <c r="C4473" s="54" t="s">
        <v>591</v>
      </c>
      <c r="D4473" s="0" t="n">
        <v>0.0086617484529553</v>
      </c>
      <c r="E4473" s="0" t="n">
        <v>0.158258905472018</v>
      </c>
      <c r="F4473" s="0" t="n">
        <v>0</v>
      </c>
      <c r="G4473" s="0" t="n">
        <v>2021</v>
      </c>
    </row>
    <row r="4474" customFormat="false" ht="15" hidden="false" customHeight="false" outlineLevel="0" collapsed="false">
      <c r="A4474" s="0" t="s">
        <v>261</v>
      </c>
      <c r="B4474" s="52" t="n">
        <v>44482</v>
      </c>
      <c r="C4474" s="54" t="s">
        <v>592</v>
      </c>
      <c r="D4474" s="0" t="n">
        <v>0.0613097724486931</v>
      </c>
      <c r="E4474" s="0" t="n">
        <v>0.0778660208356306</v>
      </c>
      <c r="F4474" s="0" t="n">
        <v>0</v>
      </c>
      <c r="G4474" s="0" t="n">
        <v>2021</v>
      </c>
    </row>
    <row r="4475" customFormat="false" ht="15" hidden="false" customHeight="false" outlineLevel="0" collapsed="false">
      <c r="A4475" s="0" t="s">
        <v>261</v>
      </c>
      <c r="B4475" s="52" t="n">
        <v>44483</v>
      </c>
      <c r="C4475" s="54" t="s">
        <v>590</v>
      </c>
      <c r="D4475" s="0" t="n">
        <v>0.273894724605484</v>
      </c>
      <c r="E4475" s="0" t="n">
        <v>0.0574596603623705</v>
      </c>
      <c r="F4475" s="0" t="n">
        <v>0</v>
      </c>
      <c r="G4475" s="0" t="n">
        <v>2021</v>
      </c>
    </row>
    <row r="4476" customFormat="false" ht="15" hidden="false" customHeight="false" outlineLevel="0" collapsed="false">
      <c r="A4476" s="0" t="s">
        <v>261</v>
      </c>
      <c r="B4476" s="52" t="n">
        <v>44483</v>
      </c>
      <c r="C4476" s="54" t="s">
        <v>591</v>
      </c>
      <c r="D4476" s="0" t="n">
        <v>0.0451271735342992</v>
      </c>
      <c r="E4476" s="0" t="n">
        <v>0.0517653191149134</v>
      </c>
      <c r="F4476" s="0" t="n">
        <v>0</v>
      </c>
      <c r="G4476" s="0" t="n">
        <v>2021</v>
      </c>
    </row>
    <row r="4477" customFormat="false" ht="15" hidden="false" customHeight="false" outlineLevel="0" collapsed="false">
      <c r="A4477" s="0" t="s">
        <v>261</v>
      </c>
      <c r="B4477" s="52" t="n">
        <v>44483</v>
      </c>
      <c r="C4477" s="54" t="s">
        <v>592</v>
      </c>
      <c r="D4477" s="0" t="n">
        <v>0.0786027980539682</v>
      </c>
      <c r="E4477" s="0" t="n">
        <v>0.0767889507138944</v>
      </c>
      <c r="F4477" s="0" t="n">
        <v>0</v>
      </c>
      <c r="G4477" s="0" t="n">
        <v>2021</v>
      </c>
    </row>
    <row r="4478" customFormat="false" ht="15" hidden="false" customHeight="false" outlineLevel="0" collapsed="false">
      <c r="A4478" s="0" t="s">
        <v>261</v>
      </c>
      <c r="B4478" s="52" t="n">
        <v>44484</v>
      </c>
      <c r="C4478" s="54" t="s">
        <v>590</v>
      </c>
      <c r="D4478" s="0" t="n">
        <v>0.288049406059736</v>
      </c>
      <c r="E4478" s="0" t="n">
        <v>0</v>
      </c>
      <c r="F4478" s="0" t="n">
        <v>0</v>
      </c>
      <c r="G4478" s="0" t="n">
        <v>2021</v>
      </c>
    </row>
    <row r="4479" customFormat="false" ht="15" hidden="false" customHeight="false" outlineLevel="0" collapsed="false">
      <c r="A4479" s="0" t="s">
        <v>261</v>
      </c>
      <c r="B4479" s="52" t="n">
        <v>44484</v>
      </c>
      <c r="C4479" s="54" t="s">
        <v>591</v>
      </c>
      <c r="D4479" s="0" t="n">
        <v>0.0231421375275932</v>
      </c>
      <c r="E4479" s="0" t="n">
        <v>0.0525275470221181</v>
      </c>
      <c r="F4479" s="0" t="n">
        <v>0</v>
      </c>
      <c r="G4479" s="0" t="n">
        <v>2021</v>
      </c>
    </row>
    <row r="4480" customFormat="false" ht="15" hidden="false" customHeight="false" outlineLevel="0" collapsed="false">
      <c r="A4480" s="0" t="s">
        <v>261</v>
      </c>
      <c r="B4480" s="52" t="n">
        <v>44484</v>
      </c>
      <c r="C4480" s="54" t="s">
        <v>592</v>
      </c>
      <c r="D4480" s="0" t="n">
        <v>0.385614846035845</v>
      </c>
      <c r="E4480" s="0" t="n">
        <v>0.0310367719060622</v>
      </c>
      <c r="F4480" s="0" t="n">
        <v>0</v>
      </c>
      <c r="G4480" s="0" t="n">
        <v>2021</v>
      </c>
    </row>
    <row r="4481" customFormat="false" ht="15" hidden="false" customHeight="false" outlineLevel="0" collapsed="false">
      <c r="A4481" s="0" t="s">
        <v>261</v>
      </c>
      <c r="B4481" s="52" t="n">
        <v>44485</v>
      </c>
      <c r="C4481" s="54" t="s">
        <v>590</v>
      </c>
      <c r="D4481" s="0" t="n">
        <v>0.567387650728471</v>
      </c>
      <c r="E4481" s="0" t="n">
        <v>0</v>
      </c>
      <c r="F4481" s="0" t="n">
        <v>1</v>
      </c>
      <c r="G4481" s="0" t="n">
        <v>2021</v>
      </c>
    </row>
    <row r="4482" customFormat="false" ht="15" hidden="false" customHeight="false" outlineLevel="0" collapsed="false">
      <c r="A4482" s="0" t="s">
        <v>261</v>
      </c>
      <c r="B4482" s="52" t="n">
        <v>44485</v>
      </c>
      <c r="C4482" s="54" t="s">
        <v>591</v>
      </c>
      <c r="D4482" s="0" t="n">
        <v>0.034551255088323</v>
      </c>
      <c r="E4482" s="0" t="n">
        <v>0.0448502209225606</v>
      </c>
      <c r="F4482" s="0" t="n">
        <v>1</v>
      </c>
      <c r="G4482" s="0" t="n">
        <v>2021</v>
      </c>
    </row>
    <row r="4483" customFormat="false" ht="15" hidden="false" customHeight="false" outlineLevel="0" collapsed="false">
      <c r="A4483" s="0" t="s">
        <v>261</v>
      </c>
      <c r="B4483" s="52" t="n">
        <v>44485</v>
      </c>
      <c r="C4483" s="54" t="s">
        <v>592</v>
      </c>
      <c r="D4483" s="0" t="n">
        <v>0.165851868230462</v>
      </c>
      <c r="E4483" s="0" t="n">
        <v>0.0404616015894495</v>
      </c>
      <c r="F4483" s="0" t="n">
        <v>1</v>
      </c>
      <c r="G4483" s="0" t="n">
        <v>2021</v>
      </c>
    </row>
    <row r="4484" customFormat="false" ht="15" hidden="false" customHeight="false" outlineLevel="0" collapsed="false">
      <c r="A4484" s="0" t="s">
        <v>261</v>
      </c>
      <c r="B4484" s="52" t="n">
        <v>44487</v>
      </c>
      <c r="C4484" s="54" t="s">
        <v>590</v>
      </c>
      <c r="D4484" s="0" t="n">
        <v>0.138172856901592</v>
      </c>
      <c r="E4484" s="0" t="n">
        <v>0.006232584185985</v>
      </c>
      <c r="F4484" s="0" t="n">
        <v>0</v>
      </c>
      <c r="G4484" s="0" t="n">
        <v>2021</v>
      </c>
    </row>
    <row r="4485" customFormat="false" ht="15" hidden="false" customHeight="false" outlineLevel="0" collapsed="false">
      <c r="A4485" s="0" t="s">
        <v>261</v>
      </c>
      <c r="B4485" s="52" t="n">
        <v>44487</v>
      </c>
      <c r="C4485" s="54" t="s">
        <v>591</v>
      </c>
      <c r="D4485" s="0" t="n">
        <v>0.0241100255016283</v>
      </c>
      <c r="E4485" s="0" t="n">
        <v>0.0505467170481505</v>
      </c>
      <c r="F4485" s="0" t="n">
        <v>0</v>
      </c>
      <c r="G4485" s="0" t="n">
        <v>2021</v>
      </c>
    </row>
    <row r="4486" customFormat="false" ht="15" hidden="false" customHeight="false" outlineLevel="0" collapsed="false">
      <c r="A4486" s="0" t="s">
        <v>261</v>
      </c>
      <c r="B4486" s="52" t="n">
        <v>44487</v>
      </c>
      <c r="C4486" s="54" t="s">
        <v>592</v>
      </c>
      <c r="D4486" s="0" t="n">
        <v>0.343543352254129</v>
      </c>
      <c r="E4486" s="0" t="n">
        <v>0.0310130301474223</v>
      </c>
      <c r="F4486" s="0" t="n">
        <v>0</v>
      </c>
      <c r="G4486" s="0" t="n">
        <v>2021</v>
      </c>
    </row>
    <row r="4487" customFormat="false" ht="15" hidden="false" customHeight="false" outlineLevel="0" collapsed="false">
      <c r="A4487" s="0" t="s">
        <v>261</v>
      </c>
      <c r="B4487" s="52" t="n">
        <v>44488</v>
      </c>
      <c r="C4487" s="54" t="s">
        <v>590</v>
      </c>
      <c r="D4487" s="0" t="n">
        <v>0.0587548054475941</v>
      </c>
      <c r="E4487" s="0" t="n">
        <v>0.0643698464017329</v>
      </c>
      <c r="F4487" s="0" t="n">
        <v>0</v>
      </c>
      <c r="G4487" s="0" t="n">
        <v>2021</v>
      </c>
    </row>
    <row r="4488" customFormat="false" ht="15" hidden="false" customHeight="false" outlineLevel="0" collapsed="false">
      <c r="A4488" s="0" t="s">
        <v>261</v>
      </c>
      <c r="B4488" s="52" t="n">
        <v>44488</v>
      </c>
      <c r="C4488" s="54" t="s">
        <v>591</v>
      </c>
      <c r="D4488" s="0" t="n">
        <v>0.0045519203808961</v>
      </c>
      <c r="E4488" s="0" t="n">
        <v>0.0588630730822182</v>
      </c>
      <c r="F4488" s="0" t="n">
        <v>0</v>
      </c>
      <c r="G4488" s="0" t="n">
        <v>2021</v>
      </c>
    </row>
    <row r="4489" customFormat="false" ht="15" hidden="false" customHeight="false" outlineLevel="0" collapsed="false">
      <c r="A4489" s="0" t="s">
        <v>261</v>
      </c>
      <c r="B4489" s="52" t="n">
        <v>44488</v>
      </c>
      <c r="C4489" s="54" t="s">
        <v>592</v>
      </c>
      <c r="D4489" s="0" t="n">
        <v>0.402114422400984</v>
      </c>
      <c r="E4489" s="0" t="n">
        <v>0.0248137907080292</v>
      </c>
      <c r="F4489" s="0" t="n">
        <v>0</v>
      </c>
      <c r="G4489" s="0" t="n">
        <v>2021</v>
      </c>
    </row>
    <row r="4490" customFormat="false" ht="15" hidden="false" customHeight="false" outlineLevel="0" collapsed="false">
      <c r="A4490" s="0" t="s">
        <v>261</v>
      </c>
      <c r="B4490" s="52" t="n">
        <v>44489</v>
      </c>
      <c r="C4490" s="54" t="s">
        <v>590</v>
      </c>
      <c r="D4490" s="0" t="n">
        <v>0.301888244599045</v>
      </c>
      <c r="E4490" s="0" t="n">
        <v>0.0071821131683044</v>
      </c>
      <c r="F4490" s="0" t="n">
        <v>0</v>
      </c>
      <c r="G4490" s="0" t="n">
        <v>2021</v>
      </c>
    </row>
    <row r="4491" customFormat="false" ht="15" hidden="false" customHeight="false" outlineLevel="0" collapsed="false">
      <c r="A4491" s="0" t="s">
        <v>261</v>
      </c>
      <c r="B4491" s="52" t="n">
        <v>44489</v>
      </c>
      <c r="C4491" s="54" t="s">
        <v>591</v>
      </c>
      <c r="D4491" s="0" t="n">
        <v>0.270209687438082</v>
      </c>
      <c r="E4491" s="0" t="n">
        <v>0.0818475561299064</v>
      </c>
      <c r="F4491" s="0" t="n">
        <v>0</v>
      </c>
      <c r="G4491" s="0" t="n">
        <v>2021</v>
      </c>
    </row>
    <row r="4492" customFormat="false" ht="15" hidden="false" customHeight="false" outlineLevel="0" collapsed="false">
      <c r="A4492" s="0" t="s">
        <v>261</v>
      </c>
      <c r="B4492" s="52" t="n">
        <v>44489</v>
      </c>
      <c r="C4492" s="54" t="s">
        <v>592</v>
      </c>
      <c r="D4492" s="0" t="n">
        <v>0.545100869413836</v>
      </c>
      <c r="E4492" s="0" t="n">
        <v>0.0920363825147605</v>
      </c>
      <c r="F4492" s="0" t="n">
        <v>0</v>
      </c>
      <c r="G4492" s="0" t="n">
        <v>2021</v>
      </c>
    </row>
    <row r="4493" customFormat="false" ht="15" hidden="false" customHeight="false" outlineLevel="0" collapsed="false">
      <c r="A4493" s="0" t="s">
        <v>261</v>
      </c>
      <c r="B4493" s="52" t="n">
        <v>44490</v>
      </c>
      <c r="C4493" s="54" t="s">
        <v>590</v>
      </c>
      <c r="D4493" s="0" t="n">
        <v>0.122848480217826</v>
      </c>
      <c r="E4493" s="0" t="n">
        <v>0.0865378938375194</v>
      </c>
      <c r="F4493" s="0" t="n">
        <v>0</v>
      </c>
      <c r="G4493" s="0" t="n">
        <v>2021</v>
      </c>
    </row>
    <row r="4494" customFormat="false" ht="15" hidden="false" customHeight="false" outlineLevel="0" collapsed="false">
      <c r="A4494" s="0" t="s">
        <v>261</v>
      </c>
      <c r="B4494" s="52" t="n">
        <v>44490</v>
      </c>
      <c r="C4494" s="54" t="s">
        <v>591</v>
      </c>
      <c r="D4494" s="0" t="n">
        <v>0</v>
      </c>
      <c r="E4494" s="0" t="n">
        <v>0.603744403700546</v>
      </c>
      <c r="F4494" s="0" t="n">
        <v>0</v>
      </c>
      <c r="G4494" s="0" t="n">
        <v>2021</v>
      </c>
    </row>
    <row r="4495" customFormat="false" ht="15" hidden="false" customHeight="false" outlineLevel="0" collapsed="false">
      <c r="A4495" s="0" t="s">
        <v>261</v>
      </c>
      <c r="B4495" s="52" t="n">
        <v>44491</v>
      </c>
      <c r="C4495" s="54" t="s">
        <v>590</v>
      </c>
      <c r="D4495" s="0" t="n">
        <v>0.397839128245613</v>
      </c>
      <c r="E4495" s="0" t="n">
        <v>0.0097043504263953</v>
      </c>
      <c r="F4495" s="0" t="n">
        <v>0</v>
      </c>
      <c r="G4495" s="0" t="n">
        <v>2021</v>
      </c>
    </row>
    <row r="4496" customFormat="false" ht="15" hidden="false" customHeight="false" outlineLevel="0" collapsed="false">
      <c r="A4496" s="0" t="s">
        <v>261</v>
      </c>
      <c r="B4496" s="52" t="n">
        <v>44491</v>
      </c>
      <c r="C4496" s="54" t="s">
        <v>591</v>
      </c>
      <c r="D4496" s="0" t="n">
        <v>0.0105146992222169</v>
      </c>
      <c r="E4496" s="0" t="n">
        <v>0.0822885651108594</v>
      </c>
      <c r="F4496" s="0" t="n">
        <v>0</v>
      </c>
      <c r="G4496" s="0" t="n">
        <v>2021</v>
      </c>
    </row>
    <row r="4497" customFormat="false" ht="15" hidden="false" customHeight="false" outlineLevel="0" collapsed="false">
      <c r="A4497" s="0" t="s">
        <v>261</v>
      </c>
      <c r="B4497" s="52" t="n">
        <v>44491</v>
      </c>
      <c r="C4497" s="54" t="s">
        <v>592</v>
      </c>
      <c r="D4497" s="0" t="n">
        <v>0.0344657700492034</v>
      </c>
      <c r="E4497" s="0" t="n">
        <v>0.0904011049134838</v>
      </c>
      <c r="F4497" s="0" t="n">
        <v>0</v>
      </c>
      <c r="G4497" s="0" t="n">
        <v>2021</v>
      </c>
    </row>
    <row r="4498" customFormat="false" ht="15" hidden="false" customHeight="false" outlineLevel="0" collapsed="false">
      <c r="A4498" s="0" t="s">
        <v>261</v>
      </c>
      <c r="B4498" s="52" t="n">
        <v>44492</v>
      </c>
      <c r="C4498" s="54" t="s">
        <v>590</v>
      </c>
      <c r="D4498" s="0" t="n">
        <v>0.0568698512737582</v>
      </c>
      <c r="E4498" s="0" t="n">
        <v>0.0550772964408164</v>
      </c>
      <c r="F4498" s="0" t="n">
        <v>1</v>
      </c>
      <c r="G4498" s="0" t="n">
        <v>2021</v>
      </c>
    </row>
    <row r="4499" customFormat="false" ht="15" hidden="false" customHeight="false" outlineLevel="0" collapsed="false">
      <c r="A4499" s="0" t="s">
        <v>261</v>
      </c>
      <c r="B4499" s="52" t="n">
        <v>44492</v>
      </c>
      <c r="C4499" s="54" t="s">
        <v>591</v>
      </c>
      <c r="D4499" s="0" t="n">
        <v>0.0327116897705887</v>
      </c>
      <c r="E4499" s="0" t="n">
        <v>0.046124912819056</v>
      </c>
      <c r="F4499" s="0" t="n">
        <v>1</v>
      </c>
      <c r="G4499" s="0" t="n">
        <v>2021</v>
      </c>
    </row>
    <row r="4500" customFormat="false" ht="15" hidden="false" customHeight="false" outlineLevel="0" collapsed="false">
      <c r="A4500" s="0" t="s">
        <v>261</v>
      </c>
      <c r="B4500" s="52" t="n">
        <v>44492</v>
      </c>
      <c r="C4500" s="54" t="s">
        <v>592</v>
      </c>
      <c r="D4500" s="0" t="n">
        <v>0.0470682411021723</v>
      </c>
      <c r="E4500" s="0" t="n">
        <v>0.0439042690308826</v>
      </c>
      <c r="F4500" s="0" t="n">
        <v>1</v>
      </c>
      <c r="G4500" s="0" t="n">
        <v>2021</v>
      </c>
    </row>
    <row r="4501" customFormat="false" ht="15" hidden="false" customHeight="false" outlineLevel="0" collapsed="false">
      <c r="A4501" s="0" t="s">
        <v>261</v>
      </c>
      <c r="B4501" s="52" t="n">
        <v>44493</v>
      </c>
      <c r="C4501" s="54" t="s">
        <v>590</v>
      </c>
      <c r="D4501" s="0" t="n">
        <v>1</v>
      </c>
      <c r="E4501" s="0" t="n">
        <v>0</v>
      </c>
      <c r="F4501" s="0" t="n">
        <v>1</v>
      </c>
      <c r="G4501" s="0" t="n">
        <v>2021</v>
      </c>
    </row>
    <row r="4502" customFormat="false" ht="15" hidden="false" customHeight="false" outlineLevel="0" collapsed="false">
      <c r="A4502" s="0" t="s">
        <v>261</v>
      </c>
      <c r="B4502" s="52" t="n">
        <v>44494</v>
      </c>
      <c r="C4502" s="54" t="s">
        <v>590</v>
      </c>
      <c r="D4502" s="0" t="n">
        <v>0.0352156898367477</v>
      </c>
      <c r="E4502" s="0" t="n">
        <v>0.0038603148225164</v>
      </c>
      <c r="F4502" s="0" t="n">
        <v>0</v>
      </c>
      <c r="G4502" s="0" t="n">
        <v>2021</v>
      </c>
    </row>
    <row r="4503" customFormat="false" ht="15" hidden="false" customHeight="false" outlineLevel="0" collapsed="false">
      <c r="A4503" s="0" t="s">
        <v>261</v>
      </c>
      <c r="B4503" s="52" t="n">
        <v>44494</v>
      </c>
      <c r="C4503" s="54" t="s">
        <v>591</v>
      </c>
      <c r="D4503" s="0" t="n">
        <v>0.0251913601421119</v>
      </c>
      <c r="E4503" s="0" t="n">
        <v>0.0670243548510268</v>
      </c>
      <c r="F4503" s="0" t="n">
        <v>0</v>
      </c>
      <c r="G4503" s="0" t="n">
        <v>2021</v>
      </c>
    </row>
    <row r="4504" customFormat="false" ht="15" hidden="false" customHeight="false" outlineLevel="0" collapsed="false">
      <c r="A4504" s="0" t="s">
        <v>261</v>
      </c>
      <c r="B4504" s="52" t="n">
        <v>44494</v>
      </c>
      <c r="C4504" s="54" t="s">
        <v>592</v>
      </c>
      <c r="D4504" s="0" t="n">
        <v>0.374799976469102</v>
      </c>
      <c r="E4504" s="0" t="n">
        <v>0.0432539746519932</v>
      </c>
      <c r="F4504" s="0" t="n">
        <v>0</v>
      </c>
      <c r="G4504" s="0" t="n">
        <v>2021</v>
      </c>
    </row>
    <row r="4505" customFormat="false" ht="15" hidden="false" customHeight="false" outlineLevel="0" collapsed="false">
      <c r="A4505" s="0" t="s">
        <v>261</v>
      </c>
      <c r="B4505" s="52" t="n">
        <v>44495</v>
      </c>
      <c r="C4505" s="54" t="s">
        <v>590</v>
      </c>
      <c r="D4505" s="0" t="n">
        <v>0.519595469152753</v>
      </c>
      <c r="E4505" s="0" t="n">
        <v>0.0366812776307173</v>
      </c>
      <c r="F4505" s="0" t="n">
        <v>0</v>
      </c>
      <c r="G4505" s="0" t="n">
        <v>2021</v>
      </c>
    </row>
    <row r="4506" customFormat="false" ht="15" hidden="false" customHeight="false" outlineLevel="0" collapsed="false">
      <c r="A4506" s="0" t="s">
        <v>261</v>
      </c>
      <c r="B4506" s="52" t="n">
        <v>44495</v>
      </c>
      <c r="C4506" s="54" t="s">
        <v>591</v>
      </c>
      <c r="D4506" s="0" t="n">
        <v>0.0063412270952307</v>
      </c>
      <c r="E4506" s="0" t="n">
        <v>0.0295548240903214</v>
      </c>
      <c r="F4506" s="0" t="n">
        <v>0</v>
      </c>
      <c r="G4506" s="0" t="n">
        <v>2021</v>
      </c>
    </row>
    <row r="4507" customFormat="false" ht="15" hidden="false" customHeight="false" outlineLevel="0" collapsed="false">
      <c r="A4507" s="0" t="s">
        <v>261</v>
      </c>
      <c r="B4507" s="52" t="n">
        <v>44495</v>
      </c>
      <c r="C4507" s="54" t="s">
        <v>592</v>
      </c>
      <c r="D4507" s="0" t="n">
        <v>0.40556659298363</v>
      </c>
      <c r="E4507" s="0" t="n">
        <v>0.0140979469919699</v>
      </c>
      <c r="F4507" s="0" t="n">
        <v>0</v>
      </c>
      <c r="G4507" s="0" t="n">
        <v>2021</v>
      </c>
    </row>
    <row r="4508" customFormat="false" ht="15" hidden="false" customHeight="false" outlineLevel="0" collapsed="false">
      <c r="A4508" s="0" t="s">
        <v>261</v>
      </c>
      <c r="B4508" s="52" t="n">
        <v>44496</v>
      </c>
      <c r="C4508" s="54" t="s">
        <v>590</v>
      </c>
      <c r="D4508" s="0" t="n">
        <v>0.403640777714067</v>
      </c>
      <c r="E4508" s="0" t="n">
        <v>0.0433752094463924</v>
      </c>
      <c r="F4508" s="0" t="n">
        <v>0</v>
      </c>
      <c r="G4508" s="0" t="n">
        <v>2021</v>
      </c>
    </row>
    <row r="4509" customFormat="false" ht="15" hidden="false" customHeight="false" outlineLevel="0" collapsed="false">
      <c r="A4509" s="0" t="s">
        <v>261</v>
      </c>
      <c r="B4509" s="52" t="n">
        <v>44496</v>
      </c>
      <c r="C4509" s="54" t="s">
        <v>591</v>
      </c>
      <c r="D4509" s="0" t="n">
        <v>0.0722996297894963</v>
      </c>
      <c r="E4509" s="0" t="n">
        <v>0.0731288514520625</v>
      </c>
      <c r="F4509" s="0" t="n">
        <v>0</v>
      </c>
      <c r="G4509" s="0" t="n">
        <v>2021</v>
      </c>
    </row>
    <row r="4510" customFormat="false" ht="15" hidden="false" customHeight="false" outlineLevel="0" collapsed="false">
      <c r="A4510" s="0" t="s">
        <v>261</v>
      </c>
      <c r="B4510" s="52" t="n">
        <v>44496</v>
      </c>
      <c r="C4510" s="54" t="s">
        <v>592</v>
      </c>
      <c r="D4510" s="0" t="n">
        <v>0.0550911811077893</v>
      </c>
      <c r="E4510" s="0" t="n">
        <v>0.102183918480233</v>
      </c>
      <c r="F4510" s="0" t="n">
        <v>0</v>
      </c>
      <c r="G4510" s="0" t="n">
        <v>2021</v>
      </c>
    </row>
    <row r="4511" customFormat="false" ht="15" hidden="false" customHeight="false" outlineLevel="0" collapsed="false">
      <c r="A4511" s="0" t="s">
        <v>261</v>
      </c>
      <c r="B4511" s="52" t="n">
        <v>44497</v>
      </c>
      <c r="C4511" s="54" t="s">
        <v>590</v>
      </c>
      <c r="D4511" s="0" t="n">
        <v>0.238560534945878</v>
      </c>
      <c r="E4511" s="0" t="n">
        <v>0.0555999848511422</v>
      </c>
      <c r="F4511" s="0" t="n">
        <v>0</v>
      </c>
      <c r="G4511" s="0" t="n">
        <v>2021</v>
      </c>
    </row>
    <row r="4512" customFormat="false" ht="15" hidden="false" customHeight="false" outlineLevel="0" collapsed="false">
      <c r="A4512" s="0" t="s">
        <v>261</v>
      </c>
      <c r="B4512" s="52" t="n">
        <v>44497</v>
      </c>
      <c r="C4512" s="54" t="s">
        <v>591</v>
      </c>
      <c r="D4512" s="0" t="n">
        <v>0.0478370121589912</v>
      </c>
      <c r="E4512" s="0" t="n">
        <v>0.0405754645512921</v>
      </c>
      <c r="F4512" s="0" t="n">
        <v>0</v>
      </c>
      <c r="G4512" s="0" t="n">
        <v>2021</v>
      </c>
    </row>
    <row r="4513" customFormat="false" ht="15" hidden="false" customHeight="false" outlineLevel="0" collapsed="false">
      <c r="A4513" s="0" t="s">
        <v>261</v>
      </c>
      <c r="B4513" s="52" t="n">
        <v>44497</v>
      </c>
      <c r="C4513" s="54" t="s">
        <v>592</v>
      </c>
      <c r="D4513" s="0" t="n">
        <v>0.600613973477665</v>
      </c>
      <c r="E4513" s="0" t="n">
        <v>0.0261995395807566</v>
      </c>
      <c r="F4513" s="0" t="n">
        <v>0</v>
      </c>
      <c r="G4513" s="0" t="n">
        <v>2021</v>
      </c>
    </row>
    <row r="4514" customFormat="false" ht="15" hidden="false" customHeight="false" outlineLevel="0" collapsed="false">
      <c r="A4514" s="0" t="s">
        <v>261</v>
      </c>
      <c r="B4514" s="52" t="n">
        <v>44498</v>
      </c>
      <c r="C4514" s="54" t="s">
        <v>590</v>
      </c>
      <c r="D4514" s="0" t="n">
        <v>0.0939609879439239</v>
      </c>
      <c r="E4514" s="0" t="n">
        <v>0.0457281661421587</v>
      </c>
      <c r="F4514" s="0" t="n">
        <v>0</v>
      </c>
      <c r="G4514" s="0" t="n">
        <v>2021</v>
      </c>
    </row>
    <row r="4515" customFormat="false" ht="15" hidden="false" customHeight="false" outlineLevel="0" collapsed="false">
      <c r="A4515" s="0" t="s">
        <v>261</v>
      </c>
      <c r="B4515" s="52" t="n">
        <v>44498</v>
      </c>
      <c r="C4515" s="54" t="s">
        <v>591</v>
      </c>
      <c r="D4515" s="0" t="n">
        <v>0.235481374698607</v>
      </c>
      <c r="E4515" s="0" t="n">
        <v>0.108754574922892</v>
      </c>
      <c r="F4515" s="0" t="n">
        <v>0</v>
      </c>
      <c r="G4515" s="0" t="n">
        <v>2021</v>
      </c>
    </row>
    <row r="4516" customFormat="false" ht="15" hidden="false" customHeight="false" outlineLevel="0" collapsed="false">
      <c r="A4516" s="0" t="s">
        <v>261</v>
      </c>
      <c r="B4516" s="52" t="n">
        <v>44498</v>
      </c>
      <c r="C4516" s="54" t="s">
        <v>592</v>
      </c>
      <c r="D4516" s="0" t="n">
        <v>0.743367502491184</v>
      </c>
      <c r="E4516" s="0" t="n">
        <v>0.0335004615040281</v>
      </c>
      <c r="F4516" s="0" t="n">
        <v>0</v>
      </c>
      <c r="G4516" s="0" t="n">
        <v>2021</v>
      </c>
    </row>
    <row r="4517" customFormat="false" ht="15" hidden="false" customHeight="false" outlineLevel="0" collapsed="false">
      <c r="A4517" s="0" t="s">
        <v>261</v>
      </c>
      <c r="B4517" s="52" t="n">
        <v>44499</v>
      </c>
      <c r="C4517" s="54" t="s">
        <v>591</v>
      </c>
      <c r="D4517" s="0" t="n">
        <v>0.187767445225853</v>
      </c>
      <c r="E4517" s="0" t="n">
        <v>0.115559737157436</v>
      </c>
      <c r="F4517" s="0" t="n">
        <v>1</v>
      </c>
      <c r="G4517" s="0" t="n">
        <v>2021</v>
      </c>
    </row>
    <row r="4518" customFormat="false" ht="15" hidden="false" customHeight="false" outlineLevel="0" collapsed="false">
      <c r="A4518" s="0" t="s">
        <v>261</v>
      </c>
      <c r="B4518" s="52" t="n">
        <v>44499</v>
      </c>
      <c r="C4518" s="54" t="s">
        <v>592</v>
      </c>
      <c r="D4518" s="0" t="n">
        <v>0.428545494592177</v>
      </c>
      <c r="E4518" s="0" t="n">
        <v>0.0499719189155903</v>
      </c>
      <c r="F4518" s="0" t="n">
        <v>1</v>
      </c>
      <c r="G4518" s="0" t="n">
        <v>2021</v>
      </c>
    </row>
    <row r="4519" customFormat="false" ht="15" hidden="false" customHeight="false" outlineLevel="0" collapsed="false">
      <c r="A4519" s="0" t="s">
        <v>261</v>
      </c>
      <c r="B4519" s="52" t="n">
        <v>44500</v>
      </c>
      <c r="C4519" s="54" t="s">
        <v>590</v>
      </c>
      <c r="D4519" s="0" t="n">
        <v>1</v>
      </c>
      <c r="E4519" s="0" t="n">
        <v>0</v>
      </c>
      <c r="F4519" s="0" t="n">
        <v>1</v>
      </c>
      <c r="G4519" s="0" t="n">
        <v>2021</v>
      </c>
    </row>
    <row r="4520" customFormat="false" ht="15" hidden="false" customHeight="false" outlineLevel="0" collapsed="false">
      <c r="A4520" s="0" t="s">
        <v>261</v>
      </c>
      <c r="B4520" s="52" t="n">
        <v>44500</v>
      </c>
      <c r="C4520" s="54" t="s">
        <v>591</v>
      </c>
      <c r="D4520" s="0" t="n">
        <v>1</v>
      </c>
      <c r="E4520" s="0" t="n">
        <v>0</v>
      </c>
      <c r="F4520" s="0" t="n">
        <v>1</v>
      </c>
      <c r="G4520" s="0" t="n">
        <v>2021</v>
      </c>
    </row>
    <row r="4521" customFormat="false" ht="15" hidden="false" customHeight="false" outlineLevel="0" collapsed="false">
      <c r="A4521" s="0" t="s">
        <v>261</v>
      </c>
      <c r="B4521" s="52" t="n">
        <v>44501</v>
      </c>
      <c r="C4521" s="54" t="s">
        <v>590</v>
      </c>
      <c r="D4521" s="0" t="n">
        <v>1</v>
      </c>
      <c r="E4521" s="0" t="n">
        <v>0</v>
      </c>
      <c r="F4521" s="0" t="n">
        <v>0</v>
      </c>
      <c r="G4521" s="0" t="n">
        <v>2021</v>
      </c>
    </row>
    <row r="4522" customFormat="false" ht="15" hidden="false" customHeight="false" outlineLevel="0" collapsed="false">
      <c r="A4522" s="0" t="s">
        <v>261</v>
      </c>
      <c r="B4522" s="52" t="n">
        <v>44501</v>
      </c>
      <c r="C4522" s="54" t="s">
        <v>591</v>
      </c>
      <c r="D4522" s="0" t="n">
        <v>0.0684883270339261</v>
      </c>
      <c r="E4522" s="0" t="n">
        <v>0.0708816039773713</v>
      </c>
      <c r="F4522" s="0" t="n">
        <v>0</v>
      </c>
      <c r="G4522" s="0" t="n">
        <v>2021</v>
      </c>
    </row>
    <row r="4523" customFormat="false" ht="15" hidden="false" customHeight="false" outlineLevel="0" collapsed="false">
      <c r="A4523" s="0" t="s">
        <v>261</v>
      </c>
      <c r="B4523" s="52" t="n">
        <v>44501</v>
      </c>
      <c r="C4523" s="54" t="s">
        <v>592</v>
      </c>
      <c r="D4523" s="0" t="n">
        <v>0.230899146891228</v>
      </c>
      <c r="E4523" s="0" t="n">
        <v>0.169523439529445</v>
      </c>
      <c r="F4523" s="0" t="n">
        <v>0</v>
      </c>
      <c r="G4523" s="0" t="n">
        <v>2021</v>
      </c>
    </row>
    <row r="4524" customFormat="false" ht="15" hidden="false" customHeight="false" outlineLevel="0" collapsed="false">
      <c r="A4524" s="0" t="s">
        <v>261</v>
      </c>
      <c r="B4524" s="52" t="n">
        <v>44502</v>
      </c>
      <c r="C4524" s="54" t="s">
        <v>590</v>
      </c>
      <c r="D4524" s="0" t="n">
        <v>0.727705169101928</v>
      </c>
      <c r="E4524" s="0" t="n">
        <v>0.0079180751583529</v>
      </c>
      <c r="F4524" s="0" t="n">
        <v>0</v>
      </c>
      <c r="G4524" s="0" t="n">
        <v>2021</v>
      </c>
    </row>
    <row r="4525" customFormat="false" ht="15" hidden="false" customHeight="false" outlineLevel="0" collapsed="false">
      <c r="A4525" s="0" t="s">
        <v>261</v>
      </c>
      <c r="B4525" s="52" t="n">
        <v>44502</v>
      </c>
      <c r="C4525" s="54" t="s">
        <v>591</v>
      </c>
      <c r="D4525" s="0" t="n">
        <v>0.225200995545476</v>
      </c>
      <c r="E4525" s="0" t="n">
        <v>0.0423159633993903</v>
      </c>
      <c r="F4525" s="0" t="n">
        <v>0</v>
      </c>
      <c r="G4525" s="0" t="n">
        <v>2021</v>
      </c>
    </row>
    <row r="4526" customFormat="false" ht="15" hidden="false" customHeight="false" outlineLevel="0" collapsed="false">
      <c r="A4526" s="0" t="s">
        <v>261</v>
      </c>
      <c r="B4526" s="52" t="n">
        <v>44502</v>
      </c>
      <c r="C4526" s="54" t="s">
        <v>592</v>
      </c>
      <c r="D4526" s="0" t="n">
        <v>0.0748899652012098</v>
      </c>
      <c r="E4526" s="0" t="n">
        <v>0.0667120139768475</v>
      </c>
      <c r="F4526" s="0" t="n">
        <v>0</v>
      </c>
      <c r="G4526" s="0" t="n">
        <v>2021</v>
      </c>
    </row>
    <row r="4527" customFormat="false" ht="15" hidden="false" customHeight="false" outlineLevel="0" collapsed="false">
      <c r="A4527" s="0" t="s">
        <v>261</v>
      </c>
      <c r="B4527" s="52" t="n">
        <v>44503</v>
      </c>
      <c r="C4527" s="54" t="s">
        <v>590</v>
      </c>
      <c r="D4527" s="0" t="n">
        <v>0.49534564803669</v>
      </c>
      <c r="E4527" s="0" t="n">
        <v>0.0684536845005873</v>
      </c>
      <c r="F4527" s="0" t="n">
        <v>0</v>
      </c>
      <c r="G4527" s="0" t="n">
        <v>2021</v>
      </c>
    </row>
    <row r="4528" customFormat="false" ht="15" hidden="false" customHeight="false" outlineLevel="0" collapsed="false">
      <c r="A4528" s="0" t="s">
        <v>261</v>
      </c>
      <c r="B4528" s="52" t="n">
        <v>44503</v>
      </c>
      <c r="C4528" s="54" t="s">
        <v>591</v>
      </c>
      <c r="D4528" s="0" t="n">
        <v>0.0158301505623137</v>
      </c>
      <c r="E4528" s="0" t="n">
        <v>0.131764945384829</v>
      </c>
      <c r="F4528" s="0" t="n">
        <v>0</v>
      </c>
      <c r="G4528" s="0" t="n">
        <v>2021</v>
      </c>
    </row>
    <row r="4529" customFormat="false" ht="15" hidden="false" customHeight="false" outlineLevel="0" collapsed="false">
      <c r="A4529" s="0" t="s">
        <v>261</v>
      </c>
      <c r="B4529" s="52" t="n">
        <v>44503</v>
      </c>
      <c r="C4529" s="54" t="s">
        <v>592</v>
      </c>
      <c r="D4529" s="0" t="n">
        <v>0.0091801561795055</v>
      </c>
      <c r="E4529" s="0" t="n">
        <v>0.17055582553267</v>
      </c>
      <c r="F4529" s="0" t="n">
        <v>0</v>
      </c>
      <c r="G4529" s="0" t="n">
        <v>2021</v>
      </c>
    </row>
    <row r="4530" customFormat="false" ht="15" hidden="false" customHeight="false" outlineLevel="0" collapsed="false">
      <c r="A4530" s="0" t="s">
        <v>261</v>
      </c>
      <c r="B4530" s="52" t="n">
        <v>44504</v>
      </c>
      <c r="C4530" s="54" t="s">
        <v>590</v>
      </c>
      <c r="D4530" s="0" t="n">
        <v>0.482481612999469</v>
      </c>
      <c r="E4530" s="0" t="n">
        <v>0.107820559484132</v>
      </c>
      <c r="F4530" s="0" t="n">
        <v>0</v>
      </c>
      <c r="G4530" s="0" t="n">
        <v>2021</v>
      </c>
    </row>
    <row r="4531" customFormat="false" ht="15" hidden="false" customHeight="false" outlineLevel="0" collapsed="false">
      <c r="A4531" s="0" t="s">
        <v>261</v>
      </c>
      <c r="B4531" s="52" t="n">
        <v>44504</v>
      </c>
      <c r="C4531" s="54" t="s">
        <v>591</v>
      </c>
      <c r="D4531" s="0" t="n">
        <v>0.00456762723105</v>
      </c>
      <c r="E4531" s="0" t="n">
        <v>0.074825420872068</v>
      </c>
      <c r="F4531" s="0" t="n">
        <v>0</v>
      </c>
      <c r="G4531" s="0" t="n">
        <v>2021</v>
      </c>
    </row>
    <row r="4532" customFormat="false" ht="15" hidden="false" customHeight="false" outlineLevel="0" collapsed="false">
      <c r="A4532" s="0" t="s">
        <v>261</v>
      </c>
      <c r="B4532" s="52" t="n">
        <v>44504</v>
      </c>
      <c r="C4532" s="54" t="s">
        <v>592</v>
      </c>
      <c r="D4532" s="0" t="n">
        <v>0.0179611073207868</v>
      </c>
      <c r="E4532" s="0" t="n">
        <v>0.0314919063702477</v>
      </c>
      <c r="F4532" s="0" t="n">
        <v>0</v>
      </c>
      <c r="G4532" s="0" t="n">
        <v>2021</v>
      </c>
    </row>
    <row r="4533" customFormat="false" ht="15" hidden="false" customHeight="false" outlineLevel="0" collapsed="false">
      <c r="A4533" s="0" t="s">
        <v>261</v>
      </c>
      <c r="B4533" s="52" t="n">
        <v>44505</v>
      </c>
      <c r="C4533" s="54" t="s">
        <v>590</v>
      </c>
      <c r="D4533" s="0" t="n">
        <v>0.409747511021478</v>
      </c>
      <c r="E4533" s="0" t="n">
        <v>0.2794392460485</v>
      </c>
      <c r="F4533" s="0" t="n">
        <v>0</v>
      </c>
      <c r="G4533" s="0" t="n">
        <v>2021</v>
      </c>
    </row>
    <row r="4534" customFormat="false" ht="15" hidden="false" customHeight="false" outlineLevel="0" collapsed="false">
      <c r="A4534" s="0" t="s">
        <v>261</v>
      </c>
      <c r="B4534" s="52" t="n">
        <v>44505</v>
      </c>
      <c r="C4534" s="54" t="s">
        <v>591</v>
      </c>
      <c r="D4534" s="0" t="n">
        <v>0.268988753679266</v>
      </c>
      <c r="E4534" s="0" t="n">
        <v>0.053625431147733</v>
      </c>
      <c r="F4534" s="0" t="n">
        <v>0</v>
      </c>
      <c r="G4534" s="0" t="n">
        <v>2021</v>
      </c>
    </row>
    <row r="4535" customFormat="false" ht="15" hidden="false" customHeight="false" outlineLevel="0" collapsed="false">
      <c r="A4535" s="0" t="s">
        <v>261</v>
      </c>
      <c r="B4535" s="52" t="n">
        <v>44505</v>
      </c>
      <c r="C4535" s="54" t="s">
        <v>592</v>
      </c>
      <c r="D4535" s="0" t="n">
        <v>0.317960084272674</v>
      </c>
      <c r="E4535" s="0" t="n">
        <v>0.0754428085283547</v>
      </c>
      <c r="F4535" s="0" t="n">
        <v>0</v>
      </c>
      <c r="G4535" s="0" t="n">
        <v>2021</v>
      </c>
    </row>
    <row r="4536" customFormat="false" ht="15" hidden="false" customHeight="false" outlineLevel="0" collapsed="false">
      <c r="A4536" s="0" t="s">
        <v>261</v>
      </c>
      <c r="B4536" s="52" t="n">
        <v>44506</v>
      </c>
      <c r="C4536" s="54" t="s">
        <v>590</v>
      </c>
      <c r="D4536" s="0" t="n">
        <v>0.34477859076027</v>
      </c>
      <c r="E4536" s="0" t="n">
        <v>0.0177818619702467</v>
      </c>
      <c r="F4536" s="0" t="n">
        <v>1</v>
      </c>
      <c r="G4536" s="0" t="n">
        <v>2021</v>
      </c>
    </row>
    <row r="4537" customFormat="false" ht="15" hidden="false" customHeight="false" outlineLevel="0" collapsed="false">
      <c r="A4537" s="0" t="s">
        <v>261</v>
      </c>
      <c r="B4537" s="52" t="n">
        <v>44506</v>
      </c>
      <c r="C4537" s="54" t="s">
        <v>591</v>
      </c>
      <c r="D4537" s="0" t="n">
        <v>0.0105990690593571</v>
      </c>
      <c r="E4537" s="0" t="n">
        <v>0.230926349215692</v>
      </c>
      <c r="F4537" s="0" t="n">
        <v>1</v>
      </c>
      <c r="G4537" s="0" t="n">
        <v>2021</v>
      </c>
    </row>
    <row r="4538" customFormat="false" ht="15" hidden="false" customHeight="false" outlineLevel="0" collapsed="false">
      <c r="A4538" s="0" t="s">
        <v>261</v>
      </c>
      <c r="B4538" s="52" t="n">
        <v>44506</v>
      </c>
      <c r="C4538" s="54" t="s">
        <v>592</v>
      </c>
      <c r="D4538" s="0" t="n">
        <v>0.0452335347204917</v>
      </c>
      <c r="E4538" s="0" t="n">
        <v>0.123659104240495</v>
      </c>
      <c r="F4538" s="0" t="n">
        <v>1</v>
      </c>
      <c r="G4538" s="0" t="n">
        <v>2021</v>
      </c>
    </row>
    <row r="4539" customFormat="false" ht="15" hidden="false" customHeight="false" outlineLevel="0" collapsed="false">
      <c r="A4539" s="0" t="s">
        <v>261</v>
      </c>
      <c r="B4539" s="52" t="n">
        <v>44507</v>
      </c>
      <c r="C4539" s="54" t="s">
        <v>590</v>
      </c>
      <c r="D4539" s="0" t="n">
        <v>1</v>
      </c>
      <c r="E4539" s="0" t="n">
        <v>0</v>
      </c>
      <c r="F4539" s="0" t="n">
        <v>1</v>
      </c>
      <c r="G4539" s="0" t="n">
        <v>2021</v>
      </c>
    </row>
    <row r="4540" customFormat="false" ht="15" hidden="false" customHeight="false" outlineLevel="0" collapsed="false">
      <c r="A4540" s="0" t="s">
        <v>261</v>
      </c>
      <c r="B4540" s="52" t="n">
        <v>44508</v>
      </c>
      <c r="C4540" s="54" t="s">
        <v>590</v>
      </c>
      <c r="D4540" s="0" t="n">
        <v>0.123714245290767</v>
      </c>
      <c r="E4540" s="0" t="n">
        <v>0.0335285754579074</v>
      </c>
      <c r="F4540" s="0" t="n">
        <v>0</v>
      </c>
      <c r="G4540" s="0" t="n">
        <v>2021</v>
      </c>
    </row>
    <row r="4541" customFormat="false" ht="15" hidden="false" customHeight="false" outlineLevel="0" collapsed="false">
      <c r="A4541" s="0" t="s">
        <v>261</v>
      </c>
      <c r="B4541" s="52" t="n">
        <v>44508</v>
      </c>
      <c r="C4541" s="54" t="s">
        <v>591</v>
      </c>
      <c r="D4541" s="0" t="n">
        <v>0.0366897444950655</v>
      </c>
      <c r="E4541" s="0" t="n">
        <v>0.114248656527084</v>
      </c>
      <c r="F4541" s="0" t="n">
        <v>0</v>
      </c>
      <c r="G4541" s="0" t="n">
        <v>2021</v>
      </c>
    </row>
    <row r="4542" customFormat="false" ht="15" hidden="false" customHeight="false" outlineLevel="0" collapsed="false">
      <c r="A4542" s="0" t="s">
        <v>261</v>
      </c>
      <c r="B4542" s="52" t="n">
        <v>44508</v>
      </c>
      <c r="C4542" s="54" t="s">
        <v>592</v>
      </c>
      <c r="D4542" s="0" t="n">
        <v>0.294444352791192</v>
      </c>
      <c r="E4542" s="0" t="n">
        <v>0.084407411473862</v>
      </c>
      <c r="F4542" s="0" t="n">
        <v>0</v>
      </c>
      <c r="G4542" s="0" t="n">
        <v>2021</v>
      </c>
    </row>
    <row r="4543" customFormat="false" ht="15" hidden="false" customHeight="false" outlineLevel="0" collapsed="false">
      <c r="A4543" s="0" t="s">
        <v>261</v>
      </c>
      <c r="B4543" s="52" t="n">
        <v>44509</v>
      </c>
      <c r="C4543" s="54" t="s">
        <v>590</v>
      </c>
      <c r="D4543" s="0" t="n">
        <v>0.153772372226631</v>
      </c>
      <c r="E4543" s="0" t="n">
        <v>0.104203284211171</v>
      </c>
      <c r="F4543" s="0" t="n">
        <v>0</v>
      </c>
      <c r="G4543" s="0" t="n">
        <v>2021</v>
      </c>
    </row>
    <row r="4544" customFormat="false" ht="15" hidden="false" customHeight="false" outlineLevel="0" collapsed="false">
      <c r="A4544" s="0" t="s">
        <v>261</v>
      </c>
      <c r="B4544" s="52" t="n">
        <v>44509</v>
      </c>
      <c r="C4544" s="54" t="s">
        <v>591</v>
      </c>
      <c r="D4544" s="0" t="n">
        <v>0.0398233613614994</v>
      </c>
      <c r="E4544" s="0" t="n">
        <v>0.156832012217844</v>
      </c>
      <c r="F4544" s="0" t="n">
        <v>0</v>
      </c>
      <c r="G4544" s="0" t="n">
        <v>2021</v>
      </c>
    </row>
    <row r="4545" customFormat="false" ht="15" hidden="false" customHeight="false" outlineLevel="0" collapsed="false">
      <c r="A4545" s="0" t="s">
        <v>261</v>
      </c>
      <c r="B4545" s="52" t="n">
        <v>44509</v>
      </c>
      <c r="C4545" s="54" t="s">
        <v>592</v>
      </c>
      <c r="D4545" s="0" t="n">
        <v>0.22547407433997</v>
      </c>
      <c r="E4545" s="0" t="n">
        <v>0.025968691474006</v>
      </c>
      <c r="F4545" s="0" t="n">
        <v>0</v>
      </c>
      <c r="G4545" s="0" t="n">
        <v>2021</v>
      </c>
    </row>
    <row r="4546" customFormat="false" ht="15" hidden="false" customHeight="false" outlineLevel="0" collapsed="false">
      <c r="A4546" s="0" t="s">
        <v>261</v>
      </c>
      <c r="B4546" s="52" t="n">
        <v>44510</v>
      </c>
      <c r="C4546" s="54" t="s">
        <v>590</v>
      </c>
      <c r="D4546" s="0" t="n">
        <v>0.755269600291615</v>
      </c>
      <c r="E4546" s="0" t="n">
        <v>0.0148906703124045</v>
      </c>
      <c r="F4546" s="0" t="n">
        <v>0</v>
      </c>
      <c r="G4546" s="0" t="n">
        <v>2021</v>
      </c>
    </row>
    <row r="4547" customFormat="false" ht="15" hidden="false" customHeight="false" outlineLevel="0" collapsed="false">
      <c r="A4547" s="0" t="s">
        <v>261</v>
      </c>
      <c r="B4547" s="52" t="n">
        <v>44510</v>
      </c>
      <c r="C4547" s="54" t="s">
        <v>591</v>
      </c>
      <c r="D4547" s="0" t="n">
        <v>0.0101810893666828</v>
      </c>
      <c r="E4547" s="0" t="n">
        <v>0.0710826870169719</v>
      </c>
      <c r="F4547" s="0" t="n">
        <v>0</v>
      </c>
      <c r="G4547" s="0" t="n">
        <v>2021</v>
      </c>
    </row>
    <row r="4548" customFormat="false" ht="15" hidden="false" customHeight="false" outlineLevel="0" collapsed="false">
      <c r="A4548" s="0" t="s">
        <v>261</v>
      </c>
      <c r="B4548" s="52" t="n">
        <v>44510</v>
      </c>
      <c r="C4548" s="54" t="s">
        <v>592</v>
      </c>
      <c r="D4548" s="0" t="n">
        <v>0.243006147093441</v>
      </c>
      <c r="E4548" s="0" t="n">
        <v>0.06858679960004</v>
      </c>
      <c r="F4548" s="0" t="n">
        <v>0</v>
      </c>
      <c r="G4548" s="0" t="n">
        <v>2021</v>
      </c>
    </row>
    <row r="4549" customFormat="false" ht="15" hidden="false" customHeight="false" outlineLevel="0" collapsed="false">
      <c r="A4549" s="0" t="s">
        <v>261</v>
      </c>
      <c r="B4549" s="52" t="n">
        <v>44511</v>
      </c>
      <c r="C4549" s="54" t="s">
        <v>590</v>
      </c>
      <c r="D4549" s="0" t="n">
        <v>0.209032122273587</v>
      </c>
      <c r="E4549" s="0" t="n">
        <v>0.0521197220071408</v>
      </c>
      <c r="F4549" s="0" t="n">
        <v>0</v>
      </c>
      <c r="G4549" s="0" t="n">
        <v>2021</v>
      </c>
    </row>
    <row r="4550" customFormat="false" ht="15" hidden="false" customHeight="false" outlineLevel="0" collapsed="false">
      <c r="A4550" s="0" t="s">
        <v>261</v>
      </c>
      <c r="B4550" s="52" t="n">
        <v>44511</v>
      </c>
      <c r="C4550" s="54" t="s">
        <v>591</v>
      </c>
      <c r="D4550" s="0" t="n">
        <v>0.0448166088445302</v>
      </c>
      <c r="E4550" s="0" t="n">
        <v>0.0373361284274352</v>
      </c>
      <c r="F4550" s="0" t="n">
        <v>0</v>
      </c>
      <c r="G4550" s="0" t="n">
        <v>2021</v>
      </c>
    </row>
    <row r="4551" customFormat="false" ht="15" hidden="false" customHeight="false" outlineLevel="0" collapsed="false">
      <c r="A4551" s="0" t="s">
        <v>261</v>
      </c>
      <c r="B4551" s="52" t="n">
        <v>44511</v>
      </c>
      <c r="C4551" s="54" t="s">
        <v>592</v>
      </c>
      <c r="D4551" s="0" t="n">
        <v>0.166792055546485</v>
      </c>
      <c r="E4551" s="0" t="n">
        <v>0.0669513787512197</v>
      </c>
      <c r="F4551" s="0" t="n">
        <v>0</v>
      </c>
      <c r="G4551" s="0" t="n">
        <v>2021</v>
      </c>
    </row>
    <row r="4552" customFormat="false" ht="15" hidden="false" customHeight="false" outlineLevel="0" collapsed="false">
      <c r="A4552" s="0" t="s">
        <v>261</v>
      </c>
      <c r="B4552" s="52" t="n">
        <v>44512</v>
      </c>
      <c r="C4552" s="54" t="s">
        <v>590</v>
      </c>
      <c r="D4552" s="0" t="n">
        <v>0.08291104312177</v>
      </c>
      <c r="E4552" s="0" t="n">
        <v>0.0151597334054962</v>
      </c>
      <c r="F4552" s="0" t="n">
        <v>0</v>
      </c>
      <c r="G4552" s="0" t="n">
        <v>2021</v>
      </c>
    </row>
    <row r="4553" customFormat="false" ht="15" hidden="false" customHeight="false" outlineLevel="0" collapsed="false">
      <c r="A4553" s="0" t="s">
        <v>261</v>
      </c>
      <c r="B4553" s="52" t="n">
        <v>44512</v>
      </c>
      <c r="C4553" s="54" t="s">
        <v>591</v>
      </c>
      <c r="D4553" s="0" t="n">
        <v>0.17551074883161</v>
      </c>
      <c r="E4553" s="0" t="n">
        <v>0.140661573993386</v>
      </c>
      <c r="F4553" s="0" t="n">
        <v>0</v>
      </c>
      <c r="G4553" s="0" t="n">
        <v>2021</v>
      </c>
    </row>
    <row r="4554" customFormat="false" ht="15" hidden="false" customHeight="false" outlineLevel="0" collapsed="false">
      <c r="A4554" s="0" t="s">
        <v>261</v>
      </c>
      <c r="B4554" s="52" t="n">
        <v>44512</v>
      </c>
      <c r="C4554" s="54" t="s">
        <v>592</v>
      </c>
      <c r="D4554" s="0" t="n">
        <v>0.250468353535211</v>
      </c>
      <c r="E4554" s="0" t="n">
        <v>0.0658395447623627</v>
      </c>
      <c r="F4554" s="0" t="n">
        <v>0</v>
      </c>
      <c r="G4554" s="0" t="n">
        <v>2021</v>
      </c>
    </row>
    <row r="4555" customFormat="false" ht="15" hidden="false" customHeight="false" outlineLevel="0" collapsed="false">
      <c r="A4555" s="0" t="s">
        <v>261</v>
      </c>
      <c r="B4555" s="52" t="n">
        <v>44513</v>
      </c>
      <c r="C4555" s="54" t="s">
        <v>590</v>
      </c>
      <c r="D4555" s="0" t="n">
        <v>0.118914675695854</v>
      </c>
      <c r="E4555" s="0" t="n">
        <v>0.355630182212143</v>
      </c>
      <c r="F4555" s="0" t="n">
        <v>1</v>
      </c>
      <c r="G4555" s="0" t="n">
        <v>2021</v>
      </c>
    </row>
    <row r="4556" customFormat="false" ht="15" hidden="false" customHeight="false" outlineLevel="0" collapsed="false">
      <c r="A4556" s="0" t="s">
        <v>261</v>
      </c>
      <c r="B4556" s="52" t="n">
        <v>44513</v>
      </c>
      <c r="C4556" s="54" t="s">
        <v>591</v>
      </c>
      <c r="D4556" s="0" t="n">
        <v>0.529996180586067</v>
      </c>
      <c r="E4556" s="0" t="n">
        <v>0.0767774586715921</v>
      </c>
      <c r="F4556" s="0" t="n">
        <v>1</v>
      </c>
      <c r="G4556" s="0" t="n">
        <v>2021</v>
      </c>
    </row>
    <row r="4557" customFormat="false" ht="15" hidden="false" customHeight="false" outlineLevel="0" collapsed="false">
      <c r="A4557" s="0" t="s">
        <v>261</v>
      </c>
      <c r="B4557" s="52" t="n">
        <v>44513</v>
      </c>
      <c r="C4557" s="54" t="s">
        <v>592</v>
      </c>
      <c r="D4557" s="0" t="n">
        <v>0.135987097111511</v>
      </c>
      <c r="E4557" s="0" t="n">
        <v>0.104320060098549</v>
      </c>
      <c r="F4557" s="0" t="n">
        <v>1</v>
      </c>
      <c r="G4557" s="0" t="n">
        <v>2021</v>
      </c>
    </row>
    <row r="4558" customFormat="false" ht="15" hidden="false" customHeight="false" outlineLevel="0" collapsed="false">
      <c r="A4558" s="0" t="s">
        <v>261</v>
      </c>
      <c r="B4558" s="52" t="n">
        <v>44515</v>
      </c>
      <c r="C4558" s="54" t="s">
        <v>590</v>
      </c>
      <c r="D4558" s="0" t="n">
        <v>0.0356132470097703</v>
      </c>
      <c r="E4558" s="0" t="n">
        <v>0.0085289650167717</v>
      </c>
      <c r="F4558" s="0" t="n">
        <v>0</v>
      </c>
      <c r="G4558" s="0" t="n">
        <v>2021</v>
      </c>
    </row>
    <row r="4559" customFormat="false" ht="15" hidden="false" customHeight="false" outlineLevel="0" collapsed="false">
      <c r="A4559" s="0" t="s">
        <v>261</v>
      </c>
      <c r="B4559" s="52" t="n">
        <v>44515</v>
      </c>
      <c r="C4559" s="54" t="s">
        <v>591</v>
      </c>
      <c r="D4559" s="0" t="n">
        <v>0.0139351067084817</v>
      </c>
      <c r="E4559" s="0" t="n">
        <v>0.0891665046852858</v>
      </c>
      <c r="F4559" s="0" t="n">
        <v>0</v>
      </c>
      <c r="G4559" s="0" t="n">
        <v>2021</v>
      </c>
    </row>
    <row r="4560" customFormat="false" ht="15" hidden="false" customHeight="false" outlineLevel="0" collapsed="false">
      <c r="A4560" s="0" t="s">
        <v>261</v>
      </c>
      <c r="B4560" s="52" t="n">
        <v>44515</v>
      </c>
      <c r="C4560" s="54" t="s">
        <v>592</v>
      </c>
      <c r="D4560" s="0" t="n">
        <v>0.0954914559190696</v>
      </c>
      <c r="E4560" s="0" t="n">
        <v>0.069585873844093</v>
      </c>
      <c r="F4560" s="0" t="n">
        <v>0</v>
      </c>
      <c r="G4560" s="0" t="n">
        <v>2021</v>
      </c>
    </row>
    <row r="4561" customFormat="false" ht="15" hidden="false" customHeight="false" outlineLevel="0" collapsed="false">
      <c r="A4561" s="0" t="s">
        <v>261</v>
      </c>
      <c r="B4561" s="52" t="n">
        <v>44516</v>
      </c>
      <c r="C4561" s="54" t="s">
        <v>591</v>
      </c>
      <c r="D4561" s="0" t="n">
        <v>0.0341665858482828</v>
      </c>
      <c r="E4561" s="0" t="n">
        <v>0.063991265431848</v>
      </c>
      <c r="F4561" s="0" t="n">
        <v>0</v>
      </c>
      <c r="G4561" s="0" t="n">
        <v>2021</v>
      </c>
    </row>
    <row r="4562" customFormat="false" ht="15" hidden="false" customHeight="false" outlineLevel="0" collapsed="false">
      <c r="A4562" s="0" t="s">
        <v>261</v>
      </c>
      <c r="B4562" s="52" t="n">
        <v>44516</v>
      </c>
      <c r="C4562" s="54" t="s">
        <v>592</v>
      </c>
      <c r="D4562" s="0" t="n">
        <v>0.270269225914314</v>
      </c>
      <c r="E4562" s="0" t="n">
        <v>0.034522627738996</v>
      </c>
      <c r="F4562" s="0" t="n">
        <v>0</v>
      </c>
      <c r="G4562" s="0" t="n">
        <v>2021</v>
      </c>
    </row>
    <row r="4563" customFormat="false" ht="15" hidden="false" customHeight="false" outlineLevel="0" collapsed="false">
      <c r="A4563" s="0" t="s">
        <v>261</v>
      </c>
      <c r="B4563" s="52" t="n">
        <v>44517</v>
      </c>
      <c r="C4563" s="54" t="s">
        <v>590</v>
      </c>
      <c r="D4563" s="0" t="n">
        <v>0.336430242163593</v>
      </c>
      <c r="E4563" s="0" t="n">
        <v>0.0114928915131203</v>
      </c>
      <c r="F4563" s="0" t="n">
        <v>0</v>
      </c>
      <c r="G4563" s="0" t="n">
        <v>2021</v>
      </c>
    </row>
    <row r="4564" customFormat="false" ht="15" hidden="false" customHeight="false" outlineLevel="0" collapsed="false">
      <c r="A4564" s="0" t="s">
        <v>261</v>
      </c>
      <c r="B4564" s="52" t="n">
        <v>44517</v>
      </c>
      <c r="C4564" s="54" t="s">
        <v>591</v>
      </c>
      <c r="D4564" s="0" t="n">
        <v>0.0383246365635818</v>
      </c>
      <c r="E4564" s="0" t="n">
        <v>0.0768482443828197</v>
      </c>
      <c r="F4564" s="0" t="n">
        <v>0</v>
      </c>
      <c r="G4564" s="0" t="n">
        <v>2021</v>
      </c>
    </row>
    <row r="4565" customFormat="false" ht="15" hidden="false" customHeight="false" outlineLevel="0" collapsed="false">
      <c r="A4565" s="0" t="s">
        <v>261</v>
      </c>
      <c r="B4565" s="52" t="n">
        <v>44517</v>
      </c>
      <c r="C4565" s="54" t="s">
        <v>592</v>
      </c>
      <c r="D4565" s="0" t="n">
        <v>0.0206917541806539</v>
      </c>
      <c r="E4565" s="0" t="n">
        <v>0.0702221016003715</v>
      </c>
      <c r="F4565" s="0" t="n">
        <v>0</v>
      </c>
      <c r="G4565" s="0" t="n">
        <v>2021</v>
      </c>
    </row>
    <row r="4566" customFormat="false" ht="15" hidden="false" customHeight="false" outlineLevel="0" collapsed="false">
      <c r="A4566" s="0" t="s">
        <v>261</v>
      </c>
      <c r="B4566" s="52" t="n">
        <v>44518</v>
      </c>
      <c r="C4566" s="54" t="s">
        <v>590</v>
      </c>
      <c r="D4566" s="0" t="n">
        <v>0.472167103515674</v>
      </c>
      <c r="E4566" s="0" t="n">
        <v>0.0429048762061698</v>
      </c>
      <c r="F4566" s="0" t="n">
        <v>0</v>
      </c>
      <c r="G4566" s="0" t="n">
        <v>2021</v>
      </c>
    </row>
    <row r="4567" customFormat="false" ht="15" hidden="false" customHeight="false" outlineLevel="0" collapsed="false">
      <c r="A4567" s="0" t="s">
        <v>261</v>
      </c>
      <c r="B4567" s="52" t="n">
        <v>44518</v>
      </c>
      <c r="C4567" s="54" t="s">
        <v>591</v>
      </c>
      <c r="D4567" s="0" t="n">
        <v>0.458764711197241</v>
      </c>
      <c r="E4567" s="0" t="n">
        <v>0.150435732479024</v>
      </c>
      <c r="F4567" s="0" t="n">
        <v>0</v>
      </c>
      <c r="G4567" s="0" t="n">
        <v>2021</v>
      </c>
    </row>
    <row r="4568" customFormat="false" ht="15" hidden="false" customHeight="false" outlineLevel="0" collapsed="false">
      <c r="A4568" s="0" t="s">
        <v>261</v>
      </c>
      <c r="B4568" s="52" t="n">
        <v>44518</v>
      </c>
      <c r="C4568" s="54" t="s">
        <v>592</v>
      </c>
      <c r="D4568" s="0" t="n">
        <v>0.140189054688626</v>
      </c>
      <c r="E4568" s="0" t="n">
        <v>0.0971110649706244</v>
      </c>
      <c r="F4568" s="0" t="n">
        <v>0</v>
      </c>
      <c r="G4568" s="0" t="n">
        <v>2021</v>
      </c>
    </row>
    <row r="4569" customFormat="false" ht="15" hidden="false" customHeight="false" outlineLevel="0" collapsed="false">
      <c r="A4569" s="0" t="s">
        <v>261</v>
      </c>
      <c r="B4569" s="52" t="n">
        <v>44519</v>
      </c>
      <c r="C4569" s="54" t="s">
        <v>590</v>
      </c>
      <c r="D4569" s="0" t="n">
        <v>0.542341354592805</v>
      </c>
      <c r="E4569" s="0" t="n">
        <v>0.0218750282597923</v>
      </c>
      <c r="F4569" s="0" t="n">
        <v>0</v>
      </c>
      <c r="G4569" s="0" t="n">
        <v>2021</v>
      </c>
    </row>
    <row r="4570" customFormat="false" ht="15" hidden="false" customHeight="false" outlineLevel="0" collapsed="false">
      <c r="A4570" s="0" t="s">
        <v>261</v>
      </c>
      <c r="B4570" s="52" t="n">
        <v>44519</v>
      </c>
      <c r="C4570" s="54" t="s">
        <v>591</v>
      </c>
      <c r="D4570" s="0" t="n">
        <v>0.157322931797226</v>
      </c>
      <c r="E4570" s="0" t="n">
        <v>0.17322871199532</v>
      </c>
      <c r="F4570" s="0" t="n">
        <v>0</v>
      </c>
      <c r="G4570" s="0" t="n">
        <v>2021</v>
      </c>
    </row>
    <row r="4571" customFormat="false" ht="15" hidden="false" customHeight="false" outlineLevel="0" collapsed="false">
      <c r="A4571" s="0" t="s">
        <v>261</v>
      </c>
      <c r="B4571" s="52" t="n">
        <v>44519</v>
      </c>
      <c r="C4571" s="54" t="s">
        <v>592</v>
      </c>
      <c r="D4571" s="0" t="n">
        <v>0.120934383294454</v>
      </c>
      <c r="E4571" s="0" t="n">
        <v>0.0703739867972318</v>
      </c>
      <c r="F4571" s="0" t="n">
        <v>0</v>
      </c>
      <c r="G4571" s="0" t="n">
        <v>2021</v>
      </c>
    </row>
    <row r="4572" customFormat="false" ht="15" hidden="false" customHeight="false" outlineLevel="0" collapsed="false">
      <c r="A4572" s="0" t="s">
        <v>261</v>
      </c>
      <c r="B4572" s="52" t="n">
        <v>44520</v>
      </c>
      <c r="C4572" s="54" t="s">
        <v>590</v>
      </c>
      <c r="D4572" s="0" t="n">
        <v>0.623152427605023</v>
      </c>
      <c r="E4572" s="0" t="n">
        <v>0.0089623871539189</v>
      </c>
      <c r="F4572" s="0" t="n">
        <v>1</v>
      </c>
      <c r="G4572" s="0" t="n">
        <v>2021</v>
      </c>
    </row>
    <row r="4573" customFormat="false" ht="15" hidden="false" customHeight="false" outlineLevel="0" collapsed="false">
      <c r="A4573" s="0" t="s">
        <v>261</v>
      </c>
      <c r="B4573" s="52" t="n">
        <v>44520</v>
      </c>
      <c r="C4573" s="54" t="s">
        <v>591</v>
      </c>
      <c r="D4573" s="0" t="n">
        <v>0.16829490284284</v>
      </c>
      <c r="E4573" s="0" t="n">
        <v>0.172798162858094</v>
      </c>
      <c r="F4573" s="0" t="n">
        <v>1</v>
      </c>
      <c r="G4573" s="0" t="n">
        <v>2021</v>
      </c>
    </row>
    <row r="4574" customFormat="false" ht="15" hidden="false" customHeight="false" outlineLevel="0" collapsed="false">
      <c r="A4574" s="0" t="s">
        <v>261</v>
      </c>
      <c r="B4574" s="52" t="n">
        <v>44520</v>
      </c>
      <c r="C4574" s="54" t="s">
        <v>592</v>
      </c>
      <c r="D4574" s="0" t="n">
        <v>0.0314641819360726</v>
      </c>
      <c r="E4574" s="0" t="n">
        <v>0.216647855078728</v>
      </c>
      <c r="F4574" s="0" t="n">
        <v>1</v>
      </c>
      <c r="G4574" s="0" t="n">
        <v>2021</v>
      </c>
    </row>
    <row r="4575" customFormat="false" ht="15" hidden="false" customHeight="false" outlineLevel="0" collapsed="false">
      <c r="A4575" s="0" t="s">
        <v>261</v>
      </c>
      <c r="B4575" s="52" t="n">
        <v>44521</v>
      </c>
      <c r="C4575" s="54" t="s">
        <v>590</v>
      </c>
      <c r="D4575" s="0" t="n">
        <v>1</v>
      </c>
      <c r="E4575" s="0" t="n">
        <v>0</v>
      </c>
      <c r="F4575" s="0" t="n">
        <v>1</v>
      </c>
      <c r="G4575" s="0" t="n">
        <v>2021</v>
      </c>
    </row>
    <row r="4576" customFormat="false" ht="15" hidden="false" customHeight="false" outlineLevel="0" collapsed="false">
      <c r="A4576" s="0" t="s">
        <v>261</v>
      </c>
      <c r="B4576" s="52" t="n">
        <v>44522</v>
      </c>
      <c r="C4576" s="54" t="s">
        <v>590</v>
      </c>
      <c r="D4576" s="0" t="n">
        <v>0.191807723879717</v>
      </c>
      <c r="E4576" s="0" t="n">
        <v>0.0254790754243231</v>
      </c>
      <c r="F4576" s="0" t="n">
        <v>0</v>
      </c>
      <c r="G4576" s="0" t="n">
        <v>2021</v>
      </c>
    </row>
    <row r="4577" customFormat="false" ht="15" hidden="false" customHeight="false" outlineLevel="0" collapsed="false">
      <c r="A4577" s="0" t="s">
        <v>261</v>
      </c>
      <c r="B4577" s="52" t="n">
        <v>44522</v>
      </c>
      <c r="C4577" s="54" t="s">
        <v>591</v>
      </c>
      <c r="D4577" s="0" t="n">
        <v>0.0150940301633229</v>
      </c>
      <c r="E4577" s="0" t="n">
        <v>0.0564245019098124</v>
      </c>
      <c r="F4577" s="0" t="n">
        <v>0</v>
      </c>
      <c r="G4577" s="0" t="n">
        <v>2021</v>
      </c>
    </row>
    <row r="4578" customFormat="false" ht="15" hidden="false" customHeight="false" outlineLevel="0" collapsed="false">
      <c r="A4578" s="0" t="s">
        <v>261</v>
      </c>
      <c r="B4578" s="52" t="n">
        <v>44522</v>
      </c>
      <c r="C4578" s="54" t="s">
        <v>592</v>
      </c>
      <c r="D4578" s="0" t="n">
        <v>0.0844674313947815</v>
      </c>
      <c r="E4578" s="0" t="n">
        <v>0.231003911744723</v>
      </c>
      <c r="F4578" s="0" t="n">
        <v>0</v>
      </c>
      <c r="G4578" s="0" t="n">
        <v>2021</v>
      </c>
    </row>
    <row r="4579" customFormat="false" ht="15" hidden="false" customHeight="false" outlineLevel="0" collapsed="false">
      <c r="A4579" s="0" t="s">
        <v>261</v>
      </c>
      <c r="B4579" s="52" t="n">
        <v>44523</v>
      </c>
      <c r="C4579" s="54" t="s">
        <v>590</v>
      </c>
      <c r="D4579" s="0" t="n">
        <v>0.941991393836807</v>
      </c>
      <c r="E4579" s="0" t="n">
        <v>0</v>
      </c>
      <c r="F4579" s="0" t="n">
        <v>0</v>
      </c>
      <c r="G4579" s="0" t="n">
        <v>2021</v>
      </c>
    </row>
    <row r="4580" customFormat="false" ht="15" hidden="false" customHeight="false" outlineLevel="0" collapsed="false">
      <c r="A4580" s="0" t="s">
        <v>261</v>
      </c>
      <c r="B4580" s="52" t="n">
        <v>44523</v>
      </c>
      <c r="C4580" s="54" t="s">
        <v>591</v>
      </c>
      <c r="D4580" s="0" t="n">
        <v>0.2057242497236</v>
      </c>
      <c r="E4580" s="0" t="n">
        <v>0.006890089913898</v>
      </c>
      <c r="F4580" s="0" t="n">
        <v>0</v>
      </c>
      <c r="G4580" s="0" t="n">
        <v>2021</v>
      </c>
    </row>
    <row r="4581" customFormat="false" ht="15" hidden="false" customHeight="false" outlineLevel="0" collapsed="false">
      <c r="A4581" s="0" t="s">
        <v>261</v>
      </c>
      <c r="B4581" s="52" t="n">
        <v>44524</v>
      </c>
      <c r="C4581" s="54" t="s">
        <v>590</v>
      </c>
      <c r="D4581" s="0" t="n">
        <v>0.110174898319695</v>
      </c>
      <c r="E4581" s="0" t="n">
        <v>0.0206424774914162</v>
      </c>
      <c r="F4581" s="0" t="n">
        <v>0</v>
      </c>
      <c r="G4581" s="0" t="n">
        <v>2021</v>
      </c>
    </row>
    <row r="4582" customFormat="false" ht="15" hidden="false" customHeight="false" outlineLevel="0" collapsed="false">
      <c r="A4582" s="0" t="s">
        <v>261</v>
      </c>
      <c r="B4582" s="52" t="n">
        <v>44524</v>
      </c>
      <c r="C4582" s="54" t="s">
        <v>591</v>
      </c>
      <c r="D4582" s="0" t="n">
        <v>0.0042126994786222</v>
      </c>
      <c r="E4582" s="0" t="n">
        <v>0.0427912639755849</v>
      </c>
      <c r="F4582" s="0" t="n">
        <v>0</v>
      </c>
      <c r="G4582" s="0" t="n">
        <v>2021</v>
      </c>
    </row>
    <row r="4583" customFormat="false" ht="15" hidden="false" customHeight="false" outlineLevel="0" collapsed="false">
      <c r="A4583" s="0" t="s">
        <v>261</v>
      </c>
      <c r="B4583" s="52" t="n">
        <v>44524</v>
      </c>
      <c r="C4583" s="54" t="s">
        <v>592</v>
      </c>
      <c r="D4583" s="0" t="n">
        <v>0.168354499883601</v>
      </c>
      <c r="E4583" s="0" t="n">
        <v>0.0165995020344129</v>
      </c>
      <c r="F4583" s="0" t="n">
        <v>0</v>
      </c>
      <c r="G4583" s="0" t="n">
        <v>2021</v>
      </c>
    </row>
    <row r="4584" customFormat="false" ht="15" hidden="false" customHeight="false" outlineLevel="0" collapsed="false">
      <c r="A4584" s="0" t="s">
        <v>261</v>
      </c>
      <c r="B4584" s="52" t="n">
        <v>44525</v>
      </c>
      <c r="C4584" s="54" t="s">
        <v>590</v>
      </c>
      <c r="D4584" s="0" t="n">
        <v>0.452383686921748</v>
      </c>
      <c r="E4584" s="0" t="n">
        <v>0.0449696770150907</v>
      </c>
      <c r="F4584" s="0" t="n">
        <v>0</v>
      </c>
      <c r="G4584" s="0" t="n">
        <v>2021</v>
      </c>
    </row>
    <row r="4585" customFormat="false" ht="15" hidden="false" customHeight="false" outlineLevel="0" collapsed="false">
      <c r="A4585" s="0" t="s">
        <v>261</v>
      </c>
      <c r="B4585" s="52" t="n">
        <v>44525</v>
      </c>
      <c r="C4585" s="54" t="s">
        <v>591</v>
      </c>
      <c r="D4585" s="0" t="n">
        <v>0.0172472717479805</v>
      </c>
      <c r="E4585" s="0" t="n">
        <v>0.0882659237811563</v>
      </c>
      <c r="F4585" s="0" t="n">
        <v>0</v>
      </c>
      <c r="G4585" s="0" t="n">
        <v>2021</v>
      </c>
    </row>
    <row r="4586" customFormat="false" ht="15" hidden="false" customHeight="false" outlineLevel="0" collapsed="false">
      <c r="A4586" s="0" t="s">
        <v>261</v>
      </c>
      <c r="B4586" s="52" t="n">
        <v>44525</v>
      </c>
      <c r="C4586" s="54" t="s">
        <v>592</v>
      </c>
      <c r="D4586" s="0" t="n">
        <v>0.2750728199278</v>
      </c>
      <c r="E4586" s="0" t="n">
        <v>0.0775321960491455</v>
      </c>
      <c r="F4586" s="0" t="n">
        <v>0</v>
      </c>
      <c r="G4586" s="0" t="n">
        <v>2021</v>
      </c>
    </row>
    <row r="4587" customFormat="false" ht="15" hidden="false" customHeight="false" outlineLevel="0" collapsed="false">
      <c r="A4587" s="0" t="s">
        <v>261</v>
      </c>
      <c r="B4587" s="52" t="n">
        <v>44526</v>
      </c>
      <c r="C4587" s="54" t="s">
        <v>590</v>
      </c>
      <c r="D4587" s="0" t="n">
        <v>0.216183384094164</v>
      </c>
      <c r="E4587" s="0" t="n">
        <v>0.0038709373470601</v>
      </c>
      <c r="F4587" s="0" t="n">
        <v>0</v>
      </c>
      <c r="G4587" s="0" t="n">
        <v>2021</v>
      </c>
    </row>
    <row r="4588" customFormat="false" ht="15" hidden="false" customHeight="false" outlineLevel="0" collapsed="false">
      <c r="A4588" s="0" t="s">
        <v>261</v>
      </c>
      <c r="B4588" s="52" t="n">
        <v>44526</v>
      </c>
      <c r="C4588" s="54" t="s">
        <v>591</v>
      </c>
      <c r="D4588" s="0" t="n">
        <v>0.111386636286653</v>
      </c>
      <c r="E4588" s="0" t="n">
        <v>0.0922760739491607</v>
      </c>
      <c r="F4588" s="0" t="n">
        <v>0</v>
      </c>
      <c r="G4588" s="0" t="n">
        <v>2021</v>
      </c>
    </row>
    <row r="4589" customFormat="false" ht="15" hidden="false" customHeight="false" outlineLevel="0" collapsed="false">
      <c r="A4589" s="0" t="s">
        <v>261</v>
      </c>
      <c r="B4589" s="52" t="n">
        <v>44526</v>
      </c>
      <c r="C4589" s="54" t="s">
        <v>592</v>
      </c>
      <c r="D4589" s="0" t="n">
        <v>0.259973488094028</v>
      </c>
      <c r="E4589" s="0" t="n">
        <v>0.0262239473493701</v>
      </c>
      <c r="F4589" s="0" t="n">
        <v>0</v>
      </c>
      <c r="G4589" s="0" t="n">
        <v>2021</v>
      </c>
    </row>
    <row r="4590" customFormat="false" ht="15" hidden="false" customHeight="false" outlineLevel="0" collapsed="false">
      <c r="A4590" s="0" t="s">
        <v>261</v>
      </c>
      <c r="B4590" s="52" t="n">
        <v>44527</v>
      </c>
      <c r="C4590" s="54" t="s">
        <v>590</v>
      </c>
      <c r="D4590" s="0" t="n">
        <v>0.175137777976377</v>
      </c>
      <c r="E4590" s="0" t="n">
        <v>0.0948588954923018</v>
      </c>
      <c r="F4590" s="0" t="n">
        <v>1</v>
      </c>
      <c r="G4590" s="0" t="n">
        <v>2021</v>
      </c>
    </row>
    <row r="4591" customFormat="false" ht="15" hidden="false" customHeight="false" outlineLevel="0" collapsed="false">
      <c r="A4591" s="0" t="s">
        <v>261</v>
      </c>
      <c r="B4591" s="52" t="n">
        <v>44527</v>
      </c>
      <c r="C4591" s="54" t="s">
        <v>591</v>
      </c>
      <c r="D4591" s="0" t="n">
        <v>0.0439032530969018</v>
      </c>
      <c r="E4591" s="0" t="n">
        <v>0.0430900800287438</v>
      </c>
      <c r="F4591" s="0" t="n">
        <v>1</v>
      </c>
      <c r="G4591" s="0" t="n">
        <v>2021</v>
      </c>
    </row>
    <row r="4592" customFormat="false" ht="15" hidden="false" customHeight="false" outlineLevel="0" collapsed="false">
      <c r="A4592" s="0" t="s">
        <v>261</v>
      </c>
      <c r="B4592" s="52" t="n">
        <v>44527</v>
      </c>
      <c r="C4592" s="54" t="s">
        <v>592</v>
      </c>
      <c r="D4592" s="0" t="n">
        <v>0.104647525540669</v>
      </c>
      <c r="E4592" s="0" t="n">
        <v>0.0412393440720201</v>
      </c>
      <c r="F4592" s="0" t="n">
        <v>1</v>
      </c>
      <c r="G4592" s="0" t="n">
        <v>2021</v>
      </c>
    </row>
    <row r="4593" customFormat="false" ht="15" hidden="false" customHeight="false" outlineLevel="0" collapsed="false">
      <c r="A4593" s="0" t="s">
        <v>261</v>
      </c>
      <c r="B4593" s="52" t="n">
        <v>44528</v>
      </c>
      <c r="C4593" s="54" t="s">
        <v>590</v>
      </c>
      <c r="D4593" s="0" t="n">
        <v>1</v>
      </c>
      <c r="E4593" s="0" t="n">
        <v>0</v>
      </c>
      <c r="F4593" s="0" t="n">
        <v>1</v>
      </c>
      <c r="G4593" s="0" t="n">
        <v>2021</v>
      </c>
    </row>
    <row r="4594" customFormat="false" ht="15" hidden="false" customHeight="false" outlineLevel="0" collapsed="false">
      <c r="A4594" s="0" t="s">
        <v>261</v>
      </c>
      <c r="B4594" s="52" t="n">
        <v>44529</v>
      </c>
      <c r="C4594" s="54" t="s">
        <v>590</v>
      </c>
      <c r="D4594" s="0" t="n">
        <v>0.069227786876042</v>
      </c>
      <c r="E4594" s="0" t="n">
        <v>0.0447464232521975</v>
      </c>
      <c r="F4594" s="0" t="n">
        <v>0</v>
      </c>
      <c r="G4594" s="0" t="n">
        <v>2021</v>
      </c>
    </row>
    <row r="4595" customFormat="false" ht="15" hidden="false" customHeight="false" outlineLevel="0" collapsed="false">
      <c r="A4595" s="0" t="s">
        <v>261</v>
      </c>
      <c r="B4595" s="52" t="n">
        <v>44529</v>
      </c>
      <c r="C4595" s="54" t="s">
        <v>591</v>
      </c>
      <c r="D4595" s="0" t="n">
        <v>0.0216770754250559</v>
      </c>
      <c r="E4595" s="0" t="n">
        <v>0.0318140821295512</v>
      </c>
      <c r="F4595" s="0" t="n">
        <v>0</v>
      </c>
      <c r="G4595" s="0" t="n">
        <v>2021</v>
      </c>
    </row>
    <row r="4596" customFormat="false" ht="15" hidden="false" customHeight="false" outlineLevel="0" collapsed="false">
      <c r="A4596" s="0" t="s">
        <v>261</v>
      </c>
      <c r="B4596" s="52" t="n">
        <v>44529</v>
      </c>
      <c r="C4596" s="54" t="s">
        <v>592</v>
      </c>
      <c r="D4596" s="0" t="n">
        <v>0.0887383192338956</v>
      </c>
      <c r="E4596" s="0" t="n">
        <v>0.107321065737771</v>
      </c>
      <c r="F4596" s="0" t="n">
        <v>0</v>
      </c>
      <c r="G4596" s="0" t="n">
        <v>2021</v>
      </c>
    </row>
    <row r="4597" customFormat="false" ht="15" hidden="false" customHeight="false" outlineLevel="0" collapsed="false">
      <c r="A4597" s="0" t="s">
        <v>261</v>
      </c>
      <c r="B4597" s="52" t="n">
        <v>44530</v>
      </c>
      <c r="C4597" s="54" t="s">
        <v>590</v>
      </c>
      <c r="D4597" s="0" t="n">
        <v>0.448810009527986</v>
      </c>
      <c r="E4597" s="0" t="n">
        <v>0.0270209326696397</v>
      </c>
      <c r="F4597" s="0" t="n">
        <v>0</v>
      </c>
      <c r="G4597" s="0" t="n">
        <v>2021</v>
      </c>
    </row>
    <row r="4598" customFormat="false" ht="15" hidden="false" customHeight="false" outlineLevel="0" collapsed="false">
      <c r="A4598" s="0" t="s">
        <v>261</v>
      </c>
      <c r="B4598" s="52" t="n">
        <v>44530</v>
      </c>
      <c r="C4598" s="54" t="s">
        <v>591</v>
      </c>
      <c r="D4598" s="0" t="n">
        <v>0.333467216788701</v>
      </c>
      <c r="E4598" s="0" t="n">
        <v>0.0460755505355473</v>
      </c>
      <c r="F4598" s="0" t="n">
        <v>0</v>
      </c>
      <c r="G4598" s="0" t="n">
        <v>2021</v>
      </c>
    </row>
    <row r="4599" customFormat="false" ht="15" hidden="false" customHeight="false" outlineLevel="0" collapsed="false">
      <c r="A4599" s="0" t="s">
        <v>261</v>
      </c>
      <c r="B4599" s="52" t="n">
        <v>44530</v>
      </c>
      <c r="C4599" s="54" t="s">
        <v>592</v>
      </c>
      <c r="D4599" s="0" t="n">
        <v>0.0253140605535145</v>
      </c>
      <c r="E4599" s="0" t="n">
        <v>0.0506254546446544</v>
      </c>
      <c r="F4599" s="0" t="n">
        <v>0</v>
      </c>
      <c r="G4599" s="0" t="n">
        <v>2021</v>
      </c>
    </row>
    <row r="4600" customFormat="false" ht="15" hidden="false" customHeight="false" outlineLevel="0" collapsed="false">
      <c r="A4600" s="0" t="s">
        <v>261</v>
      </c>
      <c r="B4600" s="52" t="n">
        <v>44531</v>
      </c>
      <c r="C4600" s="54" t="s">
        <v>590</v>
      </c>
      <c r="D4600" s="0" t="n">
        <v>0.0543689655219469</v>
      </c>
      <c r="E4600" s="0" t="n">
        <v>0.0395053038339424</v>
      </c>
      <c r="F4600" s="0" t="n">
        <v>0</v>
      </c>
      <c r="G4600" s="0" t="n">
        <v>2021</v>
      </c>
    </row>
    <row r="4601" customFormat="false" ht="15" hidden="false" customHeight="false" outlineLevel="0" collapsed="false">
      <c r="A4601" s="0" t="s">
        <v>261</v>
      </c>
      <c r="B4601" s="52" t="n">
        <v>44531</v>
      </c>
      <c r="C4601" s="54" t="s">
        <v>591</v>
      </c>
      <c r="D4601" s="0" t="n">
        <v>0</v>
      </c>
      <c r="E4601" s="0" t="n">
        <v>0.0247437566726355</v>
      </c>
      <c r="F4601" s="0" t="n">
        <v>0</v>
      </c>
      <c r="G4601" s="0" t="n">
        <v>2021</v>
      </c>
    </row>
    <row r="4602" customFormat="false" ht="15" hidden="false" customHeight="false" outlineLevel="0" collapsed="false">
      <c r="A4602" s="0" t="s">
        <v>261</v>
      </c>
      <c r="B4602" s="52" t="n">
        <v>44531</v>
      </c>
      <c r="C4602" s="54" t="s">
        <v>592</v>
      </c>
      <c r="D4602" s="0" t="n">
        <v>0.300840490863026</v>
      </c>
      <c r="E4602" s="0" t="n">
        <v>0.141129981412216</v>
      </c>
      <c r="F4602" s="0" t="n">
        <v>0</v>
      </c>
      <c r="G4602" s="0" t="n">
        <v>2021</v>
      </c>
    </row>
    <row r="4603" customFormat="false" ht="15" hidden="false" customHeight="false" outlineLevel="0" collapsed="false">
      <c r="A4603" s="0" t="s">
        <v>261</v>
      </c>
      <c r="B4603" s="52" t="n">
        <v>44532</v>
      </c>
      <c r="C4603" s="54" t="s">
        <v>590</v>
      </c>
      <c r="D4603" s="0" t="n">
        <v>0.14881112946691</v>
      </c>
      <c r="E4603" s="0" t="n">
        <v>0.0095464787458466</v>
      </c>
      <c r="F4603" s="0" t="n">
        <v>0</v>
      </c>
      <c r="G4603" s="0" t="n">
        <v>2021</v>
      </c>
    </row>
    <row r="4604" customFormat="false" ht="15" hidden="false" customHeight="false" outlineLevel="0" collapsed="false">
      <c r="A4604" s="0" t="s">
        <v>261</v>
      </c>
      <c r="B4604" s="52" t="n">
        <v>44532</v>
      </c>
      <c r="C4604" s="54" t="s">
        <v>591</v>
      </c>
      <c r="D4604" s="0" t="n">
        <v>0.0510515262019521</v>
      </c>
      <c r="E4604" s="0" t="n">
        <v>0.0673818036348655</v>
      </c>
      <c r="F4604" s="0" t="n">
        <v>0</v>
      </c>
      <c r="G4604" s="0" t="n">
        <v>2021</v>
      </c>
    </row>
    <row r="4605" customFormat="false" ht="15" hidden="false" customHeight="false" outlineLevel="0" collapsed="false">
      <c r="A4605" s="0" t="s">
        <v>261</v>
      </c>
      <c r="B4605" s="52" t="n">
        <v>44532</v>
      </c>
      <c r="C4605" s="54" t="s">
        <v>592</v>
      </c>
      <c r="D4605" s="0" t="n">
        <v>0.246385555122643</v>
      </c>
      <c r="E4605" s="0" t="n">
        <v>0.0215272971007398</v>
      </c>
      <c r="F4605" s="0" t="n">
        <v>0</v>
      </c>
      <c r="G4605" s="0" t="n">
        <v>2021</v>
      </c>
    </row>
    <row r="4606" customFormat="false" ht="15" hidden="false" customHeight="false" outlineLevel="0" collapsed="false">
      <c r="A4606" s="0" t="s">
        <v>261</v>
      </c>
      <c r="B4606" s="52" t="n">
        <v>44533</v>
      </c>
      <c r="C4606" s="54" t="s">
        <v>590</v>
      </c>
      <c r="D4606" s="0" t="n">
        <v>0.442271283195533</v>
      </c>
      <c r="E4606" s="0" t="n">
        <v>0.0888207873061955</v>
      </c>
      <c r="F4606" s="0" t="n">
        <v>0</v>
      </c>
      <c r="G4606" s="0" t="n">
        <v>2021</v>
      </c>
    </row>
    <row r="4607" customFormat="false" ht="15" hidden="false" customHeight="false" outlineLevel="0" collapsed="false">
      <c r="A4607" s="0" t="s">
        <v>261</v>
      </c>
      <c r="B4607" s="52" t="n">
        <v>44533</v>
      </c>
      <c r="C4607" s="54" t="s">
        <v>591</v>
      </c>
      <c r="D4607" s="0" t="n">
        <v>0.458210907525737</v>
      </c>
      <c r="E4607" s="0" t="n">
        <v>0.0197977601123353</v>
      </c>
      <c r="F4607" s="0" t="n">
        <v>0</v>
      </c>
      <c r="G4607" s="0" t="n">
        <v>2021</v>
      </c>
    </row>
    <row r="4608" customFormat="false" ht="15" hidden="false" customHeight="false" outlineLevel="0" collapsed="false">
      <c r="A4608" s="0" t="s">
        <v>261</v>
      </c>
      <c r="B4608" s="52" t="n">
        <v>44533</v>
      </c>
      <c r="C4608" s="54" t="s">
        <v>592</v>
      </c>
      <c r="D4608" s="0" t="n">
        <v>0.0652813188468424</v>
      </c>
      <c r="E4608" s="0" t="n">
        <v>0.0350800421853035</v>
      </c>
      <c r="F4608" s="0" t="n">
        <v>0</v>
      </c>
      <c r="G4608" s="0" t="n">
        <v>2021</v>
      </c>
    </row>
    <row r="4609" customFormat="false" ht="15" hidden="false" customHeight="false" outlineLevel="0" collapsed="false">
      <c r="A4609" s="0" t="s">
        <v>261</v>
      </c>
      <c r="B4609" s="52" t="n">
        <v>44534</v>
      </c>
      <c r="C4609" s="54" t="s">
        <v>590</v>
      </c>
      <c r="D4609" s="0" t="n">
        <v>0.407741475195143</v>
      </c>
      <c r="E4609" s="0" t="n">
        <v>0.0562505225951369</v>
      </c>
      <c r="F4609" s="0" t="n">
        <v>1</v>
      </c>
      <c r="G4609" s="0" t="n">
        <v>2021</v>
      </c>
    </row>
    <row r="4610" customFormat="false" ht="15" hidden="false" customHeight="false" outlineLevel="0" collapsed="false">
      <c r="A4610" s="0" t="s">
        <v>261</v>
      </c>
      <c r="B4610" s="52" t="n">
        <v>44534</v>
      </c>
      <c r="C4610" s="54" t="s">
        <v>591</v>
      </c>
      <c r="D4610" s="0" t="n">
        <v>0.03362685785426</v>
      </c>
      <c r="E4610" s="0" t="n">
        <v>0.0471173150134311</v>
      </c>
      <c r="F4610" s="0" t="n">
        <v>1</v>
      </c>
      <c r="G4610" s="0" t="n">
        <v>2021</v>
      </c>
    </row>
    <row r="4611" customFormat="false" ht="15" hidden="false" customHeight="false" outlineLevel="0" collapsed="false">
      <c r="A4611" s="0" t="s">
        <v>261</v>
      </c>
      <c r="B4611" s="52" t="n">
        <v>44534</v>
      </c>
      <c r="C4611" s="54" t="s">
        <v>592</v>
      </c>
      <c r="D4611" s="0" t="n">
        <v>0.0223288185362567</v>
      </c>
      <c r="E4611" s="0" t="n">
        <v>0.0338055224758986</v>
      </c>
      <c r="F4611" s="0" t="n">
        <v>1</v>
      </c>
      <c r="G4611" s="0" t="n">
        <v>2021</v>
      </c>
    </row>
    <row r="4612" customFormat="false" ht="15" hidden="false" customHeight="false" outlineLevel="0" collapsed="false">
      <c r="A4612" s="0" t="s">
        <v>261</v>
      </c>
      <c r="B4612" s="52" t="n">
        <v>44536</v>
      </c>
      <c r="C4612" s="54" t="s">
        <v>590</v>
      </c>
      <c r="D4612" s="0" t="n">
        <v>0.0838413174897631</v>
      </c>
      <c r="E4612" s="0" t="n">
        <v>0.0172271817757059</v>
      </c>
      <c r="F4612" s="0" t="n">
        <v>0</v>
      </c>
      <c r="G4612" s="0" t="n">
        <v>2021</v>
      </c>
    </row>
    <row r="4613" customFormat="false" ht="15" hidden="false" customHeight="false" outlineLevel="0" collapsed="false">
      <c r="A4613" s="0" t="s">
        <v>261</v>
      </c>
      <c r="B4613" s="52" t="n">
        <v>44536</v>
      </c>
      <c r="C4613" s="54" t="s">
        <v>591</v>
      </c>
      <c r="D4613" s="0" t="n">
        <v>0.0111978920079627</v>
      </c>
      <c r="E4613" s="0" t="n">
        <v>0.0841089905802073</v>
      </c>
      <c r="F4613" s="0" t="n">
        <v>0</v>
      </c>
      <c r="G4613" s="0" t="n">
        <v>2021</v>
      </c>
    </row>
    <row r="4614" customFormat="false" ht="15" hidden="false" customHeight="false" outlineLevel="0" collapsed="false">
      <c r="A4614" s="0" t="s">
        <v>261</v>
      </c>
      <c r="B4614" s="52" t="n">
        <v>44536</v>
      </c>
      <c r="C4614" s="54" t="s">
        <v>592</v>
      </c>
      <c r="D4614" s="0" t="n">
        <v>0.213171616948781</v>
      </c>
      <c r="E4614" s="0" t="n">
        <v>0.0741035816666605</v>
      </c>
      <c r="F4614" s="0" t="n">
        <v>0</v>
      </c>
      <c r="G4614" s="0" t="n">
        <v>2021</v>
      </c>
    </row>
    <row r="4615" customFormat="false" ht="15" hidden="false" customHeight="false" outlineLevel="0" collapsed="false">
      <c r="A4615" s="0" t="s">
        <v>261</v>
      </c>
      <c r="B4615" s="52" t="n">
        <v>44537</v>
      </c>
      <c r="C4615" s="54" t="s">
        <v>590</v>
      </c>
      <c r="D4615" s="0" t="n">
        <v>0.65470309996823</v>
      </c>
      <c r="E4615" s="0" t="n">
        <v>0.0175113486746986</v>
      </c>
      <c r="F4615" s="0" t="n">
        <v>0</v>
      </c>
      <c r="G4615" s="0" t="n">
        <v>2021</v>
      </c>
    </row>
    <row r="4616" customFormat="false" ht="15" hidden="false" customHeight="false" outlineLevel="0" collapsed="false">
      <c r="A4616" s="0" t="s">
        <v>261</v>
      </c>
      <c r="B4616" s="52" t="n">
        <v>44537</v>
      </c>
      <c r="C4616" s="54" t="s">
        <v>591</v>
      </c>
      <c r="D4616" s="0" t="n">
        <v>0.118152326766899</v>
      </c>
      <c r="E4616" s="0" t="n">
        <v>0.0217268447396537</v>
      </c>
      <c r="F4616" s="0" t="n">
        <v>0</v>
      </c>
      <c r="G4616" s="0" t="n">
        <v>2021</v>
      </c>
    </row>
    <row r="4617" customFormat="false" ht="15" hidden="false" customHeight="false" outlineLevel="0" collapsed="false">
      <c r="A4617" s="0" t="s">
        <v>261</v>
      </c>
      <c r="B4617" s="52" t="n">
        <v>44537</v>
      </c>
      <c r="C4617" s="54" t="s">
        <v>592</v>
      </c>
      <c r="D4617" s="0" t="n">
        <v>0.266093866157925</v>
      </c>
      <c r="E4617" s="0" t="n">
        <v>0.0453528583181425</v>
      </c>
      <c r="F4617" s="0" t="n">
        <v>0</v>
      </c>
      <c r="G4617" s="0" t="n">
        <v>2021</v>
      </c>
    </row>
    <row r="4618" customFormat="false" ht="15" hidden="false" customHeight="false" outlineLevel="0" collapsed="false">
      <c r="A4618" s="0" t="s">
        <v>261</v>
      </c>
      <c r="B4618" s="52" t="n">
        <v>44538</v>
      </c>
      <c r="C4618" s="54" t="s">
        <v>590</v>
      </c>
      <c r="D4618" s="0" t="n">
        <v>0.786938071482154</v>
      </c>
      <c r="E4618" s="0" t="n">
        <v>0.0138958749634885</v>
      </c>
      <c r="F4618" s="0" t="n">
        <v>0</v>
      </c>
      <c r="G4618" s="0" t="n">
        <v>2021</v>
      </c>
    </row>
    <row r="4619" customFormat="false" ht="15" hidden="false" customHeight="false" outlineLevel="0" collapsed="false">
      <c r="A4619" s="0" t="s">
        <v>261</v>
      </c>
      <c r="B4619" s="52" t="n">
        <v>44538</v>
      </c>
      <c r="C4619" s="54" t="s">
        <v>591</v>
      </c>
      <c r="D4619" s="0" t="n">
        <v>0.0138393728687708</v>
      </c>
      <c r="E4619" s="0" t="n">
        <v>0.0628333098160042</v>
      </c>
      <c r="F4619" s="0" t="n">
        <v>0</v>
      </c>
      <c r="G4619" s="0" t="n">
        <v>2021</v>
      </c>
    </row>
    <row r="4620" customFormat="false" ht="15" hidden="false" customHeight="false" outlineLevel="0" collapsed="false">
      <c r="A4620" s="0" t="s">
        <v>261</v>
      </c>
      <c r="B4620" s="52" t="n">
        <v>44538</v>
      </c>
      <c r="C4620" s="54" t="s">
        <v>592</v>
      </c>
      <c r="D4620" s="0" t="n">
        <v>0.171625316641062</v>
      </c>
      <c r="E4620" s="0" t="n">
        <v>0.0314749354096742</v>
      </c>
      <c r="F4620" s="0" t="n">
        <v>0</v>
      </c>
      <c r="G4620" s="0" t="n">
        <v>2021</v>
      </c>
    </row>
    <row r="4621" customFormat="false" ht="15" hidden="false" customHeight="false" outlineLevel="0" collapsed="false">
      <c r="A4621" s="0" t="s">
        <v>261</v>
      </c>
      <c r="B4621" s="52" t="n">
        <v>44539</v>
      </c>
      <c r="C4621" s="54" t="s">
        <v>590</v>
      </c>
      <c r="D4621" s="0" t="n">
        <v>0.17087885491953</v>
      </c>
      <c r="E4621" s="0" t="n">
        <v>0.0392847675439162</v>
      </c>
      <c r="F4621" s="0" t="n">
        <v>0</v>
      </c>
      <c r="G4621" s="0" t="n">
        <v>2021</v>
      </c>
    </row>
    <row r="4622" customFormat="false" ht="15" hidden="false" customHeight="false" outlineLevel="0" collapsed="false">
      <c r="A4622" s="0" t="s">
        <v>261</v>
      </c>
      <c r="B4622" s="52" t="n">
        <v>44539</v>
      </c>
      <c r="C4622" s="54" t="s">
        <v>591</v>
      </c>
      <c r="D4622" s="0" t="n">
        <v>0.0852714162562628</v>
      </c>
      <c r="E4622" s="0" t="n">
        <v>0.0904457762018631</v>
      </c>
      <c r="F4622" s="0" t="n">
        <v>0</v>
      </c>
      <c r="G4622" s="0" t="n">
        <v>2021</v>
      </c>
    </row>
    <row r="4623" customFormat="false" ht="15" hidden="false" customHeight="false" outlineLevel="0" collapsed="false">
      <c r="A4623" s="0" t="s">
        <v>261</v>
      </c>
      <c r="B4623" s="52" t="n">
        <v>44539</v>
      </c>
      <c r="C4623" s="54" t="s">
        <v>592</v>
      </c>
      <c r="D4623" s="0" t="n">
        <v>0.140597893620073</v>
      </c>
      <c r="E4623" s="0" t="n">
        <v>0.0303187725638739</v>
      </c>
      <c r="F4623" s="0" t="n">
        <v>0</v>
      </c>
      <c r="G4623" s="0" t="n">
        <v>2021</v>
      </c>
    </row>
    <row r="4624" customFormat="false" ht="15" hidden="false" customHeight="false" outlineLevel="0" collapsed="false">
      <c r="A4624" s="0" t="s">
        <v>261</v>
      </c>
      <c r="B4624" s="52" t="n">
        <v>44540</v>
      </c>
      <c r="C4624" s="54" t="s">
        <v>590</v>
      </c>
      <c r="D4624" s="0" t="n">
        <v>0.493033868197724</v>
      </c>
      <c r="E4624" s="0" t="n">
        <v>0.0270027793051128</v>
      </c>
      <c r="F4624" s="0" t="n">
        <v>0</v>
      </c>
      <c r="G4624" s="0" t="n">
        <v>2021</v>
      </c>
    </row>
    <row r="4625" customFormat="false" ht="15" hidden="false" customHeight="false" outlineLevel="0" collapsed="false">
      <c r="A4625" s="0" t="s">
        <v>261</v>
      </c>
      <c r="B4625" s="52" t="n">
        <v>44540</v>
      </c>
      <c r="C4625" s="54" t="s">
        <v>591</v>
      </c>
      <c r="D4625" s="0" t="n">
        <v>0.0413370584809894</v>
      </c>
      <c r="E4625" s="0" t="n">
        <v>0.128886615716265</v>
      </c>
      <c r="F4625" s="0" t="n">
        <v>0</v>
      </c>
      <c r="G4625" s="0" t="n">
        <v>2021</v>
      </c>
    </row>
    <row r="4626" customFormat="false" ht="15" hidden="false" customHeight="false" outlineLevel="0" collapsed="false">
      <c r="A4626" s="0" t="s">
        <v>261</v>
      </c>
      <c r="B4626" s="52" t="n">
        <v>44540</v>
      </c>
      <c r="C4626" s="54" t="s">
        <v>592</v>
      </c>
      <c r="D4626" s="0" t="n">
        <v>0.369255879112369</v>
      </c>
      <c r="E4626" s="0" t="n">
        <v>0.0829038994100338</v>
      </c>
      <c r="F4626" s="0" t="n">
        <v>0</v>
      </c>
      <c r="G4626" s="0" t="n">
        <v>2021</v>
      </c>
    </row>
    <row r="4627" customFormat="false" ht="15" hidden="false" customHeight="false" outlineLevel="0" collapsed="false">
      <c r="A4627" s="0" t="s">
        <v>261</v>
      </c>
      <c r="B4627" s="52" t="n">
        <v>44541</v>
      </c>
      <c r="C4627" s="54" t="s">
        <v>590</v>
      </c>
      <c r="D4627" s="0" t="n">
        <v>0.642928169511911</v>
      </c>
      <c r="E4627" s="0" t="n">
        <v>0.0756119056746864</v>
      </c>
      <c r="F4627" s="0" t="n">
        <v>1</v>
      </c>
      <c r="G4627" s="0" t="n">
        <v>2021</v>
      </c>
    </row>
    <row r="4628" customFormat="false" ht="15" hidden="false" customHeight="false" outlineLevel="0" collapsed="false">
      <c r="A4628" s="0" t="s">
        <v>261</v>
      </c>
      <c r="B4628" s="52" t="n">
        <v>44541</v>
      </c>
      <c r="C4628" s="54" t="s">
        <v>591</v>
      </c>
      <c r="D4628" s="0" t="n">
        <v>0.0479095297060908</v>
      </c>
      <c r="E4628" s="0" t="n">
        <v>0.074282227746523</v>
      </c>
      <c r="F4628" s="0" t="n">
        <v>1</v>
      </c>
      <c r="G4628" s="0" t="n">
        <v>2021</v>
      </c>
    </row>
    <row r="4629" customFormat="false" ht="15" hidden="false" customHeight="false" outlineLevel="0" collapsed="false">
      <c r="A4629" s="0" t="s">
        <v>261</v>
      </c>
      <c r="B4629" s="52" t="n">
        <v>44541</v>
      </c>
      <c r="C4629" s="54" t="s">
        <v>592</v>
      </c>
      <c r="D4629" s="0" t="n">
        <v>0.293728512008212</v>
      </c>
      <c r="E4629" s="0" t="n">
        <v>0.127475014490973</v>
      </c>
      <c r="F4629" s="0" t="n">
        <v>1</v>
      </c>
      <c r="G4629" s="0" t="n">
        <v>2021</v>
      </c>
    </row>
    <row r="4630" customFormat="false" ht="15" hidden="false" customHeight="false" outlineLevel="0" collapsed="false">
      <c r="A4630" s="0" t="s">
        <v>261</v>
      </c>
      <c r="B4630" s="52" t="n">
        <v>44542</v>
      </c>
      <c r="C4630" s="54" t="s">
        <v>590</v>
      </c>
      <c r="D4630" s="0" t="n">
        <v>1</v>
      </c>
      <c r="E4630" s="0" t="n">
        <v>0</v>
      </c>
      <c r="F4630" s="0" t="n">
        <v>1</v>
      </c>
      <c r="G4630" s="0" t="n">
        <v>2021</v>
      </c>
    </row>
    <row r="4631" customFormat="false" ht="15" hidden="false" customHeight="false" outlineLevel="0" collapsed="false">
      <c r="A4631" s="0" t="s">
        <v>261</v>
      </c>
      <c r="B4631" s="52" t="n">
        <v>44543</v>
      </c>
      <c r="C4631" s="54" t="s">
        <v>590</v>
      </c>
      <c r="D4631" s="0" t="n">
        <v>0.047778688607252</v>
      </c>
      <c r="E4631" s="0" t="n">
        <v>0.112562762866674</v>
      </c>
      <c r="F4631" s="0" t="n">
        <v>0</v>
      </c>
      <c r="G4631" s="0" t="n">
        <v>2021</v>
      </c>
    </row>
    <row r="4632" customFormat="false" ht="15" hidden="false" customHeight="false" outlineLevel="0" collapsed="false">
      <c r="A4632" s="0" t="s">
        <v>261</v>
      </c>
      <c r="B4632" s="52" t="n">
        <v>44543</v>
      </c>
      <c r="C4632" s="54" t="s">
        <v>591</v>
      </c>
      <c r="D4632" s="0" t="n">
        <v>0.0091145493485252</v>
      </c>
      <c r="E4632" s="0" t="n">
        <v>0.236706874403042</v>
      </c>
      <c r="F4632" s="0" t="n">
        <v>0</v>
      </c>
      <c r="G4632" s="0" t="n">
        <v>2021</v>
      </c>
    </row>
    <row r="4633" customFormat="false" ht="15" hidden="false" customHeight="false" outlineLevel="0" collapsed="false">
      <c r="A4633" s="0" t="s">
        <v>261</v>
      </c>
      <c r="B4633" s="52" t="n">
        <v>44543</v>
      </c>
      <c r="C4633" s="54" t="s">
        <v>592</v>
      </c>
      <c r="D4633" s="0" t="n">
        <v>0.0761589210041169</v>
      </c>
      <c r="E4633" s="0" t="n">
        <v>0.173320222346929</v>
      </c>
      <c r="F4633" s="0" t="n">
        <v>0</v>
      </c>
      <c r="G4633" s="0" t="n">
        <v>2021</v>
      </c>
    </row>
    <row r="4634" customFormat="false" ht="15" hidden="false" customHeight="false" outlineLevel="0" collapsed="false">
      <c r="A4634" s="0" t="s">
        <v>261</v>
      </c>
      <c r="B4634" s="52" t="n">
        <v>44544</v>
      </c>
      <c r="C4634" s="54" t="s">
        <v>590</v>
      </c>
      <c r="D4634" s="0" t="n">
        <v>0.917752682371451</v>
      </c>
      <c r="E4634" s="0" t="n">
        <v>0</v>
      </c>
      <c r="F4634" s="0" t="n">
        <v>0</v>
      </c>
      <c r="G4634" s="0" t="n">
        <v>2021</v>
      </c>
    </row>
    <row r="4635" customFormat="false" ht="15" hidden="false" customHeight="false" outlineLevel="0" collapsed="false">
      <c r="A4635" s="0" t="s">
        <v>261</v>
      </c>
      <c r="B4635" s="52" t="n">
        <v>44544</v>
      </c>
      <c r="C4635" s="54" t="s">
        <v>591</v>
      </c>
      <c r="D4635" s="0" t="n">
        <v>0.0944009288428585</v>
      </c>
      <c r="E4635" s="0" t="n">
        <v>0.0681183528263185</v>
      </c>
      <c r="F4635" s="0" t="n">
        <v>0</v>
      </c>
      <c r="G4635" s="0" t="n">
        <v>2021</v>
      </c>
    </row>
    <row r="4636" customFormat="false" ht="15" hidden="false" customHeight="false" outlineLevel="0" collapsed="false">
      <c r="A4636" s="0" t="s">
        <v>261</v>
      </c>
      <c r="B4636" s="52" t="n">
        <v>44544</v>
      </c>
      <c r="C4636" s="54" t="s">
        <v>592</v>
      </c>
      <c r="D4636" s="0" t="n">
        <v>0.0543464153900995</v>
      </c>
      <c r="E4636" s="0" t="n">
        <v>0.0753941097860721</v>
      </c>
      <c r="F4636" s="0" t="n">
        <v>0</v>
      </c>
      <c r="G4636" s="0" t="n">
        <v>2021</v>
      </c>
    </row>
    <row r="4637" customFormat="false" ht="15" hidden="false" customHeight="false" outlineLevel="0" collapsed="false">
      <c r="A4637" s="0" t="s">
        <v>261</v>
      </c>
      <c r="B4637" s="52" t="n">
        <v>44545</v>
      </c>
      <c r="C4637" s="54" t="s">
        <v>590</v>
      </c>
      <c r="D4637" s="0" t="n">
        <v>0.612264046563188</v>
      </c>
      <c r="E4637" s="0" t="n">
        <v>0.0199118381197531</v>
      </c>
      <c r="F4637" s="0" t="n">
        <v>0</v>
      </c>
      <c r="G4637" s="0" t="n">
        <v>2021</v>
      </c>
    </row>
    <row r="4638" customFormat="false" ht="15" hidden="false" customHeight="false" outlineLevel="0" collapsed="false">
      <c r="A4638" s="0" t="s">
        <v>261</v>
      </c>
      <c r="B4638" s="52" t="n">
        <v>44545</v>
      </c>
      <c r="C4638" s="54" t="s">
        <v>591</v>
      </c>
      <c r="D4638" s="0" t="n">
        <v>0.0581856913672598</v>
      </c>
      <c r="E4638" s="0" t="n">
        <v>0.139600042383436</v>
      </c>
      <c r="F4638" s="0" t="n">
        <v>0</v>
      </c>
      <c r="G4638" s="0" t="n">
        <v>2021</v>
      </c>
    </row>
    <row r="4639" customFormat="false" ht="15" hidden="false" customHeight="false" outlineLevel="0" collapsed="false">
      <c r="A4639" s="0" t="s">
        <v>261</v>
      </c>
      <c r="B4639" s="52" t="n">
        <v>44545</v>
      </c>
      <c r="C4639" s="54" t="s">
        <v>592</v>
      </c>
      <c r="D4639" s="0" t="n">
        <v>0.0184713534670169</v>
      </c>
      <c r="E4639" s="0" t="n">
        <v>0.11408541438897</v>
      </c>
      <c r="F4639" s="0" t="n">
        <v>0</v>
      </c>
      <c r="G4639" s="0" t="n">
        <v>2021</v>
      </c>
    </row>
    <row r="4640" customFormat="false" ht="15" hidden="false" customHeight="false" outlineLevel="0" collapsed="false">
      <c r="A4640" s="0" t="s">
        <v>261</v>
      </c>
      <c r="B4640" s="52" t="n">
        <v>44546</v>
      </c>
      <c r="C4640" s="54" t="s">
        <v>590</v>
      </c>
      <c r="D4640" s="0" t="n">
        <v>0.598605094024737</v>
      </c>
      <c r="E4640" s="0" t="n">
        <v>0.0135116458460561</v>
      </c>
      <c r="F4640" s="0" t="n">
        <v>0</v>
      </c>
      <c r="G4640" s="0" t="n">
        <v>2021</v>
      </c>
    </row>
    <row r="4641" customFormat="false" ht="15" hidden="false" customHeight="false" outlineLevel="0" collapsed="false">
      <c r="A4641" s="0" t="s">
        <v>261</v>
      </c>
      <c r="B4641" s="52" t="n">
        <v>44546</v>
      </c>
      <c r="C4641" s="54" t="s">
        <v>591</v>
      </c>
      <c r="D4641" s="0" t="n">
        <v>0.0913557681713468</v>
      </c>
      <c r="E4641" s="0" t="n">
        <v>0.309360240130556</v>
      </c>
      <c r="F4641" s="0" t="n">
        <v>0</v>
      </c>
      <c r="G4641" s="0" t="n">
        <v>2021</v>
      </c>
    </row>
    <row r="4642" customFormat="false" ht="15" hidden="false" customHeight="false" outlineLevel="0" collapsed="false">
      <c r="A4642" s="0" t="s">
        <v>261</v>
      </c>
      <c r="B4642" s="52" t="n">
        <v>44546</v>
      </c>
      <c r="C4642" s="54" t="s">
        <v>592</v>
      </c>
      <c r="D4642" s="0" t="n">
        <v>0.125316699602929</v>
      </c>
      <c r="E4642" s="0" t="n">
        <v>0.110281561140151</v>
      </c>
      <c r="F4642" s="0" t="n">
        <v>0</v>
      </c>
      <c r="G4642" s="0" t="n">
        <v>2021</v>
      </c>
    </row>
    <row r="4643" customFormat="false" ht="15" hidden="false" customHeight="false" outlineLevel="0" collapsed="false">
      <c r="A4643" s="0" t="s">
        <v>261</v>
      </c>
      <c r="B4643" s="52" t="n">
        <v>44547</v>
      </c>
      <c r="C4643" s="54" t="s">
        <v>590</v>
      </c>
      <c r="D4643" s="0" t="n">
        <v>0.208938107216937</v>
      </c>
      <c r="E4643" s="0" t="n">
        <v>0</v>
      </c>
      <c r="F4643" s="0" t="n">
        <v>0</v>
      </c>
      <c r="G4643" s="0" t="n">
        <v>2021</v>
      </c>
    </row>
    <row r="4644" customFormat="false" ht="15" hidden="false" customHeight="false" outlineLevel="0" collapsed="false">
      <c r="A4644" s="0" t="s">
        <v>261</v>
      </c>
      <c r="B4644" s="52" t="n">
        <v>44547</v>
      </c>
      <c r="C4644" s="54" t="s">
        <v>591</v>
      </c>
      <c r="D4644" s="0" t="n">
        <v>0.0076496238876048</v>
      </c>
      <c r="E4644" s="0" t="n">
        <v>0.080654125097346</v>
      </c>
      <c r="F4644" s="0" t="n">
        <v>0</v>
      </c>
      <c r="G4644" s="0" t="n">
        <v>2021</v>
      </c>
    </row>
    <row r="4645" customFormat="false" ht="15" hidden="false" customHeight="false" outlineLevel="0" collapsed="false">
      <c r="A4645" s="0" t="s">
        <v>261</v>
      </c>
      <c r="B4645" s="52" t="n">
        <v>44547</v>
      </c>
      <c r="C4645" s="54" t="s">
        <v>592</v>
      </c>
      <c r="D4645" s="0" t="n">
        <v>0.0446616697689531</v>
      </c>
      <c r="E4645" s="0" t="n">
        <v>0.0846737603434094</v>
      </c>
      <c r="F4645" s="0" t="n">
        <v>0</v>
      </c>
      <c r="G4645" s="0" t="n">
        <v>2021</v>
      </c>
    </row>
    <row r="4646" customFormat="false" ht="15" hidden="false" customHeight="false" outlineLevel="0" collapsed="false">
      <c r="A4646" s="0" t="s">
        <v>261</v>
      </c>
      <c r="B4646" s="52" t="n">
        <v>44548</v>
      </c>
      <c r="C4646" s="54" t="s">
        <v>590</v>
      </c>
      <c r="D4646" s="0" t="n">
        <v>0.255937997223822</v>
      </c>
      <c r="E4646" s="0" t="n">
        <v>0.0154950027753647</v>
      </c>
      <c r="F4646" s="0" t="n">
        <v>1</v>
      </c>
      <c r="G4646" s="0" t="n">
        <v>2021</v>
      </c>
    </row>
    <row r="4647" customFormat="false" ht="15" hidden="false" customHeight="false" outlineLevel="0" collapsed="false">
      <c r="A4647" s="0" t="s">
        <v>261</v>
      </c>
      <c r="B4647" s="52" t="n">
        <v>44548</v>
      </c>
      <c r="C4647" s="54" t="s">
        <v>591</v>
      </c>
      <c r="D4647" s="0" t="n">
        <v>0.0777595426995289</v>
      </c>
      <c r="E4647" s="0" t="n">
        <v>0.0490564870069933</v>
      </c>
      <c r="F4647" s="0" t="n">
        <v>1</v>
      </c>
      <c r="G4647" s="0" t="n">
        <v>2021</v>
      </c>
    </row>
    <row r="4648" customFormat="false" ht="15" hidden="false" customHeight="false" outlineLevel="0" collapsed="false">
      <c r="A4648" s="0" t="s">
        <v>261</v>
      </c>
      <c r="B4648" s="52" t="n">
        <v>44548</v>
      </c>
      <c r="C4648" s="54" t="s">
        <v>592</v>
      </c>
      <c r="D4648" s="0" t="n">
        <v>0.0153348967503615</v>
      </c>
      <c r="E4648" s="0" t="n">
        <v>0.0373945356527734</v>
      </c>
      <c r="F4648" s="0" t="n">
        <v>1</v>
      </c>
      <c r="G4648" s="0" t="n">
        <v>2021</v>
      </c>
    </row>
    <row r="4649" customFormat="false" ht="15" hidden="false" customHeight="false" outlineLevel="0" collapsed="false">
      <c r="A4649" s="0" t="s">
        <v>261</v>
      </c>
      <c r="B4649" s="52" t="n">
        <v>44549</v>
      </c>
      <c r="C4649" s="54" t="s">
        <v>590</v>
      </c>
      <c r="D4649" s="0" t="n">
        <v>1</v>
      </c>
      <c r="E4649" s="0" t="n">
        <v>0</v>
      </c>
      <c r="F4649" s="0" t="n">
        <v>1</v>
      </c>
      <c r="G4649" s="0" t="n">
        <v>2021</v>
      </c>
    </row>
    <row r="4650" customFormat="false" ht="15" hidden="false" customHeight="false" outlineLevel="0" collapsed="false">
      <c r="A4650" s="0" t="s">
        <v>261</v>
      </c>
      <c r="B4650" s="52" t="n">
        <v>44550</v>
      </c>
      <c r="C4650" s="54" t="s">
        <v>590</v>
      </c>
      <c r="D4650" s="0" t="n">
        <v>0.101924500895419</v>
      </c>
      <c r="E4650" s="0" t="n">
        <v>0.0909615880503516</v>
      </c>
      <c r="F4650" s="0" t="n">
        <v>0</v>
      </c>
      <c r="G4650" s="0" t="n">
        <v>2021</v>
      </c>
    </row>
    <row r="4651" customFormat="false" ht="15" hidden="false" customHeight="false" outlineLevel="0" collapsed="false">
      <c r="A4651" s="0" t="s">
        <v>261</v>
      </c>
      <c r="B4651" s="52" t="n">
        <v>44550</v>
      </c>
      <c r="C4651" s="54" t="s">
        <v>591</v>
      </c>
      <c r="D4651" s="0" t="n">
        <v>0.0170422399017517</v>
      </c>
      <c r="E4651" s="0" t="n">
        <v>0.0887418339947931</v>
      </c>
      <c r="F4651" s="0" t="n">
        <v>0</v>
      </c>
      <c r="G4651" s="0" t="n">
        <v>2021</v>
      </c>
    </row>
    <row r="4652" customFormat="false" ht="15" hidden="false" customHeight="false" outlineLevel="0" collapsed="false">
      <c r="A4652" s="0" t="s">
        <v>261</v>
      </c>
      <c r="B4652" s="52" t="n">
        <v>44550</v>
      </c>
      <c r="C4652" s="54" t="s">
        <v>592</v>
      </c>
      <c r="D4652" s="0" t="n">
        <v>0.103286653774448</v>
      </c>
      <c r="E4652" s="0" t="n">
        <v>0.0610886215993963</v>
      </c>
      <c r="F4652" s="0" t="n">
        <v>0</v>
      </c>
      <c r="G4652" s="0" t="n">
        <v>2021</v>
      </c>
    </row>
    <row r="4653" customFormat="false" ht="15" hidden="false" customHeight="false" outlineLevel="0" collapsed="false">
      <c r="A4653" s="0" t="s">
        <v>261</v>
      </c>
      <c r="B4653" s="52" t="n">
        <v>44551</v>
      </c>
      <c r="C4653" s="54" t="s">
        <v>590</v>
      </c>
      <c r="D4653" s="0" t="n">
        <v>0.0581876034073378</v>
      </c>
      <c r="E4653" s="0" t="n">
        <v>0.0095070846069414</v>
      </c>
      <c r="F4653" s="0" t="n">
        <v>0</v>
      </c>
      <c r="G4653" s="0" t="n">
        <v>2021</v>
      </c>
    </row>
    <row r="4654" customFormat="false" ht="15" hidden="false" customHeight="false" outlineLevel="0" collapsed="false">
      <c r="A4654" s="0" t="s">
        <v>261</v>
      </c>
      <c r="B4654" s="52" t="n">
        <v>44551</v>
      </c>
      <c r="C4654" s="54" t="s">
        <v>591</v>
      </c>
      <c r="D4654" s="0" t="n">
        <v>0.35402922114638</v>
      </c>
      <c r="E4654" s="0" t="n">
        <v>0.0122318418435896</v>
      </c>
      <c r="F4654" s="0" t="n">
        <v>0</v>
      </c>
      <c r="G4654" s="0" t="n">
        <v>2021</v>
      </c>
    </row>
    <row r="4655" customFormat="false" ht="15" hidden="false" customHeight="false" outlineLevel="0" collapsed="false">
      <c r="A4655" s="0" t="s">
        <v>261</v>
      </c>
      <c r="B4655" s="52" t="n">
        <v>44551</v>
      </c>
      <c r="C4655" s="54" t="s">
        <v>592</v>
      </c>
      <c r="D4655" s="0" t="n">
        <v>0.972268951336869</v>
      </c>
      <c r="E4655" s="0" t="n">
        <v>0</v>
      </c>
      <c r="F4655" s="0" t="n">
        <v>0</v>
      </c>
      <c r="G4655" s="0" t="n">
        <v>2021</v>
      </c>
    </row>
    <row r="4656" customFormat="false" ht="15" hidden="false" customHeight="false" outlineLevel="0" collapsed="false">
      <c r="A4656" s="0" t="s">
        <v>261</v>
      </c>
      <c r="B4656" s="52" t="n">
        <v>44552</v>
      </c>
      <c r="C4656" s="54" t="s">
        <v>590</v>
      </c>
      <c r="D4656" s="0" t="n">
        <v>0.0740490578108422</v>
      </c>
      <c r="E4656" s="0" t="n">
        <v>0.006507566929497</v>
      </c>
      <c r="F4656" s="0" t="n">
        <v>0</v>
      </c>
      <c r="G4656" s="0" t="n">
        <v>2021</v>
      </c>
    </row>
    <row r="4657" customFormat="false" ht="15" hidden="false" customHeight="false" outlineLevel="0" collapsed="false">
      <c r="A4657" s="0" t="s">
        <v>261</v>
      </c>
      <c r="B4657" s="52" t="n">
        <v>44552</v>
      </c>
      <c r="C4657" s="54" t="s">
        <v>591</v>
      </c>
      <c r="D4657" s="0" t="n">
        <v>0.0491284500690828</v>
      </c>
      <c r="E4657" s="0" t="n">
        <v>0.0407828900667126</v>
      </c>
      <c r="F4657" s="0" t="n">
        <v>0</v>
      </c>
      <c r="G4657" s="0" t="n">
        <v>2021</v>
      </c>
    </row>
    <row r="4658" customFormat="false" ht="15" hidden="false" customHeight="false" outlineLevel="0" collapsed="false">
      <c r="A4658" s="0" t="s">
        <v>261</v>
      </c>
      <c r="B4658" s="52" t="n">
        <v>44552</v>
      </c>
      <c r="C4658" s="54" t="s">
        <v>592</v>
      </c>
      <c r="D4658" s="0" t="n">
        <v>0.0490938074107756</v>
      </c>
      <c r="E4658" s="0" t="n">
        <v>0.112738801143406</v>
      </c>
      <c r="F4658" s="0" t="n">
        <v>0</v>
      </c>
      <c r="G4658" s="0" t="n">
        <v>2021</v>
      </c>
    </row>
    <row r="4659" customFormat="false" ht="15" hidden="false" customHeight="false" outlineLevel="0" collapsed="false">
      <c r="A4659" s="0" t="s">
        <v>261</v>
      </c>
      <c r="B4659" s="52" t="n">
        <v>44553</v>
      </c>
      <c r="C4659" s="54" t="s">
        <v>590</v>
      </c>
      <c r="D4659" s="0" t="n">
        <v>0.783358825548208</v>
      </c>
      <c r="E4659" s="0" t="n">
        <v>0</v>
      </c>
      <c r="F4659" s="0" t="n">
        <v>0</v>
      </c>
      <c r="G4659" s="0" t="n">
        <v>2021</v>
      </c>
    </row>
    <row r="4660" customFormat="false" ht="15" hidden="false" customHeight="false" outlineLevel="0" collapsed="false">
      <c r="A4660" s="0" t="s">
        <v>261</v>
      </c>
      <c r="B4660" s="52" t="n">
        <v>44553</v>
      </c>
      <c r="C4660" s="54" t="s">
        <v>591</v>
      </c>
      <c r="D4660" s="0" t="n">
        <v>0.0746194298611278</v>
      </c>
      <c r="E4660" s="0" t="n">
        <v>0.103222240428896</v>
      </c>
      <c r="F4660" s="0" t="n">
        <v>0</v>
      </c>
      <c r="G4660" s="0" t="n">
        <v>2021</v>
      </c>
    </row>
    <row r="4661" customFormat="false" ht="15" hidden="false" customHeight="false" outlineLevel="0" collapsed="false">
      <c r="A4661" s="0" t="s">
        <v>261</v>
      </c>
      <c r="B4661" s="52" t="n">
        <v>44553</v>
      </c>
      <c r="C4661" s="54" t="s">
        <v>592</v>
      </c>
      <c r="D4661" s="0" t="n">
        <v>0.183369169723488</v>
      </c>
      <c r="E4661" s="0" t="n">
        <v>0.0661256505368328</v>
      </c>
      <c r="F4661" s="0" t="n">
        <v>0</v>
      </c>
      <c r="G4661" s="0" t="n">
        <v>2021</v>
      </c>
    </row>
    <row r="4662" customFormat="false" ht="15" hidden="false" customHeight="false" outlineLevel="0" collapsed="false">
      <c r="A4662" s="0" t="s">
        <v>261</v>
      </c>
      <c r="B4662" s="52" t="n">
        <v>44554</v>
      </c>
      <c r="C4662" s="54" t="s">
        <v>590</v>
      </c>
      <c r="D4662" s="0" t="n">
        <v>0.707905958910126</v>
      </c>
      <c r="E4662" s="0" t="n">
        <v>0.0215815183886428</v>
      </c>
      <c r="F4662" s="0" t="n">
        <v>0</v>
      </c>
      <c r="G4662" s="0" t="n">
        <v>2021</v>
      </c>
    </row>
    <row r="4663" customFormat="false" ht="15" hidden="false" customHeight="false" outlineLevel="0" collapsed="false">
      <c r="A4663" s="0" t="s">
        <v>261</v>
      </c>
      <c r="B4663" s="52" t="n">
        <v>44554</v>
      </c>
      <c r="C4663" s="54" t="s">
        <v>591</v>
      </c>
      <c r="D4663" s="0" t="n">
        <v>0.0255804635368842</v>
      </c>
      <c r="E4663" s="0" t="n">
        <v>0.037290175617299</v>
      </c>
      <c r="F4663" s="0" t="n">
        <v>0</v>
      </c>
      <c r="G4663" s="0" t="n">
        <v>2021</v>
      </c>
    </row>
    <row r="4664" customFormat="false" ht="15" hidden="false" customHeight="false" outlineLevel="0" collapsed="false">
      <c r="A4664" s="0" t="s">
        <v>261</v>
      </c>
      <c r="B4664" s="52" t="n">
        <v>44554</v>
      </c>
      <c r="C4664" s="54" t="s">
        <v>592</v>
      </c>
      <c r="D4664" s="0" t="n">
        <v>0.406012897399104</v>
      </c>
      <c r="E4664" s="0" t="n">
        <v>0.0485541919330511</v>
      </c>
      <c r="F4664" s="0" t="n">
        <v>0</v>
      </c>
      <c r="G4664" s="0" t="n">
        <v>2021</v>
      </c>
    </row>
    <row r="4665" customFormat="false" ht="15" hidden="false" customHeight="false" outlineLevel="0" collapsed="false">
      <c r="A4665" s="0" t="s">
        <v>261</v>
      </c>
      <c r="B4665" s="52" t="n">
        <v>44555</v>
      </c>
      <c r="C4665" s="54" t="s">
        <v>590</v>
      </c>
      <c r="D4665" s="0" t="n">
        <v>0.304023758506774</v>
      </c>
      <c r="E4665" s="0" t="n">
        <v>0.0432654403691468</v>
      </c>
      <c r="F4665" s="0" t="n">
        <v>1</v>
      </c>
      <c r="G4665" s="0" t="n">
        <v>2021</v>
      </c>
    </row>
    <row r="4666" customFormat="false" ht="15" hidden="false" customHeight="false" outlineLevel="0" collapsed="false">
      <c r="A4666" s="0" t="s">
        <v>261</v>
      </c>
      <c r="B4666" s="52" t="n">
        <v>44555</v>
      </c>
      <c r="C4666" s="54" t="s">
        <v>591</v>
      </c>
      <c r="D4666" s="0" t="n">
        <v>0.953982786818563</v>
      </c>
      <c r="E4666" s="0" t="n">
        <v>0.0026997300637852</v>
      </c>
      <c r="F4666" s="0" t="n">
        <v>1</v>
      </c>
      <c r="G4666" s="0" t="n">
        <v>2021</v>
      </c>
    </row>
    <row r="4667" customFormat="false" ht="15" hidden="false" customHeight="false" outlineLevel="0" collapsed="false">
      <c r="A4667" s="0" t="s">
        <v>261</v>
      </c>
      <c r="B4667" s="52" t="n">
        <v>44555</v>
      </c>
      <c r="C4667" s="54" t="s">
        <v>592</v>
      </c>
      <c r="D4667" s="0" t="n">
        <v>0.218940546694545</v>
      </c>
      <c r="E4667" s="0" t="n">
        <v>0.255313382984184</v>
      </c>
      <c r="F4667" s="0" t="n">
        <v>1</v>
      </c>
      <c r="G4667" s="0" t="n">
        <v>2021</v>
      </c>
    </row>
    <row r="4668" customFormat="false" ht="15" hidden="false" customHeight="false" outlineLevel="0" collapsed="false">
      <c r="A4668" s="0" t="s">
        <v>261</v>
      </c>
      <c r="B4668" s="52" t="n">
        <v>44556</v>
      </c>
      <c r="C4668" s="54" t="s">
        <v>590</v>
      </c>
      <c r="D4668" s="0" t="n">
        <v>0.999867038872928</v>
      </c>
      <c r="E4668" s="0" t="n">
        <v>0</v>
      </c>
      <c r="F4668" s="0" t="n">
        <v>1</v>
      </c>
      <c r="G4668" s="0" t="n">
        <v>2021</v>
      </c>
    </row>
    <row r="4669" customFormat="false" ht="15" hidden="false" customHeight="false" outlineLevel="0" collapsed="false">
      <c r="A4669" s="0" t="s">
        <v>261</v>
      </c>
      <c r="B4669" s="52" t="n">
        <v>44557</v>
      </c>
      <c r="C4669" s="54" t="s">
        <v>590</v>
      </c>
      <c r="D4669" s="0" t="n">
        <v>0.0941656337570393</v>
      </c>
      <c r="E4669" s="0" t="n">
        <v>0.0149343730258992</v>
      </c>
      <c r="F4669" s="0" t="n">
        <v>0</v>
      </c>
      <c r="G4669" s="0" t="n">
        <v>2021</v>
      </c>
    </row>
    <row r="4670" customFormat="false" ht="15" hidden="false" customHeight="false" outlineLevel="0" collapsed="false">
      <c r="A4670" s="0" t="s">
        <v>261</v>
      </c>
      <c r="B4670" s="52" t="n">
        <v>44557</v>
      </c>
      <c r="C4670" s="54" t="s">
        <v>591</v>
      </c>
      <c r="D4670" s="0" t="n">
        <v>0.0102835473581951</v>
      </c>
      <c r="E4670" s="0" t="n">
        <v>0.0700122061915805</v>
      </c>
      <c r="F4670" s="0" t="n">
        <v>0</v>
      </c>
      <c r="G4670" s="0" t="n">
        <v>2021</v>
      </c>
    </row>
    <row r="4671" customFormat="false" ht="15" hidden="false" customHeight="false" outlineLevel="0" collapsed="false">
      <c r="A4671" s="0" t="s">
        <v>261</v>
      </c>
      <c r="B4671" s="52" t="n">
        <v>44557</v>
      </c>
      <c r="C4671" s="54" t="s">
        <v>592</v>
      </c>
      <c r="D4671" s="0" t="n">
        <v>0.053496818502068</v>
      </c>
      <c r="E4671" s="0" t="n">
        <v>0.086127061914726</v>
      </c>
      <c r="F4671" s="0" t="n">
        <v>0</v>
      </c>
      <c r="G4671" s="0" t="n">
        <v>2021</v>
      </c>
    </row>
    <row r="4672" customFormat="false" ht="15" hidden="false" customHeight="false" outlineLevel="0" collapsed="false">
      <c r="A4672" s="0" t="s">
        <v>261</v>
      </c>
      <c r="B4672" s="52" t="n">
        <v>44558</v>
      </c>
      <c r="C4672" s="54" t="s">
        <v>590</v>
      </c>
      <c r="D4672" s="0" t="n">
        <v>0.127673892297205</v>
      </c>
      <c r="E4672" s="0" t="n">
        <v>0</v>
      </c>
      <c r="F4672" s="0" t="n">
        <v>0</v>
      </c>
      <c r="G4672" s="0" t="n">
        <v>2021</v>
      </c>
    </row>
    <row r="4673" customFormat="false" ht="15" hidden="false" customHeight="false" outlineLevel="0" collapsed="false">
      <c r="A4673" s="0" t="s">
        <v>261</v>
      </c>
      <c r="B4673" s="52" t="n">
        <v>44558</v>
      </c>
      <c r="C4673" s="54" t="s">
        <v>591</v>
      </c>
      <c r="D4673" s="0" t="n">
        <v>0.0134105142085696</v>
      </c>
      <c r="E4673" s="0" t="n">
        <v>0.0202382022562666</v>
      </c>
      <c r="F4673" s="0" t="n">
        <v>0</v>
      </c>
      <c r="G4673" s="0" t="n">
        <v>2021</v>
      </c>
    </row>
    <row r="4674" customFormat="false" ht="15" hidden="false" customHeight="false" outlineLevel="0" collapsed="false">
      <c r="A4674" s="0" t="s">
        <v>261</v>
      </c>
      <c r="B4674" s="52" t="n">
        <v>44558</v>
      </c>
      <c r="C4674" s="54" t="s">
        <v>592</v>
      </c>
      <c r="D4674" s="0" t="n">
        <v>0.0461448142684301</v>
      </c>
      <c r="E4674" s="0" t="n">
        <v>0.0395542950942854</v>
      </c>
      <c r="F4674" s="0" t="n">
        <v>0</v>
      </c>
      <c r="G4674" s="0" t="n">
        <v>2021</v>
      </c>
    </row>
    <row r="4675" customFormat="false" ht="15" hidden="false" customHeight="false" outlineLevel="0" collapsed="false">
      <c r="A4675" s="0" t="s">
        <v>261</v>
      </c>
      <c r="B4675" s="52" t="n">
        <v>44559</v>
      </c>
      <c r="C4675" s="54" t="s">
        <v>590</v>
      </c>
      <c r="D4675" s="0" t="n">
        <v>0.437447634140386</v>
      </c>
      <c r="E4675" s="0" t="n">
        <v>0.0289154551700364</v>
      </c>
      <c r="F4675" s="0" t="n">
        <v>0</v>
      </c>
      <c r="G4675" s="0" t="n">
        <v>2021</v>
      </c>
    </row>
    <row r="4676" customFormat="false" ht="15" hidden="false" customHeight="false" outlineLevel="0" collapsed="false">
      <c r="A4676" s="0" t="s">
        <v>261</v>
      </c>
      <c r="B4676" s="52" t="n">
        <v>44559</v>
      </c>
      <c r="C4676" s="54" t="s">
        <v>591</v>
      </c>
      <c r="D4676" s="0" t="n">
        <v>0.010781442967611</v>
      </c>
      <c r="E4676" s="0" t="n">
        <v>0.0701483419151934</v>
      </c>
      <c r="F4676" s="0" t="n">
        <v>0</v>
      </c>
      <c r="G4676" s="0" t="n">
        <v>2021</v>
      </c>
    </row>
    <row r="4677" customFormat="false" ht="15" hidden="false" customHeight="false" outlineLevel="0" collapsed="false">
      <c r="A4677" s="0" t="s">
        <v>261</v>
      </c>
      <c r="B4677" s="52" t="n">
        <v>44559</v>
      </c>
      <c r="C4677" s="54" t="s">
        <v>592</v>
      </c>
      <c r="D4677" s="0" t="n">
        <v>0.207738739763308</v>
      </c>
      <c r="E4677" s="0" t="n">
        <v>0.0434286248573935</v>
      </c>
      <c r="F4677" s="0" t="n">
        <v>0</v>
      </c>
      <c r="G4677" s="0" t="n">
        <v>2021</v>
      </c>
    </row>
    <row r="4678" customFormat="false" ht="15" hidden="false" customHeight="false" outlineLevel="0" collapsed="false">
      <c r="A4678" s="0" t="s">
        <v>261</v>
      </c>
      <c r="B4678" s="52" t="n">
        <v>44560</v>
      </c>
      <c r="C4678" s="54" t="s">
        <v>590</v>
      </c>
      <c r="D4678" s="0" t="n">
        <v>0.189117891469841</v>
      </c>
      <c r="E4678" s="0" t="n">
        <v>0.0437995473163883</v>
      </c>
      <c r="F4678" s="0" t="n">
        <v>0</v>
      </c>
      <c r="G4678" s="0" t="n">
        <v>2021</v>
      </c>
    </row>
    <row r="4679" customFormat="false" ht="15" hidden="false" customHeight="false" outlineLevel="0" collapsed="false">
      <c r="A4679" s="0" t="s">
        <v>261</v>
      </c>
      <c r="B4679" s="52" t="n">
        <v>44560</v>
      </c>
      <c r="C4679" s="54" t="s">
        <v>591</v>
      </c>
      <c r="D4679" s="0" t="n">
        <v>0.0243010993841724</v>
      </c>
      <c r="E4679" s="0" t="n">
        <v>0.0615623295777292</v>
      </c>
      <c r="F4679" s="0" t="n">
        <v>0</v>
      </c>
      <c r="G4679" s="0" t="n">
        <v>2021</v>
      </c>
    </row>
    <row r="4680" customFormat="false" ht="15" hidden="false" customHeight="false" outlineLevel="0" collapsed="false">
      <c r="A4680" s="0" t="s">
        <v>261</v>
      </c>
      <c r="B4680" s="52" t="n">
        <v>44560</v>
      </c>
      <c r="C4680" s="54" t="s">
        <v>592</v>
      </c>
      <c r="D4680" s="0" t="n">
        <v>0.328099972996494</v>
      </c>
      <c r="E4680" s="0" t="n">
        <v>0.0398374213534671</v>
      </c>
      <c r="F4680" s="0" t="n">
        <v>0</v>
      </c>
      <c r="G4680" s="0" t="n">
        <v>2021</v>
      </c>
    </row>
    <row r="4681" customFormat="false" ht="15" hidden="false" customHeight="false" outlineLevel="0" collapsed="false">
      <c r="A4681" s="0" t="s">
        <v>261</v>
      </c>
      <c r="B4681" s="52" t="n">
        <v>44561</v>
      </c>
      <c r="C4681" s="54" t="s">
        <v>590</v>
      </c>
      <c r="D4681" s="0" t="n">
        <v>0.588629210181059</v>
      </c>
      <c r="E4681" s="0" t="n">
        <v>0.0923057194138521</v>
      </c>
      <c r="F4681" s="0" t="n">
        <v>0</v>
      </c>
      <c r="G4681" s="0" t="n">
        <v>2021</v>
      </c>
    </row>
    <row r="4682" customFormat="false" ht="15" hidden="false" customHeight="false" outlineLevel="0" collapsed="false">
      <c r="A4682" s="0" t="s">
        <v>261</v>
      </c>
      <c r="B4682" s="52" t="n">
        <v>44561</v>
      </c>
      <c r="C4682" s="54" t="s">
        <v>591</v>
      </c>
      <c r="D4682" s="0" t="n">
        <v>0.0994791610322417</v>
      </c>
      <c r="E4682" s="0" t="n">
        <v>0.125740088617653</v>
      </c>
      <c r="F4682" s="0" t="n">
        <v>0</v>
      </c>
      <c r="G4682" s="0" t="n">
        <v>2021</v>
      </c>
    </row>
    <row r="4683" customFormat="false" ht="15" hidden="false" customHeight="false" outlineLevel="0" collapsed="false">
      <c r="A4683" s="0" t="s">
        <v>261</v>
      </c>
      <c r="B4683" s="52" t="n">
        <v>44561</v>
      </c>
      <c r="C4683" s="54" t="s">
        <v>592</v>
      </c>
      <c r="D4683" s="0" t="n">
        <v>0.270672936845522</v>
      </c>
      <c r="E4683" s="0" t="n">
        <v>0.041196959278726</v>
      </c>
      <c r="F4683" s="0" t="n">
        <v>0</v>
      </c>
      <c r="G4683" s="0" t="n">
        <v>2021</v>
      </c>
    </row>
    <row r="4684" customFormat="false" ht="15" hidden="false" customHeight="false" outlineLevel="0" collapsed="false">
      <c r="A4684" s="0" t="s">
        <v>261</v>
      </c>
      <c r="B4684" s="52" t="n">
        <v>44562</v>
      </c>
      <c r="C4684" s="54" t="s">
        <v>590</v>
      </c>
      <c r="D4684" s="0" t="n">
        <v>0.0532000425331065</v>
      </c>
      <c r="E4684" s="0" t="n">
        <v>0</v>
      </c>
      <c r="F4684" s="0" t="n">
        <v>1</v>
      </c>
      <c r="G4684" s="0" t="n">
        <v>2022</v>
      </c>
    </row>
    <row r="4685" customFormat="false" ht="15" hidden="false" customHeight="false" outlineLevel="0" collapsed="false">
      <c r="A4685" s="0" t="s">
        <v>261</v>
      </c>
      <c r="B4685" s="52" t="n">
        <v>44562</v>
      </c>
      <c r="C4685" s="54" t="s">
        <v>591</v>
      </c>
      <c r="D4685" s="0" t="n">
        <v>0.0212824418796211</v>
      </c>
      <c r="E4685" s="0" t="n">
        <v>0.165554083446243</v>
      </c>
      <c r="F4685" s="0" t="n">
        <v>1</v>
      </c>
      <c r="G4685" s="0" t="n">
        <v>2022</v>
      </c>
    </row>
    <row r="4686" customFormat="false" ht="15" hidden="false" customHeight="false" outlineLevel="0" collapsed="false">
      <c r="A4686" s="0" t="s">
        <v>261</v>
      </c>
      <c r="B4686" s="52" t="n">
        <v>44562</v>
      </c>
      <c r="C4686" s="54" t="s">
        <v>592</v>
      </c>
      <c r="D4686" s="0" t="n">
        <v>0.0546937259311648</v>
      </c>
      <c r="E4686" s="0" t="n">
        <v>0.0931713161897459</v>
      </c>
      <c r="F4686" s="0" t="n">
        <v>1</v>
      </c>
      <c r="G4686" s="0" t="n">
        <v>2022</v>
      </c>
    </row>
    <row r="4687" customFormat="false" ht="15" hidden="false" customHeight="false" outlineLevel="0" collapsed="false">
      <c r="A4687" s="0" t="s">
        <v>262</v>
      </c>
      <c r="B4687" s="52" t="n">
        <v>43841</v>
      </c>
      <c r="C4687" s="54" t="s">
        <v>592</v>
      </c>
      <c r="D4687" s="0" t="n">
        <v>0.99320610269514</v>
      </c>
      <c r="E4687" s="0" t="n">
        <v>0</v>
      </c>
      <c r="F4687" s="0" t="n">
        <v>1</v>
      </c>
      <c r="G4687" s="0" t="n">
        <v>2020</v>
      </c>
    </row>
    <row r="4688" customFormat="false" ht="15" hidden="false" customHeight="false" outlineLevel="0" collapsed="false">
      <c r="A4688" s="0" t="s">
        <v>262</v>
      </c>
      <c r="B4688" s="52" t="n">
        <v>43850</v>
      </c>
      <c r="C4688" s="54" t="s">
        <v>590</v>
      </c>
      <c r="D4688" s="0" t="n">
        <v>0.0266969395420625</v>
      </c>
      <c r="E4688" s="0" t="n">
        <v>0.224356106993607</v>
      </c>
      <c r="F4688" s="0" t="n">
        <v>0</v>
      </c>
      <c r="G4688" s="0" t="n">
        <v>2020</v>
      </c>
    </row>
    <row r="4689" customFormat="false" ht="15" hidden="false" customHeight="false" outlineLevel="0" collapsed="false">
      <c r="A4689" s="0" t="s">
        <v>262</v>
      </c>
      <c r="B4689" s="52" t="n">
        <v>43850</v>
      </c>
      <c r="C4689" s="54" t="s">
        <v>591</v>
      </c>
      <c r="D4689" s="0" t="n">
        <v>0.274001826330908</v>
      </c>
      <c r="E4689" s="0" t="n">
        <v>0.0324799815449225</v>
      </c>
      <c r="F4689" s="0" t="n">
        <v>0</v>
      </c>
      <c r="G4689" s="0" t="n">
        <v>2020</v>
      </c>
    </row>
    <row r="4690" customFormat="false" ht="15" hidden="false" customHeight="false" outlineLevel="0" collapsed="false">
      <c r="A4690" s="0" t="s">
        <v>262</v>
      </c>
      <c r="B4690" s="52" t="n">
        <v>43850</v>
      </c>
      <c r="C4690" s="54" t="s">
        <v>592</v>
      </c>
      <c r="D4690" s="0" t="n">
        <v>0.284111678977392</v>
      </c>
      <c r="E4690" s="0" t="n">
        <v>0</v>
      </c>
      <c r="F4690" s="0" t="n">
        <v>0</v>
      </c>
      <c r="G4690" s="0" t="n">
        <v>2020</v>
      </c>
    </row>
    <row r="4691" customFormat="false" ht="15" hidden="false" customHeight="false" outlineLevel="0" collapsed="false">
      <c r="A4691" s="0" t="s">
        <v>262</v>
      </c>
      <c r="B4691" s="52" t="n">
        <v>43851</v>
      </c>
      <c r="C4691" s="54" t="s">
        <v>590</v>
      </c>
      <c r="D4691" s="0" t="n">
        <v>0.161635226483018</v>
      </c>
      <c r="E4691" s="0" t="n">
        <v>0.0297360991453344</v>
      </c>
      <c r="F4691" s="0" t="n">
        <v>0</v>
      </c>
      <c r="G4691" s="0" t="n">
        <v>2020</v>
      </c>
    </row>
    <row r="4692" customFormat="false" ht="15" hidden="false" customHeight="false" outlineLevel="0" collapsed="false">
      <c r="A4692" s="0" t="s">
        <v>262</v>
      </c>
      <c r="B4692" s="52" t="n">
        <v>43851</v>
      </c>
      <c r="C4692" s="54" t="s">
        <v>591</v>
      </c>
      <c r="D4692" s="0" t="n">
        <v>0.0708357913308547</v>
      </c>
      <c r="E4692" s="0" t="n">
        <v>0.0502476240169061</v>
      </c>
      <c r="F4692" s="0" t="n">
        <v>0</v>
      </c>
      <c r="G4692" s="0" t="n">
        <v>2020</v>
      </c>
    </row>
    <row r="4693" customFormat="false" ht="15" hidden="false" customHeight="false" outlineLevel="0" collapsed="false">
      <c r="A4693" s="0" t="s">
        <v>262</v>
      </c>
      <c r="B4693" s="52" t="n">
        <v>43851</v>
      </c>
      <c r="C4693" s="54" t="s">
        <v>592</v>
      </c>
      <c r="D4693" s="0" t="n">
        <v>0.794853938484605</v>
      </c>
      <c r="E4693" s="0" t="n">
        <v>0.0122161557916269</v>
      </c>
      <c r="F4693" s="0" t="n">
        <v>0</v>
      </c>
      <c r="G4693" s="0" t="n">
        <v>2020</v>
      </c>
    </row>
    <row r="4694" customFormat="false" ht="15" hidden="false" customHeight="false" outlineLevel="0" collapsed="false">
      <c r="A4694" s="0" t="s">
        <v>262</v>
      </c>
      <c r="B4694" s="52" t="n">
        <v>43852</v>
      </c>
      <c r="C4694" s="54" t="s">
        <v>590</v>
      </c>
      <c r="D4694" s="0" t="n">
        <v>1</v>
      </c>
      <c r="E4694" s="0" t="n">
        <v>0</v>
      </c>
      <c r="F4694" s="0" t="n">
        <v>0</v>
      </c>
      <c r="G4694" s="0" t="n">
        <v>2020</v>
      </c>
    </row>
    <row r="4695" customFormat="false" ht="15" hidden="false" customHeight="false" outlineLevel="0" collapsed="false">
      <c r="A4695" s="0" t="s">
        <v>262</v>
      </c>
      <c r="B4695" s="52" t="n">
        <v>43852</v>
      </c>
      <c r="C4695" s="54" t="s">
        <v>591</v>
      </c>
      <c r="D4695" s="0" t="n">
        <v>0.827947464148987</v>
      </c>
      <c r="E4695" s="0" t="n">
        <v>0</v>
      </c>
      <c r="F4695" s="0" t="n">
        <v>0</v>
      </c>
      <c r="G4695" s="0" t="n">
        <v>2020</v>
      </c>
    </row>
    <row r="4696" customFormat="false" ht="15" hidden="false" customHeight="false" outlineLevel="0" collapsed="false">
      <c r="A4696" s="0" t="s">
        <v>262</v>
      </c>
      <c r="B4696" s="52" t="n">
        <v>43852</v>
      </c>
      <c r="C4696" s="54" t="s">
        <v>592</v>
      </c>
      <c r="D4696" s="0" t="n">
        <v>0.0300296301854129</v>
      </c>
      <c r="E4696" s="0" t="n">
        <v>0.0244567178724843</v>
      </c>
      <c r="F4696" s="0" t="n">
        <v>0</v>
      </c>
      <c r="G4696" s="0" t="n">
        <v>2020</v>
      </c>
    </row>
    <row r="4697" customFormat="false" ht="15" hidden="false" customHeight="false" outlineLevel="0" collapsed="false">
      <c r="A4697" s="0" t="s">
        <v>262</v>
      </c>
      <c r="B4697" s="52" t="n">
        <v>43853</v>
      </c>
      <c r="C4697" s="54" t="s">
        <v>590</v>
      </c>
      <c r="D4697" s="0" t="n">
        <v>0.0261810079708908</v>
      </c>
      <c r="E4697" s="0" t="n">
        <v>0.0673377337185796</v>
      </c>
      <c r="F4697" s="0" t="n">
        <v>0</v>
      </c>
      <c r="G4697" s="0" t="n">
        <v>2020</v>
      </c>
    </row>
    <row r="4698" customFormat="false" ht="15" hidden="false" customHeight="false" outlineLevel="0" collapsed="false">
      <c r="A4698" s="0" t="s">
        <v>262</v>
      </c>
      <c r="B4698" s="52" t="n">
        <v>43853</v>
      </c>
      <c r="C4698" s="54" t="s">
        <v>591</v>
      </c>
      <c r="D4698" s="0" t="n">
        <v>0.241469950499918</v>
      </c>
      <c r="E4698" s="0" t="n">
        <v>0.0396777772484615</v>
      </c>
      <c r="F4698" s="0" t="n">
        <v>0</v>
      </c>
      <c r="G4698" s="0" t="n">
        <v>2020</v>
      </c>
    </row>
    <row r="4699" customFormat="false" ht="15" hidden="false" customHeight="false" outlineLevel="0" collapsed="false">
      <c r="A4699" s="0" t="s">
        <v>262</v>
      </c>
      <c r="B4699" s="52" t="n">
        <v>43853</v>
      </c>
      <c r="C4699" s="54" t="s">
        <v>592</v>
      </c>
      <c r="D4699" s="0" t="n">
        <v>0.184571042451221</v>
      </c>
      <c r="E4699" s="0" t="n">
        <v>0.0042919661425619</v>
      </c>
      <c r="F4699" s="0" t="n">
        <v>0</v>
      </c>
      <c r="G4699" s="0" t="n">
        <v>2020</v>
      </c>
    </row>
    <row r="4700" customFormat="false" ht="15" hidden="false" customHeight="false" outlineLevel="0" collapsed="false">
      <c r="A4700" s="0" t="s">
        <v>262</v>
      </c>
      <c r="B4700" s="52" t="n">
        <v>43854</v>
      </c>
      <c r="C4700" s="54" t="s">
        <v>590</v>
      </c>
      <c r="D4700" s="0" t="n">
        <v>0</v>
      </c>
      <c r="E4700" s="0" t="n">
        <v>0.111091001545296</v>
      </c>
      <c r="F4700" s="0" t="n">
        <v>0</v>
      </c>
      <c r="G4700" s="0" t="n">
        <v>2020</v>
      </c>
    </row>
    <row r="4701" customFormat="false" ht="15" hidden="false" customHeight="false" outlineLevel="0" collapsed="false">
      <c r="A4701" s="0" t="s">
        <v>262</v>
      </c>
      <c r="B4701" s="52" t="n">
        <v>43854</v>
      </c>
      <c r="C4701" s="54" t="s">
        <v>591</v>
      </c>
      <c r="D4701" s="0" t="n">
        <v>0.0853042399169207</v>
      </c>
      <c r="E4701" s="0" t="n">
        <v>0.017643891185788</v>
      </c>
      <c r="F4701" s="0" t="n">
        <v>0</v>
      </c>
      <c r="G4701" s="0" t="n">
        <v>2020</v>
      </c>
    </row>
    <row r="4702" customFormat="false" ht="15" hidden="false" customHeight="false" outlineLevel="0" collapsed="false">
      <c r="A4702" s="0" t="s">
        <v>262</v>
      </c>
      <c r="B4702" s="52" t="n">
        <v>43854</v>
      </c>
      <c r="C4702" s="54" t="s">
        <v>592</v>
      </c>
      <c r="D4702" s="0" t="n">
        <v>0.806723774841331</v>
      </c>
      <c r="E4702" s="0" t="n">
        <v>0</v>
      </c>
      <c r="F4702" s="0" t="n">
        <v>0</v>
      </c>
      <c r="G4702" s="0" t="n">
        <v>2020</v>
      </c>
    </row>
    <row r="4703" customFormat="false" ht="15" hidden="false" customHeight="false" outlineLevel="0" collapsed="false">
      <c r="A4703" s="0" t="s">
        <v>262</v>
      </c>
      <c r="B4703" s="52" t="n">
        <v>43855</v>
      </c>
      <c r="C4703" s="54" t="s">
        <v>590</v>
      </c>
      <c r="D4703" s="0" t="n">
        <v>0.0055818507587945</v>
      </c>
      <c r="E4703" s="0" t="n">
        <v>0.0201985345030186</v>
      </c>
      <c r="F4703" s="0" t="n">
        <v>1</v>
      </c>
      <c r="G4703" s="0" t="n">
        <v>2020</v>
      </c>
    </row>
    <row r="4704" customFormat="false" ht="15" hidden="false" customHeight="false" outlineLevel="0" collapsed="false">
      <c r="A4704" s="0" t="s">
        <v>262</v>
      </c>
      <c r="B4704" s="52" t="n">
        <v>43855</v>
      </c>
      <c r="C4704" s="54" t="s">
        <v>591</v>
      </c>
      <c r="D4704" s="0" t="n">
        <v>0.0947091167621205</v>
      </c>
      <c r="E4704" s="0" t="n">
        <v>0.104583189473363</v>
      </c>
      <c r="F4704" s="0" t="n">
        <v>1</v>
      </c>
      <c r="G4704" s="0" t="n">
        <v>2020</v>
      </c>
    </row>
    <row r="4705" customFormat="false" ht="15" hidden="false" customHeight="false" outlineLevel="0" collapsed="false">
      <c r="A4705" s="0" t="s">
        <v>262</v>
      </c>
      <c r="B4705" s="52" t="n">
        <v>43855</v>
      </c>
      <c r="C4705" s="54" t="s">
        <v>592</v>
      </c>
      <c r="D4705" s="0" t="n">
        <v>1</v>
      </c>
      <c r="E4705" s="0" t="n">
        <v>0</v>
      </c>
      <c r="F4705" s="0" t="n">
        <v>1</v>
      </c>
      <c r="G4705" s="0" t="n">
        <v>2020</v>
      </c>
    </row>
    <row r="4706" customFormat="false" ht="15" hidden="false" customHeight="false" outlineLevel="0" collapsed="false">
      <c r="A4706" s="0" t="s">
        <v>262</v>
      </c>
      <c r="B4706" s="52" t="n">
        <v>43856</v>
      </c>
      <c r="C4706" s="54" t="s">
        <v>591</v>
      </c>
      <c r="D4706" s="0" t="n">
        <v>1</v>
      </c>
      <c r="E4706" s="0" t="n">
        <v>0</v>
      </c>
      <c r="F4706" s="0" t="n">
        <v>1</v>
      </c>
      <c r="G4706" s="0" t="n">
        <v>2020</v>
      </c>
    </row>
    <row r="4707" customFormat="false" ht="15" hidden="false" customHeight="false" outlineLevel="0" collapsed="false">
      <c r="A4707" s="0" t="s">
        <v>262</v>
      </c>
      <c r="B4707" s="52" t="n">
        <v>43856</v>
      </c>
      <c r="C4707" s="54" t="s">
        <v>592</v>
      </c>
      <c r="D4707" s="0" t="n">
        <v>0.359326002438131</v>
      </c>
      <c r="E4707" s="0" t="n">
        <v>0.0686692231756567</v>
      </c>
      <c r="F4707" s="0" t="n">
        <v>1</v>
      </c>
      <c r="G4707" s="0" t="n">
        <v>2020</v>
      </c>
    </row>
    <row r="4708" customFormat="false" ht="15" hidden="false" customHeight="false" outlineLevel="0" collapsed="false">
      <c r="A4708" s="0" t="s">
        <v>262</v>
      </c>
      <c r="B4708" s="52" t="n">
        <v>43857</v>
      </c>
      <c r="C4708" s="54" t="s">
        <v>590</v>
      </c>
      <c r="D4708" s="0" t="n">
        <v>0.0373543970372829</v>
      </c>
      <c r="E4708" s="0" t="n">
        <v>0.0432840135060586</v>
      </c>
      <c r="F4708" s="0" t="n">
        <v>0</v>
      </c>
      <c r="G4708" s="0" t="n">
        <v>2020</v>
      </c>
    </row>
    <row r="4709" customFormat="false" ht="15" hidden="false" customHeight="false" outlineLevel="0" collapsed="false">
      <c r="A4709" s="0" t="s">
        <v>262</v>
      </c>
      <c r="B4709" s="52" t="n">
        <v>43857</v>
      </c>
      <c r="C4709" s="54" t="s">
        <v>591</v>
      </c>
      <c r="D4709" s="0" t="n">
        <v>0.0107720034467592</v>
      </c>
      <c r="E4709" s="0" t="n">
        <v>0.0354509558118112</v>
      </c>
      <c r="F4709" s="0" t="n">
        <v>0</v>
      </c>
      <c r="G4709" s="0" t="n">
        <v>2020</v>
      </c>
    </row>
    <row r="4710" customFormat="false" ht="15" hidden="false" customHeight="false" outlineLevel="0" collapsed="false">
      <c r="A4710" s="0" t="s">
        <v>262</v>
      </c>
      <c r="B4710" s="52" t="n">
        <v>43857</v>
      </c>
      <c r="C4710" s="54" t="s">
        <v>592</v>
      </c>
      <c r="D4710" s="0" t="n">
        <v>0.852769967152263</v>
      </c>
      <c r="E4710" s="0" t="n">
        <v>0.0208423789961321</v>
      </c>
      <c r="F4710" s="0" t="n">
        <v>0</v>
      </c>
      <c r="G4710" s="0" t="n">
        <v>2020</v>
      </c>
    </row>
    <row r="4711" customFormat="false" ht="15" hidden="false" customHeight="false" outlineLevel="0" collapsed="false">
      <c r="A4711" s="0" t="s">
        <v>262</v>
      </c>
      <c r="B4711" s="52" t="n">
        <v>43858</v>
      </c>
      <c r="C4711" s="54" t="s">
        <v>590</v>
      </c>
      <c r="D4711" s="0" t="n">
        <v>0.116539553713162</v>
      </c>
      <c r="E4711" s="0" t="n">
        <v>0.0837786294218768</v>
      </c>
      <c r="F4711" s="0" t="n">
        <v>0</v>
      </c>
      <c r="G4711" s="0" t="n">
        <v>2020</v>
      </c>
    </row>
    <row r="4712" customFormat="false" ht="15" hidden="false" customHeight="false" outlineLevel="0" collapsed="false">
      <c r="A4712" s="0" t="s">
        <v>262</v>
      </c>
      <c r="B4712" s="52" t="n">
        <v>43858</v>
      </c>
      <c r="C4712" s="54" t="s">
        <v>592</v>
      </c>
      <c r="D4712" s="0" t="n">
        <v>0.908573932611335</v>
      </c>
      <c r="E4712" s="0" t="n">
        <v>0</v>
      </c>
      <c r="F4712" s="0" t="n">
        <v>0</v>
      </c>
      <c r="G4712" s="0" t="n">
        <v>2020</v>
      </c>
    </row>
    <row r="4713" customFormat="false" ht="15" hidden="false" customHeight="false" outlineLevel="0" collapsed="false">
      <c r="A4713" s="0" t="s">
        <v>262</v>
      </c>
      <c r="B4713" s="52" t="n">
        <v>43859</v>
      </c>
      <c r="C4713" s="54" t="s">
        <v>590</v>
      </c>
      <c r="D4713" s="0" t="n">
        <v>0.0230387545018268</v>
      </c>
      <c r="E4713" s="0" t="n">
        <v>0.0478137813954913</v>
      </c>
      <c r="F4713" s="0" t="n">
        <v>0</v>
      </c>
      <c r="G4713" s="0" t="n">
        <v>2020</v>
      </c>
    </row>
    <row r="4714" customFormat="false" ht="15" hidden="false" customHeight="false" outlineLevel="0" collapsed="false">
      <c r="A4714" s="0" t="s">
        <v>262</v>
      </c>
      <c r="B4714" s="52" t="n">
        <v>43859</v>
      </c>
      <c r="C4714" s="54" t="s">
        <v>591</v>
      </c>
      <c r="D4714" s="0" t="n">
        <v>0.0129073803254111</v>
      </c>
      <c r="E4714" s="0" t="n">
        <v>0.051890364751797</v>
      </c>
      <c r="F4714" s="0" t="n">
        <v>0</v>
      </c>
      <c r="G4714" s="0" t="n">
        <v>2020</v>
      </c>
    </row>
    <row r="4715" customFormat="false" ht="15" hidden="false" customHeight="false" outlineLevel="0" collapsed="false">
      <c r="A4715" s="0" t="s">
        <v>262</v>
      </c>
      <c r="B4715" s="52" t="n">
        <v>43859</v>
      </c>
      <c r="C4715" s="54" t="s">
        <v>592</v>
      </c>
      <c r="D4715" s="0" t="n">
        <v>0.495968191744347</v>
      </c>
      <c r="E4715" s="0" t="n">
        <v>0.0557952685548692</v>
      </c>
      <c r="F4715" s="0" t="n">
        <v>0</v>
      </c>
      <c r="G4715" s="0" t="n">
        <v>2020</v>
      </c>
    </row>
    <row r="4716" customFormat="false" ht="15" hidden="false" customHeight="false" outlineLevel="0" collapsed="false">
      <c r="A4716" s="0" t="s">
        <v>262</v>
      </c>
      <c r="B4716" s="52" t="n">
        <v>43860</v>
      </c>
      <c r="C4716" s="54" t="s">
        <v>590</v>
      </c>
      <c r="D4716" s="0" t="n">
        <v>0.110427025914653</v>
      </c>
      <c r="E4716" s="0" t="n">
        <v>0.149817068260599</v>
      </c>
      <c r="F4716" s="0" t="n">
        <v>0</v>
      </c>
      <c r="G4716" s="0" t="n">
        <v>2020</v>
      </c>
    </row>
    <row r="4717" customFormat="false" ht="15" hidden="false" customHeight="false" outlineLevel="0" collapsed="false">
      <c r="A4717" s="0" t="s">
        <v>262</v>
      </c>
      <c r="B4717" s="52" t="n">
        <v>43860</v>
      </c>
      <c r="C4717" s="54" t="s">
        <v>591</v>
      </c>
      <c r="D4717" s="0" t="n">
        <v>0.0023401688231026</v>
      </c>
      <c r="E4717" s="0" t="n">
        <v>0.106960015851238</v>
      </c>
      <c r="F4717" s="0" t="n">
        <v>0</v>
      </c>
      <c r="G4717" s="0" t="n">
        <v>2020</v>
      </c>
    </row>
    <row r="4718" customFormat="false" ht="15" hidden="false" customHeight="false" outlineLevel="0" collapsed="false">
      <c r="A4718" s="0" t="s">
        <v>262</v>
      </c>
      <c r="B4718" s="52" t="n">
        <v>43860</v>
      </c>
      <c r="C4718" s="54" t="s">
        <v>592</v>
      </c>
      <c r="D4718" s="0" t="n">
        <v>0.0408068834693649</v>
      </c>
      <c r="E4718" s="0" t="n">
        <v>0.0567335320391483</v>
      </c>
      <c r="F4718" s="0" t="n">
        <v>0</v>
      </c>
      <c r="G4718" s="0" t="n">
        <v>2020</v>
      </c>
    </row>
    <row r="4719" customFormat="false" ht="15" hidden="false" customHeight="false" outlineLevel="0" collapsed="false">
      <c r="A4719" s="0" t="s">
        <v>262</v>
      </c>
      <c r="B4719" s="52" t="n">
        <v>43861</v>
      </c>
      <c r="C4719" s="54" t="s">
        <v>590</v>
      </c>
      <c r="D4719" s="0" t="n">
        <v>0.740848355877201</v>
      </c>
      <c r="E4719" s="0" t="n">
        <v>0.000283891180873</v>
      </c>
      <c r="F4719" s="0" t="n">
        <v>0</v>
      </c>
      <c r="G4719" s="0" t="n">
        <v>2020</v>
      </c>
    </row>
    <row r="4720" customFormat="false" ht="15" hidden="false" customHeight="false" outlineLevel="0" collapsed="false">
      <c r="A4720" s="0" t="s">
        <v>262</v>
      </c>
      <c r="B4720" s="52" t="n">
        <v>43861</v>
      </c>
      <c r="C4720" s="54" t="s">
        <v>591</v>
      </c>
      <c r="D4720" s="0" t="n">
        <v>0.0132916163365147</v>
      </c>
      <c r="E4720" s="0" t="n">
        <v>0.173441729337535</v>
      </c>
      <c r="F4720" s="0" t="n">
        <v>0</v>
      </c>
      <c r="G4720" s="0" t="n">
        <v>2020</v>
      </c>
    </row>
    <row r="4721" customFormat="false" ht="15" hidden="false" customHeight="false" outlineLevel="0" collapsed="false">
      <c r="A4721" s="0" t="s">
        <v>262</v>
      </c>
      <c r="B4721" s="52" t="n">
        <v>43861</v>
      </c>
      <c r="C4721" s="54" t="s">
        <v>592</v>
      </c>
      <c r="D4721" s="0" t="n">
        <v>0.0121974524898807</v>
      </c>
      <c r="E4721" s="0" t="n">
        <v>0.0850560213970103</v>
      </c>
      <c r="F4721" s="0" t="n">
        <v>0</v>
      </c>
      <c r="G4721" s="0" t="n">
        <v>2020</v>
      </c>
    </row>
    <row r="4722" customFormat="false" ht="15" hidden="false" customHeight="false" outlineLevel="0" collapsed="false">
      <c r="A4722" s="0" t="s">
        <v>262</v>
      </c>
      <c r="B4722" s="52" t="n">
        <v>43862</v>
      </c>
      <c r="C4722" s="54" t="s">
        <v>590</v>
      </c>
      <c r="D4722" s="0" t="n">
        <v>0.229054486375974</v>
      </c>
      <c r="E4722" s="0" t="n">
        <v>0.0273307819699329</v>
      </c>
      <c r="F4722" s="0" t="n">
        <v>1</v>
      </c>
      <c r="G4722" s="0" t="n">
        <v>2020</v>
      </c>
    </row>
    <row r="4723" customFormat="false" ht="15" hidden="false" customHeight="false" outlineLevel="0" collapsed="false">
      <c r="A4723" s="0" t="s">
        <v>262</v>
      </c>
      <c r="B4723" s="52" t="n">
        <v>43862</v>
      </c>
      <c r="C4723" s="54" t="s">
        <v>591</v>
      </c>
      <c r="D4723" s="0" t="n">
        <v>1</v>
      </c>
      <c r="E4723" s="0" t="n">
        <v>0</v>
      </c>
      <c r="F4723" s="0" t="n">
        <v>1</v>
      </c>
      <c r="G4723" s="0" t="n">
        <v>2020</v>
      </c>
    </row>
    <row r="4724" customFormat="false" ht="15" hidden="false" customHeight="false" outlineLevel="0" collapsed="false">
      <c r="A4724" s="0" t="s">
        <v>262</v>
      </c>
      <c r="B4724" s="52" t="n">
        <v>43863</v>
      </c>
      <c r="C4724" s="54" t="s">
        <v>591</v>
      </c>
      <c r="D4724" s="0" t="n">
        <v>0.751512260611008</v>
      </c>
      <c r="E4724" s="0" t="n">
        <v>0</v>
      </c>
      <c r="F4724" s="0" t="n">
        <v>1</v>
      </c>
      <c r="G4724" s="0" t="n">
        <v>2020</v>
      </c>
    </row>
    <row r="4725" customFormat="false" ht="15" hidden="false" customHeight="false" outlineLevel="0" collapsed="false">
      <c r="A4725" s="0" t="s">
        <v>262</v>
      </c>
      <c r="B4725" s="52" t="n">
        <v>43863</v>
      </c>
      <c r="C4725" s="54" t="s">
        <v>592</v>
      </c>
      <c r="D4725" s="0" t="n">
        <v>0.0802084341209279</v>
      </c>
      <c r="E4725" s="0" t="n">
        <v>0.0357012415598228</v>
      </c>
      <c r="F4725" s="0" t="n">
        <v>1</v>
      </c>
      <c r="G4725" s="0" t="n">
        <v>2020</v>
      </c>
    </row>
    <row r="4726" customFormat="false" ht="15" hidden="false" customHeight="false" outlineLevel="0" collapsed="false">
      <c r="A4726" s="0" t="s">
        <v>262</v>
      </c>
      <c r="B4726" s="52" t="n">
        <v>43864</v>
      </c>
      <c r="C4726" s="54" t="s">
        <v>590</v>
      </c>
      <c r="D4726" s="0" t="n">
        <v>0.108181215855757</v>
      </c>
      <c r="E4726" s="0" t="n">
        <v>0.04290492987226</v>
      </c>
      <c r="F4726" s="0" t="n">
        <v>0</v>
      </c>
      <c r="G4726" s="0" t="n">
        <v>2020</v>
      </c>
    </row>
    <row r="4727" customFormat="false" ht="15" hidden="false" customHeight="false" outlineLevel="0" collapsed="false">
      <c r="A4727" s="0" t="s">
        <v>262</v>
      </c>
      <c r="B4727" s="52" t="n">
        <v>43864</v>
      </c>
      <c r="C4727" s="54" t="s">
        <v>591</v>
      </c>
      <c r="D4727" s="0" t="n">
        <v>0.190493595323689</v>
      </c>
      <c r="E4727" s="0" t="n">
        <v>0.0067218680915135</v>
      </c>
      <c r="F4727" s="0" t="n">
        <v>0</v>
      </c>
      <c r="G4727" s="0" t="n">
        <v>2020</v>
      </c>
    </row>
    <row r="4728" customFormat="false" ht="15" hidden="false" customHeight="false" outlineLevel="0" collapsed="false">
      <c r="A4728" s="0" t="s">
        <v>262</v>
      </c>
      <c r="B4728" s="52" t="n">
        <v>43864</v>
      </c>
      <c r="C4728" s="54" t="s">
        <v>592</v>
      </c>
      <c r="D4728" s="0" t="n">
        <v>0.686241870334891</v>
      </c>
      <c r="E4728" s="0" t="n">
        <v>0.0445613009189919</v>
      </c>
      <c r="F4728" s="0" t="n">
        <v>0</v>
      </c>
      <c r="G4728" s="0" t="n">
        <v>2020</v>
      </c>
    </row>
    <row r="4729" customFormat="false" ht="15" hidden="false" customHeight="false" outlineLevel="0" collapsed="false">
      <c r="A4729" s="0" t="s">
        <v>262</v>
      </c>
      <c r="B4729" s="52" t="n">
        <v>43865</v>
      </c>
      <c r="C4729" s="54" t="s">
        <v>590</v>
      </c>
      <c r="D4729" s="0" t="n">
        <v>0.0115975999624952</v>
      </c>
      <c r="E4729" s="0" t="n">
        <v>0.0449444311403845</v>
      </c>
      <c r="F4729" s="0" t="n">
        <v>0</v>
      </c>
      <c r="G4729" s="0" t="n">
        <v>2020</v>
      </c>
    </row>
    <row r="4730" customFormat="false" ht="15" hidden="false" customHeight="false" outlineLevel="0" collapsed="false">
      <c r="A4730" s="0" t="s">
        <v>262</v>
      </c>
      <c r="B4730" s="52" t="n">
        <v>43865</v>
      </c>
      <c r="C4730" s="54" t="s">
        <v>591</v>
      </c>
      <c r="D4730" s="0" t="n">
        <v>0.290554551537586</v>
      </c>
      <c r="E4730" s="0" t="n">
        <v>0.0495464014620872</v>
      </c>
      <c r="F4730" s="0" t="n">
        <v>0</v>
      </c>
      <c r="G4730" s="0" t="n">
        <v>2020</v>
      </c>
    </row>
    <row r="4731" customFormat="false" ht="15" hidden="false" customHeight="false" outlineLevel="0" collapsed="false">
      <c r="A4731" s="0" t="s">
        <v>262</v>
      </c>
      <c r="B4731" s="52" t="n">
        <v>43865</v>
      </c>
      <c r="C4731" s="54" t="s">
        <v>592</v>
      </c>
      <c r="D4731" s="0" t="n">
        <v>0.182164548526297</v>
      </c>
      <c r="E4731" s="0" t="n">
        <v>0.0209258313997933</v>
      </c>
      <c r="F4731" s="0" t="n">
        <v>0</v>
      </c>
      <c r="G4731" s="0" t="n">
        <v>2020</v>
      </c>
    </row>
    <row r="4732" customFormat="false" ht="15" hidden="false" customHeight="false" outlineLevel="0" collapsed="false">
      <c r="A4732" s="0" t="s">
        <v>262</v>
      </c>
      <c r="B4732" s="52" t="n">
        <v>43866</v>
      </c>
      <c r="C4732" s="54" t="s">
        <v>590</v>
      </c>
      <c r="D4732" s="0" t="n">
        <v>0.423137544246735</v>
      </c>
      <c r="E4732" s="0" t="n">
        <v>0.0060200959732518</v>
      </c>
      <c r="F4732" s="0" t="n">
        <v>0</v>
      </c>
      <c r="G4732" s="0" t="n">
        <v>2020</v>
      </c>
    </row>
    <row r="4733" customFormat="false" ht="15" hidden="false" customHeight="false" outlineLevel="0" collapsed="false">
      <c r="A4733" s="0" t="s">
        <v>262</v>
      </c>
      <c r="B4733" s="52" t="n">
        <v>43866</v>
      </c>
      <c r="C4733" s="54" t="s">
        <v>591</v>
      </c>
      <c r="D4733" s="0" t="n">
        <v>0.0021388002830736</v>
      </c>
      <c r="E4733" s="0" t="n">
        <v>0.0091024659566842</v>
      </c>
      <c r="F4733" s="0" t="n">
        <v>0</v>
      </c>
      <c r="G4733" s="0" t="n">
        <v>2020</v>
      </c>
    </row>
    <row r="4734" customFormat="false" ht="15" hidden="false" customHeight="false" outlineLevel="0" collapsed="false">
      <c r="A4734" s="0" t="s">
        <v>262</v>
      </c>
      <c r="B4734" s="52" t="n">
        <v>43866</v>
      </c>
      <c r="C4734" s="54" t="s">
        <v>592</v>
      </c>
      <c r="D4734" s="0" t="n">
        <v>0.0861809943821765</v>
      </c>
      <c r="E4734" s="0" t="n">
        <v>0.0813453069588865</v>
      </c>
      <c r="F4734" s="0" t="n">
        <v>0</v>
      </c>
      <c r="G4734" s="0" t="n">
        <v>2020</v>
      </c>
    </row>
    <row r="4735" customFormat="false" ht="15" hidden="false" customHeight="false" outlineLevel="0" collapsed="false">
      <c r="A4735" s="0" t="s">
        <v>262</v>
      </c>
      <c r="B4735" s="52" t="n">
        <v>43867</v>
      </c>
      <c r="C4735" s="54" t="s">
        <v>590</v>
      </c>
      <c r="D4735" s="0" t="n">
        <v>0.114450046666582</v>
      </c>
      <c r="E4735" s="0" t="n">
        <v>0.153594292719965</v>
      </c>
      <c r="F4735" s="0" t="n">
        <v>0</v>
      </c>
      <c r="G4735" s="0" t="n">
        <v>2020</v>
      </c>
    </row>
    <row r="4736" customFormat="false" ht="15" hidden="false" customHeight="false" outlineLevel="0" collapsed="false">
      <c r="A4736" s="0" t="s">
        <v>262</v>
      </c>
      <c r="B4736" s="52" t="n">
        <v>43867</v>
      </c>
      <c r="C4736" s="54" t="s">
        <v>591</v>
      </c>
      <c r="D4736" s="0" t="n">
        <v>0.244242005362472</v>
      </c>
      <c r="E4736" s="0" t="n">
        <v>0.0152241063111349</v>
      </c>
      <c r="F4736" s="0" t="n">
        <v>0</v>
      </c>
      <c r="G4736" s="0" t="n">
        <v>2020</v>
      </c>
    </row>
    <row r="4737" customFormat="false" ht="15" hidden="false" customHeight="false" outlineLevel="0" collapsed="false">
      <c r="A4737" s="0" t="s">
        <v>262</v>
      </c>
      <c r="B4737" s="52" t="n">
        <v>43867</v>
      </c>
      <c r="C4737" s="54" t="s">
        <v>592</v>
      </c>
      <c r="D4737" s="0" t="n">
        <v>0.0092357548969394</v>
      </c>
      <c r="E4737" s="0" t="n">
        <v>0.103408477934271</v>
      </c>
      <c r="F4737" s="0" t="n">
        <v>0</v>
      </c>
      <c r="G4737" s="0" t="n">
        <v>2020</v>
      </c>
    </row>
    <row r="4738" customFormat="false" ht="15" hidden="false" customHeight="false" outlineLevel="0" collapsed="false">
      <c r="A4738" s="0" t="s">
        <v>262</v>
      </c>
      <c r="B4738" s="52" t="n">
        <v>43868</v>
      </c>
      <c r="C4738" s="54" t="s">
        <v>590</v>
      </c>
      <c r="D4738" s="0" t="n">
        <v>0.0075980624309694</v>
      </c>
      <c r="E4738" s="0" t="n">
        <v>0.196694780431209</v>
      </c>
      <c r="F4738" s="0" t="n">
        <v>0</v>
      </c>
      <c r="G4738" s="0" t="n">
        <v>2020</v>
      </c>
    </row>
    <row r="4739" customFormat="false" ht="15" hidden="false" customHeight="false" outlineLevel="0" collapsed="false">
      <c r="A4739" s="0" t="s">
        <v>262</v>
      </c>
      <c r="B4739" s="52" t="n">
        <v>43868</v>
      </c>
      <c r="C4739" s="54" t="s">
        <v>591</v>
      </c>
      <c r="D4739" s="0" t="n">
        <v>0.108651925003141</v>
      </c>
      <c r="E4739" s="0" t="n">
        <v>0.195131474453907</v>
      </c>
      <c r="F4739" s="0" t="n">
        <v>0</v>
      </c>
      <c r="G4739" s="0" t="n">
        <v>2020</v>
      </c>
    </row>
    <row r="4740" customFormat="false" ht="15" hidden="false" customHeight="false" outlineLevel="0" collapsed="false">
      <c r="A4740" s="0" t="s">
        <v>262</v>
      </c>
      <c r="B4740" s="52" t="n">
        <v>43868</v>
      </c>
      <c r="C4740" s="54" t="s">
        <v>592</v>
      </c>
      <c r="D4740" s="0" t="n">
        <v>0.819388400796716</v>
      </c>
      <c r="E4740" s="0" t="n">
        <v>0.016645450084357</v>
      </c>
      <c r="F4740" s="0" t="n">
        <v>0</v>
      </c>
      <c r="G4740" s="0" t="n">
        <v>2020</v>
      </c>
    </row>
    <row r="4741" customFormat="false" ht="15" hidden="false" customHeight="false" outlineLevel="0" collapsed="false">
      <c r="A4741" s="0" t="s">
        <v>262</v>
      </c>
      <c r="B4741" s="52" t="n">
        <v>43869</v>
      </c>
      <c r="C4741" s="54" t="s">
        <v>590</v>
      </c>
      <c r="D4741" s="0" t="n">
        <v>0.101424443329349</v>
      </c>
      <c r="E4741" s="0" t="n">
        <v>0.0485942124593221</v>
      </c>
      <c r="F4741" s="0" t="n">
        <v>1</v>
      </c>
      <c r="G4741" s="0" t="n">
        <v>2020</v>
      </c>
    </row>
    <row r="4742" customFormat="false" ht="15" hidden="false" customHeight="false" outlineLevel="0" collapsed="false">
      <c r="A4742" s="0" t="s">
        <v>262</v>
      </c>
      <c r="B4742" s="52" t="n">
        <v>43869</v>
      </c>
      <c r="C4742" s="54" t="s">
        <v>591</v>
      </c>
      <c r="D4742" s="0" t="n">
        <v>0.0150579472758474</v>
      </c>
      <c r="E4742" s="0" t="n">
        <v>0.0459638722975669</v>
      </c>
      <c r="F4742" s="0" t="n">
        <v>1</v>
      </c>
      <c r="G4742" s="0" t="n">
        <v>2020</v>
      </c>
    </row>
    <row r="4743" customFormat="false" ht="15" hidden="false" customHeight="false" outlineLevel="0" collapsed="false">
      <c r="A4743" s="0" t="s">
        <v>262</v>
      </c>
      <c r="B4743" s="52" t="n">
        <v>43869</v>
      </c>
      <c r="C4743" s="54" t="s">
        <v>592</v>
      </c>
      <c r="D4743" s="0" t="n">
        <v>0.01651452210278</v>
      </c>
      <c r="E4743" s="0" t="n">
        <v>0.0779619144665449</v>
      </c>
      <c r="F4743" s="0" t="n">
        <v>1</v>
      </c>
      <c r="G4743" s="0" t="n">
        <v>2020</v>
      </c>
    </row>
    <row r="4744" customFormat="false" ht="15" hidden="false" customHeight="false" outlineLevel="0" collapsed="false">
      <c r="A4744" s="0" t="s">
        <v>262</v>
      </c>
      <c r="B4744" s="52" t="n">
        <v>43870</v>
      </c>
      <c r="C4744" s="54" t="s">
        <v>590</v>
      </c>
      <c r="D4744" s="0" t="n">
        <v>0.823513937591639</v>
      </c>
      <c r="E4744" s="0" t="n">
        <v>0.03858454659959</v>
      </c>
      <c r="F4744" s="0" t="n">
        <v>1</v>
      </c>
      <c r="G4744" s="0" t="n">
        <v>2020</v>
      </c>
    </row>
    <row r="4745" customFormat="false" ht="15" hidden="false" customHeight="false" outlineLevel="0" collapsed="false">
      <c r="A4745" s="0" t="s">
        <v>262</v>
      </c>
      <c r="B4745" s="52" t="n">
        <v>43870</v>
      </c>
      <c r="C4745" s="54" t="s">
        <v>591</v>
      </c>
      <c r="D4745" s="0" t="n">
        <v>1</v>
      </c>
      <c r="E4745" s="0" t="n">
        <v>0</v>
      </c>
      <c r="F4745" s="0" t="n">
        <v>1</v>
      </c>
      <c r="G4745" s="0" t="n">
        <v>2020</v>
      </c>
    </row>
    <row r="4746" customFormat="false" ht="15" hidden="false" customHeight="false" outlineLevel="0" collapsed="false">
      <c r="A4746" s="0" t="s">
        <v>262</v>
      </c>
      <c r="B4746" s="52" t="n">
        <v>43870</v>
      </c>
      <c r="C4746" s="54" t="s">
        <v>592</v>
      </c>
      <c r="D4746" s="0" t="n">
        <v>0.0266419531735332</v>
      </c>
      <c r="E4746" s="0" t="n">
        <v>0.0826685815057352</v>
      </c>
      <c r="F4746" s="0" t="n">
        <v>1</v>
      </c>
      <c r="G4746" s="0" t="n">
        <v>2020</v>
      </c>
    </row>
    <row r="4747" customFormat="false" ht="15" hidden="false" customHeight="false" outlineLevel="0" collapsed="false">
      <c r="A4747" s="0" t="s">
        <v>262</v>
      </c>
      <c r="B4747" s="52" t="n">
        <v>43871</v>
      </c>
      <c r="C4747" s="54" t="s">
        <v>590</v>
      </c>
      <c r="D4747" s="0" t="n">
        <v>0.123561689740847</v>
      </c>
      <c r="E4747" s="0" t="n">
        <v>0.0286771920717395</v>
      </c>
      <c r="F4747" s="0" t="n">
        <v>0</v>
      </c>
      <c r="G4747" s="0" t="n">
        <v>2020</v>
      </c>
    </row>
    <row r="4748" customFormat="false" ht="15" hidden="false" customHeight="false" outlineLevel="0" collapsed="false">
      <c r="A4748" s="0" t="s">
        <v>262</v>
      </c>
      <c r="B4748" s="52" t="n">
        <v>43871</v>
      </c>
      <c r="C4748" s="54" t="s">
        <v>591</v>
      </c>
      <c r="D4748" s="0" t="n">
        <v>0.118844500121743</v>
      </c>
      <c r="E4748" s="0" t="n">
        <v>0.073195918440377</v>
      </c>
      <c r="F4748" s="0" t="n">
        <v>0</v>
      </c>
      <c r="G4748" s="0" t="n">
        <v>2020</v>
      </c>
    </row>
    <row r="4749" customFormat="false" ht="15" hidden="false" customHeight="false" outlineLevel="0" collapsed="false">
      <c r="A4749" s="0" t="s">
        <v>262</v>
      </c>
      <c r="B4749" s="52" t="n">
        <v>43871</v>
      </c>
      <c r="C4749" s="54" t="s">
        <v>592</v>
      </c>
      <c r="D4749" s="0" t="n">
        <v>0.234547294586738</v>
      </c>
      <c r="E4749" s="0" t="n">
        <v>0.0233971867327811</v>
      </c>
      <c r="F4749" s="0" t="n">
        <v>0</v>
      </c>
      <c r="G4749" s="0" t="n">
        <v>2020</v>
      </c>
    </row>
    <row r="4750" customFormat="false" ht="15" hidden="false" customHeight="false" outlineLevel="0" collapsed="false">
      <c r="A4750" s="0" t="s">
        <v>262</v>
      </c>
      <c r="B4750" s="52" t="n">
        <v>43872</v>
      </c>
      <c r="C4750" s="54" t="s">
        <v>590</v>
      </c>
      <c r="D4750" s="0" t="n">
        <v>0.0112189241466983</v>
      </c>
      <c r="E4750" s="0" t="n">
        <v>0.0101923136636036</v>
      </c>
      <c r="F4750" s="0" t="n">
        <v>0</v>
      </c>
      <c r="G4750" s="0" t="n">
        <v>2020</v>
      </c>
    </row>
    <row r="4751" customFormat="false" ht="15" hidden="false" customHeight="false" outlineLevel="0" collapsed="false">
      <c r="A4751" s="0" t="s">
        <v>262</v>
      </c>
      <c r="B4751" s="52" t="n">
        <v>43872</v>
      </c>
      <c r="C4751" s="54" t="s">
        <v>591</v>
      </c>
      <c r="D4751" s="0" t="n">
        <v>0.12364087512888</v>
      </c>
      <c r="E4751" s="0" t="n">
        <v>0.0939342533985163</v>
      </c>
      <c r="F4751" s="0" t="n">
        <v>0</v>
      </c>
      <c r="G4751" s="0" t="n">
        <v>2020</v>
      </c>
    </row>
    <row r="4752" customFormat="false" ht="15" hidden="false" customHeight="false" outlineLevel="0" collapsed="false">
      <c r="A4752" s="0" t="s">
        <v>262</v>
      </c>
      <c r="B4752" s="52" t="n">
        <v>43872</v>
      </c>
      <c r="C4752" s="54" t="s">
        <v>592</v>
      </c>
      <c r="D4752" s="0" t="n">
        <v>0.490890623282333</v>
      </c>
      <c r="E4752" s="0" t="n">
        <v>0.0094384349082418</v>
      </c>
      <c r="F4752" s="0" t="n">
        <v>0</v>
      </c>
      <c r="G4752" s="0" t="n">
        <v>2020</v>
      </c>
    </row>
    <row r="4753" customFormat="false" ht="15" hidden="false" customHeight="false" outlineLevel="0" collapsed="false">
      <c r="A4753" s="0" t="s">
        <v>262</v>
      </c>
      <c r="B4753" s="52" t="n">
        <v>43873</v>
      </c>
      <c r="C4753" s="54" t="s">
        <v>590</v>
      </c>
      <c r="D4753" s="0" t="n">
        <v>0.102960777122618</v>
      </c>
      <c r="E4753" s="0" t="n">
        <v>0.032544655713211</v>
      </c>
      <c r="F4753" s="0" t="n">
        <v>0</v>
      </c>
      <c r="G4753" s="0" t="n">
        <v>2020</v>
      </c>
    </row>
    <row r="4754" customFormat="false" ht="15" hidden="false" customHeight="false" outlineLevel="0" collapsed="false">
      <c r="A4754" s="0" t="s">
        <v>262</v>
      </c>
      <c r="B4754" s="52" t="n">
        <v>43873</v>
      </c>
      <c r="C4754" s="54" t="s">
        <v>591</v>
      </c>
      <c r="D4754" s="0" t="n">
        <v>0.112753583558638</v>
      </c>
      <c r="E4754" s="0" t="n">
        <v>0.0504392343877496</v>
      </c>
      <c r="F4754" s="0" t="n">
        <v>0</v>
      </c>
      <c r="G4754" s="0" t="n">
        <v>2020</v>
      </c>
    </row>
    <row r="4755" customFormat="false" ht="15" hidden="false" customHeight="false" outlineLevel="0" collapsed="false">
      <c r="A4755" s="0" t="s">
        <v>262</v>
      </c>
      <c r="B4755" s="52" t="n">
        <v>43873</v>
      </c>
      <c r="C4755" s="54" t="s">
        <v>592</v>
      </c>
      <c r="D4755" s="0" t="n">
        <v>0.169813483405894</v>
      </c>
      <c r="E4755" s="0" t="n">
        <v>0.0582716905331348</v>
      </c>
      <c r="F4755" s="0" t="n">
        <v>0</v>
      </c>
      <c r="G4755" s="0" t="n">
        <v>2020</v>
      </c>
    </row>
    <row r="4756" customFormat="false" ht="15" hidden="false" customHeight="false" outlineLevel="0" collapsed="false">
      <c r="A4756" s="0" t="s">
        <v>262</v>
      </c>
      <c r="B4756" s="52" t="n">
        <v>43874</v>
      </c>
      <c r="C4756" s="54" t="s">
        <v>590</v>
      </c>
      <c r="D4756" s="0" t="n">
        <v>0.382231997623078</v>
      </c>
      <c r="E4756" s="0" t="n">
        <v>0.0392959850737705</v>
      </c>
      <c r="F4756" s="0" t="n">
        <v>0</v>
      </c>
      <c r="G4756" s="0" t="n">
        <v>2020</v>
      </c>
    </row>
    <row r="4757" customFormat="false" ht="15" hidden="false" customHeight="false" outlineLevel="0" collapsed="false">
      <c r="A4757" s="0" t="s">
        <v>262</v>
      </c>
      <c r="B4757" s="52" t="n">
        <v>43874</v>
      </c>
      <c r="C4757" s="54" t="s">
        <v>591</v>
      </c>
      <c r="D4757" s="0" t="n">
        <v>0.0163649876124205</v>
      </c>
      <c r="E4757" s="0" t="n">
        <v>0.0525912696606543</v>
      </c>
      <c r="F4757" s="0" t="n">
        <v>0</v>
      </c>
      <c r="G4757" s="0" t="n">
        <v>2020</v>
      </c>
    </row>
    <row r="4758" customFormat="false" ht="15" hidden="false" customHeight="false" outlineLevel="0" collapsed="false">
      <c r="A4758" s="0" t="s">
        <v>262</v>
      </c>
      <c r="B4758" s="52" t="n">
        <v>43874</v>
      </c>
      <c r="C4758" s="54" t="s">
        <v>592</v>
      </c>
      <c r="D4758" s="0" t="n">
        <v>0.135487907270641</v>
      </c>
      <c r="E4758" s="0" t="n">
        <v>0.0589992143874445</v>
      </c>
      <c r="F4758" s="0" t="n">
        <v>0</v>
      </c>
      <c r="G4758" s="0" t="n">
        <v>2020</v>
      </c>
    </row>
    <row r="4759" customFormat="false" ht="15" hidden="false" customHeight="false" outlineLevel="0" collapsed="false">
      <c r="A4759" s="0" t="s">
        <v>262</v>
      </c>
      <c r="B4759" s="52" t="n">
        <v>43875</v>
      </c>
      <c r="C4759" s="54" t="s">
        <v>590</v>
      </c>
      <c r="D4759" s="0" t="n">
        <v>0.131555040590625</v>
      </c>
      <c r="E4759" s="0" t="n">
        <v>0.0803194367075915</v>
      </c>
      <c r="F4759" s="0" t="n">
        <v>0</v>
      </c>
      <c r="G4759" s="0" t="n">
        <v>2020</v>
      </c>
    </row>
    <row r="4760" customFormat="false" ht="15" hidden="false" customHeight="false" outlineLevel="0" collapsed="false">
      <c r="A4760" s="0" t="s">
        <v>262</v>
      </c>
      <c r="B4760" s="52" t="n">
        <v>43875</v>
      </c>
      <c r="C4760" s="54" t="s">
        <v>591</v>
      </c>
      <c r="D4760" s="0" t="n">
        <v>0.192419301255123</v>
      </c>
      <c r="E4760" s="0" t="n">
        <v>0.117039782205986</v>
      </c>
      <c r="F4760" s="0" t="n">
        <v>0</v>
      </c>
      <c r="G4760" s="0" t="n">
        <v>2020</v>
      </c>
    </row>
    <row r="4761" customFormat="false" ht="15" hidden="false" customHeight="false" outlineLevel="0" collapsed="false">
      <c r="A4761" s="0" t="s">
        <v>262</v>
      </c>
      <c r="B4761" s="52" t="n">
        <v>43875</v>
      </c>
      <c r="C4761" s="54" t="s">
        <v>592</v>
      </c>
      <c r="D4761" s="0" t="n">
        <v>0</v>
      </c>
      <c r="E4761" s="0" t="n">
        <v>0.0934062404132003</v>
      </c>
      <c r="F4761" s="0" t="n">
        <v>0</v>
      </c>
      <c r="G4761" s="0" t="n">
        <v>2020</v>
      </c>
    </row>
    <row r="4762" customFormat="false" ht="15" hidden="false" customHeight="false" outlineLevel="0" collapsed="false">
      <c r="A4762" s="0" t="s">
        <v>262</v>
      </c>
      <c r="B4762" s="52" t="n">
        <v>43876</v>
      </c>
      <c r="C4762" s="54" t="s">
        <v>590</v>
      </c>
      <c r="D4762" s="0" t="n">
        <v>0.0835045046756491</v>
      </c>
      <c r="E4762" s="0" t="n">
        <v>0.0713263067992027</v>
      </c>
      <c r="F4762" s="0" t="n">
        <v>1</v>
      </c>
      <c r="G4762" s="0" t="n">
        <v>2020</v>
      </c>
    </row>
    <row r="4763" customFormat="false" ht="15" hidden="false" customHeight="false" outlineLevel="0" collapsed="false">
      <c r="A4763" s="0" t="s">
        <v>262</v>
      </c>
      <c r="B4763" s="52" t="n">
        <v>43876</v>
      </c>
      <c r="C4763" s="54" t="s">
        <v>591</v>
      </c>
      <c r="D4763" s="0" t="n">
        <v>0.925116311500614</v>
      </c>
      <c r="E4763" s="0" t="n">
        <v>0.0074053862713005</v>
      </c>
      <c r="F4763" s="0" t="n">
        <v>1</v>
      </c>
      <c r="G4763" s="0" t="n">
        <v>2020</v>
      </c>
    </row>
    <row r="4764" customFormat="false" ht="15" hidden="false" customHeight="false" outlineLevel="0" collapsed="false">
      <c r="A4764" s="0" t="s">
        <v>262</v>
      </c>
      <c r="B4764" s="52" t="n">
        <v>43877</v>
      </c>
      <c r="C4764" s="54" t="s">
        <v>591</v>
      </c>
      <c r="D4764" s="0" t="n">
        <v>0.977699325468717</v>
      </c>
      <c r="E4764" s="0" t="n">
        <v>0</v>
      </c>
      <c r="F4764" s="0" t="n">
        <v>1</v>
      </c>
      <c r="G4764" s="0" t="n">
        <v>2020</v>
      </c>
    </row>
    <row r="4765" customFormat="false" ht="15" hidden="false" customHeight="false" outlineLevel="0" collapsed="false">
      <c r="A4765" s="0" t="s">
        <v>262</v>
      </c>
      <c r="B4765" s="52" t="n">
        <v>43877</v>
      </c>
      <c r="C4765" s="54" t="s">
        <v>592</v>
      </c>
      <c r="D4765" s="0" t="n">
        <v>0.115770961583728</v>
      </c>
      <c r="E4765" s="0" t="n">
        <v>0.0707602621382773</v>
      </c>
      <c r="F4765" s="0" t="n">
        <v>1</v>
      </c>
      <c r="G4765" s="0" t="n">
        <v>2020</v>
      </c>
    </row>
    <row r="4766" customFormat="false" ht="15" hidden="false" customHeight="false" outlineLevel="0" collapsed="false">
      <c r="A4766" s="0" t="s">
        <v>262</v>
      </c>
      <c r="B4766" s="52" t="n">
        <v>43878</v>
      </c>
      <c r="C4766" s="54" t="s">
        <v>590</v>
      </c>
      <c r="D4766" s="0" t="n">
        <v>0.0022910925847646</v>
      </c>
      <c r="E4766" s="0" t="n">
        <v>0.121860930209793</v>
      </c>
      <c r="F4766" s="0" t="n">
        <v>0</v>
      </c>
      <c r="G4766" s="0" t="n">
        <v>2020</v>
      </c>
    </row>
    <row r="4767" customFormat="false" ht="15" hidden="false" customHeight="false" outlineLevel="0" collapsed="false">
      <c r="A4767" s="0" t="s">
        <v>262</v>
      </c>
      <c r="B4767" s="52" t="n">
        <v>43878</v>
      </c>
      <c r="C4767" s="54" t="s">
        <v>591</v>
      </c>
      <c r="D4767" s="0" t="n">
        <v>0.351866211863177</v>
      </c>
      <c r="E4767" s="0" t="n">
        <v>0.005081063531313</v>
      </c>
      <c r="F4767" s="0" t="n">
        <v>0</v>
      </c>
      <c r="G4767" s="0" t="n">
        <v>2020</v>
      </c>
    </row>
    <row r="4768" customFormat="false" ht="15" hidden="false" customHeight="false" outlineLevel="0" collapsed="false">
      <c r="A4768" s="0" t="s">
        <v>262</v>
      </c>
      <c r="B4768" s="52" t="n">
        <v>43878</v>
      </c>
      <c r="C4768" s="54" t="s">
        <v>592</v>
      </c>
      <c r="D4768" s="0" t="n">
        <v>0.993539154478113</v>
      </c>
      <c r="E4768" s="0" t="n">
        <v>0</v>
      </c>
      <c r="F4768" s="0" t="n">
        <v>0</v>
      </c>
      <c r="G4768" s="0" t="n">
        <v>2020</v>
      </c>
    </row>
    <row r="4769" customFormat="false" ht="15" hidden="false" customHeight="false" outlineLevel="0" collapsed="false">
      <c r="A4769" s="0" t="s">
        <v>262</v>
      </c>
      <c r="B4769" s="52" t="n">
        <v>43879</v>
      </c>
      <c r="C4769" s="54" t="s">
        <v>590</v>
      </c>
      <c r="D4769" s="0" t="n">
        <v>0.0298920039099932</v>
      </c>
      <c r="E4769" s="0" t="n">
        <v>0.0686156360615763</v>
      </c>
      <c r="F4769" s="0" t="n">
        <v>0</v>
      </c>
      <c r="G4769" s="0" t="n">
        <v>2020</v>
      </c>
    </row>
    <row r="4770" customFormat="false" ht="15" hidden="false" customHeight="false" outlineLevel="0" collapsed="false">
      <c r="A4770" s="0" t="s">
        <v>262</v>
      </c>
      <c r="B4770" s="52" t="n">
        <v>43879</v>
      </c>
      <c r="C4770" s="54" t="s">
        <v>591</v>
      </c>
      <c r="D4770" s="0" t="n">
        <v>0.305635128531623</v>
      </c>
      <c r="E4770" s="0" t="n">
        <v>0.0624754918047246</v>
      </c>
      <c r="F4770" s="0" t="n">
        <v>0</v>
      </c>
      <c r="G4770" s="0" t="n">
        <v>2020</v>
      </c>
    </row>
    <row r="4771" customFormat="false" ht="15" hidden="false" customHeight="false" outlineLevel="0" collapsed="false">
      <c r="A4771" s="0" t="s">
        <v>262</v>
      </c>
      <c r="B4771" s="52" t="n">
        <v>43879</v>
      </c>
      <c r="C4771" s="54" t="s">
        <v>592</v>
      </c>
      <c r="D4771" s="0" t="n">
        <v>0.116577646115602</v>
      </c>
      <c r="E4771" s="0" t="n">
        <v>0.029094220536107</v>
      </c>
      <c r="F4771" s="0" t="n">
        <v>0</v>
      </c>
      <c r="G4771" s="0" t="n">
        <v>2020</v>
      </c>
    </row>
    <row r="4772" customFormat="false" ht="15" hidden="false" customHeight="false" outlineLevel="0" collapsed="false">
      <c r="A4772" s="0" t="s">
        <v>262</v>
      </c>
      <c r="B4772" s="52" t="n">
        <v>43880</v>
      </c>
      <c r="C4772" s="54" t="s">
        <v>590</v>
      </c>
      <c r="D4772" s="0" t="n">
        <v>0.184711046557225</v>
      </c>
      <c r="E4772" s="0" t="n">
        <v>0.0293733114909648</v>
      </c>
      <c r="F4772" s="0" t="n">
        <v>0</v>
      </c>
      <c r="G4772" s="0" t="n">
        <v>2020</v>
      </c>
    </row>
    <row r="4773" customFormat="false" ht="15" hidden="false" customHeight="false" outlineLevel="0" collapsed="false">
      <c r="A4773" s="0" t="s">
        <v>262</v>
      </c>
      <c r="B4773" s="52" t="n">
        <v>43880</v>
      </c>
      <c r="C4773" s="54" t="s">
        <v>591</v>
      </c>
      <c r="D4773" s="0" t="n">
        <v>0.239020814979752</v>
      </c>
      <c r="E4773" s="0" t="n">
        <v>0.0178233676976739</v>
      </c>
      <c r="F4773" s="0" t="n">
        <v>0</v>
      </c>
      <c r="G4773" s="0" t="n">
        <v>2020</v>
      </c>
    </row>
    <row r="4774" customFormat="false" ht="15" hidden="false" customHeight="false" outlineLevel="0" collapsed="false">
      <c r="A4774" s="0" t="s">
        <v>262</v>
      </c>
      <c r="B4774" s="52" t="n">
        <v>43880</v>
      </c>
      <c r="C4774" s="54" t="s">
        <v>592</v>
      </c>
      <c r="D4774" s="0" t="n">
        <v>0.0016894519203436</v>
      </c>
      <c r="E4774" s="0" t="n">
        <v>0.0608567230800585</v>
      </c>
      <c r="F4774" s="0" t="n">
        <v>0</v>
      </c>
      <c r="G4774" s="0" t="n">
        <v>2020</v>
      </c>
    </row>
    <row r="4775" customFormat="false" ht="15" hidden="false" customHeight="false" outlineLevel="0" collapsed="false">
      <c r="A4775" s="0" t="s">
        <v>262</v>
      </c>
      <c r="B4775" s="52" t="n">
        <v>43881</v>
      </c>
      <c r="C4775" s="54" t="s">
        <v>590</v>
      </c>
      <c r="D4775" s="0" t="n">
        <v>0.191013817515738</v>
      </c>
      <c r="E4775" s="0" t="n">
        <v>0.0086601940604463</v>
      </c>
      <c r="F4775" s="0" t="n">
        <v>0</v>
      </c>
      <c r="G4775" s="0" t="n">
        <v>2020</v>
      </c>
    </row>
    <row r="4776" customFormat="false" ht="15" hidden="false" customHeight="false" outlineLevel="0" collapsed="false">
      <c r="A4776" s="0" t="s">
        <v>262</v>
      </c>
      <c r="B4776" s="52" t="n">
        <v>43881</v>
      </c>
      <c r="C4776" s="54" t="s">
        <v>591</v>
      </c>
      <c r="D4776" s="0" t="n">
        <v>0.997928832667197</v>
      </c>
      <c r="E4776" s="0" t="n">
        <v>0</v>
      </c>
      <c r="F4776" s="0" t="n">
        <v>0</v>
      </c>
      <c r="G4776" s="0" t="n">
        <v>2020</v>
      </c>
    </row>
    <row r="4777" customFormat="false" ht="15" hidden="false" customHeight="false" outlineLevel="0" collapsed="false">
      <c r="A4777" s="0" t="s">
        <v>262</v>
      </c>
      <c r="B4777" s="52" t="n">
        <v>43881</v>
      </c>
      <c r="C4777" s="54" t="s">
        <v>592</v>
      </c>
      <c r="D4777" s="0" t="n">
        <v>0.264711014122721</v>
      </c>
      <c r="E4777" s="0" t="n">
        <v>0.004041182920505</v>
      </c>
      <c r="F4777" s="0" t="n">
        <v>0</v>
      </c>
      <c r="G4777" s="0" t="n">
        <v>2020</v>
      </c>
    </row>
    <row r="4778" customFormat="false" ht="15" hidden="false" customHeight="false" outlineLevel="0" collapsed="false">
      <c r="A4778" s="0" t="s">
        <v>262</v>
      </c>
      <c r="B4778" s="52" t="n">
        <v>43882</v>
      </c>
      <c r="C4778" s="54" t="s">
        <v>590</v>
      </c>
      <c r="D4778" s="0" t="n">
        <v>0.0040038839831511</v>
      </c>
      <c r="E4778" s="0" t="n">
        <v>0.0302303824153305</v>
      </c>
      <c r="F4778" s="0" t="n">
        <v>0</v>
      </c>
      <c r="G4778" s="0" t="n">
        <v>2020</v>
      </c>
    </row>
    <row r="4779" customFormat="false" ht="15" hidden="false" customHeight="false" outlineLevel="0" collapsed="false">
      <c r="A4779" s="0" t="s">
        <v>262</v>
      </c>
      <c r="B4779" s="52" t="n">
        <v>43882</v>
      </c>
      <c r="C4779" s="54" t="s">
        <v>591</v>
      </c>
      <c r="D4779" s="0" t="n">
        <v>0.780480822871139</v>
      </c>
      <c r="E4779" s="0" t="n">
        <v>0.0008463518496205</v>
      </c>
      <c r="F4779" s="0" t="n">
        <v>0</v>
      </c>
      <c r="G4779" s="0" t="n">
        <v>2020</v>
      </c>
    </row>
    <row r="4780" customFormat="false" ht="15" hidden="false" customHeight="false" outlineLevel="0" collapsed="false">
      <c r="A4780" s="0" t="s">
        <v>262</v>
      </c>
      <c r="B4780" s="52" t="n">
        <v>43882</v>
      </c>
      <c r="C4780" s="54" t="s">
        <v>592</v>
      </c>
      <c r="D4780" s="0" t="n">
        <v>0.134890638348988</v>
      </c>
      <c r="E4780" s="0" t="n">
        <v>0.0458063304719071</v>
      </c>
      <c r="F4780" s="0" t="n">
        <v>0</v>
      </c>
      <c r="G4780" s="0" t="n">
        <v>2020</v>
      </c>
    </row>
    <row r="4781" customFormat="false" ht="15" hidden="false" customHeight="false" outlineLevel="0" collapsed="false">
      <c r="A4781" s="0" t="s">
        <v>262</v>
      </c>
      <c r="B4781" s="52" t="n">
        <v>43883</v>
      </c>
      <c r="C4781" s="54" t="s">
        <v>590</v>
      </c>
      <c r="D4781" s="0" t="n">
        <v>0.0227268452210772</v>
      </c>
      <c r="E4781" s="0" t="n">
        <v>0.0301548128676966</v>
      </c>
      <c r="F4781" s="0" t="n">
        <v>1</v>
      </c>
      <c r="G4781" s="0" t="n">
        <v>2020</v>
      </c>
    </row>
    <row r="4782" customFormat="false" ht="15" hidden="false" customHeight="false" outlineLevel="0" collapsed="false">
      <c r="A4782" s="0" t="s">
        <v>262</v>
      </c>
      <c r="B4782" s="52" t="n">
        <v>43883</v>
      </c>
      <c r="C4782" s="54" t="s">
        <v>591</v>
      </c>
      <c r="D4782" s="0" t="n">
        <v>0.139573911017405</v>
      </c>
      <c r="E4782" s="0" t="n">
        <v>0.114924233623158</v>
      </c>
      <c r="F4782" s="0" t="n">
        <v>1</v>
      </c>
      <c r="G4782" s="0" t="n">
        <v>2020</v>
      </c>
    </row>
    <row r="4783" customFormat="false" ht="15" hidden="false" customHeight="false" outlineLevel="0" collapsed="false">
      <c r="A4783" s="0" t="s">
        <v>262</v>
      </c>
      <c r="B4783" s="52" t="n">
        <v>43883</v>
      </c>
      <c r="C4783" s="54" t="s">
        <v>592</v>
      </c>
      <c r="D4783" s="0" t="n">
        <v>0.93177691831129</v>
      </c>
      <c r="E4783" s="0" t="n">
        <v>0.0192833449383374</v>
      </c>
      <c r="F4783" s="0" t="n">
        <v>1</v>
      </c>
      <c r="G4783" s="0" t="n">
        <v>2020</v>
      </c>
    </row>
    <row r="4784" customFormat="false" ht="15" hidden="false" customHeight="false" outlineLevel="0" collapsed="false">
      <c r="A4784" s="0" t="s">
        <v>262</v>
      </c>
      <c r="B4784" s="52" t="n">
        <v>43884</v>
      </c>
      <c r="C4784" s="54" t="s">
        <v>590</v>
      </c>
      <c r="D4784" s="0" t="n">
        <v>0.997981855281891</v>
      </c>
      <c r="E4784" s="0" t="n">
        <v>0</v>
      </c>
      <c r="F4784" s="0" t="n">
        <v>1</v>
      </c>
      <c r="G4784" s="0" t="n">
        <v>2020</v>
      </c>
    </row>
    <row r="4785" customFormat="false" ht="15" hidden="false" customHeight="false" outlineLevel="0" collapsed="false">
      <c r="A4785" s="0" t="s">
        <v>262</v>
      </c>
      <c r="B4785" s="52" t="n">
        <v>43884</v>
      </c>
      <c r="C4785" s="54" t="s">
        <v>591</v>
      </c>
      <c r="D4785" s="0" t="n">
        <v>0.991445015109643</v>
      </c>
      <c r="E4785" s="0" t="n">
        <v>0</v>
      </c>
      <c r="F4785" s="0" t="n">
        <v>1</v>
      </c>
      <c r="G4785" s="0" t="n">
        <v>2020</v>
      </c>
    </row>
    <row r="4786" customFormat="false" ht="15" hidden="false" customHeight="false" outlineLevel="0" collapsed="false">
      <c r="A4786" s="0" t="s">
        <v>262</v>
      </c>
      <c r="B4786" s="52" t="n">
        <v>43884</v>
      </c>
      <c r="C4786" s="54" t="s">
        <v>592</v>
      </c>
      <c r="D4786" s="0" t="n">
        <v>0.302117952417189</v>
      </c>
      <c r="E4786" s="0" t="n">
        <v>0.0077317245210812</v>
      </c>
      <c r="F4786" s="0" t="n">
        <v>1</v>
      </c>
      <c r="G4786" s="0" t="n">
        <v>2020</v>
      </c>
    </row>
    <row r="4787" customFormat="false" ht="15" hidden="false" customHeight="false" outlineLevel="0" collapsed="false">
      <c r="A4787" s="0" t="s">
        <v>262</v>
      </c>
      <c r="B4787" s="52" t="n">
        <v>43885</v>
      </c>
      <c r="C4787" s="54" t="s">
        <v>590</v>
      </c>
      <c r="D4787" s="0" t="n">
        <v>0.140215312651388</v>
      </c>
      <c r="E4787" s="0" t="n">
        <v>0.0434292186086707</v>
      </c>
      <c r="F4787" s="0" t="n">
        <v>0</v>
      </c>
      <c r="G4787" s="0" t="n">
        <v>2020</v>
      </c>
    </row>
    <row r="4788" customFormat="false" ht="15" hidden="false" customHeight="false" outlineLevel="0" collapsed="false">
      <c r="A4788" s="0" t="s">
        <v>262</v>
      </c>
      <c r="B4788" s="52" t="n">
        <v>43885</v>
      </c>
      <c r="C4788" s="54" t="s">
        <v>591</v>
      </c>
      <c r="D4788" s="0" t="n">
        <v>0.0105923395697331</v>
      </c>
      <c r="E4788" s="0" t="n">
        <v>0.0665620104060054</v>
      </c>
      <c r="F4788" s="0" t="n">
        <v>0</v>
      </c>
      <c r="G4788" s="0" t="n">
        <v>2020</v>
      </c>
    </row>
    <row r="4789" customFormat="false" ht="15" hidden="false" customHeight="false" outlineLevel="0" collapsed="false">
      <c r="A4789" s="0" t="s">
        <v>262</v>
      </c>
      <c r="B4789" s="52" t="n">
        <v>43885</v>
      </c>
      <c r="C4789" s="54" t="s">
        <v>592</v>
      </c>
      <c r="D4789" s="0" t="n">
        <v>0.420448289150169</v>
      </c>
      <c r="E4789" s="0" t="n">
        <v>0.0187706966630405</v>
      </c>
      <c r="F4789" s="0" t="n">
        <v>0</v>
      </c>
      <c r="G4789" s="0" t="n">
        <v>2020</v>
      </c>
    </row>
    <row r="4790" customFormat="false" ht="15" hidden="false" customHeight="false" outlineLevel="0" collapsed="false">
      <c r="A4790" s="0" t="s">
        <v>262</v>
      </c>
      <c r="B4790" s="52" t="n">
        <v>43886</v>
      </c>
      <c r="C4790" s="54" t="s">
        <v>590</v>
      </c>
      <c r="D4790" s="0" t="n">
        <v>0.813653512777402</v>
      </c>
      <c r="E4790" s="0" t="n">
        <v>0</v>
      </c>
      <c r="F4790" s="0" t="n">
        <v>0</v>
      </c>
      <c r="G4790" s="0" t="n">
        <v>2020</v>
      </c>
    </row>
    <row r="4791" customFormat="false" ht="15" hidden="false" customHeight="false" outlineLevel="0" collapsed="false">
      <c r="A4791" s="0" t="s">
        <v>262</v>
      </c>
      <c r="B4791" s="52" t="n">
        <v>43886</v>
      </c>
      <c r="C4791" s="54" t="s">
        <v>591</v>
      </c>
      <c r="D4791" s="0" t="n">
        <v>0.0811684162368451</v>
      </c>
      <c r="E4791" s="0" t="n">
        <v>0.0443755219476937</v>
      </c>
      <c r="F4791" s="0" t="n">
        <v>0</v>
      </c>
      <c r="G4791" s="0" t="n">
        <v>2020</v>
      </c>
    </row>
    <row r="4792" customFormat="false" ht="15" hidden="false" customHeight="false" outlineLevel="0" collapsed="false">
      <c r="A4792" s="0" t="s">
        <v>262</v>
      </c>
      <c r="B4792" s="52" t="n">
        <v>43886</v>
      </c>
      <c r="C4792" s="54" t="s">
        <v>592</v>
      </c>
      <c r="D4792" s="0" t="n">
        <v>0.0916942406599828</v>
      </c>
      <c r="E4792" s="0" t="n">
        <v>0.0372810435585358</v>
      </c>
      <c r="F4792" s="0" t="n">
        <v>0</v>
      </c>
      <c r="G4792" s="0" t="n">
        <v>2020</v>
      </c>
    </row>
    <row r="4793" customFormat="false" ht="15" hidden="false" customHeight="false" outlineLevel="0" collapsed="false">
      <c r="A4793" s="0" t="s">
        <v>262</v>
      </c>
      <c r="B4793" s="52" t="n">
        <v>43887</v>
      </c>
      <c r="C4793" s="54" t="s">
        <v>590</v>
      </c>
      <c r="D4793" s="0" t="n">
        <v>0.727360576752302</v>
      </c>
      <c r="E4793" s="0" t="n">
        <v>0.0006391484012992</v>
      </c>
      <c r="F4793" s="0" t="n">
        <v>0</v>
      </c>
      <c r="G4793" s="0" t="n">
        <v>2020</v>
      </c>
    </row>
    <row r="4794" customFormat="false" ht="15" hidden="false" customHeight="false" outlineLevel="0" collapsed="false">
      <c r="A4794" s="0" t="s">
        <v>262</v>
      </c>
      <c r="B4794" s="52" t="n">
        <v>43888</v>
      </c>
      <c r="C4794" s="54" t="s">
        <v>590</v>
      </c>
      <c r="D4794" s="0" t="n">
        <v>0.991175940880639</v>
      </c>
      <c r="E4794" s="0" t="n">
        <v>0</v>
      </c>
      <c r="F4794" s="0" t="n">
        <v>0</v>
      </c>
      <c r="G4794" s="0" t="n">
        <v>2020</v>
      </c>
    </row>
    <row r="4795" customFormat="false" ht="15" hidden="false" customHeight="false" outlineLevel="0" collapsed="false">
      <c r="A4795" s="0" t="s">
        <v>262</v>
      </c>
      <c r="B4795" s="52" t="n">
        <v>43888</v>
      </c>
      <c r="C4795" s="54" t="s">
        <v>591</v>
      </c>
      <c r="D4795" s="0" t="n">
        <v>0.876217267995747</v>
      </c>
      <c r="E4795" s="0" t="n">
        <v>0.0013509355671144</v>
      </c>
      <c r="F4795" s="0" t="n">
        <v>0</v>
      </c>
      <c r="G4795" s="0" t="n">
        <v>2020</v>
      </c>
    </row>
    <row r="4796" customFormat="false" ht="15" hidden="false" customHeight="false" outlineLevel="0" collapsed="false">
      <c r="A4796" s="0" t="s">
        <v>262</v>
      </c>
      <c r="B4796" s="52" t="n">
        <v>43888</v>
      </c>
      <c r="C4796" s="54" t="s">
        <v>592</v>
      </c>
      <c r="D4796" s="0" t="n">
        <v>1</v>
      </c>
      <c r="E4796" s="0" t="n">
        <v>0</v>
      </c>
      <c r="F4796" s="0" t="n">
        <v>0</v>
      </c>
      <c r="G4796" s="0" t="n">
        <v>2020</v>
      </c>
    </row>
    <row r="4797" customFormat="false" ht="15" hidden="false" customHeight="false" outlineLevel="0" collapsed="false">
      <c r="A4797" s="0" t="s">
        <v>262</v>
      </c>
      <c r="B4797" s="52" t="n">
        <v>43889</v>
      </c>
      <c r="C4797" s="54" t="s">
        <v>590</v>
      </c>
      <c r="D4797" s="0" t="n">
        <v>0.976824705768683</v>
      </c>
      <c r="E4797" s="0" t="n">
        <v>0</v>
      </c>
      <c r="F4797" s="0" t="n">
        <v>0</v>
      </c>
      <c r="G4797" s="0" t="n">
        <v>2020</v>
      </c>
    </row>
    <row r="4798" customFormat="false" ht="15" hidden="false" customHeight="false" outlineLevel="0" collapsed="false">
      <c r="A4798" s="0" t="s">
        <v>262</v>
      </c>
      <c r="B4798" s="52" t="n">
        <v>43889</v>
      </c>
      <c r="C4798" s="54" t="s">
        <v>592</v>
      </c>
      <c r="D4798" s="0" t="n">
        <v>1</v>
      </c>
      <c r="E4798" s="0" t="n">
        <v>0</v>
      </c>
      <c r="F4798" s="0" t="n">
        <v>0</v>
      </c>
      <c r="G4798" s="0" t="n">
        <v>2020</v>
      </c>
    </row>
    <row r="4799" customFormat="false" ht="15" hidden="false" customHeight="false" outlineLevel="0" collapsed="false">
      <c r="A4799" s="0" t="s">
        <v>262</v>
      </c>
      <c r="B4799" s="52" t="n">
        <v>43890</v>
      </c>
      <c r="C4799" s="54" t="s">
        <v>590</v>
      </c>
      <c r="D4799" s="0" t="n">
        <v>1</v>
      </c>
      <c r="E4799" s="0" t="n">
        <v>0</v>
      </c>
      <c r="F4799" s="0" t="n">
        <v>1</v>
      </c>
      <c r="G4799" s="0" t="n">
        <v>2020</v>
      </c>
    </row>
    <row r="4800" customFormat="false" ht="15" hidden="false" customHeight="false" outlineLevel="0" collapsed="false">
      <c r="A4800" s="0" t="s">
        <v>262</v>
      </c>
      <c r="B4800" s="52" t="n">
        <v>43890</v>
      </c>
      <c r="C4800" s="54" t="s">
        <v>591</v>
      </c>
      <c r="D4800" s="0" t="n">
        <v>0.536954308432287</v>
      </c>
      <c r="E4800" s="0" t="n">
        <v>0.0059985277977804</v>
      </c>
      <c r="F4800" s="0" t="n">
        <v>1</v>
      </c>
      <c r="G4800" s="0" t="n">
        <v>2020</v>
      </c>
    </row>
    <row r="4801" customFormat="false" ht="15" hidden="false" customHeight="false" outlineLevel="0" collapsed="false">
      <c r="A4801" s="0" t="s">
        <v>262</v>
      </c>
      <c r="B4801" s="52" t="n">
        <v>43890</v>
      </c>
      <c r="C4801" s="54" t="s">
        <v>592</v>
      </c>
      <c r="D4801" s="0" t="n">
        <v>0.0122417198419933</v>
      </c>
      <c r="E4801" s="0" t="n">
        <v>0.0685929256097897</v>
      </c>
      <c r="F4801" s="0" t="n">
        <v>1</v>
      </c>
      <c r="G4801" s="0" t="n">
        <v>2020</v>
      </c>
    </row>
    <row r="4802" customFormat="false" ht="15" hidden="false" customHeight="false" outlineLevel="0" collapsed="false">
      <c r="A4802" s="0" t="s">
        <v>262</v>
      </c>
      <c r="B4802" s="52" t="n">
        <v>43891</v>
      </c>
      <c r="C4802" s="54" t="s">
        <v>590</v>
      </c>
      <c r="D4802" s="0" t="n">
        <v>0</v>
      </c>
      <c r="E4802" s="0" t="n">
        <v>0.0314443960104095</v>
      </c>
      <c r="F4802" s="0" t="n">
        <v>1</v>
      </c>
      <c r="G4802" s="0" t="n">
        <v>2020</v>
      </c>
    </row>
    <row r="4803" customFormat="false" ht="15" hidden="false" customHeight="false" outlineLevel="0" collapsed="false">
      <c r="A4803" s="0" t="s">
        <v>262</v>
      </c>
      <c r="B4803" s="52" t="n">
        <v>43891</v>
      </c>
      <c r="C4803" s="54" t="s">
        <v>591</v>
      </c>
      <c r="D4803" s="0" t="n">
        <v>0.902823682335969</v>
      </c>
      <c r="E4803" s="0" t="n">
        <v>0</v>
      </c>
      <c r="F4803" s="0" t="n">
        <v>1</v>
      </c>
      <c r="G4803" s="0" t="n">
        <v>2020</v>
      </c>
    </row>
    <row r="4804" customFormat="false" ht="15" hidden="false" customHeight="false" outlineLevel="0" collapsed="false">
      <c r="A4804" s="0" t="s">
        <v>262</v>
      </c>
      <c r="B4804" s="52" t="n">
        <v>43891</v>
      </c>
      <c r="C4804" s="54" t="s">
        <v>592</v>
      </c>
      <c r="D4804" s="0" t="n">
        <v>0.173495782023754</v>
      </c>
      <c r="E4804" s="0" t="n">
        <v>0.0255580345485828</v>
      </c>
      <c r="F4804" s="0" t="n">
        <v>1</v>
      </c>
      <c r="G4804" s="0" t="n">
        <v>2020</v>
      </c>
    </row>
    <row r="4805" customFormat="false" ht="15" hidden="false" customHeight="false" outlineLevel="0" collapsed="false">
      <c r="A4805" s="0" t="s">
        <v>262</v>
      </c>
      <c r="B4805" s="52" t="n">
        <v>43892</v>
      </c>
      <c r="C4805" s="54" t="s">
        <v>590</v>
      </c>
      <c r="D4805" s="0" t="n">
        <v>0.0106983108312138</v>
      </c>
      <c r="E4805" s="0" t="n">
        <v>0.0698501158313906</v>
      </c>
      <c r="F4805" s="0" t="n">
        <v>0</v>
      </c>
      <c r="G4805" s="0" t="n">
        <v>2020</v>
      </c>
    </row>
    <row r="4806" customFormat="false" ht="15" hidden="false" customHeight="false" outlineLevel="0" collapsed="false">
      <c r="A4806" s="0" t="s">
        <v>262</v>
      </c>
      <c r="B4806" s="52" t="n">
        <v>43892</v>
      </c>
      <c r="C4806" s="54" t="s">
        <v>591</v>
      </c>
      <c r="D4806" s="0" t="n">
        <v>0.158364995610977</v>
      </c>
      <c r="E4806" s="0" t="n">
        <v>0.0339910216179382</v>
      </c>
      <c r="F4806" s="0" t="n">
        <v>0</v>
      </c>
      <c r="G4806" s="0" t="n">
        <v>2020</v>
      </c>
    </row>
    <row r="4807" customFormat="false" ht="15" hidden="false" customHeight="false" outlineLevel="0" collapsed="false">
      <c r="A4807" s="0" t="s">
        <v>262</v>
      </c>
      <c r="B4807" s="52" t="n">
        <v>43892</v>
      </c>
      <c r="C4807" s="54" t="s">
        <v>592</v>
      </c>
      <c r="D4807" s="0" t="n">
        <v>0.26827425373039</v>
      </c>
      <c r="E4807" s="0" t="n">
        <v>0.0323754023625845</v>
      </c>
      <c r="F4807" s="0" t="n">
        <v>0</v>
      </c>
      <c r="G4807" s="0" t="n">
        <v>2020</v>
      </c>
    </row>
    <row r="4808" customFormat="false" ht="15" hidden="false" customHeight="false" outlineLevel="0" collapsed="false">
      <c r="A4808" s="0" t="s">
        <v>262</v>
      </c>
      <c r="B4808" s="52" t="n">
        <v>43893</v>
      </c>
      <c r="C4808" s="54" t="s">
        <v>590</v>
      </c>
      <c r="D4808" s="0" t="n">
        <v>0.0079979420259857</v>
      </c>
      <c r="E4808" s="0" t="n">
        <v>0.0850317788910124</v>
      </c>
      <c r="F4808" s="0" t="n">
        <v>0</v>
      </c>
      <c r="G4808" s="0" t="n">
        <v>2020</v>
      </c>
    </row>
    <row r="4809" customFormat="false" ht="15" hidden="false" customHeight="false" outlineLevel="0" collapsed="false">
      <c r="A4809" s="0" t="s">
        <v>262</v>
      </c>
      <c r="B4809" s="52" t="n">
        <v>43896</v>
      </c>
      <c r="C4809" s="54" t="s">
        <v>590</v>
      </c>
      <c r="D4809" s="0" t="n">
        <v>0.621742737021588</v>
      </c>
      <c r="E4809" s="0" t="n">
        <v>0</v>
      </c>
      <c r="F4809" s="0" t="n">
        <v>0</v>
      </c>
      <c r="G4809" s="0" t="n">
        <v>2020</v>
      </c>
    </row>
    <row r="4810" customFormat="false" ht="15" hidden="false" customHeight="false" outlineLevel="0" collapsed="false">
      <c r="A4810" s="0" t="s">
        <v>262</v>
      </c>
      <c r="B4810" s="52" t="n">
        <v>43896</v>
      </c>
      <c r="C4810" s="54" t="s">
        <v>591</v>
      </c>
      <c r="D4810" s="0" t="n">
        <v>0.0397217569517037</v>
      </c>
      <c r="E4810" s="0" t="n">
        <v>0.0229195875123093</v>
      </c>
      <c r="F4810" s="0" t="n">
        <v>0</v>
      </c>
      <c r="G4810" s="0" t="n">
        <v>2020</v>
      </c>
    </row>
    <row r="4811" customFormat="false" ht="15" hidden="false" customHeight="false" outlineLevel="0" collapsed="false">
      <c r="A4811" s="0" t="s">
        <v>262</v>
      </c>
      <c r="B4811" s="52" t="n">
        <v>43896</v>
      </c>
      <c r="C4811" s="54" t="s">
        <v>592</v>
      </c>
      <c r="D4811" s="0" t="n">
        <v>0.366461076923794</v>
      </c>
      <c r="E4811" s="0" t="n">
        <v>0.0552182513550585</v>
      </c>
      <c r="F4811" s="0" t="n">
        <v>0</v>
      </c>
      <c r="G4811" s="0" t="n">
        <v>2020</v>
      </c>
    </row>
    <row r="4812" customFormat="false" ht="15" hidden="false" customHeight="false" outlineLevel="0" collapsed="false">
      <c r="A4812" s="0" t="s">
        <v>262</v>
      </c>
      <c r="B4812" s="52" t="n">
        <v>43897</v>
      </c>
      <c r="C4812" s="54" t="s">
        <v>590</v>
      </c>
      <c r="D4812" s="0" t="n">
        <v>0.173734731733336</v>
      </c>
      <c r="E4812" s="0" t="n">
        <v>0.0459557835154389</v>
      </c>
      <c r="F4812" s="0" t="n">
        <v>1</v>
      </c>
      <c r="G4812" s="0" t="n">
        <v>2020</v>
      </c>
    </row>
    <row r="4813" customFormat="false" ht="15" hidden="false" customHeight="false" outlineLevel="0" collapsed="false">
      <c r="A4813" s="0" t="s">
        <v>262</v>
      </c>
      <c r="B4813" s="52" t="n">
        <v>43897</v>
      </c>
      <c r="C4813" s="54" t="s">
        <v>591</v>
      </c>
      <c r="D4813" s="0" t="n">
        <v>0.0017078083970012</v>
      </c>
      <c r="E4813" s="0" t="n">
        <v>0.0635956319494618</v>
      </c>
      <c r="F4813" s="0" t="n">
        <v>1</v>
      </c>
      <c r="G4813" s="0" t="n">
        <v>2020</v>
      </c>
    </row>
    <row r="4814" customFormat="false" ht="15" hidden="false" customHeight="false" outlineLevel="0" collapsed="false">
      <c r="A4814" s="0" t="s">
        <v>262</v>
      </c>
      <c r="B4814" s="52" t="n">
        <v>43897</v>
      </c>
      <c r="C4814" s="54" t="s">
        <v>592</v>
      </c>
      <c r="D4814" s="0" t="n">
        <v>0.144407743567757</v>
      </c>
      <c r="E4814" s="0" t="n">
        <v>0.0229077010481585</v>
      </c>
      <c r="F4814" s="0" t="n">
        <v>1</v>
      </c>
      <c r="G4814" s="0" t="n">
        <v>2020</v>
      </c>
    </row>
    <row r="4815" customFormat="false" ht="15" hidden="false" customHeight="false" outlineLevel="0" collapsed="false">
      <c r="A4815" s="0" t="s">
        <v>262</v>
      </c>
      <c r="B4815" s="52" t="n">
        <v>43898</v>
      </c>
      <c r="C4815" s="54" t="s">
        <v>590</v>
      </c>
      <c r="D4815" s="0" t="n">
        <v>1</v>
      </c>
      <c r="E4815" s="0" t="n">
        <v>0</v>
      </c>
      <c r="F4815" s="0" t="n">
        <v>1</v>
      </c>
      <c r="G4815" s="0" t="n">
        <v>2020</v>
      </c>
    </row>
    <row r="4816" customFormat="false" ht="15" hidden="false" customHeight="false" outlineLevel="0" collapsed="false">
      <c r="A4816" s="0" t="s">
        <v>262</v>
      </c>
      <c r="B4816" s="52" t="n">
        <v>43898</v>
      </c>
      <c r="C4816" s="54" t="s">
        <v>591</v>
      </c>
      <c r="D4816" s="0" t="n">
        <v>0.995882336936454</v>
      </c>
      <c r="E4816" s="0" t="n">
        <v>0</v>
      </c>
      <c r="F4816" s="0" t="n">
        <v>1</v>
      </c>
      <c r="G4816" s="0" t="n">
        <v>2020</v>
      </c>
    </row>
    <row r="4817" customFormat="false" ht="15" hidden="false" customHeight="false" outlineLevel="0" collapsed="false">
      <c r="A4817" s="0" t="s">
        <v>262</v>
      </c>
      <c r="B4817" s="52" t="n">
        <v>43898</v>
      </c>
      <c r="C4817" s="54" t="s">
        <v>592</v>
      </c>
      <c r="D4817" s="0" t="n">
        <v>0.035269773968007</v>
      </c>
      <c r="E4817" s="0" t="n">
        <v>0.0303077190153816</v>
      </c>
      <c r="F4817" s="0" t="n">
        <v>1</v>
      </c>
      <c r="G4817" s="0" t="n">
        <v>2020</v>
      </c>
    </row>
    <row r="4818" customFormat="false" ht="15" hidden="false" customHeight="false" outlineLevel="0" collapsed="false">
      <c r="A4818" s="0" t="s">
        <v>262</v>
      </c>
      <c r="B4818" s="52" t="n">
        <v>43899</v>
      </c>
      <c r="C4818" s="54" t="s">
        <v>590</v>
      </c>
      <c r="D4818" s="0" t="n">
        <v>0.0079300637721872</v>
      </c>
      <c r="E4818" s="0" t="n">
        <v>0.112246255412037</v>
      </c>
      <c r="F4818" s="0" t="n">
        <v>0</v>
      </c>
      <c r="G4818" s="0" t="n">
        <v>2020</v>
      </c>
    </row>
    <row r="4819" customFormat="false" ht="15" hidden="false" customHeight="false" outlineLevel="0" collapsed="false">
      <c r="A4819" s="0" t="s">
        <v>262</v>
      </c>
      <c r="B4819" s="52" t="n">
        <v>43899</v>
      </c>
      <c r="C4819" s="54" t="s">
        <v>591</v>
      </c>
      <c r="D4819" s="0" t="n">
        <v>0.458699426806007</v>
      </c>
      <c r="E4819" s="0" t="n">
        <v>0.0363645419006777</v>
      </c>
      <c r="F4819" s="0" t="n">
        <v>0</v>
      </c>
      <c r="G4819" s="0" t="n">
        <v>2020</v>
      </c>
    </row>
    <row r="4820" customFormat="false" ht="15" hidden="false" customHeight="false" outlineLevel="0" collapsed="false">
      <c r="A4820" s="0" t="s">
        <v>262</v>
      </c>
      <c r="B4820" s="52" t="n">
        <v>43899</v>
      </c>
      <c r="C4820" s="54" t="s">
        <v>592</v>
      </c>
      <c r="D4820" s="0" t="n">
        <v>0.302351864535234</v>
      </c>
      <c r="E4820" s="0" t="n">
        <v>0.0065394326100683</v>
      </c>
      <c r="F4820" s="0" t="n">
        <v>0</v>
      </c>
      <c r="G4820" s="0" t="n">
        <v>2020</v>
      </c>
    </row>
    <row r="4821" customFormat="false" ht="15" hidden="false" customHeight="false" outlineLevel="0" collapsed="false">
      <c r="A4821" s="0" t="s">
        <v>262</v>
      </c>
      <c r="B4821" s="52" t="n">
        <v>43900</v>
      </c>
      <c r="C4821" s="54" t="s">
        <v>590</v>
      </c>
      <c r="D4821" s="0" t="n">
        <v>0.705306967334166</v>
      </c>
      <c r="E4821" s="0" t="n">
        <v>0</v>
      </c>
      <c r="F4821" s="0" t="n">
        <v>0</v>
      </c>
      <c r="G4821" s="0" t="n">
        <v>2020</v>
      </c>
    </row>
    <row r="4822" customFormat="false" ht="15" hidden="false" customHeight="false" outlineLevel="0" collapsed="false">
      <c r="A4822" s="0" t="s">
        <v>262</v>
      </c>
      <c r="B4822" s="52" t="n">
        <v>43900</v>
      </c>
      <c r="C4822" s="54" t="s">
        <v>591</v>
      </c>
      <c r="D4822" s="0" t="n">
        <v>0.0054383617760308</v>
      </c>
      <c r="E4822" s="0" t="n">
        <v>0.0424721979307335</v>
      </c>
      <c r="F4822" s="0" t="n">
        <v>0</v>
      </c>
      <c r="G4822" s="0" t="n">
        <v>2020</v>
      </c>
    </row>
    <row r="4823" customFormat="false" ht="15" hidden="false" customHeight="false" outlineLevel="0" collapsed="false">
      <c r="A4823" s="0" t="s">
        <v>262</v>
      </c>
      <c r="B4823" s="52" t="n">
        <v>43900</v>
      </c>
      <c r="C4823" s="54" t="s">
        <v>592</v>
      </c>
      <c r="D4823" s="0" t="n">
        <v>0.0762956887123592</v>
      </c>
      <c r="E4823" s="0" t="n">
        <v>0.0438262238052998</v>
      </c>
      <c r="F4823" s="0" t="n">
        <v>0</v>
      </c>
      <c r="G4823" s="0" t="n">
        <v>2020</v>
      </c>
    </row>
    <row r="4824" customFormat="false" ht="15" hidden="false" customHeight="false" outlineLevel="0" collapsed="false">
      <c r="A4824" s="0" t="s">
        <v>262</v>
      </c>
      <c r="B4824" s="52" t="n">
        <v>43901</v>
      </c>
      <c r="C4824" s="54" t="s">
        <v>590</v>
      </c>
      <c r="D4824" s="0" t="n">
        <v>0.367402666625274</v>
      </c>
      <c r="E4824" s="0" t="n">
        <v>0.0127406723272</v>
      </c>
      <c r="F4824" s="0" t="n">
        <v>0</v>
      </c>
      <c r="G4824" s="0" t="n">
        <v>2020</v>
      </c>
    </row>
    <row r="4825" customFormat="false" ht="15" hidden="false" customHeight="false" outlineLevel="0" collapsed="false">
      <c r="A4825" s="0" t="s">
        <v>262</v>
      </c>
      <c r="B4825" s="52" t="n">
        <v>43901</v>
      </c>
      <c r="C4825" s="54" t="s">
        <v>591</v>
      </c>
      <c r="D4825" s="0" t="n">
        <v>0.319872831139453</v>
      </c>
      <c r="E4825" s="0" t="n">
        <v>0.0098945109198298</v>
      </c>
      <c r="F4825" s="0" t="n">
        <v>0</v>
      </c>
      <c r="G4825" s="0" t="n">
        <v>2020</v>
      </c>
    </row>
    <row r="4826" customFormat="false" ht="15" hidden="false" customHeight="false" outlineLevel="0" collapsed="false">
      <c r="A4826" s="0" t="s">
        <v>262</v>
      </c>
      <c r="B4826" s="52" t="n">
        <v>43901</v>
      </c>
      <c r="C4826" s="54" t="s">
        <v>592</v>
      </c>
      <c r="D4826" s="0" t="n">
        <v>0.169752082235063</v>
      </c>
      <c r="E4826" s="0" t="n">
        <v>0.0318579708231827</v>
      </c>
      <c r="F4826" s="0" t="n">
        <v>0</v>
      </c>
      <c r="G4826" s="0" t="n">
        <v>2020</v>
      </c>
    </row>
    <row r="4827" customFormat="false" ht="15" hidden="false" customHeight="false" outlineLevel="0" collapsed="false">
      <c r="A4827" s="0" t="s">
        <v>262</v>
      </c>
      <c r="B4827" s="52" t="n">
        <v>43902</v>
      </c>
      <c r="C4827" s="54" t="s">
        <v>590</v>
      </c>
      <c r="D4827" s="0" t="n">
        <v>0.18978168747486</v>
      </c>
      <c r="E4827" s="0" t="n">
        <v>0.0401848840617393</v>
      </c>
      <c r="F4827" s="0" t="n">
        <v>0</v>
      </c>
      <c r="G4827" s="0" t="n">
        <v>2020</v>
      </c>
    </row>
    <row r="4828" customFormat="false" ht="15" hidden="false" customHeight="false" outlineLevel="0" collapsed="false">
      <c r="A4828" s="0" t="s">
        <v>262</v>
      </c>
      <c r="B4828" s="52" t="n">
        <v>43902</v>
      </c>
      <c r="C4828" s="54" t="s">
        <v>591</v>
      </c>
      <c r="D4828" s="0" t="n">
        <v>0.613979528779988</v>
      </c>
      <c r="E4828" s="0" t="n">
        <v>0</v>
      </c>
      <c r="F4828" s="0" t="n">
        <v>0</v>
      </c>
      <c r="G4828" s="0" t="n">
        <v>2020</v>
      </c>
    </row>
    <row r="4829" customFormat="false" ht="15" hidden="false" customHeight="false" outlineLevel="0" collapsed="false">
      <c r="A4829" s="0" t="s">
        <v>262</v>
      </c>
      <c r="B4829" s="52" t="n">
        <v>43902</v>
      </c>
      <c r="C4829" s="54" t="s">
        <v>592</v>
      </c>
      <c r="D4829" s="0" t="n">
        <v>0.332369328156765</v>
      </c>
      <c r="E4829" s="0" t="n">
        <v>0.0124850073665079</v>
      </c>
      <c r="F4829" s="0" t="n">
        <v>0</v>
      </c>
      <c r="G4829" s="0" t="n">
        <v>2020</v>
      </c>
    </row>
    <row r="4830" customFormat="false" ht="15" hidden="false" customHeight="false" outlineLevel="0" collapsed="false">
      <c r="A4830" s="0" t="s">
        <v>262</v>
      </c>
      <c r="B4830" s="52" t="n">
        <v>43903</v>
      </c>
      <c r="C4830" s="54" t="s">
        <v>590</v>
      </c>
      <c r="D4830" s="0" t="n">
        <v>0.269657176824653</v>
      </c>
      <c r="E4830" s="0" t="n">
        <v>0.0626030151565423</v>
      </c>
      <c r="F4830" s="0" t="n">
        <v>0</v>
      </c>
      <c r="G4830" s="0" t="n">
        <v>2020</v>
      </c>
    </row>
    <row r="4831" customFormat="false" ht="15" hidden="false" customHeight="false" outlineLevel="0" collapsed="false">
      <c r="A4831" s="0" t="s">
        <v>262</v>
      </c>
      <c r="B4831" s="52" t="n">
        <v>43903</v>
      </c>
      <c r="C4831" s="54" t="s">
        <v>591</v>
      </c>
      <c r="D4831" s="0" t="n">
        <v>0.717963554909331</v>
      </c>
      <c r="E4831" s="0" t="n">
        <v>0</v>
      </c>
      <c r="F4831" s="0" t="n">
        <v>0</v>
      </c>
      <c r="G4831" s="0" t="n">
        <v>2020</v>
      </c>
    </row>
    <row r="4832" customFormat="false" ht="15" hidden="false" customHeight="false" outlineLevel="0" collapsed="false">
      <c r="A4832" s="0" t="s">
        <v>262</v>
      </c>
      <c r="B4832" s="52" t="n">
        <v>43903</v>
      </c>
      <c r="C4832" s="54" t="s">
        <v>592</v>
      </c>
      <c r="D4832" s="0" t="n">
        <v>0.0479920121391203</v>
      </c>
      <c r="E4832" s="0" t="n">
        <v>0.0579337947677364</v>
      </c>
      <c r="F4832" s="0" t="n">
        <v>0</v>
      </c>
      <c r="G4832" s="0" t="n">
        <v>2020</v>
      </c>
    </row>
    <row r="4833" customFormat="false" ht="15" hidden="false" customHeight="false" outlineLevel="0" collapsed="false">
      <c r="A4833" s="0" t="s">
        <v>262</v>
      </c>
      <c r="B4833" s="52" t="n">
        <v>43904</v>
      </c>
      <c r="C4833" s="54" t="s">
        <v>590</v>
      </c>
      <c r="D4833" s="0" t="n">
        <v>0.0754290474535579</v>
      </c>
      <c r="E4833" s="0" t="n">
        <v>0.122182788071627</v>
      </c>
      <c r="F4833" s="0" t="n">
        <v>1</v>
      </c>
      <c r="G4833" s="0" t="n">
        <v>2020</v>
      </c>
    </row>
    <row r="4834" customFormat="false" ht="15" hidden="false" customHeight="false" outlineLevel="0" collapsed="false">
      <c r="A4834" s="0" t="s">
        <v>262</v>
      </c>
      <c r="B4834" s="52" t="n">
        <v>43904</v>
      </c>
      <c r="C4834" s="54" t="s">
        <v>591</v>
      </c>
      <c r="D4834" s="0" t="n">
        <v>0.171129850257844</v>
      </c>
      <c r="E4834" s="0" t="n">
        <v>0.0162647025592387</v>
      </c>
      <c r="F4834" s="0" t="n">
        <v>1</v>
      </c>
      <c r="G4834" s="0" t="n">
        <v>2020</v>
      </c>
    </row>
    <row r="4835" customFormat="false" ht="15" hidden="false" customHeight="false" outlineLevel="0" collapsed="false">
      <c r="A4835" s="0" t="s">
        <v>262</v>
      </c>
      <c r="B4835" s="52" t="n">
        <v>43904</v>
      </c>
      <c r="C4835" s="54" t="s">
        <v>592</v>
      </c>
      <c r="D4835" s="0" t="n">
        <v>1</v>
      </c>
      <c r="E4835" s="0" t="n">
        <v>0</v>
      </c>
      <c r="F4835" s="0" t="n">
        <v>1</v>
      </c>
      <c r="G4835" s="0" t="n">
        <v>2020</v>
      </c>
    </row>
    <row r="4836" customFormat="false" ht="15" hidden="false" customHeight="false" outlineLevel="0" collapsed="false">
      <c r="A4836" s="0" t="s">
        <v>262</v>
      </c>
      <c r="B4836" s="52" t="n">
        <v>43905</v>
      </c>
      <c r="C4836" s="54" t="s">
        <v>590</v>
      </c>
      <c r="D4836" s="0" t="n">
        <v>1</v>
      </c>
      <c r="E4836" s="0" t="n">
        <v>0</v>
      </c>
      <c r="F4836" s="0" t="n">
        <v>1</v>
      </c>
      <c r="G4836" s="0" t="n">
        <v>2020</v>
      </c>
    </row>
    <row r="4837" customFormat="false" ht="15" hidden="false" customHeight="false" outlineLevel="0" collapsed="false">
      <c r="A4837" s="0" t="s">
        <v>262</v>
      </c>
      <c r="B4837" s="52" t="n">
        <v>43905</v>
      </c>
      <c r="C4837" s="54" t="s">
        <v>591</v>
      </c>
      <c r="D4837" s="0" t="n">
        <v>1</v>
      </c>
      <c r="E4837" s="0" t="n">
        <v>0</v>
      </c>
      <c r="F4837" s="0" t="n">
        <v>1</v>
      </c>
      <c r="G4837" s="0" t="n">
        <v>2020</v>
      </c>
    </row>
    <row r="4838" customFormat="false" ht="15" hidden="false" customHeight="false" outlineLevel="0" collapsed="false">
      <c r="A4838" s="0" t="s">
        <v>262</v>
      </c>
      <c r="B4838" s="52" t="n">
        <v>43905</v>
      </c>
      <c r="C4838" s="54" t="s">
        <v>592</v>
      </c>
      <c r="D4838" s="0" t="n">
        <v>0.191328140809183</v>
      </c>
      <c r="E4838" s="0" t="n">
        <v>0.0108192489827622</v>
      </c>
      <c r="F4838" s="0" t="n">
        <v>1</v>
      </c>
      <c r="G4838" s="0" t="n">
        <v>2020</v>
      </c>
    </row>
    <row r="4839" customFormat="false" ht="15" hidden="false" customHeight="false" outlineLevel="0" collapsed="false">
      <c r="A4839" s="0" t="s">
        <v>262</v>
      </c>
      <c r="B4839" s="52" t="n">
        <v>43906</v>
      </c>
      <c r="C4839" s="54" t="s">
        <v>590</v>
      </c>
      <c r="D4839" s="0" t="n">
        <v>0.0012408876613068</v>
      </c>
      <c r="E4839" s="0" t="n">
        <v>0.0693951954864237</v>
      </c>
      <c r="F4839" s="0" t="n">
        <v>0</v>
      </c>
      <c r="G4839" s="0" t="n">
        <v>2020</v>
      </c>
    </row>
    <row r="4840" customFormat="false" ht="15" hidden="false" customHeight="false" outlineLevel="0" collapsed="false">
      <c r="A4840" s="0" t="s">
        <v>262</v>
      </c>
      <c r="B4840" s="52" t="n">
        <v>43906</v>
      </c>
      <c r="C4840" s="54" t="s">
        <v>591</v>
      </c>
      <c r="D4840" s="0" t="n">
        <v>0.105907034477756</v>
      </c>
      <c r="E4840" s="0" t="n">
        <v>0.123003136154472</v>
      </c>
      <c r="F4840" s="0" t="n">
        <v>0</v>
      </c>
      <c r="G4840" s="0" t="n">
        <v>2020</v>
      </c>
    </row>
    <row r="4841" customFormat="false" ht="15" hidden="false" customHeight="false" outlineLevel="0" collapsed="false">
      <c r="A4841" s="0" t="s">
        <v>262</v>
      </c>
      <c r="B4841" s="52" t="n">
        <v>43906</v>
      </c>
      <c r="C4841" s="54" t="s">
        <v>592</v>
      </c>
      <c r="D4841" s="0" t="n">
        <v>0.99900216076784</v>
      </c>
      <c r="E4841" s="0" t="n">
        <v>0</v>
      </c>
      <c r="F4841" s="0" t="n">
        <v>0</v>
      </c>
      <c r="G4841" s="0" t="n">
        <v>2020</v>
      </c>
    </row>
    <row r="4842" customFormat="false" ht="15" hidden="false" customHeight="false" outlineLevel="0" collapsed="false">
      <c r="A4842" s="0" t="s">
        <v>262</v>
      </c>
      <c r="B4842" s="52" t="n">
        <v>43907</v>
      </c>
      <c r="C4842" s="54" t="s">
        <v>590</v>
      </c>
      <c r="D4842" s="0" t="n">
        <v>0.303948431420855</v>
      </c>
      <c r="E4842" s="0" t="n">
        <v>0.0274999883791736</v>
      </c>
      <c r="F4842" s="0" t="n">
        <v>0</v>
      </c>
      <c r="G4842" s="0" t="n">
        <v>2020</v>
      </c>
    </row>
    <row r="4843" customFormat="false" ht="15" hidden="false" customHeight="false" outlineLevel="0" collapsed="false">
      <c r="A4843" s="0" t="s">
        <v>262</v>
      </c>
      <c r="B4843" s="52" t="n">
        <v>43907</v>
      </c>
      <c r="C4843" s="54" t="s">
        <v>591</v>
      </c>
      <c r="D4843" s="0" t="n">
        <v>0.095413416015899</v>
      </c>
      <c r="E4843" s="0" t="n">
        <v>0.0393859171316372</v>
      </c>
      <c r="F4843" s="0" t="n">
        <v>0</v>
      </c>
      <c r="G4843" s="0" t="n">
        <v>2020</v>
      </c>
    </row>
    <row r="4844" customFormat="false" ht="15" hidden="false" customHeight="false" outlineLevel="0" collapsed="false">
      <c r="A4844" s="0" t="s">
        <v>262</v>
      </c>
      <c r="B4844" s="52" t="n">
        <v>43907</v>
      </c>
      <c r="C4844" s="54" t="s">
        <v>592</v>
      </c>
      <c r="D4844" s="0" t="n">
        <v>0.224515800377732</v>
      </c>
      <c r="E4844" s="0" t="n">
        <v>0.0249762518825891</v>
      </c>
      <c r="F4844" s="0" t="n">
        <v>0</v>
      </c>
      <c r="G4844" s="0" t="n">
        <v>2020</v>
      </c>
    </row>
    <row r="4845" customFormat="false" ht="15" hidden="false" customHeight="false" outlineLevel="0" collapsed="false">
      <c r="A4845" s="0" t="s">
        <v>262</v>
      </c>
      <c r="B4845" s="52" t="n">
        <v>43908</v>
      </c>
      <c r="C4845" s="54" t="s">
        <v>590</v>
      </c>
      <c r="D4845" s="0" t="n">
        <v>0.521830342194283</v>
      </c>
      <c r="E4845" s="0" t="n">
        <v>0.0148164791930964</v>
      </c>
      <c r="F4845" s="0" t="n">
        <v>0</v>
      </c>
      <c r="G4845" s="0" t="n">
        <v>2020</v>
      </c>
    </row>
    <row r="4846" customFormat="false" ht="15" hidden="false" customHeight="false" outlineLevel="0" collapsed="false">
      <c r="A4846" s="0" t="s">
        <v>262</v>
      </c>
      <c r="B4846" s="52" t="n">
        <v>43908</v>
      </c>
      <c r="C4846" s="54" t="s">
        <v>591</v>
      </c>
      <c r="D4846" s="0" t="n">
        <v>0.026754444738315</v>
      </c>
      <c r="E4846" s="0" t="n">
        <v>0.0051449453459467</v>
      </c>
      <c r="F4846" s="0" t="n">
        <v>0</v>
      </c>
      <c r="G4846" s="0" t="n">
        <v>2020</v>
      </c>
    </row>
    <row r="4847" customFormat="false" ht="15" hidden="false" customHeight="false" outlineLevel="0" collapsed="false">
      <c r="A4847" s="0" t="s">
        <v>262</v>
      </c>
      <c r="B4847" s="52" t="n">
        <v>43908</v>
      </c>
      <c r="C4847" s="54" t="s">
        <v>592</v>
      </c>
      <c r="D4847" s="0" t="n">
        <v>0.0226636071655062</v>
      </c>
      <c r="E4847" s="0" t="n">
        <v>0.0765937553747737</v>
      </c>
      <c r="F4847" s="0" t="n">
        <v>0</v>
      </c>
      <c r="G4847" s="0" t="n">
        <v>2020</v>
      </c>
    </row>
    <row r="4848" customFormat="false" ht="15" hidden="false" customHeight="false" outlineLevel="0" collapsed="false">
      <c r="A4848" s="0" t="s">
        <v>262</v>
      </c>
      <c r="B4848" s="52" t="n">
        <v>43909</v>
      </c>
      <c r="C4848" s="54" t="s">
        <v>590</v>
      </c>
      <c r="D4848" s="0" t="n">
        <v>0.356724368847482</v>
      </c>
      <c r="E4848" s="0" t="n">
        <v>0.0222100134324589</v>
      </c>
      <c r="F4848" s="0" t="n">
        <v>0</v>
      </c>
      <c r="G4848" s="0" t="n">
        <v>2020</v>
      </c>
    </row>
    <row r="4849" customFormat="false" ht="15" hidden="false" customHeight="false" outlineLevel="0" collapsed="false">
      <c r="A4849" s="0" t="s">
        <v>262</v>
      </c>
      <c r="B4849" s="52" t="n">
        <v>43909</v>
      </c>
      <c r="C4849" s="54" t="s">
        <v>591</v>
      </c>
      <c r="D4849" s="0" t="n">
        <v>0.159780566355983</v>
      </c>
      <c r="E4849" s="0" t="n">
        <v>0.0255288641977904</v>
      </c>
      <c r="F4849" s="0" t="n">
        <v>0</v>
      </c>
      <c r="G4849" s="0" t="n">
        <v>2020</v>
      </c>
    </row>
    <row r="4850" customFormat="false" ht="15" hidden="false" customHeight="false" outlineLevel="0" collapsed="false">
      <c r="A4850" s="0" t="s">
        <v>262</v>
      </c>
      <c r="B4850" s="52" t="n">
        <v>43909</v>
      </c>
      <c r="C4850" s="54" t="s">
        <v>592</v>
      </c>
      <c r="D4850" s="0" t="n">
        <v>0.096338650997029</v>
      </c>
      <c r="E4850" s="0" t="n">
        <v>0.0689211185982089</v>
      </c>
      <c r="F4850" s="0" t="n">
        <v>0</v>
      </c>
      <c r="G4850" s="0" t="n">
        <v>2020</v>
      </c>
    </row>
    <row r="4851" customFormat="false" ht="15" hidden="false" customHeight="false" outlineLevel="0" collapsed="false">
      <c r="A4851" s="0" t="s">
        <v>262</v>
      </c>
      <c r="B4851" s="52" t="n">
        <v>43910</v>
      </c>
      <c r="C4851" s="54" t="s">
        <v>590</v>
      </c>
      <c r="D4851" s="0" t="n">
        <v>0.192692937252356</v>
      </c>
      <c r="E4851" s="0" t="n">
        <v>0.0928869930461593</v>
      </c>
      <c r="F4851" s="0" t="n">
        <v>0</v>
      </c>
      <c r="G4851" s="0" t="n">
        <v>2020</v>
      </c>
    </row>
    <row r="4852" customFormat="false" ht="15" hidden="false" customHeight="false" outlineLevel="0" collapsed="false">
      <c r="A4852" s="0" t="s">
        <v>262</v>
      </c>
      <c r="B4852" s="52" t="n">
        <v>43910</v>
      </c>
      <c r="C4852" s="54" t="s">
        <v>591</v>
      </c>
      <c r="D4852" s="0" t="n">
        <v>0.368064508954686</v>
      </c>
      <c r="E4852" s="0" t="n">
        <v>0.0596780671685995</v>
      </c>
      <c r="F4852" s="0" t="n">
        <v>0</v>
      </c>
      <c r="G4852" s="0" t="n">
        <v>2020</v>
      </c>
    </row>
    <row r="4853" customFormat="false" ht="15" hidden="false" customHeight="false" outlineLevel="0" collapsed="false">
      <c r="A4853" s="0" t="s">
        <v>262</v>
      </c>
      <c r="B4853" s="52" t="n">
        <v>43910</v>
      </c>
      <c r="C4853" s="54" t="s">
        <v>592</v>
      </c>
      <c r="D4853" s="0" t="n">
        <v>0.785072429116296</v>
      </c>
      <c r="E4853" s="0" t="n">
        <v>0</v>
      </c>
      <c r="F4853" s="0" t="n">
        <v>0</v>
      </c>
      <c r="G4853" s="0" t="n">
        <v>2020</v>
      </c>
    </row>
    <row r="4854" customFormat="false" ht="15" hidden="false" customHeight="false" outlineLevel="0" collapsed="false">
      <c r="A4854" s="0" t="s">
        <v>262</v>
      </c>
      <c r="B4854" s="52" t="n">
        <v>43911</v>
      </c>
      <c r="C4854" s="54" t="s">
        <v>590</v>
      </c>
      <c r="D4854" s="0" t="n">
        <v>0.0284287443313969</v>
      </c>
      <c r="E4854" s="0" t="n">
        <v>0.046907834761043</v>
      </c>
      <c r="F4854" s="0" t="n">
        <v>1</v>
      </c>
      <c r="G4854" s="0" t="n">
        <v>2020</v>
      </c>
    </row>
    <row r="4855" customFormat="false" ht="15" hidden="false" customHeight="false" outlineLevel="0" collapsed="false">
      <c r="A4855" s="0" t="s">
        <v>262</v>
      </c>
      <c r="B4855" s="52" t="n">
        <v>43911</v>
      </c>
      <c r="C4855" s="54" t="s">
        <v>591</v>
      </c>
      <c r="D4855" s="0" t="n">
        <v>0.0413816713062087</v>
      </c>
      <c r="E4855" s="0" t="n">
        <v>0.0202706321090045</v>
      </c>
      <c r="F4855" s="0" t="n">
        <v>1</v>
      </c>
      <c r="G4855" s="0" t="n">
        <v>2020</v>
      </c>
    </row>
    <row r="4856" customFormat="false" ht="15" hidden="false" customHeight="false" outlineLevel="0" collapsed="false">
      <c r="A4856" s="0" t="s">
        <v>262</v>
      </c>
      <c r="B4856" s="52" t="n">
        <v>43911</v>
      </c>
      <c r="C4856" s="54" t="s">
        <v>592</v>
      </c>
      <c r="D4856" s="0" t="n">
        <v>0.344066199486607</v>
      </c>
      <c r="E4856" s="0" t="n">
        <v>0.044708120773627</v>
      </c>
      <c r="F4856" s="0" t="n">
        <v>1</v>
      </c>
      <c r="G4856" s="0" t="n">
        <v>2020</v>
      </c>
    </row>
    <row r="4857" customFormat="false" ht="15" hidden="false" customHeight="false" outlineLevel="0" collapsed="false">
      <c r="A4857" s="0" t="s">
        <v>262</v>
      </c>
      <c r="B4857" s="52" t="n">
        <v>43912</v>
      </c>
      <c r="C4857" s="54" t="s">
        <v>590</v>
      </c>
      <c r="D4857" s="0" t="n">
        <v>1</v>
      </c>
      <c r="E4857" s="0" t="n">
        <v>0</v>
      </c>
      <c r="F4857" s="0" t="n">
        <v>1</v>
      </c>
      <c r="G4857" s="0" t="n">
        <v>2020</v>
      </c>
    </row>
    <row r="4858" customFormat="false" ht="15" hidden="false" customHeight="false" outlineLevel="0" collapsed="false">
      <c r="A4858" s="0" t="s">
        <v>262</v>
      </c>
      <c r="B4858" s="52" t="n">
        <v>43912</v>
      </c>
      <c r="C4858" s="54" t="s">
        <v>591</v>
      </c>
      <c r="D4858" s="0" t="n">
        <v>0.996037908489584</v>
      </c>
      <c r="E4858" s="0" t="n">
        <v>0</v>
      </c>
      <c r="F4858" s="0" t="n">
        <v>1</v>
      </c>
      <c r="G4858" s="0" t="n">
        <v>2020</v>
      </c>
    </row>
    <row r="4859" customFormat="false" ht="15" hidden="false" customHeight="false" outlineLevel="0" collapsed="false">
      <c r="A4859" s="0" t="s">
        <v>262</v>
      </c>
      <c r="B4859" s="52" t="n">
        <v>43912</v>
      </c>
      <c r="C4859" s="54" t="s">
        <v>592</v>
      </c>
      <c r="D4859" s="0" t="n">
        <v>0.100404355194049</v>
      </c>
      <c r="E4859" s="0" t="n">
        <v>0.0111737932442555</v>
      </c>
      <c r="F4859" s="0" t="n">
        <v>1</v>
      </c>
      <c r="G4859" s="0" t="n">
        <v>2020</v>
      </c>
    </row>
    <row r="4860" customFormat="false" ht="15" hidden="false" customHeight="false" outlineLevel="0" collapsed="false">
      <c r="A4860" s="0" t="s">
        <v>262</v>
      </c>
      <c r="B4860" s="52" t="n">
        <v>43913</v>
      </c>
      <c r="C4860" s="54" t="s">
        <v>590</v>
      </c>
      <c r="D4860" s="0" t="n">
        <v>0.0082489798777139</v>
      </c>
      <c r="E4860" s="0" t="n">
        <v>0.0086815835028621</v>
      </c>
      <c r="F4860" s="0" t="n">
        <v>0</v>
      </c>
      <c r="G4860" s="0" t="n">
        <v>2020</v>
      </c>
    </row>
    <row r="4861" customFormat="false" ht="15" hidden="false" customHeight="false" outlineLevel="0" collapsed="false">
      <c r="A4861" s="0" t="s">
        <v>262</v>
      </c>
      <c r="B4861" s="52" t="n">
        <v>43913</v>
      </c>
      <c r="C4861" s="54" t="s">
        <v>591</v>
      </c>
      <c r="D4861" s="0" t="n">
        <v>0.863300228504913</v>
      </c>
      <c r="E4861" s="0" t="n">
        <v>0.0052682418800174</v>
      </c>
      <c r="F4861" s="0" t="n">
        <v>0</v>
      </c>
      <c r="G4861" s="0" t="n">
        <v>2020</v>
      </c>
    </row>
    <row r="4862" customFormat="false" ht="15" hidden="false" customHeight="false" outlineLevel="0" collapsed="false">
      <c r="A4862" s="0" t="s">
        <v>262</v>
      </c>
      <c r="B4862" s="52" t="n">
        <v>43913</v>
      </c>
      <c r="C4862" s="54" t="s">
        <v>592</v>
      </c>
      <c r="D4862" s="0" t="n">
        <v>0.117987779238811</v>
      </c>
      <c r="E4862" s="0" t="n">
        <v>0.0075060419582905</v>
      </c>
      <c r="F4862" s="0" t="n">
        <v>0</v>
      </c>
      <c r="G4862" s="0" t="n">
        <v>2020</v>
      </c>
    </row>
    <row r="4863" customFormat="false" ht="15" hidden="false" customHeight="false" outlineLevel="0" collapsed="false">
      <c r="A4863" s="0" t="s">
        <v>262</v>
      </c>
      <c r="B4863" s="52" t="n">
        <v>43914</v>
      </c>
      <c r="C4863" s="54" t="s">
        <v>590</v>
      </c>
      <c r="D4863" s="0" t="n">
        <v>0.0158777224403045</v>
      </c>
      <c r="E4863" s="0" t="n">
        <v>0.0213675430867393</v>
      </c>
      <c r="F4863" s="0" t="n">
        <v>0</v>
      </c>
      <c r="G4863" s="0" t="n">
        <v>2020</v>
      </c>
    </row>
    <row r="4864" customFormat="false" ht="15" hidden="false" customHeight="false" outlineLevel="0" collapsed="false">
      <c r="A4864" s="0" t="s">
        <v>262</v>
      </c>
      <c r="B4864" s="52" t="n">
        <v>43914</v>
      </c>
      <c r="C4864" s="54" t="s">
        <v>591</v>
      </c>
      <c r="D4864" s="0" t="n">
        <v>0.213039944811557</v>
      </c>
      <c r="E4864" s="0" t="n">
        <v>0.0121620588693415</v>
      </c>
      <c r="F4864" s="0" t="n">
        <v>0</v>
      </c>
      <c r="G4864" s="0" t="n">
        <v>2020</v>
      </c>
    </row>
    <row r="4865" customFormat="false" ht="15" hidden="false" customHeight="false" outlineLevel="0" collapsed="false">
      <c r="A4865" s="0" t="s">
        <v>262</v>
      </c>
      <c r="B4865" s="52" t="n">
        <v>43914</v>
      </c>
      <c r="C4865" s="54" t="s">
        <v>592</v>
      </c>
      <c r="D4865" s="0" t="n">
        <v>0.52520086249685</v>
      </c>
      <c r="E4865" s="0" t="n">
        <v>0.0003796200924395</v>
      </c>
      <c r="F4865" s="0" t="n">
        <v>0</v>
      </c>
      <c r="G4865" s="0" t="n">
        <v>2020</v>
      </c>
    </row>
    <row r="4866" customFormat="false" ht="15" hidden="false" customHeight="false" outlineLevel="0" collapsed="false">
      <c r="A4866" s="0" t="s">
        <v>262</v>
      </c>
      <c r="B4866" s="52" t="n">
        <v>43915</v>
      </c>
      <c r="C4866" s="54" t="s">
        <v>590</v>
      </c>
      <c r="D4866" s="0" t="n">
        <v>0.300437888933629</v>
      </c>
      <c r="E4866" s="0" t="n">
        <v>0.0124537307534957</v>
      </c>
      <c r="F4866" s="0" t="n">
        <v>0</v>
      </c>
      <c r="G4866" s="0" t="n">
        <v>2020</v>
      </c>
    </row>
    <row r="4867" customFormat="false" ht="15" hidden="false" customHeight="false" outlineLevel="0" collapsed="false">
      <c r="A4867" s="0" t="s">
        <v>262</v>
      </c>
      <c r="B4867" s="52" t="n">
        <v>43915</v>
      </c>
      <c r="C4867" s="54" t="s">
        <v>591</v>
      </c>
      <c r="D4867" s="0" t="n">
        <v>0.995207783579676</v>
      </c>
      <c r="E4867" s="0" t="n">
        <v>0</v>
      </c>
      <c r="F4867" s="0" t="n">
        <v>0</v>
      </c>
      <c r="G4867" s="0" t="n">
        <v>2020</v>
      </c>
    </row>
    <row r="4868" customFormat="false" ht="15" hidden="false" customHeight="false" outlineLevel="0" collapsed="false">
      <c r="A4868" s="0" t="s">
        <v>262</v>
      </c>
      <c r="B4868" s="52" t="n">
        <v>43915</v>
      </c>
      <c r="C4868" s="54" t="s">
        <v>592</v>
      </c>
      <c r="D4868" s="0" t="n">
        <v>0.0878611809164826</v>
      </c>
      <c r="E4868" s="0" t="n">
        <v>0.0182912431035408</v>
      </c>
      <c r="F4868" s="0" t="n">
        <v>0</v>
      </c>
      <c r="G4868" s="0" t="n">
        <v>2020</v>
      </c>
    </row>
    <row r="4869" customFormat="false" ht="15" hidden="false" customHeight="false" outlineLevel="0" collapsed="false">
      <c r="A4869" s="0" t="s">
        <v>262</v>
      </c>
      <c r="B4869" s="52" t="n">
        <v>43916</v>
      </c>
      <c r="C4869" s="54" t="s">
        <v>590</v>
      </c>
      <c r="D4869" s="0" t="n">
        <v>0.959254535289592</v>
      </c>
      <c r="E4869" s="0" t="n">
        <v>0</v>
      </c>
      <c r="F4869" s="0" t="n">
        <v>0</v>
      </c>
      <c r="G4869" s="0" t="n">
        <v>2020</v>
      </c>
    </row>
    <row r="4870" customFormat="false" ht="15" hidden="false" customHeight="false" outlineLevel="0" collapsed="false">
      <c r="A4870" s="0" t="s">
        <v>262</v>
      </c>
      <c r="B4870" s="52" t="n">
        <v>43916</v>
      </c>
      <c r="C4870" s="54" t="s">
        <v>591</v>
      </c>
      <c r="D4870" s="0" t="n">
        <v>1</v>
      </c>
      <c r="E4870" s="0" t="n">
        <v>0</v>
      </c>
      <c r="F4870" s="0" t="n">
        <v>0</v>
      </c>
      <c r="G4870" s="0" t="n">
        <v>2020</v>
      </c>
    </row>
    <row r="4871" customFormat="false" ht="15" hidden="false" customHeight="false" outlineLevel="0" collapsed="false">
      <c r="A4871" s="0" t="s">
        <v>262</v>
      </c>
      <c r="B4871" s="52" t="n">
        <v>43916</v>
      </c>
      <c r="C4871" s="54" t="s">
        <v>592</v>
      </c>
      <c r="D4871" s="0" t="n">
        <v>1</v>
      </c>
      <c r="E4871" s="0" t="n">
        <v>0</v>
      </c>
      <c r="F4871" s="0" t="n">
        <v>0</v>
      </c>
      <c r="G4871" s="0" t="n">
        <v>2020</v>
      </c>
    </row>
    <row r="4872" customFormat="false" ht="15" hidden="false" customHeight="false" outlineLevel="0" collapsed="false">
      <c r="A4872" s="0" t="s">
        <v>262</v>
      </c>
      <c r="B4872" s="52" t="n">
        <v>43917</v>
      </c>
      <c r="C4872" s="54" t="s">
        <v>591</v>
      </c>
      <c r="D4872" s="0" t="n">
        <v>0.86506944256567</v>
      </c>
      <c r="E4872" s="0" t="n">
        <v>0</v>
      </c>
      <c r="F4872" s="0" t="n">
        <v>0</v>
      </c>
      <c r="G4872" s="0" t="n">
        <v>2020</v>
      </c>
    </row>
    <row r="4873" customFormat="false" ht="15" hidden="false" customHeight="false" outlineLevel="0" collapsed="false">
      <c r="A4873" s="0" t="s">
        <v>262</v>
      </c>
      <c r="B4873" s="52" t="n">
        <v>43917</v>
      </c>
      <c r="C4873" s="54" t="s">
        <v>592</v>
      </c>
      <c r="D4873" s="0" t="n">
        <v>0.769828177980931</v>
      </c>
      <c r="E4873" s="0" t="n">
        <v>0</v>
      </c>
      <c r="F4873" s="0" t="n">
        <v>0</v>
      </c>
      <c r="G4873" s="0" t="n">
        <v>2020</v>
      </c>
    </row>
    <row r="4874" customFormat="false" ht="15" hidden="false" customHeight="false" outlineLevel="0" collapsed="false">
      <c r="A4874" s="0" t="s">
        <v>262</v>
      </c>
      <c r="B4874" s="52" t="n">
        <v>43918</v>
      </c>
      <c r="C4874" s="54" t="s">
        <v>590</v>
      </c>
      <c r="D4874" s="0" t="n">
        <v>0.987068517360909</v>
      </c>
      <c r="E4874" s="0" t="n">
        <v>0</v>
      </c>
      <c r="F4874" s="0" t="n">
        <v>1</v>
      </c>
      <c r="G4874" s="0" t="n">
        <v>2020</v>
      </c>
    </row>
    <row r="4875" customFormat="false" ht="15" hidden="false" customHeight="false" outlineLevel="0" collapsed="false">
      <c r="A4875" s="0" t="s">
        <v>262</v>
      </c>
      <c r="B4875" s="52" t="n">
        <v>43918</v>
      </c>
      <c r="C4875" s="54" t="s">
        <v>592</v>
      </c>
      <c r="D4875" s="0" t="n">
        <v>0.477364435138256</v>
      </c>
      <c r="E4875" s="0" t="n">
        <v>0</v>
      </c>
      <c r="F4875" s="0" t="n">
        <v>1</v>
      </c>
      <c r="G4875" s="0" t="n">
        <v>2020</v>
      </c>
    </row>
    <row r="4876" customFormat="false" ht="15" hidden="false" customHeight="false" outlineLevel="0" collapsed="false">
      <c r="A4876" s="0" t="s">
        <v>262</v>
      </c>
      <c r="B4876" s="52" t="n">
        <v>43919</v>
      </c>
      <c r="C4876" s="54" t="s">
        <v>590</v>
      </c>
      <c r="D4876" s="0" t="n">
        <v>0.578272646835415</v>
      </c>
      <c r="E4876" s="0" t="n">
        <v>0</v>
      </c>
      <c r="F4876" s="0" t="n">
        <v>1</v>
      </c>
      <c r="G4876" s="0" t="n">
        <v>2020</v>
      </c>
    </row>
    <row r="4877" customFormat="false" ht="15" hidden="false" customHeight="false" outlineLevel="0" collapsed="false">
      <c r="A4877" s="0" t="s">
        <v>262</v>
      </c>
      <c r="B4877" s="52" t="n">
        <v>43919</v>
      </c>
      <c r="C4877" s="54" t="s">
        <v>591</v>
      </c>
      <c r="D4877" s="0" t="n">
        <v>0.350567594298751</v>
      </c>
      <c r="E4877" s="0" t="n">
        <v>0.0307686549778282</v>
      </c>
      <c r="F4877" s="0" t="n">
        <v>1</v>
      </c>
      <c r="G4877" s="0" t="n">
        <v>2020</v>
      </c>
    </row>
    <row r="4878" customFormat="false" ht="15" hidden="false" customHeight="false" outlineLevel="0" collapsed="false">
      <c r="A4878" s="0" t="s">
        <v>262</v>
      </c>
      <c r="B4878" s="52" t="n">
        <v>43919</v>
      </c>
      <c r="C4878" s="54" t="s">
        <v>592</v>
      </c>
      <c r="D4878" s="0" t="n">
        <v>0.137970090918139</v>
      </c>
      <c r="E4878" s="0" t="n">
        <v>0.0960005631683642</v>
      </c>
      <c r="F4878" s="0" t="n">
        <v>1</v>
      </c>
      <c r="G4878" s="0" t="n">
        <v>2020</v>
      </c>
    </row>
    <row r="4879" customFormat="false" ht="15" hidden="false" customHeight="false" outlineLevel="0" collapsed="false">
      <c r="A4879" s="0" t="s">
        <v>262</v>
      </c>
      <c r="B4879" s="52" t="n">
        <v>43920</v>
      </c>
      <c r="C4879" s="54" t="s">
        <v>590</v>
      </c>
      <c r="D4879" s="0" t="n">
        <v>0.174477019471958</v>
      </c>
      <c r="E4879" s="0" t="n">
        <v>0.0479594119288106</v>
      </c>
      <c r="F4879" s="0" t="n">
        <v>0</v>
      </c>
      <c r="G4879" s="0" t="n">
        <v>2020</v>
      </c>
    </row>
    <row r="4880" customFormat="false" ht="15" hidden="false" customHeight="false" outlineLevel="0" collapsed="false">
      <c r="A4880" s="0" t="s">
        <v>262</v>
      </c>
      <c r="B4880" s="52" t="n">
        <v>43920</v>
      </c>
      <c r="C4880" s="54" t="s">
        <v>591</v>
      </c>
      <c r="D4880" s="0" t="n">
        <v>0.952762519242172</v>
      </c>
      <c r="E4880" s="0" t="n">
        <v>0</v>
      </c>
      <c r="F4880" s="0" t="n">
        <v>0</v>
      </c>
      <c r="G4880" s="0" t="n">
        <v>2020</v>
      </c>
    </row>
    <row r="4881" customFormat="false" ht="15" hidden="false" customHeight="false" outlineLevel="0" collapsed="false">
      <c r="A4881" s="0" t="s">
        <v>262</v>
      </c>
      <c r="B4881" s="52" t="n">
        <v>43923</v>
      </c>
      <c r="C4881" s="54" t="s">
        <v>591</v>
      </c>
      <c r="D4881" s="0" t="n">
        <v>1</v>
      </c>
      <c r="E4881" s="0" t="n">
        <v>0</v>
      </c>
      <c r="F4881" s="0" t="n">
        <v>0</v>
      </c>
      <c r="G4881" s="0" t="n">
        <v>2020</v>
      </c>
    </row>
    <row r="4882" customFormat="false" ht="15" hidden="false" customHeight="false" outlineLevel="0" collapsed="false">
      <c r="A4882" s="0" t="s">
        <v>262</v>
      </c>
      <c r="B4882" s="52" t="n">
        <v>43923</v>
      </c>
      <c r="C4882" s="54" t="s">
        <v>592</v>
      </c>
      <c r="D4882" s="0" t="n">
        <v>0.729849836547856</v>
      </c>
      <c r="E4882" s="0" t="n">
        <v>0</v>
      </c>
      <c r="F4882" s="0" t="n">
        <v>0</v>
      </c>
      <c r="G4882" s="0" t="n">
        <v>2020</v>
      </c>
    </row>
    <row r="4883" customFormat="false" ht="15" hidden="false" customHeight="false" outlineLevel="0" collapsed="false">
      <c r="A4883" s="0" t="s">
        <v>262</v>
      </c>
      <c r="B4883" s="52" t="n">
        <v>43924</v>
      </c>
      <c r="C4883" s="54" t="s">
        <v>590</v>
      </c>
      <c r="D4883" s="0" t="n">
        <v>0.214087743289973</v>
      </c>
      <c r="E4883" s="0" t="n">
        <v>0</v>
      </c>
      <c r="F4883" s="0" t="n">
        <v>0</v>
      </c>
      <c r="G4883" s="0" t="n">
        <v>2020</v>
      </c>
    </row>
    <row r="4884" customFormat="false" ht="15" hidden="false" customHeight="false" outlineLevel="0" collapsed="false">
      <c r="A4884" s="0" t="s">
        <v>262</v>
      </c>
      <c r="B4884" s="52" t="n">
        <v>43924</v>
      </c>
      <c r="C4884" s="54" t="s">
        <v>591</v>
      </c>
      <c r="D4884" s="0" t="n">
        <v>0.241589039087451</v>
      </c>
      <c r="E4884" s="0" t="n">
        <v>0.0057285682682632</v>
      </c>
      <c r="F4884" s="0" t="n">
        <v>0</v>
      </c>
      <c r="G4884" s="0" t="n">
        <v>2020</v>
      </c>
    </row>
    <row r="4885" customFormat="false" ht="15" hidden="false" customHeight="false" outlineLevel="0" collapsed="false">
      <c r="A4885" s="0" t="s">
        <v>262</v>
      </c>
      <c r="B4885" s="52" t="n">
        <v>43925</v>
      </c>
      <c r="C4885" s="54" t="s">
        <v>591</v>
      </c>
      <c r="D4885" s="0" t="n">
        <v>0.916134922222171</v>
      </c>
      <c r="E4885" s="0" t="n">
        <v>0</v>
      </c>
      <c r="F4885" s="0" t="n">
        <v>1</v>
      </c>
      <c r="G4885" s="0" t="n">
        <v>2020</v>
      </c>
    </row>
    <row r="4886" customFormat="false" ht="15" hidden="false" customHeight="false" outlineLevel="0" collapsed="false">
      <c r="A4886" s="0" t="s">
        <v>262</v>
      </c>
      <c r="B4886" s="52" t="n">
        <v>43925</v>
      </c>
      <c r="C4886" s="54" t="s">
        <v>592</v>
      </c>
      <c r="D4886" s="0" t="n">
        <v>1</v>
      </c>
      <c r="E4886" s="0" t="n">
        <v>0</v>
      </c>
      <c r="F4886" s="0" t="n">
        <v>1</v>
      </c>
      <c r="G4886" s="0" t="n">
        <v>2020</v>
      </c>
    </row>
    <row r="4887" customFormat="false" ht="15" hidden="false" customHeight="false" outlineLevel="0" collapsed="false">
      <c r="A4887" s="0" t="s">
        <v>262</v>
      </c>
      <c r="B4887" s="52" t="n">
        <v>43926</v>
      </c>
      <c r="C4887" s="54" t="s">
        <v>590</v>
      </c>
      <c r="D4887" s="0" t="n">
        <v>0.734460639212613</v>
      </c>
      <c r="E4887" s="0" t="n">
        <v>0.0038780228439755</v>
      </c>
      <c r="F4887" s="0" t="n">
        <v>1</v>
      </c>
      <c r="G4887" s="0" t="n">
        <v>2020</v>
      </c>
    </row>
    <row r="4888" customFormat="false" ht="15" hidden="false" customHeight="false" outlineLevel="0" collapsed="false">
      <c r="A4888" s="0" t="s">
        <v>262</v>
      </c>
      <c r="B4888" s="52" t="n">
        <v>43927</v>
      </c>
      <c r="C4888" s="54" t="s">
        <v>592</v>
      </c>
      <c r="D4888" s="0" t="n">
        <v>0.986762151121493</v>
      </c>
      <c r="E4888" s="0" t="n">
        <v>0</v>
      </c>
      <c r="F4888" s="0" t="n">
        <v>0</v>
      </c>
      <c r="G4888" s="0" t="n">
        <v>2020</v>
      </c>
    </row>
    <row r="4889" customFormat="false" ht="15" hidden="false" customHeight="false" outlineLevel="0" collapsed="false">
      <c r="A4889" s="0" t="s">
        <v>262</v>
      </c>
      <c r="B4889" s="52" t="n">
        <v>43928</v>
      </c>
      <c r="C4889" s="54" t="s">
        <v>590</v>
      </c>
      <c r="D4889" s="0" t="n">
        <v>0.339678416754063</v>
      </c>
      <c r="E4889" s="0" t="n">
        <v>0</v>
      </c>
      <c r="F4889" s="0" t="n">
        <v>0</v>
      </c>
      <c r="G4889" s="0" t="n">
        <v>2020</v>
      </c>
    </row>
    <row r="4890" customFormat="false" ht="15" hidden="false" customHeight="false" outlineLevel="0" collapsed="false">
      <c r="A4890" s="0" t="s">
        <v>262</v>
      </c>
      <c r="B4890" s="52" t="n">
        <v>43928</v>
      </c>
      <c r="C4890" s="54" t="s">
        <v>592</v>
      </c>
      <c r="D4890" s="0" t="n">
        <v>1</v>
      </c>
      <c r="E4890" s="0" t="n">
        <v>0</v>
      </c>
      <c r="F4890" s="0" t="n">
        <v>0</v>
      </c>
      <c r="G4890" s="0" t="n">
        <v>2020</v>
      </c>
    </row>
    <row r="4891" customFormat="false" ht="15" hidden="false" customHeight="false" outlineLevel="0" collapsed="false">
      <c r="A4891" s="0" t="s">
        <v>262</v>
      </c>
      <c r="B4891" s="52" t="n">
        <v>43930</v>
      </c>
      <c r="C4891" s="54" t="s">
        <v>590</v>
      </c>
      <c r="D4891" s="0" t="n">
        <v>1</v>
      </c>
      <c r="E4891" s="0" t="n">
        <v>0</v>
      </c>
      <c r="F4891" s="0" t="n">
        <v>0</v>
      </c>
      <c r="G4891" s="0" t="n">
        <v>2020</v>
      </c>
    </row>
    <row r="4892" customFormat="false" ht="15" hidden="false" customHeight="false" outlineLevel="0" collapsed="false">
      <c r="A4892" s="0" t="s">
        <v>262</v>
      </c>
      <c r="B4892" s="52" t="n">
        <v>43930</v>
      </c>
      <c r="C4892" s="54" t="s">
        <v>592</v>
      </c>
      <c r="D4892" s="0" t="n">
        <v>0.96996521498353</v>
      </c>
      <c r="E4892" s="0" t="n">
        <v>0</v>
      </c>
      <c r="F4892" s="0" t="n">
        <v>0</v>
      </c>
      <c r="G4892" s="0" t="n">
        <v>2020</v>
      </c>
    </row>
    <row r="4893" customFormat="false" ht="15" hidden="false" customHeight="false" outlineLevel="0" collapsed="false">
      <c r="A4893" s="0" t="s">
        <v>262</v>
      </c>
      <c r="B4893" s="52" t="n">
        <v>43931</v>
      </c>
      <c r="C4893" s="54" t="s">
        <v>592</v>
      </c>
      <c r="D4893" s="0" t="n">
        <v>1</v>
      </c>
      <c r="E4893" s="0" t="n">
        <v>0</v>
      </c>
      <c r="F4893" s="0" t="n">
        <v>0</v>
      </c>
      <c r="G4893" s="0" t="n">
        <v>2020</v>
      </c>
    </row>
    <row r="4894" customFormat="false" ht="15" hidden="false" customHeight="false" outlineLevel="0" collapsed="false">
      <c r="A4894" s="0" t="s">
        <v>262</v>
      </c>
      <c r="B4894" s="52" t="n">
        <v>43935</v>
      </c>
      <c r="C4894" s="54" t="s">
        <v>592</v>
      </c>
      <c r="D4894" s="0" t="n">
        <v>0.959919066619514</v>
      </c>
      <c r="E4894" s="0" t="n">
        <v>0</v>
      </c>
      <c r="F4894" s="0" t="n">
        <v>0</v>
      </c>
      <c r="G4894" s="0" t="n">
        <v>2020</v>
      </c>
    </row>
    <row r="4895" customFormat="false" ht="15" hidden="false" customHeight="false" outlineLevel="0" collapsed="false">
      <c r="A4895" s="0" t="s">
        <v>262</v>
      </c>
      <c r="B4895" s="52" t="n">
        <v>43937</v>
      </c>
      <c r="C4895" s="54" t="s">
        <v>591</v>
      </c>
      <c r="D4895" s="0" t="n">
        <v>1</v>
      </c>
      <c r="E4895" s="0" t="n">
        <v>0</v>
      </c>
      <c r="F4895" s="0" t="n">
        <v>0</v>
      </c>
      <c r="G4895" s="0" t="n">
        <v>2020</v>
      </c>
    </row>
    <row r="4896" customFormat="false" ht="15" hidden="false" customHeight="false" outlineLevel="0" collapsed="false">
      <c r="A4896" s="0" t="s">
        <v>262</v>
      </c>
      <c r="B4896" s="52" t="n">
        <v>43937</v>
      </c>
      <c r="C4896" s="54" t="s">
        <v>592</v>
      </c>
      <c r="D4896" s="0" t="n">
        <v>1</v>
      </c>
      <c r="E4896" s="0" t="n">
        <v>0</v>
      </c>
      <c r="F4896" s="0" t="n">
        <v>0</v>
      </c>
      <c r="G4896" s="0" t="n">
        <v>2020</v>
      </c>
    </row>
    <row r="4897" customFormat="false" ht="15" hidden="false" customHeight="false" outlineLevel="0" collapsed="false">
      <c r="A4897" s="0" t="s">
        <v>262</v>
      </c>
      <c r="B4897" s="52" t="n">
        <v>43939</v>
      </c>
      <c r="C4897" s="54" t="s">
        <v>590</v>
      </c>
      <c r="D4897" s="0" t="n">
        <v>0.979392871759284</v>
      </c>
      <c r="E4897" s="0" t="n">
        <v>0</v>
      </c>
      <c r="F4897" s="0" t="n">
        <v>1</v>
      </c>
      <c r="G4897" s="0" t="n">
        <v>2020</v>
      </c>
    </row>
    <row r="4898" customFormat="false" ht="15" hidden="false" customHeight="false" outlineLevel="0" collapsed="false">
      <c r="A4898" s="0" t="s">
        <v>262</v>
      </c>
      <c r="B4898" s="52" t="n">
        <v>43939</v>
      </c>
      <c r="C4898" s="54" t="s">
        <v>591</v>
      </c>
      <c r="D4898" s="0" t="n">
        <v>0.5345192887562</v>
      </c>
      <c r="E4898" s="0" t="n">
        <v>0.0160200017757539</v>
      </c>
      <c r="F4898" s="0" t="n">
        <v>1</v>
      </c>
      <c r="G4898" s="0" t="n">
        <v>2020</v>
      </c>
    </row>
    <row r="4899" customFormat="false" ht="15" hidden="false" customHeight="false" outlineLevel="0" collapsed="false">
      <c r="A4899" s="0" t="s">
        <v>262</v>
      </c>
      <c r="B4899" s="52" t="n">
        <v>43939</v>
      </c>
      <c r="C4899" s="54" t="s">
        <v>592</v>
      </c>
      <c r="D4899" s="0" t="n">
        <v>0.652820438443474</v>
      </c>
      <c r="E4899" s="0" t="n">
        <v>0.0026119112804481</v>
      </c>
      <c r="F4899" s="0" t="n">
        <v>1</v>
      </c>
      <c r="G4899" s="0" t="n">
        <v>2020</v>
      </c>
    </row>
    <row r="4900" customFormat="false" ht="15" hidden="false" customHeight="false" outlineLevel="0" collapsed="false">
      <c r="A4900" s="0" t="s">
        <v>262</v>
      </c>
      <c r="B4900" s="52" t="n">
        <v>43940</v>
      </c>
      <c r="C4900" s="54" t="s">
        <v>590</v>
      </c>
      <c r="D4900" s="0" t="n">
        <v>0.356766911626811</v>
      </c>
      <c r="E4900" s="0" t="n">
        <v>0.0535856083428699</v>
      </c>
      <c r="F4900" s="0" t="n">
        <v>1</v>
      </c>
      <c r="G4900" s="0" t="n">
        <v>2020</v>
      </c>
    </row>
    <row r="4901" customFormat="false" ht="15" hidden="false" customHeight="false" outlineLevel="0" collapsed="false">
      <c r="A4901" s="0" t="s">
        <v>262</v>
      </c>
      <c r="B4901" s="52" t="n">
        <v>43940</v>
      </c>
      <c r="C4901" s="54" t="s">
        <v>591</v>
      </c>
      <c r="D4901" s="0" t="n">
        <v>0.926900488839649</v>
      </c>
      <c r="E4901" s="0" t="n">
        <v>0.0047781319079448</v>
      </c>
      <c r="F4901" s="0" t="n">
        <v>1</v>
      </c>
      <c r="G4901" s="0" t="n">
        <v>2020</v>
      </c>
    </row>
    <row r="4902" customFormat="false" ht="15" hidden="false" customHeight="false" outlineLevel="0" collapsed="false">
      <c r="A4902" s="0" t="s">
        <v>262</v>
      </c>
      <c r="B4902" s="52" t="n">
        <v>43940</v>
      </c>
      <c r="C4902" s="54" t="s">
        <v>592</v>
      </c>
      <c r="D4902" s="0" t="n">
        <v>0.0851415293877628</v>
      </c>
      <c r="E4902" s="0" t="n">
        <v>0.148997754823799</v>
      </c>
      <c r="F4902" s="0" t="n">
        <v>1</v>
      </c>
      <c r="G4902" s="0" t="n">
        <v>2020</v>
      </c>
    </row>
    <row r="4903" customFormat="false" ht="15" hidden="false" customHeight="false" outlineLevel="0" collapsed="false">
      <c r="A4903" s="0" t="s">
        <v>262</v>
      </c>
      <c r="B4903" s="52" t="n">
        <v>43941</v>
      </c>
      <c r="C4903" s="54" t="s">
        <v>590</v>
      </c>
      <c r="D4903" s="0" t="n">
        <v>0.436798007529863</v>
      </c>
      <c r="E4903" s="0" t="n">
        <v>0.0313614549217755</v>
      </c>
      <c r="F4903" s="0" t="n">
        <v>0</v>
      </c>
      <c r="G4903" s="0" t="n">
        <v>2020</v>
      </c>
    </row>
    <row r="4904" customFormat="false" ht="15" hidden="false" customHeight="false" outlineLevel="0" collapsed="false">
      <c r="A4904" s="0" t="s">
        <v>262</v>
      </c>
      <c r="B4904" s="52" t="n">
        <v>43941</v>
      </c>
      <c r="C4904" s="54" t="s">
        <v>591</v>
      </c>
      <c r="D4904" s="0" t="n">
        <v>0.274736582711784</v>
      </c>
      <c r="E4904" s="0" t="n">
        <v>0.0288984042635384</v>
      </c>
      <c r="F4904" s="0" t="n">
        <v>0</v>
      </c>
      <c r="G4904" s="0" t="n">
        <v>2020</v>
      </c>
    </row>
    <row r="4905" customFormat="false" ht="15" hidden="false" customHeight="false" outlineLevel="0" collapsed="false">
      <c r="A4905" s="0" t="s">
        <v>262</v>
      </c>
      <c r="B4905" s="52" t="n">
        <v>43943</v>
      </c>
      <c r="C4905" s="54" t="s">
        <v>592</v>
      </c>
      <c r="D4905" s="0" t="n">
        <v>0.991243934020117</v>
      </c>
      <c r="E4905" s="0" t="n">
        <v>0</v>
      </c>
      <c r="F4905" s="0" t="n">
        <v>0</v>
      </c>
      <c r="G4905" s="0" t="n">
        <v>2020</v>
      </c>
    </row>
    <row r="4906" customFormat="false" ht="15" hidden="false" customHeight="false" outlineLevel="0" collapsed="false">
      <c r="A4906" s="0" t="s">
        <v>262</v>
      </c>
      <c r="B4906" s="52" t="n">
        <v>43944</v>
      </c>
      <c r="C4906" s="54" t="s">
        <v>591</v>
      </c>
      <c r="D4906" s="0" t="n">
        <v>1</v>
      </c>
      <c r="E4906" s="0" t="n">
        <v>0</v>
      </c>
      <c r="F4906" s="0" t="n">
        <v>0</v>
      </c>
      <c r="G4906" s="0" t="n">
        <v>2020</v>
      </c>
    </row>
    <row r="4907" customFormat="false" ht="15" hidden="false" customHeight="false" outlineLevel="0" collapsed="false">
      <c r="A4907" s="0" t="s">
        <v>262</v>
      </c>
      <c r="B4907" s="52" t="n">
        <v>43945</v>
      </c>
      <c r="C4907" s="54" t="s">
        <v>590</v>
      </c>
      <c r="D4907" s="0" t="n">
        <v>0.934530197036901</v>
      </c>
      <c r="E4907" s="0" t="n">
        <v>0</v>
      </c>
      <c r="F4907" s="0" t="n">
        <v>0</v>
      </c>
      <c r="G4907" s="0" t="n">
        <v>2020</v>
      </c>
    </row>
    <row r="4908" customFormat="false" ht="15" hidden="false" customHeight="false" outlineLevel="0" collapsed="false">
      <c r="A4908" s="0" t="s">
        <v>262</v>
      </c>
      <c r="B4908" s="52" t="n">
        <v>43945</v>
      </c>
      <c r="C4908" s="54" t="s">
        <v>591</v>
      </c>
      <c r="D4908" s="0" t="n">
        <v>0.987152949809436</v>
      </c>
      <c r="E4908" s="0" t="n">
        <v>0</v>
      </c>
      <c r="F4908" s="0" t="n">
        <v>0</v>
      </c>
      <c r="G4908" s="0" t="n">
        <v>2020</v>
      </c>
    </row>
    <row r="4909" customFormat="false" ht="15" hidden="false" customHeight="false" outlineLevel="0" collapsed="false">
      <c r="A4909" s="0" t="s">
        <v>262</v>
      </c>
      <c r="B4909" s="52" t="n">
        <v>43945</v>
      </c>
      <c r="C4909" s="54" t="s">
        <v>592</v>
      </c>
      <c r="D4909" s="0" t="n">
        <v>0.835327856737669</v>
      </c>
      <c r="E4909" s="0" t="n">
        <v>0</v>
      </c>
      <c r="F4909" s="0" t="n">
        <v>0</v>
      </c>
      <c r="G4909" s="0" t="n">
        <v>2020</v>
      </c>
    </row>
    <row r="4910" customFormat="false" ht="15" hidden="false" customHeight="false" outlineLevel="0" collapsed="false">
      <c r="A4910" s="0" t="s">
        <v>262</v>
      </c>
      <c r="B4910" s="52" t="n">
        <v>43946</v>
      </c>
      <c r="C4910" s="54" t="s">
        <v>590</v>
      </c>
      <c r="D4910" s="0" t="n">
        <v>0.404725799264331</v>
      </c>
      <c r="E4910" s="0" t="n">
        <v>0</v>
      </c>
      <c r="F4910" s="0" t="n">
        <v>1</v>
      </c>
      <c r="G4910" s="0" t="n">
        <v>2020</v>
      </c>
    </row>
    <row r="4911" customFormat="false" ht="15" hidden="false" customHeight="false" outlineLevel="0" collapsed="false">
      <c r="A4911" s="0" t="s">
        <v>262</v>
      </c>
      <c r="B4911" s="52" t="n">
        <v>43946</v>
      </c>
      <c r="C4911" s="54" t="s">
        <v>591</v>
      </c>
      <c r="D4911" s="0" t="n">
        <v>0.082265344915048</v>
      </c>
      <c r="E4911" s="0" t="n">
        <v>0.127406191772523</v>
      </c>
      <c r="F4911" s="0" t="n">
        <v>1</v>
      </c>
      <c r="G4911" s="0" t="n">
        <v>2020</v>
      </c>
    </row>
    <row r="4912" customFormat="false" ht="15" hidden="false" customHeight="false" outlineLevel="0" collapsed="false">
      <c r="A4912" s="0" t="s">
        <v>262</v>
      </c>
      <c r="B4912" s="52" t="n">
        <v>43946</v>
      </c>
      <c r="C4912" s="54" t="s">
        <v>592</v>
      </c>
      <c r="D4912" s="0" t="n">
        <v>0.153937348852166</v>
      </c>
      <c r="E4912" s="0" t="n">
        <v>0.129511498244357</v>
      </c>
      <c r="F4912" s="0" t="n">
        <v>1</v>
      </c>
      <c r="G4912" s="0" t="n">
        <v>2020</v>
      </c>
    </row>
    <row r="4913" customFormat="false" ht="15" hidden="false" customHeight="false" outlineLevel="0" collapsed="false">
      <c r="A4913" s="0" t="s">
        <v>262</v>
      </c>
      <c r="B4913" s="52" t="n">
        <v>43947</v>
      </c>
      <c r="C4913" s="54" t="s">
        <v>590</v>
      </c>
      <c r="D4913" s="0" t="n">
        <v>0.200656658941336</v>
      </c>
      <c r="E4913" s="0" t="n">
        <v>0.0855922635614763</v>
      </c>
      <c r="F4913" s="0" t="n">
        <v>1</v>
      </c>
      <c r="G4913" s="0" t="n">
        <v>2020</v>
      </c>
    </row>
    <row r="4914" customFormat="false" ht="15" hidden="false" customHeight="false" outlineLevel="0" collapsed="false">
      <c r="A4914" s="0" t="s">
        <v>262</v>
      </c>
      <c r="B4914" s="52" t="n">
        <v>43947</v>
      </c>
      <c r="C4914" s="54" t="s">
        <v>591</v>
      </c>
      <c r="D4914" s="0" t="n">
        <v>0.327839978669868</v>
      </c>
      <c r="E4914" s="0" t="n">
        <v>0.0829143048978344</v>
      </c>
      <c r="F4914" s="0" t="n">
        <v>1</v>
      </c>
      <c r="G4914" s="0" t="n">
        <v>2020</v>
      </c>
    </row>
    <row r="4915" customFormat="false" ht="15" hidden="false" customHeight="false" outlineLevel="0" collapsed="false">
      <c r="A4915" s="0" t="s">
        <v>262</v>
      </c>
      <c r="B4915" s="52" t="n">
        <v>43947</v>
      </c>
      <c r="C4915" s="54" t="s">
        <v>592</v>
      </c>
      <c r="D4915" s="0" t="n">
        <v>0.251327126567142</v>
      </c>
      <c r="E4915" s="0" t="n">
        <v>0.0339173115398459</v>
      </c>
      <c r="F4915" s="0" t="n">
        <v>1</v>
      </c>
      <c r="G4915" s="0" t="n">
        <v>2020</v>
      </c>
    </row>
    <row r="4916" customFormat="false" ht="15" hidden="false" customHeight="false" outlineLevel="0" collapsed="false">
      <c r="A4916" s="0" t="s">
        <v>262</v>
      </c>
      <c r="B4916" s="52" t="n">
        <v>43948</v>
      </c>
      <c r="C4916" s="54" t="s">
        <v>590</v>
      </c>
      <c r="D4916" s="0" t="n">
        <v>0.24692732990869</v>
      </c>
      <c r="E4916" s="0" t="n">
        <v>0.0532721773408059</v>
      </c>
      <c r="F4916" s="0" t="n">
        <v>0</v>
      </c>
      <c r="G4916" s="0" t="n">
        <v>2020</v>
      </c>
    </row>
    <row r="4917" customFormat="false" ht="15" hidden="false" customHeight="false" outlineLevel="0" collapsed="false">
      <c r="A4917" s="0" t="s">
        <v>262</v>
      </c>
      <c r="B4917" s="52" t="n">
        <v>43948</v>
      </c>
      <c r="C4917" s="54" t="s">
        <v>591</v>
      </c>
      <c r="D4917" s="0" t="n">
        <v>0.0398260853343656</v>
      </c>
      <c r="E4917" s="0" t="n">
        <v>0.0369870296735146</v>
      </c>
      <c r="F4917" s="0" t="n">
        <v>0</v>
      </c>
      <c r="G4917" s="0" t="n">
        <v>2020</v>
      </c>
    </row>
    <row r="4918" customFormat="false" ht="15" hidden="false" customHeight="false" outlineLevel="0" collapsed="false">
      <c r="A4918" s="0" t="s">
        <v>262</v>
      </c>
      <c r="B4918" s="52" t="n">
        <v>43948</v>
      </c>
      <c r="C4918" s="54" t="s">
        <v>592</v>
      </c>
      <c r="D4918" s="0" t="n">
        <v>0.863722139384396</v>
      </c>
      <c r="E4918" s="0" t="n">
        <v>0.0075030825936173</v>
      </c>
      <c r="F4918" s="0" t="n">
        <v>0</v>
      </c>
      <c r="G4918" s="0" t="n">
        <v>2020</v>
      </c>
    </row>
    <row r="4919" customFormat="false" ht="15" hidden="false" customHeight="false" outlineLevel="0" collapsed="false">
      <c r="A4919" s="0" t="s">
        <v>262</v>
      </c>
      <c r="B4919" s="52" t="n">
        <v>43949</v>
      </c>
      <c r="C4919" s="54" t="s">
        <v>592</v>
      </c>
      <c r="D4919" s="0" t="n">
        <v>0.998674934021127</v>
      </c>
      <c r="E4919" s="0" t="n">
        <v>0</v>
      </c>
      <c r="F4919" s="0" t="n">
        <v>0</v>
      </c>
      <c r="G4919" s="0" t="n">
        <v>2020</v>
      </c>
    </row>
    <row r="4920" customFormat="false" ht="15" hidden="false" customHeight="false" outlineLevel="0" collapsed="false">
      <c r="A4920" s="0" t="s">
        <v>262</v>
      </c>
      <c r="B4920" s="52" t="n">
        <v>43951</v>
      </c>
      <c r="C4920" s="54" t="s">
        <v>591</v>
      </c>
      <c r="D4920" s="0" t="n">
        <v>1</v>
      </c>
      <c r="E4920" s="0" t="n">
        <v>0</v>
      </c>
      <c r="F4920" s="0" t="n">
        <v>0</v>
      </c>
      <c r="G4920" s="0" t="n">
        <v>2020</v>
      </c>
    </row>
    <row r="4921" customFormat="false" ht="15" hidden="false" customHeight="false" outlineLevel="0" collapsed="false">
      <c r="A4921" s="0" t="s">
        <v>262</v>
      </c>
      <c r="B4921" s="52" t="n">
        <v>43951</v>
      </c>
      <c r="C4921" s="54" t="s">
        <v>592</v>
      </c>
      <c r="D4921" s="0" t="n">
        <v>1</v>
      </c>
      <c r="E4921" s="0" t="n">
        <v>0</v>
      </c>
      <c r="F4921" s="0" t="n">
        <v>0</v>
      </c>
      <c r="G4921" s="0" t="n">
        <v>2020</v>
      </c>
    </row>
    <row r="4922" customFormat="false" ht="15" hidden="false" customHeight="false" outlineLevel="0" collapsed="false">
      <c r="A4922" s="0" t="s">
        <v>262</v>
      </c>
      <c r="B4922" s="52" t="n">
        <v>43952</v>
      </c>
      <c r="C4922" s="54" t="s">
        <v>590</v>
      </c>
      <c r="D4922" s="0" t="n">
        <v>0.529156616893139</v>
      </c>
      <c r="E4922" s="0" t="n">
        <v>0</v>
      </c>
      <c r="F4922" s="0" t="n">
        <v>0</v>
      </c>
      <c r="G4922" s="0" t="n">
        <v>2020</v>
      </c>
    </row>
    <row r="4923" customFormat="false" ht="15" hidden="false" customHeight="false" outlineLevel="0" collapsed="false">
      <c r="A4923" s="0" t="s">
        <v>262</v>
      </c>
      <c r="B4923" s="52" t="n">
        <v>43952</v>
      </c>
      <c r="C4923" s="54" t="s">
        <v>591</v>
      </c>
      <c r="D4923" s="0" t="n">
        <v>0.0113390929653281</v>
      </c>
      <c r="E4923" s="0" t="n">
        <v>0.014351975777648</v>
      </c>
      <c r="F4923" s="0" t="n">
        <v>0</v>
      </c>
      <c r="G4923" s="0" t="n">
        <v>2020</v>
      </c>
    </row>
    <row r="4924" customFormat="false" ht="15" hidden="false" customHeight="false" outlineLevel="0" collapsed="false">
      <c r="A4924" s="0" t="s">
        <v>262</v>
      </c>
      <c r="B4924" s="52" t="n">
        <v>43952</v>
      </c>
      <c r="C4924" s="54" t="s">
        <v>592</v>
      </c>
      <c r="D4924" s="0" t="n">
        <v>0.145673671412939</v>
      </c>
      <c r="E4924" s="0" t="n">
        <v>0.0839294558525102</v>
      </c>
      <c r="F4924" s="0" t="n">
        <v>0</v>
      </c>
      <c r="G4924" s="0" t="n">
        <v>2020</v>
      </c>
    </row>
    <row r="4925" customFormat="false" ht="15" hidden="false" customHeight="false" outlineLevel="0" collapsed="false">
      <c r="A4925" s="0" t="s">
        <v>262</v>
      </c>
      <c r="B4925" s="52" t="n">
        <v>43953</v>
      </c>
      <c r="C4925" s="54" t="s">
        <v>590</v>
      </c>
      <c r="D4925" s="0" t="n">
        <v>0.278812055867216</v>
      </c>
      <c r="E4925" s="0" t="n">
        <v>0.0012804049123041</v>
      </c>
      <c r="F4925" s="0" t="n">
        <v>1</v>
      </c>
      <c r="G4925" s="0" t="n">
        <v>2020</v>
      </c>
    </row>
    <row r="4926" customFormat="false" ht="15" hidden="false" customHeight="false" outlineLevel="0" collapsed="false">
      <c r="A4926" s="0" t="s">
        <v>262</v>
      </c>
      <c r="B4926" s="52" t="n">
        <v>43953</v>
      </c>
      <c r="C4926" s="54" t="s">
        <v>591</v>
      </c>
      <c r="D4926" s="0" t="n">
        <v>0.103370914943595</v>
      </c>
      <c r="E4926" s="0" t="n">
        <v>0.0572267944419553</v>
      </c>
      <c r="F4926" s="0" t="n">
        <v>1</v>
      </c>
      <c r="G4926" s="0" t="n">
        <v>2020</v>
      </c>
    </row>
    <row r="4927" customFormat="false" ht="15" hidden="false" customHeight="false" outlineLevel="0" collapsed="false">
      <c r="A4927" s="0" t="s">
        <v>262</v>
      </c>
      <c r="B4927" s="52" t="n">
        <v>43953</v>
      </c>
      <c r="C4927" s="54" t="s">
        <v>592</v>
      </c>
      <c r="D4927" s="0" t="n">
        <v>0.105081016298202</v>
      </c>
      <c r="E4927" s="0" t="n">
        <v>0.0651372781837223</v>
      </c>
      <c r="F4927" s="0" t="n">
        <v>1</v>
      </c>
      <c r="G4927" s="0" t="n">
        <v>2020</v>
      </c>
    </row>
    <row r="4928" customFormat="false" ht="15" hidden="false" customHeight="false" outlineLevel="0" collapsed="false">
      <c r="A4928" s="0" t="s">
        <v>262</v>
      </c>
      <c r="B4928" s="52" t="n">
        <v>43954</v>
      </c>
      <c r="C4928" s="54" t="s">
        <v>590</v>
      </c>
      <c r="D4928" s="0" t="n">
        <v>0.101428340580296</v>
      </c>
      <c r="E4928" s="0" t="n">
        <v>0.127654867500375</v>
      </c>
      <c r="F4928" s="0" t="n">
        <v>1</v>
      </c>
      <c r="G4928" s="0" t="n">
        <v>2020</v>
      </c>
    </row>
    <row r="4929" customFormat="false" ht="15" hidden="false" customHeight="false" outlineLevel="0" collapsed="false">
      <c r="A4929" s="0" t="s">
        <v>262</v>
      </c>
      <c r="B4929" s="52" t="n">
        <v>43954</v>
      </c>
      <c r="C4929" s="54" t="s">
        <v>591</v>
      </c>
      <c r="D4929" s="0" t="n">
        <v>0.971153415251877</v>
      </c>
      <c r="E4929" s="0" t="n">
        <v>0</v>
      </c>
      <c r="F4929" s="0" t="n">
        <v>1</v>
      </c>
      <c r="G4929" s="0" t="n">
        <v>2020</v>
      </c>
    </row>
    <row r="4930" customFormat="false" ht="15" hidden="false" customHeight="false" outlineLevel="0" collapsed="false">
      <c r="A4930" s="0" t="s">
        <v>262</v>
      </c>
      <c r="B4930" s="52" t="n">
        <v>43954</v>
      </c>
      <c r="C4930" s="54" t="s">
        <v>592</v>
      </c>
      <c r="D4930" s="0" t="n">
        <v>0.162747157950653</v>
      </c>
      <c r="E4930" s="0" t="n">
        <v>0.0109563995208095</v>
      </c>
      <c r="F4930" s="0" t="n">
        <v>1</v>
      </c>
      <c r="G4930" s="0" t="n">
        <v>2020</v>
      </c>
    </row>
    <row r="4931" customFormat="false" ht="15" hidden="false" customHeight="false" outlineLevel="0" collapsed="false">
      <c r="A4931" s="0" t="s">
        <v>262</v>
      </c>
      <c r="B4931" s="52" t="n">
        <v>43955</v>
      </c>
      <c r="C4931" s="54" t="s">
        <v>590</v>
      </c>
      <c r="D4931" s="0" t="n">
        <v>0.0477250352462184</v>
      </c>
      <c r="E4931" s="0" t="n">
        <v>0.0279212496939443</v>
      </c>
      <c r="F4931" s="0" t="n">
        <v>0</v>
      </c>
      <c r="G4931" s="0" t="n">
        <v>2020</v>
      </c>
    </row>
    <row r="4932" customFormat="false" ht="15" hidden="false" customHeight="false" outlineLevel="0" collapsed="false">
      <c r="A4932" s="0" t="s">
        <v>262</v>
      </c>
      <c r="B4932" s="52" t="n">
        <v>43955</v>
      </c>
      <c r="C4932" s="54" t="s">
        <v>591</v>
      </c>
      <c r="D4932" s="0" t="n">
        <v>0.158411113767771</v>
      </c>
      <c r="E4932" s="0" t="n">
        <v>0.0081521938391315</v>
      </c>
      <c r="F4932" s="0" t="n">
        <v>0</v>
      </c>
      <c r="G4932" s="0" t="n">
        <v>2020</v>
      </c>
    </row>
    <row r="4933" customFormat="false" ht="15" hidden="false" customHeight="false" outlineLevel="0" collapsed="false">
      <c r="A4933" s="0" t="s">
        <v>262</v>
      </c>
      <c r="B4933" s="52" t="n">
        <v>43955</v>
      </c>
      <c r="C4933" s="54" t="s">
        <v>592</v>
      </c>
      <c r="D4933" s="0" t="n">
        <v>0.323026433800567</v>
      </c>
      <c r="E4933" s="0" t="n">
        <v>0.0005358229438371</v>
      </c>
      <c r="F4933" s="0" t="n">
        <v>0</v>
      </c>
      <c r="G4933" s="0" t="n">
        <v>2020</v>
      </c>
    </row>
    <row r="4934" customFormat="false" ht="15" hidden="false" customHeight="false" outlineLevel="0" collapsed="false">
      <c r="A4934" s="0" t="s">
        <v>262</v>
      </c>
      <c r="B4934" s="52" t="n">
        <v>43956</v>
      </c>
      <c r="C4934" s="54" t="s">
        <v>590</v>
      </c>
      <c r="D4934" s="0" t="n">
        <v>0.0984910889954798</v>
      </c>
      <c r="E4934" s="0" t="n">
        <v>0.03003699111437</v>
      </c>
      <c r="F4934" s="0" t="n">
        <v>0</v>
      </c>
      <c r="G4934" s="0" t="n">
        <v>2020</v>
      </c>
    </row>
    <row r="4935" customFormat="false" ht="15" hidden="false" customHeight="false" outlineLevel="0" collapsed="false">
      <c r="A4935" s="0" t="s">
        <v>262</v>
      </c>
      <c r="B4935" s="52" t="n">
        <v>43956</v>
      </c>
      <c r="C4935" s="54" t="s">
        <v>591</v>
      </c>
      <c r="D4935" s="0" t="n">
        <v>0.155077285150755</v>
      </c>
      <c r="E4935" s="0" t="n">
        <v>0.0386940196662165</v>
      </c>
      <c r="F4935" s="0" t="n">
        <v>0</v>
      </c>
      <c r="G4935" s="0" t="n">
        <v>2020</v>
      </c>
    </row>
    <row r="4936" customFormat="false" ht="15" hidden="false" customHeight="false" outlineLevel="0" collapsed="false">
      <c r="A4936" s="0" t="s">
        <v>262</v>
      </c>
      <c r="B4936" s="52" t="n">
        <v>43956</v>
      </c>
      <c r="C4936" s="54" t="s">
        <v>592</v>
      </c>
      <c r="D4936" s="0" t="n">
        <v>0.486412228218701</v>
      </c>
      <c r="E4936" s="0" t="n">
        <v>0.015060261737676</v>
      </c>
      <c r="F4936" s="0" t="n">
        <v>0</v>
      </c>
      <c r="G4936" s="0" t="n">
        <v>2020</v>
      </c>
    </row>
    <row r="4937" customFormat="false" ht="15" hidden="false" customHeight="false" outlineLevel="0" collapsed="false">
      <c r="A4937" s="0" t="s">
        <v>262</v>
      </c>
      <c r="B4937" s="52" t="n">
        <v>43957</v>
      </c>
      <c r="C4937" s="54" t="s">
        <v>590</v>
      </c>
      <c r="D4937" s="0" t="n">
        <v>1</v>
      </c>
      <c r="E4937" s="0" t="n">
        <v>0</v>
      </c>
      <c r="F4937" s="0" t="n">
        <v>0</v>
      </c>
      <c r="G4937" s="0" t="n">
        <v>2020</v>
      </c>
    </row>
    <row r="4938" customFormat="false" ht="15" hidden="false" customHeight="false" outlineLevel="0" collapsed="false">
      <c r="A4938" s="0" t="s">
        <v>262</v>
      </c>
      <c r="B4938" s="52" t="n">
        <v>43957</v>
      </c>
      <c r="C4938" s="54" t="s">
        <v>591</v>
      </c>
      <c r="D4938" s="0" t="n">
        <v>0.948625466237135</v>
      </c>
      <c r="E4938" s="0" t="n">
        <v>0</v>
      </c>
      <c r="F4938" s="0" t="n">
        <v>0</v>
      </c>
      <c r="G4938" s="0" t="n">
        <v>2020</v>
      </c>
    </row>
    <row r="4939" customFormat="false" ht="15" hidden="false" customHeight="false" outlineLevel="0" collapsed="false">
      <c r="A4939" s="0" t="s">
        <v>262</v>
      </c>
      <c r="B4939" s="52" t="n">
        <v>43957</v>
      </c>
      <c r="C4939" s="54" t="s">
        <v>592</v>
      </c>
      <c r="D4939" s="0" t="n">
        <v>0.456809209503702</v>
      </c>
      <c r="E4939" s="0" t="n">
        <v>0.0437063301489247</v>
      </c>
      <c r="F4939" s="0" t="n">
        <v>0</v>
      </c>
      <c r="G4939" s="0" t="n">
        <v>2020</v>
      </c>
    </row>
    <row r="4940" customFormat="false" ht="15" hidden="false" customHeight="false" outlineLevel="0" collapsed="false">
      <c r="A4940" s="0" t="s">
        <v>262</v>
      </c>
      <c r="B4940" s="52" t="n">
        <v>43958</v>
      </c>
      <c r="C4940" s="54" t="s">
        <v>590</v>
      </c>
      <c r="D4940" s="0" t="n">
        <v>0.194244840789455</v>
      </c>
      <c r="E4940" s="0" t="n">
        <v>0.0493916805938363</v>
      </c>
      <c r="F4940" s="0" t="n">
        <v>0</v>
      </c>
      <c r="G4940" s="0" t="n">
        <v>2020</v>
      </c>
    </row>
    <row r="4941" customFormat="false" ht="15" hidden="false" customHeight="false" outlineLevel="0" collapsed="false">
      <c r="A4941" s="0" t="s">
        <v>262</v>
      </c>
      <c r="B4941" s="52" t="n">
        <v>43958</v>
      </c>
      <c r="C4941" s="54" t="s">
        <v>591</v>
      </c>
      <c r="D4941" s="0" t="n">
        <v>0.799870838594972</v>
      </c>
      <c r="E4941" s="0" t="n">
        <v>0.0058172998494889</v>
      </c>
      <c r="F4941" s="0" t="n">
        <v>0</v>
      </c>
      <c r="G4941" s="0" t="n">
        <v>2020</v>
      </c>
    </row>
    <row r="4942" customFormat="false" ht="15" hidden="false" customHeight="false" outlineLevel="0" collapsed="false">
      <c r="A4942" s="0" t="s">
        <v>262</v>
      </c>
      <c r="B4942" s="52" t="n">
        <v>43958</v>
      </c>
      <c r="C4942" s="54" t="s">
        <v>592</v>
      </c>
      <c r="D4942" s="0" t="n">
        <v>0.439868346767832</v>
      </c>
      <c r="E4942" s="0" t="n">
        <v>0.0093760812689031</v>
      </c>
      <c r="F4942" s="0" t="n">
        <v>0</v>
      </c>
      <c r="G4942" s="0" t="n">
        <v>2020</v>
      </c>
    </row>
    <row r="4943" customFormat="false" ht="15" hidden="false" customHeight="false" outlineLevel="0" collapsed="false">
      <c r="A4943" s="0" t="s">
        <v>262</v>
      </c>
      <c r="B4943" s="52" t="n">
        <v>43959</v>
      </c>
      <c r="C4943" s="54" t="s">
        <v>590</v>
      </c>
      <c r="D4943" s="0" t="n">
        <v>0.0013080919229631</v>
      </c>
      <c r="E4943" s="0" t="n">
        <v>0.0317001341837002</v>
      </c>
      <c r="F4943" s="0" t="n">
        <v>0</v>
      </c>
      <c r="G4943" s="0" t="n">
        <v>2020</v>
      </c>
    </row>
    <row r="4944" customFormat="false" ht="15" hidden="false" customHeight="false" outlineLevel="0" collapsed="false">
      <c r="A4944" s="0" t="s">
        <v>262</v>
      </c>
      <c r="B4944" s="52" t="n">
        <v>43959</v>
      </c>
      <c r="C4944" s="54" t="s">
        <v>591</v>
      </c>
      <c r="D4944" s="0" t="n">
        <v>0.107775884118298</v>
      </c>
      <c r="E4944" s="0" t="n">
        <v>0.0461706079965871</v>
      </c>
      <c r="F4944" s="0" t="n">
        <v>0</v>
      </c>
      <c r="G4944" s="0" t="n">
        <v>2020</v>
      </c>
    </row>
    <row r="4945" customFormat="false" ht="15" hidden="false" customHeight="false" outlineLevel="0" collapsed="false">
      <c r="A4945" s="0" t="s">
        <v>262</v>
      </c>
      <c r="B4945" s="52" t="n">
        <v>43959</v>
      </c>
      <c r="C4945" s="54" t="s">
        <v>592</v>
      </c>
      <c r="D4945" s="0" t="n">
        <v>1</v>
      </c>
      <c r="E4945" s="0" t="n">
        <v>0</v>
      </c>
      <c r="F4945" s="0" t="n">
        <v>0</v>
      </c>
      <c r="G4945" s="0" t="n">
        <v>2020</v>
      </c>
    </row>
    <row r="4946" customFormat="false" ht="15" hidden="false" customHeight="false" outlineLevel="0" collapsed="false">
      <c r="A4946" s="0" t="s">
        <v>262</v>
      </c>
      <c r="B4946" s="52" t="n">
        <v>43960</v>
      </c>
      <c r="C4946" s="54" t="s">
        <v>590</v>
      </c>
      <c r="D4946" s="0" t="n">
        <v>0.301524139647712</v>
      </c>
      <c r="E4946" s="0" t="n">
        <v>0.0683162259533682</v>
      </c>
      <c r="F4946" s="0" t="n">
        <v>1</v>
      </c>
      <c r="G4946" s="0" t="n">
        <v>2020</v>
      </c>
    </row>
    <row r="4947" customFormat="false" ht="15" hidden="false" customHeight="false" outlineLevel="0" collapsed="false">
      <c r="A4947" s="0" t="s">
        <v>262</v>
      </c>
      <c r="B4947" s="52" t="n">
        <v>43960</v>
      </c>
      <c r="C4947" s="54" t="s">
        <v>591</v>
      </c>
      <c r="D4947" s="0" t="n">
        <v>0.0335235966174058</v>
      </c>
      <c r="E4947" s="0" t="n">
        <v>0.0468193917729864</v>
      </c>
      <c r="F4947" s="0" t="n">
        <v>1</v>
      </c>
      <c r="G4947" s="0" t="n">
        <v>2020</v>
      </c>
    </row>
    <row r="4948" customFormat="false" ht="15" hidden="false" customHeight="false" outlineLevel="0" collapsed="false">
      <c r="A4948" s="0" t="s">
        <v>262</v>
      </c>
      <c r="B4948" s="52" t="n">
        <v>43960</v>
      </c>
      <c r="C4948" s="54" t="s">
        <v>592</v>
      </c>
      <c r="D4948" s="0" t="n">
        <v>0.0681423155622198</v>
      </c>
      <c r="E4948" s="0" t="n">
        <v>0.0873833475642285</v>
      </c>
      <c r="F4948" s="0" t="n">
        <v>1</v>
      </c>
      <c r="G4948" s="0" t="n">
        <v>2020</v>
      </c>
    </row>
    <row r="4949" customFormat="false" ht="15" hidden="false" customHeight="false" outlineLevel="0" collapsed="false">
      <c r="A4949" s="0" t="s">
        <v>262</v>
      </c>
      <c r="B4949" s="52" t="n">
        <v>43961</v>
      </c>
      <c r="C4949" s="54" t="s">
        <v>590</v>
      </c>
      <c r="D4949" s="0" t="n">
        <v>0.15202782548411</v>
      </c>
      <c r="E4949" s="0" t="n">
        <v>0.0464091137476518</v>
      </c>
      <c r="F4949" s="0" t="n">
        <v>1</v>
      </c>
      <c r="G4949" s="0" t="n">
        <v>2020</v>
      </c>
    </row>
    <row r="4950" customFormat="false" ht="15" hidden="false" customHeight="false" outlineLevel="0" collapsed="false">
      <c r="A4950" s="0" t="s">
        <v>262</v>
      </c>
      <c r="B4950" s="52" t="n">
        <v>43961</v>
      </c>
      <c r="C4950" s="54" t="s">
        <v>591</v>
      </c>
      <c r="D4950" s="0" t="n">
        <v>0.200609522192083</v>
      </c>
      <c r="E4950" s="0" t="n">
        <v>0.0271546753490449</v>
      </c>
      <c r="F4950" s="0" t="n">
        <v>1</v>
      </c>
      <c r="G4950" s="0" t="n">
        <v>2020</v>
      </c>
    </row>
    <row r="4951" customFormat="false" ht="15" hidden="false" customHeight="false" outlineLevel="0" collapsed="false">
      <c r="A4951" s="0" t="s">
        <v>262</v>
      </c>
      <c r="B4951" s="52" t="n">
        <v>43961</v>
      </c>
      <c r="C4951" s="54" t="s">
        <v>592</v>
      </c>
      <c r="D4951" s="0" t="n">
        <v>0.292638455857444</v>
      </c>
      <c r="E4951" s="0" t="n">
        <v>0.036956736755441</v>
      </c>
      <c r="F4951" s="0" t="n">
        <v>1</v>
      </c>
      <c r="G4951" s="0" t="n">
        <v>2020</v>
      </c>
    </row>
    <row r="4952" customFormat="false" ht="15" hidden="false" customHeight="false" outlineLevel="0" collapsed="false">
      <c r="A4952" s="0" t="s">
        <v>262</v>
      </c>
      <c r="B4952" s="52" t="n">
        <v>43962</v>
      </c>
      <c r="C4952" s="54" t="s">
        <v>590</v>
      </c>
      <c r="D4952" s="0" t="n">
        <v>0.0613431745509981</v>
      </c>
      <c r="E4952" s="0" t="n">
        <v>0.0402266119820519</v>
      </c>
      <c r="F4952" s="0" t="n">
        <v>0</v>
      </c>
      <c r="G4952" s="0" t="n">
        <v>2020</v>
      </c>
    </row>
    <row r="4953" customFormat="false" ht="15" hidden="false" customHeight="false" outlineLevel="0" collapsed="false">
      <c r="A4953" s="0" t="s">
        <v>262</v>
      </c>
      <c r="B4953" s="52" t="n">
        <v>43962</v>
      </c>
      <c r="C4953" s="54" t="s">
        <v>591</v>
      </c>
      <c r="D4953" s="0" t="n">
        <v>0.741161970571177</v>
      </c>
      <c r="E4953" s="0" t="n">
        <v>0.0057551438715732</v>
      </c>
      <c r="F4953" s="0" t="n">
        <v>0</v>
      </c>
      <c r="G4953" s="0" t="n">
        <v>2020</v>
      </c>
    </row>
    <row r="4954" customFormat="false" ht="15" hidden="false" customHeight="false" outlineLevel="0" collapsed="false">
      <c r="A4954" s="0" t="s">
        <v>262</v>
      </c>
      <c r="B4954" s="52" t="n">
        <v>43962</v>
      </c>
      <c r="C4954" s="54" t="s">
        <v>592</v>
      </c>
      <c r="D4954" s="0" t="n">
        <v>0.638457677956273</v>
      </c>
      <c r="E4954" s="0" t="n">
        <v>0</v>
      </c>
      <c r="F4954" s="0" t="n">
        <v>0</v>
      </c>
      <c r="G4954" s="0" t="n">
        <v>2020</v>
      </c>
    </row>
    <row r="4955" customFormat="false" ht="15" hidden="false" customHeight="false" outlineLevel="0" collapsed="false">
      <c r="A4955" s="0" t="s">
        <v>262</v>
      </c>
      <c r="B4955" s="52" t="n">
        <v>43963</v>
      </c>
      <c r="C4955" s="54" t="s">
        <v>590</v>
      </c>
      <c r="D4955" s="0" t="n">
        <v>0.0671998521753039</v>
      </c>
      <c r="E4955" s="0" t="n">
        <v>0.0204298438317151</v>
      </c>
      <c r="F4955" s="0" t="n">
        <v>0</v>
      </c>
      <c r="G4955" s="0" t="n">
        <v>2020</v>
      </c>
    </row>
    <row r="4956" customFormat="false" ht="15" hidden="false" customHeight="false" outlineLevel="0" collapsed="false">
      <c r="A4956" s="0" t="s">
        <v>262</v>
      </c>
      <c r="B4956" s="52" t="n">
        <v>43963</v>
      </c>
      <c r="C4956" s="54" t="s">
        <v>591</v>
      </c>
      <c r="D4956" s="0" t="n">
        <v>0.161684947127956</v>
      </c>
      <c r="E4956" s="0" t="n">
        <v>0.0257926274817597</v>
      </c>
      <c r="F4956" s="0" t="n">
        <v>0</v>
      </c>
      <c r="G4956" s="0" t="n">
        <v>2020</v>
      </c>
    </row>
    <row r="4957" customFormat="false" ht="15" hidden="false" customHeight="false" outlineLevel="0" collapsed="false">
      <c r="A4957" s="0" t="s">
        <v>262</v>
      </c>
      <c r="B4957" s="52" t="n">
        <v>43963</v>
      </c>
      <c r="C4957" s="54" t="s">
        <v>592</v>
      </c>
      <c r="D4957" s="0" t="n">
        <v>0.695763099729962</v>
      </c>
      <c r="E4957" s="0" t="n">
        <v>0.0071418270369112</v>
      </c>
      <c r="F4957" s="0" t="n">
        <v>0</v>
      </c>
      <c r="G4957" s="0" t="n">
        <v>2020</v>
      </c>
    </row>
    <row r="4958" customFormat="false" ht="15" hidden="false" customHeight="false" outlineLevel="0" collapsed="false">
      <c r="A4958" s="0" t="s">
        <v>262</v>
      </c>
      <c r="B4958" s="52" t="n">
        <v>43964</v>
      </c>
      <c r="C4958" s="54" t="s">
        <v>590</v>
      </c>
      <c r="D4958" s="0" t="n">
        <v>0.0831461006979246</v>
      </c>
      <c r="E4958" s="0" t="n">
        <v>0.0309441857990893</v>
      </c>
      <c r="F4958" s="0" t="n">
        <v>0</v>
      </c>
      <c r="G4958" s="0" t="n">
        <v>2020</v>
      </c>
    </row>
    <row r="4959" customFormat="false" ht="15" hidden="false" customHeight="false" outlineLevel="0" collapsed="false">
      <c r="A4959" s="0" t="s">
        <v>262</v>
      </c>
      <c r="B4959" s="52" t="n">
        <v>43964</v>
      </c>
      <c r="C4959" s="54" t="s">
        <v>591</v>
      </c>
      <c r="D4959" s="0" t="n">
        <v>0.883442284262559</v>
      </c>
      <c r="E4959" s="0" t="n">
        <v>0.0059120648790007</v>
      </c>
      <c r="F4959" s="0" t="n">
        <v>0</v>
      </c>
      <c r="G4959" s="0" t="n">
        <v>2020</v>
      </c>
    </row>
    <row r="4960" customFormat="false" ht="15" hidden="false" customHeight="false" outlineLevel="0" collapsed="false">
      <c r="A4960" s="0" t="s">
        <v>262</v>
      </c>
      <c r="B4960" s="52" t="n">
        <v>43964</v>
      </c>
      <c r="C4960" s="54" t="s">
        <v>592</v>
      </c>
      <c r="D4960" s="0" t="n">
        <v>0.201281156504524</v>
      </c>
      <c r="E4960" s="0" t="n">
        <v>0.0864236307470952</v>
      </c>
      <c r="F4960" s="0" t="n">
        <v>0</v>
      </c>
      <c r="G4960" s="0" t="n">
        <v>2020</v>
      </c>
    </row>
    <row r="4961" customFormat="false" ht="15" hidden="false" customHeight="false" outlineLevel="0" collapsed="false">
      <c r="A4961" s="0" t="s">
        <v>262</v>
      </c>
      <c r="B4961" s="52" t="n">
        <v>43965</v>
      </c>
      <c r="C4961" s="54" t="s">
        <v>590</v>
      </c>
      <c r="D4961" s="0" t="n">
        <v>0.2301286354098</v>
      </c>
      <c r="E4961" s="0" t="n">
        <v>0.0092970841620914</v>
      </c>
      <c r="F4961" s="0" t="n">
        <v>0</v>
      </c>
      <c r="G4961" s="0" t="n">
        <v>2020</v>
      </c>
    </row>
    <row r="4962" customFormat="false" ht="15" hidden="false" customHeight="false" outlineLevel="0" collapsed="false">
      <c r="A4962" s="0" t="s">
        <v>262</v>
      </c>
      <c r="B4962" s="52" t="n">
        <v>43965</v>
      </c>
      <c r="C4962" s="54" t="s">
        <v>591</v>
      </c>
      <c r="D4962" s="0" t="n">
        <v>0.776124109461454</v>
      </c>
      <c r="E4962" s="0" t="n">
        <v>0.0111905536806981</v>
      </c>
      <c r="F4962" s="0" t="n">
        <v>0</v>
      </c>
      <c r="G4962" s="0" t="n">
        <v>2020</v>
      </c>
    </row>
    <row r="4963" customFormat="false" ht="15" hidden="false" customHeight="false" outlineLevel="0" collapsed="false">
      <c r="A4963" s="0" t="s">
        <v>262</v>
      </c>
      <c r="B4963" s="52" t="n">
        <v>43965</v>
      </c>
      <c r="C4963" s="54" t="s">
        <v>592</v>
      </c>
      <c r="D4963" s="0" t="n">
        <v>0.994699084344168</v>
      </c>
      <c r="E4963" s="0" t="n">
        <v>0</v>
      </c>
      <c r="F4963" s="0" t="n">
        <v>0</v>
      </c>
      <c r="G4963" s="0" t="n">
        <v>2020</v>
      </c>
    </row>
    <row r="4964" customFormat="false" ht="15" hidden="false" customHeight="false" outlineLevel="0" collapsed="false">
      <c r="A4964" s="0" t="s">
        <v>262</v>
      </c>
      <c r="B4964" s="52" t="n">
        <v>43966</v>
      </c>
      <c r="C4964" s="54" t="s">
        <v>590</v>
      </c>
      <c r="D4964" s="0" t="n">
        <v>0.312133507206561</v>
      </c>
      <c r="E4964" s="0" t="n">
        <v>0.0637886008147029</v>
      </c>
      <c r="F4964" s="0" t="n">
        <v>0</v>
      </c>
      <c r="G4964" s="0" t="n">
        <v>2020</v>
      </c>
    </row>
    <row r="4965" customFormat="false" ht="15" hidden="false" customHeight="false" outlineLevel="0" collapsed="false">
      <c r="A4965" s="0" t="s">
        <v>262</v>
      </c>
      <c r="B4965" s="52" t="n">
        <v>43966</v>
      </c>
      <c r="C4965" s="54" t="s">
        <v>591</v>
      </c>
      <c r="D4965" s="0" t="n">
        <v>0.166339266700976</v>
      </c>
      <c r="E4965" s="0" t="n">
        <v>0.0615867015868324</v>
      </c>
      <c r="F4965" s="0" t="n">
        <v>0</v>
      </c>
      <c r="G4965" s="0" t="n">
        <v>2020</v>
      </c>
    </row>
    <row r="4966" customFormat="false" ht="15" hidden="false" customHeight="false" outlineLevel="0" collapsed="false">
      <c r="A4966" s="0" t="s">
        <v>262</v>
      </c>
      <c r="B4966" s="52" t="n">
        <v>43966</v>
      </c>
      <c r="C4966" s="54" t="s">
        <v>592</v>
      </c>
      <c r="D4966" s="0" t="n">
        <v>0.177267556814535</v>
      </c>
      <c r="E4966" s="0" t="n">
        <v>0.0393987678653041</v>
      </c>
      <c r="F4966" s="0" t="n">
        <v>0</v>
      </c>
      <c r="G4966" s="0" t="n">
        <v>2020</v>
      </c>
    </row>
    <row r="4967" customFormat="false" ht="15" hidden="false" customHeight="false" outlineLevel="0" collapsed="false">
      <c r="A4967" s="0" t="s">
        <v>262</v>
      </c>
      <c r="B4967" s="52" t="n">
        <v>43967</v>
      </c>
      <c r="C4967" s="54" t="s">
        <v>590</v>
      </c>
      <c r="D4967" s="0" t="n">
        <v>0.243198971885346</v>
      </c>
      <c r="E4967" s="0" t="n">
        <v>0.0279633110212424</v>
      </c>
      <c r="F4967" s="0" t="n">
        <v>1</v>
      </c>
      <c r="G4967" s="0" t="n">
        <v>2020</v>
      </c>
    </row>
    <row r="4968" customFormat="false" ht="15" hidden="false" customHeight="false" outlineLevel="0" collapsed="false">
      <c r="A4968" s="0" t="s">
        <v>262</v>
      </c>
      <c r="B4968" s="52" t="n">
        <v>43967</v>
      </c>
      <c r="C4968" s="54" t="s">
        <v>591</v>
      </c>
      <c r="D4968" s="0" t="n">
        <v>0.0740672774857672</v>
      </c>
      <c r="E4968" s="0" t="n">
        <v>0.0637315999610094</v>
      </c>
      <c r="F4968" s="0" t="n">
        <v>1</v>
      </c>
      <c r="G4968" s="0" t="n">
        <v>2020</v>
      </c>
    </row>
    <row r="4969" customFormat="false" ht="15" hidden="false" customHeight="false" outlineLevel="0" collapsed="false">
      <c r="A4969" s="0" t="s">
        <v>262</v>
      </c>
      <c r="B4969" s="52" t="n">
        <v>43967</v>
      </c>
      <c r="C4969" s="54" t="s">
        <v>592</v>
      </c>
      <c r="D4969" s="0" t="n">
        <v>0.140045965476519</v>
      </c>
      <c r="E4969" s="0" t="n">
        <v>0.0582114955471223</v>
      </c>
      <c r="F4969" s="0" t="n">
        <v>1</v>
      </c>
      <c r="G4969" s="0" t="n">
        <v>2020</v>
      </c>
    </row>
    <row r="4970" customFormat="false" ht="15" hidden="false" customHeight="false" outlineLevel="0" collapsed="false">
      <c r="A4970" s="0" t="s">
        <v>262</v>
      </c>
      <c r="B4970" s="52" t="n">
        <v>43968</v>
      </c>
      <c r="C4970" s="54" t="s">
        <v>590</v>
      </c>
      <c r="D4970" s="0" t="n">
        <v>0.659141306111647</v>
      </c>
      <c r="E4970" s="0" t="n">
        <v>0.0392058307624248</v>
      </c>
      <c r="F4970" s="0" t="n">
        <v>1</v>
      </c>
      <c r="G4970" s="0" t="n">
        <v>2020</v>
      </c>
    </row>
    <row r="4971" customFormat="false" ht="15" hidden="false" customHeight="false" outlineLevel="0" collapsed="false">
      <c r="A4971" s="0" t="s">
        <v>262</v>
      </c>
      <c r="B4971" s="52" t="n">
        <v>43968</v>
      </c>
      <c r="C4971" s="54" t="s">
        <v>591</v>
      </c>
      <c r="D4971" s="0" t="n">
        <v>0.400789680896639</v>
      </c>
      <c r="E4971" s="0" t="n">
        <v>0.0405482241624951</v>
      </c>
      <c r="F4971" s="0" t="n">
        <v>1</v>
      </c>
      <c r="G4971" s="0" t="n">
        <v>2020</v>
      </c>
    </row>
    <row r="4972" customFormat="false" ht="15" hidden="false" customHeight="false" outlineLevel="0" collapsed="false">
      <c r="A4972" s="0" t="s">
        <v>262</v>
      </c>
      <c r="B4972" s="52" t="n">
        <v>43968</v>
      </c>
      <c r="C4972" s="54" t="s">
        <v>592</v>
      </c>
      <c r="D4972" s="0" t="n">
        <v>0.124593091102488</v>
      </c>
      <c r="E4972" s="0" t="n">
        <v>0.0791007571558144</v>
      </c>
      <c r="F4972" s="0" t="n">
        <v>1</v>
      </c>
      <c r="G4972" s="0" t="n">
        <v>2020</v>
      </c>
    </row>
    <row r="4973" customFormat="false" ht="15" hidden="false" customHeight="false" outlineLevel="0" collapsed="false">
      <c r="A4973" s="0" t="s">
        <v>262</v>
      </c>
      <c r="B4973" s="52" t="n">
        <v>43969</v>
      </c>
      <c r="C4973" s="54" t="s">
        <v>590</v>
      </c>
      <c r="D4973" s="0" t="n">
        <v>0.283916802829214</v>
      </c>
      <c r="E4973" s="0" t="n">
        <v>0.0842717050588881</v>
      </c>
      <c r="F4973" s="0" t="n">
        <v>0</v>
      </c>
      <c r="G4973" s="0" t="n">
        <v>2020</v>
      </c>
    </row>
    <row r="4974" customFormat="false" ht="15" hidden="false" customHeight="false" outlineLevel="0" collapsed="false">
      <c r="A4974" s="0" t="s">
        <v>262</v>
      </c>
      <c r="B4974" s="52" t="n">
        <v>43969</v>
      </c>
      <c r="C4974" s="54" t="s">
        <v>591</v>
      </c>
      <c r="D4974" s="0" t="n">
        <v>0.578769595678982</v>
      </c>
      <c r="E4974" s="0" t="n">
        <v>0.0328039388321399</v>
      </c>
      <c r="F4974" s="0" t="n">
        <v>0</v>
      </c>
      <c r="G4974" s="0" t="n">
        <v>2020</v>
      </c>
    </row>
    <row r="4975" customFormat="false" ht="15" hidden="false" customHeight="false" outlineLevel="0" collapsed="false">
      <c r="A4975" s="0" t="s">
        <v>262</v>
      </c>
      <c r="B4975" s="52" t="n">
        <v>43969</v>
      </c>
      <c r="C4975" s="54" t="s">
        <v>592</v>
      </c>
      <c r="D4975" s="0" t="n">
        <v>0.164039080061616</v>
      </c>
      <c r="E4975" s="0" t="n">
        <v>0.0256530743396927</v>
      </c>
      <c r="F4975" s="0" t="n">
        <v>0</v>
      </c>
      <c r="G4975" s="0" t="n">
        <v>2020</v>
      </c>
    </row>
    <row r="4976" customFormat="false" ht="15" hidden="false" customHeight="false" outlineLevel="0" collapsed="false">
      <c r="A4976" s="0" t="s">
        <v>262</v>
      </c>
      <c r="B4976" s="52" t="n">
        <v>43970</v>
      </c>
      <c r="C4976" s="54" t="s">
        <v>590</v>
      </c>
      <c r="D4976" s="0" t="n">
        <v>0.0497031210415276</v>
      </c>
      <c r="E4976" s="0" t="n">
        <v>0.0300184341371631</v>
      </c>
      <c r="F4976" s="0" t="n">
        <v>0</v>
      </c>
      <c r="G4976" s="0" t="n">
        <v>2020</v>
      </c>
    </row>
    <row r="4977" customFormat="false" ht="15" hidden="false" customHeight="false" outlineLevel="0" collapsed="false">
      <c r="A4977" s="0" t="s">
        <v>262</v>
      </c>
      <c r="B4977" s="52" t="n">
        <v>43970</v>
      </c>
      <c r="C4977" s="54" t="s">
        <v>591</v>
      </c>
      <c r="D4977" s="0" t="n">
        <v>0.789891568046725</v>
      </c>
      <c r="E4977" s="0" t="n">
        <v>0.0056574185911515</v>
      </c>
      <c r="F4977" s="0" t="n">
        <v>0</v>
      </c>
      <c r="G4977" s="0" t="n">
        <v>2020</v>
      </c>
    </row>
    <row r="4978" customFormat="false" ht="15" hidden="false" customHeight="false" outlineLevel="0" collapsed="false">
      <c r="A4978" s="0" t="s">
        <v>262</v>
      </c>
      <c r="B4978" s="52" t="n">
        <v>43970</v>
      </c>
      <c r="C4978" s="54" t="s">
        <v>592</v>
      </c>
      <c r="D4978" s="0" t="n">
        <v>0.132717366400762</v>
      </c>
      <c r="E4978" s="0" t="n">
        <v>0.0301367824319943</v>
      </c>
      <c r="F4978" s="0" t="n">
        <v>0</v>
      </c>
      <c r="G4978" s="0" t="n">
        <v>2020</v>
      </c>
    </row>
    <row r="4979" customFormat="false" ht="15" hidden="false" customHeight="false" outlineLevel="0" collapsed="false">
      <c r="A4979" s="0" t="s">
        <v>262</v>
      </c>
      <c r="B4979" s="52" t="n">
        <v>43971</v>
      </c>
      <c r="C4979" s="54" t="s">
        <v>590</v>
      </c>
      <c r="D4979" s="0" t="n">
        <v>0.311409781326813</v>
      </c>
      <c r="E4979" s="0" t="n">
        <v>0</v>
      </c>
      <c r="F4979" s="0" t="n">
        <v>0</v>
      </c>
      <c r="G4979" s="0" t="n">
        <v>2020</v>
      </c>
    </row>
    <row r="4980" customFormat="false" ht="15" hidden="false" customHeight="false" outlineLevel="0" collapsed="false">
      <c r="A4980" s="0" t="s">
        <v>262</v>
      </c>
      <c r="B4980" s="52" t="n">
        <v>43972</v>
      </c>
      <c r="C4980" s="54" t="s">
        <v>592</v>
      </c>
      <c r="D4980" s="0" t="n">
        <v>1</v>
      </c>
      <c r="E4980" s="0" t="n">
        <v>0</v>
      </c>
      <c r="F4980" s="0" t="n">
        <v>0</v>
      </c>
      <c r="G4980" s="0" t="n">
        <v>2020</v>
      </c>
    </row>
    <row r="4981" customFormat="false" ht="15" hidden="false" customHeight="false" outlineLevel="0" collapsed="false">
      <c r="A4981" s="0" t="s">
        <v>262</v>
      </c>
      <c r="B4981" s="52" t="n">
        <v>43973</v>
      </c>
      <c r="C4981" s="54" t="s">
        <v>591</v>
      </c>
      <c r="D4981" s="0" t="n">
        <v>0.803701984236649</v>
      </c>
      <c r="E4981" s="0" t="n">
        <v>0</v>
      </c>
      <c r="F4981" s="0" t="n">
        <v>0</v>
      </c>
      <c r="G4981" s="0" t="n">
        <v>2020</v>
      </c>
    </row>
    <row r="4982" customFormat="false" ht="15" hidden="false" customHeight="false" outlineLevel="0" collapsed="false">
      <c r="A4982" s="0" t="s">
        <v>262</v>
      </c>
      <c r="B4982" s="52" t="n">
        <v>43973</v>
      </c>
      <c r="C4982" s="54" t="s">
        <v>592</v>
      </c>
      <c r="D4982" s="0" t="n">
        <v>1</v>
      </c>
      <c r="E4982" s="0" t="n">
        <v>0</v>
      </c>
      <c r="F4982" s="0" t="n">
        <v>0</v>
      </c>
      <c r="G4982" s="0" t="n">
        <v>2020</v>
      </c>
    </row>
    <row r="4983" customFormat="false" ht="15" hidden="false" customHeight="false" outlineLevel="0" collapsed="false">
      <c r="A4983" s="0" t="s">
        <v>262</v>
      </c>
      <c r="B4983" s="52" t="n">
        <v>43974</v>
      </c>
      <c r="C4983" s="54" t="s">
        <v>591</v>
      </c>
      <c r="D4983" s="0" t="n">
        <v>1</v>
      </c>
      <c r="E4983" s="0" t="n">
        <v>0</v>
      </c>
      <c r="F4983" s="0" t="n">
        <v>1</v>
      </c>
      <c r="G4983" s="0" t="n">
        <v>2020</v>
      </c>
    </row>
    <row r="4984" customFormat="false" ht="15" hidden="false" customHeight="false" outlineLevel="0" collapsed="false">
      <c r="A4984" s="0" t="s">
        <v>262</v>
      </c>
      <c r="B4984" s="52" t="n">
        <v>43975</v>
      </c>
      <c r="C4984" s="54" t="s">
        <v>590</v>
      </c>
      <c r="D4984" s="0" t="n">
        <v>1</v>
      </c>
      <c r="E4984" s="0" t="n">
        <v>0</v>
      </c>
      <c r="F4984" s="0" t="n">
        <v>1</v>
      </c>
      <c r="G4984" s="0" t="n">
        <v>2020</v>
      </c>
    </row>
    <row r="4985" customFormat="false" ht="15" hidden="false" customHeight="false" outlineLevel="0" collapsed="false">
      <c r="A4985" s="0" t="s">
        <v>262</v>
      </c>
      <c r="B4985" s="52" t="n">
        <v>43975</v>
      </c>
      <c r="C4985" s="54" t="s">
        <v>591</v>
      </c>
      <c r="D4985" s="0" t="n">
        <v>0.171726220535578</v>
      </c>
      <c r="E4985" s="0" t="n">
        <v>0.0500719779937441</v>
      </c>
      <c r="F4985" s="0" t="n">
        <v>1</v>
      </c>
      <c r="G4985" s="0" t="n">
        <v>2020</v>
      </c>
    </row>
    <row r="4986" customFormat="false" ht="15" hidden="false" customHeight="false" outlineLevel="0" collapsed="false">
      <c r="A4986" s="0" t="s">
        <v>262</v>
      </c>
      <c r="B4986" s="52" t="n">
        <v>43975</v>
      </c>
      <c r="C4986" s="54" t="s">
        <v>592</v>
      </c>
      <c r="D4986" s="0" t="n">
        <v>0.0193627822620021</v>
      </c>
      <c r="E4986" s="0" t="n">
        <v>0.101732808322764</v>
      </c>
      <c r="F4986" s="0" t="n">
        <v>1</v>
      </c>
      <c r="G4986" s="0" t="n">
        <v>2020</v>
      </c>
    </row>
    <row r="4987" customFormat="false" ht="15" hidden="false" customHeight="false" outlineLevel="0" collapsed="false">
      <c r="A4987" s="0" t="s">
        <v>262</v>
      </c>
      <c r="B4987" s="52" t="n">
        <v>43976</v>
      </c>
      <c r="C4987" s="54" t="s">
        <v>590</v>
      </c>
      <c r="D4987" s="0" t="n">
        <v>0.106483095310115</v>
      </c>
      <c r="E4987" s="0" t="n">
        <v>0.0493514080712822</v>
      </c>
      <c r="F4987" s="0" t="n">
        <v>0</v>
      </c>
      <c r="G4987" s="0" t="n">
        <v>2020</v>
      </c>
    </row>
    <row r="4988" customFormat="false" ht="15" hidden="false" customHeight="false" outlineLevel="0" collapsed="false">
      <c r="A4988" s="0" t="s">
        <v>262</v>
      </c>
      <c r="B4988" s="52" t="n">
        <v>43976</v>
      </c>
      <c r="C4988" s="54" t="s">
        <v>591</v>
      </c>
      <c r="D4988" s="0" t="n">
        <v>0.304863354778371</v>
      </c>
      <c r="E4988" s="0" t="n">
        <v>0.0138094179409917</v>
      </c>
      <c r="F4988" s="0" t="n">
        <v>0</v>
      </c>
      <c r="G4988" s="0" t="n">
        <v>2020</v>
      </c>
    </row>
    <row r="4989" customFormat="false" ht="15" hidden="false" customHeight="false" outlineLevel="0" collapsed="false">
      <c r="A4989" s="0" t="s">
        <v>262</v>
      </c>
      <c r="B4989" s="52" t="n">
        <v>43977</v>
      </c>
      <c r="C4989" s="54" t="s">
        <v>592</v>
      </c>
      <c r="D4989" s="0" t="n">
        <v>1</v>
      </c>
      <c r="E4989" s="0" t="n">
        <v>0</v>
      </c>
      <c r="F4989" s="0" t="n">
        <v>0</v>
      </c>
      <c r="G4989" s="0" t="n">
        <v>2020</v>
      </c>
    </row>
    <row r="4990" customFormat="false" ht="15" hidden="false" customHeight="false" outlineLevel="0" collapsed="false">
      <c r="A4990" s="0" t="s">
        <v>262</v>
      </c>
      <c r="B4990" s="52" t="n">
        <v>43978</v>
      </c>
      <c r="C4990" s="54" t="s">
        <v>590</v>
      </c>
      <c r="D4990" s="0" t="n">
        <v>0.262165398508567</v>
      </c>
      <c r="E4990" s="0" t="n">
        <v>0.0230914362946465</v>
      </c>
      <c r="F4990" s="0" t="n">
        <v>0</v>
      </c>
      <c r="G4990" s="0" t="n">
        <v>2020</v>
      </c>
    </row>
    <row r="4991" customFormat="false" ht="15" hidden="false" customHeight="false" outlineLevel="0" collapsed="false">
      <c r="A4991" s="0" t="s">
        <v>262</v>
      </c>
      <c r="B4991" s="52" t="n">
        <v>43978</v>
      </c>
      <c r="C4991" s="54" t="s">
        <v>591</v>
      </c>
      <c r="D4991" s="0" t="n">
        <v>0.0103150504397496</v>
      </c>
      <c r="E4991" s="0" t="n">
        <v>0.0418344470168281</v>
      </c>
      <c r="F4991" s="0" t="n">
        <v>0</v>
      </c>
      <c r="G4991" s="0" t="n">
        <v>2020</v>
      </c>
    </row>
    <row r="4992" customFormat="false" ht="15" hidden="false" customHeight="false" outlineLevel="0" collapsed="false">
      <c r="A4992" s="0" t="s">
        <v>262</v>
      </c>
      <c r="B4992" s="52" t="n">
        <v>43978</v>
      </c>
      <c r="C4992" s="54" t="s">
        <v>592</v>
      </c>
      <c r="D4992" s="0" t="n">
        <v>0.221319279112181</v>
      </c>
      <c r="E4992" s="0" t="n">
        <v>0.0253084212413947</v>
      </c>
      <c r="F4992" s="0" t="n">
        <v>0</v>
      </c>
      <c r="G4992" s="0" t="n">
        <v>2020</v>
      </c>
    </row>
    <row r="4993" customFormat="false" ht="15" hidden="false" customHeight="false" outlineLevel="0" collapsed="false">
      <c r="A4993" s="0" t="s">
        <v>262</v>
      </c>
      <c r="B4993" s="52" t="n">
        <v>43979</v>
      </c>
      <c r="C4993" s="54" t="s">
        <v>590</v>
      </c>
      <c r="D4993" s="0" t="n">
        <v>0.809548860835164</v>
      </c>
      <c r="E4993" s="0" t="n">
        <v>0</v>
      </c>
      <c r="F4993" s="0" t="n">
        <v>0</v>
      </c>
      <c r="G4993" s="0" t="n">
        <v>2020</v>
      </c>
    </row>
    <row r="4994" customFormat="false" ht="15" hidden="false" customHeight="false" outlineLevel="0" collapsed="false">
      <c r="A4994" s="0" t="s">
        <v>262</v>
      </c>
      <c r="B4994" s="52" t="n">
        <v>43979</v>
      </c>
      <c r="C4994" s="54" t="s">
        <v>591</v>
      </c>
      <c r="D4994" s="0" t="n">
        <v>0.0194298245598926</v>
      </c>
      <c r="E4994" s="0" t="n">
        <v>0.0679349403358405</v>
      </c>
      <c r="F4994" s="0" t="n">
        <v>0</v>
      </c>
      <c r="G4994" s="0" t="n">
        <v>2020</v>
      </c>
    </row>
    <row r="4995" customFormat="false" ht="15" hidden="false" customHeight="false" outlineLevel="0" collapsed="false">
      <c r="A4995" s="0" t="s">
        <v>262</v>
      </c>
      <c r="B4995" s="52" t="n">
        <v>43979</v>
      </c>
      <c r="C4995" s="54" t="s">
        <v>592</v>
      </c>
      <c r="D4995" s="0" t="n">
        <v>0.305858667962241</v>
      </c>
      <c r="E4995" s="0" t="n">
        <v>0.0458922129859709</v>
      </c>
      <c r="F4995" s="0" t="n">
        <v>0</v>
      </c>
      <c r="G4995" s="0" t="n">
        <v>2020</v>
      </c>
    </row>
    <row r="4996" customFormat="false" ht="15" hidden="false" customHeight="false" outlineLevel="0" collapsed="false">
      <c r="A4996" s="0" t="s">
        <v>262</v>
      </c>
      <c r="B4996" s="52" t="n">
        <v>43980</v>
      </c>
      <c r="C4996" s="54" t="s">
        <v>590</v>
      </c>
      <c r="D4996" s="0" t="n">
        <v>0.692719514788625</v>
      </c>
      <c r="E4996" s="0" t="n">
        <v>0</v>
      </c>
      <c r="F4996" s="0" t="n">
        <v>0</v>
      </c>
      <c r="G4996" s="0" t="n">
        <v>2020</v>
      </c>
    </row>
    <row r="4997" customFormat="false" ht="15" hidden="false" customHeight="false" outlineLevel="0" collapsed="false">
      <c r="A4997" s="0" t="s">
        <v>262</v>
      </c>
      <c r="B4997" s="52" t="n">
        <v>43980</v>
      </c>
      <c r="C4997" s="54" t="s">
        <v>591</v>
      </c>
      <c r="D4997" s="0" t="n">
        <v>0.0232047355432952</v>
      </c>
      <c r="E4997" s="0" t="n">
        <v>0.0837516305517012</v>
      </c>
      <c r="F4997" s="0" t="n">
        <v>0</v>
      </c>
      <c r="G4997" s="0" t="n">
        <v>2020</v>
      </c>
    </row>
    <row r="4998" customFormat="false" ht="15" hidden="false" customHeight="false" outlineLevel="0" collapsed="false">
      <c r="A4998" s="0" t="s">
        <v>262</v>
      </c>
      <c r="B4998" s="52" t="n">
        <v>43980</v>
      </c>
      <c r="C4998" s="54" t="s">
        <v>592</v>
      </c>
      <c r="D4998" s="0" t="n">
        <v>0.298833443498804</v>
      </c>
      <c r="E4998" s="0" t="n">
        <v>0.0151117599586019</v>
      </c>
      <c r="F4998" s="0" t="n">
        <v>0</v>
      </c>
      <c r="G4998" s="0" t="n">
        <v>2020</v>
      </c>
    </row>
    <row r="4999" customFormat="false" ht="15" hidden="false" customHeight="false" outlineLevel="0" collapsed="false">
      <c r="A4999" s="0" t="s">
        <v>262</v>
      </c>
      <c r="B4999" s="52" t="n">
        <v>43981</v>
      </c>
      <c r="C4999" s="54" t="s">
        <v>590</v>
      </c>
      <c r="D4999" s="0" t="n">
        <v>0.65008142170821</v>
      </c>
      <c r="E4999" s="0" t="n">
        <v>0</v>
      </c>
      <c r="F4999" s="0" t="n">
        <v>1</v>
      </c>
      <c r="G4999" s="0" t="n">
        <v>2020</v>
      </c>
    </row>
    <row r="5000" customFormat="false" ht="15" hidden="false" customHeight="false" outlineLevel="0" collapsed="false">
      <c r="A5000" s="0" t="s">
        <v>262</v>
      </c>
      <c r="B5000" s="52" t="n">
        <v>43981</v>
      </c>
      <c r="C5000" s="54" t="s">
        <v>591</v>
      </c>
      <c r="D5000" s="0" t="n">
        <v>0.0143157402329146</v>
      </c>
      <c r="E5000" s="0" t="n">
        <v>0.0422092234009812</v>
      </c>
      <c r="F5000" s="0" t="n">
        <v>1</v>
      </c>
      <c r="G5000" s="0" t="n">
        <v>2020</v>
      </c>
    </row>
    <row r="5001" customFormat="false" ht="15" hidden="false" customHeight="false" outlineLevel="0" collapsed="false">
      <c r="A5001" s="0" t="s">
        <v>262</v>
      </c>
      <c r="B5001" s="52" t="n">
        <v>43981</v>
      </c>
      <c r="C5001" s="54" t="s">
        <v>592</v>
      </c>
      <c r="D5001" s="0" t="n">
        <v>0.0094670971836185</v>
      </c>
      <c r="E5001" s="0" t="n">
        <v>0.0307655767366609</v>
      </c>
      <c r="F5001" s="0" t="n">
        <v>1</v>
      </c>
      <c r="G5001" s="0" t="n">
        <v>2020</v>
      </c>
    </row>
    <row r="5002" customFormat="false" ht="15" hidden="false" customHeight="false" outlineLevel="0" collapsed="false">
      <c r="A5002" s="0" t="s">
        <v>262</v>
      </c>
      <c r="B5002" s="52" t="n">
        <v>43982</v>
      </c>
      <c r="C5002" s="54" t="s">
        <v>590</v>
      </c>
      <c r="D5002" s="0" t="n">
        <v>0.682230613812875</v>
      </c>
      <c r="E5002" s="0" t="n">
        <v>0.0038114128285553</v>
      </c>
      <c r="F5002" s="0" t="n">
        <v>1</v>
      </c>
      <c r="G5002" s="0" t="n">
        <v>2020</v>
      </c>
    </row>
    <row r="5003" customFormat="false" ht="15" hidden="false" customHeight="false" outlineLevel="0" collapsed="false">
      <c r="A5003" s="0" t="s">
        <v>262</v>
      </c>
      <c r="B5003" s="52" t="n">
        <v>43982</v>
      </c>
      <c r="C5003" s="54" t="s">
        <v>591</v>
      </c>
      <c r="D5003" s="0" t="n">
        <v>1</v>
      </c>
      <c r="E5003" s="0" t="n">
        <v>0</v>
      </c>
      <c r="F5003" s="0" t="n">
        <v>1</v>
      </c>
      <c r="G5003" s="0" t="n">
        <v>2020</v>
      </c>
    </row>
    <row r="5004" customFormat="false" ht="15" hidden="false" customHeight="false" outlineLevel="0" collapsed="false">
      <c r="A5004" s="0" t="s">
        <v>262</v>
      </c>
      <c r="B5004" s="52" t="n">
        <v>43982</v>
      </c>
      <c r="C5004" s="54" t="s">
        <v>592</v>
      </c>
      <c r="D5004" s="0" t="n">
        <v>0.082770549427108</v>
      </c>
      <c r="E5004" s="0" t="n">
        <v>0.124577958210485</v>
      </c>
      <c r="F5004" s="0" t="n">
        <v>1</v>
      </c>
      <c r="G5004" s="0" t="n">
        <v>2020</v>
      </c>
    </row>
    <row r="5005" customFormat="false" ht="15" hidden="false" customHeight="false" outlineLevel="0" collapsed="false">
      <c r="A5005" s="0" t="s">
        <v>262</v>
      </c>
      <c r="B5005" s="52" t="n">
        <v>43983</v>
      </c>
      <c r="C5005" s="54" t="s">
        <v>590</v>
      </c>
      <c r="D5005" s="0" t="n">
        <v>0.0200617553654616</v>
      </c>
      <c r="E5005" s="0" t="n">
        <v>0.0324100140992414</v>
      </c>
      <c r="F5005" s="0" t="n">
        <v>0</v>
      </c>
      <c r="G5005" s="0" t="n">
        <v>2020</v>
      </c>
    </row>
    <row r="5006" customFormat="false" ht="15" hidden="false" customHeight="false" outlineLevel="0" collapsed="false">
      <c r="A5006" s="0" t="s">
        <v>262</v>
      </c>
      <c r="B5006" s="52" t="n">
        <v>43983</v>
      </c>
      <c r="C5006" s="54" t="s">
        <v>591</v>
      </c>
      <c r="D5006" s="0" t="n">
        <v>0.0904971313749187</v>
      </c>
      <c r="E5006" s="0" t="n">
        <v>0.0590374897990185</v>
      </c>
      <c r="F5006" s="0" t="n">
        <v>0</v>
      </c>
      <c r="G5006" s="0" t="n">
        <v>2020</v>
      </c>
    </row>
    <row r="5007" customFormat="false" ht="15" hidden="false" customHeight="false" outlineLevel="0" collapsed="false">
      <c r="A5007" s="0" t="s">
        <v>262</v>
      </c>
      <c r="B5007" s="52" t="n">
        <v>43983</v>
      </c>
      <c r="C5007" s="54" t="s">
        <v>592</v>
      </c>
      <c r="D5007" s="0" t="n">
        <v>0.957969833982688</v>
      </c>
      <c r="E5007" s="0" t="n">
        <v>0.0003615045942193</v>
      </c>
      <c r="F5007" s="0" t="n">
        <v>0</v>
      </c>
      <c r="G5007" s="0" t="n">
        <v>2020</v>
      </c>
    </row>
    <row r="5008" customFormat="false" ht="15" hidden="false" customHeight="false" outlineLevel="0" collapsed="false">
      <c r="A5008" s="0" t="s">
        <v>262</v>
      </c>
      <c r="B5008" s="52" t="n">
        <v>43984</v>
      </c>
      <c r="C5008" s="54" t="s">
        <v>591</v>
      </c>
      <c r="D5008" s="0" t="n">
        <v>0.179738441360987</v>
      </c>
      <c r="E5008" s="0" t="n">
        <v>0.0529723249437697</v>
      </c>
      <c r="F5008" s="0" t="n">
        <v>0</v>
      </c>
      <c r="G5008" s="0" t="n">
        <v>2020</v>
      </c>
    </row>
    <row r="5009" customFormat="false" ht="15" hidden="false" customHeight="false" outlineLevel="0" collapsed="false">
      <c r="A5009" s="0" t="s">
        <v>262</v>
      </c>
      <c r="B5009" s="52" t="n">
        <v>43984</v>
      </c>
      <c r="C5009" s="54" t="s">
        <v>592</v>
      </c>
      <c r="D5009" s="0" t="n">
        <v>0.093270849287391</v>
      </c>
      <c r="E5009" s="0" t="n">
        <v>0.0695836439507968</v>
      </c>
      <c r="F5009" s="0" t="n">
        <v>0</v>
      </c>
      <c r="G5009" s="0" t="n">
        <v>2020</v>
      </c>
    </row>
    <row r="5010" customFormat="false" ht="15" hidden="false" customHeight="false" outlineLevel="0" collapsed="false">
      <c r="A5010" s="0" t="s">
        <v>262</v>
      </c>
      <c r="B5010" s="52" t="n">
        <v>43985</v>
      </c>
      <c r="C5010" s="54" t="s">
        <v>590</v>
      </c>
      <c r="D5010" s="0" t="n">
        <v>0.417920394074197</v>
      </c>
      <c r="E5010" s="0" t="n">
        <v>0.0420402803841284</v>
      </c>
      <c r="F5010" s="0" t="n">
        <v>0</v>
      </c>
      <c r="G5010" s="0" t="n">
        <v>2020</v>
      </c>
    </row>
    <row r="5011" customFormat="false" ht="15" hidden="false" customHeight="false" outlineLevel="0" collapsed="false">
      <c r="A5011" s="0" t="s">
        <v>262</v>
      </c>
      <c r="B5011" s="52" t="n">
        <v>43985</v>
      </c>
      <c r="C5011" s="54" t="s">
        <v>591</v>
      </c>
      <c r="D5011" s="0" t="n">
        <v>0.117036258873942</v>
      </c>
      <c r="E5011" s="0" t="n">
        <v>0.050360644730851</v>
      </c>
      <c r="F5011" s="0" t="n">
        <v>0</v>
      </c>
      <c r="G5011" s="0" t="n">
        <v>2020</v>
      </c>
    </row>
    <row r="5012" customFormat="false" ht="15" hidden="false" customHeight="false" outlineLevel="0" collapsed="false">
      <c r="A5012" s="0" t="s">
        <v>262</v>
      </c>
      <c r="B5012" s="52" t="n">
        <v>43985</v>
      </c>
      <c r="C5012" s="54" t="s">
        <v>592</v>
      </c>
      <c r="D5012" s="0" t="n">
        <v>0.561496089133835</v>
      </c>
      <c r="E5012" s="0" t="n">
        <v>0.0472927446521706</v>
      </c>
      <c r="F5012" s="0" t="n">
        <v>0</v>
      </c>
      <c r="G5012" s="0" t="n">
        <v>2020</v>
      </c>
    </row>
    <row r="5013" customFormat="false" ht="15" hidden="false" customHeight="false" outlineLevel="0" collapsed="false">
      <c r="A5013" s="0" t="s">
        <v>262</v>
      </c>
      <c r="B5013" s="52" t="n">
        <v>43986</v>
      </c>
      <c r="C5013" s="54" t="s">
        <v>590</v>
      </c>
      <c r="D5013" s="0" t="n">
        <v>0.166509504705812</v>
      </c>
      <c r="E5013" s="0" t="n">
        <v>0.0190838764388493</v>
      </c>
      <c r="F5013" s="0" t="n">
        <v>0</v>
      </c>
      <c r="G5013" s="0" t="n">
        <v>2020</v>
      </c>
    </row>
    <row r="5014" customFormat="false" ht="15" hidden="false" customHeight="false" outlineLevel="0" collapsed="false">
      <c r="A5014" s="0" t="s">
        <v>262</v>
      </c>
      <c r="B5014" s="52" t="n">
        <v>43986</v>
      </c>
      <c r="C5014" s="54" t="s">
        <v>591</v>
      </c>
      <c r="D5014" s="0" t="n">
        <v>0.0136723220212956</v>
      </c>
      <c r="E5014" s="0" t="n">
        <v>0.0214649217896878</v>
      </c>
      <c r="F5014" s="0" t="n">
        <v>0</v>
      </c>
      <c r="G5014" s="0" t="n">
        <v>2020</v>
      </c>
    </row>
    <row r="5015" customFormat="false" ht="15" hidden="false" customHeight="false" outlineLevel="0" collapsed="false">
      <c r="A5015" s="0" t="s">
        <v>262</v>
      </c>
      <c r="B5015" s="52" t="n">
        <v>43986</v>
      </c>
      <c r="C5015" s="54" t="s">
        <v>592</v>
      </c>
      <c r="D5015" s="0" t="n">
        <v>0.206087203390493</v>
      </c>
      <c r="E5015" s="0" t="n">
        <v>0.0306058199269777</v>
      </c>
      <c r="F5015" s="0" t="n">
        <v>0</v>
      </c>
      <c r="G5015" s="0" t="n">
        <v>2020</v>
      </c>
    </row>
    <row r="5016" customFormat="false" ht="15" hidden="false" customHeight="false" outlineLevel="0" collapsed="false">
      <c r="A5016" s="0" t="s">
        <v>262</v>
      </c>
      <c r="B5016" s="52" t="n">
        <v>43987</v>
      </c>
      <c r="C5016" s="54" t="s">
        <v>592</v>
      </c>
      <c r="D5016" s="0" t="n">
        <v>1</v>
      </c>
      <c r="E5016" s="0" t="n">
        <v>0</v>
      </c>
      <c r="F5016" s="0" t="n">
        <v>0</v>
      </c>
      <c r="G5016" s="0" t="n">
        <v>2020</v>
      </c>
    </row>
    <row r="5017" customFormat="false" ht="15" hidden="false" customHeight="false" outlineLevel="0" collapsed="false">
      <c r="A5017" s="0" t="s">
        <v>262</v>
      </c>
      <c r="B5017" s="52" t="n">
        <v>43988</v>
      </c>
      <c r="C5017" s="54" t="s">
        <v>590</v>
      </c>
      <c r="D5017" s="0" t="n">
        <v>0.376245346230546</v>
      </c>
      <c r="E5017" s="0" t="n">
        <v>0.0055941742268489</v>
      </c>
      <c r="F5017" s="0" t="n">
        <v>1</v>
      </c>
      <c r="G5017" s="0" t="n">
        <v>2020</v>
      </c>
    </row>
    <row r="5018" customFormat="false" ht="15" hidden="false" customHeight="false" outlineLevel="0" collapsed="false">
      <c r="A5018" s="0" t="s">
        <v>262</v>
      </c>
      <c r="B5018" s="52" t="n">
        <v>43988</v>
      </c>
      <c r="C5018" s="54" t="s">
        <v>591</v>
      </c>
      <c r="D5018" s="0" t="n">
        <v>0.385895023597852</v>
      </c>
      <c r="E5018" s="0" t="n">
        <v>0.0032458273107927</v>
      </c>
      <c r="F5018" s="0" t="n">
        <v>1</v>
      </c>
      <c r="G5018" s="0" t="n">
        <v>2020</v>
      </c>
    </row>
    <row r="5019" customFormat="false" ht="15" hidden="false" customHeight="false" outlineLevel="0" collapsed="false">
      <c r="A5019" s="0" t="s">
        <v>262</v>
      </c>
      <c r="B5019" s="52" t="n">
        <v>43988</v>
      </c>
      <c r="C5019" s="54" t="s">
        <v>592</v>
      </c>
      <c r="D5019" s="0" t="n">
        <v>0.0164373749091466</v>
      </c>
      <c r="E5019" s="0" t="n">
        <v>0.0735753128898376</v>
      </c>
      <c r="F5019" s="0" t="n">
        <v>1</v>
      </c>
      <c r="G5019" s="0" t="n">
        <v>2020</v>
      </c>
    </row>
    <row r="5020" customFormat="false" ht="15" hidden="false" customHeight="false" outlineLevel="0" collapsed="false">
      <c r="A5020" s="0" t="s">
        <v>262</v>
      </c>
      <c r="B5020" s="52" t="n">
        <v>43989</v>
      </c>
      <c r="C5020" s="54" t="s">
        <v>590</v>
      </c>
      <c r="D5020" s="0" t="n">
        <v>0.0787137901673786</v>
      </c>
      <c r="E5020" s="0" t="n">
        <v>0.0349936778169719</v>
      </c>
      <c r="F5020" s="0" t="n">
        <v>1</v>
      </c>
      <c r="G5020" s="0" t="n">
        <v>2020</v>
      </c>
    </row>
    <row r="5021" customFormat="false" ht="15" hidden="false" customHeight="false" outlineLevel="0" collapsed="false">
      <c r="A5021" s="0" t="s">
        <v>262</v>
      </c>
      <c r="B5021" s="52" t="n">
        <v>43989</v>
      </c>
      <c r="C5021" s="54" t="s">
        <v>591</v>
      </c>
      <c r="D5021" s="0" t="n">
        <v>0.807594521263534</v>
      </c>
      <c r="E5021" s="0" t="n">
        <v>0.0007631029688757</v>
      </c>
      <c r="F5021" s="0" t="n">
        <v>1</v>
      </c>
      <c r="G5021" s="0" t="n">
        <v>2020</v>
      </c>
    </row>
    <row r="5022" customFormat="false" ht="15" hidden="false" customHeight="false" outlineLevel="0" collapsed="false">
      <c r="A5022" s="0" t="s">
        <v>262</v>
      </c>
      <c r="B5022" s="52" t="n">
        <v>43989</v>
      </c>
      <c r="C5022" s="54" t="s">
        <v>592</v>
      </c>
      <c r="D5022" s="0" t="n">
        <v>0.326162412381961</v>
      </c>
      <c r="E5022" s="0" t="n">
        <v>0.0179057729049267</v>
      </c>
      <c r="F5022" s="0" t="n">
        <v>1</v>
      </c>
      <c r="G5022" s="0" t="n">
        <v>2020</v>
      </c>
    </row>
    <row r="5023" customFormat="false" ht="15" hidden="false" customHeight="false" outlineLevel="0" collapsed="false">
      <c r="A5023" s="0" t="s">
        <v>262</v>
      </c>
      <c r="B5023" s="52" t="n">
        <v>43990</v>
      </c>
      <c r="C5023" s="54" t="s">
        <v>590</v>
      </c>
      <c r="D5023" s="0" t="n">
        <v>0.0200029264810625</v>
      </c>
      <c r="E5023" s="0" t="n">
        <v>0.0842134458673625</v>
      </c>
      <c r="F5023" s="0" t="n">
        <v>0</v>
      </c>
      <c r="G5023" s="0" t="n">
        <v>2020</v>
      </c>
    </row>
    <row r="5024" customFormat="false" ht="15" hidden="false" customHeight="false" outlineLevel="0" collapsed="false">
      <c r="A5024" s="0" t="s">
        <v>262</v>
      </c>
      <c r="B5024" s="52" t="n">
        <v>43990</v>
      </c>
      <c r="C5024" s="54" t="s">
        <v>591</v>
      </c>
      <c r="D5024" s="0" t="n">
        <v>0.0070756227090857</v>
      </c>
      <c r="E5024" s="0" t="n">
        <v>0.0586077289179066</v>
      </c>
      <c r="F5024" s="0" t="n">
        <v>0</v>
      </c>
      <c r="G5024" s="0" t="n">
        <v>2020</v>
      </c>
    </row>
    <row r="5025" customFormat="false" ht="15" hidden="false" customHeight="false" outlineLevel="0" collapsed="false">
      <c r="A5025" s="0" t="s">
        <v>262</v>
      </c>
      <c r="B5025" s="52" t="n">
        <v>43990</v>
      </c>
      <c r="C5025" s="54" t="s">
        <v>592</v>
      </c>
      <c r="D5025" s="0" t="n">
        <v>0.870040907709457</v>
      </c>
      <c r="E5025" s="0" t="n">
        <v>0.0086570545768266</v>
      </c>
      <c r="F5025" s="0" t="n">
        <v>0</v>
      </c>
      <c r="G5025" s="0" t="n">
        <v>2020</v>
      </c>
    </row>
    <row r="5026" customFormat="false" ht="15" hidden="false" customHeight="false" outlineLevel="0" collapsed="false">
      <c r="A5026" s="0" t="s">
        <v>262</v>
      </c>
      <c r="B5026" s="52" t="n">
        <v>43991</v>
      </c>
      <c r="C5026" s="54" t="s">
        <v>590</v>
      </c>
      <c r="D5026" s="0" t="n">
        <v>0.0683226508782988</v>
      </c>
      <c r="E5026" s="0" t="n">
        <v>0.0298739600058459</v>
      </c>
      <c r="F5026" s="0" t="n">
        <v>0</v>
      </c>
      <c r="G5026" s="0" t="n">
        <v>2020</v>
      </c>
    </row>
    <row r="5027" customFormat="false" ht="15" hidden="false" customHeight="false" outlineLevel="0" collapsed="false">
      <c r="A5027" s="0" t="s">
        <v>262</v>
      </c>
      <c r="B5027" s="52" t="n">
        <v>43991</v>
      </c>
      <c r="C5027" s="54" t="s">
        <v>591</v>
      </c>
      <c r="D5027" s="0" t="n">
        <v>0.0518952943894838</v>
      </c>
      <c r="E5027" s="0" t="n">
        <v>0.101565900214522</v>
      </c>
      <c r="F5027" s="0" t="n">
        <v>0</v>
      </c>
      <c r="G5027" s="0" t="n">
        <v>2020</v>
      </c>
    </row>
    <row r="5028" customFormat="false" ht="15" hidden="false" customHeight="false" outlineLevel="0" collapsed="false">
      <c r="A5028" s="0" t="s">
        <v>262</v>
      </c>
      <c r="B5028" s="52" t="n">
        <v>43991</v>
      </c>
      <c r="C5028" s="54" t="s">
        <v>592</v>
      </c>
      <c r="D5028" s="0" t="n">
        <v>0.0651935439145976</v>
      </c>
      <c r="E5028" s="0" t="n">
        <v>0.0131014737889365</v>
      </c>
      <c r="F5028" s="0" t="n">
        <v>0</v>
      </c>
      <c r="G5028" s="0" t="n">
        <v>2020</v>
      </c>
    </row>
    <row r="5029" customFormat="false" ht="15" hidden="false" customHeight="false" outlineLevel="0" collapsed="false">
      <c r="A5029" s="0" t="s">
        <v>262</v>
      </c>
      <c r="B5029" s="52" t="n">
        <v>43992</v>
      </c>
      <c r="C5029" s="54" t="s">
        <v>590</v>
      </c>
      <c r="D5029" s="0" t="n">
        <v>0.98450258200749</v>
      </c>
      <c r="E5029" s="0" t="n">
        <v>0</v>
      </c>
      <c r="F5029" s="0" t="n">
        <v>0</v>
      </c>
      <c r="G5029" s="0" t="n">
        <v>2020</v>
      </c>
    </row>
    <row r="5030" customFormat="false" ht="15" hidden="false" customHeight="false" outlineLevel="0" collapsed="false">
      <c r="A5030" s="0" t="s">
        <v>262</v>
      </c>
      <c r="B5030" s="52" t="n">
        <v>43992</v>
      </c>
      <c r="C5030" s="54" t="s">
        <v>591</v>
      </c>
      <c r="D5030" s="0" t="n">
        <v>0.0448699193680111</v>
      </c>
      <c r="E5030" s="0" t="n">
        <v>0.0173273927400608</v>
      </c>
      <c r="F5030" s="0" t="n">
        <v>0</v>
      </c>
      <c r="G5030" s="0" t="n">
        <v>2020</v>
      </c>
    </row>
    <row r="5031" customFormat="false" ht="15" hidden="false" customHeight="false" outlineLevel="0" collapsed="false">
      <c r="A5031" s="0" t="s">
        <v>262</v>
      </c>
      <c r="B5031" s="52" t="n">
        <v>43992</v>
      </c>
      <c r="C5031" s="54" t="s">
        <v>592</v>
      </c>
      <c r="D5031" s="0" t="n">
        <v>0.407413850378815</v>
      </c>
      <c r="E5031" s="0" t="n">
        <v>0.0493937605532088</v>
      </c>
      <c r="F5031" s="0" t="n">
        <v>0</v>
      </c>
      <c r="G5031" s="0" t="n">
        <v>2020</v>
      </c>
    </row>
    <row r="5032" customFormat="false" ht="15" hidden="false" customHeight="false" outlineLevel="0" collapsed="false">
      <c r="A5032" s="0" t="s">
        <v>262</v>
      </c>
      <c r="B5032" s="52" t="n">
        <v>43993</v>
      </c>
      <c r="C5032" s="54" t="s">
        <v>590</v>
      </c>
      <c r="D5032" s="0" t="n">
        <v>0.578570352698347</v>
      </c>
      <c r="E5032" s="0" t="n">
        <v>0.0021091863881216</v>
      </c>
      <c r="F5032" s="0" t="n">
        <v>0</v>
      </c>
      <c r="G5032" s="0" t="n">
        <v>2020</v>
      </c>
    </row>
    <row r="5033" customFormat="false" ht="15" hidden="false" customHeight="false" outlineLevel="0" collapsed="false">
      <c r="A5033" s="0" t="s">
        <v>262</v>
      </c>
      <c r="B5033" s="52" t="n">
        <v>43993</v>
      </c>
      <c r="C5033" s="54" t="s">
        <v>591</v>
      </c>
      <c r="D5033" s="0" t="n">
        <v>0.0300932035080991</v>
      </c>
      <c r="E5033" s="0" t="n">
        <v>0.154978130324497</v>
      </c>
      <c r="F5033" s="0" t="n">
        <v>0</v>
      </c>
      <c r="G5033" s="0" t="n">
        <v>2020</v>
      </c>
    </row>
    <row r="5034" customFormat="false" ht="15" hidden="false" customHeight="false" outlineLevel="0" collapsed="false">
      <c r="A5034" s="0" t="s">
        <v>262</v>
      </c>
      <c r="B5034" s="52" t="n">
        <v>43993</v>
      </c>
      <c r="C5034" s="54" t="s">
        <v>592</v>
      </c>
      <c r="D5034" s="0" t="n">
        <v>0.141865111806755</v>
      </c>
      <c r="E5034" s="0" t="n">
        <v>0.0422559077706991</v>
      </c>
      <c r="F5034" s="0" t="n">
        <v>0</v>
      </c>
      <c r="G5034" s="0" t="n">
        <v>2020</v>
      </c>
    </row>
    <row r="5035" customFormat="false" ht="15" hidden="false" customHeight="false" outlineLevel="0" collapsed="false">
      <c r="A5035" s="0" t="s">
        <v>262</v>
      </c>
      <c r="B5035" s="52" t="n">
        <v>43994</v>
      </c>
      <c r="C5035" s="54" t="s">
        <v>590</v>
      </c>
      <c r="D5035" s="0" t="n">
        <v>0.311779432072973</v>
      </c>
      <c r="E5035" s="0" t="n">
        <v>0.0042316773262797</v>
      </c>
      <c r="F5035" s="0" t="n">
        <v>0</v>
      </c>
      <c r="G5035" s="0" t="n">
        <v>2020</v>
      </c>
    </row>
    <row r="5036" customFormat="false" ht="15" hidden="false" customHeight="false" outlineLevel="0" collapsed="false">
      <c r="A5036" s="0" t="s">
        <v>262</v>
      </c>
      <c r="B5036" s="52" t="n">
        <v>43994</v>
      </c>
      <c r="C5036" s="54" t="s">
        <v>591</v>
      </c>
      <c r="D5036" s="0" t="n">
        <v>0.0202482184686572</v>
      </c>
      <c r="E5036" s="0" t="n">
        <v>0.0367532926628267</v>
      </c>
      <c r="F5036" s="0" t="n">
        <v>0</v>
      </c>
      <c r="G5036" s="0" t="n">
        <v>2020</v>
      </c>
    </row>
    <row r="5037" customFormat="false" ht="15" hidden="false" customHeight="false" outlineLevel="0" collapsed="false">
      <c r="A5037" s="0" t="s">
        <v>262</v>
      </c>
      <c r="B5037" s="52" t="n">
        <v>43994</v>
      </c>
      <c r="C5037" s="54" t="s">
        <v>592</v>
      </c>
      <c r="D5037" s="0" t="n">
        <v>0.0906087913800608</v>
      </c>
      <c r="E5037" s="0" t="n">
        <v>0.0550302381826836</v>
      </c>
      <c r="F5037" s="0" t="n">
        <v>0</v>
      </c>
      <c r="G5037" s="0" t="n">
        <v>2020</v>
      </c>
    </row>
    <row r="5038" customFormat="false" ht="15" hidden="false" customHeight="false" outlineLevel="0" collapsed="false">
      <c r="A5038" s="0" t="s">
        <v>262</v>
      </c>
      <c r="B5038" s="52" t="n">
        <v>43995</v>
      </c>
      <c r="C5038" s="54" t="s">
        <v>590</v>
      </c>
      <c r="D5038" s="0" t="n">
        <v>0.339622953360584</v>
      </c>
      <c r="E5038" s="0" t="n">
        <v>0.0216981991909668</v>
      </c>
      <c r="F5038" s="0" t="n">
        <v>1</v>
      </c>
      <c r="G5038" s="0" t="n">
        <v>2020</v>
      </c>
    </row>
    <row r="5039" customFormat="false" ht="15" hidden="false" customHeight="false" outlineLevel="0" collapsed="false">
      <c r="A5039" s="0" t="s">
        <v>262</v>
      </c>
      <c r="B5039" s="52" t="n">
        <v>43995</v>
      </c>
      <c r="C5039" s="54" t="s">
        <v>591</v>
      </c>
      <c r="D5039" s="0" t="n">
        <v>0.220607716779013</v>
      </c>
      <c r="E5039" s="0" t="n">
        <v>0.105243170696691</v>
      </c>
      <c r="F5039" s="0" t="n">
        <v>1</v>
      </c>
      <c r="G5039" s="0" t="n">
        <v>2020</v>
      </c>
    </row>
    <row r="5040" customFormat="false" ht="15" hidden="false" customHeight="false" outlineLevel="0" collapsed="false">
      <c r="A5040" s="0" t="s">
        <v>262</v>
      </c>
      <c r="B5040" s="52" t="n">
        <v>43995</v>
      </c>
      <c r="C5040" s="54" t="s">
        <v>592</v>
      </c>
      <c r="D5040" s="0" t="n">
        <v>0.437096441598674</v>
      </c>
      <c r="E5040" s="0" t="n">
        <v>0.0234536350433132</v>
      </c>
      <c r="F5040" s="0" t="n">
        <v>1</v>
      </c>
      <c r="G5040" s="0" t="n">
        <v>2020</v>
      </c>
    </row>
    <row r="5041" customFormat="false" ht="15" hidden="false" customHeight="false" outlineLevel="0" collapsed="false">
      <c r="A5041" s="0" t="s">
        <v>262</v>
      </c>
      <c r="B5041" s="52" t="n">
        <v>43996</v>
      </c>
      <c r="C5041" s="54" t="s">
        <v>590</v>
      </c>
      <c r="D5041" s="0" t="n">
        <v>0.536419649574577</v>
      </c>
      <c r="E5041" s="0" t="n">
        <v>0.022268031566686</v>
      </c>
      <c r="F5041" s="0" t="n">
        <v>1</v>
      </c>
      <c r="G5041" s="0" t="n">
        <v>2020</v>
      </c>
    </row>
    <row r="5042" customFormat="false" ht="15" hidden="false" customHeight="false" outlineLevel="0" collapsed="false">
      <c r="A5042" s="0" t="s">
        <v>262</v>
      </c>
      <c r="B5042" s="52" t="n">
        <v>43996</v>
      </c>
      <c r="C5042" s="54" t="s">
        <v>591</v>
      </c>
      <c r="D5042" s="0" t="n">
        <v>0.112350943284461</v>
      </c>
      <c r="E5042" s="0" t="n">
        <v>0.0570015778615395</v>
      </c>
      <c r="F5042" s="0" t="n">
        <v>1</v>
      </c>
      <c r="G5042" s="0" t="n">
        <v>2020</v>
      </c>
    </row>
    <row r="5043" customFormat="false" ht="15" hidden="false" customHeight="false" outlineLevel="0" collapsed="false">
      <c r="A5043" s="0" t="s">
        <v>262</v>
      </c>
      <c r="B5043" s="52" t="n">
        <v>43996</v>
      </c>
      <c r="C5043" s="54" t="s">
        <v>592</v>
      </c>
      <c r="D5043" s="0" t="n">
        <v>0.0095058779928992</v>
      </c>
      <c r="E5043" s="0" t="n">
        <v>0.116815034380713</v>
      </c>
      <c r="F5043" s="0" t="n">
        <v>1</v>
      </c>
      <c r="G5043" s="0" t="n">
        <v>2020</v>
      </c>
    </row>
    <row r="5044" customFormat="false" ht="15" hidden="false" customHeight="false" outlineLevel="0" collapsed="false">
      <c r="A5044" s="0" t="s">
        <v>262</v>
      </c>
      <c r="B5044" s="52" t="n">
        <v>43997</v>
      </c>
      <c r="C5044" s="54" t="s">
        <v>590</v>
      </c>
      <c r="D5044" s="0" t="n">
        <v>0.0074198051487876</v>
      </c>
      <c r="E5044" s="0" t="n">
        <v>0.086957029625557</v>
      </c>
      <c r="F5044" s="0" t="n">
        <v>0</v>
      </c>
      <c r="G5044" s="0" t="n">
        <v>2020</v>
      </c>
    </row>
    <row r="5045" customFormat="false" ht="15" hidden="false" customHeight="false" outlineLevel="0" collapsed="false">
      <c r="A5045" s="0" t="s">
        <v>262</v>
      </c>
      <c r="B5045" s="52" t="n">
        <v>43997</v>
      </c>
      <c r="C5045" s="54" t="s">
        <v>591</v>
      </c>
      <c r="D5045" s="0" t="n">
        <v>0.636519558017821</v>
      </c>
      <c r="E5045" s="0" t="n">
        <v>0.0037983453006062</v>
      </c>
      <c r="F5045" s="0" t="n">
        <v>0</v>
      </c>
      <c r="G5045" s="0" t="n">
        <v>2020</v>
      </c>
    </row>
    <row r="5046" customFormat="false" ht="15" hidden="false" customHeight="false" outlineLevel="0" collapsed="false">
      <c r="A5046" s="0" t="s">
        <v>262</v>
      </c>
      <c r="B5046" s="52" t="n">
        <v>43997</v>
      </c>
      <c r="C5046" s="54" t="s">
        <v>592</v>
      </c>
      <c r="D5046" s="0" t="n">
        <v>0.0772105524367258</v>
      </c>
      <c r="E5046" s="0" t="n">
        <v>0.0323388149816407</v>
      </c>
      <c r="F5046" s="0" t="n">
        <v>0</v>
      </c>
      <c r="G5046" s="0" t="n">
        <v>2020</v>
      </c>
    </row>
    <row r="5047" customFormat="false" ht="15" hidden="false" customHeight="false" outlineLevel="0" collapsed="false">
      <c r="A5047" s="0" t="s">
        <v>262</v>
      </c>
      <c r="B5047" s="52" t="n">
        <v>43998</v>
      </c>
      <c r="C5047" s="54" t="s">
        <v>590</v>
      </c>
      <c r="D5047" s="0" t="n">
        <v>0.0313783381497397</v>
      </c>
      <c r="E5047" s="0" t="n">
        <v>0.0661457225435989</v>
      </c>
      <c r="F5047" s="0" t="n">
        <v>0</v>
      </c>
      <c r="G5047" s="0" t="n">
        <v>2020</v>
      </c>
    </row>
    <row r="5048" customFormat="false" ht="15" hidden="false" customHeight="false" outlineLevel="0" collapsed="false">
      <c r="A5048" s="0" t="s">
        <v>262</v>
      </c>
      <c r="B5048" s="52" t="n">
        <v>43998</v>
      </c>
      <c r="C5048" s="54" t="s">
        <v>591</v>
      </c>
      <c r="D5048" s="0" t="n">
        <v>0.681109780581796</v>
      </c>
      <c r="E5048" s="0" t="n">
        <v>0.0020520285736527</v>
      </c>
      <c r="F5048" s="0" t="n">
        <v>0</v>
      </c>
      <c r="G5048" s="0" t="n">
        <v>2020</v>
      </c>
    </row>
    <row r="5049" customFormat="false" ht="15" hidden="false" customHeight="false" outlineLevel="0" collapsed="false">
      <c r="A5049" s="0" t="s">
        <v>262</v>
      </c>
      <c r="B5049" s="52" t="n">
        <v>43998</v>
      </c>
      <c r="C5049" s="54" t="s">
        <v>592</v>
      </c>
      <c r="D5049" s="0" t="n">
        <v>0.634728224209965</v>
      </c>
      <c r="E5049" s="0" t="n">
        <v>0.0083627503045827</v>
      </c>
      <c r="F5049" s="0" t="n">
        <v>0</v>
      </c>
      <c r="G5049" s="0" t="n">
        <v>2020</v>
      </c>
    </row>
    <row r="5050" customFormat="false" ht="15" hidden="false" customHeight="false" outlineLevel="0" collapsed="false">
      <c r="A5050" s="0" t="s">
        <v>262</v>
      </c>
      <c r="B5050" s="52" t="n">
        <v>43999</v>
      </c>
      <c r="C5050" s="54" t="s">
        <v>590</v>
      </c>
      <c r="D5050" s="0" t="n">
        <v>0.028800089296635</v>
      </c>
      <c r="E5050" s="0" t="n">
        <v>0.0267429807912445</v>
      </c>
      <c r="F5050" s="0" t="n">
        <v>0</v>
      </c>
      <c r="G5050" s="0" t="n">
        <v>2020</v>
      </c>
    </row>
    <row r="5051" customFormat="false" ht="15" hidden="false" customHeight="false" outlineLevel="0" collapsed="false">
      <c r="A5051" s="0" t="s">
        <v>262</v>
      </c>
      <c r="B5051" s="52" t="n">
        <v>43999</v>
      </c>
      <c r="C5051" s="54" t="s">
        <v>591</v>
      </c>
      <c r="D5051" s="0" t="n">
        <v>0.979029700108441</v>
      </c>
      <c r="E5051" s="0" t="n">
        <v>0</v>
      </c>
      <c r="F5051" s="0" t="n">
        <v>0</v>
      </c>
      <c r="G5051" s="0" t="n">
        <v>2020</v>
      </c>
    </row>
    <row r="5052" customFormat="false" ht="15" hidden="false" customHeight="false" outlineLevel="0" collapsed="false">
      <c r="A5052" s="0" t="s">
        <v>262</v>
      </c>
      <c r="B5052" s="52" t="n">
        <v>43999</v>
      </c>
      <c r="C5052" s="54" t="s">
        <v>592</v>
      </c>
      <c r="D5052" s="0" t="n">
        <v>0.317215072061755</v>
      </c>
      <c r="E5052" s="0" t="n">
        <v>0.016264696355167</v>
      </c>
      <c r="F5052" s="0" t="n">
        <v>0</v>
      </c>
      <c r="G5052" s="0" t="n">
        <v>2020</v>
      </c>
    </row>
    <row r="5053" customFormat="false" ht="15" hidden="false" customHeight="false" outlineLevel="0" collapsed="false">
      <c r="A5053" s="0" t="s">
        <v>262</v>
      </c>
      <c r="B5053" s="52" t="n">
        <v>44000</v>
      </c>
      <c r="C5053" s="54" t="s">
        <v>590</v>
      </c>
      <c r="D5053" s="0" t="n">
        <v>0.0045660800282471</v>
      </c>
      <c r="E5053" s="0" t="n">
        <v>0.0323588236364941</v>
      </c>
      <c r="F5053" s="0" t="n">
        <v>0</v>
      </c>
      <c r="G5053" s="0" t="n">
        <v>2020</v>
      </c>
    </row>
    <row r="5054" customFormat="false" ht="15" hidden="false" customHeight="false" outlineLevel="0" collapsed="false">
      <c r="A5054" s="0" t="s">
        <v>262</v>
      </c>
      <c r="B5054" s="52" t="n">
        <v>44000</v>
      </c>
      <c r="C5054" s="54" t="s">
        <v>591</v>
      </c>
      <c r="D5054" s="0" t="n">
        <v>0.576582967774538</v>
      </c>
      <c r="E5054" s="0" t="n">
        <v>0.0155189495244625</v>
      </c>
      <c r="F5054" s="0" t="n">
        <v>0</v>
      </c>
      <c r="G5054" s="0" t="n">
        <v>2020</v>
      </c>
    </row>
    <row r="5055" customFormat="false" ht="15" hidden="false" customHeight="false" outlineLevel="0" collapsed="false">
      <c r="A5055" s="0" t="s">
        <v>262</v>
      </c>
      <c r="B5055" s="52" t="n">
        <v>44000</v>
      </c>
      <c r="C5055" s="54" t="s">
        <v>592</v>
      </c>
      <c r="D5055" s="0" t="n">
        <v>0.200370389353343</v>
      </c>
      <c r="E5055" s="0" t="n">
        <v>0.014142549967373</v>
      </c>
      <c r="F5055" s="0" t="n">
        <v>0</v>
      </c>
      <c r="G5055" s="0" t="n">
        <v>2020</v>
      </c>
    </row>
    <row r="5056" customFormat="false" ht="15" hidden="false" customHeight="false" outlineLevel="0" collapsed="false">
      <c r="A5056" s="0" t="s">
        <v>262</v>
      </c>
      <c r="B5056" s="52" t="n">
        <v>44001</v>
      </c>
      <c r="C5056" s="54" t="s">
        <v>590</v>
      </c>
      <c r="D5056" s="0" t="n">
        <v>0.227858555518524</v>
      </c>
      <c r="E5056" s="0" t="n">
        <v>0.0289389533547011</v>
      </c>
      <c r="F5056" s="0" t="n">
        <v>0</v>
      </c>
      <c r="G5056" s="0" t="n">
        <v>2020</v>
      </c>
    </row>
    <row r="5057" customFormat="false" ht="15" hidden="false" customHeight="false" outlineLevel="0" collapsed="false">
      <c r="A5057" s="0" t="s">
        <v>262</v>
      </c>
      <c r="B5057" s="52" t="n">
        <v>44001</v>
      </c>
      <c r="C5057" s="54" t="s">
        <v>591</v>
      </c>
      <c r="D5057" s="0" t="n">
        <v>0.510651556678267</v>
      </c>
      <c r="E5057" s="0" t="n">
        <v>0.0201315074940815</v>
      </c>
      <c r="F5057" s="0" t="n">
        <v>0</v>
      </c>
      <c r="G5057" s="0" t="n">
        <v>2020</v>
      </c>
    </row>
    <row r="5058" customFormat="false" ht="15" hidden="false" customHeight="false" outlineLevel="0" collapsed="false">
      <c r="A5058" s="0" t="s">
        <v>262</v>
      </c>
      <c r="B5058" s="52" t="n">
        <v>44001</v>
      </c>
      <c r="C5058" s="54" t="s">
        <v>592</v>
      </c>
      <c r="D5058" s="0" t="n">
        <v>0.0415187470983867</v>
      </c>
      <c r="E5058" s="0" t="n">
        <v>0.0790435781596436</v>
      </c>
      <c r="F5058" s="0" t="n">
        <v>0</v>
      </c>
      <c r="G5058" s="0" t="n">
        <v>2020</v>
      </c>
    </row>
    <row r="5059" customFormat="false" ht="15" hidden="false" customHeight="false" outlineLevel="0" collapsed="false">
      <c r="A5059" s="0" t="s">
        <v>262</v>
      </c>
      <c r="B5059" s="52" t="n">
        <v>44002</v>
      </c>
      <c r="C5059" s="54" t="s">
        <v>590</v>
      </c>
      <c r="D5059" s="0" t="n">
        <v>0.0934208889291655</v>
      </c>
      <c r="E5059" s="0" t="n">
        <v>0.163014147849714</v>
      </c>
      <c r="F5059" s="0" t="n">
        <v>1</v>
      </c>
      <c r="G5059" s="0" t="n">
        <v>2020</v>
      </c>
    </row>
    <row r="5060" customFormat="false" ht="15" hidden="false" customHeight="false" outlineLevel="0" collapsed="false">
      <c r="A5060" s="0" t="s">
        <v>262</v>
      </c>
      <c r="B5060" s="52" t="n">
        <v>44002</v>
      </c>
      <c r="C5060" s="54" t="s">
        <v>591</v>
      </c>
      <c r="D5060" s="0" t="n">
        <v>1</v>
      </c>
      <c r="E5060" s="0" t="n">
        <v>0</v>
      </c>
      <c r="F5060" s="0" t="n">
        <v>1</v>
      </c>
      <c r="G5060" s="0" t="n">
        <v>2020</v>
      </c>
    </row>
    <row r="5061" customFormat="false" ht="15" hidden="false" customHeight="false" outlineLevel="0" collapsed="false">
      <c r="A5061" s="0" t="s">
        <v>262</v>
      </c>
      <c r="B5061" s="52" t="n">
        <v>44003</v>
      </c>
      <c r="C5061" s="54" t="s">
        <v>591</v>
      </c>
      <c r="D5061" s="0" t="n">
        <v>1</v>
      </c>
      <c r="E5061" s="0" t="n">
        <v>0</v>
      </c>
      <c r="F5061" s="0" t="n">
        <v>1</v>
      </c>
      <c r="G5061" s="0" t="n">
        <v>2020</v>
      </c>
    </row>
    <row r="5062" customFormat="false" ht="15" hidden="false" customHeight="false" outlineLevel="0" collapsed="false">
      <c r="A5062" s="0" t="s">
        <v>262</v>
      </c>
      <c r="B5062" s="52" t="n">
        <v>44003</v>
      </c>
      <c r="C5062" s="54" t="s">
        <v>592</v>
      </c>
      <c r="D5062" s="0" t="n">
        <v>0.21253823264478</v>
      </c>
      <c r="E5062" s="0" t="n">
        <v>0.0235674343764977</v>
      </c>
      <c r="F5062" s="0" t="n">
        <v>1</v>
      </c>
      <c r="G5062" s="0" t="n">
        <v>2020</v>
      </c>
    </row>
    <row r="5063" customFormat="false" ht="15" hidden="false" customHeight="false" outlineLevel="0" collapsed="false">
      <c r="A5063" s="0" t="s">
        <v>262</v>
      </c>
      <c r="B5063" s="52" t="n">
        <v>44004</v>
      </c>
      <c r="C5063" s="54" t="s">
        <v>590</v>
      </c>
      <c r="D5063" s="0" t="n">
        <v>0.0124131746745216</v>
      </c>
      <c r="E5063" s="0" t="n">
        <v>0.0549820794504362</v>
      </c>
      <c r="F5063" s="0" t="n">
        <v>0</v>
      </c>
      <c r="G5063" s="0" t="n">
        <v>2020</v>
      </c>
    </row>
    <row r="5064" customFormat="false" ht="15" hidden="false" customHeight="false" outlineLevel="0" collapsed="false">
      <c r="A5064" s="0" t="s">
        <v>262</v>
      </c>
      <c r="B5064" s="52" t="n">
        <v>44004</v>
      </c>
      <c r="C5064" s="54" t="s">
        <v>591</v>
      </c>
      <c r="D5064" s="0" t="n">
        <v>0.0692682000245628</v>
      </c>
      <c r="E5064" s="0" t="n">
        <v>0.069276137401707</v>
      </c>
      <c r="F5064" s="0" t="n">
        <v>0</v>
      </c>
      <c r="G5064" s="0" t="n">
        <v>2020</v>
      </c>
    </row>
    <row r="5065" customFormat="false" ht="15" hidden="false" customHeight="false" outlineLevel="0" collapsed="false">
      <c r="A5065" s="0" t="s">
        <v>262</v>
      </c>
      <c r="B5065" s="52" t="n">
        <v>44004</v>
      </c>
      <c r="C5065" s="54" t="s">
        <v>592</v>
      </c>
      <c r="D5065" s="0" t="n">
        <v>1</v>
      </c>
      <c r="E5065" s="0" t="n">
        <v>0</v>
      </c>
      <c r="F5065" s="0" t="n">
        <v>0</v>
      </c>
      <c r="G5065" s="0" t="n">
        <v>2020</v>
      </c>
    </row>
    <row r="5066" customFormat="false" ht="15" hidden="false" customHeight="false" outlineLevel="0" collapsed="false">
      <c r="A5066" s="0" t="s">
        <v>262</v>
      </c>
      <c r="B5066" s="52" t="n">
        <v>44005</v>
      </c>
      <c r="C5066" s="54" t="s">
        <v>590</v>
      </c>
      <c r="D5066" s="0" t="n">
        <v>0.134615377723635</v>
      </c>
      <c r="E5066" s="0" t="n">
        <v>0.0565732429298677</v>
      </c>
      <c r="F5066" s="0" t="n">
        <v>0</v>
      </c>
      <c r="G5066" s="0" t="n">
        <v>2020</v>
      </c>
    </row>
    <row r="5067" customFormat="false" ht="15" hidden="false" customHeight="false" outlineLevel="0" collapsed="false">
      <c r="A5067" s="0" t="s">
        <v>262</v>
      </c>
      <c r="B5067" s="52" t="n">
        <v>44005</v>
      </c>
      <c r="C5067" s="54" t="s">
        <v>591</v>
      </c>
      <c r="D5067" s="0" t="n">
        <v>0.0099931752367735</v>
      </c>
      <c r="E5067" s="0" t="n">
        <v>0.0332701291168274</v>
      </c>
      <c r="F5067" s="0" t="n">
        <v>0</v>
      </c>
      <c r="G5067" s="0" t="n">
        <v>2020</v>
      </c>
    </row>
    <row r="5068" customFormat="false" ht="15" hidden="false" customHeight="false" outlineLevel="0" collapsed="false">
      <c r="A5068" s="0" t="s">
        <v>262</v>
      </c>
      <c r="B5068" s="52" t="n">
        <v>44005</v>
      </c>
      <c r="C5068" s="54" t="s">
        <v>592</v>
      </c>
      <c r="D5068" s="0" t="n">
        <v>0.0662641627004019</v>
      </c>
      <c r="E5068" s="0" t="n">
        <v>0.0336032811052399</v>
      </c>
      <c r="F5068" s="0" t="n">
        <v>0</v>
      </c>
      <c r="G5068" s="0" t="n">
        <v>2020</v>
      </c>
    </row>
    <row r="5069" customFormat="false" ht="15" hidden="false" customHeight="false" outlineLevel="0" collapsed="false">
      <c r="A5069" s="0" t="s">
        <v>262</v>
      </c>
      <c r="B5069" s="52" t="n">
        <v>44006</v>
      </c>
      <c r="C5069" s="54" t="s">
        <v>590</v>
      </c>
      <c r="D5069" s="0" t="n">
        <v>0.407706985264144</v>
      </c>
      <c r="E5069" s="0" t="n">
        <v>0.0058050343208349</v>
      </c>
      <c r="F5069" s="0" t="n">
        <v>0</v>
      </c>
      <c r="G5069" s="0" t="n">
        <v>2020</v>
      </c>
    </row>
    <row r="5070" customFormat="false" ht="15" hidden="false" customHeight="false" outlineLevel="0" collapsed="false">
      <c r="A5070" s="0" t="s">
        <v>262</v>
      </c>
      <c r="B5070" s="52" t="n">
        <v>44006</v>
      </c>
      <c r="C5070" s="54" t="s">
        <v>591</v>
      </c>
      <c r="D5070" s="0" t="n">
        <v>0.126009811512132</v>
      </c>
      <c r="E5070" s="0" t="n">
        <v>0.0150003278924724</v>
      </c>
      <c r="F5070" s="0" t="n">
        <v>0</v>
      </c>
      <c r="G5070" s="0" t="n">
        <v>2020</v>
      </c>
    </row>
    <row r="5071" customFormat="false" ht="15" hidden="false" customHeight="false" outlineLevel="0" collapsed="false">
      <c r="A5071" s="0" t="s">
        <v>262</v>
      </c>
      <c r="B5071" s="52" t="n">
        <v>44006</v>
      </c>
      <c r="C5071" s="54" t="s">
        <v>592</v>
      </c>
      <c r="D5071" s="0" t="n">
        <v>0.294539409919781</v>
      </c>
      <c r="E5071" s="0" t="n">
        <v>0.0117781996131243</v>
      </c>
      <c r="F5071" s="0" t="n">
        <v>0</v>
      </c>
      <c r="G5071" s="0" t="n">
        <v>2020</v>
      </c>
    </row>
    <row r="5072" customFormat="false" ht="15" hidden="false" customHeight="false" outlineLevel="0" collapsed="false">
      <c r="A5072" s="0" t="s">
        <v>262</v>
      </c>
      <c r="B5072" s="52" t="n">
        <v>44007</v>
      </c>
      <c r="C5072" s="54" t="s">
        <v>590</v>
      </c>
      <c r="D5072" s="0" t="n">
        <v>0.170288446233929</v>
      </c>
      <c r="E5072" s="0" t="n">
        <v>0.0301551388389444</v>
      </c>
      <c r="F5072" s="0" t="n">
        <v>0</v>
      </c>
      <c r="G5072" s="0" t="n">
        <v>2020</v>
      </c>
    </row>
    <row r="5073" customFormat="false" ht="15" hidden="false" customHeight="false" outlineLevel="0" collapsed="false">
      <c r="A5073" s="0" t="s">
        <v>262</v>
      </c>
      <c r="B5073" s="52" t="n">
        <v>44007</v>
      </c>
      <c r="C5073" s="54" t="s">
        <v>591</v>
      </c>
      <c r="D5073" s="0" t="n">
        <v>0.0170565957895324</v>
      </c>
      <c r="E5073" s="0" t="n">
        <v>0.0384208762367707</v>
      </c>
      <c r="F5073" s="0" t="n">
        <v>0</v>
      </c>
      <c r="G5073" s="0" t="n">
        <v>2020</v>
      </c>
    </row>
    <row r="5074" customFormat="false" ht="15" hidden="false" customHeight="false" outlineLevel="0" collapsed="false">
      <c r="A5074" s="0" t="s">
        <v>262</v>
      </c>
      <c r="B5074" s="52" t="n">
        <v>44007</v>
      </c>
      <c r="C5074" s="54" t="s">
        <v>592</v>
      </c>
      <c r="D5074" s="0" t="n">
        <v>0.838186370544132</v>
      </c>
      <c r="E5074" s="0" t="n">
        <v>0.0371707233317134</v>
      </c>
      <c r="F5074" s="0" t="n">
        <v>0</v>
      </c>
      <c r="G5074" s="0" t="n">
        <v>2020</v>
      </c>
    </row>
    <row r="5075" customFormat="false" ht="15" hidden="false" customHeight="false" outlineLevel="0" collapsed="false">
      <c r="A5075" s="0" t="s">
        <v>262</v>
      </c>
      <c r="B5075" s="52" t="n">
        <v>44008</v>
      </c>
      <c r="C5075" s="54" t="s">
        <v>590</v>
      </c>
      <c r="D5075" s="0" t="n">
        <v>0.618550798919222</v>
      </c>
      <c r="E5075" s="0" t="n">
        <v>0.0108368560291933</v>
      </c>
      <c r="F5075" s="0" t="n">
        <v>0</v>
      </c>
      <c r="G5075" s="0" t="n">
        <v>2020</v>
      </c>
    </row>
    <row r="5076" customFormat="false" ht="15" hidden="false" customHeight="false" outlineLevel="0" collapsed="false">
      <c r="A5076" s="0" t="s">
        <v>262</v>
      </c>
      <c r="B5076" s="52" t="n">
        <v>44008</v>
      </c>
      <c r="C5076" s="54" t="s">
        <v>591</v>
      </c>
      <c r="D5076" s="0" t="n">
        <v>0.0192678832201372</v>
      </c>
      <c r="E5076" s="0" t="n">
        <v>0.133202663353977</v>
      </c>
      <c r="F5076" s="0" t="n">
        <v>0</v>
      </c>
      <c r="G5076" s="0" t="n">
        <v>2020</v>
      </c>
    </row>
    <row r="5077" customFormat="false" ht="15" hidden="false" customHeight="false" outlineLevel="0" collapsed="false">
      <c r="A5077" s="0" t="s">
        <v>262</v>
      </c>
      <c r="B5077" s="52" t="n">
        <v>44008</v>
      </c>
      <c r="C5077" s="54" t="s">
        <v>592</v>
      </c>
      <c r="D5077" s="0" t="n">
        <v>0.262367650629333</v>
      </c>
      <c r="E5077" s="0" t="n">
        <v>0.0823542212552873</v>
      </c>
      <c r="F5077" s="0" t="n">
        <v>0</v>
      </c>
      <c r="G5077" s="0" t="n">
        <v>2020</v>
      </c>
    </row>
    <row r="5078" customFormat="false" ht="15" hidden="false" customHeight="false" outlineLevel="0" collapsed="false">
      <c r="A5078" s="0" t="s">
        <v>262</v>
      </c>
      <c r="B5078" s="52" t="n">
        <v>44009</v>
      </c>
      <c r="C5078" s="54" t="s">
        <v>590</v>
      </c>
      <c r="D5078" s="0" t="n">
        <v>1</v>
      </c>
      <c r="E5078" s="0" t="n">
        <v>0</v>
      </c>
      <c r="F5078" s="0" t="n">
        <v>1</v>
      </c>
      <c r="G5078" s="0" t="n">
        <v>2020</v>
      </c>
    </row>
    <row r="5079" customFormat="false" ht="15" hidden="false" customHeight="false" outlineLevel="0" collapsed="false">
      <c r="A5079" s="0" t="s">
        <v>262</v>
      </c>
      <c r="B5079" s="52" t="n">
        <v>44009</v>
      </c>
      <c r="C5079" s="54" t="s">
        <v>591</v>
      </c>
      <c r="D5079" s="0" t="n">
        <v>1</v>
      </c>
      <c r="E5079" s="0" t="n">
        <v>0</v>
      </c>
      <c r="F5079" s="0" t="n">
        <v>1</v>
      </c>
      <c r="G5079" s="0" t="n">
        <v>2020</v>
      </c>
    </row>
    <row r="5080" customFormat="false" ht="15" hidden="false" customHeight="false" outlineLevel="0" collapsed="false">
      <c r="A5080" s="0" t="s">
        <v>262</v>
      </c>
      <c r="B5080" s="52" t="n">
        <v>44010</v>
      </c>
      <c r="C5080" s="54" t="s">
        <v>591</v>
      </c>
      <c r="D5080" s="0" t="n">
        <v>0.985440759565419</v>
      </c>
      <c r="E5080" s="0" t="n">
        <v>0</v>
      </c>
      <c r="F5080" s="0" t="n">
        <v>1</v>
      </c>
      <c r="G5080" s="0" t="n">
        <v>2020</v>
      </c>
    </row>
    <row r="5081" customFormat="false" ht="15" hidden="false" customHeight="false" outlineLevel="0" collapsed="false">
      <c r="A5081" s="0" t="s">
        <v>262</v>
      </c>
      <c r="B5081" s="52" t="n">
        <v>44010</v>
      </c>
      <c r="C5081" s="54" t="s">
        <v>592</v>
      </c>
      <c r="D5081" s="0" t="n">
        <v>0.0581747584694606</v>
      </c>
      <c r="E5081" s="0" t="n">
        <v>0.0698860314786848</v>
      </c>
      <c r="F5081" s="0" t="n">
        <v>1</v>
      </c>
      <c r="G5081" s="0" t="n">
        <v>2020</v>
      </c>
    </row>
    <row r="5082" customFormat="false" ht="15" hidden="false" customHeight="false" outlineLevel="0" collapsed="false">
      <c r="A5082" s="0" t="s">
        <v>262</v>
      </c>
      <c r="B5082" s="52" t="n">
        <v>44011</v>
      </c>
      <c r="C5082" s="54" t="s">
        <v>590</v>
      </c>
      <c r="D5082" s="0" t="n">
        <v>0.005180489314035</v>
      </c>
      <c r="E5082" s="0" t="n">
        <v>0.0795354361393937</v>
      </c>
      <c r="F5082" s="0" t="n">
        <v>0</v>
      </c>
      <c r="G5082" s="0" t="n">
        <v>2020</v>
      </c>
    </row>
    <row r="5083" customFormat="false" ht="15" hidden="false" customHeight="false" outlineLevel="0" collapsed="false">
      <c r="A5083" s="0" t="s">
        <v>262</v>
      </c>
      <c r="B5083" s="52" t="n">
        <v>44011</v>
      </c>
      <c r="C5083" s="54" t="s">
        <v>591</v>
      </c>
      <c r="D5083" s="0" t="n">
        <v>0.225780101555422</v>
      </c>
      <c r="E5083" s="0" t="n">
        <v>0.0604932474420953</v>
      </c>
      <c r="F5083" s="0" t="n">
        <v>0</v>
      </c>
      <c r="G5083" s="0" t="n">
        <v>2020</v>
      </c>
    </row>
    <row r="5084" customFormat="false" ht="15" hidden="false" customHeight="false" outlineLevel="0" collapsed="false">
      <c r="A5084" s="0" t="s">
        <v>262</v>
      </c>
      <c r="B5084" s="52" t="n">
        <v>44011</v>
      </c>
      <c r="C5084" s="54" t="s">
        <v>592</v>
      </c>
      <c r="D5084" s="0" t="n">
        <v>0.295886991984973</v>
      </c>
      <c r="E5084" s="0" t="n">
        <v>0.0283927517314714</v>
      </c>
      <c r="F5084" s="0" t="n">
        <v>0</v>
      </c>
      <c r="G5084" s="0" t="n">
        <v>2020</v>
      </c>
    </row>
    <row r="5085" customFormat="false" ht="15" hidden="false" customHeight="false" outlineLevel="0" collapsed="false">
      <c r="A5085" s="0" t="s">
        <v>262</v>
      </c>
      <c r="B5085" s="52" t="n">
        <v>44012</v>
      </c>
      <c r="C5085" s="54" t="s">
        <v>590</v>
      </c>
      <c r="D5085" s="0" t="n">
        <v>0.0423803141270561</v>
      </c>
      <c r="E5085" s="0" t="n">
        <v>0.0195110157826367</v>
      </c>
      <c r="F5085" s="0" t="n">
        <v>0</v>
      </c>
      <c r="G5085" s="0" t="n">
        <v>2020</v>
      </c>
    </row>
    <row r="5086" customFormat="false" ht="15" hidden="false" customHeight="false" outlineLevel="0" collapsed="false">
      <c r="A5086" s="0" t="s">
        <v>262</v>
      </c>
      <c r="B5086" s="52" t="n">
        <v>44012</v>
      </c>
      <c r="C5086" s="54" t="s">
        <v>591</v>
      </c>
      <c r="D5086" s="0" t="n">
        <v>0.981712016466123</v>
      </c>
      <c r="E5086" s="0" t="n">
        <v>0</v>
      </c>
      <c r="F5086" s="0" t="n">
        <v>0</v>
      </c>
      <c r="G5086" s="0" t="n">
        <v>2020</v>
      </c>
    </row>
    <row r="5087" customFormat="false" ht="15" hidden="false" customHeight="false" outlineLevel="0" collapsed="false">
      <c r="A5087" s="0" t="s">
        <v>262</v>
      </c>
      <c r="B5087" s="52" t="n">
        <v>44012</v>
      </c>
      <c r="C5087" s="54" t="s">
        <v>592</v>
      </c>
      <c r="D5087" s="0" t="n">
        <v>0.0470626371287531</v>
      </c>
      <c r="E5087" s="0" t="n">
        <v>0.0467605819833374</v>
      </c>
      <c r="F5087" s="0" t="n">
        <v>0</v>
      </c>
      <c r="G5087" s="0" t="n">
        <v>2020</v>
      </c>
    </row>
    <row r="5088" customFormat="false" ht="15" hidden="false" customHeight="false" outlineLevel="0" collapsed="false">
      <c r="A5088" s="0" t="s">
        <v>262</v>
      </c>
      <c r="B5088" s="52" t="n">
        <v>44013</v>
      </c>
      <c r="C5088" s="54" t="s">
        <v>590</v>
      </c>
      <c r="D5088" s="0" t="n">
        <v>0.875462363878583</v>
      </c>
      <c r="E5088" s="0" t="n">
        <v>0</v>
      </c>
      <c r="F5088" s="0" t="n">
        <v>0</v>
      </c>
      <c r="G5088" s="0" t="n">
        <v>2020</v>
      </c>
    </row>
    <row r="5089" customFormat="false" ht="15" hidden="false" customHeight="false" outlineLevel="0" collapsed="false">
      <c r="A5089" s="0" t="s">
        <v>262</v>
      </c>
      <c r="B5089" s="52" t="n">
        <v>44013</v>
      </c>
      <c r="C5089" s="54" t="s">
        <v>591</v>
      </c>
      <c r="D5089" s="0" t="n">
        <v>0.0443094271147029</v>
      </c>
      <c r="E5089" s="0" t="n">
        <v>0.022034443799545</v>
      </c>
      <c r="F5089" s="0" t="n">
        <v>0</v>
      </c>
      <c r="G5089" s="0" t="n">
        <v>2020</v>
      </c>
    </row>
    <row r="5090" customFormat="false" ht="15" hidden="false" customHeight="false" outlineLevel="0" collapsed="false">
      <c r="A5090" s="0" t="s">
        <v>262</v>
      </c>
      <c r="B5090" s="52" t="n">
        <v>44013</v>
      </c>
      <c r="C5090" s="54" t="s">
        <v>592</v>
      </c>
      <c r="D5090" s="0" t="n">
        <v>0.0812807933628087</v>
      </c>
      <c r="E5090" s="0" t="n">
        <v>0.0626740418787057</v>
      </c>
      <c r="F5090" s="0" t="n">
        <v>0</v>
      </c>
      <c r="G5090" s="0" t="n">
        <v>2020</v>
      </c>
    </row>
    <row r="5091" customFormat="false" ht="15" hidden="false" customHeight="false" outlineLevel="0" collapsed="false">
      <c r="A5091" s="0" t="s">
        <v>262</v>
      </c>
      <c r="B5091" s="52" t="n">
        <v>44014</v>
      </c>
      <c r="C5091" s="54" t="s">
        <v>590</v>
      </c>
      <c r="D5091" s="0" t="n">
        <v>1</v>
      </c>
      <c r="E5091" s="0" t="n">
        <v>0</v>
      </c>
      <c r="F5091" s="0" t="n">
        <v>0</v>
      </c>
      <c r="G5091" s="0" t="n">
        <v>2020</v>
      </c>
    </row>
    <row r="5092" customFormat="false" ht="15" hidden="false" customHeight="false" outlineLevel="0" collapsed="false">
      <c r="A5092" s="0" t="s">
        <v>262</v>
      </c>
      <c r="B5092" s="52" t="n">
        <v>44014</v>
      </c>
      <c r="C5092" s="54" t="s">
        <v>591</v>
      </c>
      <c r="D5092" s="0" t="n">
        <v>0.222065840669208</v>
      </c>
      <c r="E5092" s="0" t="n">
        <v>0.0518540004281416</v>
      </c>
      <c r="F5092" s="0" t="n">
        <v>0</v>
      </c>
      <c r="G5092" s="0" t="n">
        <v>2020</v>
      </c>
    </row>
    <row r="5093" customFormat="false" ht="15" hidden="false" customHeight="false" outlineLevel="0" collapsed="false">
      <c r="A5093" s="0" t="s">
        <v>262</v>
      </c>
      <c r="B5093" s="52" t="n">
        <v>44014</v>
      </c>
      <c r="C5093" s="54" t="s">
        <v>592</v>
      </c>
      <c r="D5093" s="0" t="n">
        <v>0.0481896577749222</v>
      </c>
      <c r="E5093" s="0" t="n">
        <v>0.0211597582569012</v>
      </c>
      <c r="F5093" s="0" t="n">
        <v>0</v>
      </c>
      <c r="G5093" s="0" t="n">
        <v>2020</v>
      </c>
    </row>
    <row r="5094" customFormat="false" ht="15" hidden="false" customHeight="false" outlineLevel="0" collapsed="false">
      <c r="A5094" s="0" t="s">
        <v>262</v>
      </c>
      <c r="B5094" s="52" t="n">
        <v>44015</v>
      </c>
      <c r="C5094" s="54" t="s">
        <v>590</v>
      </c>
      <c r="D5094" s="0" t="n">
        <v>0</v>
      </c>
      <c r="E5094" s="0" t="n">
        <v>0.0483148978016596</v>
      </c>
      <c r="F5094" s="0" t="n">
        <v>0</v>
      </c>
      <c r="G5094" s="0" t="n">
        <v>2020</v>
      </c>
    </row>
    <row r="5095" customFormat="false" ht="15" hidden="false" customHeight="false" outlineLevel="0" collapsed="false">
      <c r="A5095" s="0" t="s">
        <v>262</v>
      </c>
      <c r="B5095" s="52" t="n">
        <v>44015</v>
      </c>
      <c r="C5095" s="54" t="s">
        <v>591</v>
      </c>
      <c r="D5095" s="0" t="n">
        <v>0.576670131522835</v>
      </c>
      <c r="E5095" s="0" t="n">
        <v>0.0190917748759618</v>
      </c>
      <c r="F5095" s="0" t="n">
        <v>0</v>
      </c>
      <c r="G5095" s="0" t="n">
        <v>2020</v>
      </c>
    </row>
    <row r="5096" customFormat="false" ht="15" hidden="false" customHeight="false" outlineLevel="0" collapsed="false">
      <c r="A5096" s="0" t="s">
        <v>262</v>
      </c>
      <c r="B5096" s="52" t="n">
        <v>44015</v>
      </c>
      <c r="C5096" s="54" t="s">
        <v>592</v>
      </c>
      <c r="D5096" s="0" t="n">
        <v>0.0116595988543648</v>
      </c>
      <c r="E5096" s="0" t="n">
        <v>0.0201763368424252</v>
      </c>
      <c r="F5096" s="0" t="n">
        <v>0</v>
      </c>
      <c r="G5096" s="0" t="n">
        <v>2020</v>
      </c>
    </row>
    <row r="5097" customFormat="false" ht="15" hidden="false" customHeight="false" outlineLevel="0" collapsed="false">
      <c r="A5097" s="0" t="s">
        <v>262</v>
      </c>
      <c r="B5097" s="52" t="n">
        <v>44016</v>
      </c>
      <c r="C5097" s="54" t="s">
        <v>590</v>
      </c>
      <c r="D5097" s="0" t="n">
        <v>0.0144831658386557</v>
      </c>
      <c r="E5097" s="0" t="n">
        <v>0.0923044575197036</v>
      </c>
      <c r="F5097" s="0" t="n">
        <v>1</v>
      </c>
      <c r="G5097" s="0" t="n">
        <v>2020</v>
      </c>
    </row>
    <row r="5098" customFormat="false" ht="15" hidden="false" customHeight="false" outlineLevel="0" collapsed="false">
      <c r="A5098" s="0" t="s">
        <v>262</v>
      </c>
      <c r="B5098" s="52" t="n">
        <v>44016</v>
      </c>
      <c r="C5098" s="54" t="s">
        <v>591</v>
      </c>
      <c r="D5098" s="0" t="n">
        <v>0.273449584202385</v>
      </c>
      <c r="E5098" s="0" t="n">
        <v>0.0629584417964181</v>
      </c>
      <c r="F5098" s="0" t="n">
        <v>1</v>
      </c>
      <c r="G5098" s="0" t="n">
        <v>2020</v>
      </c>
    </row>
    <row r="5099" customFormat="false" ht="15" hidden="false" customHeight="false" outlineLevel="0" collapsed="false">
      <c r="A5099" s="0" t="s">
        <v>262</v>
      </c>
      <c r="B5099" s="52" t="n">
        <v>44016</v>
      </c>
      <c r="C5099" s="54" t="s">
        <v>592</v>
      </c>
      <c r="D5099" s="0" t="n">
        <v>1</v>
      </c>
      <c r="E5099" s="0" t="n">
        <v>0</v>
      </c>
      <c r="F5099" s="0" t="n">
        <v>1</v>
      </c>
      <c r="G5099" s="0" t="n">
        <v>2020</v>
      </c>
    </row>
    <row r="5100" customFormat="false" ht="15" hidden="false" customHeight="false" outlineLevel="0" collapsed="false">
      <c r="A5100" s="0" t="s">
        <v>262</v>
      </c>
      <c r="B5100" s="52" t="n">
        <v>44018</v>
      </c>
      <c r="C5100" s="54" t="s">
        <v>590</v>
      </c>
      <c r="D5100" s="0" t="n">
        <v>1</v>
      </c>
      <c r="E5100" s="0" t="n">
        <v>0</v>
      </c>
      <c r="F5100" s="0" t="n">
        <v>0</v>
      </c>
      <c r="G5100" s="0" t="n">
        <v>2020</v>
      </c>
    </row>
    <row r="5101" customFormat="false" ht="15" hidden="false" customHeight="false" outlineLevel="0" collapsed="false">
      <c r="A5101" s="0" t="s">
        <v>262</v>
      </c>
      <c r="B5101" s="52" t="n">
        <v>44018</v>
      </c>
      <c r="C5101" s="54" t="s">
        <v>592</v>
      </c>
      <c r="D5101" s="0" t="n">
        <v>1</v>
      </c>
      <c r="E5101" s="0" t="n">
        <v>0</v>
      </c>
      <c r="F5101" s="0" t="n">
        <v>0</v>
      </c>
      <c r="G5101" s="0" t="n">
        <v>2020</v>
      </c>
    </row>
    <row r="5102" customFormat="false" ht="15" hidden="false" customHeight="false" outlineLevel="0" collapsed="false">
      <c r="A5102" s="0" t="s">
        <v>262</v>
      </c>
      <c r="B5102" s="52" t="n">
        <v>44020</v>
      </c>
      <c r="C5102" s="54" t="s">
        <v>592</v>
      </c>
      <c r="D5102" s="0" t="n">
        <v>0.997716143813295</v>
      </c>
      <c r="E5102" s="0" t="n">
        <v>0</v>
      </c>
      <c r="F5102" s="0" t="n">
        <v>0</v>
      </c>
      <c r="G5102" s="0" t="n">
        <v>2020</v>
      </c>
    </row>
    <row r="5103" customFormat="false" ht="15" hidden="false" customHeight="false" outlineLevel="0" collapsed="false">
      <c r="A5103" s="0" t="s">
        <v>262</v>
      </c>
      <c r="B5103" s="52" t="n">
        <v>44021</v>
      </c>
      <c r="C5103" s="54" t="s">
        <v>592</v>
      </c>
      <c r="D5103" s="0" t="n">
        <v>1</v>
      </c>
      <c r="E5103" s="0" t="n">
        <v>0</v>
      </c>
      <c r="F5103" s="0" t="n">
        <v>0</v>
      </c>
      <c r="G5103" s="0" t="n">
        <v>2020</v>
      </c>
    </row>
    <row r="5104" customFormat="false" ht="15" hidden="false" customHeight="false" outlineLevel="0" collapsed="false">
      <c r="A5104" s="0" t="s">
        <v>262</v>
      </c>
      <c r="B5104" s="52" t="n">
        <v>44022</v>
      </c>
      <c r="C5104" s="54" t="s">
        <v>590</v>
      </c>
      <c r="D5104" s="0" t="n">
        <v>1</v>
      </c>
      <c r="E5104" s="0" t="n">
        <v>0</v>
      </c>
      <c r="F5104" s="0" t="n">
        <v>0</v>
      </c>
      <c r="G5104" s="0" t="n">
        <v>2020</v>
      </c>
    </row>
    <row r="5105" customFormat="false" ht="15" hidden="false" customHeight="false" outlineLevel="0" collapsed="false">
      <c r="A5105" s="0" t="s">
        <v>262</v>
      </c>
      <c r="B5105" s="52" t="n">
        <v>44022</v>
      </c>
      <c r="C5105" s="54" t="s">
        <v>591</v>
      </c>
      <c r="D5105" s="0" t="n">
        <v>0.455376134884487</v>
      </c>
      <c r="E5105" s="0" t="n">
        <v>0.0292683210221907</v>
      </c>
      <c r="F5105" s="0" t="n">
        <v>0</v>
      </c>
      <c r="G5105" s="0" t="n">
        <v>2020</v>
      </c>
    </row>
    <row r="5106" customFormat="false" ht="15" hidden="false" customHeight="false" outlineLevel="0" collapsed="false">
      <c r="A5106" s="0" t="s">
        <v>262</v>
      </c>
      <c r="B5106" s="52" t="n">
        <v>44022</v>
      </c>
      <c r="C5106" s="54" t="s">
        <v>592</v>
      </c>
      <c r="D5106" s="0" t="n">
        <v>0.0120383960086994</v>
      </c>
      <c r="E5106" s="0" t="n">
        <v>0.0528660608149173</v>
      </c>
      <c r="F5106" s="0" t="n">
        <v>0</v>
      </c>
      <c r="G5106" s="0" t="n">
        <v>2020</v>
      </c>
    </row>
    <row r="5107" customFormat="false" ht="15" hidden="false" customHeight="false" outlineLevel="0" collapsed="false">
      <c r="A5107" s="0" t="s">
        <v>262</v>
      </c>
      <c r="B5107" s="52" t="n">
        <v>44023</v>
      </c>
      <c r="C5107" s="54" t="s">
        <v>590</v>
      </c>
      <c r="D5107" s="0" t="n">
        <v>0.0074710810261794</v>
      </c>
      <c r="E5107" s="0" t="n">
        <v>0.124492875227656</v>
      </c>
      <c r="F5107" s="0" t="n">
        <v>1</v>
      </c>
      <c r="G5107" s="0" t="n">
        <v>2020</v>
      </c>
    </row>
    <row r="5108" customFormat="false" ht="15" hidden="false" customHeight="false" outlineLevel="0" collapsed="false">
      <c r="A5108" s="0" t="s">
        <v>262</v>
      </c>
      <c r="B5108" s="52" t="n">
        <v>44023</v>
      </c>
      <c r="C5108" s="54" t="s">
        <v>591</v>
      </c>
      <c r="D5108" s="0" t="n">
        <v>0.169347657097307</v>
      </c>
      <c r="E5108" s="0" t="n">
        <v>0.0469984599678304</v>
      </c>
      <c r="F5108" s="0" t="n">
        <v>1</v>
      </c>
      <c r="G5108" s="0" t="n">
        <v>2020</v>
      </c>
    </row>
    <row r="5109" customFormat="false" ht="15" hidden="false" customHeight="false" outlineLevel="0" collapsed="false">
      <c r="A5109" s="0" t="s">
        <v>262</v>
      </c>
      <c r="B5109" s="52" t="n">
        <v>44023</v>
      </c>
      <c r="C5109" s="54" t="s">
        <v>592</v>
      </c>
      <c r="D5109" s="0" t="n">
        <v>0.244432529526968</v>
      </c>
      <c r="E5109" s="0" t="n">
        <v>0.123943427170818</v>
      </c>
      <c r="F5109" s="0" t="n">
        <v>1</v>
      </c>
      <c r="G5109" s="0" t="n">
        <v>2020</v>
      </c>
    </row>
    <row r="5110" customFormat="false" ht="15" hidden="false" customHeight="false" outlineLevel="0" collapsed="false">
      <c r="A5110" s="0" t="s">
        <v>262</v>
      </c>
      <c r="B5110" s="52" t="n">
        <v>44024</v>
      </c>
      <c r="C5110" s="54" t="s">
        <v>590</v>
      </c>
      <c r="D5110" s="0" t="n">
        <v>0.0506683144595498</v>
      </c>
      <c r="E5110" s="0" t="n">
        <v>0.0605884873923951</v>
      </c>
      <c r="F5110" s="0" t="n">
        <v>1</v>
      </c>
      <c r="G5110" s="0" t="n">
        <v>2020</v>
      </c>
    </row>
    <row r="5111" customFormat="false" ht="15" hidden="false" customHeight="false" outlineLevel="0" collapsed="false">
      <c r="A5111" s="0" t="s">
        <v>262</v>
      </c>
      <c r="B5111" s="52" t="n">
        <v>44024</v>
      </c>
      <c r="C5111" s="54" t="s">
        <v>591</v>
      </c>
      <c r="D5111" s="0" t="n">
        <v>0.0112470681197351</v>
      </c>
      <c r="E5111" s="0" t="n">
        <v>0.0947989197502487</v>
      </c>
      <c r="F5111" s="0" t="n">
        <v>1</v>
      </c>
      <c r="G5111" s="0" t="n">
        <v>2020</v>
      </c>
    </row>
    <row r="5112" customFormat="false" ht="15" hidden="false" customHeight="false" outlineLevel="0" collapsed="false">
      <c r="A5112" s="0" t="s">
        <v>262</v>
      </c>
      <c r="B5112" s="52" t="n">
        <v>44024</v>
      </c>
      <c r="C5112" s="54" t="s">
        <v>592</v>
      </c>
      <c r="D5112" s="0" t="n">
        <v>0.49227722926142</v>
      </c>
      <c r="E5112" s="0" t="n">
        <v>0.0584507492169396</v>
      </c>
      <c r="F5112" s="0" t="n">
        <v>1</v>
      </c>
      <c r="G5112" s="0" t="n">
        <v>2020</v>
      </c>
    </row>
    <row r="5113" customFormat="false" ht="15" hidden="false" customHeight="false" outlineLevel="0" collapsed="false">
      <c r="A5113" s="0" t="s">
        <v>262</v>
      </c>
      <c r="B5113" s="52" t="n">
        <v>44025</v>
      </c>
      <c r="C5113" s="54" t="s">
        <v>590</v>
      </c>
      <c r="D5113" s="0" t="n">
        <v>0.0973440923346549</v>
      </c>
      <c r="E5113" s="0" t="n">
        <v>0.0404435125600929</v>
      </c>
      <c r="F5113" s="0" t="n">
        <v>0</v>
      </c>
      <c r="G5113" s="0" t="n">
        <v>2020</v>
      </c>
    </row>
    <row r="5114" customFormat="false" ht="15" hidden="false" customHeight="false" outlineLevel="0" collapsed="false">
      <c r="A5114" s="0" t="s">
        <v>262</v>
      </c>
      <c r="B5114" s="52" t="n">
        <v>44025</v>
      </c>
      <c r="C5114" s="54" t="s">
        <v>591</v>
      </c>
      <c r="D5114" s="0" t="n">
        <v>0.0105919660169027</v>
      </c>
      <c r="E5114" s="0" t="n">
        <v>0.0266890476981429</v>
      </c>
      <c r="F5114" s="0" t="n">
        <v>0</v>
      </c>
      <c r="G5114" s="0" t="n">
        <v>2020</v>
      </c>
    </row>
    <row r="5115" customFormat="false" ht="15" hidden="false" customHeight="false" outlineLevel="0" collapsed="false">
      <c r="A5115" s="0" t="s">
        <v>262</v>
      </c>
      <c r="B5115" s="52" t="n">
        <v>44025</v>
      </c>
      <c r="C5115" s="54" t="s">
        <v>592</v>
      </c>
      <c r="D5115" s="0" t="n">
        <v>0.1943088839016</v>
      </c>
      <c r="E5115" s="0" t="n">
        <v>0.001894918822665</v>
      </c>
      <c r="F5115" s="0" t="n">
        <v>0</v>
      </c>
      <c r="G5115" s="0" t="n">
        <v>2020</v>
      </c>
    </row>
    <row r="5116" customFormat="false" ht="15" hidden="false" customHeight="false" outlineLevel="0" collapsed="false">
      <c r="A5116" s="0" t="s">
        <v>262</v>
      </c>
      <c r="B5116" s="52" t="n">
        <v>44026</v>
      </c>
      <c r="C5116" s="54" t="s">
        <v>590</v>
      </c>
      <c r="D5116" s="0" t="n">
        <v>0.134651933733924</v>
      </c>
      <c r="E5116" s="0" t="n">
        <v>0.0027062127548983</v>
      </c>
      <c r="F5116" s="0" t="n">
        <v>0</v>
      </c>
      <c r="G5116" s="0" t="n">
        <v>2020</v>
      </c>
    </row>
    <row r="5117" customFormat="false" ht="15" hidden="false" customHeight="false" outlineLevel="0" collapsed="false">
      <c r="A5117" s="0" t="s">
        <v>262</v>
      </c>
      <c r="B5117" s="52" t="n">
        <v>44026</v>
      </c>
      <c r="C5117" s="54" t="s">
        <v>591</v>
      </c>
      <c r="D5117" s="0" t="n">
        <v>0.0143030839531864</v>
      </c>
      <c r="E5117" s="0" t="n">
        <v>0.0453229526223859</v>
      </c>
      <c r="F5117" s="0" t="n">
        <v>0</v>
      </c>
      <c r="G5117" s="0" t="n">
        <v>2020</v>
      </c>
    </row>
    <row r="5118" customFormat="false" ht="15" hidden="false" customHeight="false" outlineLevel="0" collapsed="false">
      <c r="A5118" s="0" t="s">
        <v>262</v>
      </c>
      <c r="B5118" s="52" t="n">
        <v>44026</v>
      </c>
      <c r="C5118" s="54" t="s">
        <v>592</v>
      </c>
      <c r="D5118" s="0" t="n">
        <v>0.0365144034057175</v>
      </c>
      <c r="E5118" s="0" t="n">
        <v>0.0625286700649018</v>
      </c>
      <c r="F5118" s="0" t="n">
        <v>0</v>
      </c>
      <c r="G5118" s="0" t="n">
        <v>2020</v>
      </c>
    </row>
    <row r="5119" customFormat="false" ht="15" hidden="false" customHeight="false" outlineLevel="0" collapsed="false">
      <c r="A5119" s="0" t="s">
        <v>262</v>
      </c>
      <c r="B5119" s="52" t="n">
        <v>44027</v>
      </c>
      <c r="C5119" s="54" t="s">
        <v>590</v>
      </c>
      <c r="D5119" s="0" t="n">
        <v>0.447007209571417</v>
      </c>
      <c r="E5119" s="0" t="n">
        <v>0.0023766319156327</v>
      </c>
      <c r="F5119" s="0" t="n">
        <v>0</v>
      </c>
      <c r="G5119" s="0" t="n">
        <v>2020</v>
      </c>
    </row>
    <row r="5120" customFormat="false" ht="15" hidden="false" customHeight="false" outlineLevel="0" collapsed="false">
      <c r="A5120" s="0" t="s">
        <v>262</v>
      </c>
      <c r="B5120" s="52" t="n">
        <v>44027</v>
      </c>
      <c r="C5120" s="54" t="s">
        <v>591</v>
      </c>
      <c r="D5120" s="0" t="n">
        <v>0.0196643282502823</v>
      </c>
      <c r="E5120" s="0" t="n">
        <v>0.0397865535522768</v>
      </c>
      <c r="F5120" s="0" t="n">
        <v>0</v>
      </c>
      <c r="G5120" s="0" t="n">
        <v>2020</v>
      </c>
    </row>
    <row r="5121" customFormat="false" ht="15" hidden="false" customHeight="false" outlineLevel="0" collapsed="false">
      <c r="A5121" s="0" t="s">
        <v>262</v>
      </c>
      <c r="B5121" s="52" t="n">
        <v>44027</v>
      </c>
      <c r="C5121" s="54" t="s">
        <v>592</v>
      </c>
      <c r="D5121" s="0" t="n">
        <v>0.341370754184161</v>
      </c>
      <c r="E5121" s="0" t="n">
        <v>0.0412612214522903</v>
      </c>
      <c r="F5121" s="0" t="n">
        <v>0</v>
      </c>
      <c r="G5121" s="0" t="n">
        <v>2020</v>
      </c>
    </row>
    <row r="5122" customFormat="false" ht="15" hidden="false" customHeight="false" outlineLevel="0" collapsed="false">
      <c r="A5122" s="0" t="s">
        <v>262</v>
      </c>
      <c r="B5122" s="52" t="n">
        <v>44028</v>
      </c>
      <c r="C5122" s="54" t="s">
        <v>590</v>
      </c>
      <c r="D5122" s="0" t="n">
        <v>0.997715052212347</v>
      </c>
      <c r="E5122" s="0" t="n">
        <v>0</v>
      </c>
      <c r="F5122" s="0" t="n">
        <v>0</v>
      </c>
      <c r="G5122" s="0" t="n">
        <v>2020</v>
      </c>
    </row>
    <row r="5123" customFormat="false" ht="15" hidden="false" customHeight="false" outlineLevel="0" collapsed="false">
      <c r="A5123" s="0" t="s">
        <v>262</v>
      </c>
      <c r="B5123" s="52" t="n">
        <v>44028</v>
      </c>
      <c r="C5123" s="54" t="s">
        <v>591</v>
      </c>
      <c r="D5123" s="0" t="n">
        <v>0.207308229944636</v>
      </c>
      <c r="E5123" s="0" t="n">
        <v>0.0298124938048022</v>
      </c>
      <c r="F5123" s="0" t="n">
        <v>0</v>
      </c>
      <c r="G5123" s="0" t="n">
        <v>2020</v>
      </c>
    </row>
    <row r="5124" customFormat="false" ht="15" hidden="false" customHeight="false" outlineLevel="0" collapsed="false">
      <c r="A5124" s="0" t="s">
        <v>262</v>
      </c>
      <c r="B5124" s="52" t="n">
        <v>44028</v>
      </c>
      <c r="C5124" s="54" t="s">
        <v>592</v>
      </c>
      <c r="D5124" s="0" t="n">
        <v>0.0125287009321087</v>
      </c>
      <c r="E5124" s="0" t="n">
        <v>0.0641893553696454</v>
      </c>
      <c r="F5124" s="0" t="n">
        <v>0</v>
      </c>
      <c r="G5124" s="0" t="n">
        <v>2020</v>
      </c>
    </row>
    <row r="5125" customFormat="false" ht="15" hidden="false" customHeight="false" outlineLevel="0" collapsed="false">
      <c r="A5125" s="0" t="s">
        <v>262</v>
      </c>
      <c r="B5125" s="52" t="n">
        <v>44029</v>
      </c>
      <c r="C5125" s="54" t="s">
        <v>590</v>
      </c>
      <c r="D5125" s="0" t="n">
        <v>0.187948180692075</v>
      </c>
      <c r="E5125" s="0" t="n">
        <v>0.0450091203001478</v>
      </c>
      <c r="F5125" s="0" t="n">
        <v>0</v>
      </c>
      <c r="G5125" s="0" t="n">
        <v>2020</v>
      </c>
    </row>
    <row r="5126" customFormat="false" ht="15" hidden="false" customHeight="false" outlineLevel="0" collapsed="false">
      <c r="A5126" s="0" t="s">
        <v>262</v>
      </c>
      <c r="B5126" s="52" t="n">
        <v>44029</v>
      </c>
      <c r="C5126" s="54" t="s">
        <v>591</v>
      </c>
      <c r="D5126" s="0" t="n">
        <v>1</v>
      </c>
      <c r="E5126" s="0" t="n">
        <v>0</v>
      </c>
      <c r="F5126" s="0" t="n">
        <v>0</v>
      </c>
      <c r="G5126" s="0" t="n">
        <v>2020</v>
      </c>
    </row>
    <row r="5127" customFormat="false" ht="15" hidden="false" customHeight="false" outlineLevel="0" collapsed="false">
      <c r="A5127" s="0" t="s">
        <v>262</v>
      </c>
      <c r="B5127" s="52" t="n">
        <v>44029</v>
      </c>
      <c r="C5127" s="54" t="s">
        <v>592</v>
      </c>
      <c r="D5127" s="0" t="n">
        <v>0.779364367733714</v>
      </c>
      <c r="E5127" s="0" t="n">
        <v>0</v>
      </c>
      <c r="F5127" s="0" t="n">
        <v>0</v>
      </c>
      <c r="G5127" s="0" t="n">
        <v>2020</v>
      </c>
    </row>
    <row r="5128" customFormat="false" ht="15" hidden="false" customHeight="false" outlineLevel="0" collapsed="false">
      <c r="A5128" s="0" t="s">
        <v>262</v>
      </c>
      <c r="B5128" s="52" t="n">
        <v>44030</v>
      </c>
      <c r="C5128" s="54" t="s">
        <v>590</v>
      </c>
      <c r="D5128" s="0" t="n">
        <v>0.515395713591034</v>
      </c>
      <c r="E5128" s="0" t="n">
        <v>0.0161698711671333</v>
      </c>
      <c r="F5128" s="0" t="n">
        <v>1</v>
      </c>
      <c r="G5128" s="0" t="n">
        <v>2020</v>
      </c>
    </row>
    <row r="5129" customFormat="false" ht="15" hidden="false" customHeight="false" outlineLevel="0" collapsed="false">
      <c r="A5129" s="0" t="s">
        <v>262</v>
      </c>
      <c r="B5129" s="52" t="n">
        <v>44030</v>
      </c>
      <c r="C5129" s="54" t="s">
        <v>591</v>
      </c>
      <c r="D5129" s="0" t="n">
        <v>0.060898747270272</v>
      </c>
      <c r="E5129" s="0" t="n">
        <v>0.080003895936922</v>
      </c>
      <c r="F5129" s="0" t="n">
        <v>1</v>
      </c>
      <c r="G5129" s="0" t="n">
        <v>2020</v>
      </c>
    </row>
    <row r="5130" customFormat="false" ht="15" hidden="false" customHeight="false" outlineLevel="0" collapsed="false">
      <c r="A5130" s="0" t="s">
        <v>262</v>
      </c>
      <c r="B5130" s="52" t="n">
        <v>44030</v>
      </c>
      <c r="C5130" s="54" t="s">
        <v>592</v>
      </c>
      <c r="D5130" s="0" t="n">
        <v>0.0284445734474524</v>
      </c>
      <c r="E5130" s="0" t="n">
        <v>0.0869354755665974</v>
      </c>
      <c r="F5130" s="0" t="n">
        <v>1</v>
      </c>
      <c r="G5130" s="0" t="n">
        <v>2020</v>
      </c>
    </row>
    <row r="5131" customFormat="false" ht="15" hidden="false" customHeight="false" outlineLevel="0" collapsed="false">
      <c r="A5131" s="0" t="s">
        <v>262</v>
      </c>
      <c r="B5131" s="52" t="n">
        <v>44031</v>
      </c>
      <c r="C5131" s="54" t="s">
        <v>590</v>
      </c>
      <c r="D5131" s="0" t="n">
        <v>0.273006532993569</v>
      </c>
      <c r="E5131" s="0" t="n">
        <v>0.0187934946869421</v>
      </c>
      <c r="F5131" s="0" t="n">
        <v>1</v>
      </c>
      <c r="G5131" s="0" t="n">
        <v>2020</v>
      </c>
    </row>
    <row r="5132" customFormat="false" ht="15" hidden="false" customHeight="false" outlineLevel="0" collapsed="false">
      <c r="A5132" s="0" t="s">
        <v>262</v>
      </c>
      <c r="B5132" s="52" t="n">
        <v>44032</v>
      </c>
      <c r="C5132" s="54" t="s">
        <v>592</v>
      </c>
      <c r="D5132" s="0" t="n">
        <v>1</v>
      </c>
      <c r="E5132" s="0" t="n">
        <v>0</v>
      </c>
      <c r="F5132" s="0" t="n">
        <v>0</v>
      </c>
      <c r="G5132" s="0" t="n">
        <v>2020</v>
      </c>
    </row>
    <row r="5133" customFormat="false" ht="15" hidden="false" customHeight="false" outlineLevel="0" collapsed="false">
      <c r="A5133" s="0" t="s">
        <v>262</v>
      </c>
      <c r="B5133" s="52" t="n">
        <v>44034</v>
      </c>
      <c r="C5133" s="54" t="s">
        <v>590</v>
      </c>
      <c r="D5133" s="0" t="n">
        <v>0.987510977066928</v>
      </c>
      <c r="E5133" s="0" t="n">
        <v>0</v>
      </c>
      <c r="F5133" s="0" t="n">
        <v>0</v>
      </c>
      <c r="G5133" s="0" t="n">
        <v>2020</v>
      </c>
    </row>
    <row r="5134" customFormat="false" ht="15" hidden="false" customHeight="false" outlineLevel="0" collapsed="false">
      <c r="A5134" s="0" t="s">
        <v>262</v>
      </c>
      <c r="B5134" s="52" t="n">
        <v>44034</v>
      </c>
      <c r="C5134" s="54" t="s">
        <v>592</v>
      </c>
      <c r="D5134" s="0" t="n">
        <v>0.94338181060193</v>
      </c>
      <c r="E5134" s="0" t="n">
        <v>0</v>
      </c>
      <c r="F5134" s="0" t="n">
        <v>0</v>
      </c>
      <c r="G5134" s="0" t="n">
        <v>2020</v>
      </c>
    </row>
    <row r="5135" customFormat="false" ht="15" hidden="false" customHeight="false" outlineLevel="0" collapsed="false">
      <c r="A5135" s="0" t="s">
        <v>262</v>
      </c>
      <c r="B5135" s="52" t="n">
        <v>44035</v>
      </c>
      <c r="C5135" s="54" t="s">
        <v>590</v>
      </c>
      <c r="D5135" s="0" t="n">
        <v>1</v>
      </c>
      <c r="E5135" s="0" t="n">
        <v>0</v>
      </c>
      <c r="F5135" s="0" t="n">
        <v>0</v>
      </c>
      <c r="G5135" s="0" t="n">
        <v>2020</v>
      </c>
    </row>
    <row r="5136" customFormat="false" ht="15" hidden="false" customHeight="false" outlineLevel="0" collapsed="false">
      <c r="A5136" s="0" t="s">
        <v>262</v>
      </c>
      <c r="B5136" s="52" t="n">
        <v>44035</v>
      </c>
      <c r="C5136" s="54" t="s">
        <v>591</v>
      </c>
      <c r="D5136" s="0" t="n">
        <v>1</v>
      </c>
      <c r="E5136" s="0" t="n">
        <v>0</v>
      </c>
      <c r="F5136" s="0" t="n">
        <v>0</v>
      </c>
      <c r="G5136" s="0" t="n">
        <v>2020</v>
      </c>
    </row>
    <row r="5137" customFormat="false" ht="15" hidden="false" customHeight="false" outlineLevel="0" collapsed="false">
      <c r="A5137" s="0" t="s">
        <v>262</v>
      </c>
      <c r="B5137" s="52" t="n">
        <v>44035</v>
      </c>
      <c r="C5137" s="54" t="s">
        <v>592</v>
      </c>
      <c r="D5137" s="0" t="n">
        <v>1</v>
      </c>
      <c r="E5137" s="0" t="n">
        <v>0</v>
      </c>
      <c r="F5137" s="0" t="n">
        <v>0</v>
      </c>
      <c r="G5137" s="0" t="n">
        <v>2020</v>
      </c>
    </row>
    <row r="5138" customFormat="false" ht="15" hidden="false" customHeight="false" outlineLevel="0" collapsed="false">
      <c r="A5138" s="0" t="s">
        <v>262</v>
      </c>
      <c r="B5138" s="52" t="n">
        <v>44036</v>
      </c>
      <c r="C5138" s="54" t="s">
        <v>590</v>
      </c>
      <c r="D5138" s="0" t="n">
        <v>0.153144246239861</v>
      </c>
      <c r="E5138" s="0" t="n">
        <v>0.104293995290941</v>
      </c>
      <c r="F5138" s="0" t="n">
        <v>0</v>
      </c>
      <c r="G5138" s="0" t="n">
        <v>2020</v>
      </c>
    </row>
    <row r="5139" customFormat="false" ht="15" hidden="false" customHeight="false" outlineLevel="0" collapsed="false">
      <c r="A5139" s="0" t="s">
        <v>262</v>
      </c>
      <c r="B5139" s="52" t="n">
        <v>44036</v>
      </c>
      <c r="C5139" s="54" t="s">
        <v>591</v>
      </c>
      <c r="D5139" s="0" t="n">
        <v>0.110680852700621</v>
      </c>
      <c r="E5139" s="0" t="n">
        <v>0.0488953993793869</v>
      </c>
      <c r="F5139" s="0" t="n">
        <v>0</v>
      </c>
      <c r="G5139" s="0" t="n">
        <v>2020</v>
      </c>
    </row>
    <row r="5140" customFormat="false" ht="15" hidden="false" customHeight="false" outlineLevel="0" collapsed="false">
      <c r="A5140" s="0" t="s">
        <v>262</v>
      </c>
      <c r="B5140" s="52" t="n">
        <v>44036</v>
      </c>
      <c r="C5140" s="54" t="s">
        <v>592</v>
      </c>
      <c r="D5140" s="0" t="n">
        <v>0.0214744145101701</v>
      </c>
      <c r="E5140" s="0" t="n">
        <v>0.0336146770071514</v>
      </c>
      <c r="F5140" s="0" t="n">
        <v>0</v>
      </c>
      <c r="G5140" s="0" t="n">
        <v>2020</v>
      </c>
    </row>
    <row r="5141" customFormat="false" ht="15" hidden="false" customHeight="false" outlineLevel="0" collapsed="false">
      <c r="A5141" s="0" t="s">
        <v>262</v>
      </c>
      <c r="B5141" s="52" t="n">
        <v>44037</v>
      </c>
      <c r="C5141" s="54" t="s">
        <v>590</v>
      </c>
      <c r="D5141" s="0" t="n">
        <v>0.262246327733269</v>
      </c>
      <c r="E5141" s="0" t="n">
        <v>0.0316928574871917</v>
      </c>
      <c r="F5141" s="0" t="n">
        <v>1</v>
      </c>
      <c r="G5141" s="0" t="n">
        <v>2020</v>
      </c>
    </row>
    <row r="5142" customFormat="false" ht="15" hidden="false" customHeight="false" outlineLevel="0" collapsed="false">
      <c r="A5142" s="0" t="s">
        <v>262</v>
      </c>
      <c r="B5142" s="52" t="n">
        <v>44037</v>
      </c>
      <c r="C5142" s="54" t="s">
        <v>591</v>
      </c>
      <c r="D5142" s="0" t="n">
        <v>0.119616937312633</v>
      </c>
      <c r="E5142" s="0" t="n">
        <v>0.0259097799122196</v>
      </c>
      <c r="F5142" s="0" t="n">
        <v>1</v>
      </c>
      <c r="G5142" s="0" t="n">
        <v>2020</v>
      </c>
    </row>
    <row r="5143" customFormat="false" ht="15" hidden="false" customHeight="false" outlineLevel="0" collapsed="false">
      <c r="A5143" s="0" t="s">
        <v>262</v>
      </c>
      <c r="B5143" s="52" t="n">
        <v>44037</v>
      </c>
      <c r="C5143" s="54" t="s">
        <v>592</v>
      </c>
      <c r="D5143" s="0" t="n">
        <v>0.0561749237948626</v>
      </c>
      <c r="E5143" s="0" t="n">
        <v>0.0158382840654362</v>
      </c>
      <c r="F5143" s="0" t="n">
        <v>1</v>
      </c>
      <c r="G5143" s="0" t="n">
        <v>2020</v>
      </c>
    </row>
    <row r="5144" customFormat="false" ht="15" hidden="false" customHeight="false" outlineLevel="0" collapsed="false">
      <c r="A5144" s="0" t="s">
        <v>262</v>
      </c>
      <c r="B5144" s="52" t="n">
        <v>44038</v>
      </c>
      <c r="C5144" s="54" t="s">
        <v>590</v>
      </c>
      <c r="D5144" s="0" t="n">
        <v>1</v>
      </c>
      <c r="E5144" s="0" t="n">
        <v>0</v>
      </c>
      <c r="F5144" s="0" t="n">
        <v>1</v>
      </c>
      <c r="G5144" s="0" t="n">
        <v>2020</v>
      </c>
    </row>
    <row r="5145" customFormat="false" ht="15" hidden="false" customHeight="false" outlineLevel="0" collapsed="false">
      <c r="A5145" s="0" t="s">
        <v>262</v>
      </c>
      <c r="B5145" s="52" t="n">
        <v>44038</v>
      </c>
      <c r="C5145" s="54" t="s">
        <v>591</v>
      </c>
      <c r="D5145" s="0" t="n">
        <v>0.176653458232734</v>
      </c>
      <c r="E5145" s="0" t="n">
        <v>0.0231939197482718</v>
      </c>
      <c r="F5145" s="0" t="n">
        <v>1</v>
      </c>
      <c r="G5145" s="0" t="n">
        <v>2020</v>
      </c>
    </row>
    <row r="5146" customFormat="false" ht="15" hidden="false" customHeight="false" outlineLevel="0" collapsed="false">
      <c r="A5146" s="0" t="s">
        <v>262</v>
      </c>
      <c r="B5146" s="52" t="n">
        <v>44038</v>
      </c>
      <c r="C5146" s="54" t="s">
        <v>592</v>
      </c>
      <c r="D5146" s="0" t="n">
        <v>0.037932445654392</v>
      </c>
      <c r="E5146" s="0" t="n">
        <v>0.0229830067462826</v>
      </c>
      <c r="F5146" s="0" t="n">
        <v>1</v>
      </c>
      <c r="G5146" s="0" t="n">
        <v>2020</v>
      </c>
    </row>
    <row r="5147" customFormat="false" ht="15" hidden="false" customHeight="false" outlineLevel="0" collapsed="false">
      <c r="A5147" s="0" t="s">
        <v>262</v>
      </c>
      <c r="B5147" s="52" t="n">
        <v>44039</v>
      </c>
      <c r="C5147" s="54" t="s">
        <v>590</v>
      </c>
      <c r="D5147" s="0" t="n">
        <v>0.154757748832463</v>
      </c>
      <c r="E5147" s="0" t="n">
        <v>0.0343964909608427</v>
      </c>
      <c r="F5147" s="0" t="n">
        <v>0</v>
      </c>
      <c r="G5147" s="0" t="n">
        <v>2020</v>
      </c>
    </row>
    <row r="5148" customFormat="false" ht="15" hidden="false" customHeight="false" outlineLevel="0" collapsed="false">
      <c r="A5148" s="0" t="s">
        <v>262</v>
      </c>
      <c r="B5148" s="52" t="n">
        <v>44039</v>
      </c>
      <c r="C5148" s="54" t="s">
        <v>591</v>
      </c>
      <c r="D5148" s="0" t="n">
        <v>0.939191267063892</v>
      </c>
      <c r="E5148" s="0" t="n">
        <v>0</v>
      </c>
      <c r="F5148" s="0" t="n">
        <v>0</v>
      </c>
      <c r="G5148" s="0" t="n">
        <v>2020</v>
      </c>
    </row>
    <row r="5149" customFormat="false" ht="15" hidden="false" customHeight="false" outlineLevel="0" collapsed="false">
      <c r="A5149" s="0" t="s">
        <v>262</v>
      </c>
      <c r="B5149" s="52" t="n">
        <v>44039</v>
      </c>
      <c r="C5149" s="54" t="s">
        <v>592</v>
      </c>
      <c r="D5149" s="0" t="n">
        <v>0.0693890425167411</v>
      </c>
      <c r="E5149" s="0" t="n">
        <v>0.0399715975925436</v>
      </c>
      <c r="F5149" s="0" t="n">
        <v>0</v>
      </c>
      <c r="G5149" s="0" t="n">
        <v>2020</v>
      </c>
    </row>
    <row r="5150" customFormat="false" ht="15" hidden="false" customHeight="false" outlineLevel="0" collapsed="false">
      <c r="A5150" s="0" t="s">
        <v>262</v>
      </c>
      <c r="B5150" s="52" t="n">
        <v>44040</v>
      </c>
      <c r="C5150" s="54" t="s">
        <v>590</v>
      </c>
      <c r="D5150" s="0" t="n">
        <v>0.112867744381039</v>
      </c>
      <c r="E5150" s="0" t="n">
        <v>0.0699690122756084</v>
      </c>
      <c r="F5150" s="0" t="n">
        <v>0</v>
      </c>
      <c r="G5150" s="0" t="n">
        <v>2020</v>
      </c>
    </row>
    <row r="5151" customFormat="false" ht="15" hidden="false" customHeight="false" outlineLevel="0" collapsed="false">
      <c r="A5151" s="0" t="s">
        <v>262</v>
      </c>
      <c r="B5151" s="52" t="n">
        <v>44040</v>
      </c>
      <c r="C5151" s="54" t="s">
        <v>591</v>
      </c>
      <c r="D5151" s="0" t="n">
        <v>1</v>
      </c>
      <c r="E5151" s="0" t="n">
        <v>0</v>
      </c>
      <c r="F5151" s="0" t="n">
        <v>0</v>
      </c>
      <c r="G5151" s="0" t="n">
        <v>2020</v>
      </c>
    </row>
    <row r="5152" customFormat="false" ht="15" hidden="false" customHeight="false" outlineLevel="0" collapsed="false">
      <c r="A5152" s="0" t="s">
        <v>262</v>
      </c>
      <c r="B5152" s="52" t="n">
        <v>44040</v>
      </c>
      <c r="C5152" s="54" t="s">
        <v>592</v>
      </c>
      <c r="D5152" s="0" t="n">
        <v>0.0586630369057942</v>
      </c>
      <c r="E5152" s="0" t="n">
        <v>0.0792036974582349</v>
      </c>
      <c r="F5152" s="0" t="n">
        <v>0</v>
      </c>
      <c r="G5152" s="0" t="n">
        <v>2020</v>
      </c>
    </row>
    <row r="5153" customFormat="false" ht="15" hidden="false" customHeight="false" outlineLevel="0" collapsed="false">
      <c r="A5153" s="0" t="s">
        <v>262</v>
      </c>
      <c r="B5153" s="52" t="n">
        <v>44041</v>
      </c>
      <c r="C5153" s="54" t="s">
        <v>590</v>
      </c>
      <c r="D5153" s="0" t="n">
        <v>0.557673649836647</v>
      </c>
      <c r="E5153" s="0" t="n">
        <v>0.0108612348771986</v>
      </c>
      <c r="F5153" s="0" t="n">
        <v>0</v>
      </c>
      <c r="G5153" s="0" t="n">
        <v>2020</v>
      </c>
    </row>
    <row r="5154" customFormat="false" ht="15" hidden="false" customHeight="false" outlineLevel="0" collapsed="false">
      <c r="A5154" s="0" t="s">
        <v>262</v>
      </c>
      <c r="B5154" s="52" t="n">
        <v>44041</v>
      </c>
      <c r="C5154" s="54" t="s">
        <v>591</v>
      </c>
      <c r="D5154" s="0" t="n">
        <v>1</v>
      </c>
      <c r="E5154" s="0" t="n">
        <v>0</v>
      </c>
      <c r="F5154" s="0" t="n">
        <v>0</v>
      </c>
      <c r="G5154" s="0" t="n">
        <v>2020</v>
      </c>
    </row>
    <row r="5155" customFormat="false" ht="15" hidden="false" customHeight="false" outlineLevel="0" collapsed="false">
      <c r="A5155" s="0" t="s">
        <v>262</v>
      </c>
      <c r="B5155" s="52" t="n">
        <v>44041</v>
      </c>
      <c r="C5155" s="54" t="s">
        <v>592</v>
      </c>
      <c r="D5155" s="0" t="n">
        <v>0.0421514678139069</v>
      </c>
      <c r="E5155" s="0" t="n">
        <v>0.0324590387200672</v>
      </c>
      <c r="F5155" s="0" t="n">
        <v>0</v>
      </c>
      <c r="G5155" s="0" t="n">
        <v>2020</v>
      </c>
    </row>
    <row r="5156" customFormat="false" ht="15" hidden="false" customHeight="false" outlineLevel="0" collapsed="false">
      <c r="A5156" s="0" t="s">
        <v>262</v>
      </c>
      <c r="B5156" s="52" t="n">
        <v>44042</v>
      </c>
      <c r="C5156" s="54" t="s">
        <v>590</v>
      </c>
      <c r="D5156" s="0" t="n">
        <v>0.0313644140457811</v>
      </c>
      <c r="E5156" s="0" t="n">
        <v>0.138153667889342</v>
      </c>
      <c r="F5156" s="0" t="n">
        <v>0</v>
      </c>
      <c r="G5156" s="0" t="n">
        <v>2020</v>
      </c>
    </row>
    <row r="5157" customFormat="false" ht="15" hidden="false" customHeight="false" outlineLevel="0" collapsed="false">
      <c r="A5157" s="0" t="s">
        <v>262</v>
      </c>
      <c r="B5157" s="52" t="n">
        <v>44042</v>
      </c>
      <c r="C5157" s="54" t="s">
        <v>591</v>
      </c>
      <c r="D5157" s="0" t="n">
        <v>0.141462891057918</v>
      </c>
      <c r="E5157" s="0" t="n">
        <v>0.0964600163269614</v>
      </c>
      <c r="F5157" s="0" t="n">
        <v>0</v>
      </c>
      <c r="G5157" s="0" t="n">
        <v>2020</v>
      </c>
    </row>
    <row r="5158" customFormat="false" ht="15" hidden="false" customHeight="false" outlineLevel="0" collapsed="false">
      <c r="A5158" s="0" t="s">
        <v>262</v>
      </c>
      <c r="B5158" s="52" t="n">
        <v>44042</v>
      </c>
      <c r="C5158" s="54" t="s">
        <v>592</v>
      </c>
      <c r="D5158" s="0" t="n">
        <v>1</v>
      </c>
      <c r="E5158" s="0" t="n">
        <v>0</v>
      </c>
      <c r="F5158" s="0" t="n">
        <v>0</v>
      </c>
      <c r="G5158" s="0" t="n">
        <v>2020</v>
      </c>
    </row>
    <row r="5159" customFormat="false" ht="15" hidden="false" customHeight="false" outlineLevel="0" collapsed="false">
      <c r="A5159" s="0" t="s">
        <v>262</v>
      </c>
      <c r="B5159" s="52" t="n">
        <v>44043</v>
      </c>
      <c r="C5159" s="54" t="s">
        <v>591</v>
      </c>
      <c r="D5159" s="0" t="n">
        <v>0.997779382177509</v>
      </c>
      <c r="E5159" s="0" t="n">
        <v>0</v>
      </c>
      <c r="F5159" s="0" t="n">
        <v>0</v>
      </c>
      <c r="G5159" s="0" t="n">
        <v>2020</v>
      </c>
    </row>
    <row r="5160" customFormat="false" ht="15" hidden="false" customHeight="false" outlineLevel="0" collapsed="false">
      <c r="A5160" s="0" t="s">
        <v>262</v>
      </c>
      <c r="B5160" s="52" t="n">
        <v>44043</v>
      </c>
      <c r="C5160" s="54" t="s">
        <v>592</v>
      </c>
      <c r="D5160" s="0" t="n">
        <v>0.0186364039711212</v>
      </c>
      <c r="E5160" s="0" t="n">
        <v>0.0619932401436106</v>
      </c>
      <c r="F5160" s="0" t="n">
        <v>0</v>
      </c>
      <c r="G5160" s="0" t="n">
        <v>2020</v>
      </c>
    </row>
    <row r="5161" customFormat="false" ht="15" hidden="false" customHeight="false" outlineLevel="0" collapsed="false">
      <c r="A5161" s="0" t="s">
        <v>262</v>
      </c>
      <c r="B5161" s="52" t="n">
        <v>44044</v>
      </c>
      <c r="C5161" s="54" t="s">
        <v>590</v>
      </c>
      <c r="D5161" s="0" t="n">
        <v>0.0671726104072496</v>
      </c>
      <c r="E5161" s="0" t="n">
        <v>0.0522317091729745</v>
      </c>
      <c r="F5161" s="0" t="n">
        <v>1</v>
      </c>
      <c r="G5161" s="0" t="n">
        <v>2020</v>
      </c>
    </row>
    <row r="5162" customFormat="false" ht="15" hidden="false" customHeight="false" outlineLevel="0" collapsed="false">
      <c r="A5162" s="0" t="s">
        <v>262</v>
      </c>
      <c r="B5162" s="52" t="n">
        <v>44044</v>
      </c>
      <c r="C5162" s="54" t="s">
        <v>591</v>
      </c>
      <c r="D5162" s="0" t="n">
        <v>0.998979928874592</v>
      </c>
      <c r="E5162" s="0" t="n">
        <v>0</v>
      </c>
      <c r="F5162" s="0" t="n">
        <v>1</v>
      </c>
      <c r="G5162" s="0" t="n">
        <v>2020</v>
      </c>
    </row>
    <row r="5163" customFormat="false" ht="15" hidden="false" customHeight="false" outlineLevel="0" collapsed="false">
      <c r="A5163" s="0" t="s">
        <v>262</v>
      </c>
      <c r="B5163" s="52" t="n">
        <v>44045</v>
      </c>
      <c r="C5163" s="54" t="s">
        <v>590</v>
      </c>
      <c r="D5163" s="0" t="n">
        <v>0.953051379990209</v>
      </c>
      <c r="E5163" s="0" t="n">
        <v>0</v>
      </c>
      <c r="F5163" s="0" t="n">
        <v>1</v>
      </c>
      <c r="G5163" s="0" t="n">
        <v>2020</v>
      </c>
    </row>
    <row r="5164" customFormat="false" ht="15" hidden="false" customHeight="false" outlineLevel="0" collapsed="false">
      <c r="A5164" s="0" t="s">
        <v>262</v>
      </c>
      <c r="B5164" s="52" t="n">
        <v>44045</v>
      </c>
      <c r="C5164" s="54" t="s">
        <v>591</v>
      </c>
      <c r="D5164" s="0" t="n">
        <v>0.102481873526956</v>
      </c>
      <c r="E5164" s="0" t="n">
        <v>0.13227784039454</v>
      </c>
      <c r="F5164" s="0" t="n">
        <v>1</v>
      </c>
      <c r="G5164" s="0" t="n">
        <v>2020</v>
      </c>
    </row>
    <row r="5165" customFormat="false" ht="15" hidden="false" customHeight="false" outlineLevel="0" collapsed="false">
      <c r="A5165" s="0" t="s">
        <v>262</v>
      </c>
      <c r="B5165" s="52" t="n">
        <v>44045</v>
      </c>
      <c r="C5165" s="54" t="s">
        <v>592</v>
      </c>
      <c r="D5165" s="0" t="n">
        <v>0.40023857107447</v>
      </c>
      <c r="E5165" s="0" t="n">
        <v>0.104602622679561</v>
      </c>
      <c r="F5165" s="0" t="n">
        <v>1</v>
      </c>
      <c r="G5165" s="0" t="n">
        <v>2020</v>
      </c>
    </row>
    <row r="5166" customFormat="false" ht="15" hidden="false" customHeight="false" outlineLevel="0" collapsed="false">
      <c r="A5166" s="0" t="s">
        <v>262</v>
      </c>
      <c r="B5166" s="52" t="n">
        <v>44046</v>
      </c>
      <c r="C5166" s="54" t="s">
        <v>590</v>
      </c>
      <c r="D5166" s="0" t="n">
        <v>0.0194241626478535</v>
      </c>
      <c r="E5166" s="0" t="n">
        <v>0.0485364996601001</v>
      </c>
      <c r="F5166" s="0" t="n">
        <v>0</v>
      </c>
      <c r="G5166" s="0" t="n">
        <v>2020</v>
      </c>
    </row>
    <row r="5167" customFormat="false" ht="15" hidden="false" customHeight="false" outlineLevel="0" collapsed="false">
      <c r="A5167" s="0" t="s">
        <v>262</v>
      </c>
      <c r="B5167" s="52" t="n">
        <v>44046</v>
      </c>
      <c r="C5167" s="54" t="s">
        <v>591</v>
      </c>
      <c r="D5167" s="0" t="n">
        <v>0.327621845357989</v>
      </c>
      <c r="E5167" s="0" t="n">
        <v>0.0409225667157143</v>
      </c>
      <c r="F5167" s="0" t="n">
        <v>0</v>
      </c>
      <c r="G5167" s="0" t="n">
        <v>2020</v>
      </c>
    </row>
    <row r="5168" customFormat="false" ht="15" hidden="false" customHeight="false" outlineLevel="0" collapsed="false">
      <c r="A5168" s="0" t="s">
        <v>262</v>
      </c>
      <c r="B5168" s="52" t="n">
        <v>44046</v>
      </c>
      <c r="C5168" s="54" t="s">
        <v>592</v>
      </c>
      <c r="D5168" s="0" t="n">
        <v>1</v>
      </c>
      <c r="E5168" s="0" t="n">
        <v>0</v>
      </c>
      <c r="F5168" s="0" t="n">
        <v>0</v>
      </c>
      <c r="G5168" s="0" t="n">
        <v>2020</v>
      </c>
    </row>
    <row r="5169" customFormat="false" ht="15" hidden="false" customHeight="false" outlineLevel="0" collapsed="false">
      <c r="A5169" s="0" t="s">
        <v>262</v>
      </c>
      <c r="B5169" s="52" t="n">
        <v>44047</v>
      </c>
      <c r="C5169" s="54" t="s">
        <v>590</v>
      </c>
      <c r="D5169" s="0" t="n">
        <v>1</v>
      </c>
      <c r="E5169" s="0" t="n">
        <v>0</v>
      </c>
      <c r="F5169" s="0" t="n">
        <v>0</v>
      </c>
      <c r="G5169" s="0" t="n">
        <v>2020</v>
      </c>
    </row>
    <row r="5170" customFormat="false" ht="15" hidden="false" customHeight="false" outlineLevel="0" collapsed="false">
      <c r="A5170" s="0" t="s">
        <v>262</v>
      </c>
      <c r="B5170" s="52" t="n">
        <v>44047</v>
      </c>
      <c r="C5170" s="54" t="s">
        <v>592</v>
      </c>
      <c r="D5170" s="0" t="n">
        <v>0.722027323283328</v>
      </c>
      <c r="E5170" s="0" t="n">
        <v>0</v>
      </c>
      <c r="F5170" s="0" t="n">
        <v>0</v>
      </c>
      <c r="G5170" s="0" t="n">
        <v>2020</v>
      </c>
    </row>
    <row r="5171" customFormat="false" ht="15" hidden="false" customHeight="false" outlineLevel="0" collapsed="false">
      <c r="A5171" s="0" t="s">
        <v>262</v>
      </c>
      <c r="B5171" s="52" t="n">
        <v>44048</v>
      </c>
      <c r="C5171" s="54" t="s">
        <v>590</v>
      </c>
      <c r="D5171" s="0" t="n">
        <v>0.600287020574041</v>
      </c>
      <c r="E5171" s="0" t="n">
        <v>0</v>
      </c>
      <c r="F5171" s="0" t="n">
        <v>0</v>
      </c>
      <c r="G5171" s="0" t="n">
        <v>2020</v>
      </c>
    </row>
    <row r="5172" customFormat="false" ht="15" hidden="false" customHeight="false" outlineLevel="0" collapsed="false">
      <c r="A5172" s="0" t="s">
        <v>262</v>
      </c>
      <c r="B5172" s="52" t="n">
        <v>44048</v>
      </c>
      <c r="C5172" s="54" t="s">
        <v>591</v>
      </c>
      <c r="D5172" s="0" t="n">
        <v>1</v>
      </c>
      <c r="E5172" s="0" t="n">
        <v>0</v>
      </c>
      <c r="F5172" s="0" t="n">
        <v>0</v>
      </c>
      <c r="G5172" s="0" t="n">
        <v>2020</v>
      </c>
    </row>
    <row r="5173" customFormat="false" ht="15" hidden="false" customHeight="false" outlineLevel="0" collapsed="false">
      <c r="A5173" s="0" t="s">
        <v>262</v>
      </c>
      <c r="B5173" s="52" t="n">
        <v>44048</v>
      </c>
      <c r="C5173" s="54" t="s">
        <v>592</v>
      </c>
      <c r="D5173" s="0" t="n">
        <v>1</v>
      </c>
      <c r="E5173" s="0" t="n">
        <v>0</v>
      </c>
      <c r="F5173" s="0" t="n">
        <v>0</v>
      </c>
      <c r="G5173" s="0" t="n">
        <v>2020</v>
      </c>
    </row>
    <row r="5174" customFormat="false" ht="15" hidden="false" customHeight="false" outlineLevel="0" collapsed="false">
      <c r="A5174" s="0" t="s">
        <v>262</v>
      </c>
      <c r="B5174" s="52" t="n">
        <v>44049</v>
      </c>
      <c r="C5174" s="54" t="s">
        <v>591</v>
      </c>
      <c r="D5174" s="0" t="n">
        <v>1</v>
      </c>
      <c r="E5174" s="0" t="n">
        <v>0</v>
      </c>
      <c r="F5174" s="0" t="n">
        <v>0</v>
      </c>
      <c r="G5174" s="0" t="n">
        <v>2020</v>
      </c>
    </row>
    <row r="5175" customFormat="false" ht="15" hidden="false" customHeight="false" outlineLevel="0" collapsed="false">
      <c r="A5175" s="0" t="s">
        <v>262</v>
      </c>
      <c r="B5175" s="52" t="n">
        <v>44049</v>
      </c>
      <c r="C5175" s="54" t="s">
        <v>592</v>
      </c>
      <c r="D5175" s="0" t="n">
        <v>0.0818003232708053</v>
      </c>
      <c r="E5175" s="0" t="n">
        <v>0.0607731853020136</v>
      </c>
      <c r="F5175" s="0" t="n">
        <v>0</v>
      </c>
      <c r="G5175" s="0" t="n">
        <v>2020</v>
      </c>
    </row>
    <row r="5176" customFormat="false" ht="15" hidden="false" customHeight="false" outlineLevel="0" collapsed="false">
      <c r="A5176" s="0" t="s">
        <v>262</v>
      </c>
      <c r="B5176" s="52" t="n">
        <v>44050</v>
      </c>
      <c r="C5176" s="54" t="s">
        <v>590</v>
      </c>
      <c r="D5176" s="0" t="n">
        <v>0.0110002951184284</v>
      </c>
      <c r="E5176" s="0" t="n">
        <v>0.0322171602571243</v>
      </c>
      <c r="F5176" s="0" t="n">
        <v>0</v>
      </c>
      <c r="G5176" s="0" t="n">
        <v>2020</v>
      </c>
    </row>
    <row r="5177" customFormat="false" ht="15" hidden="false" customHeight="false" outlineLevel="0" collapsed="false">
      <c r="A5177" s="0" t="s">
        <v>262</v>
      </c>
      <c r="B5177" s="52" t="n">
        <v>44050</v>
      </c>
      <c r="C5177" s="54" t="s">
        <v>591</v>
      </c>
      <c r="D5177" s="0" t="n">
        <v>0.134690057106534</v>
      </c>
      <c r="E5177" s="0" t="n">
        <v>0.0123233193008316</v>
      </c>
      <c r="F5177" s="0" t="n">
        <v>0</v>
      </c>
      <c r="G5177" s="0" t="n">
        <v>2020</v>
      </c>
    </row>
    <row r="5178" customFormat="false" ht="15" hidden="false" customHeight="false" outlineLevel="0" collapsed="false">
      <c r="A5178" s="0" t="s">
        <v>262</v>
      </c>
      <c r="B5178" s="52" t="n">
        <v>44050</v>
      </c>
      <c r="C5178" s="54" t="s">
        <v>592</v>
      </c>
      <c r="D5178" s="0" t="n">
        <v>0.436083850417043</v>
      </c>
      <c r="E5178" s="0" t="n">
        <v>0.166986430004971</v>
      </c>
      <c r="F5178" s="0" t="n">
        <v>0</v>
      </c>
      <c r="G5178" s="0" t="n">
        <v>2020</v>
      </c>
    </row>
    <row r="5179" customFormat="false" ht="15" hidden="false" customHeight="false" outlineLevel="0" collapsed="false">
      <c r="A5179" s="0" t="s">
        <v>262</v>
      </c>
      <c r="B5179" s="52" t="n">
        <v>44051</v>
      </c>
      <c r="C5179" s="54" t="s">
        <v>590</v>
      </c>
      <c r="D5179" s="0" t="n">
        <v>0.00086637763144</v>
      </c>
      <c r="E5179" s="0" t="n">
        <v>0.024358407321255</v>
      </c>
      <c r="F5179" s="0" t="n">
        <v>1</v>
      </c>
      <c r="G5179" s="0" t="n">
        <v>2020</v>
      </c>
    </row>
    <row r="5180" customFormat="false" ht="15" hidden="false" customHeight="false" outlineLevel="0" collapsed="false">
      <c r="A5180" s="0" t="s">
        <v>262</v>
      </c>
      <c r="B5180" s="52" t="n">
        <v>44051</v>
      </c>
      <c r="C5180" s="54" t="s">
        <v>591</v>
      </c>
      <c r="D5180" s="0" t="n">
        <v>0.0773511775317658</v>
      </c>
      <c r="E5180" s="0" t="n">
        <v>0.0486375822960724</v>
      </c>
      <c r="F5180" s="0" t="n">
        <v>1</v>
      </c>
      <c r="G5180" s="0" t="n">
        <v>2020</v>
      </c>
    </row>
    <row r="5181" customFormat="false" ht="15" hidden="false" customHeight="false" outlineLevel="0" collapsed="false">
      <c r="A5181" s="0" t="s">
        <v>262</v>
      </c>
      <c r="B5181" s="52" t="n">
        <v>44051</v>
      </c>
      <c r="C5181" s="54" t="s">
        <v>592</v>
      </c>
      <c r="D5181" s="0" t="n">
        <v>0.602405241959901</v>
      </c>
      <c r="E5181" s="0" t="n">
        <v>0.027906276414848</v>
      </c>
      <c r="F5181" s="0" t="n">
        <v>1</v>
      </c>
      <c r="G5181" s="0" t="n">
        <v>2020</v>
      </c>
    </row>
    <row r="5182" customFormat="false" ht="15" hidden="false" customHeight="false" outlineLevel="0" collapsed="false">
      <c r="A5182" s="0" t="s">
        <v>262</v>
      </c>
      <c r="B5182" s="52" t="n">
        <v>44052</v>
      </c>
      <c r="C5182" s="54" t="s">
        <v>590</v>
      </c>
      <c r="D5182" s="0" t="n">
        <v>1</v>
      </c>
      <c r="E5182" s="0" t="n">
        <v>0</v>
      </c>
      <c r="F5182" s="0" t="n">
        <v>1</v>
      </c>
      <c r="G5182" s="0" t="n">
        <v>2020</v>
      </c>
    </row>
    <row r="5183" customFormat="false" ht="15" hidden="false" customHeight="false" outlineLevel="0" collapsed="false">
      <c r="A5183" s="0" t="s">
        <v>262</v>
      </c>
      <c r="B5183" s="52" t="n">
        <v>44052</v>
      </c>
      <c r="C5183" s="54" t="s">
        <v>591</v>
      </c>
      <c r="D5183" s="0" t="n">
        <v>0.0158891176915265</v>
      </c>
      <c r="E5183" s="0" t="n">
        <v>0.0342748544722315</v>
      </c>
      <c r="F5183" s="0" t="n">
        <v>1</v>
      </c>
      <c r="G5183" s="0" t="n">
        <v>2020</v>
      </c>
    </row>
    <row r="5184" customFormat="false" ht="15" hidden="false" customHeight="false" outlineLevel="0" collapsed="false">
      <c r="A5184" s="0" t="s">
        <v>262</v>
      </c>
      <c r="B5184" s="52" t="n">
        <v>44052</v>
      </c>
      <c r="C5184" s="54" t="s">
        <v>592</v>
      </c>
      <c r="D5184" s="0" t="n">
        <v>0.0086762553469045</v>
      </c>
      <c r="E5184" s="0" t="n">
        <v>0.0998098940896787</v>
      </c>
      <c r="F5184" s="0" t="n">
        <v>1</v>
      </c>
      <c r="G5184" s="0" t="n">
        <v>2020</v>
      </c>
    </row>
    <row r="5185" customFormat="false" ht="15" hidden="false" customHeight="false" outlineLevel="0" collapsed="false">
      <c r="A5185" s="0" t="s">
        <v>262</v>
      </c>
      <c r="B5185" s="52" t="n">
        <v>44053</v>
      </c>
      <c r="C5185" s="54" t="s">
        <v>590</v>
      </c>
      <c r="D5185" s="0" t="n">
        <v>0.244907058495385</v>
      </c>
      <c r="E5185" s="0" t="n">
        <v>0.0131027732664174</v>
      </c>
      <c r="F5185" s="0" t="n">
        <v>0</v>
      </c>
      <c r="G5185" s="0" t="n">
        <v>2020</v>
      </c>
    </row>
    <row r="5186" customFormat="false" ht="15" hidden="false" customHeight="false" outlineLevel="0" collapsed="false">
      <c r="A5186" s="0" t="s">
        <v>262</v>
      </c>
      <c r="B5186" s="52" t="n">
        <v>44053</v>
      </c>
      <c r="C5186" s="54" t="s">
        <v>591</v>
      </c>
      <c r="D5186" s="0" t="n">
        <v>0.135712480919876</v>
      </c>
      <c r="E5186" s="0" t="n">
        <v>0.0209257249606333</v>
      </c>
      <c r="F5186" s="0" t="n">
        <v>0</v>
      </c>
      <c r="G5186" s="0" t="n">
        <v>2020</v>
      </c>
    </row>
    <row r="5187" customFormat="false" ht="15" hidden="false" customHeight="false" outlineLevel="0" collapsed="false">
      <c r="A5187" s="0" t="s">
        <v>262</v>
      </c>
      <c r="B5187" s="52" t="n">
        <v>44053</v>
      </c>
      <c r="C5187" s="54" t="s">
        <v>592</v>
      </c>
      <c r="D5187" s="0" t="n">
        <v>0.184194315072302</v>
      </c>
      <c r="E5187" s="0" t="n">
        <v>0.0415282771915608</v>
      </c>
      <c r="F5187" s="0" t="n">
        <v>0</v>
      </c>
      <c r="G5187" s="0" t="n">
        <v>2020</v>
      </c>
    </row>
    <row r="5188" customFormat="false" ht="15" hidden="false" customHeight="false" outlineLevel="0" collapsed="false">
      <c r="A5188" s="0" t="s">
        <v>262</v>
      </c>
      <c r="B5188" s="52" t="n">
        <v>44054</v>
      </c>
      <c r="C5188" s="54" t="s">
        <v>590</v>
      </c>
      <c r="D5188" s="0" t="n">
        <v>0.549147897092493</v>
      </c>
      <c r="E5188" s="0" t="n">
        <v>0</v>
      </c>
      <c r="F5188" s="0" t="n">
        <v>0</v>
      </c>
      <c r="G5188" s="0" t="n">
        <v>2020</v>
      </c>
    </row>
    <row r="5189" customFormat="false" ht="15" hidden="false" customHeight="false" outlineLevel="0" collapsed="false">
      <c r="A5189" s="0" t="s">
        <v>262</v>
      </c>
      <c r="B5189" s="52" t="n">
        <v>44054</v>
      </c>
      <c r="C5189" s="54" t="s">
        <v>591</v>
      </c>
      <c r="D5189" s="0" t="n">
        <v>0.0553633849329429</v>
      </c>
      <c r="E5189" s="0" t="n">
        <v>0.0450660043800341</v>
      </c>
      <c r="F5189" s="0" t="n">
        <v>0</v>
      </c>
      <c r="G5189" s="0" t="n">
        <v>2020</v>
      </c>
    </row>
    <row r="5190" customFormat="false" ht="15" hidden="false" customHeight="false" outlineLevel="0" collapsed="false">
      <c r="A5190" s="0" t="s">
        <v>262</v>
      </c>
      <c r="B5190" s="52" t="n">
        <v>44054</v>
      </c>
      <c r="C5190" s="54" t="s">
        <v>592</v>
      </c>
      <c r="D5190" s="0" t="n">
        <v>0.0935101234524907</v>
      </c>
      <c r="E5190" s="0" t="n">
        <v>0.0456101929619945</v>
      </c>
      <c r="F5190" s="0" t="n">
        <v>0</v>
      </c>
      <c r="G5190" s="0" t="n">
        <v>2020</v>
      </c>
    </row>
    <row r="5191" customFormat="false" ht="15" hidden="false" customHeight="false" outlineLevel="0" collapsed="false">
      <c r="A5191" s="0" t="s">
        <v>262</v>
      </c>
      <c r="B5191" s="52" t="n">
        <v>44055</v>
      </c>
      <c r="C5191" s="54" t="s">
        <v>590</v>
      </c>
      <c r="D5191" s="0" t="n">
        <v>0.490961190035518</v>
      </c>
      <c r="E5191" s="0" t="n">
        <v>0.140579031119939</v>
      </c>
      <c r="F5191" s="0" t="n">
        <v>0</v>
      </c>
      <c r="G5191" s="0" t="n">
        <v>2020</v>
      </c>
    </row>
    <row r="5192" customFormat="false" ht="15" hidden="false" customHeight="false" outlineLevel="0" collapsed="false">
      <c r="A5192" s="0" t="s">
        <v>262</v>
      </c>
      <c r="B5192" s="52" t="n">
        <v>44055</v>
      </c>
      <c r="C5192" s="54" t="s">
        <v>591</v>
      </c>
      <c r="D5192" s="0" t="n">
        <v>0.191379345479456</v>
      </c>
      <c r="E5192" s="0" t="n">
        <v>0.0119166143840945</v>
      </c>
      <c r="F5192" s="0" t="n">
        <v>0</v>
      </c>
      <c r="G5192" s="0" t="n">
        <v>2020</v>
      </c>
    </row>
    <row r="5193" customFormat="false" ht="15" hidden="false" customHeight="false" outlineLevel="0" collapsed="false">
      <c r="A5193" s="0" t="s">
        <v>262</v>
      </c>
      <c r="B5193" s="52" t="n">
        <v>44055</v>
      </c>
      <c r="C5193" s="54" t="s">
        <v>592</v>
      </c>
      <c r="D5193" s="0" t="n">
        <v>0.939172419162461</v>
      </c>
      <c r="E5193" s="0" t="n">
        <v>0</v>
      </c>
      <c r="F5193" s="0" t="n">
        <v>0</v>
      </c>
      <c r="G5193" s="0" t="n">
        <v>2020</v>
      </c>
    </row>
    <row r="5194" customFormat="false" ht="15" hidden="false" customHeight="false" outlineLevel="0" collapsed="false">
      <c r="A5194" s="0" t="s">
        <v>262</v>
      </c>
      <c r="B5194" s="52" t="n">
        <v>44056</v>
      </c>
      <c r="C5194" s="54" t="s">
        <v>590</v>
      </c>
      <c r="D5194" s="0" t="n">
        <v>0.350277091491217</v>
      </c>
      <c r="E5194" s="0" t="n">
        <v>0.0093409686213316</v>
      </c>
      <c r="F5194" s="0" t="n">
        <v>0</v>
      </c>
      <c r="G5194" s="0" t="n">
        <v>2020</v>
      </c>
    </row>
    <row r="5195" customFormat="false" ht="15" hidden="false" customHeight="false" outlineLevel="0" collapsed="false">
      <c r="A5195" s="0" t="s">
        <v>262</v>
      </c>
      <c r="B5195" s="52" t="n">
        <v>44056</v>
      </c>
      <c r="C5195" s="54" t="s">
        <v>591</v>
      </c>
      <c r="D5195" s="0" t="n">
        <v>0.0036743335065431</v>
      </c>
      <c r="E5195" s="0" t="n">
        <v>0.0181774565029586</v>
      </c>
      <c r="F5195" s="0" t="n">
        <v>0</v>
      </c>
      <c r="G5195" s="0" t="n">
        <v>2020</v>
      </c>
    </row>
    <row r="5196" customFormat="false" ht="15" hidden="false" customHeight="false" outlineLevel="0" collapsed="false">
      <c r="A5196" s="0" t="s">
        <v>262</v>
      </c>
      <c r="B5196" s="52" t="n">
        <v>44056</v>
      </c>
      <c r="C5196" s="54" t="s">
        <v>592</v>
      </c>
      <c r="D5196" s="0" t="n">
        <v>0.118020523046892</v>
      </c>
      <c r="E5196" s="0" t="n">
        <v>0.01672257419811</v>
      </c>
      <c r="F5196" s="0" t="n">
        <v>0</v>
      </c>
      <c r="G5196" s="0" t="n">
        <v>2020</v>
      </c>
    </row>
    <row r="5197" customFormat="false" ht="15" hidden="false" customHeight="false" outlineLevel="0" collapsed="false">
      <c r="A5197" s="0" t="s">
        <v>262</v>
      </c>
      <c r="B5197" s="52" t="n">
        <v>44057</v>
      </c>
      <c r="C5197" s="54" t="s">
        <v>590</v>
      </c>
      <c r="D5197" s="0" t="n">
        <v>0.45357237715249</v>
      </c>
      <c r="E5197" s="0" t="n">
        <v>0</v>
      </c>
      <c r="F5197" s="0" t="n">
        <v>0</v>
      </c>
      <c r="G5197" s="0" t="n">
        <v>2020</v>
      </c>
    </row>
    <row r="5198" customFormat="false" ht="15" hidden="false" customHeight="false" outlineLevel="0" collapsed="false">
      <c r="A5198" s="0" t="s">
        <v>262</v>
      </c>
      <c r="B5198" s="52" t="n">
        <v>44057</v>
      </c>
      <c r="C5198" s="54" t="s">
        <v>591</v>
      </c>
      <c r="D5198" s="0" t="n">
        <v>0.0140817132965511</v>
      </c>
      <c r="E5198" s="0" t="n">
        <v>0.0379674322140965</v>
      </c>
      <c r="F5198" s="0" t="n">
        <v>0</v>
      </c>
      <c r="G5198" s="0" t="n">
        <v>2020</v>
      </c>
    </row>
    <row r="5199" customFormat="false" ht="15" hidden="false" customHeight="false" outlineLevel="0" collapsed="false">
      <c r="A5199" s="0" t="s">
        <v>262</v>
      </c>
      <c r="B5199" s="52" t="n">
        <v>44057</v>
      </c>
      <c r="C5199" s="54" t="s">
        <v>592</v>
      </c>
      <c r="D5199" s="0" t="n">
        <v>0.0441201819370477</v>
      </c>
      <c r="E5199" s="0" t="n">
        <v>0.0609564030087596</v>
      </c>
      <c r="F5199" s="0" t="n">
        <v>0</v>
      </c>
      <c r="G5199" s="0" t="n">
        <v>2020</v>
      </c>
    </row>
    <row r="5200" customFormat="false" ht="15" hidden="false" customHeight="false" outlineLevel="0" collapsed="false">
      <c r="A5200" s="0" t="s">
        <v>262</v>
      </c>
      <c r="B5200" s="52" t="n">
        <v>44058</v>
      </c>
      <c r="C5200" s="54" t="s">
        <v>590</v>
      </c>
      <c r="D5200" s="0" t="n">
        <v>0.296457041227774</v>
      </c>
      <c r="E5200" s="0" t="n">
        <v>0.0496009689682872</v>
      </c>
      <c r="F5200" s="0" t="n">
        <v>1</v>
      </c>
      <c r="G5200" s="0" t="n">
        <v>2020</v>
      </c>
    </row>
    <row r="5201" customFormat="false" ht="15" hidden="false" customHeight="false" outlineLevel="0" collapsed="false">
      <c r="A5201" s="0" t="s">
        <v>262</v>
      </c>
      <c r="B5201" s="52" t="n">
        <v>44058</v>
      </c>
      <c r="C5201" s="54" t="s">
        <v>591</v>
      </c>
      <c r="D5201" s="0" t="n">
        <v>0.0480631926833238</v>
      </c>
      <c r="E5201" s="0" t="n">
        <v>0.0208094237403917</v>
      </c>
      <c r="F5201" s="0" t="n">
        <v>1</v>
      </c>
      <c r="G5201" s="0" t="n">
        <v>2020</v>
      </c>
    </row>
    <row r="5202" customFormat="false" ht="15" hidden="false" customHeight="false" outlineLevel="0" collapsed="false">
      <c r="A5202" s="0" t="s">
        <v>262</v>
      </c>
      <c r="B5202" s="52" t="n">
        <v>44058</v>
      </c>
      <c r="C5202" s="54" t="s">
        <v>592</v>
      </c>
      <c r="D5202" s="0" t="n">
        <v>0.697375519898914</v>
      </c>
      <c r="E5202" s="0" t="n">
        <v>0</v>
      </c>
      <c r="F5202" s="0" t="n">
        <v>1</v>
      </c>
      <c r="G5202" s="0" t="n">
        <v>2020</v>
      </c>
    </row>
    <row r="5203" customFormat="false" ht="15" hidden="false" customHeight="false" outlineLevel="0" collapsed="false">
      <c r="A5203" s="0" t="s">
        <v>262</v>
      </c>
      <c r="B5203" s="52" t="n">
        <v>44059</v>
      </c>
      <c r="C5203" s="54" t="s">
        <v>590</v>
      </c>
      <c r="D5203" s="0" t="n">
        <v>0.907846853193547</v>
      </c>
      <c r="E5203" s="0" t="n">
        <v>0</v>
      </c>
      <c r="F5203" s="0" t="n">
        <v>1</v>
      </c>
      <c r="G5203" s="0" t="n">
        <v>2020</v>
      </c>
    </row>
    <row r="5204" customFormat="false" ht="15" hidden="false" customHeight="false" outlineLevel="0" collapsed="false">
      <c r="A5204" s="0" t="s">
        <v>262</v>
      </c>
      <c r="B5204" s="52" t="n">
        <v>44059</v>
      </c>
      <c r="C5204" s="54" t="s">
        <v>591</v>
      </c>
      <c r="D5204" s="0" t="n">
        <v>0.180886940728311</v>
      </c>
      <c r="E5204" s="0" t="n">
        <v>0.0230977512653007</v>
      </c>
      <c r="F5204" s="0" t="n">
        <v>1</v>
      </c>
      <c r="G5204" s="0" t="n">
        <v>2020</v>
      </c>
    </row>
    <row r="5205" customFormat="false" ht="15" hidden="false" customHeight="false" outlineLevel="0" collapsed="false">
      <c r="A5205" s="0" t="s">
        <v>262</v>
      </c>
      <c r="B5205" s="52" t="n">
        <v>44059</v>
      </c>
      <c r="C5205" s="54" t="s">
        <v>592</v>
      </c>
      <c r="D5205" s="0" t="n">
        <v>0.022814954972826</v>
      </c>
      <c r="E5205" s="0" t="n">
        <v>0.0817047291339458</v>
      </c>
      <c r="F5205" s="0" t="n">
        <v>1</v>
      </c>
      <c r="G5205" s="0" t="n">
        <v>2020</v>
      </c>
    </row>
    <row r="5206" customFormat="false" ht="15" hidden="false" customHeight="false" outlineLevel="0" collapsed="false">
      <c r="A5206" s="0" t="s">
        <v>262</v>
      </c>
      <c r="B5206" s="52" t="n">
        <v>44060</v>
      </c>
      <c r="C5206" s="54" t="s">
        <v>590</v>
      </c>
      <c r="D5206" s="0" t="n">
        <v>0.162634720161594</v>
      </c>
      <c r="E5206" s="0" t="n">
        <v>0.0429393454791927</v>
      </c>
      <c r="F5206" s="0" t="n">
        <v>0</v>
      </c>
      <c r="G5206" s="0" t="n">
        <v>2020</v>
      </c>
    </row>
    <row r="5207" customFormat="false" ht="15" hidden="false" customHeight="false" outlineLevel="0" collapsed="false">
      <c r="A5207" s="0" t="s">
        <v>262</v>
      </c>
      <c r="B5207" s="52" t="n">
        <v>44060</v>
      </c>
      <c r="C5207" s="54" t="s">
        <v>591</v>
      </c>
      <c r="D5207" s="0" t="n">
        <v>0.28654348205543</v>
      </c>
      <c r="E5207" s="0" t="n">
        <v>0.0217865595624854</v>
      </c>
      <c r="F5207" s="0" t="n">
        <v>0</v>
      </c>
      <c r="G5207" s="0" t="n">
        <v>2020</v>
      </c>
    </row>
    <row r="5208" customFormat="false" ht="15" hidden="false" customHeight="false" outlineLevel="0" collapsed="false">
      <c r="A5208" s="0" t="s">
        <v>262</v>
      </c>
      <c r="B5208" s="52" t="n">
        <v>44060</v>
      </c>
      <c r="C5208" s="54" t="s">
        <v>592</v>
      </c>
      <c r="D5208" s="0" t="n">
        <v>0.0447635241468642</v>
      </c>
      <c r="E5208" s="0" t="n">
        <v>0.0416636780672292</v>
      </c>
      <c r="F5208" s="0" t="n">
        <v>0</v>
      </c>
      <c r="G5208" s="0" t="n">
        <v>2020</v>
      </c>
    </row>
    <row r="5209" customFormat="false" ht="15" hidden="false" customHeight="false" outlineLevel="0" collapsed="false">
      <c r="A5209" s="0" t="s">
        <v>262</v>
      </c>
      <c r="B5209" s="52" t="n">
        <v>44061</v>
      </c>
      <c r="C5209" s="54" t="s">
        <v>590</v>
      </c>
      <c r="D5209" s="0" t="n">
        <v>0.0013794445609246</v>
      </c>
      <c r="E5209" s="0" t="n">
        <v>0.0471740987844716</v>
      </c>
      <c r="F5209" s="0" t="n">
        <v>0</v>
      </c>
      <c r="G5209" s="0" t="n">
        <v>2020</v>
      </c>
    </row>
    <row r="5210" customFormat="false" ht="15" hidden="false" customHeight="false" outlineLevel="0" collapsed="false">
      <c r="A5210" s="0" t="s">
        <v>262</v>
      </c>
      <c r="B5210" s="52" t="n">
        <v>44061</v>
      </c>
      <c r="C5210" s="54" t="s">
        <v>591</v>
      </c>
      <c r="D5210" s="0" t="n">
        <v>0.50836962635666</v>
      </c>
      <c r="E5210" s="0" t="n">
        <v>0.0113741574478236</v>
      </c>
      <c r="F5210" s="0" t="n">
        <v>0</v>
      </c>
      <c r="G5210" s="0" t="n">
        <v>2020</v>
      </c>
    </row>
    <row r="5211" customFormat="false" ht="15" hidden="false" customHeight="false" outlineLevel="0" collapsed="false">
      <c r="A5211" s="0" t="s">
        <v>262</v>
      </c>
      <c r="B5211" s="52" t="n">
        <v>44061</v>
      </c>
      <c r="C5211" s="54" t="s">
        <v>592</v>
      </c>
      <c r="D5211" s="0" t="n">
        <v>0.0796581820438606</v>
      </c>
      <c r="E5211" s="0" t="n">
        <v>0.0224145757828041</v>
      </c>
      <c r="F5211" s="0" t="n">
        <v>0</v>
      </c>
      <c r="G5211" s="0" t="n">
        <v>2020</v>
      </c>
    </row>
    <row r="5212" customFormat="false" ht="15" hidden="false" customHeight="false" outlineLevel="0" collapsed="false">
      <c r="A5212" s="0" t="s">
        <v>262</v>
      </c>
      <c r="B5212" s="52" t="n">
        <v>44062</v>
      </c>
      <c r="C5212" s="54" t="s">
        <v>590</v>
      </c>
      <c r="D5212" s="0" t="n">
        <v>0.0966619432953442</v>
      </c>
      <c r="E5212" s="0" t="n">
        <v>0.0282399613162233</v>
      </c>
      <c r="F5212" s="0" t="n">
        <v>0</v>
      </c>
      <c r="G5212" s="0" t="n">
        <v>2020</v>
      </c>
    </row>
    <row r="5213" customFormat="false" ht="15" hidden="false" customHeight="false" outlineLevel="0" collapsed="false">
      <c r="A5213" s="0" t="s">
        <v>262</v>
      </c>
      <c r="B5213" s="52" t="n">
        <v>44062</v>
      </c>
      <c r="C5213" s="54" t="s">
        <v>591</v>
      </c>
      <c r="D5213" s="0" t="n">
        <v>0.922822066697304</v>
      </c>
      <c r="E5213" s="0" t="n">
        <v>0</v>
      </c>
      <c r="F5213" s="0" t="n">
        <v>0</v>
      </c>
      <c r="G5213" s="0" t="n">
        <v>2020</v>
      </c>
    </row>
    <row r="5214" customFormat="false" ht="15" hidden="false" customHeight="false" outlineLevel="0" collapsed="false">
      <c r="A5214" s="0" t="s">
        <v>262</v>
      </c>
      <c r="B5214" s="52" t="n">
        <v>44062</v>
      </c>
      <c r="C5214" s="54" t="s">
        <v>592</v>
      </c>
      <c r="D5214" s="0" t="n">
        <v>0.0473025595142285</v>
      </c>
      <c r="E5214" s="0" t="n">
        <v>0.0357807640646505</v>
      </c>
      <c r="F5214" s="0" t="n">
        <v>0</v>
      </c>
      <c r="G5214" s="0" t="n">
        <v>2020</v>
      </c>
    </row>
    <row r="5215" customFormat="false" ht="15" hidden="false" customHeight="false" outlineLevel="0" collapsed="false">
      <c r="A5215" s="0" t="s">
        <v>262</v>
      </c>
      <c r="B5215" s="52" t="n">
        <v>44063</v>
      </c>
      <c r="C5215" s="54" t="s">
        <v>590</v>
      </c>
      <c r="D5215" s="0" t="n">
        <v>0.107996287163969</v>
      </c>
      <c r="E5215" s="0" t="n">
        <v>0.0450647055844472</v>
      </c>
      <c r="F5215" s="0" t="n">
        <v>0</v>
      </c>
      <c r="G5215" s="0" t="n">
        <v>2020</v>
      </c>
    </row>
    <row r="5216" customFormat="false" ht="15" hidden="false" customHeight="false" outlineLevel="0" collapsed="false">
      <c r="A5216" s="0" t="s">
        <v>262</v>
      </c>
      <c r="B5216" s="52" t="n">
        <v>44063</v>
      </c>
      <c r="C5216" s="54" t="s">
        <v>591</v>
      </c>
      <c r="D5216" s="0" t="n">
        <v>1</v>
      </c>
      <c r="E5216" s="0" t="n">
        <v>0</v>
      </c>
      <c r="F5216" s="0" t="n">
        <v>0</v>
      </c>
      <c r="G5216" s="0" t="n">
        <v>2020</v>
      </c>
    </row>
    <row r="5217" customFormat="false" ht="15" hidden="false" customHeight="false" outlineLevel="0" collapsed="false">
      <c r="A5217" s="0" t="s">
        <v>262</v>
      </c>
      <c r="B5217" s="52" t="n">
        <v>44063</v>
      </c>
      <c r="C5217" s="54" t="s">
        <v>592</v>
      </c>
      <c r="D5217" s="0" t="n">
        <v>0.144858769392356</v>
      </c>
      <c r="E5217" s="0" t="n">
        <v>0.0333014174201011</v>
      </c>
      <c r="F5217" s="0" t="n">
        <v>0</v>
      </c>
      <c r="G5217" s="0" t="n">
        <v>2020</v>
      </c>
    </row>
    <row r="5218" customFormat="false" ht="15" hidden="false" customHeight="false" outlineLevel="0" collapsed="false">
      <c r="A5218" s="0" t="s">
        <v>262</v>
      </c>
      <c r="B5218" s="52" t="n">
        <v>44064</v>
      </c>
      <c r="C5218" s="54" t="s">
        <v>590</v>
      </c>
      <c r="D5218" s="0" t="n">
        <v>0</v>
      </c>
      <c r="E5218" s="0" t="n">
        <v>0.0542800273074583</v>
      </c>
      <c r="F5218" s="0" t="n">
        <v>0</v>
      </c>
      <c r="G5218" s="0" t="n">
        <v>2020</v>
      </c>
    </row>
    <row r="5219" customFormat="false" ht="15" hidden="false" customHeight="false" outlineLevel="0" collapsed="false">
      <c r="A5219" s="0" t="s">
        <v>262</v>
      </c>
      <c r="B5219" s="52" t="n">
        <v>44064</v>
      </c>
      <c r="C5219" s="54" t="s">
        <v>591</v>
      </c>
      <c r="D5219" s="0" t="n">
        <v>0.523568258014148</v>
      </c>
      <c r="E5219" s="0" t="n">
        <v>0.01855598419522</v>
      </c>
      <c r="F5219" s="0" t="n">
        <v>0</v>
      </c>
      <c r="G5219" s="0" t="n">
        <v>2020</v>
      </c>
    </row>
    <row r="5220" customFormat="false" ht="15" hidden="false" customHeight="false" outlineLevel="0" collapsed="false">
      <c r="A5220" s="0" t="s">
        <v>262</v>
      </c>
      <c r="B5220" s="52" t="n">
        <v>44064</v>
      </c>
      <c r="C5220" s="54" t="s">
        <v>592</v>
      </c>
      <c r="D5220" s="0" t="n">
        <v>0.314124437965225</v>
      </c>
      <c r="E5220" s="0" t="n">
        <v>0.009843305865852</v>
      </c>
      <c r="F5220" s="0" t="n">
        <v>0</v>
      </c>
      <c r="G5220" s="0" t="n">
        <v>2020</v>
      </c>
    </row>
    <row r="5221" customFormat="false" ht="15" hidden="false" customHeight="false" outlineLevel="0" collapsed="false">
      <c r="A5221" s="0" t="s">
        <v>262</v>
      </c>
      <c r="B5221" s="52" t="n">
        <v>44065</v>
      </c>
      <c r="C5221" s="54" t="s">
        <v>590</v>
      </c>
      <c r="D5221" s="0" t="n">
        <v>0.0372099606929367</v>
      </c>
      <c r="E5221" s="0" t="n">
        <v>0.0367823375906911</v>
      </c>
      <c r="F5221" s="0" t="n">
        <v>1</v>
      </c>
      <c r="G5221" s="0" t="n">
        <v>2020</v>
      </c>
    </row>
    <row r="5222" customFormat="false" ht="15" hidden="false" customHeight="false" outlineLevel="0" collapsed="false">
      <c r="A5222" s="0" t="s">
        <v>262</v>
      </c>
      <c r="B5222" s="52" t="n">
        <v>44065</v>
      </c>
      <c r="C5222" s="54" t="s">
        <v>591</v>
      </c>
      <c r="D5222" s="0" t="n">
        <v>0.686144407774322</v>
      </c>
      <c r="E5222" s="0" t="n">
        <v>0.0234592437810729</v>
      </c>
      <c r="F5222" s="0" t="n">
        <v>1</v>
      </c>
      <c r="G5222" s="0" t="n">
        <v>2020</v>
      </c>
    </row>
    <row r="5223" customFormat="false" ht="15" hidden="false" customHeight="false" outlineLevel="0" collapsed="false">
      <c r="A5223" s="0" t="s">
        <v>262</v>
      </c>
      <c r="B5223" s="52" t="n">
        <v>44066</v>
      </c>
      <c r="C5223" s="54" t="s">
        <v>590</v>
      </c>
      <c r="D5223" s="0" t="n">
        <v>1</v>
      </c>
      <c r="E5223" s="0" t="n">
        <v>0</v>
      </c>
      <c r="F5223" s="0" t="n">
        <v>1</v>
      </c>
      <c r="G5223" s="0" t="n">
        <v>2020</v>
      </c>
    </row>
    <row r="5224" customFormat="false" ht="15" hidden="false" customHeight="false" outlineLevel="0" collapsed="false">
      <c r="A5224" s="0" t="s">
        <v>262</v>
      </c>
      <c r="B5224" s="52" t="n">
        <v>44066</v>
      </c>
      <c r="C5224" s="54" t="s">
        <v>591</v>
      </c>
      <c r="D5224" s="0" t="n">
        <v>0.0405863844279381</v>
      </c>
      <c r="E5224" s="0" t="n">
        <v>0.0199988863985695</v>
      </c>
      <c r="F5224" s="0" t="n">
        <v>1</v>
      </c>
      <c r="G5224" s="0" t="n">
        <v>2020</v>
      </c>
    </row>
    <row r="5225" customFormat="false" ht="15" hidden="false" customHeight="false" outlineLevel="0" collapsed="false">
      <c r="A5225" s="0" t="s">
        <v>262</v>
      </c>
      <c r="B5225" s="52" t="n">
        <v>44066</v>
      </c>
      <c r="C5225" s="54" t="s">
        <v>592</v>
      </c>
      <c r="D5225" s="0" t="n">
        <v>0.009386103343254</v>
      </c>
      <c r="E5225" s="0" t="n">
        <v>0.0130815590359602</v>
      </c>
      <c r="F5225" s="0" t="n">
        <v>1</v>
      </c>
      <c r="G5225" s="0" t="n">
        <v>2020</v>
      </c>
    </row>
    <row r="5226" customFormat="false" ht="15" hidden="false" customHeight="false" outlineLevel="0" collapsed="false">
      <c r="A5226" s="0" t="s">
        <v>262</v>
      </c>
      <c r="B5226" s="52" t="n">
        <v>44067</v>
      </c>
      <c r="C5226" s="54" t="s">
        <v>590</v>
      </c>
      <c r="D5226" s="0" t="n">
        <v>0.347156446550335</v>
      </c>
      <c r="E5226" s="0" t="n">
        <v>0.0180428246725914</v>
      </c>
      <c r="F5226" s="0" t="n">
        <v>0</v>
      </c>
      <c r="G5226" s="0" t="n">
        <v>2020</v>
      </c>
    </row>
    <row r="5227" customFormat="false" ht="15" hidden="false" customHeight="false" outlineLevel="0" collapsed="false">
      <c r="A5227" s="0" t="s">
        <v>262</v>
      </c>
      <c r="B5227" s="52" t="n">
        <v>44067</v>
      </c>
      <c r="C5227" s="54" t="s">
        <v>591</v>
      </c>
      <c r="D5227" s="0" t="n">
        <v>0.19374489099082</v>
      </c>
      <c r="E5227" s="0" t="n">
        <v>0.0112441299787866</v>
      </c>
      <c r="F5227" s="0" t="n">
        <v>0</v>
      </c>
      <c r="G5227" s="0" t="n">
        <v>2020</v>
      </c>
    </row>
    <row r="5228" customFormat="false" ht="15" hidden="false" customHeight="false" outlineLevel="0" collapsed="false">
      <c r="A5228" s="0" t="s">
        <v>262</v>
      </c>
      <c r="B5228" s="52" t="n">
        <v>44067</v>
      </c>
      <c r="C5228" s="54" t="s">
        <v>592</v>
      </c>
      <c r="D5228" s="0" t="n">
        <v>0.0165763029786333</v>
      </c>
      <c r="E5228" s="0" t="n">
        <v>0.0423790449257623</v>
      </c>
      <c r="F5228" s="0" t="n">
        <v>0</v>
      </c>
      <c r="G5228" s="0" t="n">
        <v>2020</v>
      </c>
    </row>
    <row r="5229" customFormat="false" ht="15" hidden="false" customHeight="false" outlineLevel="0" collapsed="false">
      <c r="A5229" s="0" t="s">
        <v>262</v>
      </c>
      <c r="B5229" s="52" t="n">
        <v>44068</v>
      </c>
      <c r="C5229" s="54" t="s">
        <v>590</v>
      </c>
      <c r="D5229" s="0" t="n">
        <v>0.402894947616715</v>
      </c>
      <c r="E5229" s="0" t="n">
        <v>0.0707038249694029</v>
      </c>
      <c r="F5229" s="0" t="n">
        <v>0</v>
      </c>
      <c r="G5229" s="0" t="n">
        <v>2020</v>
      </c>
    </row>
    <row r="5230" customFormat="false" ht="15" hidden="false" customHeight="false" outlineLevel="0" collapsed="false">
      <c r="A5230" s="0" t="s">
        <v>262</v>
      </c>
      <c r="B5230" s="52" t="n">
        <v>44068</v>
      </c>
      <c r="C5230" s="54" t="s">
        <v>591</v>
      </c>
      <c r="D5230" s="0" t="n">
        <v>0.632539145742578</v>
      </c>
      <c r="E5230" s="0" t="n">
        <v>0.0050160925027591</v>
      </c>
      <c r="F5230" s="0" t="n">
        <v>0</v>
      </c>
      <c r="G5230" s="0" t="n">
        <v>2020</v>
      </c>
    </row>
    <row r="5231" customFormat="false" ht="15" hidden="false" customHeight="false" outlineLevel="0" collapsed="false">
      <c r="A5231" s="0" t="s">
        <v>262</v>
      </c>
      <c r="B5231" s="52" t="n">
        <v>44068</v>
      </c>
      <c r="C5231" s="54" t="s">
        <v>592</v>
      </c>
      <c r="D5231" s="0" t="n">
        <v>0.469576857168092</v>
      </c>
      <c r="E5231" s="0" t="n">
        <v>0.033390991353032</v>
      </c>
      <c r="F5231" s="0" t="n">
        <v>0</v>
      </c>
      <c r="G5231" s="0" t="n">
        <v>2020</v>
      </c>
    </row>
    <row r="5232" customFormat="false" ht="15" hidden="false" customHeight="false" outlineLevel="0" collapsed="false">
      <c r="A5232" s="0" t="s">
        <v>262</v>
      </c>
      <c r="B5232" s="52" t="n">
        <v>44069</v>
      </c>
      <c r="C5232" s="54" t="s">
        <v>590</v>
      </c>
      <c r="D5232" s="0" t="n">
        <v>0.473541750983191</v>
      </c>
      <c r="E5232" s="0" t="n">
        <v>0.0031482330846148</v>
      </c>
      <c r="F5232" s="0" t="n">
        <v>0</v>
      </c>
      <c r="G5232" s="0" t="n">
        <v>2020</v>
      </c>
    </row>
    <row r="5233" customFormat="false" ht="15" hidden="false" customHeight="false" outlineLevel="0" collapsed="false">
      <c r="A5233" s="0" t="s">
        <v>262</v>
      </c>
      <c r="B5233" s="52" t="n">
        <v>44069</v>
      </c>
      <c r="C5233" s="54" t="s">
        <v>591</v>
      </c>
      <c r="D5233" s="0" t="n">
        <v>0.982013660844312</v>
      </c>
      <c r="E5233" s="0" t="n">
        <v>0</v>
      </c>
      <c r="F5233" s="0" t="n">
        <v>0</v>
      </c>
      <c r="G5233" s="0" t="n">
        <v>2020</v>
      </c>
    </row>
    <row r="5234" customFormat="false" ht="15" hidden="false" customHeight="false" outlineLevel="0" collapsed="false">
      <c r="A5234" s="0" t="s">
        <v>262</v>
      </c>
      <c r="B5234" s="52" t="n">
        <v>44069</v>
      </c>
      <c r="C5234" s="54" t="s">
        <v>592</v>
      </c>
      <c r="D5234" s="0" t="n">
        <v>0.0142863951615603</v>
      </c>
      <c r="E5234" s="0" t="n">
        <v>0.0159538229231868</v>
      </c>
      <c r="F5234" s="0" t="n">
        <v>0</v>
      </c>
      <c r="G5234" s="0" t="n">
        <v>2020</v>
      </c>
    </row>
    <row r="5235" customFormat="false" ht="15" hidden="false" customHeight="false" outlineLevel="0" collapsed="false">
      <c r="A5235" s="0" t="s">
        <v>262</v>
      </c>
      <c r="B5235" s="52" t="n">
        <v>44070</v>
      </c>
      <c r="C5235" s="54" t="s">
        <v>590</v>
      </c>
      <c r="D5235" s="0" t="n">
        <v>0.0199289432090691</v>
      </c>
      <c r="E5235" s="0" t="n">
        <v>0.0141385471168519</v>
      </c>
      <c r="F5235" s="0" t="n">
        <v>0</v>
      </c>
      <c r="G5235" s="0" t="n">
        <v>2020</v>
      </c>
    </row>
    <row r="5236" customFormat="false" ht="15" hidden="false" customHeight="false" outlineLevel="0" collapsed="false">
      <c r="A5236" s="0" t="s">
        <v>262</v>
      </c>
      <c r="B5236" s="52" t="n">
        <v>44070</v>
      </c>
      <c r="C5236" s="54" t="s">
        <v>591</v>
      </c>
      <c r="D5236" s="0" t="n">
        <v>0.529498600747617</v>
      </c>
      <c r="E5236" s="0" t="n">
        <v>0.0349721591124718</v>
      </c>
      <c r="F5236" s="0" t="n">
        <v>0</v>
      </c>
      <c r="G5236" s="0" t="n">
        <v>2020</v>
      </c>
    </row>
    <row r="5237" customFormat="false" ht="15" hidden="false" customHeight="false" outlineLevel="0" collapsed="false">
      <c r="A5237" s="0" t="s">
        <v>262</v>
      </c>
      <c r="B5237" s="52" t="n">
        <v>44070</v>
      </c>
      <c r="C5237" s="54" t="s">
        <v>592</v>
      </c>
      <c r="D5237" s="0" t="n">
        <v>0.442188792605003</v>
      </c>
      <c r="E5237" s="0" t="n">
        <v>0.0028677414318024</v>
      </c>
      <c r="F5237" s="0" t="n">
        <v>0</v>
      </c>
      <c r="G5237" s="0" t="n">
        <v>2020</v>
      </c>
    </row>
    <row r="5238" customFormat="false" ht="15" hidden="false" customHeight="false" outlineLevel="0" collapsed="false">
      <c r="A5238" s="0" t="s">
        <v>262</v>
      </c>
      <c r="B5238" s="52" t="n">
        <v>44071</v>
      </c>
      <c r="C5238" s="54" t="s">
        <v>590</v>
      </c>
      <c r="D5238" s="0" t="n">
        <v>0.0866579974454928</v>
      </c>
      <c r="E5238" s="0" t="n">
        <v>0.0250965438240822</v>
      </c>
      <c r="F5238" s="0" t="n">
        <v>0</v>
      </c>
      <c r="G5238" s="0" t="n">
        <v>2020</v>
      </c>
    </row>
    <row r="5239" customFormat="false" ht="15" hidden="false" customHeight="false" outlineLevel="0" collapsed="false">
      <c r="A5239" s="0" t="s">
        <v>262</v>
      </c>
      <c r="B5239" s="52" t="n">
        <v>44071</v>
      </c>
      <c r="C5239" s="54" t="s">
        <v>591</v>
      </c>
      <c r="D5239" s="0" t="n">
        <v>0.159246649759103</v>
      </c>
      <c r="E5239" s="0" t="n">
        <v>0.0268348050925248</v>
      </c>
      <c r="F5239" s="0" t="n">
        <v>0</v>
      </c>
      <c r="G5239" s="0" t="n">
        <v>2020</v>
      </c>
    </row>
    <row r="5240" customFormat="false" ht="15" hidden="false" customHeight="false" outlineLevel="0" collapsed="false">
      <c r="A5240" s="0" t="s">
        <v>262</v>
      </c>
      <c r="B5240" s="52" t="n">
        <v>44071</v>
      </c>
      <c r="C5240" s="54" t="s">
        <v>592</v>
      </c>
      <c r="D5240" s="0" t="n">
        <v>0.421077809492126</v>
      </c>
      <c r="E5240" s="0" t="n">
        <v>0.0003488888951012</v>
      </c>
      <c r="F5240" s="0" t="n">
        <v>0</v>
      </c>
      <c r="G5240" s="0" t="n">
        <v>2020</v>
      </c>
    </row>
    <row r="5241" customFormat="false" ht="15" hidden="false" customHeight="false" outlineLevel="0" collapsed="false">
      <c r="A5241" s="0" t="s">
        <v>262</v>
      </c>
      <c r="B5241" s="52" t="n">
        <v>44072</v>
      </c>
      <c r="C5241" s="54" t="s">
        <v>590</v>
      </c>
      <c r="D5241" s="0" t="n">
        <v>0.0152816677864858</v>
      </c>
      <c r="E5241" s="0" t="n">
        <v>0.0638724750593072</v>
      </c>
      <c r="F5241" s="0" t="n">
        <v>1</v>
      </c>
      <c r="G5241" s="0" t="n">
        <v>2020</v>
      </c>
    </row>
    <row r="5242" customFormat="false" ht="15" hidden="false" customHeight="false" outlineLevel="0" collapsed="false">
      <c r="A5242" s="0" t="s">
        <v>262</v>
      </c>
      <c r="B5242" s="52" t="n">
        <v>44072</v>
      </c>
      <c r="C5242" s="54" t="s">
        <v>591</v>
      </c>
      <c r="D5242" s="0" t="n">
        <v>0.194463734269733</v>
      </c>
      <c r="E5242" s="0" t="n">
        <v>0.0850686960111374</v>
      </c>
      <c r="F5242" s="0" t="n">
        <v>1</v>
      </c>
      <c r="G5242" s="0" t="n">
        <v>2020</v>
      </c>
    </row>
    <row r="5243" customFormat="false" ht="15" hidden="false" customHeight="false" outlineLevel="0" collapsed="false">
      <c r="A5243" s="0" t="s">
        <v>262</v>
      </c>
      <c r="B5243" s="52" t="n">
        <v>44072</v>
      </c>
      <c r="C5243" s="54" t="s">
        <v>592</v>
      </c>
      <c r="D5243" s="0" t="n">
        <v>0.999603588710636</v>
      </c>
      <c r="E5243" s="0" t="n">
        <v>0</v>
      </c>
      <c r="F5243" s="0" t="n">
        <v>1</v>
      </c>
      <c r="G5243" s="0" t="n">
        <v>2020</v>
      </c>
    </row>
    <row r="5244" customFormat="false" ht="15" hidden="false" customHeight="false" outlineLevel="0" collapsed="false">
      <c r="A5244" s="0" t="s">
        <v>262</v>
      </c>
      <c r="B5244" s="52" t="n">
        <v>44073</v>
      </c>
      <c r="C5244" s="54" t="s">
        <v>590</v>
      </c>
      <c r="D5244" s="0" t="n">
        <v>1</v>
      </c>
      <c r="E5244" s="0" t="n">
        <v>0</v>
      </c>
      <c r="F5244" s="0" t="n">
        <v>1</v>
      </c>
      <c r="G5244" s="0" t="n">
        <v>2020</v>
      </c>
    </row>
    <row r="5245" customFormat="false" ht="15" hidden="false" customHeight="false" outlineLevel="0" collapsed="false">
      <c r="A5245" s="0" t="s">
        <v>262</v>
      </c>
      <c r="B5245" s="52" t="n">
        <v>44073</v>
      </c>
      <c r="C5245" s="54" t="s">
        <v>591</v>
      </c>
      <c r="D5245" s="0" t="n">
        <v>0.0094705560520301</v>
      </c>
      <c r="E5245" s="0" t="n">
        <v>0.0233642946530248</v>
      </c>
      <c r="F5245" s="0" t="n">
        <v>1</v>
      </c>
      <c r="G5245" s="0" t="n">
        <v>2020</v>
      </c>
    </row>
    <row r="5246" customFormat="false" ht="15" hidden="false" customHeight="false" outlineLevel="0" collapsed="false">
      <c r="A5246" s="0" t="s">
        <v>262</v>
      </c>
      <c r="B5246" s="52" t="n">
        <v>44073</v>
      </c>
      <c r="C5246" s="54" t="s">
        <v>592</v>
      </c>
      <c r="D5246" s="0" t="n">
        <v>0.0082113805915053</v>
      </c>
      <c r="E5246" s="0" t="n">
        <v>0.0328087113055622</v>
      </c>
      <c r="F5246" s="0" t="n">
        <v>1</v>
      </c>
      <c r="G5246" s="0" t="n">
        <v>2020</v>
      </c>
    </row>
    <row r="5247" customFormat="false" ht="15" hidden="false" customHeight="false" outlineLevel="0" collapsed="false">
      <c r="A5247" s="0" t="s">
        <v>262</v>
      </c>
      <c r="B5247" s="52" t="n">
        <v>44074</v>
      </c>
      <c r="C5247" s="54" t="s">
        <v>590</v>
      </c>
      <c r="D5247" s="0" t="n">
        <v>0.55809104734413</v>
      </c>
      <c r="E5247" s="0" t="n">
        <v>0</v>
      </c>
      <c r="F5247" s="0" t="n">
        <v>0</v>
      </c>
      <c r="G5247" s="0" t="n">
        <v>2020</v>
      </c>
    </row>
    <row r="5248" customFormat="false" ht="15" hidden="false" customHeight="false" outlineLevel="0" collapsed="false">
      <c r="A5248" s="0" t="s">
        <v>262</v>
      </c>
      <c r="B5248" s="52" t="n">
        <v>44074</v>
      </c>
      <c r="C5248" s="54" t="s">
        <v>591</v>
      </c>
      <c r="D5248" s="0" t="n">
        <v>0.108730848950431</v>
      </c>
      <c r="E5248" s="0" t="n">
        <v>0.0295671524161998</v>
      </c>
      <c r="F5248" s="0" t="n">
        <v>0</v>
      </c>
      <c r="G5248" s="0" t="n">
        <v>2020</v>
      </c>
    </row>
    <row r="5249" customFormat="false" ht="15" hidden="false" customHeight="false" outlineLevel="0" collapsed="false">
      <c r="A5249" s="0" t="s">
        <v>262</v>
      </c>
      <c r="B5249" s="52" t="n">
        <v>44074</v>
      </c>
      <c r="C5249" s="54" t="s">
        <v>592</v>
      </c>
      <c r="D5249" s="0" t="n">
        <v>0.0107094967465612</v>
      </c>
      <c r="E5249" s="0" t="n">
        <v>0.0206809982703236</v>
      </c>
      <c r="F5249" s="0" t="n">
        <v>0</v>
      </c>
      <c r="G5249" s="0" t="n">
        <v>2020</v>
      </c>
    </row>
    <row r="5250" customFormat="false" ht="15" hidden="false" customHeight="false" outlineLevel="0" collapsed="false">
      <c r="A5250" s="0" t="s">
        <v>262</v>
      </c>
      <c r="B5250" s="52" t="n">
        <v>44075</v>
      </c>
      <c r="C5250" s="54" t="s">
        <v>590</v>
      </c>
      <c r="D5250" s="0" t="n">
        <v>0.117291805041994</v>
      </c>
      <c r="E5250" s="0" t="n">
        <v>0.0628889035923719</v>
      </c>
      <c r="F5250" s="0" t="n">
        <v>0</v>
      </c>
      <c r="G5250" s="0" t="n">
        <v>2020</v>
      </c>
    </row>
    <row r="5251" customFormat="false" ht="15" hidden="false" customHeight="false" outlineLevel="0" collapsed="false">
      <c r="A5251" s="0" t="s">
        <v>262</v>
      </c>
      <c r="B5251" s="52" t="n">
        <v>44075</v>
      </c>
      <c r="C5251" s="54" t="s">
        <v>591</v>
      </c>
      <c r="D5251" s="0" t="n">
        <v>0.163403995905637</v>
      </c>
      <c r="E5251" s="0" t="n">
        <v>0.0303660384961305</v>
      </c>
      <c r="F5251" s="0" t="n">
        <v>0</v>
      </c>
      <c r="G5251" s="0" t="n">
        <v>2020</v>
      </c>
    </row>
    <row r="5252" customFormat="false" ht="15" hidden="false" customHeight="false" outlineLevel="0" collapsed="false">
      <c r="A5252" s="0" t="s">
        <v>262</v>
      </c>
      <c r="B5252" s="52" t="n">
        <v>44075</v>
      </c>
      <c r="C5252" s="54" t="s">
        <v>592</v>
      </c>
      <c r="D5252" s="0" t="n">
        <v>0.0069531700338655</v>
      </c>
      <c r="E5252" s="0" t="n">
        <v>0.0774595688846372</v>
      </c>
      <c r="F5252" s="0" t="n">
        <v>0</v>
      </c>
      <c r="G5252" s="0" t="n">
        <v>2020</v>
      </c>
    </row>
    <row r="5253" customFormat="false" ht="15" hidden="false" customHeight="false" outlineLevel="0" collapsed="false">
      <c r="A5253" s="0" t="s">
        <v>262</v>
      </c>
      <c r="B5253" s="52" t="n">
        <v>44076</v>
      </c>
      <c r="C5253" s="54" t="s">
        <v>590</v>
      </c>
      <c r="D5253" s="0" t="n">
        <v>0.0803028224762282</v>
      </c>
      <c r="E5253" s="0" t="n">
        <v>0.0197026518494917</v>
      </c>
      <c r="F5253" s="0" t="n">
        <v>0</v>
      </c>
      <c r="G5253" s="0" t="n">
        <v>2020</v>
      </c>
    </row>
    <row r="5254" customFormat="false" ht="15" hidden="false" customHeight="false" outlineLevel="0" collapsed="false">
      <c r="A5254" s="0" t="s">
        <v>262</v>
      </c>
      <c r="B5254" s="52" t="n">
        <v>44076</v>
      </c>
      <c r="C5254" s="54" t="s">
        <v>591</v>
      </c>
      <c r="D5254" s="0" t="n">
        <v>0.166296087743324</v>
      </c>
      <c r="E5254" s="0" t="n">
        <v>0.0168950280276839</v>
      </c>
      <c r="F5254" s="0" t="n">
        <v>0</v>
      </c>
      <c r="G5254" s="0" t="n">
        <v>2020</v>
      </c>
    </row>
    <row r="5255" customFormat="false" ht="15" hidden="false" customHeight="false" outlineLevel="0" collapsed="false">
      <c r="A5255" s="0" t="s">
        <v>262</v>
      </c>
      <c r="B5255" s="52" t="n">
        <v>44076</v>
      </c>
      <c r="C5255" s="54" t="s">
        <v>592</v>
      </c>
      <c r="D5255" s="0" t="n">
        <v>0.0747934486054913</v>
      </c>
      <c r="E5255" s="0" t="n">
        <v>0.0457462052750653</v>
      </c>
      <c r="F5255" s="0" t="n">
        <v>0</v>
      </c>
      <c r="G5255" s="0" t="n">
        <v>2020</v>
      </c>
    </row>
    <row r="5256" customFormat="false" ht="15" hidden="false" customHeight="false" outlineLevel="0" collapsed="false">
      <c r="A5256" s="0" t="s">
        <v>262</v>
      </c>
      <c r="B5256" s="52" t="n">
        <v>44077</v>
      </c>
      <c r="C5256" s="54" t="s">
        <v>590</v>
      </c>
      <c r="D5256" s="0" t="n">
        <v>0.509517109024421</v>
      </c>
      <c r="E5256" s="0" t="n">
        <v>0.0107032391944921</v>
      </c>
      <c r="F5256" s="0" t="n">
        <v>0</v>
      </c>
      <c r="G5256" s="0" t="n">
        <v>2020</v>
      </c>
    </row>
    <row r="5257" customFormat="false" ht="15" hidden="false" customHeight="false" outlineLevel="0" collapsed="false">
      <c r="A5257" s="0" t="s">
        <v>262</v>
      </c>
      <c r="B5257" s="52" t="n">
        <v>44077</v>
      </c>
      <c r="C5257" s="54" t="s">
        <v>591</v>
      </c>
      <c r="D5257" s="0" t="n">
        <v>0.281586340076939</v>
      </c>
      <c r="E5257" s="0" t="n">
        <v>0.0684733055586099</v>
      </c>
      <c r="F5257" s="0" t="n">
        <v>0</v>
      </c>
      <c r="G5257" s="0" t="n">
        <v>2020</v>
      </c>
    </row>
    <row r="5258" customFormat="false" ht="15" hidden="false" customHeight="false" outlineLevel="0" collapsed="false">
      <c r="A5258" s="0" t="s">
        <v>262</v>
      </c>
      <c r="B5258" s="52" t="n">
        <v>44077</v>
      </c>
      <c r="C5258" s="54" t="s">
        <v>592</v>
      </c>
      <c r="D5258" s="0" t="n">
        <v>0.0052070459408098</v>
      </c>
      <c r="E5258" s="0" t="n">
        <v>0.0246840489574612</v>
      </c>
      <c r="F5258" s="0" t="n">
        <v>0</v>
      </c>
      <c r="G5258" s="0" t="n">
        <v>2020</v>
      </c>
    </row>
    <row r="5259" customFormat="false" ht="15" hidden="false" customHeight="false" outlineLevel="0" collapsed="false">
      <c r="A5259" s="0" t="s">
        <v>262</v>
      </c>
      <c r="B5259" s="52" t="n">
        <v>44078</v>
      </c>
      <c r="C5259" s="54" t="s">
        <v>590</v>
      </c>
      <c r="D5259" s="0" t="n">
        <v>0.116161564530227</v>
      </c>
      <c r="E5259" s="0" t="n">
        <v>0.0133537708443017</v>
      </c>
      <c r="F5259" s="0" t="n">
        <v>0</v>
      </c>
      <c r="G5259" s="0" t="n">
        <v>2020</v>
      </c>
    </row>
    <row r="5260" customFormat="false" ht="15" hidden="false" customHeight="false" outlineLevel="0" collapsed="false">
      <c r="A5260" s="0" t="s">
        <v>262</v>
      </c>
      <c r="B5260" s="52" t="n">
        <v>44078</v>
      </c>
      <c r="C5260" s="54" t="s">
        <v>591</v>
      </c>
      <c r="D5260" s="0" t="n">
        <v>0.30156896851181</v>
      </c>
      <c r="E5260" s="0" t="n">
        <v>0.0035599018999941</v>
      </c>
      <c r="F5260" s="0" t="n">
        <v>0</v>
      </c>
      <c r="G5260" s="0" t="n">
        <v>2020</v>
      </c>
    </row>
    <row r="5261" customFormat="false" ht="15" hidden="false" customHeight="false" outlineLevel="0" collapsed="false">
      <c r="A5261" s="0" t="s">
        <v>262</v>
      </c>
      <c r="B5261" s="52" t="n">
        <v>44078</v>
      </c>
      <c r="C5261" s="54" t="s">
        <v>592</v>
      </c>
      <c r="D5261" s="0" t="n">
        <v>0.0700169706606326</v>
      </c>
      <c r="E5261" s="0" t="n">
        <v>0.0290208343798938</v>
      </c>
      <c r="F5261" s="0" t="n">
        <v>0</v>
      </c>
      <c r="G5261" s="0" t="n">
        <v>2020</v>
      </c>
    </row>
    <row r="5262" customFormat="false" ht="15" hidden="false" customHeight="false" outlineLevel="0" collapsed="false">
      <c r="A5262" s="0" t="s">
        <v>262</v>
      </c>
      <c r="B5262" s="52" t="n">
        <v>44079</v>
      </c>
      <c r="C5262" s="54" t="s">
        <v>590</v>
      </c>
      <c r="D5262" s="0" t="n">
        <v>0.0154207132750163</v>
      </c>
      <c r="E5262" s="0" t="n">
        <v>0.013434198959831</v>
      </c>
      <c r="F5262" s="0" t="n">
        <v>1</v>
      </c>
      <c r="G5262" s="0" t="n">
        <v>2020</v>
      </c>
    </row>
    <row r="5263" customFormat="false" ht="15" hidden="false" customHeight="false" outlineLevel="0" collapsed="false">
      <c r="A5263" s="0" t="s">
        <v>262</v>
      </c>
      <c r="B5263" s="52" t="n">
        <v>44079</v>
      </c>
      <c r="C5263" s="54" t="s">
        <v>591</v>
      </c>
      <c r="D5263" s="0" t="n">
        <v>0.885228016033918</v>
      </c>
      <c r="E5263" s="0" t="n">
        <v>0.0008052965281847</v>
      </c>
      <c r="F5263" s="0" t="n">
        <v>1</v>
      </c>
      <c r="G5263" s="0" t="n">
        <v>2020</v>
      </c>
    </row>
    <row r="5264" customFormat="false" ht="15" hidden="false" customHeight="false" outlineLevel="0" collapsed="false">
      <c r="A5264" s="0" t="s">
        <v>262</v>
      </c>
      <c r="B5264" s="52" t="n">
        <v>44080</v>
      </c>
      <c r="C5264" s="54" t="s">
        <v>590</v>
      </c>
      <c r="D5264" s="0" t="n">
        <v>1</v>
      </c>
      <c r="E5264" s="0" t="n">
        <v>0</v>
      </c>
      <c r="F5264" s="0" t="n">
        <v>1</v>
      </c>
      <c r="G5264" s="0" t="n">
        <v>2020</v>
      </c>
    </row>
    <row r="5265" customFormat="false" ht="15" hidden="false" customHeight="false" outlineLevel="0" collapsed="false">
      <c r="A5265" s="0" t="s">
        <v>262</v>
      </c>
      <c r="B5265" s="52" t="n">
        <v>44080</v>
      </c>
      <c r="C5265" s="54" t="s">
        <v>591</v>
      </c>
      <c r="D5265" s="0" t="n">
        <v>0.0155740021392054</v>
      </c>
      <c r="E5265" s="0" t="n">
        <v>0.0244830721026128</v>
      </c>
      <c r="F5265" s="0" t="n">
        <v>1</v>
      </c>
      <c r="G5265" s="0" t="n">
        <v>2020</v>
      </c>
    </row>
    <row r="5266" customFormat="false" ht="15" hidden="false" customHeight="false" outlineLevel="0" collapsed="false">
      <c r="A5266" s="0" t="s">
        <v>262</v>
      </c>
      <c r="B5266" s="52" t="n">
        <v>44080</v>
      </c>
      <c r="C5266" s="54" t="s">
        <v>592</v>
      </c>
      <c r="D5266" s="0" t="n">
        <v>0</v>
      </c>
      <c r="E5266" s="0" t="n">
        <v>0.01450278910016</v>
      </c>
      <c r="F5266" s="0" t="n">
        <v>1</v>
      </c>
      <c r="G5266" s="0" t="n">
        <v>2020</v>
      </c>
    </row>
    <row r="5267" customFormat="false" ht="15" hidden="false" customHeight="false" outlineLevel="0" collapsed="false">
      <c r="A5267" s="0" t="s">
        <v>262</v>
      </c>
      <c r="B5267" s="52" t="n">
        <v>44081</v>
      </c>
      <c r="C5267" s="54" t="s">
        <v>590</v>
      </c>
      <c r="D5267" s="0" t="n">
        <v>0.426694049940848</v>
      </c>
      <c r="E5267" s="0" t="n">
        <v>0.0076464813011332</v>
      </c>
      <c r="F5267" s="0" t="n">
        <v>0</v>
      </c>
      <c r="G5267" s="0" t="n">
        <v>2020</v>
      </c>
    </row>
    <row r="5268" customFormat="false" ht="15" hidden="false" customHeight="false" outlineLevel="0" collapsed="false">
      <c r="A5268" s="0" t="s">
        <v>262</v>
      </c>
      <c r="B5268" s="52" t="n">
        <v>44081</v>
      </c>
      <c r="C5268" s="54" t="s">
        <v>591</v>
      </c>
      <c r="D5268" s="0" t="n">
        <v>0.162870192765833</v>
      </c>
      <c r="E5268" s="0" t="n">
        <v>0.0134943630783281</v>
      </c>
      <c r="F5268" s="0" t="n">
        <v>0</v>
      </c>
      <c r="G5268" s="0" t="n">
        <v>2020</v>
      </c>
    </row>
    <row r="5269" customFormat="false" ht="15" hidden="false" customHeight="false" outlineLevel="0" collapsed="false">
      <c r="A5269" s="0" t="s">
        <v>262</v>
      </c>
      <c r="B5269" s="52" t="n">
        <v>44081</v>
      </c>
      <c r="C5269" s="54" t="s">
        <v>592</v>
      </c>
      <c r="D5269" s="0" t="n">
        <v>0.0169343978816171</v>
      </c>
      <c r="E5269" s="0" t="n">
        <v>0.0510031584445206</v>
      </c>
      <c r="F5269" s="0" t="n">
        <v>0</v>
      </c>
      <c r="G5269" s="0" t="n">
        <v>2020</v>
      </c>
    </row>
    <row r="5270" customFormat="false" ht="15" hidden="false" customHeight="false" outlineLevel="0" collapsed="false">
      <c r="A5270" s="0" t="s">
        <v>262</v>
      </c>
      <c r="B5270" s="52" t="n">
        <v>44082</v>
      </c>
      <c r="C5270" s="54" t="s">
        <v>590</v>
      </c>
      <c r="D5270" s="0" t="n">
        <v>0.42974213663028</v>
      </c>
      <c r="E5270" s="0" t="n">
        <v>0.019489571052649</v>
      </c>
      <c r="F5270" s="0" t="n">
        <v>0</v>
      </c>
      <c r="G5270" s="0" t="n">
        <v>2020</v>
      </c>
    </row>
    <row r="5271" customFormat="false" ht="15" hidden="false" customHeight="false" outlineLevel="0" collapsed="false">
      <c r="A5271" s="0" t="s">
        <v>262</v>
      </c>
      <c r="B5271" s="52" t="n">
        <v>44084</v>
      </c>
      <c r="C5271" s="54" t="s">
        <v>592</v>
      </c>
      <c r="D5271" s="0" t="n">
        <v>1</v>
      </c>
      <c r="E5271" s="0" t="n">
        <v>0</v>
      </c>
      <c r="F5271" s="0" t="n">
        <v>0</v>
      </c>
      <c r="G5271" s="0" t="n">
        <v>2020</v>
      </c>
    </row>
    <row r="5272" customFormat="false" ht="15" hidden="false" customHeight="false" outlineLevel="0" collapsed="false">
      <c r="A5272" s="0" t="s">
        <v>262</v>
      </c>
      <c r="B5272" s="52" t="n">
        <v>44087</v>
      </c>
      <c r="C5272" s="54" t="s">
        <v>590</v>
      </c>
      <c r="D5272" s="0" t="n">
        <v>0.147904090904168</v>
      </c>
      <c r="E5272" s="0" t="n">
        <v>0.25867717259802</v>
      </c>
      <c r="F5272" s="0" t="n">
        <v>1</v>
      </c>
      <c r="G5272" s="0" t="n">
        <v>2020</v>
      </c>
    </row>
    <row r="5273" customFormat="false" ht="15" hidden="false" customHeight="false" outlineLevel="0" collapsed="false">
      <c r="A5273" s="0" t="s">
        <v>262</v>
      </c>
      <c r="B5273" s="52" t="n">
        <v>44087</v>
      </c>
      <c r="C5273" s="54" t="s">
        <v>591</v>
      </c>
      <c r="D5273" s="0" t="n">
        <v>0.0150304974777318</v>
      </c>
      <c r="E5273" s="0" t="n">
        <v>0.0124616471289307</v>
      </c>
      <c r="F5273" s="0" t="n">
        <v>1</v>
      </c>
      <c r="G5273" s="0" t="n">
        <v>2020</v>
      </c>
    </row>
    <row r="5274" customFormat="false" ht="15" hidden="false" customHeight="false" outlineLevel="0" collapsed="false">
      <c r="A5274" s="0" t="s">
        <v>262</v>
      </c>
      <c r="B5274" s="52" t="n">
        <v>44087</v>
      </c>
      <c r="C5274" s="54" t="s">
        <v>592</v>
      </c>
      <c r="D5274" s="0" t="n">
        <v>0.0034789910296901</v>
      </c>
      <c r="E5274" s="0" t="n">
        <v>0.0422076505190049</v>
      </c>
      <c r="F5274" s="0" t="n">
        <v>1</v>
      </c>
      <c r="G5274" s="0" t="n">
        <v>2020</v>
      </c>
    </row>
    <row r="5275" customFormat="false" ht="15" hidden="false" customHeight="false" outlineLevel="0" collapsed="false">
      <c r="A5275" s="0" t="s">
        <v>262</v>
      </c>
      <c r="B5275" s="52" t="n">
        <v>44088</v>
      </c>
      <c r="C5275" s="54" t="s">
        <v>590</v>
      </c>
      <c r="D5275" s="0" t="n">
        <v>0.246505322837187</v>
      </c>
      <c r="E5275" s="0" t="n">
        <v>0.0095327121307218</v>
      </c>
      <c r="F5275" s="0" t="n">
        <v>0</v>
      </c>
      <c r="G5275" s="0" t="n">
        <v>2020</v>
      </c>
    </row>
    <row r="5276" customFormat="false" ht="15" hidden="false" customHeight="false" outlineLevel="0" collapsed="false">
      <c r="A5276" s="0" t="s">
        <v>262</v>
      </c>
      <c r="B5276" s="52" t="n">
        <v>44089</v>
      </c>
      <c r="C5276" s="54" t="s">
        <v>590</v>
      </c>
      <c r="D5276" s="0" t="n">
        <v>0.981962769770361</v>
      </c>
      <c r="E5276" s="0" t="n">
        <v>0</v>
      </c>
      <c r="F5276" s="0" t="n">
        <v>0</v>
      </c>
      <c r="G5276" s="0" t="n">
        <v>2020</v>
      </c>
    </row>
    <row r="5277" customFormat="false" ht="15" hidden="false" customHeight="false" outlineLevel="0" collapsed="false">
      <c r="A5277" s="0" t="s">
        <v>262</v>
      </c>
      <c r="B5277" s="52" t="n">
        <v>44092</v>
      </c>
      <c r="C5277" s="54" t="s">
        <v>592</v>
      </c>
      <c r="D5277" s="0" t="n">
        <v>1</v>
      </c>
      <c r="E5277" s="0" t="n">
        <v>0</v>
      </c>
      <c r="F5277" s="0" t="n">
        <v>0</v>
      </c>
      <c r="G5277" s="0" t="n">
        <v>2020</v>
      </c>
    </row>
    <row r="5278" customFormat="false" ht="15" hidden="false" customHeight="false" outlineLevel="0" collapsed="false">
      <c r="A5278" s="0" t="s">
        <v>262</v>
      </c>
      <c r="B5278" s="52" t="n">
        <v>44093</v>
      </c>
      <c r="C5278" s="54" t="s">
        <v>590</v>
      </c>
      <c r="D5278" s="0" t="n">
        <v>0.835221280886828</v>
      </c>
      <c r="E5278" s="0" t="n">
        <v>0</v>
      </c>
      <c r="F5278" s="0" t="n">
        <v>1</v>
      </c>
      <c r="G5278" s="0" t="n">
        <v>2020</v>
      </c>
    </row>
    <row r="5279" customFormat="false" ht="15" hidden="false" customHeight="false" outlineLevel="0" collapsed="false">
      <c r="A5279" s="0" t="s">
        <v>262</v>
      </c>
      <c r="B5279" s="52" t="n">
        <v>44093</v>
      </c>
      <c r="C5279" s="54" t="s">
        <v>591</v>
      </c>
      <c r="D5279" s="0" t="n">
        <v>0.99782802160238</v>
      </c>
      <c r="E5279" s="0" t="n">
        <v>0</v>
      </c>
      <c r="F5279" s="0" t="n">
        <v>1</v>
      </c>
      <c r="G5279" s="0" t="n">
        <v>2020</v>
      </c>
    </row>
    <row r="5280" customFormat="false" ht="15" hidden="false" customHeight="false" outlineLevel="0" collapsed="false">
      <c r="A5280" s="0" t="s">
        <v>262</v>
      </c>
      <c r="B5280" s="52" t="n">
        <v>44093</v>
      </c>
      <c r="C5280" s="54" t="s">
        <v>592</v>
      </c>
      <c r="D5280" s="0" t="n">
        <v>0.923331594978398</v>
      </c>
      <c r="E5280" s="0" t="n">
        <v>0.0185565044087052</v>
      </c>
      <c r="F5280" s="0" t="n">
        <v>1</v>
      </c>
      <c r="G5280" s="0" t="n">
        <v>2020</v>
      </c>
    </row>
    <row r="5281" customFormat="false" ht="15" hidden="false" customHeight="false" outlineLevel="0" collapsed="false">
      <c r="A5281" s="0" t="s">
        <v>262</v>
      </c>
      <c r="B5281" s="52" t="n">
        <v>44094</v>
      </c>
      <c r="C5281" s="54" t="s">
        <v>591</v>
      </c>
      <c r="D5281" s="0" t="n">
        <v>1</v>
      </c>
      <c r="E5281" s="0" t="n">
        <v>0</v>
      </c>
      <c r="F5281" s="0" t="n">
        <v>1</v>
      </c>
      <c r="G5281" s="0" t="n">
        <v>2020</v>
      </c>
    </row>
    <row r="5282" customFormat="false" ht="15" hidden="false" customHeight="false" outlineLevel="0" collapsed="false">
      <c r="A5282" s="0" t="s">
        <v>262</v>
      </c>
      <c r="B5282" s="52" t="n">
        <v>44094</v>
      </c>
      <c r="C5282" s="54" t="s">
        <v>592</v>
      </c>
      <c r="D5282" s="0" t="n">
        <v>0.309758459297947</v>
      </c>
      <c r="E5282" s="0" t="n">
        <v>0.044412404085059</v>
      </c>
      <c r="F5282" s="0" t="n">
        <v>1</v>
      </c>
      <c r="G5282" s="0" t="n">
        <v>2020</v>
      </c>
    </row>
    <row r="5283" customFormat="false" ht="15" hidden="false" customHeight="false" outlineLevel="0" collapsed="false">
      <c r="A5283" s="0" t="s">
        <v>262</v>
      </c>
      <c r="B5283" s="52" t="n">
        <v>44095</v>
      </c>
      <c r="C5283" s="54" t="s">
        <v>590</v>
      </c>
      <c r="D5283" s="0" t="n">
        <v>0.0879742030857395</v>
      </c>
      <c r="E5283" s="0" t="n">
        <v>0.0274743734014703</v>
      </c>
      <c r="F5283" s="0" t="n">
        <v>0</v>
      </c>
      <c r="G5283" s="0" t="n">
        <v>2020</v>
      </c>
    </row>
    <row r="5284" customFormat="false" ht="15" hidden="false" customHeight="false" outlineLevel="0" collapsed="false">
      <c r="A5284" s="0" t="s">
        <v>262</v>
      </c>
      <c r="B5284" s="52" t="n">
        <v>44095</v>
      </c>
      <c r="C5284" s="54" t="s">
        <v>591</v>
      </c>
      <c r="D5284" s="0" t="n">
        <v>0.020595912735641</v>
      </c>
      <c r="E5284" s="0" t="n">
        <v>0.0906229085128501</v>
      </c>
      <c r="F5284" s="0" t="n">
        <v>0</v>
      </c>
      <c r="G5284" s="0" t="n">
        <v>2020</v>
      </c>
    </row>
    <row r="5285" customFormat="false" ht="15" hidden="false" customHeight="false" outlineLevel="0" collapsed="false">
      <c r="A5285" s="0" t="s">
        <v>262</v>
      </c>
      <c r="B5285" s="52" t="n">
        <v>44095</v>
      </c>
      <c r="C5285" s="54" t="s">
        <v>592</v>
      </c>
      <c r="D5285" s="0" t="n">
        <v>0.688304642660726</v>
      </c>
      <c r="E5285" s="0" t="n">
        <v>0.0233579601916046</v>
      </c>
      <c r="F5285" s="0" t="n">
        <v>0</v>
      </c>
      <c r="G5285" s="0" t="n">
        <v>2020</v>
      </c>
    </row>
    <row r="5286" customFormat="false" ht="15" hidden="false" customHeight="false" outlineLevel="0" collapsed="false">
      <c r="A5286" s="0" t="s">
        <v>262</v>
      </c>
      <c r="B5286" s="52" t="n">
        <v>44096</v>
      </c>
      <c r="C5286" s="54" t="s">
        <v>590</v>
      </c>
      <c r="D5286" s="0" t="n">
        <v>0.139563444761389</v>
      </c>
      <c r="E5286" s="0" t="n">
        <v>0.0092325700632964</v>
      </c>
      <c r="F5286" s="0" t="n">
        <v>0</v>
      </c>
      <c r="G5286" s="0" t="n">
        <v>2020</v>
      </c>
    </row>
    <row r="5287" customFormat="false" ht="15" hidden="false" customHeight="false" outlineLevel="0" collapsed="false">
      <c r="A5287" s="0" t="s">
        <v>262</v>
      </c>
      <c r="B5287" s="52" t="n">
        <v>44096</v>
      </c>
      <c r="C5287" s="54" t="s">
        <v>591</v>
      </c>
      <c r="D5287" s="0" t="n">
        <v>0.0069666414473116</v>
      </c>
      <c r="E5287" s="0" t="n">
        <v>0.0095237977884186</v>
      </c>
      <c r="F5287" s="0" t="n">
        <v>0</v>
      </c>
      <c r="G5287" s="0" t="n">
        <v>2020</v>
      </c>
    </row>
    <row r="5288" customFormat="false" ht="15" hidden="false" customHeight="false" outlineLevel="0" collapsed="false">
      <c r="A5288" s="0" t="s">
        <v>262</v>
      </c>
      <c r="B5288" s="52" t="n">
        <v>44096</v>
      </c>
      <c r="C5288" s="54" t="s">
        <v>592</v>
      </c>
      <c r="D5288" s="0" t="n">
        <v>0.261404604502177</v>
      </c>
      <c r="E5288" s="0" t="n">
        <v>0.056695619129352</v>
      </c>
      <c r="F5288" s="0" t="n">
        <v>0</v>
      </c>
      <c r="G5288" s="0" t="n">
        <v>2020</v>
      </c>
    </row>
    <row r="5289" customFormat="false" ht="15" hidden="false" customHeight="false" outlineLevel="0" collapsed="false">
      <c r="A5289" s="0" t="s">
        <v>262</v>
      </c>
      <c r="B5289" s="52" t="n">
        <v>44097</v>
      </c>
      <c r="C5289" s="54" t="s">
        <v>590</v>
      </c>
      <c r="D5289" s="0" t="n">
        <v>0.621414459276633</v>
      </c>
      <c r="E5289" s="0" t="n">
        <v>0</v>
      </c>
      <c r="F5289" s="0" t="n">
        <v>0</v>
      </c>
      <c r="G5289" s="0" t="n">
        <v>2020</v>
      </c>
    </row>
    <row r="5290" customFormat="false" ht="15" hidden="false" customHeight="false" outlineLevel="0" collapsed="false">
      <c r="A5290" s="0" t="s">
        <v>262</v>
      </c>
      <c r="B5290" s="52" t="n">
        <v>44097</v>
      </c>
      <c r="C5290" s="54" t="s">
        <v>591</v>
      </c>
      <c r="D5290" s="0" t="n">
        <v>0</v>
      </c>
      <c r="E5290" s="0" t="n">
        <v>0.0009001626893097</v>
      </c>
      <c r="F5290" s="0" t="n">
        <v>0</v>
      </c>
      <c r="G5290" s="0" t="n">
        <v>2020</v>
      </c>
    </row>
    <row r="5291" customFormat="false" ht="15" hidden="false" customHeight="false" outlineLevel="0" collapsed="false">
      <c r="A5291" s="0" t="s">
        <v>262</v>
      </c>
      <c r="B5291" s="52" t="n">
        <v>44097</v>
      </c>
      <c r="C5291" s="54" t="s">
        <v>592</v>
      </c>
      <c r="D5291" s="0" t="n">
        <v>0</v>
      </c>
      <c r="E5291" s="0" t="n">
        <v>0.0013015901411908</v>
      </c>
      <c r="F5291" s="0" t="n">
        <v>0</v>
      </c>
      <c r="G5291" s="0" t="n">
        <v>2020</v>
      </c>
    </row>
    <row r="5292" customFormat="false" ht="15" hidden="false" customHeight="false" outlineLevel="0" collapsed="false">
      <c r="A5292" s="0" t="s">
        <v>262</v>
      </c>
      <c r="B5292" s="52" t="n">
        <v>44098</v>
      </c>
      <c r="C5292" s="54" t="s">
        <v>590</v>
      </c>
      <c r="D5292" s="0" t="n">
        <v>0.668611997676984</v>
      </c>
      <c r="E5292" s="0" t="n">
        <v>0</v>
      </c>
      <c r="F5292" s="0" t="n">
        <v>0</v>
      </c>
      <c r="G5292" s="0" t="n">
        <v>2020</v>
      </c>
    </row>
    <row r="5293" customFormat="false" ht="15" hidden="false" customHeight="false" outlineLevel="0" collapsed="false">
      <c r="A5293" s="0" t="s">
        <v>262</v>
      </c>
      <c r="B5293" s="52" t="n">
        <v>44098</v>
      </c>
      <c r="C5293" s="54" t="s">
        <v>591</v>
      </c>
      <c r="D5293" s="0" t="n">
        <v>0.0603742220431216</v>
      </c>
      <c r="E5293" s="0" t="n">
        <v>0.0008059524889402</v>
      </c>
      <c r="F5293" s="0" t="n">
        <v>0</v>
      </c>
      <c r="G5293" s="0" t="n">
        <v>2020</v>
      </c>
    </row>
    <row r="5294" customFormat="false" ht="15" hidden="false" customHeight="false" outlineLevel="0" collapsed="false">
      <c r="A5294" s="0" t="s">
        <v>262</v>
      </c>
      <c r="B5294" s="52" t="n">
        <v>44098</v>
      </c>
      <c r="C5294" s="54" t="s">
        <v>592</v>
      </c>
      <c r="D5294" s="0" t="n">
        <v>0.0188854492760879</v>
      </c>
      <c r="E5294" s="0" t="n">
        <v>0.0139173338908801</v>
      </c>
      <c r="F5294" s="0" t="n">
        <v>0</v>
      </c>
      <c r="G5294" s="0" t="n">
        <v>2020</v>
      </c>
    </row>
    <row r="5295" customFormat="false" ht="15" hidden="false" customHeight="false" outlineLevel="0" collapsed="false">
      <c r="A5295" s="0" t="s">
        <v>262</v>
      </c>
      <c r="B5295" s="52" t="n">
        <v>44099</v>
      </c>
      <c r="C5295" s="54" t="s">
        <v>590</v>
      </c>
      <c r="D5295" s="0" t="n">
        <v>0.216930154292743</v>
      </c>
      <c r="E5295" s="0" t="n">
        <v>0.0231029824037431</v>
      </c>
      <c r="F5295" s="0" t="n">
        <v>0</v>
      </c>
      <c r="G5295" s="0" t="n">
        <v>2020</v>
      </c>
    </row>
    <row r="5296" customFormat="false" ht="15" hidden="false" customHeight="false" outlineLevel="0" collapsed="false">
      <c r="A5296" s="0" t="s">
        <v>262</v>
      </c>
      <c r="B5296" s="52" t="n">
        <v>44099</v>
      </c>
      <c r="C5296" s="54" t="s">
        <v>591</v>
      </c>
      <c r="D5296" s="0" t="n">
        <v>1</v>
      </c>
      <c r="E5296" s="0" t="n">
        <v>0</v>
      </c>
      <c r="F5296" s="0" t="n">
        <v>0</v>
      </c>
      <c r="G5296" s="0" t="n">
        <v>2020</v>
      </c>
    </row>
    <row r="5297" customFormat="false" ht="15" hidden="false" customHeight="false" outlineLevel="0" collapsed="false">
      <c r="A5297" s="0" t="s">
        <v>262</v>
      </c>
      <c r="B5297" s="52" t="n">
        <v>44101</v>
      </c>
      <c r="C5297" s="54" t="s">
        <v>592</v>
      </c>
      <c r="D5297" s="0" t="n">
        <v>1</v>
      </c>
      <c r="E5297" s="0" t="n">
        <v>0</v>
      </c>
      <c r="F5297" s="0" t="n">
        <v>1</v>
      </c>
      <c r="G5297" s="0" t="n">
        <v>2020</v>
      </c>
    </row>
    <row r="5298" customFormat="false" ht="15" hidden="false" customHeight="false" outlineLevel="0" collapsed="false">
      <c r="A5298" s="0" t="s">
        <v>262</v>
      </c>
      <c r="B5298" s="52" t="n">
        <v>44103</v>
      </c>
      <c r="C5298" s="54" t="s">
        <v>590</v>
      </c>
      <c r="D5298" s="0" t="n">
        <v>1</v>
      </c>
      <c r="E5298" s="0" t="n">
        <v>0</v>
      </c>
      <c r="F5298" s="0" t="n">
        <v>0</v>
      </c>
      <c r="G5298" s="0" t="n">
        <v>2020</v>
      </c>
    </row>
    <row r="5299" customFormat="false" ht="15" hidden="false" customHeight="false" outlineLevel="0" collapsed="false">
      <c r="A5299" s="0" t="s">
        <v>262</v>
      </c>
      <c r="B5299" s="52" t="n">
        <v>44103</v>
      </c>
      <c r="C5299" s="54" t="s">
        <v>591</v>
      </c>
      <c r="D5299" s="0" t="n">
        <v>1</v>
      </c>
      <c r="E5299" s="0" t="n">
        <v>0</v>
      </c>
      <c r="F5299" s="0" t="n">
        <v>0</v>
      </c>
      <c r="G5299" s="0" t="n">
        <v>2020</v>
      </c>
    </row>
    <row r="5300" customFormat="false" ht="15" hidden="false" customHeight="false" outlineLevel="0" collapsed="false">
      <c r="A5300" s="0" t="s">
        <v>262</v>
      </c>
      <c r="B5300" s="52" t="n">
        <v>44103</v>
      </c>
      <c r="C5300" s="54" t="s">
        <v>592</v>
      </c>
      <c r="D5300" s="0" t="n">
        <v>1</v>
      </c>
      <c r="E5300" s="0" t="n">
        <v>0</v>
      </c>
      <c r="F5300" s="0" t="n">
        <v>0</v>
      </c>
      <c r="G5300" s="0" t="n">
        <v>2020</v>
      </c>
    </row>
    <row r="5301" customFormat="false" ht="15" hidden="false" customHeight="false" outlineLevel="0" collapsed="false">
      <c r="A5301" s="0" t="s">
        <v>262</v>
      </c>
      <c r="B5301" s="52" t="n">
        <v>44104</v>
      </c>
      <c r="C5301" s="54" t="s">
        <v>590</v>
      </c>
      <c r="D5301" s="0" t="n">
        <v>0.290938549371471</v>
      </c>
      <c r="E5301" s="0" t="n">
        <v>0.0272755033452797</v>
      </c>
      <c r="F5301" s="0" t="n">
        <v>0</v>
      </c>
      <c r="G5301" s="0" t="n">
        <v>2020</v>
      </c>
    </row>
    <row r="5302" customFormat="false" ht="15" hidden="false" customHeight="false" outlineLevel="0" collapsed="false">
      <c r="A5302" s="0" t="s">
        <v>262</v>
      </c>
      <c r="B5302" s="52" t="n">
        <v>44104</v>
      </c>
      <c r="C5302" s="54" t="s">
        <v>591</v>
      </c>
      <c r="D5302" s="0" t="n">
        <v>0.0268371723929663</v>
      </c>
      <c r="E5302" s="0" t="n">
        <v>0.0714639854312988</v>
      </c>
      <c r="F5302" s="0" t="n">
        <v>0</v>
      </c>
      <c r="G5302" s="0" t="n">
        <v>2020</v>
      </c>
    </row>
    <row r="5303" customFormat="false" ht="15" hidden="false" customHeight="false" outlineLevel="0" collapsed="false">
      <c r="A5303" s="0" t="s">
        <v>262</v>
      </c>
      <c r="B5303" s="52" t="n">
        <v>44104</v>
      </c>
      <c r="C5303" s="54" t="s">
        <v>592</v>
      </c>
      <c r="D5303" s="0" t="n">
        <v>0.13882030336664</v>
      </c>
      <c r="E5303" s="0" t="n">
        <v>0.107059512587219</v>
      </c>
      <c r="F5303" s="0" t="n">
        <v>0</v>
      </c>
      <c r="G5303" s="0" t="n">
        <v>2020</v>
      </c>
    </row>
    <row r="5304" customFormat="false" ht="15" hidden="false" customHeight="false" outlineLevel="0" collapsed="false">
      <c r="A5304" s="0" t="s">
        <v>262</v>
      </c>
      <c r="B5304" s="52" t="n">
        <v>44105</v>
      </c>
      <c r="C5304" s="54" t="s">
        <v>590</v>
      </c>
      <c r="D5304" s="0" t="n">
        <v>0.123798446760591</v>
      </c>
      <c r="E5304" s="0" t="n">
        <v>0.0234362699811046</v>
      </c>
      <c r="F5304" s="0" t="n">
        <v>0</v>
      </c>
      <c r="G5304" s="0" t="n">
        <v>2020</v>
      </c>
    </row>
    <row r="5305" customFormat="false" ht="15" hidden="false" customHeight="false" outlineLevel="0" collapsed="false">
      <c r="A5305" s="0" t="s">
        <v>262</v>
      </c>
      <c r="B5305" s="52" t="n">
        <v>44105</v>
      </c>
      <c r="C5305" s="54" t="s">
        <v>591</v>
      </c>
      <c r="D5305" s="0" t="n">
        <v>0.521074594621084</v>
      </c>
      <c r="E5305" s="0" t="n">
        <v>0.0233752977114438</v>
      </c>
      <c r="F5305" s="0" t="n">
        <v>0</v>
      </c>
      <c r="G5305" s="0" t="n">
        <v>2020</v>
      </c>
    </row>
    <row r="5306" customFormat="false" ht="15" hidden="false" customHeight="false" outlineLevel="0" collapsed="false">
      <c r="A5306" s="0" t="s">
        <v>262</v>
      </c>
      <c r="B5306" s="52" t="n">
        <v>44105</v>
      </c>
      <c r="C5306" s="54" t="s">
        <v>592</v>
      </c>
      <c r="D5306" s="0" t="n">
        <v>0.1510514945164</v>
      </c>
      <c r="E5306" s="0" t="n">
        <v>0.0065049237885792</v>
      </c>
      <c r="F5306" s="0" t="n">
        <v>0</v>
      </c>
      <c r="G5306" s="0" t="n">
        <v>2020</v>
      </c>
    </row>
    <row r="5307" customFormat="false" ht="15" hidden="false" customHeight="false" outlineLevel="0" collapsed="false">
      <c r="A5307" s="0" t="s">
        <v>262</v>
      </c>
      <c r="B5307" s="52" t="n">
        <v>44106</v>
      </c>
      <c r="C5307" s="54" t="s">
        <v>590</v>
      </c>
      <c r="D5307" s="0" t="n">
        <v>0</v>
      </c>
      <c r="E5307" s="0" t="n">
        <v>0.0243338091454973</v>
      </c>
      <c r="F5307" s="0" t="n">
        <v>0</v>
      </c>
      <c r="G5307" s="0" t="n">
        <v>2020</v>
      </c>
    </row>
    <row r="5308" customFormat="false" ht="15" hidden="false" customHeight="false" outlineLevel="0" collapsed="false">
      <c r="A5308" s="0" t="s">
        <v>262</v>
      </c>
      <c r="B5308" s="52" t="n">
        <v>44106</v>
      </c>
      <c r="C5308" s="54" t="s">
        <v>591</v>
      </c>
      <c r="D5308" s="0" t="n">
        <v>0.0562309053901887</v>
      </c>
      <c r="E5308" s="0" t="n">
        <v>0.030170217554793</v>
      </c>
      <c r="F5308" s="0" t="n">
        <v>0</v>
      </c>
      <c r="G5308" s="0" t="n">
        <v>2020</v>
      </c>
    </row>
    <row r="5309" customFormat="false" ht="15" hidden="false" customHeight="false" outlineLevel="0" collapsed="false">
      <c r="A5309" s="0" t="s">
        <v>262</v>
      </c>
      <c r="B5309" s="52" t="n">
        <v>44106</v>
      </c>
      <c r="C5309" s="54" t="s">
        <v>592</v>
      </c>
      <c r="D5309" s="0" t="n">
        <v>0.54037991477585</v>
      </c>
      <c r="E5309" s="0" t="n">
        <v>0.0053245385546766</v>
      </c>
      <c r="F5309" s="0" t="n">
        <v>0</v>
      </c>
      <c r="G5309" s="0" t="n">
        <v>2020</v>
      </c>
    </row>
    <row r="5310" customFormat="false" ht="15" hidden="false" customHeight="false" outlineLevel="0" collapsed="false">
      <c r="A5310" s="0" t="s">
        <v>262</v>
      </c>
      <c r="B5310" s="52" t="n">
        <v>44107</v>
      </c>
      <c r="C5310" s="54" t="s">
        <v>590</v>
      </c>
      <c r="D5310" s="0" t="n">
        <v>0.522809003339408</v>
      </c>
      <c r="E5310" s="0" t="n">
        <v>0</v>
      </c>
      <c r="F5310" s="0" t="n">
        <v>1</v>
      </c>
      <c r="G5310" s="0" t="n">
        <v>2020</v>
      </c>
    </row>
    <row r="5311" customFormat="false" ht="15" hidden="false" customHeight="false" outlineLevel="0" collapsed="false">
      <c r="A5311" s="0" t="s">
        <v>262</v>
      </c>
      <c r="B5311" s="52" t="n">
        <v>44108</v>
      </c>
      <c r="C5311" s="54" t="s">
        <v>590</v>
      </c>
      <c r="D5311" s="0" t="n">
        <v>0.256130431955598</v>
      </c>
      <c r="E5311" s="0" t="n">
        <v>0.008662465136182</v>
      </c>
      <c r="F5311" s="0" t="n">
        <v>1</v>
      </c>
      <c r="G5311" s="0" t="n">
        <v>2020</v>
      </c>
    </row>
    <row r="5312" customFormat="false" ht="15" hidden="false" customHeight="false" outlineLevel="0" collapsed="false">
      <c r="A5312" s="0" t="s">
        <v>262</v>
      </c>
      <c r="B5312" s="52" t="n">
        <v>44108</v>
      </c>
      <c r="C5312" s="54" t="s">
        <v>591</v>
      </c>
      <c r="D5312" s="0" t="n">
        <v>0.0316283514685343</v>
      </c>
      <c r="E5312" s="0" t="n">
        <v>0.0260754713862516</v>
      </c>
      <c r="F5312" s="0" t="n">
        <v>1</v>
      </c>
      <c r="G5312" s="0" t="n">
        <v>2020</v>
      </c>
    </row>
    <row r="5313" customFormat="false" ht="15" hidden="false" customHeight="false" outlineLevel="0" collapsed="false">
      <c r="A5313" s="0" t="s">
        <v>262</v>
      </c>
      <c r="B5313" s="52" t="n">
        <v>44108</v>
      </c>
      <c r="C5313" s="54" t="s">
        <v>592</v>
      </c>
      <c r="D5313" s="0" t="n">
        <v>0.0513877254536663</v>
      </c>
      <c r="E5313" s="0" t="n">
        <v>0.0363655965971609</v>
      </c>
      <c r="F5313" s="0" t="n">
        <v>1</v>
      </c>
      <c r="G5313" s="0" t="n">
        <v>2020</v>
      </c>
    </row>
    <row r="5314" customFormat="false" ht="15" hidden="false" customHeight="false" outlineLevel="0" collapsed="false">
      <c r="A5314" s="0" t="s">
        <v>262</v>
      </c>
      <c r="B5314" s="52" t="n">
        <v>44109</v>
      </c>
      <c r="C5314" s="54" t="s">
        <v>590</v>
      </c>
      <c r="D5314" s="0" t="n">
        <v>0.39512818586348</v>
      </c>
      <c r="E5314" s="0" t="n">
        <v>0.029789183089323</v>
      </c>
      <c r="F5314" s="0" t="n">
        <v>0</v>
      </c>
      <c r="G5314" s="0" t="n">
        <v>2020</v>
      </c>
    </row>
    <row r="5315" customFormat="false" ht="15" hidden="false" customHeight="false" outlineLevel="0" collapsed="false">
      <c r="A5315" s="0" t="s">
        <v>262</v>
      </c>
      <c r="B5315" s="52" t="n">
        <v>44109</v>
      </c>
      <c r="C5315" s="54" t="s">
        <v>591</v>
      </c>
      <c r="D5315" s="0" t="n">
        <v>0.436997491161297</v>
      </c>
      <c r="E5315" s="0" t="n">
        <v>0.0253696242518709</v>
      </c>
      <c r="F5315" s="0" t="n">
        <v>0</v>
      </c>
      <c r="G5315" s="0" t="n">
        <v>2020</v>
      </c>
    </row>
    <row r="5316" customFormat="false" ht="15" hidden="false" customHeight="false" outlineLevel="0" collapsed="false">
      <c r="A5316" s="0" t="s">
        <v>262</v>
      </c>
      <c r="B5316" s="52" t="n">
        <v>44109</v>
      </c>
      <c r="C5316" s="54" t="s">
        <v>592</v>
      </c>
      <c r="D5316" s="0" t="n">
        <v>0.0011585455000426</v>
      </c>
      <c r="E5316" s="0" t="n">
        <v>0.0234681156319654</v>
      </c>
      <c r="F5316" s="0" t="n">
        <v>0</v>
      </c>
      <c r="G5316" s="0" t="n">
        <v>2020</v>
      </c>
    </row>
    <row r="5317" customFormat="false" ht="15" hidden="false" customHeight="false" outlineLevel="0" collapsed="false">
      <c r="A5317" s="0" t="s">
        <v>262</v>
      </c>
      <c r="B5317" s="52" t="n">
        <v>44110</v>
      </c>
      <c r="C5317" s="54" t="s">
        <v>590</v>
      </c>
      <c r="D5317" s="0" t="n">
        <v>0.0620541911871251</v>
      </c>
      <c r="E5317" s="0" t="n">
        <v>0.0344803026124513</v>
      </c>
      <c r="F5317" s="0" t="n">
        <v>0</v>
      </c>
      <c r="G5317" s="0" t="n">
        <v>2020</v>
      </c>
    </row>
    <row r="5318" customFormat="false" ht="15" hidden="false" customHeight="false" outlineLevel="0" collapsed="false">
      <c r="A5318" s="0" t="s">
        <v>262</v>
      </c>
      <c r="B5318" s="52" t="n">
        <v>44110</v>
      </c>
      <c r="C5318" s="54" t="s">
        <v>591</v>
      </c>
      <c r="D5318" s="0" t="n">
        <v>0.729950111864844</v>
      </c>
      <c r="E5318" s="0" t="n">
        <v>0.0029518235491796</v>
      </c>
      <c r="F5318" s="0" t="n">
        <v>0</v>
      </c>
      <c r="G5318" s="0" t="n">
        <v>2020</v>
      </c>
    </row>
    <row r="5319" customFormat="false" ht="15" hidden="false" customHeight="false" outlineLevel="0" collapsed="false">
      <c r="A5319" s="0" t="s">
        <v>262</v>
      </c>
      <c r="B5319" s="52" t="n">
        <v>44110</v>
      </c>
      <c r="C5319" s="54" t="s">
        <v>592</v>
      </c>
      <c r="D5319" s="0" t="n">
        <v>0.689330949452603</v>
      </c>
      <c r="E5319" s="0" t="n">
        <v>0.0163195166476311</v>
      </c>
      <c r="F5319" s="0" t="n">
        <v>0</v>
      </c>
      <c r="G5319" s="0" t="n">
        <v>2020</v>
      </c>
    </row>
    <row r="5320" customFormat="false" ht="15" hidden="false" customHeight="false" outlineLevel="0" collapsed="false">
      <c r="A5320" s="0" t="s">
        <v>262</v>
      </c>
      <c r="B5320" s="52" t="n">
        <v>44111</v>
      </c>
      <c r="C5320" s="54" t="s">
        <v>590</v>
      </c>
      <c r="D5320" s="0" t="n">
        <v>0</v>
      </c>
      <c r="E5320" s="0" t="n">
        <v>0.0400087220037704</v>
      </c>
      <c r="F5320" s="0" t="n">
        <v>0</v>
      </c>
      <c r="G5320" s="0" t="n">
        <v>2020</v>
      </c>
    </row>
    <row r="5321" customFormat="false" ht="15" hidden="false" customHeight="false" outlineLevel="0" collapsed="false">
      <c r="A5321" s="0" t="s">
        <v>262</v>
      </c>
      <c r="B5321" s="52" t="n">
        <v>44111</v>
      </c>
      <c r="C5321" s="54" t="s">
        <v>591</v>
      </c>
      <c r="D5321" s="0" t="n">
        <v>0.471476415894926</v>
      </c>
      <c r="E5321" s="0" t="n">
        <v>0.0463775641381118</v>
      </c>
      <c r="F5321" s="0" t="n">
        <v>0</v>
      </c>
      <c r="G5321" s="0" t="n">
        <v>2020</v>
      </c>
    </row>
    <row r="5322" customFormat="false" ht="15" hidden="false" customHeight="false" outlineLevel="0" collapsed="false">
      <c r="A5322" s="0" t="s">
        <v>262</v>
      </c>
      <c r="B5322" s="52" t="n">
        <v>44111</v>
      </c>
      <c r="C5322" s="54" t="s">
        <v>592</v>
      </c>
      <c r="D5322" s="0" t="n">
        <v>0.10408244791853</v>
      </c>
      <c r="E5322" s="0" t="n">
        <v>0.0289295552227974</v>
      </c>
      <c r="F5322" s="0" t="n">
        <v>0</v>
      </c>
      <c r="G5322" s="0" t="n">
        <v>2020</v>
      </c>
    </row>
    <row r="5323" customFormat="false" ht="15" hidden="false" customHeight="false" outlineLevel="0" collapsed="false">
      <c r="A5323" s="0" t="s">
        <v>262</v>
      </c>
      <c r="B5323" s="52" t="n">
        <v>44112</v>
      </c>
      <c r="C5323" s="54" t="s">
        <v>590</v>
      </c>
      <c r="D5323" s="0" t="n">
        <v>0.0058512064535028</v>
      </c>
      <c r="E5323" s="0" t="n">
        <v>0.023952668714398</v>
      </c>
      <c r="F5323" s="0" t="n">
        <v>0</v>
      </c>
      <c r="G5323" s="0" t="n">
        <v>2020</v>
      </c>
    </row>
    <row r="5324" customFormat="false" ht="15" hidden="false" customHeight="false" outlineLevel="0" collapsed="false">
      <c r="A5324" s="0" t="s">
        <v>262</v>
      </c>
      <c r="B5324" s="52" t="n">
        <v>44112</v>
      </c>
      <c r="C5324" s="54" t="s">
        <v>591</v>
      </c>
      <c r="D5324" s="0" t="n">
        <v>0.199963912554849</v>
      </c>
      <c r="E5324" s="0" t="n">
        <v>0.0303598585065789</v>
      </c>
      <c r="F5324" s="0" t="n">
        <v>0</v>
      </c>
      <c r="G5324" s="0" t="n">
        <v>2020</v>
      </c>
    </row>
    <row r="5325" customFormat="false" ht="15" hidden="false" customHeight="false" outlineLevel="0" collapsed="false">
      <c r="A5325" s="0" t="s">
        <v>262</v>
      </c>
      <c r="B5325" s="52" t="n">
        <v>44112</v>
      </c>
      <c r="C5325" s="54" t="s">
        <v>592</v>
      </c>
      <c r="D5325" s="0" t="n">
        <v>0.308716516790848</v>
      </c>
      <c r="E5325" s="0" t="n">
        <v>0</v>
      </c>
      <c r="F5325" s="0" t="n">
        <v>0</v>
      </c>
      <c r="G5325" s="0" t="n">
        <v>2020</v>
      </c>
    </row>
    <row r="5326" customFormat="false" ht="15" hidden="false" customHeight="false" outlineLevel="0" collapsed="false">
      <c r="A5326" s="0" t="s">
        <v>262</v>
      </c>
      <c r="B5326" s="52" t="n">
        <v>44113</v>
      </c>
      <c r="C5326" s="54" t="s">
        <v>590</v>
      </c>
      <c r="D5326" s="0" t="n">
        <v>0.0099143395413814</v>
      </c>
      <c r="E5326" s="0" t="n">
        <v>0.0128760610002342</v>
      </c>
      <c r="F5326" s="0" t="n">
        <v>0</v>
      </c>
      <c r="G5326" s="0" t="n">
        <v>2020</v>
      </c>
    </row>
    <row r="5327" customFormat="false" ht="15" hidden="false" customHeight="false" outlineLevel="0" collapsed="false">
      <c r="A5327" s="0" t="s">
        <v>262</v>
      </c>
      <c r="B5327" s="52" t="n">
        <v>44113</v>
      </c>
      <c r="C5327" s="54" t="s">
        <v>591</v>
      </c>
      <c r="D5327" s="0" t="n">
        <v>0.920148137246109</v>
      </c>
      <c r="E5327" s="0" t="n">
        <v>0</v>
      </c>
      <c r="F5327" s="0" t="n">
        <v>0</v>
      </c>
      <c r="G5327" s="0" t="n">
        <v>2020</v>
      </c>
    </row>
    <row r="5328" customFormat="false" ht="15" hidden="false" customHeight="false" outlineLevel="0" collapsed="false">
      <c r="A5328" s="0" t="s">
        <v>262</v>
      </c>
      <c r="B5328" s="52" t="n">
        <v>44113</v>
      </c>
      <c r="C5328" s="54" t="s">
        <v>592</v>
      </c>
      <c r="D5328" s="0" t="n">
        <v>0.008137463153882</v>
      </c>
      <c r="E5328" s="0" t="n">
        <v>0.0022712876148371</v>
      </c>
      <c r="F5328" s="0" t="n">
        <v>0</v>
      </c>
      <c r="G5328" s="0" t="n">
        <v>2020</v>
      </c>
    </row>
    <row r="5329" customFormat="false" ht="15" hidden="false" customHeight="false" outlineLevel="0" collapsed="false">
      <c r="A5329" s="0" t="s">
        <v>262</v>
      </c>
      <c r="B5329" s="52" t="n">
        <v>44114</v>
      </c>
      <c r="C5329" s="54" t="s">
        <v>590</v>
      </c>
      <c r="D5329" s="0" t="n">
        <v>0.0112466802706772</v>
      </c>
      <c r="E5329" s="0" t="n">
        <v>0.008986034485752</v>
      </c>
      <c r="F5329" s="0" t="n">
        <v>1</v>
      </c>
      <c r="G5329" s="0" t="n">
        <v>2020</v>
      </c>
    </row>
    <row r="5330" customFormat="false" ht="15" hidden="false" customHeight="false" outlineLevel="0" collapsed="false">
      <c r="A5330" s="0" t="s">
        <v>262</v>
      </c>
      <c r="B5330" s="52" t="n">
        <v>44114</v>
      </c>
      <c r="C5330" s="54" t="s">
        <v>591</v>
      </c>
      <c r="D5330" s="0" t="n">
        <v>0.626170646547495</v>
      </c>
      <c r="E5330" s="0" t="n">
        <v>0.0043819190940941</v>
      </c>
      <c r="F5330" s="0" t="n">
        <v>1</v>
      </c>
      <c r="G5330" s="0" t="n">
        <v>2020</v>
      </c>
    </row>
    <row r="5331" customFormat="false" ht="15" hidden="false" customHeight="false" outlineLevel="0" collapsed="false">
      <c r="A5331" s="0" t="s">
        <v>262</v>
      </c>
      <c r="B5331" s="52" t="n">
        <v>44114</v>
      </c>
      <c r="C5331" s="54" t="s">
        <v>592</v>
      </c>
      <c r="D5331" s="0" t="n">
        <v>1</v>
      </c>
      <c r="E5331" s="0" t="n">
        <v>0</v>
      </c>
      <c r="F5331" s="0" t="n">
        <v>1</v>
      </c>
      <c r="G5331" s="0" t="n">
        <v>2020</v>
      </c>
    </row>
    <row r="5332" customFormat="false" ht="15" hidden="false" customHeight="false" outlineLevel="0" collapsed="false">
      <c r="A5332" s="0" t="s">
        <v>262</v>
      </c>
      <c r="B5332" s="52" t="n">
        <v>44115</v>
      </c>
      <c r="C5332" s="54" t="s">
        <v>590</v>
      </c>
      <c r="D5332" s="0" t="n">
        <v>0.635868868372689</v>
      </c>
      <c r="E5332" s="0" t="n">
        <v>0.167828788257655</v>
      </c>
      <c r="F5332" s="0" t="n">
        <v>1</v>
      </c>
      <c r="G5332" s="0" t="n">
        <v>2020</v>
      </c>
    </row>
    <row r="5333" customFormat="false" ht="15" hidden="false" customHeight="false" outlineLevel="0" collapsed="false">
      <c r="A5333" s="0" t="s">
        <v>262</v>
      </c>
      <c r="B5333" s="52" t="n">
        <v>44115</v>
      </c>
      <c r="C5333" s="54" t="s">
        <v>591</v>
      </c>
      <c r="D5333" s="0" t="n">
        <v>0.0930408329345143</v>
      </c>
      <c r="E5333" s="0" t="n">
        <v>0.0105652846466414</v>
      </c>
      <c r="F5333" s="0" t="n">
        <v>1</v>
      </c>
      <c r="G5333" s="0" t="n">
        <v>2020</v>
      </c>
    </row>
    <row r="5334" customFormat="false" ht="15" hidden="false" customHeight="false" outlineLevel="0" collapsed="false">
      <c r="A5334" s="0" t="s">
        <v>262</v>
      </c>
      <c r="B5334" s="52" t="n">
        <v>44115</v>
      </c>
      <c r="C5334" s="54" t="s">
        <v>592</v>
      </c>
      <c r="D5334" s="0" t="n">
        <v>0.0983657710763316</v>
      </c>
      <c r="E5334" s="0" t="n">
        <v>0.0111233772345813</v>
      </c>
      <c r="F5334" s="0" t="n">
        <v>1</v>
      </c>
      <c r="G5334" s="0" t="n">
        <v>2020</v>
      </c>
    </row>
    <row r="5335" customFormat="false" ht="15" hidden="false" customHeight="false" outlineLevel="0" collapsed="false">
      <c r="A5335" s="0" t="s">
        <v>262</v>
      </c>
      <c r="B5335" s="52" t="n">
        <v>44116</v>
      </c>
      <c r="C5335" s="54" t="s">
        <v>590</v>
      </c>
      <c r="D5335" s="0" t="n">
        <v>0.0159275497720925</v>
      </c>
      <c r="E5335" s="0" t="n">
        <v>0.102094676501014</v>
      </c>
      <c r="F5335" s="0" t="n">
        <v>0</v>
      </c>
      <c r="G5335" s="0" t="n">
        <v>2020</v>
      </c>
    </row>
    <row r="5336" customFormat="false" ht="15" hidden="false" customHeight="false" outlineLevel="0" collapsed="false">
      <c r="A5336" s="0" t="s">
        <v>262</v>
      </c>
      <c r="B5336" s="52" t="n">
        <v>44116</v>
      </c>
      <c r="C5336" s="54" t="s">
        <v>591</v>
      </c>
      <c r="D5336" s="0" t="n">
        <v>0.157120495052861</v>
      </c>
      <c r="E5336" s="0" t="n">
        <v>0.086422755982565</v>
      </c>
      <c r="F5336" s="0" t="n">
        <v>0</v>
      </c>
      <c r="G5336" s="0" t="n">
        <v>2020</v>
      </c>
    </row>
    <row r="5337" customFormat="false" ht="15" hidden="false" customHeight="false" outlineLevel="0" collapsed="false">
      <c r="A5337" s="0" t="s">
        <v>262</v>
      </c>
      <c r="B5337" s="52" t="n">
        <v>44116</v>
      </c>
      <c r="C5337" s="54" t="s">
        <v>592</v>
      </c>
      <c r="D5337" s="0" t="n">
        <v>0.510434324482727</v>
      </c>
      <c r="E5337" s="0" t="n">
        <v>0.0202321370383566</v>
      </c>
      <c r="F5337" s="0" t="n">
        <v>0</v>
      </c>
      <c r="G5337" s="0" t="n">
        <v>2020</v>
      </c>
    </row>
    <row r="5338" customFormat="false" ht="15" hidden="false" customHeight="false" outlineLevel="0" collapsed="false">
      <c r="A5338" s="0" t="s">
        <v>262</v>
      </c>
      <c r="B5338" s="52" t="n">
        <v>44117</v>
      </c>
      <c r="C5338" s="54" t="s">
        <v>590</v>
      </c>
      <c r="D5338" s="0" t="n">
        <v>0.997764327464988</v>
      </c>
      <c r="E5338" s="0" t="n">
        <v>0</v>
      </c>
      <c r="F5338" s="0" t="n">
        <v>0</v>
      </c>
      <c r="G5338" s="0" t="n">
        <v>2020</v>
      </c>
    </row>
    <row r="5339" customFormat="false" ht="15" hidden="false" customHeight="false" outlineLevel="0" collapsed="false">
      <c r="A5339" s="0" t="s">
        <v>262</v>
      </c>
      <c r="B5339" s="52" t="n">
        <v>44118</v>
      </c>
      <c r="C5339" s="54" t="s">
        <v>592</v>
      </c>
      <c r="D5339" s="0" t="n">
        <v>1</v>
      </c>
      <c r="E5339" s="0" t="n">
        <v>0</v>
      </c>
      <c r="F5339" s="0" t="n">
        <v>0</v>
      </c>
      <c r="G5339" s="0" t="n">
        <v>2020</v>
      </c>
    </row>
    <row r="5340" customFormat="false" ht="15" hidden="false" customHeight="false" outlineLevel="0" collapsed="false">
      <c r="A5340" s="0" t="s">
        <v>262</v>
      </c>
      <c r="B5340" s="52" t="n">
        <v>44119</v>
      </c>
      <c r="C5340" s="54" t="s">
        <v>592</v>
      </c>
      <c r="D5340" s="0" t="n">
        <v>0.249720508476587</v>
      </c>
      <c r="E5340" s="0" t="n">
        <v>0.0187350027875016</v>
      </c>
      <c r="F5340" s="0" t="n">
        <v>0</v>
      </c>
      <c r="G5340" s="0" t="n">
        <v>2020</v>
      </c>
    </row>
    <row r="5341" customFormat="false" ht="15" hidden="false" customHeight="false" outlineLevel="0" collapsed="false">
      <c r="A5341" s="0" t="s">
        <v>262</v>
      </c>
      <c r="B5341" s="52" t="n">
        <v>44120</v>
      </c>
      <c r="C5341" s="54" t="s">
        <v>590</v>
      </c>
      <c r="D5341" s="0" t="n">
        <v>0.0159635822172812</v>
      </c>
      <c r="E5341" s="0" t="n">
        <v>0.0420666195566522</v>
      </c>
      <c r="F5341" s="0" t="n">
        <v>0</v>
      </c>
      <c r="G5341" s="0" t="n">
        <v>2020</v>
      </c>
    </row>
    <row r="5342" customFormat="false" ht="15" hidden="false" customHeight="false" outlineLevel="0" collapsed="false">
      <c r="A5342" s="0" t="s">
        <v>262</v>
      </c>
      <c r="B5342" s="52" t="n">
        <v>44120</v>
      </c>
      <c r="C5342" s="54" t="s">
        <v>591</v>
      </c>
      <c r="D5342" s="0" t="n">
        <v>0.101079462225406</v>
      </c>
      <c r="E5342" s="0" t="n">
        <v>0.0390786638008327</v>
      </c>
      <c r="F5342" s="0" t="n">
        <v>0</v>
      </c>
      <c r="G5342" s="0" t="n">
        <v>2020</v>
      </c>
    </row>
    <row r="5343" customFormat="false" ht="15" hidden="false" customHeight="false" outlineLevel="0" collapsed="false">
      <c r="A5343" s="0" t="s">
        <v>262</v>
      </c>
      <c r="B5343" s="52" t="n">
        <v>44120</v>
      </c>
      <c r="C5343" s="54" t="s">
        <v>592</v>
      </c>
      <c r="D5343" s="0" t="n">
        <v>0.425114223726928</v>
      </c>
      <c r="E5343" s="0" t="n">
        <v>0.040674312226336</v>
      </c>
      <c r="F5343" s="0" t="n">
        <v>0</v>
      </c>
      <c r="G5343" s="0" t="n">
        <v>2020</v>
      </c>
    </row>
    <row r="5344" customFormat="false" ht="15" hidden="false" customHeight="false" outlineLevel="0" collapsed="false">
      <c r="A5344" s="0" t="s">
        <v>262</v>
      </c>
      <c r="B5344" s="52" t="n">
        <v>44121</v>
      </c>
      <c r="C5344" s="54" t="s">
        <v>590</v>
      </c>
      <c r="D5344" s="0" t="n">
        <v>0.11915652609058</v>
      </c>
      <c r="E5344" s="0" t="n">
        <v>0.125455559647195</v>
      </c>
      <c r="F5344" s="0" t="n">
        <v>1</v>
      </c>
      <c r="G5344" s="0" t="n">
        <v>2020</v>
      </c>
    </row>
    <row r="5345" customFormat="false" ht="15" hidden="false" customHeight="false" outlineLevel="0" collapsed="false">
      <c r="A5345" s="0" t="s">
        <v>262</v>
      </c>
      <c r="B5345" s="52" t="n">
        <v>44121</v>
      </c>
      <c r="C5345" s="54" t="s">
        <v>591</v>
      </c>
      <c r="D5345" s="0" t="n">
        <v>0.0210461913370475</v>
      </c>
      <c r="E5345" s="0" t="n">
        <v>0.0425619661507337</v>
      </c>
      <c r="F5345" s="0" t="n">
        <v>1</v>
      </c>
      <c r="G5345" s="0" t="n">
        <v>2020</v>
      </c>
    </row>
    <row r="5346" customFormat="false" ht="15" hidden="false" customHeight="false" outlineLevel="0" collapsed="false">
      <c r="A5346" s="0" t="s">
        <v>262</v>
      </c>
      <c r="B5346" s="52" t="n">
        <v>44121</v>
      </c>
      <c r="C5346" s="54" t="s">
        <v>592</v>
      </c>
      <c r="D5346" s="0" t="n">
        <v>0.151732108787063</v>
      </c>
      <c r="E5346" s="0" t="n">
        <v>0.0947702371676121</v>
      </c>
      <c r="F5346" s="0" t="n">
        <v>1</v>
      </c>
      <c r="G5346" s="0" t="n">
        <v>2020</v>
      </c>
    </row>
    <row r="5347" customFormat="false" ht="15" hidden="false" customHeight="false" outlineLevel="0" collapsed="false">
      <c r="A5347" s="0" t="s">
        <v>262</v>
      </c>
      <c r="B5347" s="52" t="n">
        <v>44122</v>
      </c>
      <c r="C5347" s="54" t="s">
        <v>590</v>
      </c>
      <c r="D5347" s="0" t="n">
        <v>0.193152913964332</v>
      </c>
      <c r="E5347" s="0" t="n">
        <v>0.0253046750254344</v>
      </c>
      <c r="F5347" s="0" t="n">
        <v>1</v>
      </c>
      <c r="G5347" s="0" t="n">
        <v>2020</v>
      </c>
    </row>
    <row r="5348" customFormat="false" ht="15" hidden="false" customHeight="false" outlineLevel="0" collapsed="false">
      <c r="A5348" s="0" t="s">
        <v>262</v>
      </c>
      <c r="B5348" s="52" t="n">
        <v>44122</v>
      </c>
      <c r="C5348" s="54" t="s">
        <v>591</v>
      </c>
      <c r="D5348" s="0" t="n">
        <v>0</v>
      </c>
      <c r="E5348" s="0" t="n">
        <v>0.0825148113525269</v>
      </c>
      <c r="F5348" s="0" t="n">
        <v>1</v>
      </c>
      <c r="G5348" s="0" t="n">
        <v>2020</v>
      </c>
    </row>
    <row r="5349" customFormat="false" ht="15" hidden="false" customHeight="false" outlineLevel="0" collapsed="false">
      <c r="A5349" s="0" t="s">
        <v>262</v>
      </c>
      <c r="B5349" s="52" t="n">
        <v>44122</v>
      </c>
      <c r="C5349" s="54" t="s">
        <v>592</v>
      </c>
      <c r="D5349" s="0" t="n">
        <v>0.426010880558058</v>
      </c>
      <c r="E5349" s="0" t="n">
        <v>0.0110873186093711</v>
      </c>
      <c r="F5349" s="0" t="n">
        <v>1</v>
      </c>
      <c r="G5349" s="0" t="n">
        <v>2020</v>
      </c>
    </row>
    <row r="5350" customFormat="false" ht="15" hidden="false" customHeight="false" outlineLevel="0" collapsed="false">
      <c r="A5350" s="0" t="s">
        <v>262</v>
      </c>
      <c r="B5350" s="52" t="n">
        <v>44123</v>
      </c>
      <c r="C5350" s="54" t="s">
        <v>590</v>
      </c>
      <c r="D5350" s="0" t="n">
        <v>0.0835998205626013</v>
      </c>
      <c r="E5350" s="0" t="n">
        <v>0.0244311640833568</v>
      </c>
      <c r="F5350" s="0" t="n">
        <v>0</v>
      </c>
      <c r="G5350" s="0" t="n">
        <v>2020</v>
      </c>
    </row>
    <row r="5351" customFormat="false" ht="15" hidden="false" customHeight="false" outlineLevel="0" collapsed="false">
      <c r="A5351" s="0" t="s">
        <v>262</v>
      </c>
      <c r="B5351" s="52" t="n">
        <v>44123</v>
      </c>
      <c r="C5351" s="54" t="s">
        <v>591</v>
      </c>
      <c r="D5351" s="0" t="n">
        <v>0.0458366517972741</v>
      </c>
      <c r="E5351" s="0" t="n">
        <v>0.0240029789295552</v>
      </c>
      <c r="F5351" s="0" t="n">
        <v>0</v>
      </c>
      <c r="G5351" s="0" t="n">
        <v>2020</v>
      </c>
    </row>
    <row r="5352" customFormat="false" ht="15" hidden="false" customHeight="false" outlineLevel="0" collapsed="false">
      <c r="A5352" s="0" t="s">
        <v>262</v>
      </c>
      <c r="B5352" s="52" t="n">
        <v>44123</v>
      </c>
      <c r="C5352" s="54" t="s">
        <v>592</v>
      </c>
      <c r="D5352" s="0" t="n">
        <v>0.22677170604538</v>
      </c>
      <c r="E5352" s="0" t="n">
        <v>0.0174932445206377</v>
      </c>
      <c r="F5352" s="0" t="n">
        <v>0</v>
      </c>
      <c r="G5352" s="0" t="n">
        <v>2020</v>
      </c>
    </row>
    <row r="5353" customFormat="false" ht="15" hidden="false" customHeight="false" outlineLevel="0" collapsed="false">
      <c r="A5353" s="0" t="s">
        <v>262</v>
      </c>
      <c r="B5353" s="52" t="n">
        <v>44124</v>
      </c>
      <c r="C5353" s="54" t="s">
        <v>590</v>
      </c>
      <c r="D5353" s="0" t="n">
        <v>0.683646069391979</v>
      </c>
      <c r="E5353" s="0" t="n">
        <v>0.0025848581276115</v>
      </c>
      <c r="F5353" s="0" t="n">
        <v>0</v>
      </c>
      <c r="G5353" s="0" t="n">
        <v>2020</v>
      </c>
    </row>
    <row r="5354" customFormat="false" ht="15" hidden="false" customHeight="false" outlineLevel="0" collapsed="false">
      <c r="A5354" s="0" t="s">
        <v>262</v>
      </c>
      <c r="B5354" s="52" t="n">
        <v>44124</v>
      </c>
      <c r="C5354" s="54" t="s">
        <v>591</v>
      </c>
      <c r="D5354" s="0" t="n">
        <v>0</v>
      </c>
      <c r="E5354" s="0" t="n">
        <v>0.0588910984825696</v>
      </c>
      <c r="F5354" s="0" t="n">
        <v>0</v>
      </c>
      <c r="G5354" s="0" t="n">
        <v>2020</v>
      </c>
    </row>
    <row r="5355" customFormat="false" ht="15" hidden="false" customHeight="false" outlineLevel="0" collapsed="false">
      <c r="A5355" s="0" t="s">
        <v>262</v>
      </c>
      <c r="B5355" s="52" t="n">
        <v>44124</v>
      </c>
      <c r="C5355" s="54" t="s">
        <v>592</v>
      </c>
      <c r="D5355" s="0" t="n">
        <v>0.152886749363564</v>
      </c>
      <c r="E5355" s="0" t="n">
        <v>0.0270100886069906</v>
      </c>
      <c r="F5355" s="0" t="n">
        <v>0</v>
      </c>
      <c r="G5355" s="0" t="n">
        <v>2020</v>
      </c>
    </row>
    <row r="5356" customFormat="false" ht="15" hidden="false" customHeight="false" outlineLevel="0" collapsed="false">
      <c r="A5356" s="0" t="s">
        <v>262</v>
      </c>
      <c r="B5356" s="52" t="n">
        <v>44125</v>
      </c>
      <c r="C5356" s="54" t="s">
        <v>590</v>
      </c>
      <c r="D5356" s="0" t="n">
        <v>0.132458584519499</v>
      </c>
      <c r="E5356" s="0" t="n">
        <v>0.0305308251774978</v>
      </c>
      <c r="F5356" s="0" t="n">
        <v>0</v>
      </c>
      <c r="G5356" s="0" t="n">
        <v>2020</v>
      </c>
    </row>
    <row r="5357" customFormat="false" ht="15" hidden="false" customHeight="false" outlineLevel="0" collapsed="false">
      <c r="A5357" s="0" t="s">
        <v>262</v>
      </c>
      <c r="B5357" s="52" t="n">
        <v>44125</v>
      </c>
      <c r="C5357" s="54" t="s">
        <v>591</v>
      </c>
      <c r="D5357" s="0" t="n">
        <v>0</v>
      </c>
      <c r="E5357" s="0" t="n">
        <v>0.0457166630230316</v>
      </c>
      <c r="F5357" s="0" t="n">
        <v>0</v>
      </c>
      <c r="G5357" s="0" t="n">
        <v>2020</v>
      </c>
    </row>
    <row r="5358" customFormat="false" ht="15" hidden="false" customHeight="false" outlineLevel="0" collapsed="false">
      <c r="A5358" s="0" t="s">
        <v>262</v>
      </c>
      <c r="B5358" s="52" t="n">
        <v>44125</v>
      </c>
      <c r="C5358" s="54" t="s">
        <v>592</v>
      </c>
      <c r="D5358" s="0" t="n">
        <v>0.266965806869133</v>
      </c>
      <c r="E5358" s="0" t="n">
        <v>0.0268647442384916</v>
      </c>
      <c r="F5358" s="0" t="n">
        <v>0</v>
      </c>
      <c r="G5358" s="0" t="n">
        <v>2020</v>
      </c>
    </row>
    <row r="5359" customFormat="false" ht="15" hidden="false" customHeight="false" outlineLevel="0" collapsed="false">
      <c r="A5359" s="0" t="s">
        <v>262</v>
      </c>
      <c r="B5359" s="52" t="n">
        <v>44126</v>
      </c>
      <c r="C5359" s="54" t="s">
        <v>590</v>
      </c>
      <c r="D5359" s="0" t="n">
        <v>0.304074061991202</v>
      </c>
      <c r="E5359" s="0" t="n">
        <v>0.0003623133428119</v>
      </c>
      <c r="F5359" s="0" t="n">
        <v>0</v>
      </c>
      <c r="G5359" s="0" t="n">
        <v>2020</v>
      </c>
    </row>
    <row r="5360" customFormat="false" ht="15" hidden="false" customHeight="false" outlineLevel="0" collapsed="false">
      <c r="A5360" s="0" t="s">
        <v>262</v>
      </c>
      <c r="B5360" s="52" t="n">
        <v>44126</v>
      </c>
      <c r="C5360" s="54" t="s">
        <v>591</v>
      </c>
      <c r="D5360" s="0" t="n">
        <v>0.0162492766187303</v>
      </c>
      <c r="E5360" s="0" t="n">
        <v>0.0109490390829206</v>
      </c>
      <c r="F5360" s="0" t="n">
        <v>0</v>
      </c>
      <c r="G5360" s="0" t="n">
        <v>2020</v>
      </c>
    </row>
    <row r="5361" customFormat="false" ht="15" hidden="false" customHeight="false" outlineLevel="0" collapsed="false">
      <c r="A5361" s="0" t="s">
        <v>262</v>
      </c>
      <c r="B5361" s="52" t="n">
        <v>44126</v>
      </c>
      <c r="C5361" s="54" t="s">
        <v>592</v>
      </c>
      <c r="D5361" s="0" t="n">
        <v>0.0616963007096064</v>
      </c>
      <c r="E5361" s="0" t="n">
        <v>0.0120970557610685</v>
      </c>
      <c r="F5361" s="0" t="n">
        <v>0</v>
      </c>
      <c r="G5361" s="0" t="n">
        <v>2020</v>
      </c>
    </row>
    <row r="5362" customFormat="false" ht="15" hidden="false" customHeight="false" outlineLevel="0" collapsed="false">
      <c r="A5362" s="0" t="s">
        <v>262</v>
      </c>
      <c r="B5362" s="52" t="n">
        <v>44127</v>
      </c>
      <c r="C5362" s="54" t="s">
        <v>590</v>
      </c>
      <c r="D5362" s="0" t="n">
        <v>0.616097620437437</v>
      </c>
      <c r="E5362" s="0" t="n">
        <v>0.0013570639827783</v>
      </c>
      <c r="F5362" s="0" t="n">
        <v>0</v>
      </c>
      <c r="G5362" s="0" t="n">
        <v>2020</v>
      </c>
    </row>
    <row r="5363" customFormat="false" ht="15" hidden="false" customHeight="false" outlineLevel="0" collapsed="false">
      <c r="A5363" s="0" t="s">
        <v>262</v>
      </c>
      <c r="B5363" s="52" t="n">
        <v>44127</v>
      </c>
      <c r="C5363" s="54" t="s">
        <v>591</v>
      </c>
      <c r="D5363" s="0" t="n">
        <v>0.0336541075257674</v>
      </c>
      <c r="E5363" s="0" t="n">
        <v>0.0155037841957996</v>
      </c>
      <c r="F5363" s="0" t="n">
        <v>0</v>
      </c>
      <c r="G5363" s="0" t="n">
        <v>2020</v>
      </c>
    </row>
    <row r="5364" customFormat="false" ht="15" hidden="false" customHeight="false" outlineLevel="0" collapsed="false">
      <c r="A5364" s="0" t="s">
        <v>262</v>
      </c>
      <c r="B5364" s="52" t="n">
        <v>44127</v>
      </c>
      <c r="C5364" s="54" t="s">
        <v>592</v>
      </c>
      <c r="D5364" s="0" t="n">
        <v>0.0080656989193902</v>
      </c>
      <c r="E5364" s="0" t="n">
        <v>0.0088758802719736</v>
      </c>
      <c r="F5364" s="0" t="n">
        <v>0</v>
      </c>
      <c r="G5364" s="0" t="n">
        <v>2020</v>
      </c>
    </row>
    <row r="5365" customFormat="false" ht="15" hidden="false" customHeight="false" outlineLevel="0" collapsed="false">
      <c r="A5365" s="0" t="s">
        <v>262</v>
      </c>
      <c r="B5365" s="52" t="n">
        <v>44128</v>
      </c>
      <c r="C5365" s="54" t="s">
        <v>590</v>
      </c>
      <c r="D5365" s="0" t="n">
        <v>0.385568303937294</v>
      </c>
      <c r="E5365" s="0" t="n">
        <v>0.0012484414412403</v>
      </c>
      <c r="F5365" s="0" t="n">
        <v>1</v>
      </c>
      <c r="G5365" s="0" t="n">
        <v>2020</v>
      </c>
    </row>
    <row r="5366" customFormat="false" ht="15" hidden="false" customHeight="false" outlineLevel="0" collapsed="false">
      <c r="A5366" s="0" t="s">
        <v>262</v>
      </c>
      <c r="B5366" s="52" t="n">
        <v>44128</v>
      </c>
      <c r="C5366" s="54" t="s">
        <v>591</v>
      </c>
      <c r="D5366" s="0" t="n">
        <v>0.124557849289664</v>
      </c>
      <c r="E5366" s="0" t="n">
        <v>0.0172060074724351</v>
      </c>
      <c r="F5366" s="0" t="n">
        <v>1</v>
      </c>
      <c r="G5366" s="0" t="n">
        <v>2020</v>
      </c>
    </row>
    <row r="5367" customFormat="false" ht="15" hidden="false" customHeight="false" outlineLevel="0" collapsed="false">
      <c r="A5367" s="0" t="s">
        <v>262</v>
      </c>
      <c r="B5367" s="52" t="n">
        <v>44128</v>
      </c>
      <c r="C5367" s="54" t="s">
        <v>592</v>
      </c>
      <c r="D5367" s="0" t="n">
        <v>0.702703216996732</v>
      </c>
      <c r="E5367" s="0" t="n">
        <v>0</v>
      </c>
      <c r="F5367" s="0" t="n">
        <v>1</v>
      </c>
      <c r="G5367" s="0" t="n">
        <v>2020</v>
      </c>
    </row>
    <row r="5368" customFormat="false" ht="15" hidden="false" customHeight="false" outlineLevel="0" collapsed="false">
      <c r="A5368" s="0" t="s">
        <v>262</v>
      </c>
      <c r="B5368" s="52" t="n">
        <v>44129</v>
      </c>
      <c r="C5368" s="54" t="s">
        <v>591</v>
      </c>
      <c r="D5368" s="0" t="n">
        <v>0.999041194312335</v>
      </c>
      <c r="E5368" s="0" t="n">
        <v>0</v>
      </c>
      <c r="F5368" s="0" t="n">
        <v>1</v>
      </c>
      <c r="G5368" s="0" t="n">
        <v>2020</v>
      </c>
    </row>
    <row r="5369" customFormat="false" ht="15" hidden="false" customHeight="false" outlineLevel="0" collapsed="false">
      <c r="A5369" s="0" t="s">
        <v>262</v>
      </c>
      <c r="B5369" s="52" t="n">
        <v>44129</v>
      </c>
      <c r="C5369" s="54" t="s">
        <v>592</v>
      </c>
      <c r="D5369" s="0" t="n">
        <v>0.0090723268473207</v>
      </c>
      <c r="E5369" s="0" t="n">
        <v>0.0006587886266814</v>
      </c>
      <c r="F5369" s="0" t="n">
        <v>1</v>
      </c>
      <c r="G5369" s="0" t="n">
        <v>2020</v>
      </c>
    </row>
    <row r="5370" customFormat="false" ht="15" hidden="false" customHeight="false" outlineLevel="0" collapsed="false">
      <c r="A5370" s="0" t="s">
        <v>262</v>
      </c>
      <c r="B5370" s="52" t="n">
        <v>44130</v>
      </c>
      <c r="C5370" s="54" t="s">
        <v>590</v>
      </c>
      <c r="D5370" s="0" t="n">
        <v>0.192202814490459</v>
      </c>
      <c r="E5370" s="0" t="n">
        <v>0.0317050859652596</v>
      </c>
      <c r="F5370" s="0" t="n">
        <v>0</v>
      </c>
      <c r="G5370" s="0" t="n">
        <v>2020</v>
      </c>
    </row>
    <row r="5371" customFormat="false" ht="15" hidden="false" customHeight="false" outlineLevel="0" collapsed="false">
      <c r="A5371" s="0" t="s">
        <v>262</v>
      </c>
      <c r="B5371" s="52" t="n">
        <v>44130</v>
      </c>
      <c r="C5371" s="54" t="s">
        <v>591</v>
      </c>
      <c r="D5371" s="0" t="n">
        <v>0.433655743281373</v>
      </c>
      <c r="E5371" s="0" t="n">
        <v>0.0071290759020422</v>
      </c>
      <c r="F5371" s="0" t="n">
        <v>0</v>
      </c>
      <c r="G5371" s="0" t="n">
        <v>2020</v>
      </c>
    </row>
    <row r="5372" customFormat="false" ht="15" hidden="false" customHeight="false" outlineLevel="0" collapsed="false">
      <c r="A5372" s="0" t="s">
        <v>262</v>
      </c>
      <c r="B5372" s="52" t="n">
        <v>44130</v>
      </c>
      <c r="C5372" s="54" t="s">
        <v>592</v>
      </c>
      <c r="D5372" s="0" t="n">
        <v>0.0645935532142652</v>
      </c>
      <c r="E5372" s="0" t="n">
        <v>0.018267846246047</v>
      </c>
      <c r="F5372" s="0" t="n">
        <v>0</v>
      </c>
      <c r="G5372" s="0" t="n">
        <v>2020</v>
      </c>
    </row>
    <row r="5373" customFormat="false" ht="15" hidden="false" customHeight="false" outlineLevel="0" collapsed="false">
      <c r="A5373" s="0" t="s">
        <v>262</v>
      </c>
      <c r="B5373" s="52" t="n">
        <v>44277</v>
      </c>
      <c r="C5373" s="54" t="s">
        <v>591</v>
      </c>
      <c r="D5373" s="0" t="n">
        <v>0.150155864708666</v>
      </c>
      <c r="E5373" s="0" t="n">
        <v>0.0363830869663565</v>
      </c>
      <c r="F5373" s="0" t="n">
        <v>0</v>
      </c>
      <c r="G5373" s="0" t="n">
        <v>2021</v>
      </c>
    </row>
    <row r="5374" customFormat="false" ht="15" hidden="false" customHeight="false" outlineLevel="0" collapsed="false">
      <c r="A5374" s="0" t="s">
        <v>262</v>
      </c>
      <c r="B5374" s="52" t="n">
        <v>44277</v>
      </c>
      <c r="C5374" s="54" t="s">
        <v>592</v>
      </c>
      <c r="D5374" s="0" t="n">
        <v>0</v>
      </c>
      <c r="E5374" s="0" t="n">
        <v>0.0420789943981796</v>
      </c>
      <c r="F5374" s="0" t="n">
        <v>0</v>
      </c>
      <c r="G5374" s="0" t="n">
        <v>2021</v>
      </c>
    </row>
    <row r="5375" customFormat="false" ht="15" hidden="false" customHeight="false" outlineLevel="0" collapsed="false">
      <c r="A5375" s="0" t="s">
        <v>262</v>
      </c>
      <c r="B5375" s="52" t="n">
        <v>44278</v>
      </c>
      <c r="C5375" s="54" t="s">
        <v>590</v>
      </c>
      <c r="D5375" s="0" t="n">
        <v>0.881490209235517</v>
      </c>
      <c r="E5375" s="0" t="n">
        <v>0</v>
      </c>
      <c r="F5375" s="0" t="n">
        <v>0</v>
      </c>
      <c r="G5375" s="0" t="n">
        <v>2021</v>
      </c>
    </row>
    <row r="5376" customFormat="false" ht="15" hidden="false" customHeight="false" outlineLevel="0" collapsed="false">
      <c r="A5376" s="0" t="s">
        <v>262</v>
      </c>
      <c r="B5376" s="52" t="n">
        <v>44278</v>
      </c>
      <c r="C5376" s="54" t="s">
        <v>591</v>
      </c>
      <c r="D5376" s="0" t="n">
        <v>0.139562779403301</v>
      </c>
      <c r="E5376" s="0" t="n">
        <v>0.0155935139131172</v>
      </c>
      <c r="F5376" s="0" t="n">
        <v>0</v>
      </c>
      <c r="G5376" s="0" t="n">
        <v>2021</v>
      </c>
    </row>
    <row r="5377" customFormat="false" ht="15" hidden="false" customHeight="false" outlineLevel="0" collapsed="false">
      <c r="A5377" s="0" t="s">
        <v>262</v>
      </c>
      <c r="B5377" s="52" t="n">
        <v>44278</v>
      </c>
      <c r="C5377" s="54" t="s">
        <v>592</v>
      </c>
      <c r="D5377" s="0" t="n">
        <v>0.0022476485127752</v>
      </c>
      <c r="E5377" s="0" t="n">
        <v>0.0423868154543878</v>
      </c>
      <c r="F5377" s="0" t="n">
        <v>0</v>
      </c>
      <c r="G5377" s="0" t="n">
        <v>2021</v>
      </c>
    </row>
    <row r="5378" customFormat="false" ht="15" hidden="false" customHeight="false" outlineLevel="0" collapsed="false">
      <c r="A5378" s="0" t="s">
        <v>262</v>
      </c>
      <c r="B5378" s="52" t="n">
        <v>44279</v>
      </c>
      <c r="C5378" s="54" t="s">
        <v>590</v>
      </c>
      <c r="D5378" s="0" t="n">
        <v>0.254606235598051</v>
      </c>
      <c r="E5378" s="0" t="n">
        <v>0.0300320370674763</v>
      </c>
      <c r="F5378" s="0" t="n">
        <v>0</v>
      </c>
      <c r="G5378" s="0" t="n">
        <v>2021</v>
      </c>
    </row>
    <row r="5379" customFormat="false" ht="15" hidden="false" customHeight="false" outlineLevel="0" collapsed="false">
      <c r="A5379" s="0" t="s">
        <v>262</v>
      </c>
      <c r="B5379" s="52" t="n">
        <v>44279</v>
      </c>
      <c r="C5379" s="54" t="s">
        <v>591</v>
      </c>
      <c r="D5379" s="0" t="n">
        <v>0.142918641276326</v>
      </c>
      <c r="E5379" s="0" t="n">
        <v>0.0463394668256825</v>
      </c>
      <c r="F5379" s="0" t="n">
        <v>0</v>
      </c>
      <c r="G5379" s="0" t="n">
        <v>2021</v>
      </c>
    </row>
    <row r="5380" customFormat="false" ht="15" hidden="false" customHeight="false" outlineLevel="0" collapsed="false">
      <c r="A5380" s="0" t="s">
        <v>262</v>
      </c>
      <c r="B5380" s="52" t="n">
        <v>44279</v>
      </c>
      <c r="C5380" s="54" t="s">
        <v>592</v>
      </c>
      <c r="D5380" s="0" t="n">
        <v>0</v>
      </c>
      <c r="E5380" s="0" t="n">
        <v>0.0984271690494167</v>
      </c>
      <c r="F5380" s="0" t="n">
        <v>0</v>
      </c>
      <c r="G5380" s="0" t="n">
        <v>2021</v>
      </c>
    </row>
    <row r="5381" customFormat="false" ht="15" hidden="false" customHeight="false" outlineLevel="0" collapsed="false">
      <c r="A5381" s="0" t="s">
        <v>262</v>
      </c>
      <c r="B5381" s="52" t="n">
        <v>44280</v>
      </c>
      <c r="C5381" s="54" t="s">
        <v>590</v>
      </c>
      <c r="D5381" s="0" t="n">
        <v>0.51976955609843</v>
      </c>
      <c r="E5381" s="0" t="n">
        <v>0.0158864474317294</v>
      </c>
      <c r="F5381" s="0" t="n">
        <v>0</v>
      </c>
      <c r="G5381" s="0" t="n">
        <v>2021</v>
      </c>
    </row>
    <row r="5382" customFormat="false" ht="15" hidden="false" customHeight="false" outlineLevel="0" collapsed="false">
      <c r="A5382" s="0" t="s">
        <v>262</v>
      </c>
      <c r="B5382" s="52" t="n">
        <v>44280</v>
      </c>
      <c r="C5382" s="54" t="s">
        <v>591</v>
      </c>
      <c r="D5382" s="0" t="n">
        <v>0.110311018636036</v>
      </c>
      <c r="E5382" s="0" t="n">
        <v>0.0266812601470637</v>
      </c>
      <c r="F5382" s="0" t="n">
        <v>0</v>
      </c>
      <c r="G5382" s="0" t="n">
        <v>2021</v>
      </c>
    </row>
    <row r="5383" customFormat="false" ht="15" hidden="false" customHeight="false" outlineLevel="0" collapsed="false">
      <c r="A5383" s="0" t="s">
        <v>262</v>
      </c>
      <c r="B5383" s="52" t="n">
        <v>44280</v>
      </c>
      <c r="C5383" s="54" t="s">
        <v>592</v>
      </c>
      <c r="D5383" s="0" t="n">
        <v>0.0543692944335594</v>
      </c>
      <c r="E5383" s="0" t="n">
        <v>0.102755379687231</v>
      </c>
      <c r="F5383" s="0" t="n">
        <v>0</v>
      </c>
      <c r="G5383" s="0" t="n">
        <v>2021</v>
      </c>
    </row>
    <row r="5384" customFormat="false" ht="15" hidden="false" customHeight="false" outlineLevel="0" collapsed="false">
      <c r="A5384" s="0" t="s">
        <v>262</v>
      </c>
      <c r="B5384" s="52" t="n">
        <v>44281</v>
      </c>
      <c r="C5384" s="54" t="s">
        <v>590</v>
      </c>
      <c r="D5384" s="0" t="n">
        <v>0.337338051683848</v>
      </c>
      <c r="E5384" s="0" t="n">
        <v>0.0292639630293302</v>
      </c>
      <c r="F5384" s="0" t="n">
        <v>0</v>
      </c>
      <c r="G5384" s="0" t="n">
        <v>2021</v>
      </c>
    </row>
    <row r="5385" customFormat="false" ht="15" hidden="false" customHeight="false" outlineLevel="0" collapsed="false">
      <c r="A5385" s="0" t="s">
        <v>262</v>
      </c>
      <c r="B5385" s="52" t="n">
        <v>44281</v>
      </c>
      <c r="C5385" s="54" t="s">
        <v>591</v>
      </c>
      <c r="D5385" s="0" t="n">
        <v>0.589507224646408</v>
      </c>
      <c r="E5385" s="0" t="n">
        <v>0.0488987182103146</v>
      </c>
      <c r="F5385" s="0" t="n">
        <v>0</v>
      </c>
      <c r="G5385" s="0" t="n">
        <v>2021</v>
      </c>
    </row>
    <row r="5386" customFormat="false" ht="15" hidden="false" customHeight="false" outlineLevel="0" collapsed="false">
      <c r="A5386" s="0" t="s">
        <v>262</v>
      </c>
      <c r="B5386" s="52" t="n">
        <v>44281</v>
      </c>
      <c r="C5386" s="54" t="s">
        <v>592</v>
      </c>
      <c r="D5386" s="0" t="n">
        <v>0.0638417472301999</v>
      </c>
      <c r="E5386" s="0" t="n">
        <v>0.0594315824858528</v>
      </c>
      <c r="F5386" s="0" t="n">
        <v>0</v>
      </c>
      <c r="G5386" s="0" t="n">
        <v>2021</v>
      </c>
    </row>
    <row r="5387" customFormat="false" ht="15" hidden="false" customHeight="false" outlineLevel="0" collapsed="false">
      <c r="A5387" s="0" t="s">
        <v>262</v>
      </c>
      <c r="B5387" s="52" t="n">
        <v>44282</v>
      </c>
      <c r="C5387" s="54" t="s">
        <v>590</v>
      </c>
      <c r="D5387" s="0" t="n">
        <v>0.0525246221847101</v>
      </c>
      <c r="E5387" s="0" t="n">
        <v>0.0585986757427751</v>
      </c>
      <c r="F5387" s="0" t="n">
        <v>1</v>
      </c>
      <c r="G5387" s="0" t="n">
        <v>2021</v>
      </c>
    </row>
    <row r="5388" customFormat="false" ht="15" hidden="false" customHeight="false" outlineLevel="0" collapsed="false">
      <c r="A5388" s="0" t="s">
        <v>262</v>
      </c>
      <c r="B5388" s="52" t="n">
        <v>44282</v>
      </c>
      <c r="C5388" s="54" t="s">
        <v>591</v>
      </c>
      <c r="D5388" s="0" t="n">
        <v>0.810391561189646</v>
      </c>
      <c r="E5388" s="0" t="n">
        <v>0.0173928018673838</v>
      </c>
      <c r="F5388" s="0" t="n">
        <v>1</v>
      </c>
      <c r="G5388" s="0" t="n">
        <v>2021</v>
      </c>
    </row>
    <row r="5389" customFormat="false" ht="15" hidden="false" customHeight="false" outlineLevel="0" collapsed="false">
      <c r="A5389" s="0" t="s">
        <v>262</v>
      </c>
      <c r="B5389" s="52" t="n">
        <v>44283</v>
      </c>
      <c r="C5389" s="54" t="s">
        <v>590</v>
      </c>
      <c r="D5389" s="0" t="n">
        <v>1</v>
      </c>
      <c r="E5389" s="0" t="n">
        <v>0</v>
      </c>
      <c r="F5389" s="0" t="n">
        <v>1</v>
      </c>
      <c r="G5389" s="0" t="n">
        <v>2021</v>
      </c>
    </row>
    <row r="5390" customFormat="false" ht="15" hidden="false" customHeight="false" outlineLevel="0" collapsed="false">
      <c r="A5390" s="0" t="s">
        <v>262</v>
      </c>
      <c r="B5390" s="52" t="n">
        <v>44283</v>
      </c>
      <c r="C5390" s="54" t="s">
        <v>591</v>
      </c>
      <c r="D5390" s="0" t="n">
        <v>0.101146118770452</v>
      </c>
      <c r="E5390" s="0" t="n">
        <v>0.0303515905799045</v>
      </c>
      <c r="F5390" s="0" t="n">
        <v>1</v>
      </c>
      <c r="G5390" s="0" t="n">
        <v>2021</v>
      </c>
    </row>
    <row r="5391" customFormat="false" ht="15" hidden="false" customHeight="false" outlineLevel="0" collapsed="false">
      <c r="A5391" s="0" t="s">
        <v>262</v>
      </c>
      <c r="B5391" s="52" t="n">
        <v>44283</v>
      </c>
      <c r="C5391" s="54" t="s">
        <v>592</v>
      </c>
      <c r="D5391" s="0" t="n">
        <v>0.187426405431196</v>
      </c>
      <c r="E5391" s="0" t="n">
        <v>0.0089596613835301</v>
      </c>
      <c r="F5391" s="0" t="n">
        <v>1</v>
      </c>
      <c r="G5391" s="0" t="n">
        <v>2021</v>
      </c>
    </row>
    <row r="5392" customFormat="false" ht="15" hidden="false" customHeight="false" outlineLevel="0" collapsed="false">
      <c r="A5392" s="0" t="s">
        <v>262</v>
      </c>
      <c r="B5392" s="52" t="n">
        <v>44284</v>
      </c>
      <c r="C5392" s="54" t="s">
        <v>590</v>
      </c>
      <c r="D5392" s="0" t="n">
        <v>0.92831614604614</v>
      </c>
      <c r="E5392" s="0" t="n">
        <v>0.0066019190461899</v>
      </c>
      <c r="F5392" s="0" t="n">
        <v>0</v>
      </c>
      <c r="G5392" s="0" t="n">
        <v>2021</v>
      </c>
    </row>
    <row r="5393" customFormat="false" ht="15" hidden="false" customHeight="false" outlineLevel="0" collapsed="false">
      <c r="A5393" s="0" t="s">
        <v>262</v>
      </c>
      <c r="B5393" s="52" t="n">
        <v>44284</v>
      </c>
      <c r="C5393" s="54" t="s">
        <v>591</v>
      </c>
      <c r="D5393" s="0" t="n">
        <v>0.0550800171775628</v>
      </c>
      <c r="E5393" s="0" t="n">
        <v>0.0729510479291102</v>
      </c>
      <c r="F5393" s="0" t="n">
        <v>0</v>
      </c>
      <c r="G5393" s="0" t="n">
        <v>2021</v>
      </c>
    </row>
    <row r="5394" customFormat="false" ht="15" hidden="false" customHeight="false" outlineLevel="0" collapsed="false">
      <c r="A5394" s="0" t="s">
        <v>262</v>
      </c>
      <c r="B5394" s="52" t="n">
        <v>44284</v>
      </c>
      <c r="C5394" s="54" t="s">
        <v>592</v>
      </c>
      <c r="D5394" s="0" t="n">
        <v>0.0162637010974046</v>
      </c>
      <c r="E5394" s="0" t="n">
        <v>0.0118474651591688</v>
      </c>
      <c r="F5394" s="0" t="n">
        <v>0</v>
      </c>
      <c r="G5394" s="0" t="n">
        <v>2021</v>
      </c>
    </row>
    <row r="5395" customFormat="false" ht="15" hidden="false" customHeight="false" outlineLevel="0" collapsed="false">
      <c r="A5395" s="0" t="s">
        <v>262</v>
      </c>
      <c r="B5395" s="52" t="n">
        <v>44285</v>
      </c>
      <c r="C5395" s="54" t="s">
        <v>590</v>
      </c>
      <c r="D5395" s="0" t="n">
        <v>0.845426641477312</v>
      </c>
      <c r="E5395" s="0" t="n">
        <v>0.0067632671394369</v>
      </c>
      <c r="F5395" s="0" t="n">
        <v>0</v>
      </c>
      <c r="G5395" s="0" t="n">
        <v>2021</v>
      </c>
    </row>
    <row r="5396" customFormat="false" ht="15" hidden="false" customHeight="false" outlineLevel="0" collapsed="false">
      <c r="A5396" s="0" t="s">
        <v>262</v>
      </c>
      <c r="B5396" s="52" t="n">
        <v>44285</v>
      </c>
      <c r="C5396" s="54" t="s">
        <v>591</v>
      </c>
      <c r="D5396" s="0" t="n">
        <v>0.243578245036653</v>
      </c>
      <c r="E5396" s="0" t="n">
        <v>0.0373595044279702</v>
      </c>
      <c r="F5396" s="0" t="n">
        <v>0</v>
      </c>
      <c r="G5396" s="0" t="n">
        <v>2021</v>
      </c>
    </row>
    <row r="5397" customFormat="false" ht="15" hidden="false" customHeight="false" outlineLevel="0" collapsed="false">
      <c r="A5397" s="0" t="s">
        <v>262</v>
      </c>
      <c r="B5397" s="52" t="n">
        <v>44285</v>
      </c>
      <c r="C5397" s="54" t="s">
        <v>592</v>
      </c>
      <c r="D5397" s="0" t="n">
        <v>0.0385710361296758</v>
      </c>
      <c r="E5397" s="0" t="n">
        <v>0.0181015154175581</v>
      </c>
      <c r="F5397" s="0" t="n">
        <v>0</v>
      </c>
      <c r="G5397" s="0" t="n">
        <v>2021</v>
      </c>
    </row>
    <row r="5398" customFormat="false" ht="15" hidden="false" customHeight="false" outlineLevel="0" collapsed="false">
      <c r="A5398" s="0" t="s">
        <v>262</v>
      </c>
      <c r="B5398" s="52" t="n">
        <v>44286</v>
      </c>
      <c r="C5398" s="54" t="s">
        <v>590</v>
      </c>
      <c r="D5398" s="0" t="n">
        <v>0.163769865497474</v>
      </c>
      <c r="E5398" s="0" t="n">
        <v>0.004285267936496</v>
      </c>
      <c r="F5398" s="0" t="n">
        <v>0</v>
      </c>
      <c r="G5398" s="0" t="n">
        <v>2021</v>
      </c>
    </row>
    <row r="5399" customFormat="false" ht="15" hidden="false" customHeight="false" outlineLevel="0" collapsed="false">
      <c r="A5399" s="0" t="s">
        <v>262</v>
      </c>
      <c r="B5399" s="52" t="n">
        <v>44286</v>
      </c>
      <c r="C5399" s="54" t="s">
        <v>591</v>
      </c>
      <c r="D5399" s="0" t="n">
        <v>0.97803746793605</v>
      </c>
      <c r="E5399" s="0" t="n">
        <v>0</v>
      </c>
      <c r="F5399" s="0" t="n">
        <v>0</v>
      </c>
      <c r="G5399" s="0" t="n">
        <v>2021</v>
      </c>
    </row>
    <row r="5400" customFormat="false" ht="15" hidden="false" customHeight="false" outlineLevel="0" collapsed="false">
      <c r="A5400" s="0" t="s">
        <v>262</v>
      </c>
      <c r="B5400" s="52" t="n">
        <v>44286</v>
      </c>
      <c r="C5400" s="54" t="s">
        <v>592</v>
      </c>
      <c r="D5400" s="0" t="n">
        <v>0.563510372892295</v>
      </c>
      <c r="E5400" s="0" t="n">
        <v>0</v>
      </c>
      <c r="F5400" s="0" t="n">
        <v>0</v>
      </c>
      <c r="G5400" s="0" t="n">
        <v>2021</v>
      </c>
    </row>
    <row r="5401" customFormat="false" ht="15" hidden="false" customHeight="false" outlineLevel="0" collapsed="false">
      <c r="A5401" s="0" t="s">
        <v>262</v>
      </c>
      <c r="B5401" s="52" t="n">
        <v>44287</v>
      </c>
      <c r="C5401" s="54" t="s">
        <v>590</v>
      </c>
      <c r="D5401" s="0" t="n">
        <v>0</v>
      </c>
      <c r="E5401" s="0" t="n">
        <v>0.0478615821294402</v>
      </c>
      <c r="F5401" s="0" t="n">
        <v>0</v>
      </c>
      <c r="G5401" s="0" t="n">
        <v>2021</v>
      </c>
    </row>
    <row r="5402" customFormat="false" ht="15" hidden="false" customHeight="false" outlineLevel="0" collapsed="false">
      <c r="A5402" s="0" t="s">
        <v>262</v>
      </c>
      <c r="B5402" s="52" t="n">
        <v>44287</v>
      </c>
      <c r="C5402" s="54" t="s">
        <v>591</v>
      </c>
      <c r="D5402" s="0" t="n">
        <v>0.0742894410962628</v>
      </c>
      <c r="E5402" s="0" t="n">
        <v>0.0459999424252005</v>
      </c>
      <c r="F5402" s="0" t="n">
        <v>0</v>
      </c>
      <c r="G5402" s="0" t="n">
        <v>2021</v>
      </c>
    </row>
    <row r="5403" customFormat="false" ht="15" hidden="false" customHeight="false" outlineLevel="0" collapsed="false">
      <c r="A5403" s="0" t="s">
        <v>262</v>
      </c>
      <c r="B5403" s="52" t="n">
        <v>44287</v>
      </c>
      <c r="C5403" s="54" t="s">
        <v>592</v>
      </c>
      <c r="D5403" s="0" t="n">
        <v>0.34797567037349</v>
      </c>
      <c r="E5403" s="0" t="n">
        <v>0.100795100491788</v>
      </c>
      <c r="F5403" s="0" t="n">
        <v>0</v>
      </c>
      <c r="G5403" s="0" t="n">
        <v>2021</v>
      </c>
    </row>
    <row r="5404" customFormat="false" ht="15" hidden="false" customHeight="false" outlineLevel="0" collapsed="false">
      <c r="A5404" s="0" t="s">
        <v>262</v>
      </c>
      <c r="B5404" s="52" t="n">
        <v>44288</v>
      </c>
      <c r="C5404" s="54" t="s">
        <v>590</v>
      </c>
      <c r="D5404" s="0" t="n">
        <v>0.328278426977937</v>
      </c>
      <c r="E5404" s="0" t="n">
        <v>0.0327616196710284</v>
      </c>
      <c r="F5404" s="0" t="n">
        <v>0</v>
      </c>
      <c r="G5404" s="0" t="n">
        <v>2021</v>
      </c>
    </row>
    <row r="5405" customFormat="false" ht="15" hidden="false" customHeight="false" outlineLevel="0" collapsed="false">
      <c r="A5405" s="0" t="s">
        <v>262</v>
      </c>
      <c r="B5405" s="52" t="n">
        <v>44288</v>
      </c>
      <c r="C5405" s="54" t="s">
        <v>591</v>
      </c>
      <c r="D5405" s="0" t="n">
        <v>0.0604314788172019</v>
      </c>
      <c r="E5405" s="0" t="n">
        <v>0.0147693413507433</v>
      </c>
      <c r="F5405" s="0" t="n">
        <v>0</v>
      </c>
      <c r="G5405" s="0" t="n">
        <v>2021</v>
      </c>
    </row>
    <row r="5406" customFormat="false" ht="15" hidden="false" customHeight="false" outlineLevel="0" collapsed="false">
      <c r="A5406" s="0" t="s">
        <v>262</v>
      </c>
      <c r="B5406" s="52" t="n">
        <v>44288</v>
      </c>
      <c r="C5406" s="54" t="s">
        <v>592</v>
      </c>
      <c r="D5406" s="0" t="n">
        <v>0.19351983174436</v>
      </c>
      <c r="E5406" s="0" t="n">
        <v>0.0144322099060184</v>
      </c>
      <c r="F5406" s="0" t="n">
        <v>0</v>
      </c>
      <c r="G5406" s="0" t="n">
        <v>2021</v>
      </c>
    </row>
    <row r="5407" customFormat="false" ht="15" hidden="false" customHeight="false" outlineLevel="0" collapsed="false">
      <c r="A5407" s="0" t="s">
        <v>262</v>
      </c>
      <c r="B5407" s="52" t="n">
        <v>44289</v>
      </c>
      <c r="C5407" s="54" t="s">
        <v>590</v>
      </c>
      <c r="D5407" s="0" t="n">
        <v>0.259678058486339</v>
      </c>
      <c r="E5407" s="0" t="n">
        <v>0.0262404745542672</v>
      </c>
      <c r="F5407" s="0" t="n">
        <v>1</v>
      </c>
      <c r="G5407" s="0" t="n">
        <v>2021</v>
      </c>
    </row>
    <row r="5408" customFormat="false" ht="15" hidden="false" customHeight="false" outlineLevel="0" collapsed="false">
      <c r="A5408" s="0" t="s">
        <v>262</v>
      </c>
      <c r="B5408" s="52" t="n">
        <v>44289</v>
      </c>
      <c r="C5408" s="54" t="s">
        <v>591</v>
      </c>
      <c r="D5408" s="0" t="n">
        <v>0.119467644981885</v>
      </c>
      <c r="E5408" s="0" t="n">
        <v>0.0460007993631411</v>
      </c>
      <c r="F5408" s="0" t="n">
        <v>1</v>
      </c>
      <c r="G5408" s="0" t="n">
        <v>2021</v>
      </c>
    </row>
    <row r="5409" customFormat="false" ht="15" hidden="false" customHeight="false" outlineLevel="0" collapsed="false">
      <c r="A5409" s="0" t="s">
        <v>262</v>
      </c>
      <c r="B5409" s="52" t="n">
        <v>44289</v>
      </c>
      <c r="C5409" s="54" t="s">
        <v>592</v>
      </c>
      <c r="D5409" s="0" t="n">
        <v>1</v>
      </c>
      <c r="E5409" s="0" t="n">
        <v>0</v>
      </c>
      <c r="F5409" s="0" t="n">
        <v>1</v>
      </c>
      <c r="G5409" s="0" t="n">
        <v>2021</v>
      </c>
    </row>
    <row r="5410" customFormat="false" ht="15" hidden="false" customHeight="false" outlineLevel="0" collapsed="false">
      <c r="A5410" s="0" t="s">
        <v>262</v>
      </c>
      <c r="B5410" s="52" t="n">
        <v>44290</v>
      </c>
      <c r="C5410" s="54" t="s">
        <v>591</v>
      </c>
      <c r="D5410" s="0" t="n">
        <v>0.926645301364879</v>
      </c>
      <c r="E5410" s="0" t="n">
        <v>0</v>
      </c>
      <c r="F5410" s="0" t="n">
        <v>1</v>
      </c>
      <c r="G5410" s="0" t="n">
        <v>2021</v>
      </c>
    </row>
    <row r="5411" customFormat="false" ht="15" hidden="false" customHeight="false" outlineLevel="0" collapsed="false">
      <c r="A5411" s="0" t="s">
        <v>262</v>
      </c>
      <c r="B5411" s="52" t="n">
        <v>44290</v>
      </c>
      <c r="C5411" s="54" t="s">
        <v>592</v>
      </c>
      <c r="D5411" s="0" t="n">
        <v>0.040379111038334</v>
      </c>
      <c r="E5411" s="0" t="n">
        <v>0.0104521185004725</v>
      </c>
      <c r="F5411" s="0" t="n">
        <v>1</v>
      </c>
      <c r="G5411" s="0" t="n">
        <v>2021</v>
      </c>
    </row>
    <row r="5412" customFormat="false" ht="15" hidden="false" customHeight="false" outlineLevel="0" collapsed="false">
      <c r="A5412" s="0" t="s">
        <v>262</v>
      </c>
      <c r="B5412" s="52" t="n">
        <v>44291</v>
      </c>
      <c r="C5412" s="54" t="s">
        <v>590</v>
      </c>
      <c r="D5412" s="0" t="n">
        <v>0.0253334572324218</v>
      </c>
      <c r="E5412" s="0" t="n">
        <v>0.0124127552138729</v>
      </c>
      <c r="F5412" s="0" t="n">
        <v>0</v>
      </c>
      <c r="G5412" s="0" t="n">
        <v>2021</v>
      </c>
    </row>
    <row r="5413" customFormat="false" ht="15" hidden="false" customHeight="false" outlineLevel="0" collapsed="false">
      <c r="A5413" s="0" t="s">
        <v>262</v>
      </c>
      <c r="B5413" s="52" t="n">
        <v>44291</v>
      </c>
      <c r="C5413" s="54" t="s">
        <v>591</v>
      </c>
      <c r="D5413" s="0" t="n">
        <v>0.637975190590747</v>
      </c>
      <c r="E5413" s="0" t="n">
        <v>0.0070255686533059</v>
      </c>
      <c r="F5413" s="0" t="n">
        <v>0</v>
      </c>
      <c r="G5413" s="0" t="n">
        <v>2021</v>
      </c>
    </row>
    <row r="5414" customFormat="false" ht="15" hidden="false" customHeight="false" outlineLevel="0" collapsed="false">
      <c r="A5414" s="0" t="s">
        <v>262</v>
      </c>
      <c r="B5414" s="52" t="n">
        <v>44291</v>
      </c>
      <c r="C5414" s="54" t="s">
        <v>592</v>
      </c>
      <c r="D5414" s="0" t="n">
        <v>0.111630898304617</v>
      </c>
      <c r="E5414" s="0" t="n">
        <v>0.0455614130129493</v>
      </c>
      <c r="F5414" s="0" t="n">
        <v>0</v>
      </c>
      <c r="G5414" s="0" t="n">
        <v>2021</v>
      </c>
    </row>
    <row r="5415" customFormat="false" ht="15" hidden="false" customHeight="false" outlineLevel="0" collapsed="false">
      <c r="A5415" s="0" t="s">
        <v>262</v>
      </c>
      <c r="B5415" s="52" t="n">
        <v>44292</v>
      </c>
      <c r="C5415" s="54" t="s">
        <v>590</v>
      </c>
      <c r="D5415" s="0" t="n">
        <v>0.045569101900165</v>
      </c>
      <c r="E5415" s="0" t="n">
        <v>0.0104525244533622</v>
      </c>
      <c r="F5415" s="0" t="n">
        <v>0</v>
      </c>
      <c r="G5415" s="0" t="n">
        <v>2021</v>
      </c>
    </row>
    <row r="5416" customFormat="false" ht="15" hidden="false" customHeight="false" outlineLevel="0" collapsed="false">
      <c r="A5416" s="0" t="s">
        <v>262</v>
      </c>
      <c r="B5416" s="52" t="n">
        <v>44292</v>
      </c>
      <c r="C5416" s="54" t="s">
        <v>591</v>
      </c>
      <c r="D5416" s="0" t="n">
        <v>0.260392629053794</v>
      </c>
      <c r="E5416" s="0" t="n">
        <v>0.150443185835441</v>
      </c>
      <c r="F5416" s="0" t="n">
        <v>0</v>
      </c>
      <c r="G5416" s="0" t="n">
        <v>2021</v>
      </c>
    </row>
    <row r="5417" customFormat="false" ht="15" hidden="false" customHeight="false" outlineLevel="0" collapsed="false">
      <c r="A5417" s="0" t="s">
        <v>262</v>
      </c>
      <c r="B5417" s="52" t="n">
        <v>44292</v>
      </c>
      <c r="C5417" s="54" t="s">
        <v>592</v>
      </c>
      <c r="D5417" s="0" t="n">
        <v>0.172172131993275</v>
      </c>
      <c r="E5417" s="0" t="n">
        <v>0.0649077758861343</v>
      </c>
      <c r="F5417" s="0" t="n">
        <v>0</v>
      </c>
      <c r="G5417" s="0" t="n">
        <v>2021</v>
      </c>
    </row>
    <row r="5418" customFormat="false" ht="15" hidden="false" customHeight="false" outlineLevel="0" collapsed="false">
      <c r="A5418" s="0" t="s">
        <v>262</v>
      </c>
      <c r="B5418" s="52" t="n">
        <v>44293</v>
      </c>
      <c r="C5418" s="54" t="s">
        <v>590</v>
      </c>
      <c r="D5418" s="0" t="n">
        <v>0</v>
      </c>
      <c r="E5418" s="0" t="n">
        <v>0.0693315109250106</v>
      </c>
      <c r="F5418" s="0" t="n">
        <v>0</v>
      </c>
      <c r="G5418" s="0" t="n">
        <v>2021</v>
      </c>
    </row>
    <row r="5419" customFormat="false" ht="15" hidden="false" customHeight="false" outlineLevel="0" collapsed="false">
      <c r="A5419" s="0" t="s">
        <v>262</v>
      </c>
      <c r="B5419" s="52" t="n">
        <v>44293</v>
      </c>
      <c r="C5419" s="54" t="s">
        <v>591</v>
      </c>
      <c r="D5419" s="0" t="n">
        <v>0.597265981589206</v>
      </c>
      <c r="E5419" s="0" t="n">
        <v>0.0433113140505308</v>
      </c>
      <c r="F5419" s="0" t="n">
        <v>0</v>
      </c>
      <c r="G5419" s="0" t="n">
        <v>2021</v>
      </c>
    </row>
    <row r="5420" customFormat="false" ht="15" hidden="false" customHeight="false" outlineLevel="0" collapsed="false">
      <c r="A5420" s="0" t="s">
        <v>262</v>
      </c>
      <c r="B5420" s="52" t="n">
        <v>44293</v>
      </c>
      <c r="C5420" s="54" t="s">
        <v>592</v>
      </c>
      <c r="D5420" s="0" t="n">
        <v>0.0280213851272289</v>
      </c>
      <c r="E5420" s="0" t="n">
        <v>0.0140874843880508</v>
      </c>
      <c r="F5420" s="0" t="n">
        <v>0</v>
      </c>
      <c r="G5420" s="0" t="n">
        <v>2021</v>
      </c>
    </row>
    <row r="5421" customFormat="false" ht="15" hidden="false" customHeight="false" outlineLevel="0" collapsed="false">
      <c r="A5421" s="0" t="s">
        <v>262</v>
      </c>
      <c r="B5421" s="52" t="n">
        <v>44294</v>
      </c>
      <c r="C5421" s="54" t="s">
        <v>590</v>
      </c>
      <c r="D5421" s="0" t="n">
        <v>0.624762590674943</v>
      </c>
      <c r="E5421" s="0" t="n">
        <v>0.0026527023591386</v>
      </c>
      <c r="F5421" s="0" t="n">
        <v>0</v>
      </c>
      <c r="G5421" s="0" t="n">
        <v>2021</v>
      </c>
    </row>
    <row r="5422" customFormat="false" ht="15" hidden="false" customHeight="false" outlineLevel="0" collapsed="false">
      <c r="A5422" s="0" t="s">
        <v>262</v>
      </c>
      <c r="B5422" s="52" t="n">
        <v>44294</v>
      </c>
      <c r="C5422" s="54" t="s">
        <v>591</v>
      </c>
      <c r="D5422" s="0" t="n">
        <v>0.275055062339784</v>
      </c>
      <c r="E5422" s="0" t="n">
        <v>0.0364306160037636</v>
      </c>
      <c r="F5422" s="0" t="n">
        <v>0</v>
      </c>
      <c r="G5422" s="0" t="n">
        <v>2021</v>
      </c>
    </row>
    <row r="5423" customFormat="false" ht="15" hidden="false" customHeight="false" outlineLevel="0" collapsed="false">
      <c r="A5423" s="0" t="s">
        <v>262</v>
      </c>
      <c r="B5423" s="52" t="n">
        <v>44294</v>
      </c>
      <c r="C5423" s="54" t="s">
        <v>592</v>
      </c>
      <c r="D5423" s="0" t="n">
        <v>0.183391128379188</v>
      </c>
      <c r="E5423" s="0" t="n">
        <v>0.0226411619146502</v>
      </c>
      <c r="F5423" s="0" t="n">
        <v>0</v>
      </c>
      <c r="G5423" s="0" t="n">
        <v>2021</v>
      </c>
    </row>
    <row r="5424" customFormat="false" ht="15" hidden="false" customHeight="false" outlineLevel="0" collapsed="false">
      <c r="A5424" s="0" t="s">
        <v>262</v>
      </c>
      <c r="B5424" s="52" t="n">
        <v>44295</v>
      </c>
      <c r="C5424" s="54" t="s">
        <v>590</v>
      </c>
      <c r="D5424" s="0" t="n">
        <v>1</v>
      </c>
      <c r="E5424" s="0" t="n">
        <v>0</v>
      </c>
      <c r="F5424" s="0" t="n">
        <v>0</v>
      </c>
      <c r="G5424" s="0" t="n">
        <v>2021</v>
      </c>
    </row>
    <row r="5425" customFormat="false" ht="15" hidden="false" customHeight="false" outlineLevel="0" collapsed="false">
      <c r="A5425" s="0" t="s">
        <v>262</v>
      </c>
      <c r="B5425" s="52" t="n">
        <v>44295</v>
      </c>
      <c r="C5425" s="54" t="s">
        <v>591</v>
      </c>
      <c r="D5425" s="0" t="n">
        <v>0.217091339087395</v>
      </c>
      <c r="E5425" s="0" t="n">
        <v>0.0460993883669049</v>
      </c>
      <c r="F5425" s="0" t="n">
        <v>0</v>
      </c>
      <c r="G5425" s="0" t="n">
        <v>2021</v>
      </c>
    </row>
    <row r="5426" customFormat="false" ht="15" hidden="false" customHeight="false" outlineLevel="0" collapsed="false">
      <c r="A5426" s="0" t="s">
        <v>262</v>
      </c>
      <c r="B5426" s="52" t="n">
        <v>44295</v>
      </c>
      <c r="C5426" s="54" t="s">
        <v>592</v>
      </c>
      <c r="D5426" s="0" t="n">
        <v>0.14390267737714</v>
      </c>
      <c r="E5426" s="0" t="n">
        <v>0.0205393771304435</v>
      </c>
      <c r="F5426" s="0" t="n">
        <v>0</v>
      </c>
      <c r="G5426" s="0" t="n">
        <v>2021</v>
      </c>
    </row>
    <row r="5427" customFormat="false" ht="15" hidden="false" customHeight="false" outlineLevel="0" collapsed="false">
      <c r="A5427" s="0" t="s">
        <v>262</v>
      </c>
      <c r="B5427" s="52" t="n">
        <v>44296</v>
      </c>
      <c r="C5427" s="54" t="s">
        <v>590</v>
      </c>
      <c r="D5427" s="0" t="n">
        <v>0.994209585876733</v>
      </c>
      <c r="E5427" s="0" t="n">
        <v>0</v>
      </c>
      <c r="F5427" s="0" t="n">
        <v>1</v>
      </c>
      <c r="G5427" s="0" t="n">
        <v>2021</v>
      </c>
    </row>
    <row r="5428" customFormat="false" ht="15" hidden="false" customHeight="false" outlineLevel="0" collapsed="false">
      <c r="A5428" s="0" t="s">
        <v>262</v>
      </c>
      <c r="B5428" s="52" t="n">
        <v>44296</v>
      </c>
      <c r="C5428" s="54" t="s">
        <v>592</v>
      </c>
      <c r="D5428" s="0" t="n">
        <v>0.997350862700283</v>
      </c>
      <c r="E5428" s="0" t="n">
        <v>0</v>
      </c>
      <c r="F5428" s="0" t="n">
        <v>1</v>
      </c>
      <c r="G5428" s="0" t="n">
        <v>2021</v>
      </c>
    </row>
    <row r="5429" customFormat="false" ht="15" hidden="false" customHeight="false" outlineLevel="0" collapsed="false">
      <c r="A5429" s="0" t="s">
        <v>262</v>
      </c>
      <c r="B5429" s="52" t="n">
        <v>44297</v>
      </c>
      <c r="C5429" s="54" t="s">
        <v>590</v>
      </c>
      <c r="D5429" s="0" t="n">
        <v>0.881324007665689</v>
      </c>
      <c r="E5429" s="0" t="n">
        <v>0</v>
      </c>
      <c r="F5429" s="0" t="n">
        <v>1</v>
      </c>
      <c r="G5429" s="0" t="n">
        <v>2021</v>
      </c>
    </row>
    <row r="5430" customFormat="false" ht="15" hidden="false" customHeight="false" outlineLevel="0" collapsed="false">
      <c r="A5430" s="0" t="s">
        <v>262</v>
      </c>
      <c r="B5430" s="52" t="n">
        <v>44297</v>
      </c>
      <c r="C5430" s="54" t="s">
        <v>591</v>
      </c>
      <c r="D5430" s="0" t="n">
        <v>0.0293486263728237</v>
      </c>
      <c r="E5430" s="0" t="n">
        <v>0.0661292725896882</v>
      </c>
      <c r="F5430" s="0" t="n">
        <v>1</v>
      </c>
      <c r="G5430" s="0" t="n">
        <v>2021</v>
      </c>
    </row>
    <row r="5431" customFormat="false" ht="15" hidden="false" customHeight="false" outlineLevel="0" collapsed="false">
      <c r="A5431" s="0" t="s">
        <v>262</v>
      </c>
      <c r="B5431" s="52" t="n">
        <v>44297</v>
      </c>
      <c r="C5431" s="54" t="s">
        <v>592</v>
      </c>
      <c r="D5431" s="0" t="n">
        <v>0.0013485034385987</v>
      </c>
      <c r="E5431" s="0" t="n">
        <v>0.0482642987577269</v>
      </c>
      <c r="F5431" s="0" t="n">
        <v>1</v>
      </c>
      <c r="G5431" s="0" t="n">
        <v>2021</v>
      </c>
    </row>
    <row r="5432" customFormat="false" ht="15" hidden="false" customHeight="false" outlineLevel="0" collapsed="false">
      <c r="A5432" s="0" t="s">
        <v>262</v>
      </c>
      <c r="B5432" s="52" t="n">
        <v>44298</v>
      </c>
      <c r="C5432" s="54" t="s">
        <v>590</v>
      </c>
      <c r="D5432" s="0" t="n">
        <v>0.690537132426053</v>
      </c>
      <c r="E5432" s="0" t="n">
        <v>0.0640214032656907</v>
      </c>
      <c r="F5432" s="0" t="n">
        <v>0</v>
      </c>
      <c r="G5432" s="0" t="n">
        <v>2021</v>
      </c>
    </row>
    <row r="5433" customFormat="false" ht="15" hidden="false" customHeight="false" outlineLevel="0" collapsed="false">
      <c r="A5433" s="0" t="s">
        <v>262</v>
      </c>
      <c r="B5433" s="52" t="n">
        <v>44298</v>
      </c>
      <c r="C5433" s="54" t="s">
        <v>591</v>
      </c>
      <c r="D5433" s="0" t="n">
        <v>0.0278531506241968</v>
      </c>
      <c r="E5433" s="0" t="n">
        <v>0.0817504034313195</v>
      </c>
      <c r="F5433" s="0" t="n">
        <v>0</v>
      </c>
      <c r="G5433" s="0" t="n">
        <v>2021</v>
      </c>
    </row>
    <row r="5434" customFormat="false" ht="15" hidden="false" customHeight="false" outlineLevel="0" collapsed="false">
      <c r="A5434" s="0" t="s">
        <v>262</v>
      </c>
      <c r="B5434" s="52" t="n">
        <v>44298</v>
      </c>
      <c r="C5434" s="54" t="s">
        <v>592</v>
      </c>
      <c r="D5434" s="0" t="n">
        <v>0.0002663018977928</v>
      </c>
      <c r="E5434" s="0" t="n">
        <v>0.114313765148564</v>
      </c>
      <c r="F5434" s="0" t="n">
        <v>0</v>
      </c>
      <c r="G5434" s="0" t="n">
        <v>2021</v>
      </c>
    </row>
    <row r="5435" customFormat="false" ht="15" hidden="false" customHeight="false" outlineLevel="0" collapsed="false">
      <c r="A5435" s="0" t="s">
        <v>262</v>
      </c>
      <c r="B5435" s="52" t="n">
        <v>44299</v>
      </c>
      <c r="C5435" s="54" t="s">
        <v>590</v>
      </c>
      <c r="D5435" s="0" t="n">
        <v>0.33322694783236</v>
      </c>
      <c r="E5435" s="0" t="n">
        <v>0.0393049733941245</v>
      </c>
      <c r="F5435" s="0" t="n">
        <v>0</v>
      </c>
      <c r="G5435" s="0" t="n">
        <v>2021</v>
      </c>
    </row>
    <row r="5436" customFormat="false" ht="15" hidden="false" customHeight="false" outlineLevel="0" collapsed="false">
      <c r="A5436" s="0" t="s">
        <v>262</v>
      </c>
      <c r="B5436" s="52" t="n">
        <v>44299</v>
      </c>
      <c r="C5436" s="54" t="s">
        <v>591</v>
      </c>
      <c r="D5436" s="0" t="n">
        <v>0.230514313842801</v>
      </c>
      <c r="E5436" s="0" t="n">
        <v>0.0238252963509327</v>
      </c>
      <c r="F5436" s="0" t="n">
        <v>0</v>
      </c>
      <c r="G5436" s="0" t="n">
        <v>2021</v>
      </c>
    </row>
    <row r="5437" customFormat="false" ht="15" hidden="false" customHeight="false" outlineLevel="0" collapsed="false">
      <c r="A5437" s="0" t="s">
        <v>262</v>
      </c>
      <c r="B5437" s="52" t="n">
        <v>44299</v>
      </c>
      <c r="C5437" s="54" t="s">
        <v>592</v>
      </c>
      <c r="D5437" s="0" t="n">
        <v>0.0277081198852422</v>
      </c>
      <c r="E5437" s="0" t="n">
        <v>0.0102878445891367</v>
      </c>
      <c r="F5437" s="0" t="n">
        <v>0</v>
      </c>
      <c r="G5437" s="0" t="n">
        <v>2021</v>
      </c>
    </row>
    <row r="5438" customFormat="false" ht="15" hidden="false" customHeight="false" outlineLevel="0" collapsed="false">
      <c r="A5438" s="0" t="s">
        <v>262</v>
      </c>
      <c r="B5438" s="52" t="n">
        <v>44300</v>
      </c>
      <c r="C5438" s="54" t="s">
        <v>590</v>
      </c>
      <c r="D5438" s="0" t="n">
        <v>0.350856963856859</v>
      </c>
      <c r="E5438" s="0" t="n">
        <v>0.0509459451571667</v>
      </c>
      <c r="F5438" s="0" t="n">
        <v>0</v>
      </c>
      <c r="G5438" s="0" t="n">
        <v>2021</v>
      </c>
    </row>
    <row r="5439" customFormat="false" ht="15" hidden="false" customHeight="false" outlineLevel="0" collapsed="false">
      <c r="A5439" s="0" t="s">
        <v>262</v>
      </c>
      <c r="B5439" s="52" t="n">
        <v>44300</v>
      </c>
      <c r="C5439" s="54" t="s">
        <v>591</v>
      </c>
      <c r="D5439" s="0" t="n">
        <v>0.281352506268605</v>
      </c>
      <c r="E5439" s="0" t="n">
        <v>0.0619725608131994</v>
      </c>
      <c r="F5439" s="0" t="n">
        <v>0</v>
      </c>
      <c r="G5439" s="0" t="n">
        <v>2021</v>
      </c>
    </row>
    <row r="5440" customFormat="false" ht="15" hidden="false" customHeight="false" outlineLevel="0" collapsed="false">
      <c r="A5440" s="0" t="s">
        <v>262</v>
      </c>
      <c r="B5440" s="52" t="n">
        <v>44300</v>
      </c>
      <c r="C5440" s="54" t="s">
        <v>592</v>
      </c>
      <c r="D5440" s="0" t="n">
        <v>0.0056658310733771</v>
      </c>
      <c r="E5440" s="0" t="n">
        <v>0.031811611542938</v>
      </c>
      <c r="F5440" s="0" t="n">
        <v>0</v>
      </c>
      <c r="G5440" s="0" t="n">
        <v>2021</v>
      </c>
    </row>
    <row r="5441" customFormat="false" ht="15" hidden="false" customHeight="false" outlineLevel="0" collapsed="false">
      <c r="A5441" s="0" t="s">
        <v>262</v>
      </c>
      <c r="B5441" s="52" t="n">
        <v>44301</v>
      </c>
      <c r="C5441" s="54" t="s">
        <v>590</v>
      </c>
      <c r="D5441" s="0" t="n">
        <v>0.96231774571095</v>
      </c>
      <c r="E5441" s="0" t="n">
        <v>0.0219739162345987</v>
      </c>
      <c r="F5441" s="0" t="n">
        <v>0</v>
      </c>
      <c r="G5441" s="0" t="n">
        <v>2021</v>
      </c>
    </row>
    <row r="5442" customFormat="false" ht="15" hidden="false" customHeight="false" outlineLevel="0" collapsed="false">
      <c r="A5442" s="0" t="s">
        <v>262</v>
      </c>
      <c r="B5442" s="52" t="n">
        <v>44301</v>
      </c>
      <c r="C5442" s="54" t="s">
        <v>591</v>
      </c>
      <c r="D5442" s="0" t="n">
        <v>0.955620038581542</v>
      </c>
      <c r="E5442" s="0" t="n">
        <v>0</v>
      </c>
      <c r="F5442" s="0" t="n">
        <v>0</v>
      </c>
      <c r="G5442" s="0" t="n">
        <v>2021</v>
      </c>
    </row>
    <row r="5443" customFormat="false" ht="15" hidden="false" customHeight="false" outlineLevel="0" collapsed="false">
      <c r="A5443" s="0" t="s">
        <v>262</v>
      </c>
      <c r="B5443" s="52" t="n">
        <v>44301</v>
      </c>
      <c r="C5443" s="54" t="s">
        <v>592</v>
      </c>
      <c r="D5443" s="0" t="n">
        <v>0.418979031268845</v>
      </c>
      <c r="E5443" s="0" t="n">
        <v>0.0093541659446913</v>
      </c>
      <c r="F5443" s="0" t="n">
        <v>0</v>
      </c>
      <c r="G5443" s="0" t="n">
        <v>2021</v>
      </c>
    </row>
    <row r="5444" customFormat="false" ht="15" hidden="false" customHeight="false" outlineLevel="0" collapsed="false">
      <c r="A5444" s="0" t="s">
        <v>262</v>
      </c>
      <c r="B5444" s="52" t="n">
        <v>44302</v>
      </c>
      <c r="C5444" s="54" t="s">
        <v>590</v>
      </c>
      <c r="D5444" s="0" t="n">
        <v>0.164390797325921</v>
      </c>
      <c r="E5444" s="0" t="n">
        <v>0.0603371110082022</v>
      </c>
      <c r="F5444" s="0" t="n">
        <v>0</v>
      </c>
      <c r="G5444" s="0" t="n">
        <v>2021</v>
      </c>
    </row>
    <row r="5445" customFormat="false" ht="15" hidden="false" customHeight="false" outlineLevel="0" collapsed="false">
      <c r="A5445" s="0" t="s">
        <v>262</v>
      </c>
      <c r="B5445" s="52" t="n">
        <v>44302</v>
      </c>
      <c r="C5445" s="54" t="s">
        <v>591</v>
      </c>
      <c r="D5445" s="0" t="n">
        <v>1</v>
      </c>
      <c r="E5445" s="0" t="n">
        <v>0</v>
      </c>
      <c r="F5445" s="0" t="n">
        <v>0</v>
      </c>
      <c r="G5445" s="0" t="n">
        <v>2021</v>
      </c>
    </row>
    <row r="5446" customFormat="false" ht="15" hidden="false" customHeight="false" outlineLevel="0" collapsed="false">
      <c r="A5446" s="0" t="s">
        <v>262</v>
      </c>
      <c r="B5446" s="52" t="n">
        <v>44302</v>
      </c>
      <c r="C5446" s="54" t="s">
        <v>592</v>
      </c>
      <c r="D5446" s="0" t="n">
        <v>0.346448700647351</v>
      </c>
      <c r="E5446" s="0" t="n">
        <v>0.0471225807107711</v>
      </c>
      <c r="F5446" s="0" t="n">
        <v>0</v>
      </c>
      <c r="G5446" s="0" t="n">
        <v>2021</v>
      </c>
    </row>
    <row r="5447" customFormat="false" ht="15" hidden="false" customHeight="false" outlineLevel="0" collapsed="false">
      <c r="A5447" s="0" t="s">
        <v>262</v>
      </c>
      <c r="B5447" s="52" t="n">
        <v>44303</v>
      </c>
      <c r="C5447" s="54" t="s">
        <v>590</v>
      </c>
      <c r="D5447" s="0" t="n">
        <v>0.0292051289611854</v>
      </c>
      <c r="E5447" s="0" t="n">
        <v>0.0343173079335125</v>
      </c>
      <c r="F5447" s="0" t="n">
        <v>1</v>
      </c>
      <c r="G5447" s="0" t="n">
        <v>2021</v>
      </c>
    </row>
    <row r="5448" customFormat="false" ht="15" hidden="false" customHeight="false" outlineLevel="0" collapsed="false">
      <c r="A5448" s="0" t="s">
        <v>262</v>
      </c>
      <c r="B5448" s="52" t="n">
        <v>44303</v>
      </c>
      <c r="C5448" s="54" t="s">
        <v>591</v>
      </c>
      <c r="D5448" s="0" t="n">
        <v>0.99099278838149</v>
      </c>
      <c r="E5448" s="0" t="n">
        <v>0</v>
      </c>
      <c r="F5448" s="0" t="n">
        <v>1</v>
      </c>
      <c r="G5448" s="0" t="n">
        <v>2021</v>
      </c>
    </row>
    <row r="5449" customFormat="false" ht="15" hidden="false" customHeight="false" outlineLevel="0" collapsed="false">
      <c r="A5449" s="0" t="s">
        <v>262</v>
      </c>
      <c r="B5449" s="52" t="n">
        <v>44303</v>
      </c>
      <c r="C5449" s="54" t="s">
        <v>592</v>
      </c>
      <c r="D5449" s="0" t="n">
        <v>0.959152379181986</v>
      </c>
      <c r="E5449" s="0" t="n">
        <v>0</v>
      </c>
      <c r="F5449" s="0" t="n">
        <v>1</v>
      </c>
      <c r="G5449" s="0" t="n">
        <v>2021</v>
      </c>
    </row>
    <row r="5450" customFormat="false" ht="15" hidden="false" customHeight="false" outlineLevel="0" collapsed="false">
      <c r="A5450" s="0" t="s">
        <v>262</v>
      </c>
      <c r="B5450" s="52" t="n">
        <v>44304</v>
      </c>
      <c r="C5450" s="54" t="s">
        <v>590</v>
      </c>
      <c r="D5450" s="0" t="n">
        <v>1</v>
      </c>
      <c r="E5450" s="0" t="n">
        <v>0</v>
      </c>
      <c r="F5450" s="0" t="n">
        <v>1</v>
      </c>
      <c r="G5450" s="0" t="n">
        <v>2021</v>
      </c>
    </row>
    <row r="5451" customFormat="false" ht="15" hidden="false" customHeight="false" outlineLevel="0" collapsed="false">
      <c r="A5451" s="0" t="s">
        <v>262</v>
      </c>
      <c r="B5451" s="52" t="n">
        <v>44304</v>
      </c>
      <c r="C5451" s="54" t="s">
        <v>591</v>
      </c>
      <c r="D5451" s="0" t="n">
        <v>0.122909737778352</v>
      </c>
      <c r="E5451" s="0" t="n">
        <v>0.0024431213908163</v>
      </c>
      <c r="F5451" s="0" t="n">
        <v>1</v>
      </c>
      <c r="G5451" s="0" t="n">
        <v>2021</v>
      </c>
    </row>
    <row r="5452" customFormat="false" ht="15" hidden="false" customHeight="false" outlineLevel="0" collapsed="false">
      <c r="A5452" s="0" t="s">
        <v>262</v>
      </c>
      <c r="B5452" s="52" t="n">
        <v>44304</v>
      </c>
      <c r="C5452" s="54" t="s">
        <v>592</v>
      </c>
      <c r="D5452" s="0" t="n">
        <v>0.0540075145959442</v>
      </c>
      <c r="E5452" s="0" t="n">
        <v>0.0305526509077666</v>
      </c>
      <c r="F5452" s="0" t="n">
        <v>1</v>
      </c>
      <c r="G5452" s="0" t="n">
        <v>2021</v>
      </c>
    </row>
    <row r="5453" customFormat="false" ht="15" hidden="false" customHeight="false" outlineLevel="0" collapsed="false">
      <c r="A5453" s="0" t="s">
        <v>262</v>
      </c>
      <c r="B5453" s="52" t="n">
        <v>44305</v>
      </c>
      <c r="C5453" s="54" t="s">
        <v>590</v>
      </c>
      <c r="D5453" s="0" t="n">
        <v>0.342275728855962</v>
      </c>
      <c r="E5453" s="0" t="n">
        <v>0.0171827880316249</v>
      </c>
      <c r="F5453" s="0" t="n">
        <v>0</v>
      </c>
      <c r="G5453" s="0" t="n">
        <v>2021</v>
      </c>
    </row>
    <row r="5454" customFormat="false" ht="15" hidden="false" customHeight="false" outlineLevel="0" collapsed="false">
      <c r="A5454" s="0" t="s">
        <v>262</v>
      </c>
      <c r="B5454" s="52" t="n">
        <v>44305</v>
      </c>
      <c r="C5454" s="54" t="s">
        <v>591</v>
      </c>
      <c r="D5454" s="0" t="n">
        <v>0.201040650386852</v>
      </c>
      <c r="E5454" s="0" t="n">
        <v>0.0035097250141328</v>
      </c>
      <c r="F5454" s="0" t="n">
        <v>0</v>
      </c>
      <c r="G5454" s="0" t="n">
        <v>2021</v>
      </c>
    </row>
    <row r="5455" customFormat="false" ht="15" hidden="false" customHeight="false" outlineLevel="0" collapsed="false">
      <c r="A5455" s="0" t="s">
        <v>262</v>
      </c>
      <c r="B5455" s="52" t="n">
        <v>44305</v>
      </c>
      <c r="C5455" s="54" t="s">
        <v>592</v>
      </c>
      <c r="D5455" s="0" t="n">
        <v>0.0239827070762433</v>
      </c>
      <c r="E5455" s="0" t="n">
        <v>0.0513343015898408</v>
      </c>
      <c r="F5455" s="0" t="n">
        <v>0</v>
      </c>
      <c r="G5455" s="0" t="n">
        <v>2021</v>
      </c>
    </row>
    <row r="5456" customFormat="false" ht="15" hidden="false" customHeight="false" outlineLevel="0" collapsed="false">
      <c r="A5456" s="0" t="s">
        <v>262</v>
      </c>
      <c r="B5456" s="52" t="n">
        <v>44306</v>
      </c>
      <c r="C5456" s="54" t="s">
        <v>590</v>
      </c>
      <c r="D5456" s="0" t="n">
        <v>0.269334933631893</v>
      </c>
      <c r="E5456" s="0" t="n">
        <v>0.0164254911340893</v>
      </c>
      <c r="F5456" s="0" t="n">
        <v>0</v>
      </c>
      <c r="G5456" s="0" t="n">
        <v>2021</v>
      </c>
    </row>
    <row r="5457" customFormat="false" ht="15" hidden="false" customHeight="false" outlineLevel="0" collapsed="false">
      <c r="A5457" s="0" t="s">
        <v>262</v>
      </c>
      <c r="B5457" s="52" t="n">
        <v>44306</v>
      </c>
      <c r="C5457" s="54" t="s">
        <v>591</v>
      </c>
      <c r="D5457" s="0" t="n">
        <v>0.236095455123669</v>
      </c>
      <c r="E5457" s="0" t="n">
        <v>0.0227627956777543</v>
      </c>
      <c r="F5457" s="0" t="n">
        <v>0</v>
      </c>
      <c r="G5457" s="0" t="n">
        <v>2021</v>
      </c>
    </row>
    <row r="5458" customFormat="false" ht="15" hidden="false" customHeight="false" outlineLevel="0" collapsed="false">
      <c r="A5458" s="0" t="s">
        <v>262</v>
      </c>
      <c r="B5458" s="52" t="n">
        <v>44306</v>
      </c>
      <c r="C5458" s="54" t="s">
        <v>592</v>
      </c>
      <c r="D5458" s="0" t="n">
        <v>0.0022731911430481</v>
      </c>
      <c r="E5458" s="0" t="n">
        <v>0.0271335433693332</v>
      </c>
      <c r="F5458" s="0" t="n">
        <v>0</v>
      </c>
      <c r="G5458" s="0" t="n">
        <v>2021</v>
      </c>
    </row>
    <row r="5459" customFormat="false" ht="15" hidden="false" customHeight="false" outlineLevel="0" collapsed="false">
      <c r="A5459" s="0" t="s">
        <v>262</v>
      </c>
      <c r="B5459" s="52" t="n">
        <v>44307</v>
      </c>
      <c r="C5459" s="54" t="s">
        <v>590</v>
      </c>
      <c r="D5459" s="0" t="n">
        <v>0.620830724720815</v>
      </c>
      <c r="E5459" s="0" t="n">
        <v>0</v>
      </c>
      <c r="F5459" s="0" t="n">
        <v>0</v>
      </c>
      <c r="G5459" s="0" t="n">
        <v>2021</v>
      </c>
    </row>
    <row r="5460" customFormat="false" ht="15" hidden="false" customHeight="false" outlineLevel="0" collapsed="false">
      <c r="A5460" s="0" t="s">
        <v>262</v>
      </c>
      <c r="B5460" s="52" t="n">
        <v>44307</v>
      </c>
      <c r="C5460" s="54" t="s">
        <v>591</v>
      </c>
      <c r="D5460" s="0" t="n">
        <v>0.263259381576637</v>
      </c>
      <c r="E5460" s="0" t="n">
        <v>0.0243953439238404</v>
      </c>
      <c r="F5460" s="0" t="n">
        <v>0</v>
      </c>
      <c r="G5460" s="0" t="n">
        <v>2021</v>
      </c>
    </row>
    <row r="5461" customFormat="false" ht="15" hidden="false" customHeight="false" outlineLevel="0" collapsed="false">
      <c r="A5461" s="0" t="s">
        <v>262</v>
      </c>
      <c r="B5461" s="52" t="n">
        <v>44307</v>
      </c>
      <c r="C5461" s="54" t="s">
        <v>592</v>
      </c>
      <c r="D5461" s="0" t="n">
        <v>0.0244226907536372</v>
      </c>
      <c r="E5461" s="0" t="n">
        <v>0.0194633725621084</v>
      </c>
      <c r="F5461" s="0" t="n">
        <v>0</v>
      </c>
      <c r="G5461" s="0" t="n">
        <v>2021</v>
      </c>
    </row>
    <row r="5462" customFormat="false" ht="15" hidden="false" customHeight="false" outlineLevel="0" collapsed="false">
      <c r="A5462" s="0" t="s">
        <v>262</v>
      </c>
      <c r="B5462" s="52" t="n">
        <v>44308</v>
      </c>
      <c r="C5462" s="54" t="s">
        <v>590</v>
      </c>
      <c r="D5462" s="0" t="n">
        <v>0.18260234940699</v>
      </c>
      <c r="E5462" s="0" t="n">
        <v>0.0197195638425081</v>
      </c>
      <c r="F5462" s="0" t="n">
        <v>0</v>
      </c>
      <c r="G5462" s="0" t="n">
        <v>2021</v>
      </c>
    </row>
    <row r="5463" customFormat="false" ht="15" hidden="false" customHeight="false" outlineLevel="0" collapsed="false">
      <c r="A5463" s="0" t="s">
        <v>262</v>
      </c>
      <c r="B5463" s="52" t="n">
        <v>44308</v>
      </c>
      <c r="C5463" s="54" t="s">
        <v>591</v>
      </c>
      <c r="D5463" s="0" t="n">
        <v>0.266158112902257</v>
      </c>
      <c r="E5463" s="0" t="n">
        <v>0</v>
      </c>
      <c r="F5463" s="0" t="n">
        <v>0</v>
      </c>
      <c r="G5463" s="0" t="n">
        <v>2021</v>
      </c>
    </row>
    <row r="5464" customFormat="false" ht="15" hidden="false" customHeight="false" outlineLevel="0" collapsed="false">
      <c r="A5464" s="0" t="s">
        <v>262</v>
      </c>
      <c r="B5464" s="52" t="n">
        <v>44308</v>
      </c>
      <c r="C5464" s="54" t="s">
        <v>592</v>
      </c>
      <c r="D5464" s="0" t="n">
        <v>0.0177919299517069</v>
      </c>
      <c r="E5464" s="0" t="n">
        <v>0.0292656813199928</v>
      </c>
      <c r="F5464" s="0" t="n">
        <v>0</v>
      </c>
      <c r="G5464" s="0" t="n">
        <v>2021</v>
      </c>
    </row>
    <row r="5465" customFormat="false" ht="15" hidden="false" customHeight="false" outlineLevel="0" collapsed="false">
      <c r="A5465" s="0" t="s">
        <v>262</v>
      </c>
      <c r="B5465" s="52" t="n">
        <v>44309</v>
      </c>
      <c r="C5465" s="54" t="s">
        <v>590</v>
      </c>
      <c r="D5465" s="0" t="n">
        <v>0.850476023362141</v>
      </c>
      <c r="E5465" s="0" t="n">
        <v>0.022420665121969</v>
      </c>
      <c r="F5465" s="0" t="n">
        <v>0</v>
      </c>
      <c r="G5465" s="0" t="n">
        <v>2021</v>
      </c>
    </row>
    <row r="5466" customFormat="false" ht="15" hidden="false" customHeight="false" outlineLevel="0" collapsed="false">
      <c r="A5466" s="0" t="s">
        <v>262</v>
      </c>
      <c r="B5466" s="52" t="n">
        <v>44309</v>
      </c>
      <c r="C5466" s="54" t="s">
        <v>591</v>
      </c>
      <c r="D5466" s="0" t="n">
        <v>0.521032024238519</v>
      </c>
      <c r="E5466" s="0" t="n">
        <v>0.0223508729365296</v>
      </c>
      <c r="F5466" s="0" t="n">
        <v>0</v>
      </c>
      <c r="G5466" s="0" t="n">
        <v>2021</v>
      </c>
    </row>
    <row r="5467" customFormat="false" ht="15" hidden="false" customHeight="false" outlineLevel="0" collapsed="false">
      <c r="A5467" s="0" t="s">
        <v>262</v>
      </c>
      <c r="B5467" s="52" t="n">
        <v>44309</v>
      </c>
      <c r="C5467" s="54" t="s">
        <v>592</v>
      </c>
      <c r="D5467" s="0" t="n">
        <v>0.0324316757329924</v>
      </c>
      <c r="E5467" s="0" t="n">
        <v>0.0169593794711269</v>
      </c>
      <c r="F5467" s="0" t="n">
        <v>0</v>
      </c>
      <c r="G5467" s="0" t="n">
        <v>2021</v>
      </c>
    </row>
    <row r="5468" customFormat="false" ht="15" hidden="false" customHeight="false" outlineLevel="0" collapsed="false">
      <c r="A5468" s="0" t="s">
        <v>262</v>
      </c>
      <c r="B5468" s="52" t="n">
        <v>44310</v>
      </c>
      <c r="C5468" s="54" t="s">
        <v>590</v>
      </c>
      <c r="D5468" s="0" t="n">
        <v>0.0413153185782279</v>
      </c>
      <c r="E5468" s="0" t="n">
        <v>0.0656655661223682</v>
      </c>
      <c r="F5468" s="0" t="n">
        <v>1</v>
      </c>
      <c r="G5468" s="0" t="n">
        <v>2021</v>
      </c>
    </row>
    <row r="5469" customFormat="false" ht="15" hidden="false" customHeight="false" outlineLevel="0" collapsed="false">
      <c r="A5469" s="0" t="s">
        <v>262</v>
      </c>
      <c r="B5469" s="52" t="n">
        <v>44310</v>
      </c>
      <c r="C5469" s="54" t="s">
        <v>591</v>
      </c>
      <c r="D5469" s="0" t="n">
        <v>0.308033865510706</v>
      </c>
      <c r="E5469" s="0" t="n">
        <v>0.079458559378017</v>
      </c>
      <c r="F5469" s="0" t="n">
        <v>1</v>
      </c>
      <c r="G5469" s="0" t="n">
        <v>2021</v>
      </c>
    </row>
    <row r="5470" customFormat="false" ht="15" hidden="false" customHeight="false" outlineLevel="0" collapsed="false">
      <c r="A5470" s="0" t="s">
        <v>262</v>
      </c>
      <c r="B5470" s="52" t="n">
        <v>44310</v>
      </c>
      <c r="C5470" s="54" t="s">
        <v>592</v>
      </c>
      <c r="D5470" s="0" t="n">
        <v>0.913316564584725</v>
      </c>
      <c r="E5470" s="0" t="n">
        <v>0</v>
      </c>
      <c r="F5470" s="0" t="n">
        <v>1</v>
      </c>
      <c r="G5470" s="0" t="n">
        <v>2021</v>
      </c>
    </row>
    <row r="5471" customFormat="false" ht="15" hidden="false" customHeight="false" outlineLevel="0" collapsed="false">
      <c r="A5471" s="0" t="s">
        <v>262</v>
      </c>
      <c r="B5471" s="52" t="n">
        <v>44311</v>
      </c>
      <c r="C5471" s="54" t="s">
        <v>590</v>
      </c>
      <c r="D5471" s="0" t="n">
        <v>1</v>
      </c>
      <c r="E5471" s="0" t="n">
        <v>0</v>
      </c>
      <c r="F5471" s="0" t="n">
        <v>1</v>
      </c>
      <c r="G5471" s="0" t="n">
        <v>2021</v>
      </c>
    </row>
    <row r="5472" customFormat="false" ht="15" hidden="false" customHeight="false" outlineLevel="0" collapsed="false">
      <c r="A5472" s="0" t="s">
        <v>262</v>
      </c>
      <c r="B5472" s="52" t="n">
        <v>44311</v>
      </c>
      <c r="C5472" s="54" t="s">
        <v>591</v>
      </c>
      <c r="D5472" s="0" t="n">
        <v>0.10685433370009</v>
      </c>
      <c r="E5472" s="0" t="n">
        <v>0.0606022380061641</v>
      </c>
      <c r="F5472" s="0" t="n">
        <v>1</v>
      </c>
      <c r="G5472" s="0" t="n">
        <v>2021</v>
      </c>
    </row>
    <row r="5473" customFormat="false" ht="15" hidden="false" customHeight="false" outlineLevel="0" collapsed="false">
      <c r="A5473" s="0" t="s">
        <v>262</v>
      </c>
      <c r="B5473" s="52" t="n">
        <v>44311</v>
      </c>
      <c r="C5473" s="54" t="s">
        <v>592</v>
      </c>
      <c r="D5473" s="0" t="n">
        <v>0.0136020736804628</v>
      </c>
      <c r="E5473" s="0" t="n">
        <v>0.0126248454239538</v>
      </c>
      <c r="F5473" s="0" t="n">
        <v>1</v>
      </c>
      <c r="G5473" s="0" t="n">
        <v>2021</v>
      </c>
    </row>
    <row r="5474" customFormat="false" ht="15" hidden="false" customHeight="false" outlineLevel="0" collapsed="false">
      <c r="A5474" s="0" t="s">
        <v>262</v>
      </c>
      <c r="B5474" s="52" t="n">
        <v>44312</v>
      </c>
      <c r="C5474" s="54" t="s">
        <v>590</v>
      </c>
      <c r="D5474" s="0" t="n">
        <v>0.248534377215394</v>
      </c>
      <c r="E5474" s="0" t="n">
        <v>0.0411180365483959</v>
      </c>
      <c r="F5474" s="0" t="n">
        <v>0</v>
      </c>
      <c r="G5474" s="0" t="n">
        <v>2021</v>
      </c>
    </row>
    <row r="5475" customFormat="false" ht="15" hidden="false" customHeight="false" outlineLevel="0" collapsed="false">
      <c r="A5475" s="0" t="s">
        <v>262</v>
      </c>
      <c r="B5475" s="52" t="n">
        <v>44312</v>
      </c>
      <c r="C5475" s="54" t="s">
        <v>591</v>
      </c>
      <c r="D5475" s="0" t="n">
        <v>0.218325299358968</v>
      </c>
      <c r="E5475" s="0" t="n">
        <v>0.0394464713695333</v>
      </c>
      <c r="F5475" s="0" t="n">
        <v>0</v>
      </c>
      <c r="G5475" s="0" t="n">
        <v>2021</v>
      </c>
    </row>
    <row r="5476" customFormat="false" ht="15" hidden="false" customHeight="false" outlineLevel="0" collapsed="false">
      <c r="A5476" s="0" t="s">
        <v>262</v>
      </c>
      <c r="B5476" s="52" t="n">
        <v>44312</v>
      </c>
      <c r="C5476" s="54" t="s">
        <v>592</v>
      </c>
      <c r="D5476" s="0" t="n">
        <v>0.0529490565385047</v>
      </c>
      <c r="E5476" s="0" t="n">
        <v>0.0149547660755218</v>
      </c>
      <c r="F5476" s="0" t="n">
        <v>0</v>
      </c>
      <c r="G5476" s="0" t="n">
        <v>2021</v>
      </c>
    </row>
    <row r="5477" customFormat="false" ht="15" hidden="false" customHeight="false" outlineLevel="0" collapsed="false">
      <c r="A5477" s="0" t="s">
        <v>262</v>
      </c>
      <c r="B5477" s="52" t="n">
        <v>44313</v>
      </c>
      <c r="C5477" s="54" t="s">
        <v>590</v>
      </c>
      <c r="D5477" s="0" t="n">
        <v>0.111683395761546</v>
      </c>
      <c r="E5477" s="0" t="n">
        <v>0.104553771049346</v>
      </c>
      <c r="F5477" s="0" t="n">
        <v>0</v>
      </c>
      <c r="G5477" s="0" t="n">
        <v>2021</v>
      </c>
    </row>
    <row r="5478" customFormat="false" ht="15" hidden="false" customHeight="false" outlineLevel="0" collapsed="false">
      <c r="A5478" s="0" t="s">
        <v>262</v>
      </c>
      <c r="B5478" s="52" t="n">
        <v>44313</v>
      </c>
      <c r="C5478" s="54" t="s">
        <v>591</v>
      </c>
      <c r="D5478" s="0" t="n">
        <v>0.443024601427729</v>
      </c>
      <c r="E5478" s="0" t="n">
        <v>0.0404434973570895</v>
      </c>
      <c r="F5478" s="0" t="n">
        <v>0</v>
      </c>
      <c r="G5478" s="0" t="n">
        <v>2021</v>
      </c>
    </row>
    <row r="5479" customFormat="false" ht="15" hidden="false" customHeight="false" outlineLevel="0" collapsed="false">
      <c r="A5479" s="0" t="s">
        <v>262</v>
      </c>
      <c r="B5479" s="52" t="n">
        <v>44313</v>
      </c>
      <c r="C5479" s="54" t="s">
        <v>592</v>
      </c>
      <c r="D5479" s="0" t="n">
        <v>0.127304608222472</v>
      </c>
      <c r="E5479" s="0" t="n">
        <v>0.0344724493597492</v>
      </c>
      <c r="F5479" s="0" t="n">
        <v>0</v>
      </c>
      <c r="G5479" s="0" t="n">
        <v>2021</v>
      </c>
    </row>
    <row r="5480" customFormat="false" ht="15" hidden="false" customHeight="false" outlineLevel="0" collapsed="false">
      <c r="A5480" s="0" t="s">
        <v>262</v>
      </c>
      <c r="B5480" s="52" t="n">
        <v>44314</v>
      </c>
      <c r="C5480" s="54" t="s">
        <v>590</v>
      </c>
      <c r="D5480" s="0" t="n">
        <v>0.468659247799318</v>
      </c>
      <c r="E5480" s="0" t="n">
        <v>0</v>
      </c>
      <c r="F5480" s="0" t="n">
        <v>0</v>
      </c>
      <c r="G5480" s="0" t="n">
        <v>2021</v>
      </c>
    </row>
    <row r="5481" customFormat="false" ht="15" hidden="false" customHeight="false" outlineLevel="0" collapsed="false">
      <c r="A5481" s="0" t="s">
        <v>262</v>
      </c>
      <c r="B5481" s="52" t="n">
        <v>44314</v>
      </c>
      <c r="C5481" s="54" t="s">
        <v>591</v>
      </c>
      <c r="D5481" s="0" t="n">
        <v>0.117429005913643</v>
      </c>
      <c r="E5481" s="0" t="n">
        <v>0.0086200452500306</v>
      </c>
      <c r="F5481" s="0" t="n">
        <v>0</v>
      </c>
      <c r="G5481" s="0" t="n">
        <v>2021</v>
      </c>
    </row>
    <row r="5482" customFormat="false" ht="15" hidden="false" customHeight="false" outlineLevel="0" collapsed="false">
      <c r="A5482" s="0" t="s">
        <v>262</v>
      </c>
      <c r="B5482" s="52" t="n">
        <v>44314</v>
      </c>
      <c r="C5482" s="54" t="s">
        <v>592</v>
      </c>
      <c r="D5482" s="0" t="n">
        <v>0.417805330162433</v>
      </c>
      <c r="E5482" s="0" t="n">
        <v>0.0282536258187014</v>
      </c>
      <c r="F5482" s="0" t="n">
        <v>0</v>
      </c>
      <c r="G5482" s="0" t="n">
        <v>2021</v>
      </c>
    </row>
    <row r="5483" customFormat="false" ht="15" hidden="false" customHeight="false" outlineLevel="0" collapsed="false">
      <c r="A5483" s="0" t="s">
        <v>262</v>
      </c>
      <c r="B5483" s="52" t="n">
        <v>44315</v>
      </c>
      <c r="C5483" s="54" t="s">
        <v>590</v>
      </c>
      <c r="D5483" s="0" t="n">
        <v>0.083695516434981</v>
      </c>
      <c r="E5483" s="0" t="n">
        <v>0.0118462740834903</v>
      </c>
      <c r="F5483" s="0" t="n">
        <v>0</v>
      </c>
      <c r="G5483" s="0" t="n">
        <v>2021</v>
      </c>
    </row>
    <row r="5484" customFormat="false" ht="15" hidden="false" customHeight="false" outlineLevel="0" collapsed="false">
      <c r="A5484" s="0" t="s">
        <v>262</v>
      </c>
      <c r="B5484" s="52" t="n">
        <v>44315</v>
      </c>
      <c r="C5484" s="54" t="s">
        <v>591</v>
      </c>
      <c r="D5484" s="0" t="n">
        <v>0.281105907879598</v>
      </c>
      <c r="E5484" s="0" t="n">
        <v>0.0330304604142891</v>
      </c>
      <c r="F5484" s="0" t="n">
        <v>0</v>
      </c>
      <c r="G5484" s="0" t="n">
        <v>2021</v>
      </c>
    </row>
    <row r="5485" customFormat="false" ht="15" hidden="false" customHeight="false" outlineLevel="0" collapsed="false">
      <c r="A5485" s="0" t="s">
        <v>262</v>
      </c>
      <c r="B5485" s="52" t="n">
        <v>44315</v>
      </c>
      <c r="C5485" s="54" t="s">
        <v>592</v>
      </c>
      <c r="D5485" s="0" t="n">
        <v>0.447982598708782</v>
      </c>
      <c r="E5485" s="0" t="n">
        <v>0.0175829207892369</v>
      </c>
      <c r="F5485" s="0" t="n">
        <v>0</v>
      </c>
      <c r="G5485" s="0" t="n">
        <v>2021</v>
      </c>
    </row>
    <row r="5486" customFormat="false" ht="15" hidden="false" customHeight="false" outlineLevel="0" collapsed="false">
      <c r="A5486" s="0" t="s">
        <v>262</v>
      </c>
      <c r="B5486" s="52" t="n">
        <v>44316</v>
      </c>
      <c r="C5486" s="54" t="s">
        <v>590</v>
      </c>
      <c r="D5486" s="0" t="n">
        <v>0.0072142136493704</v>
      </c>
      <c r="E5486" s="0" t="n">
        <v>0.0964233824096401</v>
      </c>
      <c r="F5486" s="0" t="n">
        <v>0</v>
      </c>
      <c r="G5486" s="0" t="n">
        <v>2021</v>
      </c>
    </row>
    <row r="5487" customFormat="false" ht="15" hidden="false" customHeight="false" outlineLevel="0" collapsed="false">
      <c r="A5487" s="0" t="s">
        <v>262</v>
      </c>
      <c r="B5487" s="52" t="n">
        <v>44316</v>
      </c>
      <c r="C5487" s="54" t="s">
        <v>591</v>
      </c>
      <c r="D5487" s="0" t="n">
        <v>0.170370713904759</v>
      </c>
      <c r="E5487" s="0" t="n">
        <v>0.0677716764088394</v>
      </c>
      <c r="F5487" s="0" t="n">
        <v>0</v>
      </c>
      <c r="G5487" s="0" t="n">
        <v>2021</v>
      </c>
    </row>
    <row r="5488" customFormat="false" ht="15" hidden="false" customHeight="false" outlineLevel="0" collapsed="false">
      <c r="A5488" s="0" t="s">
        <v>262</v>
      </c>
      <c r="B5488" s="52" t="n">
        <v>44316</v>
      </c>
      <c r="C5488" s="54" t="s">
        <v>592</v>
      </c>
      <c r="D5488" s="0" t="n">
        <v>0.99582350653717</v>
      </c>
      <c r="E5488" s="0" t="n">
        <v>0</v>
      </c>
      <c r="F5488" s="0" t="n">
        <v>0</v>
      </c>
      <c r="G5488" s="0" t="n">
        <v>2021</v>
      </c>
    </row>
    <row r="5489" customFormat="false" ht="15" hidden="false" customHeight="false" outlineLevel="0" collapsed="false">
      <c r="A5489" s="0" t="s">
        <v>262</v>
      </c>
      <c r="B5489" s="52" t="n">
        <v>44317</v>
      </c>
      <c r="C5489" s="54" t="s">
        <v>590</v>
      </c>
      <c r="D5489" s="0" t="n">
        <v>0.0779677761273445</v>
      </c>
      <c r="E5489" s="0" t="n">
        <v>0.0754639416603896</v>
      </c>
      <c r="F5489" s="0" t="n">
        <v>1</v>
      </c>
      <c r="G5489" s="0" t="n">
        <v>2021</v>
      </c>
    </row>
    <row r="5490" customFormat="false" ht="15" hidden="false" customHeight="false" outlineLevel="0" collapsed="false">
      <c r="A5490" s="0" t="s">
        <v>262</v>
      </c>
      <c r="B5490" s="52" t="n">
        <v>44317</v>
      </c>
      <c r="C5490" s="54" t="s">
        <v>591</v>
      </c>
      <c r="D5490" s="0" t="n">
        <v>0.703484717421757</v>
      </c>
      <c r="E5490" s="0" t="n">
        <v>0.0372521744132089</v>
      </c>
      <c r="F5490" s="0" t="n">
        <v>1</v>
      </c>
      <c r="G5490" s="0" t="n">
        <v>2021</v>
      </c>
    </row>
    <row r="5491" customFormat="false" ht="15" hidden="false" customHeight="false" outlineLevel="0" collapsed="false">
      <c r="A5491" s="0" t="s">
        <v>262</v>
      </c>
      <c r="B5491" s="52" t="n">
        <v>44318</v>
      </c>
      <c r="C5491" s="54" t="s">
        <v>590</v>
      </c>
      <c r="D5491" s="0" t="n">
        <v>1</v>
      </c>
      <c r="E5491" s="0" t="n">
        <v>0</v>
      </c>
      <c r="F5491" s="0" t="n">
        <v>1</v>
      </c>
      <c r="G5491" s="0" t="n">
        <v>2021</v>
      </c>
    </row>
    <row r="5492" customFormat="false" ht="15" hidden="false" customHeight="false" outlineLevel="0" collapsed="false">
      <c r="A5492" s="0" t="s">
        <v>262</v>
      </c>
      <c r="B5492" s="52" t="n">
        <v>44318</v>
      </c>
      <c r="C5492" s="54" t="s">
        <v>591</v>
      </c>
      <c r="D5492" s="0" t="n">
        <v>0.865888985832311</v>
      </c>
      <c r="E5492" s="0" t="n">
        <v>0</v>
      </c>
      <c r="F5492" s="0" t="n">
        <v>1</v>
      </c>
      <c r="G5492" s="0" t="n">
        <v>2021</v>
      </c>
    </row>
    <row r="5493" customFormat="false" ht="15" hidden="false" customHeight="false" outlineLevel="0" collapsed="false">
      <c r="A5493" s="0" t="s">
        <v>262</v>
      </c>
      <c r="B5493" s="52" t="n">
        <v>44318</v>
      </c>
      <c r="C5493" s="54" t="s">
        <v>592</v>
      </c>
      <c r="D5493" s="0" t="n">
        <v>0.0382850599841568</v>
      </c>
      <c r="E5493" s="0" t="n">
        <v>0.0487879460604662</v>
      </c>
      <c r="F5493" s="0" t="n">
        <v>1</v>
      </c>
      <c r="G5493" s="0" t="n">
        <v>2021</v>
      </c>
    </row>
    <row r="5494" customFormat="false" ht="15" hidden="false" customHeight="false" outlineLevel="0" collapsed="false">
      <c r="A5494" s="0" t="s">
        <v>262</v>
      </c>
      <c r="B5494" s="52" t="n">
        <v>44319</v>
      </c>
      <c r="C5494" s="54" t="s">
        <v>590</v>
      </c>
      <c r="D5494" s="0" t="n">
        <v>0.0241634740362676</v>
      </c>
      <c r="E5494" s="0" t="n">
        <v>0.127745465482157</v>
      </c>
      <c r="F5494" s="0" t="n">
        <v>0</v>
      </c>
      <c r="G5494" s="0" t="n">
        <v>2021</v>
      </c>
    </row>
    <row r="5495" customFormat="false" ht="15" hidden="false" customHeight="false" outlineLevel="0" collapsed="false">
      <c r="A5495" s="0" t="s">
        <v>262</v>
      </c>
      <c r="B5495" s="52" t="n">
        <v>44319</v>
      </c>
      <c r="C5495" s="54" t="s">
        <v>591</v>
      </c>
      <c r="D5495" s="0" t="n">
        <v>0.6465586121801</v>
      </c>
      <c r="E5495" s="0" t="n">
        <v>0.0297971555141058</v>
      </c>
      <c r="F5495" s="0" t="n">
        <v>0</v>
      </c>
      <c r="G5495" s="0" t="n">
        <v>2021</v>
      </c>
    </row>
    <row r="5496" customFormat="false" ht="15" hidden="false" customHeight="false" outlineLevel="0" collapsed="false">
      <c r="A5496" s="0" t="s">
        <v>262</v>
      </c>
      <c r="B5496" s="52" t="n">
        <v>44319</v>
      </c>
      <c r="C5496" s="54" t="s">
        <v>592</v>
      </c>
      <c r="D5496" s="0" t="n">
        <v>0.0645452612475681</v>
      </c>
      <c r="E5496" s="0" t="n">
        <v>0.0081390568889493</v>
      </c>
      <c r="F5496" s="0" t="n">
        <v>0</v>
      </c>
      <c r="G5496" s="0" t="n">
        <v>2021</v>
      </c>
    </row>
    <row r="5497" customFormat="false" ht="15" hidden="false" customHeight="false" outlineLevel="0" collapsed="false">
      <c r="A5497" s="0" t="s">
        <v>262</v>
      </c>
      <c r="B5497" s="52" t="n">
        <v>44320</v>
      </c>
      <c r="C5497" s="54" t="s">
        <v>590</v>
      </c>
      <c r="D5497" s="0" t="n">
        <v>0.308653883189547</v>
      </c>
      <c r="E5497" s="0" t="n">
        <v>0.275461274184495</v>
      </c>
      <c r="F5497" s="0" t="n">
        <v>0</v>
      </c>
      <c r="G5497" s="0" t="n">
        <v>2021</v>
      </c>
    </row>
    <row r="5498" customFormat="false" ht="15" hidden="false" customHeight="false" outlineLevel="0" collapsed="false">
      <c r="A5498" s="0" t="s">
        <v>262</v>
      </c>
      <c r="B5498" s="52" t="n">
        <v>44320</v>
      </c>
      <c r="C5498" s="54" t="s">
        <v>591</v>
      </c>
      <c r="D5498" s="0" t="n">
        <v>0.172095446723242</v>
      </c>
      <c r="E5498" s="0" t="n">
        <v>0.111003680593911</v>
      </c>
      <c r="F5498" s="0" t="n">
        <v>0</v>
      </c>
      <c r="G5498" s="0" t="n">
        <v>2021</v>
      </c>
    </row>
    <row r="5499" customFormat="false" ht="15" hidden="false" customHeight="false" outlineLevel="0" collapsed="false">
      <c r="A5499" s="0" t="s">
        <v>262</v>
      </c>
      <c r="B5499" s="52" t="n">
        <v>44320</v>
      </c>
      <c r="C5499" s="54" t="s">
        <v>592</v>
      </c>
      <c r="D5499" s="0" t="n">
        <v>0.0332964237168114</v>
      </c>
      <c r="E5499" s="0" t="n">
        <v>0.112687197942387</v>
      </c>
      <c r="F5499" s="0" t="n">
        <v>0</v>
      </c>
      <c r="G5499" s="0" t="n">
        <v>2021</v>
      </c>
    </row>
    <row r="5500" customFormat="false" ht="15" hidden="false" customHeight="false" outlineLevel="0" collapsed="false">
      <c r="A5500" s="0" t="s">
        <v>262</v>
      </c>
      <c r="B5500" s="52" t="n">
        <v>44321</v>
      </c>
      <c r="C5500" s="54" t="s">
        <v>590</v>
      </c>
      <c r="D5500" s="0" t="n">
        <v>0.518805862680821</v>
      </c>
      <c r="E5500" s="0" t="n">
        <v>0.04228217916958</v>
      </c>
      <c r="F5500" s="0" t="n">
        <v>0</v>
      </c>
      <c r="G5500" s="0" t="n">
        <v>2021</v>
      </c>
    </row>
    <row r="5501" customFormat="false" ht="15" hidden="false" customHeight="false" outlineLevel="0" collapsed="false">
      <c r="A5501" s="0" t="s">
        <v>262</v>
      </c>
      <c r="B5501" s="52" t="n">
        <v>44321</v>
      </c>
      <c r="C5501" s="54" t="s">
        <v>592</v>
      </c>
      <c r="D5501" s="0" t="n">
        <v>1</v>
      </c>
      <c r="E5501" s="0" t="n">
        <v>0</v>
      </c>
      <c r="F5501" s="0" t="n">
        <v>0</v>
      </c>
      <c r="G5501" s="0" t="n">
        <v>2021</v>
      </c>
    </row>
    <row r="5502" customFormat="false" ht="15" hidden="false" customHeight="false" outlineLevel="0" collapsed="false">
      <c r="A5502" s="0" t="s">
        <v>262</v>
      </c>
      <c r="B5502" s="52" t="n">
        <v>44323</v>
      </c>
      <c r="C5502" s="54" t="s">
        <v>592</v>
      </c>
      <c r="D5502" s="0" t="n">
        <v>1</v>
      </c>
      <c r="E5502" s="0" t="n">
        <v>0</v>
      </c>
      <c r="F5502" s="0" t="n">
        <v>0</v>
      </c>
      <c r="G5502" s="0" t="n">
        <v>2021</v>
      </c>
    </row>
    <row r="5503" customFormat="false" ht="15" hidden="false" customHeight="false" outlineLevel="0" collapsed="false">
      <c r="A5503" s="0" t="s">
        <v>262</v>
      </c>
      <c r="B5503" s="52" t="n">
        <v>44324</v>
      </c>
      <c r="C5503" s="54" t="s">
        <v>591</v>
      </c>
      <c r="D5503" s="0" t="n">
        <v>1</v>
      </c>
      <c r="E5503" s="0" t="n">
        <v>0</v>
      </c>
      <c r="F5503" s="0" t="n">
        <v>1</v>
      </c>
      <c r="G5503" s="0" t="n">
        <v>2021</v>
      </c>
    </row>
    <row r="5504" customFormat="false" ht="15" hidden="false" customHeight="false" outlineLevel="0" collapsed="false">
      <c r="A5504" s="0" t="s">
        <v>262</v>
      </c>
      <c r="B5504" s="52" t="n">
        <v>44325</v>
      </c>
      <c r="C5504" s="54" t="s">
        <v>590</v>
      </c>
      <c r="D5504" s="0" t="n">
        <v>0.265744364802414</v>
      </c>
      <c r="E5504" s="0" t="n">
        <v>0.0148612350746664</v>
      </c>
      <c r="F5504" s="0" t="n">
        <v>1</v>
      </c>
      <c r="G5504" s="0" t="n">
        <v>2021</v>
      </c>
    </row>
    <row r="5505" customFormat="false" ht="15" hidden="false" customHeight="false" outlineLevel="0" collapsed="false">
      <c r="A5505" s="0" t="s">
        <v>262</v>
      </c>
      <c r="B5505" s="52" t="n">
        <v>44325</v>
      </c>
      <c r="C5505" s="54" t="s">
        <v>591</v>
      </c>
      <c r="D5505" s="0" t="n">
        <v>0.0037345517655969</v>
      </c>
      <c r="E5505" s="0" t="n">
        <v>0.0401649747026084</v>
      </c>
      <c r="F5505" s="0" t="n">
        <v>1</v>
      </c>
      <c r="G5505" s="0" t="n">
        <v>2021</v>
      </c>
    </row>
    <row r="5506" customFormat="false" ht="15" hidden="false" customHeight="false" outlineLevel="0" collapsed="false">
      <c r="A5506" s="0" t="s">
        <v>262</v>
      </c>
      <c r="B5506" s="52" t="n">
        <v>44325</v>
      </c>
      <c r="C5506" s="54" t="s">
        <v>592</v>
      </c>
      <c r="D5506" s="0" t="n">
        <v>0.523154572791703</v>
      </c>
      <c r="E5506" s="0" t="n">
        <v>0.0070326700694204</v>
      </c>
      <c r="F5506" s="0" t="n">
        <v>1</v>
      </c>
      <c r="G5506" s="0" t="n">
        <v>2021</v>
      </c>
    </row>
    <row r="5507" customFormat="false" ht="15" hidden="false" customHeight="false" outlineLevel="0" collapsed="false">
      <c r="A5507" s="0" t="s">
        <v>262</v>
      </c>
      <c r="B5507" s="52" t="n">
        <v>44326</v>
      </c>
      <c r="C5507" s="54" t="s">
        <v>590</v>
      </c>
      <c r="D5507" s="0" t="n">
        <v>0.0510577263262944</v>
      </c>
      <c r="E5507" s="0" t="n">
        <v>0.0999529792681905</v>
      </c>
      <c r="F5507" s="0" t="n">
        <v>0</v>
      </c>
      <c r="G5507" s="0" t="n">
        <v>2021</v>
      </c>
    </row>
    <row r="5508" customFormat="false" ht="15" hidden="false" customHeight="false" outlineLevel="0" collapsed="false">
      <c r="A5508" s="0" t="s">
        <v>262</v>
      </c>
      <c r="B5508" s="52" t="n">
        <v>44326</v>
      </c>
      <c r="C5508" s="54" t="s">
        <v>591</v>
      </c>
      <c r="D5508" s="0" t="n">
        <v>0.0706228096981203</v>
      </c>
      <c r="E5508" s="0" t="n">
        <v>0.0410745375368113</v>
      </c>
      <c r="F5508" s="0" t="n">
        <v>0</v>
      </c>
      <c r="G5508" s="0" t="n">
        <v>2021</v>
      </c>
    </row>
    <row r="5509" customFormat="false" ht="15" hidden="false" customHeight="false" outlineLevel="0" collapsed="false">
      <c r="A5509" s="0" t="s">
        <v>262</v>
      </c>
      <c r="B5509" s="52" t="n">
        <v>44326</v>
      </c>
      <c r="C5509" s="54" t="s">
        <v>592</v>
      </c>
      <c r="D5509" s="0" t="n">
        <v>0.240108618502193</v>
      </c>
      <c r="E5509" s="0" t="n">
        <v>0.0095225677326161</v>
      </c>
      <c r="F5509" s="0" t="n">
        <v>0</v>
      </c>
      <c r="G5509" s="0" t="n">
        <v>2021</v>
      </c>
    </row>
    <row r="5510" customFormat="false" ht="15" hidden="false" customHeight="false" outlineLevel="0" collapsed="false">
      <c r="A5510" s="0" t="s">
        <v>262</v>
      </c>
      <c r="B5510" s="52" t="n">
        <v>44327</v>
      </c>
      <c r="C5510" s="54" t="s">
        <v>590</v>
      </c>
      <c r="D5510" s="0" t="n">
        <v>0.18696362291683</v>
      </c>
      <c r="E5510" s="0" t="n">
        <v>0.0341534526555705</v>
      </c>
      <c r="F5510" s="0" t="n">
        <v>0</v>
      </c>
      <c r="G5510" s="0" t="n">
        <v>2021</v>
      </c>
    </row>
    <row r="5511" customFormat="false" ht="15" hidden="false" customHeight="false" outlineLevel="0" collapsed="false">
      <c r="A5511" s="0" t="s">
        <v>262</v>
      </c>
      <c r="B5511" s="52" t="n">
        <v>44327</v>
      </c>
      <c r="C5511" s="54" t="s">
        <v>591</v>
      </c>
      <c r="D5511" s="0" t="n">
        <v>0</v>
      </c>
      <c r="E5511" s="0" t="n">
        <v>0.108870820606154</v>
      </c>
      <c r="F5511" s="0" t="n">
        <v>0</v>
      </c>
      <c r="G5511" s="0" t="n">
        <v>2021</v>
      </c>
    </row>
    <row r="5512" customFormat="false" ht="15" hidden="false" customHeight="false" outlineLevel="0" collapsed="false">
      <c r="A5512" s="0" t="s">
        <v>262</v>
      </c>
      <c r="B5512" s="52" t="n">
        <v>44327</v>
      </c>
      <c r="C5512" s="54" t="s">
        <v>592</v>
      </c>
      <c r="D5512" s="0" t="n">
        <v>0.0022374641813567</v>
      </c>
      <c r="E5512" s="0" t="n">
        <v>0.122744873765776</v>
      </c>
      <c r="F5512" s="0" t="n">
        <v>0</v>
      </c>
      <c r="G5512" s="0" t="n">
        <v>2021</v>
      </c>
    </row>
    <row r="5513" customFormat="false" ht="15" hidden="false" customHeight="false" outlineLevel="0" collapsed="false">
      <c r="A5513" s="0" t="s">
        <v>262</v>
      </c>
      <c r="B5513" s="52" t="n">
        <v>44328</v>
      </c>
      <c r="C5513" s="54" t="s">
        <v>590</v>
      </c>
      <c r="D5513" s="0" t="n">
        <v>0.664555989919129</v>
      </c>
      <c r="E5513" s="0" t="n">
        <v>0.0085483924580297</v>
      </c>
      <c r="F5513" s="0" t="n">
        <v>0</v>
      </c>
      <c r="G5513" s="0" t="n">
        <v>2021</v>
      </c>
    </row>
    <row r="5514" customFormat="false" ht="15" hidden="false" customHeight="false" outlineLevel="0" collapsed="false">
      <c r="A5514" s="0" t="s">
        <v>262</v>
      </c>
      <c r="B5514" s="52" t="n">
        <v>44328</v>
      </c>
      <c r="C5514" s="54" t="s">
        <v>591</v>
      </c>
      <c r="D5514" s="0" t="n">
        <v>0.097663189600818</v>
      </c>
      <c r="E5514" s="0" t="n">
        <v>0.146560571510711</v>
      </c>
      <c r="F5514" s="0" t="n">
        <v>0</v>
      </c>
      <c r="G5514" s="0" t="n">
        <v>2021</v>
      </c>
    </row>
    <row r="5515" customFormat="false" ht="15" hidden="false" customHeight="false" outlineLevel="0" collapsed="false">
      <c r="A5515" s="0" t="s">
        <v>262</v>
      </c>
      <c r="B5515" s="52" t="n">
        <v>44328</v>
      </c>
      <c r="C5515" s="54" t="s">
        <v>592</v>
      </c>
      <c r="D5515" s="0" t="n">
        <v>1</v>
      </c>
      <c r="E5515" s="0" t="n">
        <v>0</v>
      </c>
      <c r="F5515" s="0" t="n">
        <v>0</v>
      </c>
      <c r="G5515" s="0" t="n">
        <v>2021</v>
      </c>
    </row>
    <row r="5516" customFormat="false" ht="15" hidden="false" customHeight="false" outlineLevel="0" collapsed="false">
      <c r="A5516" s="0" t="s">
        <v>262</v>
      </c>
      <c r="B5516" s="52" t="n">
        <v>44330</v>
      </c>
      <c r="C5516" s="54" t="s">
        <v>590</v>
      </c>
      <c r="D5516" s="0" t="n">
        <v>1</v>
      </c>
      <c r="E5516" s="0" t="n">
        <v>0</v>
      </c>
      <c r="F5516" s="0" t="n">
        <v>0</v>
      </c>
      <c r="G5516" s="0" t="n">
        <v>2021</v>
      </c>
    </row>
    <row r="5517" customFormat="false" ht="15" hidden="false" customHeight="false" outlineLevel="0" collapsed="false">
      <c r="A5517" s="0" t="s">
        <v>262</v>
      </c>
      <c r="B5517" s="52" t="n">
        <v>44330</v>
      </c>
      <c r="C5517" s="54" t="s">
        <v>591</v>
      </c>
      <c r="D5517" s="0" t="n">
        <v>0.273466292477764</v>
      </c>
      <c r="E5517" s="0" t="n">
        <v>0.150509864029472</v>
      </c>
      <c r="F5517" s="0" t="n">
        <v>0</v>
      </c>
      <c r="G5517" s="0" t="n">
        <v>2021</v>
      </c>
    </row>
    <row r="5518" customFormat="false" ht="15" hidden="false" customHeight="false" outlineLevel="0" collapsed="false">
      <c r="A5518" s="0" t="s">
        <v>262</v>
      </c>
      <c r="B5518" s="52" t="n">
        <v>44330</v>
      </c>
      <c r="C5518" s="54" t="s">
        <v>592</v>
      </c>
      <c r="D5518" s="0" t="n">
        <v>0</v>
      </c>
      <c r="E5518" s="0" t="n">
        <v>0.0830880350789918</v>
      </c>
      <c r="F5518" s="0" t="n">
        <v>0</v>
      </c>
      <c r="G5518" s="0" t="n">
        <v>2021</v>
      </c>
    </row>
    <row r="5519" customFormat="false" ht="15" hidden="false" customHeight="false" outlineLevel="0" collapsed="false">
      <c r="A5519" s="0" t="s">
        <v>262</v>
      </c>
      <c r="B5519" s="52" t="n">
        <v>44331</v>
      </c>
      <c r="C5519" s="54" t="s">
        <v>590</v>
      </c>
      <c r="D5519" s="0" t="n">
        <v>0.259614394512316</v>
      </c>
      <c r="E5519" s="0" t="n">
        <v>0.0233802636622981</v>
      </c>
      <c r="F5519" s="0" t="n">
        <v>1</v>
      </c>
      <c r="G5519" s="0" t="n">
        <v>2021</v>
      </c>
    </row>
    <row r="5520" customFormat="false" ht="15" hidden="false" customHeight="false" outlineLevel="0" collapsed="false">
      <c r="A5520" s="0" t="s">
        <v>262</v>
      </c>
      <c r="B5520" s="52" t="n">
        <v>44331</v>
      </c>
      <c r="C5520" s="54" t="s">
        <v>591</v>
      </c>
      <c r="D5520" s="0" t="n">
        <v>0.288942691508087</v>
      </c>
      <c r="E5520" s="0" t="n">
        <v>0.0366960810043929</v>
      </c>
      <c r="F5520" s="0" t="n">
        <v>1</v>
      </c>
      <c r="G5520" s="0" t="n">
        <v>2021</v>
      </c>
    </row>
    <row r="5521" customFormat="false" ht="15" hidden="false" customHeight="false" outlineLevel="0" collapsed="false">
      <c r="A5521" s="0" t="s">
        <v>262</v>
      </c>
      <c r="B5521" s="52" t="n">
        <v>44331</v>
      </c>
      <c r="C5521" s="54" t="s">
        <v>592</v>
      </c>
      <c r="D5521" s="0" t="n">
        <v>0.0058598738774434</v>
      </c>
      <c r="E5521" s="0" t="n">
        <v>0.166893225404224</v>
      </c>
      <c r="F5521" s="0" t="n">
        <v>1</v>
      </c>
      <c r="G5521" s="0" t="n">
        <v>2021</v>
      </c>
    </row>
    <row r="5522" customFormat="false" ht="15" hidden="false" customHeight="false" outlineLevel="0" collapsed="false">
      <c r="A5522" s="0" t="s">
        <v>262</v>
      </c>
      <c r="B5522" s="52" t="n">
        <v>44332</v>
      </c>
      <c r="C5522" s="54" t="s">
        <v>590</v>
      </c>
      <c r="D5522" s="0" t="n">
        <v>0</v>
      </c>
      <c r="E5522" s="0" t="n">
        <v>0.0731458425240508</v>
      </c>
      <c r="F5522" s="0" t="n">
        <v>1</v>
      </c>
      <c r="G5522" s="0" t="n">
        <v>2021</v>
      </c>
    </row>
    <row r="5523" customFormat="false" ht="15" hidden="false" customHeight="false" outlineLevel="0" collapsed="false">
      <c r="A5523" s="0" t="s">
        <v>262</v>
      </c>
      <c r="B5523" s="52" t="n">
        <v>44332</v>
      </c>
      <c r="C5523" s="54" t="s">
        <v>591</v>
      </c>
      <c r="D5523" s="0" t="n">
        <v>0.309847534178553</v>
      </c>
      <c r="E5523" s="0" t="n">
        <v>0.0381888189154741</v>
      </c>
      <c r="F5523" s="0" t="n">
        <v>1</v>
      </c>
      <c r="G5523" s="0" t="n">
        <v>2021</v>
      </c>
    </row>
    <row r="5524" customFormat="false" ht="15" hidden="false" customHeight="false" outlineLevel="0" collapsed="false">
      <c r="A5524" s="0" t="s">
        <v>262</v>
      </c>
      <c r="B5524" s="52" t="n">
        <v>44332</v>
      </c>
      <c r="C5524" s="54" t="s">
        <v>592</v>
      </c>
      <c r="D5524" s="0" t="n">
        <v>0.181237018441003</v>
      </c>
      <c r="E5524" s="0" t="n">
        <v>0.134378488620244</v>
      </c>
      <c r="F5524" s="0" t="n">
        <v>1</v>
      </c>
      <c r="G5524" s="0" t="n">
        <v>2021</v>
      </c>
    </row>
    <row r="5525" customFormat="false" ht="15" hidden="false" customHeight="false" outlineLevel="0" collapsed="false">
      <c r="A5525" s="0" t="s">
        <v>262</v>
      </c>
      <c r="B5525" s="52" t="n">
        <v>44333</v>
      </c>
      <c r="C5525" s="54" t="s">
        <v>590</v>
      </c>
      <c r="D5525" s="0" t="n">
        <v>0.0003468770797122</v>
      </c>
      <c r="E5525" s="0" t="n">
        <v>0.0830617346218208</v>
      </c>
      <c r="F5525" s="0" t="n">
        <v>0</v>
      </c>
      <c r="G5525" s="0" t="n">
        <v>2021</v>
      </c>
    </row>
    <row r="5526" customFormat="false" ht="15" hidden="false" customHeight="false" outlineLevel="0" collapsed="false">
      <c r="A5526" s="0" t="s">
        <v>262</v>
      </c>
      <c r="B5526" s="52" t="n">
        <v>44333</v>
      </c>
      <c r="C5526" s="54" t="s">
        <v>591</v>
      </c>
      <c r="D5526" s="0" t="n">
        <v>0.176847910074475</v>
      </c>
      <c r="E5526" s="0" t="n">
        <v>0.0400023169664565</v>
      </c>
      <c r="F5526" s="0" t="n">
        <v>0</v>
      </c>
      <c r="G5526" s="0" t="n">
        <v>2021</v>
      </c>
    </row>
    <row r="5527" customFormat="false" ht="15" hidden="false" customHeight="false" outlineLevel="0" collapsed="false">
      <c r="A5527" s="0" t="s">
        <v>262</v>
      </c>
      <c r="B5527" s="52" t="n">
        <v>44336</v>
      </c>
      <c r="C5527" s="54" t="s">
        <v>590</v>
      </c>
      <c r="D5527" s="0" t="n">
        <v>0.995990996101437</v>
      </c>
      <c r="E5527" s="0" t="n">
        <v>0</v>
      </c>
      <c r="F5527" s="0" t="n">
        <v>0</v>
      </c>
      <c r="G5527" s="0" t="n">
        <v>2021</v>
      </c>
    </row>
    <row r="5528" customFormat="false" ht="15" hidden="false" customHeight="false" outlineLevel="0" collapsed="false">
      <c r="A5528" s="0" t="s">
        <v>262</v>
      </c>
      <c r="B5528" s="52" t="n">
        <v>44336</v>
      </c>
      <c r="C5528" s="54" t="s">
        <v>591</v>
      </c>
      <c r="D5528" s="0" t="n">
        <v>0.0898380596780853</v>
      </c>
      <c r="E5528" s="0" t="n">
        <v>0.0649367562591368</v>
      </c>
      <c r="F5528" s="0" t="n">
        <v>0</v>
      </c>
      <c r="G5528" s="0" t="n">
        <v>2021</v>
      </c>
    </row>
    <row r="5529" customFormat="false" ht="15" hidden="false" customHeight="false" outlineLevel="0" collapsed="false">
      <c r="A5529" s="0" t="s">
        <v>262</v>
      </c>
      <c r="B5529" s="52" t="n">
        <v>44336</v>
      </c>
      <c r="C5529" s="54" t="s">
        <v>592</v>
      </c>
      <c r="D5529" s="0" t="n">
        <v>0.00430682297574</v>
      </c>
      <c r="E5529" s="0" t="n">
        <v>0.12075306322697</v>
      </c>
      <c r="F5529" s="0" t="n">
        <v>0</v>
      </c>
      <c r="G5529" s="0" t="n">
        <v>2021</v>
      </c>
    </row>
    <row r="5530" customFormat="false" ht="15" hidden="false" customHeight="false" outlineLevel="0" collapsed="false">
      <c r="A5530" s="0" t="s">
        <v>262</v>
      </c>
      <c r="B5530" s="52" t="n">
        <v>44337</v>
      </c>
      <c r="C5530" s="54" t="s">
        <v>590</v>
      </c>
      <c r="D5530" s="0" t="n">
        <v>0.12126147669687</v>
      </c>
      <c r="E5530" s="0" t="n">
        <v>0.124729377822112</v>
      </c>
      <c r="F5530" s="0" t="n">
        <v>0</v>
      </c>
      <c r="G5530" s="0" t="n">
        <v>2021</v>
      </c>
    </row>
    <row r="5531" customFormat="false" ht="15" hidden="false" customHeight="false" outlineLevel="0" collapsed="false">
      <c r="A5531" s="0" t="s">
        <v>262</v>
      </c>
      <c r="B5531" s="52" t="n">
        <v>44337</v>
      </c>
      <c r="C5531" s="54" t="s">
        <v>591</v>
      </c>
      <c r="D5531" s="0" t="n">
        <v>0.486545216047597</v>
      </c>
      <c r="E5531" s="0" t="n">
        <v>0.0091525385693462</v>
      </c>
      <c r="F5531" s="0" t="n">
        <v>0</v>
      </c>
      <c r="G5531" s="0" t="n">
        <v>2021</v>
      </c>
    </row>
    <row r="5532" customFormat="false" ht="15" hidden="false" customHeight="false" outlineLevel="0" collapsed="false">
      <c r="A5532" s="0" t="s">
        <v>262</v>
      </c>
      <c r="B5532" s="52" t="n">
        <v>44337</v>
      </c>
      <c r="C5532" s="54" t="s">
        <v>592</v>
      </c>
      <c r="D5532" s="0" t="n">
        <v>0.0019220178031291</v>
      </c>
      <c r="E5532" s="0" t="n">
        <v>0.0305374023163068</v>
      </c>
      <c r="F5532" s="0" t="n">
        <v>0</v>
      </c>
      <c r="G5532" s="0" t="n">
        <v>2021</v>
      </c>
    </row>
    <row r="5533" customFormat="false" ht="15" hidden="false" customHeight="false" outlineLevel="0" collapsed="false">
      <c r="A5533" s="0" t="s">
        <v>262</v>
      </c>
      <c r="B5533" s="52" t="n">
        <v>44338</v>
      </c>
      <c r="C5533" s="54" t="s">
        <v>590</v>
      </c>
      <c r="D5533" s="0" t="n">
        <v>0.105705607341504</v>
      </c>
      <c r="E5533" s="0" t="n">
        <v>0.070121123826236</v>
      </c>
      <c r="F5533" s="0" t="n">
        <v>1</v>
      </c>
      <c r="G5533" s="0" t="n">
        <v>2021</v>
      </c>
    </row>
    <row r="5534" customFormat="false" ht="15" hidden="false" customHeight="false" outlineLevel="0" collapsed="false">
      <c r="A5534" s="0" t="s">
        <v>262</v>
      </c>
      <c r="B5534" s="52" t="n">
        <v>44338</v>
      </c>
      <c r="C5534" s="54" t="s">
        <v>591</v>
      </c>
      <c r="D5534" s="0" t="n">
        <v>0.425872768030684</v>
      </c>
      <c r="E5534" s="0" t="n">
        <v>0.0145872962396662</v>
      </c>
      <c r="F5534" s="0" t="n">
        <v>1</v>
      </c>
      <c r="G5534" s="0" t="n">
        <v>2021</v>
      </c>
    </row>
    <row r="5535" customFormat="false" ht="15" hidden="false" customHeight="false" outlineLevel="0" collapsed="false">
      <c r="A5535" s="0" t="s">
        <v>262</v>
      </c>
      <c r="B5535" s="52" t="n">
        <v>44338</v>
      </c>
      <c r="C5535" s="54" t="s">
        <v>592</v>
      </c>
      <c r="D5535" s="0" t="n">
        <v>0.0145228339565233</v>
      </c>
      <c r="E5535" s="0" t="n">
        <v>0.128230939402762</v>
      </c>
      <c r="F5535" s="0" t="n">
        <v>1</v>
      </c>
      <c r="G5535" s="0" t="n">
        <v>2021</v>
      </c>
    </row>
    <row r="5536" customFormat="false" ht="15" hidden="false" customHeight="false" outlineLevel="0" collapsed="false">
      <c r="A5536" s="0" t="s">
        <v>262</v>
      </c>
      <c r="B5536" s="52" t="n">
        <v>44339</v>
      </c>
      <c r="C5536" s="54" t="s">
        <v>590</v>
      </c>
      <c r="D5536" s="0" t="n">
        <v>0.0800092721669437</v>
      </c>
      <c r="E5536" s="0" t="n">
        <v>0.123277391482665</v>
      </c>
      <c r="F5536" s="0" t="n">
        <v>1</v>
      </c>
      <c r="G5536" s="0" t="n">
        <v>2021</v>
      </c>
    </row>
    <row r="5537" customFormat="false" ht="15" hidden="false" customHeight="false" outlineLevel="0" collapsed="false">
      <c r="A5537" s="0" t="s">
        <v>262</v>
      </c>
      <c r="B5537" s="52" t="n">
        <v>44339</v>
      </c>
      <c r="C5537" s="54" t="s">
        <v>591</v>
      </c>
      <c r="D5537" s="0" t="n">
        <v>0.227395301393661</v>
      </c>
      <c r="E5537" s="0" t="n">
        <v>0.0187725574908186</v>
      </c>
      <c r="F5537" s="0" t="n">
        <v>1</v>
      </c>
      <c r="G5537" s="0" t="n">
        <v>2021</v>
      </c>
    </row>
    <row r="5538" customFormat="false" ht="15" hidden="false" customHeight="false" outlineLevel="0" collapsed="false">
      <c r="A5538" s="0" t="s">
        <v>262</v>
      </c>
      <c r="B5538" s="52" t="n">
        <v>44339</v>
      </c>
      <c r="C5538" s="54" t="s">
        <v>592</v>
      </c>
      <c r="D5538" s="0" t="n">
        <v>0.0815074269286056</v>
      </c>
      <c r="E5538" s="0" t="n">
        <v>0.0222624672883417</v>
      </c>
      <c r="F5538" s="0" t="n">
        <v>1</v>
      </c>
      <c r="G5538" s="0" t="n">
        <v>2021</v>
      </c>
    </row>
    <row r="5539" customFormat="false" ht="15" hidden="false" customHeight="false" outlineLevel="0" collapsed="false">
      <c r="A5539" s="0" t="s">
        <v>262</v>
      </c>
      <c r="B5539" s="52" t="n">
        <v>44340</v>
      </c>
      <c r="C5539" s="54" t="s">
        <v>590</v>
      </c>
      <c r="D5539" s="0" t="n">
        <v>0.0794077221366719</v>
      </c>
      <c r="E5539" s="0" t="n">
        <v>0.0253850689036213</v>
      </c>
      <c r="F5539" s="0" t="n">
        <v>0</v>
      </c>
      <c r="G5539" s="0" t="n">
        <v>2021</v>
      </c>
    </row>
    <row r="5540" customFormat="false" ht="15" hidden="false" customHeight="false" outlineLevel="0" collapsed="false">
      <c r="A5540" s="0" t="s">
        <v>262</v>
      </c>
      <c r="B5540" s="52" t="n">
        <v>44340</v>
      </c>
      <c r="C5540" s="54" t="s">
        <v>591</v>
      </c>
      <c r="D5540" s="0" t="n">
        <v>0.916067544447699</v>
      </c>
      <c r="E5540" s="0" t="n">
        <v>0.0161537632050535</v>
      </c>
      <c r="F5540" s="0" t="n">
        <v>0</v>
      </c>
      <c r="G5540" s="0" t="n">
        <v>2021</v>
      </c>
    </row>
    <row r="5541" customFormat="false" ht="15" hidden="false" customHeight="false" outlineLevel="0" collapsed="false">
      <c r="A5541" s="0" t="s">
        <v>262</v>
      </c>
      <c r="B5541" s="52" t="n">
        <v>44340</v>
      </c>
      <c r="C5541" s="54" t="s">
        <v>592</v>
      </c>
      <c r="D5541" s="0" t="n">
        <v>0.128449929090606</v>
      </c>
      <c r="E5541" s="0" t="n">
        <v>0.0385199608739304</v>
      </c>
      <c r="F5541" s="0" t="n">
        <v>0</v>
      </c>
      <c r="G5541" s="0" t="n">
        <v>2021</v>
      </c>
    </row>
    <row r="5542" customFormat="false" ht="15" hidden="false" customHeight="false" outlineLevel="0" collapsed="false">
      <c r="A5542" s="0" t="s">
        <v>262</v>
      </c>
      <c r="B5542" s="52" t="n">
        <v>44341</v>
      </c>
      <c r="C5542" s="54" t="s">
        <v>590</v>
      </c>
      <c r="D5542" s="0" t="n">
        <v>0.0077117761744101</v>
      </c>
      <c r="E5542" s="0" t="n">
        <v>0.102906817846699</v>
      </c>
      <c r="F5542" s="0" t="n">
        <v>0</v>
      </c>
      <c r="G5542" s="0" t="n">
        <v>2021</v>
      </c>
    </row>
    <row r="5543" customFormat="false" ht="15" hidden="false" customHeight="false" outlineLevel="0" collapsed="false">
      <c r="A5543" s="0" t="s">
        <v>262</v>
      </c>
      <c r="B5543" s="52" t="n">
        <v>44341</v>
      </c>
      <c r="C5543" s="54" t="s">
        <v>591</v>
      </c>
      <c r="D5543" s="0" t="n">
        <v>0.215511372152543</v>
      </c>
      <c r="E5543" s="0" t="n">
        <v>0.11989354596579</v>
      </c>
      <c r="F5543" s="0" t="n">
        <v>0</v>
      </c>
      <c r="G5543" s="0" t="n">
        <v>2021</v>
      </c>
    </row>
    <row r="5544" customFormat="false" ht="15" hidden="false" customHeight="false" outlineLevel="0" collapsed="false">
      <c r="A5544" s="0" t="s">
        <v>262</v>
      </c>
      <c r="B5544" s="52" t="n">
        <v>44341</v>
      </c>
      <c r="C5544" s="54" t="s">
        <v>592</v>
      </c>
      <c r="D5544" s="0" t="n">
        <v>0.552273125812398</v>
      </c>
      <c r="E5544" s="0" t="n">
        <v>0.0242131930181429</v>
      </c>
      <c r="F5544" s="0" t="n">
        <v>0</v>
      </c>
      <c r="G5544" s="0" t="n">
        <v>2021</v>
      </c>
    </row>
    <row r="5545" customFormat="false" ht="15" hidden="false" customHeight="false" outlineLevel="0" collapsed="false">
      <c r="A5545" s="0" t="s">
        <v>262</v>
      </c>
      <c r="B5545" s="52" t="n">
        <v>44342</v>
      </c>
      <c r="C5545" s="54" t="s">
        <v>590</v>
      </c>
      <c r="D5545" s="0" t="n">
        <v>0.0562758085572261</v>
      </c>
      <c r="E5545" s="0" t="n">
        <v>0.0878085400696166</v>
      </c>
      <c r="F5545" s="0" t="n">
        <v>0</v>
      </c>
      <c r="G5545" s="0" t="n">
        <v>2021</v>
      </c>
    </row>
    <row r="5546" customFormat="false" ht="15" hidden="false" customHeight="false" outlineLevel="0" collapsed="false">
      <c r="A5546" s="0" t="s">
        <v>262</v>
      </c>
      <c r="B5546" s="52" t="n">
        <v>44342</v>
      </c>
      <c r="C5546" s="54" t="s">
        <v>591</v>
      </c>
      <c r="D5546" s="0" t="n">
        <v>0.0273109597824881</v>
      </c>
      <c r="E5546" s="0" t="n">
        <v>0.0247100118053376</v>
      </c>
      <c r="F5546" s="0" t="n">
        <v>0</v>
      </c>
      <c r="G5546" s="0" t="n">
        <v>2021</v>
      </c>
    </row>
    <row r="5547" customFormat="false" ht="15" hidden="false" customHeight="false" outlineLevel="0" collapsed="false">
      <c r="A5547" s="0" t="s">
        <v>262</v>
      </c>
      <c r="B5547" s="52" t="n">
        <v>44342</v>
      </c>
      <c r="C5547" s="54" t="s">
        <v>592</v>
      </c>
      <c r="D5547" s="0" t="n">
        <v>0.934701966347428</v>
      </c>
      <c r="E5547" s="0" t="n">
        <v>0</v>
      </c>
      <c r="F5547" s="0" t="n">
        <v>0</v>
      </c>
      <c r="G5547" s="0" t="n">
        <v>2021</v>
      </c>
    </row>
    <row r="5548" customFormat="false" ht="15" hidden="false" customHeight="false" outlineLevel="0" collapsed="false">
      <c r="A5548" s="0" t="s">
        <v>262</v>
      </c>
      <c r="B5548" s="52" t="n">
        <v>44343</v>
      </c>
      <c r="C5548" s="54" t="s">
        <v>590</v>
      </c>
      <c r="D5548" s="0" t="n">
        <v>0.288800059026327</v>
      </c>
      <c r="E5548" s="0" t="n">
        <v>0.0543283566057333</v>
      </c>
      <c r="F5548" s="0" t="n">
        <v>0</v>
      </c>
      <c r="G5548" s="0" t="n">
        <v>2021</v>
      </c>
    </row>
    <row r="5549" customFormat="false" ht="15" hidden="false" customHeight="false" outlineLevel="0" collapsed="false">
      <c r="A5549" s="0" t="s">
        <v>262</v>
      </c>
      <c r="B5549" s="52" t="n">
        <v>44343</v>
      </c>
      <c r="C5549" s="54" t="s">
        <v>591</v>
      </c>
      <c r="D5549" s="0" t="n">
        <v>0.524724325614555</v>
      </c>
      <c r="E5549" s="0" t="n">
        <v>0.005184285910477</v>
      </c>
      <c r="F5549" s="0" t="n">
        <v>0</v>
      </c>
      <c r="G5549" s="0" t="n">
        <v>2021</v>
      </c>
    </row>
    <row r="5550" customFormat="false" ht="15" hidden="false" customHeight="false" outlineLevel="0" collapsed="false">
      <c r="A5550" s="0" t="s">
        <v>262</v>
      </c>
      <c r="B5550" s="52" t="n">
        <v>44343</v>
      </c>
      <c r="C5550" s="54" t="s">
        <v>592</v>
      </c>
      <c r="D5550" s="0" t="n">
        <v>0</v>
      </c>
      <c r="E5550" s="0" t="n">
        <v>0.0246149390556146</v>
      </c>
      <c r="F5550" s="0" t="n">
        <v>0</v>
      </c>
      <c r="G5550" s="0" t="n">
        <v>2021</v>
      </c>
    </row>
    <row r="5551" customFormat="false" ht="15" hidden="false" customHeight="false" outlineLevel="0" collapsed="false">
      <c r="A5551" s="0" t="s">
        <v>262</v>
      </c>
      <c r="B5551" s="52" t="n">
        <v>44344</v>
      </c>
      <c r="C5551" s="54" t="s">
        <v>590</v>
      </c>
      <c r="D5551" s="0" t="n">
        <v>0.0013017409226892</v>
      </c>
      <c r="E5551" s="0" t="n">
        <v>0.0418031094622552</v>
      </c>
      <c r="F5551" s="0" t="n">
        <v>0</v>
      </c>
      <c r="G5551" s="0" t="n">
        <v>2021</v>
      </c>
    </row>
    <row r="5552" customFormat="false" ht="15" hidden="false" customHeight="false" outlineLevel="0" collapsed="false">
      <c r="A5552" s="0" t="s">
        <v>262</v>
      </c>
      <c r="B5552" s="52" t="n">
        <v>44344</v>
      </c>
      <c r="C5552" s="54" t="s">
        <v>591</v>
      </c>
      <c r="D5552" s="0" t="n">
        <v>0.99260280832819</v>
      </c>
      <c r="E5552" s="0" t="n">
        <v>0</v>
      </c>
      <c r="F5552" s="0" t="n">
        <v>0</v>
      </c>
      <c r="G5552" s="0" t="n">
        <v>2021</v>
      </c>
    </row>
    <row r="5553" customFormat="false" ht="15" hidden="false" customHeight="false" outlineLevel="0" collapsed="false">
      <c r="A5553" s="0" t="s">
        <v>262</v>
      </c>
      <c r="B5553" s="52" t="n">
        <v>44344</v>
      </c>
      <c r="C5553" s="54" t="s">
        <v>592</v>
      </c>
      <c r="D5553" s="0" t="n">
        <v>0.127125555239295</v>
      </c>
      <c r="E5553" s="0" t="n">
        <v>0.0880111336683699</v>
      </c>
      <c r="F5553" s="0" t="n">
        <v>0</v>
      </c>
      <c r="G5553" s="0" t="n">
        <v>2021</v>
      </c>
    </row>
    <row r="5554" customFormat="false" ht="15" hidden="false" customHeight="false" outlineLevel="0" collapsed="false">
      <c r="A5554" s="0" t="s">
        <v>262</v>
      </c>
      <c r="B5554" s="52" t="n">
        <v>44345</v>
      </c>
      <c r="C5554" s="54" t="s">
        <v>590</v>
      </c>
      <c r="D5554" s="0" t="n">
        <v>0.0220564684519885</v>
      </c>
      <c r="E5554" s="0" t="n">
        <v>0.0345680906774188</v>
      </c>
      <c r="F5554" s="0" t="n">
        <v>1</v>
      </c>
      <c r="G5554" s="0" t="n">
        <v>2021</v>
      </c>
    </row>
    <row r="5555" customFormat="false" ht="15" hidden="false" customHeight="false" outlineLevel="0" collapsed="false">
      <c r="A5555" s="0" t="s">
        <v>262</v>
      </c>
      <c r="B5555" s="52" t="n">
        <v>44345</v>
      </c>
      <c r="C5555" s="54" t="s">
        <v>591</v>
      </c>
      <c r="D5555" s="0" t="n">
        <v>0.156255162977477</v>
      </c>
      <c r="E5555" s="0" t="n">
        <v>0.0398062601000189</v>
      </c>
      <c r="F5555" s="0" t="n">
        <v>1</v>
      </c>
      <c r="G5555" s="0" t="n">
        <v>2021</v>
      </c>
    </row>
    <row r="5556" customFormat="false" ht="15" hidden="false" customHeight="false" outlineLevel="0" collapsed="false">
      <c r="A5556" s="0" t="s">
        <v>262</v>
      </c>
      <c r="B5556" s="52" t="n">
        <v>44345</v>
      </c>
      <c r="C5556" s="54" t="s">
        <v>592</v>
      </c>
      <c r="D5556" s="0" t="n">
        <v>1</v>
      </c>
      <c r="E5556" s="0" t="n">
        <v>0</v>
      </c>
      <c r="F5556" s="0" t="n">
        <v>1</v>
      </c>
      <c r="G5556" s="0" t="n">
        <v>2021</v>
      </c>
    </row>
    <row r="5557" customFormat="false" ht="15" hidden="false" customHeight="false" outlineLevel="0" collapsed="false">
      <c r="A5557" s="0" t="s">
        <v>262</v>
      </c>
      <c r="B5557" s="52" t="n">
        <v>44346</v>
      </c>
      <c r="C5557" s="54" t="s">
        <v>590</v>
      </c>
      <c r="D5557" s="0" t="n">
        <v>0.933032728023477</v>
      </c>
      <c r="E5557" s="0" t="n">
        <v>0</v>
      </c>
      <c r="F5557" s="0" t="n">
        <v>1</v>
      </c>
      <c r="G5557" s="0" t="n">
        <v>2021</v>
      </c>
    </row>
    <row r="5558" customFormat="false" ht="15" hidden="false" customHeight="false" outlineLevel="0" collapsed="false">
      <c r="A5558" s="0" t="s">
        <v>262</v>
      </c>
      <c r="B5558" s="52" t="n">
        <v>44346</v>
      </c>
      <c r="C5558" s="54" t="s">
        <v>591</v>
      </c>
      <c r="D5558" s="0" t="n">
        <v>0.0923839055814615</v>
      </c>
      <c r="E5558" s="0" t="n">
        <v>0.0565261799477685</v>
      </c>
      <c r="F5558" s="0" t="n">
        <v>1</v>
      </c>
      <c r="G5558" s="0" t="n">
        <v>2021</v>
      </c>
    </row>
    <row r="5559" customFormat="false" ht="15" hidden="false" customHeight="false" outlineLevel="0" collapsed="false">
      <c r="A5559" s="0" t="s">
        <v>262</v>
      </c>
      <c r="B5559" s="52" t="n">
        <v>44346</v>
      </c>
      <c r="C5559" s="54" t="s">
        <v>592</v>
      </c>
      <c r="D5559" s="0" t="n">
        <v>0.0414049140955456</v>
      </c>
      <c r="E5559" s="0" t="n">
        <v>0.0220609394100197</v>
      </c>
      <c r="F5559" s="0" t="n">
        <v>1</v>
      </c>
      <c r="G5559" s="0" t="n">
        <v>2021</v>
      </c>
    </row>
    <row r="5560" customFormat="false" ht="15" hidden="false" customHeight="false" outlineLevel="0" collapsed="false">
      <c r="A5560" s="0" t="s">
        <v>262</v>
      </c>
      <c r="B5560" s="52" t="n">
        <v>44347</v>
      </c>
      <c r="C5560" s="54" t="s">
        <v>590</v>
      </c>
      <c r="D5560" s="0" t="n">
        <v>0.0821832824226024</v>
      </c>
      <c r="E5560" s="0" t="n">
        <v>0.0680327303840482</v>
      </c>
      <c r="F5560" s="0" t="n">
        <v>0</v>
      </c>
      <c r="G5560" s="0" t="n">
        <v>2021</v>
      </c>
    </row>
    <row r="5561" customFormat="false" ht="15" hidden="false" customHeight="false" outlineLevel="0" collapsed="false">
      <c r="A5561" s="0" t="s">
        <v>262</v>
      </c>
      <c r="B5561" s="52" t="n">
        <v>44347</v>
      </c>
      <c r="C5561" s="54" t="s">
        <v>591</v>
      </c>
      <c r="D5561" s="0" t="n">
        <v>0.323476992991787</v>
      </c>
      <c r="E5561" s="0" t="n">
        <v>0.0542811431248061</v>
      </c>
      <c r="F5561" s="0" t="n">
        <v>0</v>
      </c>
      <c r="G5561" s="0" t="n">
        <v>2021</v>
      </c>
    </row>
    <row r="5562" customFormat="false" ht="15" hidden="false" customHeight="false" outlineLevel="0" collapsed="false">
      <c r="A5562" s="0" t="s">
        <v>262</v>
      </c>
      <c r="B5562" s="52" t="n">
        <v>44347</v>
      </c>
      <c r="C5562" s="54" t="s">
        <v>592</v>
      </c>
      <c r="D5562" s="0" t="n">
        <v>0.00408749945092</v>
      </c>
      <c r="E5562" s="0" t="n">
        <v>0.0227867319664385</v>
      </c>
      <c r="F5562" s="0" t="n">
        <v>0</v>
      </c>
      <c r="G5562" s="0" t="n">
        <v>2021</v>
      </c>
    </row>
    <row r="5563" customFormat="false" ht="15" hidden="false" customHeight="false" outlineLevel="0" collapsed="false">
      <c r="A5563" s="0" t="s">
        <v>262</v>
      </c>
      <c r="B5563" s="52" t="n">
        <v>44348</v>
      </c>
      <c r="C5563" s="54" t="s">
        <v>590</v>
      </c>
      <c r="D5563" s="0" t="n">
        <v>0.150487470728432</v>
      </c>
      <c r="E5563" s="0" t="n">
        <v>0.0422266629444021</v>
      </c>
      <c r="F5563" s="0" t="n">
        <v>0</v>
      </c>
      <c r="G5563" s="0" t="n">
        <v>2021</v>
      </c>
    </row>
    <row r="5564" customFormat="false" ht="15" hidden="false" customHeight="false" outlineLevel="0" collapsed="false">
      <c r="A5564" s="0" t="s">
        <v>262</v>
      </c>
      <c r="B5564" s="52" t="n">
        <v>44348</v>
      </c>
      <c r="C5564" s="54" t="s">
        <v>591</v>
      </c>
      <c r="D5564" s="0" t="n">
        <v>0.484195796093052</v>
      </c>
      <c r="E5564" s="0" t="n">
        <v>0.0375109568456543</v>
      </c>
      <c r="F5564" s="0" t="n">
        <v>0</v>
      </c>
      <c r="G5564" s="0" t="n">
        <v>2021</v>
      </c>
    </row>
    <row r="5565" customFormat="false" ht="15" hidden="false" customHeight="false" outlineLevel="0" collapsed="false">
      <c r="A5565" s="0" t="s">
        <v>262</v>
      </c>
      <c r="B5565" s="52" t="n">
        <v>44348</v>
      </c>
      <c r="C5565" s="54" t="s">
        <v>592</v>
      </c>
      <c r="D5565" s="0" t="n">
        <v>0.0129548280986378</v>
      </c>
      <c r="E5565" s="0" t="n">
        <v>0.0839818642359819</v>
      </c>
      <c r="F5565" s="0" t="n">
        <v>0</v>
      </c>
      <c r="G5565" s="0" t="n">
        <v>2021</v>
      </c>
    </row>
    <row r="5566" customFormat="false" ht="15" hidden="false" customHeight="false" outlineLevel="0" collapsed="false">
      <c r="A5566" s="0" t="s">
        <v>262</v>
      </c>
      <c r="B5566" s="52" t="n">
        <v>44349</v>
      </c>
      <c r="C5566" s="54" t="s">
        <v>590</v>
      </c>
      <c r="D5566" s="0" t="n">
        <v>0.0135454173815794</v>
      </c>
      <c r="E5566" s="0" t="n">
        <v>0.0263044563636839</v>
      </c>
      <c r="F5566" s="0" t="n">
        <v>0</v>
      </c>
      <c r="G5566" s="0" t="n">
        <v>2021</v>
      </c>
    </row>
    <row r="5567" customFormat="false" ht="15" hidden="false" customHeight="false" outlineLevel="0" collapsed="false">
      <c r="A5567" s="0" t="s">
        <v>262</v>
      </c>
      <c r="B5567" s="52" t="n">
        <v>44349</v>
      </c>
      <c r="C5567" s="54" t="s">
        <v>591</v>
      </c>
      <c r="D5567" s="0" t="n">
        <v>0.797557419459861</v>
      </c>
      <c r="E5567" s="0" t="n">
        <v>0</v>
      </c>
      <c r="F5567" s="0" t="n">
        <v>0</v>
      </c>
      <c r="G5567" s="0" t="n">
        <v>2021</v>
      </c>
    </row>
    <row r="5568" customFormat="false" ht="15" hidden="false" customHeight="false" outlineLevel="0" collapsed="false">
      <c r="A5568" s="0" t="s">
        <v>262</v>
      </c>
      <c r="B5568" s="52" t="n">
        <v>44349</v>
      </c>
      <c r="C5568" s="54" t="s">
        <v>592</v>
      </c>
      <c r="D5568" s="0" t="n">
        <v>0.0106494316982724</v>
      </c>
      <c r="E5568" s="0" t="n">
        <v>0.0761331966595314</v>
      </c>
      <c r="F5568" s="0" t="n">
        <v>0</v>
      </c>
      <c r="G5568" s="0" t="n">
        <v>2021</v>
      </c>
    </row>
    <row r="5569" customFormat="false" ht="15" hidden="false" customHeight="false" outlineLevel="0" collapsed="false">
      <c r="A5569" s="0" t="s">
        <v>262</v>
      </c>
      <c r="B5569" s="52" t="n">
        <v>44350</v>
      </c>
      <c r="C5569" s="54" t="s">
        <v>590</v>
      </c>
      <c r="D5569" s="0" t="n">
        <v>0.111204841549979</v>
      </c>
      <c r="E5569" s="0" t="n">
        <v>0.128631628436151</v>
      </c>
      <c r="F5569" s="0" t="n">
        <v>0</v>
      </c>
      <c r="G5569" s="0" t="n">
        <v>2021</v>
      </c>
    </row>
    <row r="5570" customFormat="false" ht="15" hidden="false" customHeight="false" outlineLevel="0" collapsed="false">
      <c r="A5570" s="0" t="s">
        <v>262</v>
      </c>
      <c r="B5570" s="52" t="n">
        <v>44350</v>
      </c>
      <c r="C5570" s="54" t="s">
        <v>591</v>
      </c>
      <c r="D5570" s="0" t="n">
        <v>0.43976166804061</v>
      </c>
      <c r="E5570" s="0" t="n">
        <v>0.0135558529500111</v>
      </c>
      <c r="F5570" s="0" t="n">
        <v>0</v>
      </c>
      <c r="G5570" s="0" t="n">
        <v>2021</v>
      </c>
    </row>
    <row r="5571" customFormat="false" ht="15" hidden="false" customHeight="false" outlineLevel="0" collapsed="false">
      <c r="A5571" s="0" t="s">
        <v>262</v>
      </c>
      <c r="B5571" s="52" t="n">
        <v>44350</v>
      </c>
      <c r="C5571" s="54" t="s">
        <v>592</v>
      </c>
      <c r="D5571" s="0" t="n">
        <v>0.0133225788257205</v>
      </c>
      <c r="E5571" s="0" t="n">
        <v>0.0598202735169099</v>
      </c>
      <c r="F5571" s="0" t="n">
        <v>0</v>
      </c>
      <c r="G5571" s="0" t="n">
        <v>2021</v>
      </c>
    </row>
    <row r="5572" customFormat="false" ht="15" hidden="false" customHeight="false" outlineLevel="0" collapsed="false">
      <c r="A5572" s="0" t="s">
        <v>262</v>
      </c>
      <c r="B5572" s="52" t="n">
        <v>44351</v>
      </c>
      <c r="C5572" s="54" t="s">
        <v>590</v>
      </c>
      <c r="D5572" s="0" t="n">
        <v>0.0786822642747343</v>
      </c>
      <c r="E5572" s="0" t="n">
        <v>0.131060247618687</v>
      </c>
      <c r="F5572" s="0" t="n">
        <v>0</v>
      </c>
      <c r="G5572" s="0" t="n">
        <v>2021</v>
      </c>
    </row>
    <row r="5573" customFormat="false" ht="15" hidden="false" customHeight="false" outlineLevel="0" collapsed="false">
      <c r="A5573" s="0" t="s">
        <v>262</v>
      </c>
      <c r="B5573" s="52" t="n">
        <v>44351</v>
      </c>
      <c r="C5573" s="54" t="s">
        <v>591</v>
      </c>
      <c r="D5573" s="0" t="n">
        <v>0.281738003971491</v>
      </c>
      <c r="E5573" s="0" t="n">
        <v>0.0274159509195367</v>
      </c>
      <c r="F5573" s="0" t="n">
        <v>0</v>
      </c>
      <c r="G5573" s="0" t="n">
        <v>2021</v>
      </c>
    </row>
    <row r="5574" customFormat="false" ht="15" hidden="false" customHeight="false" outlineLevel="0" collapsed="false">
      <c r="A5574" s="0" t="s">
        <v>262</v>
      </c>
      <c r="B5574" s="52" t="n">
        <v>44351</v>
      </c>
      <c r="C5574" s="54" t="s">
        <v>592</v>
      </c>
      <c r="D5574" s="0" t="n">
        <v>0.446105447976309</v>
      </c>
      <c r="E5574" s="0" t="n">
        <v>0.0233742144863054</v>
      </c>
      <c r="F5574" s="0" t="n">
        <v>0</v>
      </c>
      <c r="G5574" s="0" t="n">
        <v>2021</v>
      </c>
    </row>
    <row r="5575" customFormat="false" ht="15" hidden="false" customHeight="false" outlineLevel="0" collapsed="false">
      <c r="A5575" s="0" t="s">
        <v>262</v>
      </c>
      <c r="B5575" s="52" t="n">
        <v>44352</v>
      </c>
      <c r="C5575" s="54" t="s">
        <v>590</v>
      </c>
      <c r="D5575" s="0" t="n">
        <v>0.0063248487532462</v>
      </c>
      <c r="E5575" s="0" t="n">
        <v>0.200888760025453</v>
      </c>
      <c r="F5575" s="0" t="n">
        <v>1</v>
      </c>
      <c r="G5575" s="0" t="n">
        <v>2021</v>
      </c>
    </row>
    <row r="5576" customFormat="false" ht="15" hidden="false" customHeight="false" outlineLevel="0" collapsed="false">
      <c r="A5576" s="0" t="s">
        <v>262</v>
      </c>
      <c r="B5576" s="52" t="n">
        <v>44352</v>
      </c>
      <c r="C5576" s="54" t="s">
        <v>591</v>
      </c>
      <c r="D5576" s="0" t="n">
        <v>0.0101177764899818</v>
      </c>
      <c r="E5576" s="0" t="n">
        <v>0.112162294184025</v>
      </c>
      <c r="F5576" s="0" t="n">
        <v>1</v>
      </c>
      <c r="G5576" s="0" t="n">
        <v>2021</v>
      </c>
    </row>
    <row r="5577" customFormat="false" ht="15" hidden="false" customHeight="false" outlineLevel="0" collapsed="false">
      <c r="A5577" s="0" t="s">
        <v>262</v>
      </c>
      <c r="B5577" s="52" t="n">
        <v>44352</v>
      </c>
      <c r="C5577" s="54" t="s">
        <v>592</v>
      </c>
      <c r="D5577" s="0" t="n">
        <v>0.823779939369671</v>
      </c>
      <c r="E5577" s="0" t="n">
        <v>0</v>
      </c>
      <c r="F5577" s="0" t="n">
        <v>1</v>
      </c>
      <c r="G5577" s="0" t="n">
        <v>2021</v>
      </c>
    </row>
    <row r="5578" customFormat="false" ht="15" hidden="false" customHeight="false" outlineLevel="0" collapsed="false">
      <c r="A5578" s="0" t="s">
        <v>262</v>
      </c>
      <c r="B5578" s="52" t="n">
        <v>44353</v>
      </c>
      <c r="C5578" s="54" t="s">
        <v>590</v>
      </c>
      <c r="D5578" s="0" t="n">
        <v>0.166450505774617</v>
      </c>
      <c r="E5578" s="0" t="n">
        <v>0.103940823259606</v>
      </c>
      <c r="F5578" s="0" t="n">
        <v>1</v>
      </c>
      <c r="G5578" s="0" t="n">
        <v>2021</v>
      </c>
    </row>
    <row r="5579" customFormat="false" ht="15" hidden="false" customHeight="false" outlineLevel="0" collapsed="false">
      <c r="A5579" s="0" t="s">
        <v>262</v>
      </c>
      <c r="B5579" s="52" t="n">
        <v>44353</v>
      </c>
      <c r="C5579" s="54" t="s">
        <v>591</v>
      </c>
      <c r="D5579" s="0" t="n">
        <v>0.0089613187256541</v>
      </c>
      <c r="E5579" s="0" t="n">
        <v>0.165670784585191</v>
      </c>
      <c r="F5579" s="0" t="n">
        <v>1</v>
      </c>
      <c r="G5579" s="0" t="n">
        <v>2021</v>
      </c>
    </row>
    <row r="5580" customFormat="false" ht="15" hidden="false" customHeight="false" outlineLevel="0" collapsed="false">
      <c r="A5580" s="0" t="s">
        <v>262</v>
      </c>
      <c r="B5580" s="52" t="n">
        <v>44353</v>
      </c>
      <c r="C5580" s="54" t="s">
        <v>592</v>
      </c>
      <c r="D5580" s="0" t="n">
        <v>0.0036453202923497</v>
      </c>
      <c r="E5580" s="0" t="n">
        <v>0.244153647517559</v>
      </c>
      <c r="F5580" s="0" t="n">
        <v>1</v>
      </c>
      <c r="G5580" s="0" t="n">
        <v>2021</v>
      </c>
    </row>
    <row r="5581" customFormat="false" ht="15" hidden="false" customHeight="false" outlineLevel="0" collapsed="false">
      <c r="A5581" s="0" t="s">
        <v>262</v>
      </c>
      <c r="B5581" s="52" t="n">
        <v>44354</v>
      </c>
      <c r="C5581" s="54" t="s">
        <v>590</v>
      </c>
      <c r="D5581" s="0" t="n">
        <v>0.0179708755130229</v>
      </c>
      <c r="E5581" s="0" t="n">
        <v>0.100382954990911</v>
      </c>
      <c r="F5581" s="0" t="n">
        <v>0</v>
      </c>
      <c r="G5581" s="0" t="n">
        <v>2021</v>
      </c>
    </row>
    <row r="5582" customFormat="false" ht="15" hidden="false" customHeight="false" outlineLevel="0" collapsed="false">
      <c r="A5582" s="0" t="s">
        <v>262</v>
      </c>
      <c r="B5582" s="52" t="n">
        <v>44354</v>
      </c>
      <c r="C5582" s="54" t="s">
        <v>591</v>
      </c>
      <c r="D5582" s="0" t="n">
        <v>0.861166341495422</v>
      </c>
      <c r="E5582" s="0" t="n">
        <v>0.0007486547173831</v>
      </c>
      <c r="F5582" s="0" t="n">
        <v>0</v>
      </c>
      <c r="G5582" s="0" t="n">
        <v>2021</v>
      </c>
    </row>
    <row r="5583" customFormat="false" ht="15" hidden="false" customHeight="false" outlineLevel="0" collapsed="false">
      <c r="A5583" s="0" t="s">
        <v>262</v>
      </c>
      <c r="B5583" s="52" t="n">
        <v>44354</v>
      </c>
      <c r="C5583" s="54" t="s">
        <v>592</v>
      </c>
      <c r="D5583" s="0" t="n">
        <v>0.13089556238953</v>
      </c>
      <c r="E5583" s="0" t="n">
        <v>0.039504042067109</v>
      </c>
      <c r="F5583" s="0" t="n">
        <v>0</v>
      </c>
      <c r="G5583" s="0" t="n">
        <v>2021</v>
      </c>
    </row>
    <row r="5584" customFormat="false" ht="15" hidden="false" customHeight="false" outlineLevel="0" collapsed="false">
      <c r="A5584" s="0" t="s">
        <v>262</v>
      </c>
      <c r="B5584" s="52" t="n">
        <v>44355</v>
      </c>
      <c r="C5584" s="54" t="s">
        <v>590</v>
      </c>
      <c r="D5584" s="0" t="n">
        <v>0.003446765650765</v>
      </c>
      <c r="E5584" s="0" t="n">
        <v>0.130430557234619</v>
      </c>
      <c r="F5584" s="0" t="n">
        <v>0</v>
      </c>
      <c r="G5584" s="0" t="n">
        <v>2021</v>
      </c>
    </row>
    <row r="5585" customFormat="false" ht="15" hidden="false" customHeight="false" outlineLevel="0" collapsed="false">
      <c r="A5585" s="0" t="s">
        <v>262</v>
      </c>
      <c r="B5585" s="52" t="n">
        <v>44355</v>
      </c>
      <c r="C5585" s="54" t="s">
        <v>591</v>
      </c>
      <c r="D5585" s="0" t="n">
        <v>0.0664617588185441</v>
      </c>
      <c r="E5585" s="0" t="n">
        <v>0.0637103745896757</v>
      </c>
      <c r="F5585" s="0" t="n">
        <v>0</v>
      </c>
      <c r="G5585" s="0" t="n">
        <v>2021</v>
      </c>
    </row>
    <row r="5586" customFormat="false" ht="15" hidden="false" customHeight="false" outlineLevel="0" collapsed="false">
      <c r="A5586" s="0" t="s">
        <v>262</v>
      </c>
      <c r="B5586" s="52" t="n">
        <v>44355</v>
      </c>
      <c r="C5586" s="54" t="s">
        <v>592</v>
      </c>
      <c r="D5586" s="0" t="n">
        <v>0.545723701207869</v>
      </c>
      <c r="E5586" s="0" t="n">
        <v>0.0232198603548335</v>
      </c>
      <c r="F5586" s="0" t="n">
        <v>0</v>
      </c>
      <c r="G5586" s="0" t="n">
        <v>2021</v>
      </c>
    </row>
    <row r="5587" customFormat="false" ht="15" hidden="false" customHeight="false" outlineLevel="0" collapsed="false">
      <c r="A5587" s="0" t="s">
        <v>262</v>
      </c>
      <c r="B5587" s="52" t="n">
        <v>44356</v>
      </c>
      <c r="C5587" s="54" t="s">
        <v>590</v>
      </c>
      <c r="D5587" s="0" t="n">
        <v>0.0527202481574198</v>
      </c>
      <c r="E5587" s="0" t="n">
        <v>0.0743869696889038</v>
      </c>
      <c r="F5587" s="0" t="n">
        <v>0</v>
      </c>
      <c r="G5587" s="0" t="n">
        <v>2021</v>
      </c>
    </row>
    <row r="5588" customFormat="false" ht="15" hidden="false" customHeight="false" outlineLevel="0" collapsed="false">
      <c r="A5588" s="0" t="s">
        <v>262</v>
      </c>
      <c r="B5588" s="52" t="n">
        <v>44356</v>
      </c>
      <c r="C5588" s="54" t="s">
        <v>591</v>
      </c>
      <c r="D5588" s="0" t="n">
        <v>0</v>
      </c>
      <c r="E5588" s="0" t="n">
        <v>0.0372105829678067</v>
      </c>
      <c r="F5588" s="0" t="n">
        <v>0</v>
      </c>
      <c r="G5588" s="0" t="n">
        <v>2021</v>
      </c>
    </row>
    <row r="5589" customFormat="false" ht="15" hidden="false" customHeight="false" outlineLevel="0" collapsed="false">
      <c r="A5589" s="0" t="s">
        <v>262</v>
      </c>
      <c r="B5589" s="52" t="n">
        <v>44356</v>
      </c>
      <c r="C5589" s="54" t="s">
        <v>592</v>
      </c>
      <c r="D5589" s="0" t="n">
        <v>0.163374921746053</v>
      </c>
      <c r="E5589" s="0" t="n">
        <v>0.064834827932655</v>
      </c>
      <c r="F5589" s="0" t="n">
        <v>0</v>
      </c>
      <c r="G5589" s="0" t="n">
        <v>2021</v>
      </c>
    </row>
    <row r="5590" customFormat="false" ht="15" hidden="false" customHeight="false" outlineLevel="0" collapsed="false">
      <c r="A5590" s="0" t="s">
        <v>262</v>
      </c>
      <c r="B5590" s="52" t="n">
        <v>44357</v>
      </c>
      <c r="C5590" s="54" t="s">
        <v>590</v>
      </c>
      <c r="D5590" s="0" t="n">
        <v>0.511059756528919</v>
      </c>
      <c r="E5590" s="0" t="n">
        <v>0.0038547011626233</v>
      </c>
      <c r="F5590" s="0" t="n">
        <v>0</v>
      </c>
      <c r="G5590" s="0" t="n">
        <v>2021</v>
      </c>
    </row>
    <row r="5591" customFormat="false" ht="15" hidden="false" customHeight="false" outlineLevel="0" collapsed="false">
      <c r="A5591" s="0" t="s">
        <v>262</v>
      </c>
      <c r="B5591" s="52" t="n">
        <v>44357</v>
      </c>
      <c r="C5591" s="54" t="s">
        <v>591</v>
      </c>
      <c r="D5591" s="0" t="n">
        <v>0.003651646717046</v>
      </c>
      <c r="E5591" s="0" t="n">
        <v>0.0120800749446604</v>
      </c>
      <c r="F5591" s="0" t="n">
        <v>0</v>
      </c>
      <c r="G5591" s="0" t="n">
        <v>2021</v>
      </c>
    </row>
    <row r="5592" customFormat="false" ht="15" hidden="false" customHeight="false" outlineLevel="0" collapsed="false">
      <c r="A5592" s="0" t="s">
        <v>262</v>
      </c>
      <c r="B5592" s="52" t="n">
        <v>44357</v>
      </c>
      <c r="C5592" s="54" t="s">
        <v>592</v>
      </c>
      <c r="D5592" s="0" t="n">
        <v>0.0092459782824723</v>
      </c>
      <c r="E5592" s="0" t="n">
        <v>0.0502089514147001</v>
      </c>
      <c r="F5592" s="0" t="n">
        <v>0</v>
      </c>
      <c r="G5592" s="0" t="n">
        <v>2021</v>
      </c>
    </row>
    <row r="5593" customFormat="false" ht="15" hidden="false" customHeight="false" outlineLevel="0" collapsed="false">
      <c r="A5593" s="0" t="s">
        <v>262</v>
      </c>
      <c r="B5593" s="52" t="n">
        <v>44358</v>
      </c>
      <c r="C5593" s="54" t="s">
        <v>590</v>
      </c>
      <c r="D5593" s="0" t="n">
        <v>0.326242832779139</v>
      </c>
      <c r="E5593" s="0" t="n">
        <v>0.0270478147975908</v>
      </c>
      <c r="F5593" s="0" t="n">
        <v>0</v>
      </c>
      <c r="G5593" s="0" t="n">
        <v>2021</v>
      </c>
    </row>
    <row r="5594" customFormat="false" ht="15" hidden="false" customHeight="false" outlineLevel="0" collapsed="false">
      <c r="A5594" s="0" t="s">
        <v>262</v>
      </c>
      <c r="B5594" s="52" t="n">
        <v>44358</v>
      </c>
      <c r="C5594" s="54" t="s">
        <v>591</v>
      </c>
      <c r="D5594" s="0" t="n">
        <v>0.938434172705317</v>
      </c>
      <c r="E5594" s="0" t="n">
        <v>0</v>
      </c>
      <c r="F5594" s="0" t="n">
        <v>0</v>
      </c>
      <c r="G5594" s="0" t="n">
        <v>2021</v>
      </c>
    </row>
    <row r="5595" customFormat="false" ht="15" hidden="false" customHeight="false" outlineLevel="0" collapsed="false">
      <c r="A5595" s="0" t="s">
        <v>262</v>
      </c>
      <c r="B5595" s="52" t="n">
        <v>44361</v>
      </c>
      <c r="C5595" s="54" t="s">
        <v>591</v>
      </c>
      <c r="D5595" s="0" t="n">
        <v>0.705487102836167</v>
      </c>
      <c r="E5595" s="0" t="n">
        <v>0</v>
      </c>
      <c r="F5595" s="0" t="n">
        <v>0</v>
      </c>
      <c r="G5595" s="0" t="n">
        <v>2021</v>
      </c>
    </row>
    <row r="5596" customFormat="false" ht="15" hidden="false" customHeight="false" outlineLevel="0" collapsed="false">
      <c r="A5596" s="0" t="s">
        <v>262</v>
      </c>
      <c r="B5596" s="52" t="n">
        <v>44361</v>
      </c>
      <c r="C5596" s="54" t="s">
        <v>592</v>
      </c>
      <c r="D5596" s="0" t="n">
        <v>0.94557121290624</v>
      </c>
      <c r="E5596" s="0" t="n">
        <v>0</v>
      </c>
      <c r="F5596" s="0" t="n">
        <v>0</v>
      </c>
      <c r="G5596" s="0" t="n">
        <v>2021</v>
      </c>
    </row>
    <row r="5597" customFormat="false" ht="15" hidden="false" customHeight="false" outlineLevel="0" collapsed="false">
      <c r="A5597" s="0" t="s">
        <v>262</v>
      </c>
      <c r="B5597" s="52" t="n">
        <v>44362</v>
      </c>
      <c r="C5597" s="54" t="s">
        <v>590</v>
      </c>
      <c r="D5597" s="0" t="n">
        <v>0.1374533021153</v>
      </c>
      <c r="E5597" s="0" t="n">
        <v>0.0413330993856486</v>
      </c>
      <c r="F5597" s="0" t="n">
        <v>0</v>
      </c>
      <c r="G5597" s="0" t="n">
        <v>2021</v>
      </c>
    </row>
    <row r="5598" customFormat="false" ht="15" hidden="false" customHeight="false" outlineLevel="0" collapsed="false">
      <c r="A5598" s="0" t="s">
        <v>262</v>
      </c>
      <c r="B5598" s="52" t="n">
        <v>44362</v>
      </c>
      <c r="C5598" s="54" t="s">
        <v>591</v>
      </c>
      <c r="D5598" s="0" t="n">
        <v>0.182171175520055</v>
      </c>
      <c r="E5598" s="0" t="n">
        <v>0.0811434917444513</v>
      </c>
      <c r="F5598" s="0" t="n">
        <v>0</v>
      </c>
      <c r="G5598" s="0" t="n">
        <v>2021</v>
      </c>
    </row>
    <row r="5599" customFormat="false" ht="15" hidden="false" customHeight="false" outlineLevel="0" collapsed="false">
      <c r="A5599" s="0" t="s">
        <v>262</v>
      </c>
      <c r="B5599" s="52" t="n">
        <v>44362</v>
      </c>
      <c r="C5599" s="54" t="s">
        <v>592</v>
      </c>
      <c r="D5599" s="0" t="n">
        <v>0.0032576629124058</v>
      </c>
      <c r="E5599" s="0" t="n">
        <v>0.124776778798788</v>
      </c>
      <c r="F5599" s="0" t="n">
        <v>0</v>
      </c>
      <c r="G5599" s="0" t="n">
        <v>2021</v>
      </c>
    </row>
    <row r="5600" customFormat="false" ht="15" hidden="false" customHeight="false" outlineLevel="0" collapsed="false">
      <c r="A5600" s="0" t="s">
        <v>262</v>
      </c>
      <c r="B5600" s="52" t="n">
        <v>44363</v>
      </c>
      <c r="C5600" s="54" t="s">
        <v>590</v>
      </c>
      <c r="D5600" s="0" t="n">
        <v>0.575755990100254</v>
      </c>
      <c r="E5600" s="0" t="n">
        <v>0.0110642378449939</v>
      </c>
      <c r="F5600" s="0" t="n">
        <v>0</v>
      </c>
      <c r="G5600" s="0" t="n">
        <v>2021</v>
      </c>
    </row>
    <row r="5601" customFormat="false" ht="15" hidden="false" customHeight="false" outlineLevel="0" collapsed="false">
      <c r="A5601" s="0" t="s">
        <v>262</v>
      </c>
      <c r="B5601" s="52" t="n">
        <v>44363</v>
      </c>
      <c r="C5601" s="54" t="s">
        <v>591</v>
      </c>
      <c r="D5601" s="0" t="n">
        <v>0.48046893250306</v>
      </c>
      <c r="E5601" s="0" t="n">
        <v>0.0035086736936541</v>
      </c>
      <c r="F5601" s="0" t="n">
        <v>0</v>
      </c>
      <c r="G5601" s="0" t="n">
        <v>2021</v>
      </c>
    </row>
    <row r="5602" customFormat="false" ht="15" hidden="false" customHeight="false" outlineLevel="0" collapsed="false">
      <c r="A5602" s="0" t="s">
        <v>262</v>
      </c>
      <c r="B5602" s="52" t="n">
        <v>44363</v>
      </c>
      <c r="C5602" s="54" t="s">
        <v>592</v>
      </c>
      <c r="D5602" s="0" t="n">
        <v>0.0076082246268128</v>
      </c>
      <c r="E5602" s="0" t="n">
        <v>0.120265596905174</v>
      </c>
      <c r="F5602" s="0" t="n">
        <v>0</v>
      </c>
      <c r="G5602" s="0" t="n">
        <v>2021</v>
      </c>
    </row>
    <row r="5603" customFormat="false" ht="15" hidden="false" customHeight="false" outlineLevel="0" collapsed="false">
      <c r="A5603" s="0" t="s">
        <v>262</v>
      </c>
      <c r="B5603" s="52" t="n">
        <v>44364</v>
      </c>
      <c r="C5603" s="54" t="s">
        <v>590</v>
      </c>
      <c r="D5603" s="0" t="n">
        <v>0.0537960883998434</v>
      </c>
      <c r="E5603" s="0" t="n">
        <v>0.0481171140057528</v>
      </c>
      <c r="F5603" s="0" t="n">
        <v>0</v>
      </c>
      <c r="G5603" s="0" t="n">
        <v>2021</v>
      </c>
    </row>
    <row r="5604" customFormat="false" ht="15" hidden="false" customHeight="false" outlineLevel="0" collapsed="false">
      <c r="A5604" s="0" t="s">
        <v>262</v>
      </c>
      <c r="B5604" s="52" t="n">
        <v>44364</v>
      </c>
      <c r="C5604" s="54" t="s">
        <v>591</v>
      </c>
      <c r="D5604" s="0" t="n">
        <v>0.144549942249047</v>
      </c>
      <c r="E5604" s="0" t="n">
        <v>0.0112760522923924</v>
      </c>
      <c r="F5604" s="0" t="n">
        <v>0</v>
      </c>
      <c r="G5604" s="0" t="n">
        <v>2021</v>
      </c>
    </row>
    <row r="5605" customFormat="false" ht="15" hidden="false" customHeight="false" outlineLevel="0" collapsed="false">
      <c r="A5605" s="0" t="s">
        <v>262</v>
      </c>
      <c r="B5605" s="52" t="n">
        <v>44364</v>
      </c>
      <c r="C5605" s="54" t="s">
        <v>592</v>
      </c>
      <c r="D5605" s="0" t="n">
        <v>0.436447999976849</v>
      </c>
      <c r="E5605" s="0" t="n">
        <v>0.0112203890574091</v>
      </c>
      <c r="F5605" s="0" t="n">
        <v>0</v>
      </c>
      <c r="G5605" s="0" t="n">
        <v>2021</v>
      </c>
    </row>
    <row r="5606" customFormat="false" ht="15" hidden="false" customHeight="false" outlineLevel="0" collapsed="false">
      <c r="A5606" s="0" t="s">
        <v>262</v>
      </c>
      <c r="B5606" s="52" t="n">
        <v>44365</v>
      </c>
      <c r="C5606" s="54" t="s">
        <v>590</v>
      </c>
      <c r="D5606" s="0" t="n">
        <v>0.547542551885981</v>
      </c>
      <c r="E5606" s="0" t="n">
        <v>0.0197756308127197</v>
      </c>
      <c r="F5606" s="0" t="n">
        <v>0</v>
      </c>
      <c r="G5606" s="0" t="n">
        <v>2021</v>
      </c>
    </row>
    <row r="5607" customFormat="false" ht="15" hidden="false" customHeight="false" outlineLevel="0" collapsed="false">
      <c r="A5607" s="0" t="s">
        <v>262</v>
      </c>
      <c r="B5607" s="52" t="n">
        <v>44365</v>
      </c>
      <c r="C5607" s="54" t="s">
        <v>591</v>
      </c>
      <c r="D5607" s="0" t="n">
        <v>0.0096370002806114</v>
      </c>
      <c r="E5607" s="0" t="n">
        <v>0.0614939400752659</v>
      </c>
      <c r="F5607" s="0" t="n">
        <v>0</v>
      </c>
      <c r="G5607" s="0" t="n">
        <v>2021</v>
      </c>
    </row>
    <row r="5608" customFormat="false" ht="15" hidden="false" customHeight="false" outlineLevel="0" collapsed="false">
      <c r="A5608" s="0" t="s">
        <v>262</v>
      </c>
      <c r="B5608" s="52" t="n">
        <v>44365</v>
      </c>
      <c r="C5608" s="54" t="s">
        <v>592</v>
      </c>
      <c r="D5608" s="0" t="n">
        <v>0.0672905200302423</v>
      </c>
      <c r="E5608" s="0" t="n">
        <v>0.0243448776320822</v>
      </c>
      <c r="F5608" s="0" t="n">
        <v>0</v>
      </c>
      <c r="G5608" s="0" t="n">
        <v>2021</v>
      </c>
    </row>
    <row r="5609" customFormat="false" ht="15" hidden="false" customHeight="false" outlineLevel="0" collapsed="false">
      <c r="A5609" s="0" t="s">
        <v>262</v>
      </c>
      <c r="B5609" s="52" t="n">
        <v>44366</v>
      </c>
      <c r="C5609" s="54" t="s">
        <v>590</v>
      </c>
      <c r="D5609" s="0" t="n">
        <v>0.330886325566739</v>
      </c>
      <c r="E5609" s="0" t="n">
        <v>0.0126240530137637</v>
      </c>
      <c r="F5609" s="0" t="n">
        <v>1</v>
      </c>
      <c r="G5609" s="0" t="n">
        <v>2021</v>
      </c>
    </row>
    <row r="5610" customFormat="false" ht="15" hidden="false" customHeight="false" outlineLevel="0" collapsed="false">
      <c r="A5610" s="0" t="s">
        <v>262</v>
      </c>
      <c r="B5610" s="52" t="n">
        <v>44366</v>
      </c>
      <c r="C5610" s="54" t="s">
        <v>591</v>
      </c>
      <c r="D5610" s="0" t="n">
        <v>0.164966783047363</v>
      </c>
      <c r="E5610" s="0" t="n">
        <v>0.0038179740745036</v>
      </c>
      <c r="F5610" s="0" t="n">
        <v>1</v>
      </c>
      <c r="G5610" s="0" t="n">
        <v>2021</v>
      </c>
    </row>
    <row r="5611" customFormat="false" ht="15" hidden="false" customHeight="false" outlineLevel="0" collapsed="false">
      <c r="A5611" s="0" t="s">
        <v>262</v>
      </c>
      <c r="B5611" s="52" t="n">
        <v>44366</v>
      </c>
      <c r="C5611" s="54" t="s">
        <v>592</v>
      </c>
      <c r="D5611" s="0" t="n">
        <v>0.0524305477029956</v>
      </c>
      <c r="E5611" s="0" t="n">
        <v>0.0802819047493108</v>
      </c>
      <c r="F5611" s="0" t="n">
        <v>1</v>
      </c>
      <c r="G5611" s="0" t="n">
        <v>2021</v>
      </c>
    </row>
    <row r="5612" customFormat="false" ht="15" hidden="false" customHeight="false" outlineLevel="0" collapsed="false">
      <c r="A5612" s="0" t="s">
        <v>262</v>
      </c>
      <c r="B5612" s="52" t="n">
        <v>44367</v>
      </c>
      <c r="C5612" s="54" t="s">
        <v>590</v>
      </c>
      <c r="D5612" s="0" t="n">
        <v>0.0320947894508471</v>
      </c>
      <c r="E5612" s="0" t="n">
        <v>0.0147241866950291</v>
      </c>
      <c r="F5612" s="0" t="n">
        <v>1</v>
      </c>
      <c r="G5612" s="0" t="n">
        <v>2021</v>
      </c>
    </row>
    <row r="5613" customFormat="false" ht="15" hidden="false" customHeight="false" outlineLevel="0" collapsed="false">
      <c r="A5613" s="0" t="s">
        <v>262</v>
      </c>
      <c r="B5613" s="52" t="n">
        <v>44367</v>
      </c>
      <c r="C5613" s="54" t="s">
        <v>591</v>
      </c>
      <c r="D5613" s="0" t="n">
        <v>0.139265909234241</v>
      </c>
      <c r="E5613" s="0" t="n">
        <v>0.115364338807215</v>
      </c>
      <c r="F5613" s="0" t="n">
        <v>1</v>
      </c>
      <c r="G5613" s="0" t="n">
        <v>2021</v>
      </c>
    </row>
    <row r="5614" customFormat="false" ht="15" hidden="false" customHeight="false" outlineLevel="0" collapsed="false">
      <c r="A5614" s="0" t="s">
        <v>262</v>
      </c>
      <c r="B5614" s="52" t="n">
        <v>44367</v>
      </c>
      <c r="C5614" s="54" t="s">
        <v>592</v>
      </c>
      <c r="D5614" s="0" t="n">
        <v>0.408948266456649</v>
      </c>
      <c r="E5614" s="0" t="n">
        <v>0.0028447075227506</v>
      </c>
      <c r="F5614" s="0" t="n">
        <v>1</v>
      </c>
      <c r="G5614" s="0" t="n">
        <v>2021</v>
      </c>
    </row>
    <row r="5615" customFormat="false" ht="15" hidden="false" customHeight="false" outlineLevel="0" collapsed="false">
      <c r="A5615" s="0" t="s">
        <v>262</v>
      </c>
      <c r="B5615" s="52" t="n">
        <v>44368</v>
      </c>
      <c r="C5615" s="54" t="s">
        <v>590</v>
      </c>
      <c r="D5615" s="0" t="n">
        <v>0.0011492516412706</v>
      </c>
      <c r="E5615" s="0" t="n">
        <v>0.0424094631592457</v>
      </c>
      <c r="F5615" s="0" t="n">
        <v>0</v>
      </c>
      <c r="G5615" s="0" t="n">
        <v>2021</v>
      </c>
    </row>
    <row r="5616" customFormat="false" ht="15" hidden="false" customHeight="false" outlineLevel="0" collapsed="false">
      <c r="A5616" s="0" t="s">
        <v>262</v>
      </c>
      <c r="B5616" s="52" t="n">
        <v>44368</v>
      </c>
      <c r="C5616" s="54" t="s">
        <v>591</v>
      </c>
      <c r="D5616" s="0" t="n">
        <v>0.327798478612086</v>
      </c>
      <c r="E5616" s="0" t="n">
        <v>0.0272720716159001</v>
      </c>
      <c r="F5616" s="0" t="n">
        <v>0</v>
      </c>
      <c r="G5616" s="0" t="n">
        <v>2021</v>
      </c>
    </row>
    <row r="5617" customFormat="false" ht="15" hidden="false" customHeight="false" outlineLevel="0" collapsed="false">
      <c r="A5617" s="0" t="s">
        <v>262</v>
      </c>
      <c r="B5617" s="52" t="n">
        <v>44368</v>
      </c>
      <c r="C5617" s="54" t="s">
        <v>592</v>
      </c>
      <c r="D5617" s="0" t="n">
        <v>0.147209082666646</v>
      </c>
      <c r="E5617" s="0" t="n">
        <v>0.0304189579632883</v>
      </c>
      <c r="F5617" s="0" t="n">
        <v>0</v>
      </c>
      <c r="G5617" s="0" t="n">
        <v>2021</v>
      </c>
    </row>
    <row r="5618" customFormat="false" ht="15" hidden="false" customHeight="false" outlineLevel="0" collapsed="false">
      <c r="A5618" s="0" t="s">
        <v>262</v>
      </c>
      <c r="B5618" s="52" t="n">
        <v>44369</v>
      </c>
      <c r="C5618" s="54" t="s">
        <v>590</v>
      </c>
      <c r="D5618" s="0" t="n">
        <v>0.350550846242723</v>
      </c>
      <c r="E5618" s="0" t="n">
        <v>0.173465263756468</v>
      </c>
      <c r="F5618" s="0" t="n">
        <v>0</v>
      </c>
      <c r="G5618" s="0" t="n">
        <v>2021</v>
      </c>
    </row>
    <row r="5619" customFormat="false" ht="15" hidden="false" customHeight="false" outlineLevel="0" collapsed="false">
      <c r="A5619" s="0" t="s">
        <v>262</v>
      </c>
      <c r="B5619" s="52" t="n">
        <v>44369</v>
      </c>
      <c r="C5619" s="54" t="s">
        <v>591</v>
      </c>
      <c r="D5619" s="0" t="n">
        <v>0.105945617330619</v>
      </c>
      <c r="E5619" s="0" t="n">
        <v>0.0081914771100806</v>
      </c>
      <c r="F5619" s="0" t="n">
        <v>0</v>
      </c>
      <c r="G5619" s="0" t="n">
        <v>2021</v>
      </c>
    </row>
    <row r="5620" customFormat="false" ht="15" hidden="false" customHeight="false" outlineLevel="0" collapsed="false">
      <c r="A5620" s="0" t="s">
        <v>262</v>
      </c>
      <c r="B5620" s="52" t="n">
        <v>44369</v>
      </c>
      <c r="C5620" s="54" t="s">
        <v>592</v>
      </c>
      <c r="D5620" s="0" t="n">
        <v>0.0034073917671795</v>
      </c>
      <c r="E5620" s="0" t="n">
        <v>0.0168586485083621</v>
      </c>
      <c r="F5620" s="0" t="n">
        <v>0</v>
      </c>
      <c r="G5620" s="0" t="n">
        <v>2021</v>
      </c>
    </row>
    <row r="5621" customFormat="false" ht="15" hidden="false" customHeight="false" outlineLevel="0" collapsed="false">
      <c r="A5621" s="0" t="s">
        <v>262</v>
      </c>
      <c r="B5621" s="52" t="n">
        <v>44370</v>
      </c>
      <c r="C5621" s="54" t="s">
        <v>590</v>
      </c>
      <c r="D5621" s="0" t="n">
        <v>0.11838237583745</v>
      </c>
      <c r="E5621" s="0" t="n">
        <v>0.0430161879088709</v>
      </c>
      <c r="F5621" s="0" t="n">
        <v>0</v>
      </c>
      <c r="G5621" s="0" t="n">
        <v>2021</v>
      </c>
    </row>
    <row r="5622" customFormat="false" ht="15" hidden="false" customHeight="false" outlineLevel="0" collapsed="false">
      <c r="A5622" s="0" t="s">
        <v>262</v>
      </c>
      <c r="B5622" s="52" t="n">
        <v>44370</v>
      </c>
      <c r="C5622" s="54" t="s">
        <v>591</v>
      </c>
      <c r="D5622" s="0" t="n">
        <v>0.466406355883304</v>
      </c>
      <c r="E5622" s="0" t="n">
        <v>0.0317560647695054</v>
      </c>
      <c r="F5622" s="0" t="n">
        <v>0</v>
      </c>
      <c r="G5622" s="0" t="n">
        <v>2021</v>
      </c>
    </row>
    <row r="5623" customFormat="false" ht="15" hidden="false" customHeight="false" outlineLevel="0" collapsed="false">
      <c r="A5623" s="0" t="s">
        <v>262</v>
      </c>
      <c r="B5623" s="52" t="n">
        <v>44370</v>
      </c>
      <c r="C5623" s="54" t="s">
        <v>592</v>
      </c>
      <c r="D5623" s="0" t="n">
        <v>0.0239750301849601</v>
      </c>
      <c r="E5623" s="0" t="n">
        <v>0.0543536345389301</v>
      </c>
      <c r="F5623" s="0" t="n">
        <v>0</v>
      </c>
      <c r="G5623" s="0" t="n">
        <v>2021</v>
      </c>
    </row>
    <row r="5624" customFormat="false" ht="15" hidden="false" customHeight="false" outlineLevel="0" collapsed="false">
      <c r="A5624" s="0" t="s">
        <v>262</v>
      </c>
      <c r="B5624" s="52" t="n">
        <v>44371</v>
      </c>
      <c r="C5624" s="54" t="s">
        <v>590</v>
      </c>
      <c r="D5624" s="0" t="n">
        <v>0.0571035260710053</v>
      </c>
      <c r="E5624" s="0" t="n">
        <v>0.0858203479455272</v>
      </c>
      <c r="F5624" s="0" t="n">
        <v>0</v>
      </c>
      <c r="G5624" s="0" t="n">
        <v>2021</v>
      </c>
    </row>
    <row r="5625" customFormat="false" ht="15" hidden="false" customHeight="false" outlineLevel="0" collapsed="false">
      <c r="A5625" s="0" t="s">
        <v>262</v>
      </c>
      <c r="B5625" s="52" t="n">
        <v>44371</v>
      </c>
      <c r="C5625" s="54" t="s">
        <v>591</v>
      </c>
      <c r="D5625" s="0" t="n">
        <v>0.147987163558983</v>
      </c>
      <c r="E5625" s="0" t="n">
        <v>0.038783317067744</v>
      </c>
      <c r="F5625" s="0" t="n">
        <v>0</v>
      </c>
      <c r="G5625" s="0" t="n">
        <v>2021</v>
      </c>
    </row>
    <row r="5626" customFormat="false" ht="15" hidden="false" customHeight="false" outlineLevel="0" collapsed="false">
      <c r="A5626" s="0" t="s">
        <v>262</v>
      </c>
      <c r="B5626" s="52" t="n">
        <v>44371</v>
      </c>
      <c r="C5626" s="54" t="s">
        <v>592</v>
      </c>
      <c r="D5626" s="0" t="n">
        <v>0.336760504551904</v>
      </c>
      <c r="E5626" s="0" t="n">
        <v>0.0058205197020172</v>
      </c>
      <c r="F5626" s="0" t="n">
        <v>0</v>
      </c>
      <c r="G5626" s="0" t="n">
        <v>2021</v>
      </c>
    </row>
    <row r="5627" customFormat="false" ht="15" hidden="false" customHeight="false" outlineLevel="0" collapsed="false">
      <c r="A5627" s="0" t="s">
        <v>262</v>
      </c>
      <c r="B5627" s="52" t="n">
        <v>44372</v>
      </c>
      <c r="C5627" s="54" t="s">
        <v>590</v>
      </c>
      <c r="D5627" s="0" t="n">
        <v>0.0217302132420799</v>
      </c>
      <c r="E5627" s="0" t="n">
        <v>0.03828124787316</v>
      </c>
      <c r="F5627" s="0" t="n">
        <v>0</v>
      </c>
      <c r="G5627" s="0" t="n">
        <v>2021</v>
      </c>
    </row>
    <row r="5628" customFormat="false" ht="15" hidden="false" customHeight="false" outlineLevel="0" collapsed="false">
      <c r="A5628" s="0" t="s">
        <v>262</v>
      </c>
      <c r="B5628" s="52" t="n">
        <v>44372</v>
      </c>
      <c r="C5628" s="54" t="s">
        <v>591</v>
      </c>
      <c r="D5628" s="0" t="n">
        <v>0.0712626231227421</v>
      </c>
      <c r="E5628" s="0" t="n">
        <v>0.0400383103230405</v>
      </c>
      <c r="F5628" s="0" t="n">
        <v>0</v>
      </c>
      <c r="G5628" s="0" t="n">
        <v>2021</v>
      </c>
    </row>
    <row r="5629" customFormat="false" ht="15" hidden="false" customHeight="false" outlineLevel="0" collapsed="false">
      <c r="A5629" s="0" t="s">
        <v>262</v>
      </c>
      <c r="B5629" s="52" t="n">
        <v>44372</v>
      </c>
      <c r="C5629" s="54" t="s">
        <v>592</v>
      </c>
      <c r="D5629" s="0" t="n">
        <v>0.300023098395915</v>
      </c>
      <c r="E5629" s="0" t="n">
        <v>0.110174795872866</v>
      </c>
      <c r="F5629" s="0" t="n">
        <v>0</v>
      </c>
      <c r="G5629" s="0" t="n">
        <v>2021</v>
      </c>
    </row>
    <row r="5630" customFormat="false" ht="15" hidden="false" customHeight="false" outlineLevel="0" collapsed="false">
      <c r="A5630" s="0" t="s">
        <v>262</v>
      </c>
      <c r="B5630" s="52" t="n">
        <v>44373</v>
      </c>
      <c r="C5630" s="54" t="s">
        <v>590</v>
      </c>
      <c r="D5630" s="0" t="n">
        <v>0.210036815051826</v>
      </c>
      <c r="E5630" s="0" t="n">
        <v>0.0546546579504915</v>
      </c>
      <c r="F5630" s="0" t="n">
        <v>1</v>
      </c>
      <c r="G5630" s="0" t="n">
        <v>2021</v>
      </c>
    </row>
    <row r="5631" customFormat="false" ht="15" hidden="false" customHeight="false" outlineLevel="0" collapsed="false">
      <c r="A5631" s="0" t="s">
        <v>262</v>
      </c>
      <c r="B5631" s="52" t="n">
        <v>44373</v>
      </c>
      <c r="C5631" s="54" t="s">
        <v>591</v>
      </c>
      <c r="D5631" s="0" t="n">
        <v>0.0186131203762509</v>
      </c>
      <c r="E5631" s="0" t="n">
        <v>0.0979465989346929</v>
      </c>
      <c r="F5631" s="0" t="n">
        <v>1</v>
      </c>
      <c r="G5631" s="0" t="n">
        <v>2021</v>
      </c>
    </row>
    <row r="5632" customFormat="false" ht="15" hidden="false" customHeight="false" outlineLevel="0" collapsed="false">
      <c r="A5632" s="0" t="s">
        <v>262</v>
      </c>
      <c r="B5632" s="52" t="n">
        <v>44373</v>
      </c>
      <c r="C5632" s="54" t="s">
        <v>592</v>
      </c>
      <c r="D5632" s="0" t="n">
        <v>0.825605130882291</v>
      </c>
      <c r="E5632" s="0" t="n">
        <v>0.0234952676857082</v>
      </c>
      <c r="F5632" s="0" t="n">
        <v>1</v>
      </c>
      <c r="G5632" s="0" t="n">
        <v>2021</v>
      </c>
    </row>
    <row r="5633" customFormat="false" ht="15" hidden="false" customHeight="false" outlineLevel="0" collapsed="false">
      <c r="A5633" s="0" t="s">
        <v>262</v>
      </c>
      <c r="B5633" s="52" t="n">
        <v>44374</v>
      </c>
      <c r="C5633" s="54" t="s">
        <v>590</v>
      </c>
      <c r="D5633" s="0" t="n">
        <v>0.72999575885214</v>
      </c>
      <c r="E5633" s="0" t="n">
        <v>0</v>
      </c>
      <c r="F5633" s="0" t="n">
        <v>1</v>
      </c>
      <c r="G5633" s="0" t="n">
        <v>2021</v>
      </c>
    </row>
    <row r="5634" customFormat="false" ht="15" hidden="false" customHeight="false" outlineLevel="0" collapsed="false">
      <c r="A5634" s="0" t="s">
        <v>262</v>
      </c>
      <c r="B5634" s="52" t="n">
        <v>44374</v>
      </c>
      <c r="C5634" s="54" t="s">
        <v>591</v>
      </c>
      <c r="D5634" s="0" t="n">
        <v>0.0349741589699002</v>
      </c>
      <c r="E5634" s="0" t="n">
        <v>0.0454604162752851</v>
      </c>
      <c r="F5634" s="0" t="n">
        <v>1</v>
      </c>
      <c r="G5634" s="0" t="n">
        <v>2021</v>
      </c>
    </row>
    <row r="5635" customFormat="false" ht="15" hidden="false" customHeight="false" outlineLevel="0" collapsed="false">
      <c r="A5635" s="0" t="s">
        <v>262</v>
      </c>
      <c r="B5635" s="52" t="n">
        <v>44374</v>
      </c>
      <c r="C5635" s="54" t="s">
        <v>592</v>
      </c>
      <c r="D5635" s="0" t="n">
        <v>0.25606324934553</v>
      </c>
      <c r="E5635" s="0" t="n">
        <v>0.0303795220011972</v>
      </c>
      <c r="F5635" s="0" t="n">
        <v>1</v>
      </c>
      <c r="G5635" s="0" t="n">
        <v>2021</v>
      </c>
    </row>
    <row r="5636" customFormat="false" ht="15" hidden="false" customHeight="false" outlineLevel="0" collapsed="false">
      <c r="A5636" s="0" t="s">
        <v>262</v>
      </c>
      <c r="B5636" s="52" t="n">
        <v>44375</v>
      </c>
      <c r="C5636" s="54" t="s">
        <v>590</v>
      </c>
      <c r="D5636" s="0" t="n">
        <v>0.119840379599723</v>
      </c>
      <c r="E5636" s="0" t="n">
        <v>0.0089365406362893</v>
      </c>
      <c r="F5636" s="0" t="n">
        <v>0</v>
      </c>
      <c r="G5636" s="0" t="n">
        <v>2021</v>
      </c>
    </row>
    <row r="5637" customFormat="false" ht="15" hidden="false" customHeight="false" outlineLevel="0" collapsed="false">
      <c r="A5637" s="0" t="s">
        <v>262</v>
      </c>
      <c r="B5637" s="52" t="n">
        <v>44375</v>
      </c>
      <c r="C5637" s="54" t="s">
        <v>591</v>
      </c>
      <c r="D5637" s="0" t="n">
        <v>0.321294012786607</v>
      </c>
      <c r="E5637" s="0" t="n">
        <v>0.0016548559048038</v>
      </c>
      <c r="F5637" s="0" t="n">
        <v>0</v>
      </c>
      <c r="G5637" s="0" t="n">
        <v>2021</v>
      </c>
    </row>
    <row r="5638" customFormat="false" ht="15" hidden="false" customHeight="false" outlineLevel="0" collapsed="false">
      <c r="A5638" s="0" t="s">
        <v>262</v>
      </c>
      <c r="B5638" s="52" t="n">
        <v>44375</v>
      </c>
      <c r="C5638" s="54" t="s">
        <v>592</v>
      </c>
      <c r="D5638" s="0" t="n">
        <v>0.0216605433907072</v>
      </c>
      <c r="E5638" s="0" t="n">
        <v>0.0584231024028517</v>
      </c>
      <c r="F5638" s="0" t="n">
        <v>0</v>
      </c>
      <c r="G5638" s="0" t="n">
        <v>2021</v>
      </c>
    </row>
    <row r="5639" customFormat="false" ht="15" hidden="false" customHeight="false" outlineLevel="0" collapsed="false">
      <c r="A5639" s="0" t="s">
        <v>262</v>
      </c>
      <c r="B5639" s="52" t="n">
        <v>44376</v>
      </c>
      <c r="C5639" s="54" t="s">
        <v>590</v>
      </c>
      <c r="D5639" s="0" t="n">
        <v>0.0541041885433997</v>
      </c>
      <c r="E5639" s="0" t="n">
        <v>0.033950686566341</v>
      </c>
      <c r="F5639" s="0" t="n">
        <v>0</v>
      </c>
      <c r="G5639" s="0" t="n">
        <v>2021</v>
      </c>
    </row>
    <row r="5640" customFormat="false" ht="15" hidden="false" customHeight="false" outlineLevel="0" collapsed="false">
      <c r="A5640" s="0" t="s">
        <v>262</v>
      </c>
      <c r="B5640" s="52" t="n">
        <v>44376</v>
      </c>
      <c r="C5640" s="54" t="s">
        <v>591</v>
      </c>
      <c r="D5640" s="0" t="n">
        <v>0.155869298856957</v>
      </c>
      <c r="E5640" s="0" t="n">
        <v>0.0253642274161254</v>
      </c>
      <c r="F5640" s="0" t="n">
        <v>0</v>
      </c>
      <c r="G5640" s="0" t="n">
        <v>2021</v>
      </c>
    </row>
    <row r="5641" customFormat="false" ht="15" hidden="false" customHeight="false" outlineLevel="0" collapsed="false">
      <c r="A5641" s="0" t="s">
        <v>262</v>
      </c>
      <c r="B5641" s="52" t="n">
        <v>44376</v>
      </c>
      <c r="C5641" s="54" t="s">
        <v>592</v>
      </c>
      <c r="D5641" s="0" t="n">
        <v>0.348130419169506</v>
      </c>
      <c r="E5641" s="0" t="n">
        <v>0.0047721974944097</v>
      </c>
      <c r="F5641" s="0" t="n">
        <v>0</v>
      </c>
      <c r="G5641" s="0" t="n">
        <v>2021</v>
      </c>
    </row>
    <row r="5642" customFormat="false" ht="15" hidden="false" customHeight="false" outlineLevel="0" collapsed="false">
      <c r="A5642" s="0" t="s">
        <v>262</v>
      </c>
      <c r="B5642" s="52" t="n">
        <v>44377</v>
      </c>
      <c r="C5642" s="54" t="s">
        <v>590</v>
      </c>
      <c r="D5642" s="0" t="n">
        <v>0.129325441044024</v>
      </c>
      <c r="E5642" s="0" t="n">
        <v>0.0277525286991824</v>
      </c>
      <c r="F5642" s="0" t="n">
        <v>0</v>
      </c>
      <c r="G5642" s="0" t="n">
        <v>2021</v>
      </c>
    </row>
    <row r="5643" customFormat="false" ht="15" hidden="false" customHeight="false" outlineLevel="0" collapsed="false">
      <c r="A5643" s="0" t="s">
        <v>262</v>
      </c>
      <c r="B5643" s="52" t="n">
        <v>44377</v>
      </c>
      <c r="C5643" s="54" t="s">
        <v>591</v>
      </c>
      <c r="D5643" s="0" t="n">
        <v>0.0385010399896955</v>
      </c>
      <c r="E5643" s="0" t="n">
        <v>0.0510852104126038</v>
      </c>
      <c r="F5643" s="0" t="n">
        <v>0</v>
      </c>
      <c r="G5643" s="0" t="n">
        <v>2021</v>
      </c>
    </row>
    <row r="5644" customFormat="false" ht="15" hidden="false" customHeight="false" outlineLevel="0" collapsed="false">
      <c r="A5644" s="0" t="s">
        <v>262</v>
      </c>
      <c r="B5644" s="52" t="n">
        <v>44377</v>
      </c>
      <c r="C5644" s="54" t="s">
        <v>592</v>
      </c>
      <c r="D5644" s="0" t="n">
        <v>0.802931648691535</v>
      </c>
      <c r="E5644" s="0" t="n">
        <v>0.0535527697426593</v>
      </c>
      <c r="F5644" s="0" t="n">
        <v>0</v>
      </c>
      <c r="G5644" s="0" t="n">
        <v>2021</v>
      </c>
    </row>
    <row r="5645" customFormat="false" ht="15" hidden="false" customHeight="false" outlineLevel="0" collapsed="false">
      <c r="A5645" s="0" t="s">
        <v>262</v>
      </c>
      <c r="B5645" s="52" t="n">
        <v>44378</v>
      </c>
      <c r="C5645" s="54" t="s">
        <v>590</v>
      </c>
      <c r="D5645" s="0" t="n">
        <v>0.0876297766573397</v>
      </c>
      <c r="E5645" s="0" t="n">
        <v>0.0350739578114567</v>
      </c>
      <c r="F5645" s="0" t="n">
        <v>0</v>
      </c>
      <c r="G5645" s="0" t="n">
        <v>2021</v>
      </c>
    </row>
    <row r="5646" customFormat="false" ht="15" hidden="false" customHeight="false" outlineLevel="0" collapsed="false">
      <c r="A5646" s="0" t="s">
        <v>262</v>
      </c>
      <c r="B5646" s="52" t="n">
        <v>44378</v>
      </c>
      <c r="C5646" s="54" t="s">
        <v>591</v>
      </c>
      <c r="D5646" s="0" t="n">
        <v>0.0615533880126773</v>
      </c>
      <c r="E5646" s="0" t="n">
        <v>0.0452737221201248</v>
      </c>
      <c r="F5646" s="0" t="n">
        <v>0</v>
      </c>
      <c r="G5646" s="0" t="n">
        <v>2021</v>
      </c>
    </row>
    <row r="5647" customFormat="false" ht="15" hidden="false" customHeight="false" outlineLevel="0" collapsed="false">
      <c r="A5647" s="0" t="s">
        <v>262</v>
      </c>
      <c r="B5647" s="52" t="n">
        <v>44378</v>
      </c>
      <c r="C5647" s="54" t="s">
        <v>592</v>
      </c>
      <c r="D5647" s="0" t="n">
        <v>0.395067339877059</v>
      </c>
      <c r="E5647" s="0" t="n">
        <v>0.0539877543309527</v>
      </c>
      <c r="F5647" s="0" t="n">
        <v>0</v>
      </c>
      <c r="G5647" s="0" t="n">
        <v>2021</v>
      </c>
    </row>
    <row r="5648" customFormat="false" ht="15" hidden="false" customHeight="false" outlineLevel="0" collapsed="false">
      <c r="A5648" s="0" t="s">
        <v>262</v>
      </c>
      <c r="B5648" s="52" t="n">
        <v>44379</v>
      </c>
      <c r="C5648" s="54" t="s">
        <v>590</v>
      </c>
      <c r="D5648" s="0" t="n">
        <v>0.158085104315163</v>
      </c>
      <c r="E5648" s="0" t="n">
        <v>0.0185988192565873</v>
      </c>
      <c r="F5648" s="0" t="n">
        <v>0</v>
      </c>
      <c r="G5648" s="0" t="n">
        <v>2021</v>
      </c>
    </row>
    <row r="5649" customFormat="false" ht="15" hidden="false" customHeight="false" outlineLevel="0" collapsed="false">
      <c r="A5649" s="0" t="s">
        <v>262</v>
      </c>
      <c r="B5649" s="52" t="n">
        <v>44379</v>
      </c>
      <c r="C5649" s="54" t="s">
        <v>591</v>
      </c>
      <c r="D5649" s="0" t="n">
        <v>0.306069211222723</v>
      </c>
      <c r="E5649" s="0" t="n">
        <v>0.044471887793432</v>
      </c>
      <c r="F5649" s="0" t="n">
        <v>0</v>
      </c>
      <c r="G5649" s="0" t="n">
        <v>2021</v>
      </c>
    </row>
    <row r="5650" customFormat="false" ht="15" hidden="false" customHeight="false" outlineLevel="0" collapsed="false">
      <c r="A5650" s="0" t="s">
        <v>262</v>
      </c>
      <c r="B5650" s="52" t="n">
        <v>44379</v>
      </c>
      <c r="C5650" s="54" t="s">
        <v>592</v>
      </c>
      <c r="D5650" s="0" t="n">
        <v>0.0374499195358308</v>
      </c>
      <c r="E5650" s="0" t="n">
        <v>0.0675143443449762</v>
      </c>
      <c r="F5650" s="0" t="n">
        <v>0</v>
      </c>
      <c r="G5650" s="0" t="n">
        <v>2021</v>
      </c>
    </row>
    <row r="5651" customFormat="false" ht="15" hidden="false" customHeight="false" outlineLevel="0" collapsed="false">
      <c r="A5651" s="0" t="s">
        <v>262</v>
      </c>
      <c r="B5651" s="52" t="n">
        <v>44380</v>
      </c>
      <c r="C5651" s="54" t="s">
        <v>590</v>
      </c>
      <c r="D5651" s="0" t="n">
        <v>0.781447517915071</v>
      </c>
      <c r="E5651" s="0" t="n">
        <v>0.0203364113102815</v>
      </c>
      <c r="F5651" s="0" t="n">
        <v>1</v>
      </c>
      <c r="G5651" s="0" t="n">
        <v>2021</v>
      </c>
    </row>
    <row r="5652" customFormat="false" ht="15" hidden="false" customHeight="false" outlineLevel="0" collapsed="false">
      <c r="A5652" s="0" t="s">
        <v>262</v>
      </c>
      <c r="B5652" s="52" t="n">
        <v>44380</v>
      </c>
      <c r="C5652" s="54" t="s">
        <v>591</v>
      </c>
      <c r="D5652" s="0" t="n">
        <v>0.17232203176062</v>
      </c>
      <c r="E5652" s="0" t="n">
        <v>0.0265263741519449</v>
      </c>
      <c r="F5652" s="0" t="n">
        <v>1</v>
      </c>
      <c r="G5652" s="0" t="n">
        <v>2021</v>
      </c>
    </row>
    <row r="5653" customFormat="false" ht="15" hidden="false" customHeight="false" outlineLevel="0" collapsed="false">
      <c r="A5653" s="0" t="s">
        <v>262</v>
      </c>
      <c r="B5653" s="52" t="n">
        <v>44381</v>
      </c>
      <c r="C5653" s="54" t="s">
        <v>592</v>
      </c>
      <c r="D5653" s="0" t="n">
        <v>0.99687484930938</v>
      </c>
      <c r="E5653" s="0" t="n">
        <v>0</v>
      </c>
      <c r="F5653" s="0" t="n">
        <v>1</v>
      </c>
      <c r="G5653" s="0" t="n">
        <v>2021</v>
      </c>
    </row>
    <row r="5654" customFormat="false" ht="15" hidden="false" customHeight="false" outlineLevel="0" collapsed="false">
      <c r="A5654" s="0" t="s">
        <v>262</v>
      </c>
      <c r="B5654" s="52" t="n">
        <v>44382</v>
      </c>
      <c r="C5654" s="54" t="s">
        <v>591</v>
      </c>
      <c r="D5654" s="0" t="n">
        <v>1</v>
      </c>
      <c r="E5654" s="0" t="n">
        <v>0</v>
      </c>
      <c r="F5654" s="0" t="n">
        <v>0</v>
      </c>
      <c r="G5654" s="0" t="n">
        <v>2021</v>
      </c>
    </row>
    <row r="5655" customFormat="false" ht="15" hidden="false" customHeight="false" outlineLevel="0" collapsed="false">
      <c r="A5655" s="0" t="s">
        <v>262</v>
      </c>
      <c r="B5655" s="52" t="n">
        <v>44382</v>
      </c>
      <c r="C5655" s="54" t="s">
        <v>592</v>
      </c>
      <c r="D5655" s="0" t="n">
        <v>0.999133035842642</v>
      </c>
      <c r="E5655" s="0" t="n">
        <v>0</v>
      </c>
      <c r="F5655" s="0" t="n">
        <v>0</v>
      </c>
      <c r="G5655" s="0" t="n">
        <v>2021</v>
      </c>
    </row>
    <row r="5656" customFormat="false" ht="15" hidden="false" customHeight="false" outlineLevel="0" collapsed="false">
      <c r="A5656" s="0" t="s">
        <v>262</v>
      </c>
      <c r="B5656" s="52" t="n">
        <v>44383</v>
      </c>
      <c r="C5656" s="54" t="s">
        <v>590</v>
      </c>
      <c r="D5656" s="0" t="n">
        <v>0.641936846134572</v>
      </c>
      <c r="E5656" s="0" t="n">
        <v>0.0161480743191212</v>
      </c>
      <c r="F5656" s="0" t="n">
        <v>0</v>
      </c>
      <c r="G5656" s="0" t="n">
        <v>2021</v>
      </c>
    </row>
    <row r="5657" customFormat="false" ht="15" hidden="false" customHeight="false" outlineLevel="0" collapsed="false">
      <c r="A5657" s="0" t="s">
        <v>262</v>
      </c>
      <c r="B5657" s="52" t="n">
        <v>44442</v>
      </c>
      <c r="C5657" s="54" t="s">
        <v>590</v>
      </c>
      <c r="D5657" s="0" t="n">
        <v>0</v>
      </c>
      <c r="E5657" s="0" t="n">
        <v>0</v>
      </c>
      <c r="F5657" s="0" t="n">
        <v>0</v>
      </c>
      <c r="G5657" s="0" t="n">
        <v>2021</v>
      </c>
    </row>
    <row r="5658" customFormat="false" ht="15" hidden="false" customHeight="false" outlineLevel="0" collapsed="false">
      <c r="A5658" s="0" t="s">
        <v>262</v>
      </c>
      <c r="B5658" s="52" t="n">
        <v>44442</v>
      </c>
      <c r="C5658" s="54" t="s">
        <v>591</v>
      </c>
      <c r="D5658" s="0" t="n">
        <v>0.0525097686947743</v>
      </c>
      <c r="E5658" s="0" t="n">
        <v>0.12265207553065</v>
      </c>
      <c r="F5658" s="0" t="n">
        <v>0</v>
      </c>
      <c r="G5658" s="0" t="n">
        <v>2021</v>
      </c>
    </row>
    <row r="5659" customFormat="false" ht="15" hidden="false" customHeight="false" outlineLevel="0" collapsed="false">
      <c r="A5659" s="0" t="s">
        <v>262</v>
      </c>
      <c r="B5659" s="52" t="n">
        <v>44442</v>
      </c>
      <c r="C5659" s="54" t="s">
        <v>592</v>
      </c>
      <c r="D5659" s="0" t="n">
        <v>0.211423035432643</v>
      </c>
      <c r="E5659" s="0" t="n">
        <v>0.0035227399061009</v>
      </c>
      <c r="F5659" s="0" t="n">
        <v>0</v>
      </c>
      <c r="G5659" s="0" t="n">
        <v>2021</v>
      </c>
    </row>
    <row r="5660" customFormat="false" ht="15" hidden="false" customHeight="false" outlineLevel="0" collapsed="false">
      <c r="A5660" s="0" t="s">
        <v>262</v>
      </c>
      <c r="B5660" s="52" t="n">
        <v>44443</v>
      </c>
      <c r="C5660" s="54" t="s">
        <v>590</v>
      </c>
      <c r="D5660" s="0" t="n">
        <v>1</v>
      </c>
      <c r="E5660" s="0" t="n">
        <v>0</v>
      </c>
      <c r="F5660" s="0" t="n">
        <v>1</v>
      </c>
      <c r="G5660" s="0" t="n">
        <v>2021</v>
      </c>
    </row>
    <row r="5661" customFormat="false" ht="15" hidden="false" customHeight="false" outlineLevel="0" collapsed="false">
      <c r="A5661" s="0" t="s">
        <v>262</v>
      </c>
      <c r="B5661" s="52" t="n">
        <v>44444</v>
      </c>
      <c r="C5661" s="54" t="s">
        <v>592</v>
      </c>
      <c r="D5661" s="0" t="n">
        <v>0.0598039692114315</v>
      </c>
      <c r="E5661" s="0" t="n">
        <v>0.0711292973982398</v>
      </c>
      <c r="F5661" s="0" t="n">
        <v>1</v>
      </c>
      <c r="G5661" s="0" t="n">
        <v>2021</v>
      </c>
    </row>
    <row r="5662" customFormat="false" ht="15" hidden="false" customHeight="false" outlineLevel="0" collapsed="false">
      <c r="A5662" s="0" t="s">
        <v>262</v>
      </c>
      <c r="B5662" s="52" t="n">
        <v>44445</v>
      </c>
      <c r="C5662" s="54" t="s">
        <v>590</v>
      </c>
      <c r="D5662" s="0" t="n">
        <v>0.0124123008516913</v>
      </c>
      <c r="E5662" s="0" t="n">
        <v>0.128052418694159</v>
      </c>
      <c r="F5662" s="0" t="n">
        <v>0</v>
      </c>
      <c r="G5662" s="0" t="n">
        <v>2021</v>
      </c>
    </row>
    <row r="5663" customFormat="false" ht="15" hidden="false" customHeight="false" outlineLevel="0" collapsed="false">
      <c r="A5663" s="0" t="s">
        <v>262</v>
      </c>
      <c r="B5663" s="52" t="n">
        <v>44445</v>
      </c>
      <c r="C5663" s="54" t="s">
        <v>591</v>
      </c>
      <c r="D5663" s="0" t="n">
        <v>0.966030396973885</v>
      </c>
      <c r="E5663" s="0" t="n">
        <v>0</v>
      </c>
      <c r="F5663" s="0" t="n">
        <v>0</v>
      </c>
      <c r="G5663" s="0" t="n">
        <v>2021</v>
      </c>
    </row>
    <row r="5664" customFormat="false" ht="15" hidden="false" customHeight="false" outlineLevel="0" collapsed="false">
      <c r="A5664" s="0" t="s">
        <v>262</v>
      </c>
      <c r="B5664" s="52" t="n">
        <v>44445</v>
      </c>
      <c r="C5664" s="54" t="s">
        <v>592</v>
      </c>
      <c r="D5664" s="0" t="n">
        <v>0.150692317202522</v>
      </c>
      <c r="E5664" s="0" t="n">
        <v>0.0404433704655177</v>
      </c>
      <c r="F5664" s="0" t="n">
        <v>0</v>
      </c>
      <c r="G5664" s="0" t="n">
        <v>2021</v>
      </c>
    </row>
    <row r="5665" customFormat="false" ht="15" hidden="false" customHeight="false" outlineLevel="0" collapsed="false">
      <c r="A5665" s="0" t="s">
        <v>262</v>
      </c>
      <c r="B5665" s="52" t="n">
        <v>44447</v>
      </c>
      <c r="C5665" s="54" t="s">
        <v>590</v>
      </c>
      <c r="D5665" s="0" t="n">
        <v>0.900010789307753</v>
      </c>
      <c r="E5665" s="0" t="n">
        <v>0</v>
      </c>
      <c r="F5665" s="0" t="n">
        <v>0</v>
      </c>
      <c r="G5665" s="0" t="n">
        <v>2021</v>
      </c>
    </row>
    <row r="5666" customFormat="false" ht="15" hidden="false" customHeight="false" outlineLevel="0" collapsed="false">
      <c r="A5666" s="0" t="s">
        <v>262</v>
      </c>
      <c r="B5666" s="52" t="n">
        <v>44447</v>
      </c>
      <c r="C5666" s="54" t="s">
        <v>591</v>
      </c>
      <c r="D5666" s="0" t="n">
        <v>0.0281348896901581</v>
      </c>
      <c r="E5666" s="0" t="n">
        <v>0.0683075517993238</v>
      </c>
      <c r="F5666" s="0" t="n">
        <v>0</v>
      </c>
      <c r="G5666" s="0" t="n">
        <v>2021</v>
      </c>
    </row>
    <row r="5667" customFormat="false" ht="15" hidden="false" customHeight="false" outlineLevel="0" collapsed="false">
      <c r="A5667" s="0" t="s">
        <v>262</v>
      </c>
      <c r="B5667" s="52" t="n">
        <v>44447</v>
      </c>
      <c r="C5667" s="54" t="s">
        <v>592</v>
      </c>
      <c r="D5667" s="0" t="n">
        <v>0.0120572588344951</v>
      </c>
      <c r="E5667" s="0" t="n">
        <v>0.198904029053336</v>
      </c>
      <c r="F5667" s="0" t="n">
        <v>0</v>
      </c>
      <c r="G5667" s="0" t="n">
        <v>2021</v>
      </c>
    </row>
    <row r="5668" customFormat="false" ht="15" hidden="false" customHeight="false" outlineLevel="0" collapsed="false">
      <c r="A5668" s="0" t="s">
        <v>262</v>
      </c>
      <c r="B5668" s="52" t="n">
        <v>44448</v>
      </c>
      <c r="C5668" s="54" t="s">
        <v>590</v>
      </c>
      <c r="D5668" s="0" t="n">
        <v>0.323997106039194</v>
      </c>
      <c r="E5668" s="0" t="n">
        <v>0.0253329338635288</v>
      </c>
      <c r="F5668" s="0" t="n">
        <v>0</v>
      </c>
      <c r="G5668" s="0" t="n">
        <v>2021</v>
      </c>
    </row>
    <row r="5669" customFormat="false" ht="15" hidden="false" customHeight="false" outlineLevel="0" collapsed="false">
      <c r="A5669" s="0" t="s">
        <v>262</v>
      </c>
      <c r="B5669" s="52" t="n">
        <v>44448</v>
      </c>
      <c r="C5669" s="54" t="s">
        <v>592</v>
      </c>
      <c r="D5669" s="0" t="n">
        <v>0.062857026334075</v>
      </c>
      <c r="E5669" s="0" t="n">
        <v>0.0076838500679784</v>
      </c>
      <c r="F5669" s="0" t="n">
        <v>0</v>
      </c>
      <c r="G5669" s="0" t="n">
        <v>2021</v>
      </c>
    </row>
    <row r="5670" customFormat="false" ht="15" hidden="false" customHeight="false" outlineLevel="0" collapsed="false">
      <c r="A5670" s="0" t="s">
        <v>262</v>
      </c>
      <c r="B5670" s="52" t="n">
        <v>44449</v>
      </c>
      <c r="C5670" s="54" t="s">
        <v>590</v>
      </c>
      <c r="D5670" s="0" t="n">
        <v>0.0277665120437373</v>
      </c>
      <c r="E5670" s="0" t="n">
        <v>0.0153773316607233</v>
      </c>
      <c r="F5670" s="0" t="n">
        <v>0</v>
      </c>
      <c r="G5670" s="0" t="n">
        <v>2021</v>
      </c>
    </row>
    <row r="5671" customFormat="false" ht="15" hidden="false" customHeight="false" outlineLevel="0" collapsed="false">
      <c r="A5671" s="0" t="s">
        <v>262</v>
      </c>
      <c r="B5671" s="52" t="n">
        <v>44449</v>
      </c>
      <c r="C5671" s="54" t="s">
        <v>591</v>
      </c>
      <c r="D5671" s="0" t="n">
        <v>0.810342217917384</v>
      </c>
      <c r="E5671" s="0" t="n">
        <v>0.0057994870997044</v>
      </c>
      <c r="F5671" s="0" t="n">
        <v>0</v>
      </c>
      <c r="G5671" s="0" t="n">
        <v>2021</v>
      </c>
    </row>
    <row r="5672" customFormat="false" ht="15" hidden="false" customHeight="false" outlineLevel="0" collapsed="false">
      <c r="A5672" s="0" t="s">
        <v>262</v>
      </c>
      <c r="B5672" s="52" t="n">
        <v>44449</v>
      </c>
      <c r="C5672" s="54" t="s">
        <v>592</v>
      </c>
      <c r="D5672" s="0" t="n">
        <v>0.562262014621742</v>
      </c>
      <c r="E5672" s="0" t="n">
        <v>0.007059386409202</v>
      </c>
      <c r="F5672" s="0" t="n">
        <v>0</v>
      </c>
      <c r="G5672" s="0" t="n">
        <v>2021</v>
      </c>
    </row>
    <row r="5673" customFormat="false" ht="15" hidden="false" customHeight="false" outlineLevel="0" collapsed="false">
      <c r="A5673" s="0" t="s">
        <v>262</v>
      </c>
      <c r="B5673" s="52" t="n">
        <v>44450</v>
      </c>
      <c r="C5673" s="54" t="s">
        <v>590</v>
      </c>
      <c r="D5673" s="0" t="n">
        <v>0.0563631760329643</v>
      </c>
      <c r="E5673" s="0" t="n">
        <v>0.0041465180924881</v>
      </c>
      <c r="F5673" s="0" t="n">
        <v>1</v>
      </c>
      <c r="G5673" s="0" t="n">
        <v>2021</v>
      </c>
    </row>
    <row r="5674" customFormat="false" ht="15" hidden="false" customHeight="false" outlineLevel="0" collapsed="false">
      <c r="A5674" s="0" t="s">
        <v>262</v>
      </c>
      <c r="B5674" s="52" t="n">
        <v>44450</v>
      </c>
      <c r="C5674" s="54" t="s">
        <v>591</v>
      </c>
      <c r="D5674" s="0" t="n">
        <v>0.163478966574787</v>
      </c>
      <c r="E5674" s="0" t="n">
        <v>0.0847218456524318</v>
      </c>
      <c r="F5674" s="0" t="n">
        <v>1</v>
      </c>
      <c r="G5674" s="0" t="n">
        <v>2021</v>
      </c>
    </row>
    <row r="5675" customFormat="false" ht="15" hidden="false" customHeight="false" outlineLevel="0" collapsed="false">
      <c r="A5675" s="0" t="s">
        <v>262</v>
      </c>
      <c r="B5675" s="52" t="n">
        <v>44450</v>
      </c>
      <c r="C5675" s="54" t="s">
        <v>592</v>
      </c>
      <c r="D5675" s="0" t="n">
        <v>1</v>
      </c>
      <c r="E5675" s="0" t="n">
        <v>0</v>
      </c>
      <c r="F5675" s="0" t="n">
        <v>1</v>
      </c>
      <c r="G5675" s="0" t="n">
        <v>2021</v>
      </c>
    </row>
    <row r="5676" customFormat="false" ht="15" hidden="false" customHeight="false" outlineLevel="0" collapsed="false">
      <c r="A5676" s="0" t="s">
        <v>262</v>
      </c>
      <c r="B5676" s="52" t="n">
        <v>44451</v>
      </c>
      <c r="C5676" s="54" t="s">
        <v>591</v>
      </c>
      <c r="D5676" s="0" t="n">
        <v>0.998971040029322</v>
      </c>
      <c r="E5676" s="0" t="n">
        <v>0</v>
      </c>
      <c r="F5676" s="0" t="n">
        <v>1</v>
      </c>
      <c r="G5676" s="0" t="n">
        <v>2021</v>
      </c>
    </row>
    <row r="5677" customFormat="false" ht="15" hidden="false" customHeight="false" outlineLevel="0" collapsed="false">
      <c r="A5677" s="0" t="s">
        <v>262</v>
      </c>
      <c r="B5677" s="52" t="n">
        <v>44451</v>
      </c>
      <c r="C5677" s="54" t="s">
        <v>592</v>
      </c>
      <c r="D5677" s="0" t="n">
        <v>0.0890027563399774</v>
      </c>
      <c r="E5677" s="0" t="n">
        <v>0.15839291627859</v>
      </c>
      <c r="F5677" s="0" t="n">
        <v>1</v>
      </c>
      <c r="G5677" s="0" t="n">
        <v>2021</v>
      </c>
    </row>
    <row r="5678" customFormat="false" ht="15" hidden="false" customHeight="false" outlineLevel="0" collapsed="false">
      <c r="A5678" s="0" t="s">
        <v>262</v>
      </c>
      <c r="B5678" s="52" t="n">
        <v>44452</v>
      </c>
      <c r="C5678" s="54" t="s">
        <v>590</v>
      </c>
      <c r="D5678" s="0" t="n">
        <v>0.030362611116016</v>
      </c>
      <c r="E5678" s="0" t="n">
        <v>0.143383442029154</v>
      </c>
      <c r="F5678" s="0" t="n">
        <v>0</v>
      </c>
      <c r="G5678" s="0" t="n">
        <v>2021</v>
      </c>
    </row>
    <row r="5679" customFormat="false" ht="15" hidden="false" customHeight="false" outlineLevel="0" collapsed="false">
      <c r="A5679" s="0" t="s">
        <v>262</v>
      </c>
      <c r="B5679" s="52" t="n">
        <v>44452</v>
      </c>
      <c r="C5679" s="54" t="s">
        <v>591</v>
      </c>
      <c r="D5679" s="0" t="n">
        <v>0.0834373273834019</v>
      </c>
      <c r="E5679" s="0" t="n">
        <v>0.138968430831223</v>
      </c>
      <c r="F5679" s="0" t="n">
        <v>0</v>
      </c>
      <c r="G5679" s="0" t="n">
        <v>2021</v>
      </c>
    </row>
    <row r="5680" customFormat="false" ht="15" hidden="false" customHeight="false" outlineLevel="0" collapsed="false">
      <c r="A5680" s="0" t="s">
        <v>262</v>
      </c>
      <c r="B5680" s="52" t="n">
        <v>44452</v>
      </c>
      <c r="C5680" s="54" t="s">
        <v>592</v>
      </c>
      <c r="D5680" s="0" t="n">
        <v>0.852345673230317</v>
      </c>
      <c r="E5680" s="0" t="n">
        <v>0.0199129383316472</v>
      </c>
      <c r="F5680" s="0" t="n">
        <v>0</v>
      </c>
      <c r="G5680" s="0" t="n">
        <v>2021</v>
      </c>
    </row>
    <row r="5681" customFormat="false" ht="15" hidden="false" customHeight="false" outlineLevel="0" collapsed="false">
      <c r="A5681" s="0" t="s">
        <v>262</v>
      </c>
      <c r="B5681" s="52" t="n">
        <v>44453</v>
      </c>
      <c r="C5681" s="54" t="s">
        <v>590</v>
      </c>
      <c r="D5681" s="0" t="n">
        <v>0.0526022489381595</v>
      </c>
      <c r="E5681" s="0" t="n">
        <v>0.0589377811455684</v>
      </c>
      <c r="F5681" s="0" t="n">
        <v>0</v>
      </c>
      <c r="G5681" s="0" t="n">
        <v>2021</v>
      </c>
    </row>
    <row r="5682" customFormat="false" ht="15" hidden="false" customHeight="false" outlineLevel="0" collapsed="false">
      <c r="A5682" s="0" t="s">
        <v>262</v>
      </c>
      <c r="B5682" s="52" t="n">
        <v>44453</v>
      </c>
      <c r="C5682" s="54" t="s">
        <v>591</v>
      </c>
      <c r="D5682" s="0" t="n">
        <v>0.0802246075674565</v>
      </c>
      <c r="E5682" s="0" t="n">
        <v>0.0469708447457641</v>
      </c>
      <c r="F5682" s="0" t="n">
        <v>0</v>
      </c>
      <c r="G5682" s="0" t="n">
        <v>2021</v>
      </c>
    </row>
    <row r="5683" customFormat="false" ht="15" hidden="false" customHeight="false" outlineLevel="0" collapsed="false">
      <c r="A5683" s="0" t="s">
        <v>262</v>
      </c>
      <c r="B5683" s="52" t="n">
        <v>44453</v>
      </c>
      <c r="C5683" s="54" t="s">
        <v>592</v>
      </c>
      <c r="D5683" s="0" t="n">
        <v>0.661264598562212</v>
      </c>
      <c r="E5683" s="0" t="n">
        <v>0.0039009968197999</v>
      </c>
      <c r="F5683" s="0" t="n">
        <v>0</v>
      </c>
      <c r="G5683" s="0" t="n">
        <v>2021</v>
      </c>
    </row>
    <row r="5684" customFormat="false" ht="15" hidden="false" customHeight="false" outlineLevel="0" collapsed="false">
      <c r="A5684" s="0" t="s">
        <v>262</v>
      </c>
      <c r="B5684" s="52" t="n">
        <v>44454</v>
      </c>
      <c r="C5684" s="54" t="s">
        <v>590</v>
      </c>
      <c r="D5684" s="0" t="n">
        <v>0.333073451698215</v>
      </c>
      <c r="E5684" s="0" t="n">
        <v>0.002613421410972</v>
      </c>
      <c r="F5684" s="0" t="n">
        <v>0</v>
      </c>
      <c r="G5684" s="0" t="n">
        <v>2021</v>
      </c>
    </row>
    <row r="5685" customFormat="false" ht="15" hidden="false" customHeight="false" outlineLevel="0" collapsed="false">
      <c r="A5685" s="0" t="s">
        <v>262</v>
      </c>
      <c r="B5685" s="52" t="n">
        <v>44454</v>
      </c>
      <c r="C5685" s="54" t="s">
        <v>591</v>
      </c>
      <c r="D5685" s="0" t="n">
        <v>0.0025981628335998</v>
      </c>
      <c r="E5685" s="0" t="n">
        <v>0.0653988806080223</v>
      </c>
      <c r="F5685" s="0" t="n">
        <v>0</v>
      </c>
      <c r="G5685" s="0" t="n">
        <v>2021</v>
      </c>
    </row>
    <row r="5686" customFormat="false" ht="15" hidden="false" customHeight="false" outlineLevel="0" collapsed="false">
      <c r="A5686" s="0" t="s">
        <v>262</v>
      </c>
      <c r="B5686" s="52" t="n">
        <v>44454</v>
      </c>
      <c r="C5686" s="54" t="s">
        <v>592</v>
      </c>
      <c r="D5686" s="0" t="n">
        <v>0.226599445045922</v>
      </c>
      <c r="E5686" s="0" t="n">
        <v>0.0325317041090799</v>
      </c>
      <c r="F5686" s="0" t="n">
        <v>0</v>
      </c>
      <c r="G5686" s="0" t="n">
        <v>2021</v>
      </c>
    </row>
    <row r="5687" customFormat="false" ht="15" hidden="false" customHeight="false" outlineLevel="0" collapsed="false">
      <c r="A5687" s="0" t="s">
        <v>262</v>
      </c>
      <c r="B5687" s="52" t="n">
        <v>44455</v>
      </c>
      <c r="C5687" s="54" t="s">
        <v>590</v>
      </c>
      <c r="D5687" s="0" t="n">
        <v>0.332158573261951</v>
      </c>
      <c r="E5687" s="0" t="n">
        <v>0.0198595912134171</v>
      </c>
      <c r="F5687" s="0" t="n">
        <v>0</v>
      </c>
      <c r="G5687" s="0" t="n">
        <v>2021</v>
      </c>
    </row>
    <row r="5688" customFormat="false" ht="15" hidden="false" customHeight="false" outlineLevel="0" collapsed="false">
      <c r="A5688" s="0" t="s">
        <v>262</v>
      </c>
      <c r="B5688" s="52" t="n">
        <v>44455</v>
      </c>
      <c r="C5688" s="54" t="s">
        <v>591</v>
      </c>
      <c r="D5688" s="0" t="n">
        <v>0.0291226652441498</v>
      </c>
      <c r="E5688" s="0" t="n">
        <v>0.0432935511989647</v>
      </c>
      <c r="F5688" s="0" t="n">
        <v>0</v>
      </c>
      <c r="G5688" s="0" t="n">
        <v>2021</v>
      </c>
    </row>
    <row r="5689" customFormat="false" ht="15" hidden="false" customHeight="false" outlineLevel="0" collapsed="false">
      <c r="A5689" s="0" t="s">
        <v>262</v>
      </c>
      <c r="B5689" s="52" t="n">
        <v>44455</v>
      </c>
      <c r="C5689" s="54" t="s">
        <v>592</v>
      </c>
      <c r="D5689" s="0" t="n">
        <v>0.10104114452821</v>
      </c>
      <c r="E5689" s="0" t="n">
        <v>0.248475614656301</v>
      </c>
      <c r="F5689" s="0" t="n">
        <v>0</v>
      </c>
      <c r="G5689" s="0" t="n">
        <v>2021</v>
      </c>
    </row>
    <row r="5690" customFormat="false" ht="15" hidden="false" customHeight="false" outlineLevel="0" collapsed="false">
      <c r="A5690" s="0" t="s">
        <v>262</v>
      </c>
      <c r="B5690" s="52" t="n">
        <v>44456</v>
      </c>
      <c r="C5690" s="54" t="s">
        <v>590</v>
      </c>
      <c r="D5690" s="0" t="n">
        <v>0.18529304434052</v>
      </c>
      <c r="E5690" s="0" t="n">
        <v>0.0574788250074165</v>
      </c>
      <c r="F5690" s="0" t="n">
        <v>0</v>
      </c>
      <c r="G5690" s="0" t="n">
        <v>2021</v>
      </c>
    </row>
    <row r="5691" customFormat="false" ht="15" hidden="false" customHeight="false" outlineLevel="0" collapsed="false">
      <c r="A5691" s="0" t="s">
        <v>262</v>
      </c>
      <c r="B5691" s="52" t="n">
        <v>44456</v>
      </c>
      <c r="C5691" s="54" t="s">
        <v>591</v>
      </c>
      <c r="D5691" s="0" t="n">
        <v>0</v>
      </c>
      <c r="E5691" s="0" t="n">
        <v>0.0313855225111616</v>
      </c>
      <c r="F5691" s="0" t="n">
        <v>0</v>
      </c>
      <c r="G5691" s="0" t="n">
        <v>2021</v>
      </c>
    </row>
    <row r="5692" customFormat="false" ht="15" hidden="false" customHeight="false" outlineLevel="0" collapsed="false">
      <c r="A5692" s="0" t="s">
        <v>262</v>
      </c>
      <c r="B5692" s="52" t="n">
        <v>44456</v>
      </c>
      <c r="C5692" s="54" t="s">
        <v>592</v>
      </c>
      <c r="D5692" s="0" t="n">
        <v>0.930952823909421</v>
      </c>
      <c r="E5692" s="0" t="n">
        <v>0</v>
      </c>
      <c r="F5692" s="0" t="n">
        <v>0</v>
      </c>
      <c r="G5692" s="0" t="n">
        <v>2021</v>
      </c>
    </row>
    <row r="5693" customFormat="false" ht="15" hidden="false" customHeight="false" outlineLevel="0" collapsed="false">
      <c r="A5693" s="0" t="s">
        <v>262</v>
      </c>
      <c r="B5693" s="52" t="n">
        <v>44457</v>
      </c>
      <c r="C5693" s="54" t="s">
        <v>590</v>
      </c>
      <c r="D5693" s="0" t="n">
        <v>0.110475339818267</v>
      </c>
      <c r="E5693" s="0" t="n">
        <v>0.0104738438858129</v>
      </c>
      <c r="F5693" s="0" t="n">
        <v>1</v>
      </c>
      <c r="G5693" s="0" t="n">
        <v>2021</v>
      </c>
    </row>
    <row r="5694" customFormat="false" ht="15" hidden="false" customHeight="false" outlineLevel="0" collapsed="false">
      <c r="A5694" s="0" t="s">
        <v>262</v>
      </c>
      <c r="B5694" s="52" t="n">
        <v>44457</v>
      </c>
      <c r="C5694" s="54" t="s">
        <v>591</v>
      </c>
      <c r="D5694" s="0" t="n">
        <v>0</v>
      </c>
      <c r="E5694" s="0" t="n">
        <v>0.0078620293824748</v>
      </c>
      <c r="F5694" s="0" t="n">
        <v>1</v>
      </c>
      <c r="G5694" s="0" t="n">
        <v>2021</v>
      </c>
    </row>
    <row r="5695" customFormat="false" ht="15" hidden="false" customHeight="false" outlineLevel="0" collapsed="false">
      <c r="A5695" s="0" t="s">
        <v>262</v>
      </c>
      <c r="B5695" s="52" t="n">
        <v>44457</v>
      </c>
      <c r="C5695" s="54" t="s">
        <v>592</v>
      </c>
      <c r="D5695" s="0" t="n">
        <v>0.739552665500461</v>
      </c>
      <c r="E5695" s="0" t="n">
        <v>0.0399028649499034</v>
      </c>
      <c r="F5695" s="0" t="n">
        <v>1</v>
      </c>
      <c r="G5695" s="0" t="n">
        <v>2021</v>
      </c>
    </row>
    <row r="5696" customFormat="false" ht="15" hidden="false" customHeight="false" outlineLevel="0" collapsed="false">
      <c r="A5696" s="0" t="s">
        <v>262</v>
      </c>
      <c r="B5696" s="52" t="n">
        <v>44458</v>
      </c>
      <c r="C5696" s="54" t="s">
        <v>590</v>
      </c>
      <c r="D5696" s="0" t="n">
        <v>1</v>
      </c>
      <c r="E5696" s="0" t="n">
        <v>0</v>
      </c>
      <c r="F5696" s="0" t="n">
        <v>1</v>
      </c>
      <c r="G5696" s="0" t="n">
        <v>2021</v>
      </c>
    </row>
    <row r="5697" customFormat="false" ht="15" hidden="false" customHeight="false" outlineLevel="0" collapsed="false">
      <c r="A5697" s="0" t="s">
        <v>262</v>
      </c>
      <c r="B5697" s="52" t="n">
        <v>44458</v>
      </c>
      <c r="C5697" s="54" t="s">
        <v>591</v>
      </c>
      <c r="D5697" s="0" t="n">
        <v>0.835293806870066</v>
      </c>
      <c r="E5697" s="0" t="n">
        <v>0</v>
      </c>
      <c r="F5697" s="0" t="n">
        <v>1</v>
      </c>
      <c r="G5697" s="0" t="n">
        <v>2021</v>
      </c>
    </row>
    <row r="5698" customFormat="false" ht="15" hidden="false" customHeight="false" outlineLevel="0" collapsed="false">
      <c r="A5698" s="0" t="s">
        <v>262</v>
      </c>
      <c r="B5698" s="52" t="n">
        <v>44458</v>
      </c>
      <c r="C5698" s="54" t="s">
        <v>592</v>
      </c>
      <c r="D5698" s="0" t="n">
        <v>0.0579711642609326</v>
      </c>
      <c r="E5698" s="0" t="n">
        <v>0.0048972179926883</v>
      </c>
      <c r="F5698" s="0" t="n">
        <v>1</v>
      </c>
      <c r="G5698" s="0" t="n">
        <v>2021</v>
      </c>
    </row>
    <row r="5699" customFormat="false" ht="15" hidden="false" customHeight="false" outlineLevel="0" collapsed="false">
      <c r="A5699" s="0" t="s">
        <v>262</v>
      </c>
      <c r="B5699" s="52" t="n">
        <v>44459</v>
      </c>
      <c r="C5699" s="54" t="s">
        <v>590</v>
      </c>
      <c r="D5699" s="0" t="n">
        <v>0.036028927459576</v>
      </c>
      <c r="E5699" s="0" t="n">
        <v>0.0511215893761453</v>
      </c>
      <c r="F5699" s="0" t="n">
        <v>0</v>
      </c>
      <c r="G5699" s="0" t="n">
        <v>2021</v>
      </c>
    </row>
    <row r="5700" customFormat="false" ht="15" hidden="false" customHeight="false" outlineLevel="0" collapsed="false">
      <c r="A5700" s="0" t="s">
        <v>262</v>
      </c>
      <c r="B5700" s="52" t="n">
        <v>44459</v>
      </c>
      <c r="C5700" s="54" t="s">
        <v>591</v>
      </c>
      <c r="D5700" s="0" t="n">
        <v>0.601133500097939</v>
      </c>
      <c r="E5700" s="0" t="n">
        <v>0</v>
      </c>
      <c r="F5700" s="0" t="n">
        <v>0</v>
      </c>
      <c r="G5700" s="0" t="n">
        <v>2021</v>
      </c>
    </row>
    <row r="5701" customFormat="false" ht="15" hidden="false" customHeight="false" outlineLevel="0" collapsed="false">
      <c r="A5701" s="0" t="s">
        <v>262</v>
      </c>
      <c r="B5701" s="52" t="n">
        <v>44459</v>
      </c>
      <c r="C5701" s="54" t="s">
        <v>592</v>
      </c>
      <c r="D5701" s="0" t="n">
        <v>0.036183371446144</v>
      </c>
      <c r="E5701" s="0" t="n">
        <v>0.0646205649667868</v>
      </c>
      <c r="F5701" s="0" t="n">
        <v>0</v>
      </c>
      <c r="G5701" s="0" t="n">
        <v>2021</v>
      </c>
    </row>
    <row r="5702" customFormat="false" ht="15" hidden="false" customHeight="false" outlineLevel="0" collapsed="false">
      <c r="A5702" s="0" t="s">
        <v>262</v>
      </c>
      <c r="B5702" s="52" t="n">
        <v>44460</v>
      </c>
      <c r="C5702" s="54" t="s">
        <v>590</v>
      </c>
      <c r="D5702" s="0" t="n">
        <v>0.0766557835129329</v>
      </c>
      <c r="E5702" s="0" t="n">
        <v>0.0107625875386407</v>
      </c>
      <c r="F5702" s="0" t="n">
        <v>0</v>
      </c>
      <c r="G5702" s="0" t="n">
        <v>2021</v>
      </c>
    </row>
    <row r="5703" customFormat="false" ht="15" hidden="false" customHeight="false" outlineLevel="0" collapsed="false">
      <c r="A5703" s="0" t="s">
        <v>262</v>
      </c>
      <c r="B5703" s="52" t="n">
        <v>44460</v>
      </c>
      <c r="C5703" s="54" t="s">
        <v>591</v>
      </c>
      <c r="D5703" s="0" t="n">
        <v>0.26646198233108</v>
      </c>
      <c r="E5703" s="0" t="n">
        <v>0.0656024788406703</v>
      </c>
      <c r="F5703" s="0" t="n">
        <v>0</v>
      </c>
      <c r="G5703" s="0" t="n">
        <v>2021</v>
      </c>
    </row>
    <row r="5704" customFormat="false" ht="15" hidden="false" customHeight="false" outlineLevel="0" collapsed="false">
      <c r="A5704" s="0" t="s">
        <v>262</v>
      </c>
      <c r="B5704" s="52" t="n">
        <v>44460</v>
      </c>
      <c r="C5704" s="54" t="s">
        <v>592</v>
      </c>
      <c r="D5704" s="0" t="n">
        <v>0.199110864862675</v>
      </c>
      <c r="E5704" s="0" t="n">
        <v>0.0052706645575445</v>
      </c>
      <c r="F5704" s="0" t="n">
        <v>0</v>
      </c>
      <c r="G5704" s="0" t="n">
        <v>2021</v>
      </c>
    </row>
    <row r="5705" customFormat="false" ht="15" hidden="false" customHeight="false" outlineLevel="0" collapsed="false">
      <c r="A5705" s="0" t="s">
        <v>262</v>
      </c>
      <c r="B5705" s="52" t="n">
        <v>44461</v>
      </c>
      <c r="C5705" s="54" t="s">
        <v>590</v>
      </c>
      <c r="D5705" s="0" t="n">
        <v>0.0098464612323007</v>
      </c>
      <c r="E5705" s="0" t="n">
        <v>0.056808914443336</v>
      </c>
      <c r="F5705" s="0" t="n">
        <v>0</v>
      </c>
      <c r="G5705" s="0" t="n">
        <v>2021</v>
      </c>
    </row>
    <row r="5706" customFormat="false" ht="15" hidden="false" customHeight="false" outlineLevel="0" collapsed="false">
      <c r="A5706" s="0" t="s">
        <v>262</v>
      </c>
      <c r="B5706" s="52" t="n">
        <v>44461</v>
      </c>
      <c r="C5706" s="54" t="s">
        <v>591</v>
      </c>
      <c r="D5706" s="0" t="n">
        <v>0.878964874753306</v>
      </c>
      <c r="E5706" s="0" t="n">
        <v>0.0139343435989899</v>
      </c>
      <c r="F5706" s="0" t="n">
        <v>0</v>
      </c>
      <c r="G5706" s="0" t="n">
        <v>2021</v>
      </c>
    </row>
    <row r="5707" customFormat="false" ht="15" hidden="false" customHeight="false" outlineLevel="0" collapsed="false">
      <c r="A5707" s="0" t="s">
        <v>262</v>
      </c>
      <c r="B5707" s="52" t="n">
        <v>44461</v>
      </c>
      <c r="C5707" s="54" t="s">
        <v>592</v>
      </c>
      <c r="D5707" s="0" t="n">
        <v>0.672987163334562</v>
      </c>
      <c r="E5707" s="0" t="n">
        <v>0</v>
      </c>
      <c r="F5707" s="0" t="n">
        <v>0</v>
      </c>
      <c r="G5707" s="0" t="n">
        <v>2021</v>
      </c>
    </row>
    <row r="5708" customFormat="false" ht="15" hidden="false" customHeight="false" outlineLevel="0" collapsed="false">
      <c r="A5708" s="0" t="s">
        <v>262</v>
      </c>
      <c r="B5708" s="52" t="n">
        <v>44462</v>
      </c>
      <c r="C5708" s="54" t="s">
        <v>590</v>
      </c>
      <c r="D5708" s="0" t="n">
        <v>0.0226683863628087</v>
      </c>
      <c r="E5708" s="0" t="n">
        <v>0.0653298723520488</v>
      </c>
      <c r="F5708" s="0" t="n">
        <v>0</v>
      </c>
      <c r="G5708" s="0" t="n">
        <v>2021</v>
      </c>
    </row>
    <row r="5709" customFormat="false" ht="15" hidden="false" customHeight="false" outlineLevel="0" collapsed="false">
      <c r="A5709" s="0" t="s">
        <v>262</v>
      </c>
      <c r="B5709" s="52" t="n">
        <v>44462</v>
      </c>
      <c r="C5709" s="54" t="s">
        <v>591</v>
      </c>
      <c r="D5709" s="0" t="n">
        <v>0.188743809074129</v>
      </c>
      <c r="E5709" s="0" t="n">
        <v>0.0090661092486469</v>
      </c>
      <c r="F5709" s="0" t="n">
        <v>0</v>
      </c>
      <c r="G5709" s="0" t="n">
        <v>2021</v>
      </c>
    </row>
    <row r="5710" customFormat="false" ht="15" hidden="false" customHeight="false" outlineLevel="0" collapsed="false">
      <c r="A5710" s="0" t="s">
        <v>262</v>
      </c>
      <c r="B5710" s="52" t="n">
        <v>44462</v>
      </c>
      <c r="C5710" s="54" t="s">
        <v>592</v>
      </c>
      <c r="D5710" s="0" t="n">
        <v>0.994390066778843</v>
      </c>
      <c r="E5710" s="0" t="n">
        <v>0</v>
      </c>
      <c r="F5710" s="0" t="n">
        <v>0</v>
      </c>
      <c r="G5710" s="0" t="n">
        <v>2021</v>
      </c>
    </row>
    <row r="5711" customFormat="false" ht="15" hidden="false" customHeight="false" outlineLevel="0" collapsed="false">
      <c r="A5711" s="0" t="s">
        <v>262</v>
      </c>
      <c r="B5711" s="52" t="n">
        <v>44463</v>
      </c>
      <c r="C5711" s="54" t="s">
        <v>590</v>
      </c>
      <c r="D5711" s="0" t="n">
        <v>0.371646793616045</v>
      </c>
      <c r="E5711" s="0" t="n">
        <v>0.0340615993373961</v>
      </c>
      <c r="F5711" s="0" t="n">
        <v>0</v>
      </c>
      <c r="G5711" s="0" t="n">
        <v>2021</v>
      </c>
    </row>
    <row r="5712" customFormat="false" ht="15" hidden="false" customHeight="false" outlineLevel="0" collapsed="false">
      <c r="A5712" s="0" t="s">
        <v>262</v>
      </c>
      <c r="B5712" s="52" t="n">
        <v>44463</v>
      </c>
      <c r="C5712" s="54" t="s">
        <v>591</v>
      </c>
      <c r="D5712" s="0" t="n">
        <v>0.0127355306176548</v>
      </c>
      <c r="E5712" s="0" t="n">
        <v>0.0343470127115969</v>
      </c>
      <c r="F5712" s="0" t="n">
        <v>0</v>
      </c>
      <c r="G5712" s="0" t="n">
        <v>2021</v>
      </c>
    </row>
    <row r="5713" customFormat="false" ht="15" hidden="false" customHeight="false" outlineLevel="0" collapsed="false">
      <c r="A5713" s="0" t="s">
        <v>262</v>
      </c>
      <c r="B5713" s="52" t="n">
        <v>44463</v>
      </c>
      <c r="C5713" s="54" t="s">
        <v>592</v>
      </c>
      <c r="D5713" s="0" t="n">
        <v>0.970500353779536</v>
      </c>
      <c r="E5713" s="0" t="n">
        <v>0</v>
      </c>
      <c r="F5713" s="0" t="n">
        <v>0</v>
      </c>
      <c r="G5713" s="0" t="n">
        <v>2021</v>
      </c>
    </row>
    <row r="5714" customFormat="false" ht="15" hidden="false" customHeight="false" outlineLevel="0" collapsed="false">
      <c r="A5714" s="0" t="s">
        <v>262</v>
      </c>
      <c r="B5714" s="52" t="n">
        <v>44464</v>
      </c>
      <c r="C5714" s="54" t="s">
        <v>590</v>
      </c>
      <c r="D5714" s="0" t="n">
        <v>0.0998260885150848</v>
      </c>
      <c r="E5714" s="0" t="n">
        <v>0.0222049639066007</v>
      </c>
      <c r="F5714" s="0" t="n">
        <v>1</v>
      </c>
      <c r="G5714" s="0" t="n">
        <v>2021</v>
      </c>
    </row>
    <row r="5715" customFormat="false" ht="15" hidden="false" customHeight="false" outlineLevel="0" collapsed="false">
      <c r="A5715" s="0" t="s">
        <v>262</v>
      </c>
      <c r="B5715" s="52" t="n">
        <v>44464</v>
      </c>
      <c r="C5715" s="54" t="s">
        <v>591</v>
      </c>
      <c r="D5715" s="0" t="n">
        <v>0.002156774572516</v>
      </c>
      <c r="E5715" s="0" t="n">
        <v>0.0628343200009279</v>
      </c>
      <c r="F5715" s="0" t="n">
        <v>1</v>
      </c>
      <c r="G5715" s="0" t="n">
        <v>2021</v>
      </c>
    </row>
    <row r="5716" customFormat="false" ht="15" hidden="false" customHeight="false" outlineLevel="0" collapsed="false">
      <c r="A5716" s="0" t="s">
        <v>262</v>
      </c>
      <c r="B5716" s="52" t="n">
        <v>44464</v>
      </c>
      <c r="C5716" s="54" t="s">
        <v>592</v>
      </c>
      <c r="D5716" s="0" t="n">
        <v>0.959209455615092</v>
      </c>
      <c r="E5716" s="0" t="n">
        <v>0.0080998004196693</v>
      </c>
      <c r="F5716" s="0" t="n">
        <v>1</v>
      </c>
      <c r="G5716" s="0" t="n">
        <v>2021</v>
      </c>
    </row>
    <row r="5717" customFormat="false" ht="15" hidden="false" customHeight="false" outlineLevel="0" collapsed="false">
      <c r="A5717" s="0" t="s">
        <v>262</v>
      </c>
      <c r="B5717" s="52" t="n">
        <v>44465</v>
      </c>
      <c r="C5717" s="54" t="s">
        <v>590</v>
      </c>
      <c r="D5717" s="0" t="n">
        <v>1</v>
      </c>
      <c r="E5717" s="0" t="n">
        <v>0</v>
      </c>
      <c r="F5717" s="0" t="n">
        <v>1</v>
      </c>
      <c r="G5717" s="0" t="n">
        <v>2021</v>
      </c>
    </row>
    <row r="5718" customFormat="false" ht="15" hidden="false" customHeight="false" outlineLevel="0" collapsed="false">
      <c r="A5718" s="0" t="s">
        <v>262</v>
      </c>
      <c r="B5718" s="52" t="n">
        <v>44465</v>
      </c>
      <c r="C5718" s="54" t="s">
        <v>591</v>
      </c>
      <c r="D5718" s="0" t="n">
        <v>0.981027894945657</v>
      </c>
      <c r="E5718" s="0" t="n">
        <v>0</v>
      </c>
      <c r="F5718" s="0" t="n">
        <v>1</v>
      </c>
      <c r="G5718" s="0" t="n">
        <v>2021</v>
      </c>
    </row>
    <row r="5719" customFormat="false" ht="15" hidden="false" customHeight="false" outlineLevel="0" collapsed="false">
      <c r="A5719" s="0" t="s">
        <v>262</v>
      </c>
      <c r="B5719" s="52" t="n">
        <v>44465</v>
      </c>
      <c r="C5719" s="54" t="s">
        <v>592</v>
      </c>
      <c r="D5719" s="0" t="n">
        <v>0.0690224130155117</v>
      </c>
      <c r="E5719" s="0" t="n">
        <v>0.013153978055039</v>
      </c>
      <c r="F5719" s="0" t="n">
        <v>1</v>
      </c>
      <c r="G5719" s="0" t="n">
        <v>2021</v>
      </c>
    </row>
    <row r="5720" customFormat="false" ht="15" hidden="false" customHeight="false" outlineLevel="0" collapsed="false">
      <c r="A5720" s="0" t="s">
        <v>262</v>
      </c>
      <c r="B5720" s="52" t="n">
        <v>44466</v>
      </c>
      <c r="C5720" s="54" t="s">
        <v>590</v>
      </c>
      <c r="D5720" s="0" t="n">
        <v>0.0319855141204922</v>
      </c>
      <c r="E5720" s="0" t="n">
        <v>0.0277164586027776</v>
      </c>
      <c r="F5720" s="0" t="n">
        <v>0</v>
      </c>
      <c r="G5720" s="0" t="n">
        <v>2021</v>
      </c>
    </row>
    <row r="5721" customFormat="false" ht="15" hidden="false" customHeight="false" outlineLevel="0" collapsed="false">
      <c r="A5721" s="0" t="s">
        <v>262</v>
      </c>
      <c r="B5721" s="52" t="n">
        <v>44466</v>
      </c>
      <c r="C5721" s="54" t="s">
        <v>591</v>
      </c>
      <c r="D5721" s="0" t="n">
        <v>0.575251154533118</v>
      </c>
      <c r="E5721" s="0" t="n">
        <v>0.0138547805371806</v>
      </c>
      <c r="F5721" s="0" t="n">
        <v>0</v>
      </c>
      <c r="G5721" s="0" t="n">
        <v>2021</v>
      </c>
    </row>
    <row r="5722" customFormat="false" ht="15" hidden="false" customHeight="false" outlineLevel="0" collapsed="false">
      <c r="A5722" s="0" t="s">
        <v>262</v>
      </c>
      <c r="B5722" s="52" t="n">
        <v>44466</v>
      </c>
      <c r="C5722" s="54" t="s">
        <v>592</v>
      </c>
      <c r="D5722" s="0" t="n">
        <v>0.258968688923889</v>
      </c>
      <c r="E5722" s="0" t="n">
        <v>0.0086109334711912</v>
      </c>
      <c r="F5722" s="0" t="n">
        <v>0</v>
      </c>
      <c r="G5722" s="0" t="n">
        <v>2021</v>
      </c>
    </row>
    <row r="5723" customFormat="false" ht="15" hidden="false" customHeight="false" outlineLevel="0" collapsed="false">
      <c r="A5723" s="0" t="s">
        <v>262</v>
      </c>
      <c r="B5723" s="52" t="n">
        <v>44467</v>
      </c>
      <c r="C5723" s="54" t="s">
        <v>590</v>
      </c>
      <c r="D5723" s="0" t="n">
        <v>0.0032998825141593</v>
      </c>
      <c r="E5723" s="0" t="n">
        <v>0.0518078093281484</v>
      </c>
      <c r="F5723" s="0" t="n">
        <v>0</v>
      </c>
      <c r="G5723" s="0" t="n">
        <v>2021</v>
      </c>
    </row>
    <row r="5724" customFormat="false" ht="15" hidden="false" customHeight="false" outlineLevel="0" collapsed="false">
      <c r="A5724" s="0" t="s">
        <v>262</v>
      </c>
      <c r="B5724" s="52" t="n">
        <v>44467</v>
      </c>
      <c r="C5724" s="54" t="s">
        <v>591</v>
      </c>
      <c r="D5724" s="0" t="n">
        <v>0.243392722035518</v>
      </c>
      <c r="E5724" s="0" t="n">
        <v>0.0103016888002412</v>
      </c>
      <c r="F5724" s="0" t="n">
        <v>0</v>
      </c>
      <c r="G5724" s="0" t="n">
        <v>2021</v>
      </c>
    </row>
    <row r="5725" customFormat="false" ht="15" hidden="false" customHeight="false" outlineLevel="0" collapsed="false">
      <c r="A5725" s="0" t="s">
        <v>262</v>
      </c>
      <c r="B5725" s="52" t="n">
        <v>44467</v>
      </c>
      <c r="C5725" s="54" t="s">
        <v>592</v>
      </c>
      <c r="D5725" s="0" t="n">
        <v>0.927391352942098</v>
      </c>
      <c r="E5725" s="0" t="n">
        <v>0</v>
      </c>
      <c r="F5725" s="0" t="n">
        <v>0</v>
      </c>
      <c r="G5725" s="0" t="n">
        <v>2021</v>
      </c>
    </row>
    <row r="5726" customFormat="false" ht="15" hidden="false" customHeight="false" outlineLevel="0" collapsed="false">
      <c r="A5726" s="0" t="s">
        <v>262</v>
      </c>
      <c r="B5726" s="52" t="n">
        <v>44468</v>
      </c>
      <c r="C5726" s="54" t="s">
        <v>590</v>
      </c>
      <c r="D5726" s="0" t="n">
        <v>0.0883865394338703</v>
      </c>
      <c r="E5726" s="0" t="n">
        <v>0.0299479903161501</v>
      </c>
      <c r="F5726" s="0" t="n">
        <v>0</v>
      </c>
      <c r="G5726" s="0" t="n">
        <v>2021</v>
      </c>
    </row>
    <row r="5727" customFormat="false" ht="15" hidden="false" customHeight="false" outlineLevel="0" collapsed="false">
      <c r="A5727" s="0" t="s">
        <v>262</v>
      </c>
      <c r="B5727" s="52" t="n">
        <v>44468</v>
      </c>
      <c r="C5727" s="54" t="s">
        <v>591</v>
      </c>
      <c r="D5727" s="0" t="n">
        <v>0.0371014494944875</v>
      </c>
      <c r="E5727" s="0" t="n">
        <v>0.0297615372707054</v>
      </c>
      <c r="F5727" s="0" t="n">
        <v>0</v>
      </c>
      <c r="G5727" s="0" t="n">
        <v>2021</v>
      </c>
    </row>
    <row r="5728" customFormat="false" ht="15" hidden="false" customHeight="false" outlineLevel="0" collapsed="false">
      <c r="A5728" s="0" t="s">
        <v>262</v>
      </c>
      <c r="B5728" s="52" t="n">
        <v>44468</v>
      </c>
      <c r="C5728" s="54" t="s">
        <v>592</v>
      </c>
      <c r="D5728" s="0" t="n">
        <v>0.980377560552663</v>
      </c>
      <c r="E5728" s="0" t="n">
        <v>0</v>
      </c>
      <c r="F5728" s="0" t="n">
        <v>0</v>
      </c>
      <c r="G5728" s="0" t="n">
        <v>2021</v>
      </c>
    </row>
    <row r="5729" customFormat="false" ht="15" hidden="false" customHeight="false" outlineLevel="0" collapsed="false">
      <c r="A5729" s="0" t="s">
        <v>262</v>
      </c>
      <c r="B5729" s="52" t="n">
        <v>44469</v>
      </c>
      <c r="C5729" s="54" t="s">
        <v>590</v>
      </c>
      <c r="D5729" s="0" t="n">
        <v>0.0652932694586893</v>
      </c>
      <c r="E5729" s="0" t="n">
        <v>0.0093140701122616</v>
      </c>
      <c r="F5729" s="0" t="n">
        <v>0</v>
      </c>
      <c r="G5729" s="0" t="n">
        <v>2021</v>
      </c>
    </row>
    <row r="5730" customFormat="false" ht="15" hidden="false" customHeight="false" outlineLevel="0" collapsed="false">
      <c r="A5730" s="0" t="s">
        <v>262</v>
      </c>
      <c r="B5730" s="52" t="n">
        <v>44469</v>
      </c>
      <c r="C5730" s="54" t="s">
        <v>591</v>
      </c>
      <c r="D5730" s="0" t="n">
        <v>0.0085057129356816</v>
      </c>
      <c r="E5730" s="0" t="n">
        <v>0.0820295173813218</v>
      </c>
      <c r="F5730" s="0" t="n">
        <v>0</v>
      </c>
      <c r="G5730" s="0" t="n">
        <v>2021</v>
      </c>
    </row>
    <row r="5731" customFormat="false" ht="15" hidden="false" customHeight="false" outlineLevel="0" collapsed="false">
      <c r="A5731" s="0" t="s">
        <v>262</v>
      </c>
      <c r="B5731" s="52" t="n">
        <v>44469</v>
      </c>
      <c r="C5731" s="54" t="s">
        <v>592</v>
      </c>
      <c r="D5731" s="0" t="n">
        <v>0.985573633848865</v>
      </c>
      <c r="E5731" s="0" t="n">
        <v>0</v>
      </c>
      <c r="F5731" s="0" t="n">
        <v>0</v>
      </c>
      <c r="G5731" s="0" t="n">
        <v>2021</v>
      </c>
    </row>
    <row r="5732" customFormat="false" ht="15" hidden="false" customHeight="false" outlineLevel="0" collapsed="false">
      <c r="A5732" s="0" t="s">
        <v>262</v>
      </c>
      <c r="B5732" s="52" t="n">
        <v>44470</v>
      </c>
      <c r="C5732" s="54" t="s">
        <v>591</v>
      </c>
      <c r="D5732" s="0" t="n">
        <v>0.301736930810209</v>
      </c>
      <c r="E5732" s="0" t="n">
        <v>0.0795168284034258</v>
      </c>
      <c r="F5732" s="0" t="n">
        <v>0</v>
      </c>
      <c r="G5732" s="0" t="n">
        <v>2021</v>
      </c>
    </row>
    <row r="5733" customFormat="false" ht="15" hidden="false" customHeight="false" outlineLevel="0" collapsed="false">
      <c r="A5733" s="0" t="s">
        <v>262</v>
      </c>
      <c r="B5733" s="52" t="n">
        <v>44470</v>
      </c>
      <c r="C5733" s="54" t="s">
        <v>592</v>
      </c>
      <c r="D5733" s="0" t="n">
        <v>0.0515628003282842</v>
      </c>
      <c r="E5733" s="0" t="n">
        <v>0.0381102047222726</v>
      </c>
      <c r="F5733" s="0" t="n">
        <v>0</v>
      </c>
      <c r="G5733" s="0" t="n">
        <v>2021</v>
      </c>
    </row>
    <row r="5734" customFormat="false" ht="15" hidden="false" customHeight="false" outlineLevel="0" collapsed="false">
      <c r="A5734" s="0" t="s">
        <v>262</v>
      </c>
      <c r="B5734" s="52" t="n">
        <v>44471</v>
      </c>
      <c r="C5734" s="54" t="s">
        <v>590</v>
      </c>
      <c r="D5734" s="0" t="n">
        <v>0.0014498978290354</v>
      </c>
      <c r="E5734" s="0" t="n">
        <v>0.0183244453452091</v>
      </c>
      <c r="F5734" s="0" t="n">
        <v>1</v>
      </c>
      <c r="G5734" s="0" t="n">
        <v>2021</v>
      </c>
    </row>
    <row r="5735" customFormat="false" ht="15" hidden="false" customHeight="false" outlineLevel="0" collapsed="false">
      <c r="A5735" s="0" t="s">
        <v>262</v>
      </c>
      <c r="B5735" s="52" t="n">
        <v>44471</v>
      </c>
      <c r="C5735" s="54" t="s">
        <v>591</v>
      </c>
      <c r="D5735" s="0" t="n">
        <v>0.971785865864667</v>
      </c>
      <c r="E5735" s="0" t="n">
        <v>0.012498549133203</v>
      </c>
      <c r="F5735" s="0" t="n">
        <v>1</v>
      </c>
      <c r="G5735" s="0" t="n">
        <v>2021</v>
      </c>
    </row>
    <row r="5736" customFormat="false" ht="15" hidden="false" customHeight="false" outlineLevel="0" collapsed="false">
      <c r="A5736" s="0" t="s">
        <v>262</v>
      </c>
      <c r="B5736" s="52" t="n">
        <v>44472</v>
      </c>
      <c r="C5736" s="54" t="s">
        <v>591</v>
      </c>
      <c r="D5736" s="0" t="n">
        <v>0.939715034964525</v>
      </c>
      <c r="E5736" s="0" t="n">
        <v>0</v>
      </c>
      <c r="F5736" s="0" t="n">
        <v>1</v>
      </c>
      <c r="G5736" s="0" t="n">
        <v>2021</v>
      </c>
    </row>
    <row r="5737" customFormat="false" ht="15" hidden="false" customHeight="false" outlineLevel="0" collapsed="false">
      <c r="A5737" s="0" t="s">
        <v>262</v>
      </c>
      <c r="B5737" s="52" t="n">
        <v>44472</v>
      </c>
      <c r="C5737" s="54" t="s">
        <v>592</v>
      </c>
      <c r="D5737" s="0" t="n">
        <v>0.26570513105909</v>
      </c>
      <c r="E5737" s="0" t="n">
        <v>0.100311056806153</v>
      </c>
      <c r="F5737" s="0" t="n">
        <v>1</v>
      </c>
      <c r="G5737" s="0" t="n">
        <v>2021</v>
      </c>
    </row>
    <row r="5738" customFormat="false" ht="15" hidden="false" customHeight="false" outlineLevel="0" collapsed="false">
      <c r="A5738" s="0" t="s">
        <v>262</v>
      </c>
      <c r="B5738" s="52" t="n">
        <v>44473</v>
      </c>
      <c r="C5738" s="54" t="s">
        <v>590</v>
      </c>
      <c r="D5738" s="0" t="n">
        <v>0.0123425384759539</v>
      </c>
      <c r="E5738" s="0" t="n">
        <v>0.0999988287380824</v>
      </c>
      <c r="F5738" s="0" t="n">
        <v>0</v>
      </c>
      <c r="G5738" s="0" t="n">
        <v>2021</v>
      </c>
    </row>
    <row r="5739" customFormat="false" ht="15" hidden="false" customHeight="false" outlineLevel="0" collapsed="false">
      <c r="A5739" s="0" t="s">
        <v>262</v>
      </c>
      <c r="B5739" s="52" t="n">
        <v>44473</v>
      </c>
      <c r="C5739" s="54" t="s">
        <v>591</v>
      </c>
      <c r="D5739" s="0" t="n">
        <v>0.162628753720613</v>
      </c>
      <c r="E5739" s="0" t="n">
        <v>0.0531708124750469</v>
      </c>
      <c r="F5739" s="0" t="n">
        <v>0</v>
      </c>
      <c r="G5739" s="0" t="n">
        <v>2021</v>
      </c>
    </row>
    <row r="5740" customFormat="false" ht="15" hidden="false" customHeight="false" outlineLevel="0" collapsed="false">
      <c r="A5740" s="0" t="s">
        <v>262</v>
      </c>
      <c r="B5740" s="52" t="n">
        <v>44473</v>
      </c>
      <c r="C5740" s="54" t="s">
        <v>592</v>
      </c>
      <c r="D5740" s="0" t="n">
        <v>1</v>
      </c>
      <c r="E5740" s="0" t="n">
        <v>0</v>
      </c>
      <c r="F5740" s="0" t="n">
        <v>0</v>
      </c>
      <c r="G5740" s="0" t="n">
        <v>2021</v>
      </c>
    </row>
    <row r="5741" customFormat="false" ht="15" hidden="false" customHeight="false" outlineLevel="0" collapsed="false">
      <c r="A5741" s="0" t="s">
        <v>262</v>
      </c>
      <c r="B5741" s="52" t="n">
        <v>44474</v>
      </c>
      <c r="C5741" s="54" t="s">
        <v>590</v>
      </c>
      <c r="D5741" s="0" t="n">
        <v>0.454233205679582</v>
      </c>
      <c r="E5741" s="0" t="n">
        <v>0</v>
      </c>
      <c r="F5741" s="0" t="n">
        <v>0</v>
      </c>
      <c r="G5741" s="0" t="n">
        <v>2021</v>
      </c>
    </row>
    <row r="5742" customFormat="false" ht="15" hidden="false" customHeight="false" outlineLevel="0" collapsed="false">
      <c r="A5742" s="0" t="s">
        <v>262</v>
      </c>
      <c r="B5742" s="52" t="n">
        <v>44474</v>
      </c>
      <c r="C5742" s="54" t="s">
        <v>591</v>
      </c>
      <c r="D5742" s="0" t="n">
        <v>0.0486833711241085</v>
      </c>
      <c r="E5742" s="0" t="n">
        <v>0.149247864832033</v>
      </c>
      <c r="F5742" s="0" t="n">
        <v>0</v>
      </c>
      <c r="G5742" s="0" t="n">
        <v>2021</v>
      </c>
    </row>
    <row r="5743" customFormat="false" ht="15" hidden="false" customHeight="false" outlineLevel="0" collapsed="false">
      <c r="A5743" s="0" t="s">
        <v>262</v>
      </c>
      <c r="B5743" s="52" t="n">
        <v>44474</v>
      </c>
      <c r="C5743" s="54" t="s">
        <v>592</v>
      </c>
      <c r="D5743" s="0" t="n">
        <v>0.115979334416823</v>
      </c>
      <c r="E5743" s="0" t="n">
        <v>0.0364323363978415</v>
      </c>
      <c r="F5743" s="0" t="n">
        <v>0</v>
      </c>
      <c r="G5743" s="0" t="n">
        <v>2021</v>
      </c>
    </row>
    <row r="5744" customFormat="false" ht="15" hidden="false" customHeight="false" outlineLevel="0" collapsed="false">
      <c r="A5744" s="0" t="s">
        <v>262</v>
      </c>
      <c r="B5744" s="52" t="n">
        <v>44475</v>
      </c>
      <c r="C5744" s="54" t="s">
        <v>590</v>
      </c>
      <c r="D5744" s="0" t="n">
        <v>0.275307594696071</v>
      </c>
      <c r="E5744" s="0" t="n">
        <v>0.0113144398983809</v>
      </c>
      <c r="F5744" s="0" t="n">
        <v>0</v>
      </c>
      <c r="G5744" s="0" t="n">
        <v>2021</v>
      </c>
    </row>
    <row r="5745" customFormat="false" ht="15" hidden="false" customHeight="false" outlineLevel="0" collapsed="false">
      <c r="A5745" s="0" t="s">
        <v>262</v>
      </c>
      <c r="B5745" s="52" t="n">
        <v>44475</v>
      </c>
      <c r="C5745" s="54" t="s">
        <v>591</v>
      </c>
      <c r="D5745" s="0" t="n">
        <v>0.346769605171618</v>
      </c>
      <c r="E5745" s="0" t="n">
        <v>0.000786316641952</v>
      </c>
      <c r="F5745" s="0" t="n">
        <v>0</v>
      </c>
      <c r="G5745" s="0" t="n">
        <v>2021</v>
      </c>
    </row>
    <row r="5746" customFormat="false" ht="15" hidden="false" customHeight="false" outlineLevel="0" collapsed="false">
      <c r="A5746" s="0" t="s">
        <v>262</v>
      </c>
      <c r="B5746" s="52" t="n">
        <v>44475</v>
      </c>
      <c r="C5746" s="54" t="s">
        <v>592</v>
      </c>
      <c r="D5746" s="0" t="n">
        <v>0.0169118987814206</v>
      </c>
      <c r="E5746" s="0" t="n">
        <v>0.0766423567869272</v>
      </c>
      <c r="F5746" s="0" t="n">
        <v>0</v>
      </c>
      <c r="G5746" s="0" t="n">
        <v>2021</v>
      </c>
    </row>
    <row r="5747" customFormat="false" ht="15" hidden="false" customHeight="false" outlineLevel="0" collapsed="false">
      <c r="A5747" s="0" t="s">
        <v>262</v>
      </c>
      <c r="B5747" s="52" t="n">
        <v>44476</v>
      </c>
      <c r="C5747" s="54" t="s">
        <v>590</v>
      </c>
      <c r="D5747" s="0" t="n">
        <v>0.21736202017083</v>
      </c>
      <c r="E5747" s="0" t="n">
        <v>0.0240587182447</v>
      </c>
      <c r="F5747" s="0" t="n">
        <v>0</v>
      </c>
      <c r="G5747" s="0" t="n">
        <v>2021</v>
      </c>
    </row>
    <row r="5748" customFormat="false" ht="15" hidden="false" customHeight="false" outlineLevel="0" collapsed="false">
      <c r="A5748" s="0" t="s">
        <v>262</v>
      </c>
      <c r="B5748" s="52" t="n">
        <v>44476</v>
      </c>
      <c r="C5748" s="54" t="s">
        <v>591</v>
      </c>
      <c r="D5748" s="0" t="n">
        <v>0.253465323536716</v>
      </c>
      <c r="E5748" s="0" t="n">
        <v>0.065730066987504</v>
      </c>
      <c r="F5748" s="0" t="n">
        <v>0</v>
      </c>
      <c r="G5748" s="0" t="n">
        <v>2021</v>
      </c>
    </row>
    <row r="5749" customFormat="false" ht="15" hidden="false" customHeight="false" outlineLevel="0" collapsed="false">
      <c r="A5749" s="0" t="s">
        <v>262</v>
      </c>
      <c r="B5749" s="52" t="n">
        <v>44476</v>
      </c>
      <c r="C5749" s="54" t="s">
        <v>592</v>
      </c>
      <c r="D5749" s="0" t="n">
        <v>0.0032079136420201</v>
      </c>
      <c r="E5749" s="0" t="n">
        <v>0.19062732826289</v>
      </c>
      <c r="F5749" s="0" t="n">
        <v>0</v>
      </c>
      <c r="G5749" s="0" t="n">
        <v>2021</v>
      </c>
    </row>
    <row r="5750" customFormat="false" ht="15" hidden="false" customHeight="false" outlineLevel="0" collapsed="false">
      <c r="A5750" s="0" t="s">
        <v>262</v>
      </c>
      <c r="B5750" s="52" t="n">
        <v>44477</v>
      </c>
      <c r="C5750" s="54" t="s">
        <v>590</v>
      </c>
      <c r="D5750" s="0" t="n">
        <v>0.0643887758859482</v>
      </c>
      <c r="E5750" s="0" t="n">
        <v>0.0355021429368483</v>
      </c>
      <c r="F5750" s="0" t="n">
        <v>0</v>
      </c>
      <c r="G5750" s="0" t="n">
        <v>2021</v>
      </c>
    </row>
    <row r="5751" customFormat="false" ht="15" hidden="false" customHeight="false" outlineLevel="0" collapsed="false">
      <c r="A5751" s="0" t="s">
        <v>262</v>
      </c>
      <c r="B5751" s="52" t="n">
        <v>44477</v>
      </c>
      <c r="C5751" s="54" t="s">
        <v>591</v>
      </c>
      <c r="D5751" s="0" t="n">
        <v>0.425257748839719</v>
      </c>
      <c r="E5751" s="0" t="n">
        <v>0.0082127897732841</v>
      </c>
      <c r="F5751" s="0" t="n">
        <v>0</v>
      </c>
      <c r="G5751" s="0" t="n">
        <v>2021</v>
      </c>
    </row>
    <row r="5752" customFormat="false" ht="15" hidden="false" customHeight="false" outlineLevel="0" collapsed="false">
      <c r="A5752" s="0" t="s">
        <v>262</v>
      </c>
      <c r="B5752" s="52" t="n">
        <v>44477</v>
      </c>
      <c r="C5752" s="54" t="s">
        <v>592</v>
      </c>
      <c r="D5752" s="0" t="n">
        <v>0.205969936054466</v>
      </c>
      <c r="E5752" s="0" t="n">
        <v>0.0251154736824149</v>
      </c>
      <c r="F5752" s="0" t="n">
        <v>0</v>
      </c>
      <c r="G5752" s="0" t="n">
        <v>2021</v>
      </c>
    </row>
    <row r="5753" customFormat="false" ht="15" hidden="false" customHeight="false" outlineLevel="0" collapsed="false">
      <c r="A5753" s="0" t="s">
        <v>262</v>
      </c>
      <c r="B5753" s="52" t="n">
        <v>44478</v>
      </c>
      <c r="C5753" s="54" t="s">
        <v>590</v>
      </c>
      <c r="D5753" s="0" t="n">
        <v>0.0027509077041836</v>
      </c>
      <c r="E5753" s="0" t="n">
        <v>0.0645412867496826</v>
      </c>
      <c r="F5753" s="0" t="n">
        <v>1</v>
      </c>
      <c r="G5753" s="0" t="n">
        <v>2021</v>
      </c>
    </row>
    <row r="5754" customFormat="false" ht="15" hidden="false" customHeight="false" outlineLevel="0" collapsed="false">
      <c r="A5754" s="0" t="s">
        <v>262</v>
      </c>
      <c r="B5754" s="52" t="n">
        <v>44478</v>
      </c>
      <c r="C5754" s="54" t="s">
        <v>591</v>
      </c>
      <c r="D5754" s="0" t="n">
        <v>0.155112394927154</v>
      </c>
      <c r="E5754" s="0" t="n">
        <v>0.0253621593332525</v>
      </c>
      <c r="F5754" s="0" t="n">
        <v>1</v>
      </c>
      <c r="G5754" s="0" t="n">
        <v>2021</v>
      </c>
    </row>
    <row r="5755" customFormat="false" ht="15" hidden="false" customHeight="false" outlineLevel="0" collapsed="false">
      <c r="A5755" s="0" t="s">
        <v>262</v>
      </c>
      <c r="B5755" s="52" t="n">
        <v>44478</v>
      </c>
      <c r="C5755" s="54" t="s">
        <v>592</v>
      </c>
      <c r="D5755" s="0" t="n">
        <v>0.538573973235319</v>
      </c>
      <c r="E5755" s="0" t="n">
        <v>0.0012274853933773</v>
      </c>
      <c r="F5755" s="0" t="n">
        <v>1</v>
      </c>
      <c r="G5755" s="0" t="n">
        <v>2021</v>
      </c>
    </row>
    <row r="5756" customFormat="false" ht="15" hidden="false" customHeight="false" outlineLevel="0" collapsed="false">
      <c r="A5756" s="0" t="s">
        <v>262</v>
      </c>
      <c r="B5756" s="52" t="n">
        <v>44479</v>
      </c>
      <c r="C5756" s="54" t="s">
        <v>590</v>
      </c>
      <c r="D5756" s="0" t="n">
        <v>0.985959436001653</v>
      </c>
      <c r="E5756" s="0" t="n">
        <v>0</v>
      </c>
      <c r="F5756" s="0" t="n">
        <v>1</v>
      </c>
      <c r="G5756" s="0" t="n">
        <v>2021</v>
      </c>
    </row>
    <row r="5757" customFormat="false" ht="15" hidden="false" customHeight="false" outlineLevel="0" collapsed="false">
      <c r="A5757" s="0" t="s">
        <v>262</v>
      </c>
      <c r="B5757" s="52" t="n">
        <v>44479</v>
      </c>
      <c r="C5757" s="54" t="s">
        <v>591</v>
      </c>
      <c r="D5757" s="0" t="n">
        <v>0.999309171879819</v>
      </c>
      <c r="E5757" s="0" t="n">
        <v>0</v>
      </c>
      <c r="F5757" s="0" t="n">
        <v>1</v>
      </c>
      <c r="G5757" s="0" t="n">
        <v>2021</v>
      </c>
    </row>
    <row r="5758" customFormat="false" ht="15" hidden="false" customHeight="false" outlineLevel="0" collapsed="false">
      <c r="A5758" s="0" t="s">
        <v>262</v>
      </c>
      <c r="B5758" s="52" t="n">
        <v>44479</v>
      </c>
      <c r="C5758" s="54" t="s">
        <v>592</v>
      </c>
      <c r="D5758" s="0" t="n">
        <v>0.218508089135081</v>
      </c>
      <c r="E5758" s="0" t="n">
        <v>0.0530062901464767</v>
      </c>
      <c r="F5758" s="0" t="n">
        <v>1</v>
      </c>
      <c r="G5758" s="0" t="n">
        <v>2021</v>
      </c>
    </row>
    <row r="5759" customFormat="false" ht="15" hidden="false" customHeight="false" outlineLevel="0" collapsed="false">
      <c r="A5759" s="0" t="s">
        <v>262</v>
      </c>
      <c r="B5759" s="52" t="n">
        <v>44480</v>
      </c>
      <c r="C5759" s="54" t="s">
        <v>590</v>
      </c>
      <c r="D5759" s="0" t="n">
        <v>0.0124243803600584</v>
      </c>
      <c r="E5759" s="0" t="n">
        <v>0.0054188725415074</v>
      </c>
      <c r="F5759" s="0" t="n">
        <v>0</v>
      </c>
      <c r="G5759" s="0" t="n">
        <v>2021</v>
      </c>
    </row>
    <row r="5760" customFormat="false" ht="15" hidden="false" customHeight="false" outlineLevel="0" collapsed="false">
      <c r="A5760" s="0" t="s">
        <v>262</v>
      </c>
      <c r="B5760" s="52" t="n">
        <v>44480</v>
      </c>
      <c r="C5760" s="54" t="s">
        <v>591</v>
      </c>
      <c r="D5760" s="0" t="n">
        <v>0.179673517825383</v>
      </c>
      <c r="E5760" s="0" t="n">
        <v>0.108247888113697</v>
      </c>
      <c r="F5760" s="0" t="n">
        <v>0</v>
      </c>
      <c r="G5760" s="0" t="n">
        <v>2021</v>
      </c>
    </row>
    <row r="5761" customFormat="false" ht="15" hidden="false" customHeight="false" outlineLevel="0" collapsed="false">
      <c r="A5761" s="0" t="s">
        <v>262</v>
      </c>
      <c r="B5761" s="52" t="n">
        <v>44480</v>
      </c>
      <c r="C5761" s="54" t="s">
        <v>592</v>
      </c>
      <c r="D5761" s="0" t="n">
        <v>0.669403273207586</v>
      </c>
      <c r="E5761" s="0" t="n">
        <v>0.0032278113371764</v>
      </c>
      <c r="F5761" s="0" t="n">
        <v>0</v>
      </c>
      <c r="G5761" s="0" t="n">
        <v>2021</v>
      </c>
    </row>
    <row r="5762" customFormat="false" ht="15" hidden="false" customHeight="false" outlineLevel="0" collapsed="false">
      <c r="A5762" s="0" t="s">
        <v>262</v>
      </c>
      <c r="B5762" s="52" t="n">
        <v>44481</v>
      </c>
      <c r="C5762" s="54" t="s">
        <v>590</v>
      </c>
      <c r="D5762" s="0" t="n">
        <v>0.0424217573072568</v>
      </c>
      <c r="E5762" s="0" t="n">
        <v>0.0434800895925077</v>
      </c>
      <c r="F5762" s="0" t="n">
        <v>0</v>
      </c>
      <c r="G5762" s="0" t="n">
        <v>2021</v>
      </c>
    </row>
    <row r="5763" customFormat="false" ht="15" hidden="false" customHeight="false" outlineLevel="0" collapsed="false">
      <c r="A5763" s="0" t="s">
        <v>262</v>
      </c>
      <c r="B5763" s="52" t="n">
        <v>44481</v>
      </c>
      <c r="C5763" s="54" t="s">
        <v>591</v>
      </c>
      <c r="D5763" s="0" t="n">
        <v>0.0530333471079844</v>
      </c>
      <c r="E5763" s="0" t="n">
        <v>0.0407833460627334</v>
      </c>
      <c r="F5763" s="0" t="n">
        <v>0</v>
      </c>
      <c r="G5763" s="0" t="n">
        <v>2021</v>
      </c>
    </row>
    <row r="5764" customFormat="false" ht="15" hidden="false" customHeight="false" outlineLevel="0" collapsed="false">
      <c r="A5764" s="0" t="s">
        <v>262</v>
      </c>
      <c r="B5764" s="52" t="n">
        <v>44481</v>
      </c>
      <c r="C5764" s="54" t="s">
        <v>592</v>
      </c>
      <c r="D5764" s="0" t="n">
        <v>0.893244818690971</v>
      </c>
      <c r="E5764" s="0" t="n">
        <v>0.0024513711222512</v>
      </c>
      <c r="F5764" s="0" t="n">
        <v>0</v>
      </c>
      <c r="G5764" s="0" t="n">
        <v>2021</v>
      </c>
    </row>
    <row r="5765" customFormat="false" ht="15" hidden="false" customHeight="false" outlineLevel="0" collapsed="false">
      <c r="A5765" s="0" t="s">
        <v>262</v>
      </c>
      <c r="B5765" s="52" t="n">
        <v>44482</v>
      </c>
      <c r="C5765" s="54" t="s">
        <v>590</v>
      </c>
      <c r="D5765" s="0" t="n">
        <v>0.174848002534482</v>
      </c>
      <c r="E5765" s="0" t="n">
        <v>0.0501530906078504</v>
      </c>
      <c r="F5765" s="0" t="n">
        <v>0</v>
      </c>
      <c r="G5765" s="0" t="n">
        <v>2021</v>
      </c>
    </row>
    <row r="5766" customFormat="false" ht="15" hidden="false" customHeight="false" outlineLevel="0" collapsed="false">
      <c r="A5766" s="0" t="s">
        <v>262</v>
      </c>
      <c r="B5766" s="52" t="n">
        <v>44482</v>
      </c>
      <c r="C5766" s="54" t="s">
        <v>591</v>
      </c>
      <c r="D5766" s="0" t="n">
        <v>0.0104054592118186</v>
      </c>
      <c r="E5766" s="0" t="n">
        <v>0.187437269571815</v>
      </c>
      <c r="F5766" s="0" t="n">
        <v>0</v>
      </c>
      <c r="G5766" s="0" t="n">
        <v>2021</v>
      </c>
    </row>
    <row r="5767" customFormat="false" ht="15" hidden="false" customHeight="false" outlineLevel="0" collapsed="false">
      <c r="A5767" s="0" t="s">
        <v>262</v>
      </c>
      <c r="B5767" s="52" t="n">
        <v>44482</v>
      </c>
      <c r="C5767" s="54" t="s">
        <v>592</v>
      </c>
      <c r="D5767" s="0" t="n">
        <v>0.0562027559724328</v>
      </c>
      <c r="E5767" s="0" t="n">
        <v>0.130134326444396</v>
      </c>
      <c r="F5767" s="0" t="n">
        <v>0</v>
      </c>
      <c r="G5767" s="0" t="n">
        <v>2021</v>
      </c>
    </row>
    <row r="5768" customFormat="false" ht="15" hidden="false" customHeight="false" outlineLevel="0" collapsed="false">
      <c r="A5768" s="0" t="s">
        <v>262</v>
      </c>
      <c r="B5768" s="52" t="n">
        <v>44483</v>
      </c>
      <c r="C5768" s="54" t="s">
        <v>590</v>
      </c>
      <c r="D5768" s="0" t="n">
        <v>0.975867734038034</v>
      </c>
      <c r="E5768" s="0" t="n">
        <v>0</v>
      </c>
      <c r="F5768" s="0" t="n">
        <v>0</v>
      </c>
      <c r="G5768" s="0" t="n">
        <v>2021</v>
      </c>
    </row>
    <row r="5769" customFormat="false" ht="15" hidden="false" customHeight="false" outlineLevel="0" collapsed="false">
      <c r="A5769" s="0" t="s">
        <v>262</v>
      </c>
      <c r="B5769" s="52" t="n">
        <v>44483</v>
      </c>
      <c r="C5769" s="54" t="s">
        <v>591</v>
      </c>
      <c r="D5769" s="0" t="n">
        <v>0.589305247131483</v>
      </c>
      <c r="E5769" s="0" t="n">
        <v>0</v>
      </c>
      <c r="F5769" s="0" t="n">
        <v>0</v>
      </c>
      <c r="G5769" s="0" t="n">
        <v>2021</v>
      </c>
    </row>
    <row r="5770" customFormat="false" ht="15" hidden="false" customHeight="false" outlineLevel="0" collapsed="false">
      <c r="A5770" s="0" t="s">
        <v>262</v>
      </c>
      <c r="B5770" s="52" t="n">
        <v>44483</v>
      </c>
      <c r="C5770" s="54" t="s">
        <v>592</v>
      </c>
      <c r="D5770" s="0" t="n">
        <v>0.227338463194045</v>
      </c>
      <c r="E5770" s="0" t="n">
        <v>0.0067474579601188</v>
      </c>
      <c r="F5770" s="0" t="n">
        <v>0</v>
      </c>
      <c r="G5770" s="0" t="n">
        <v>2021</v>
      </c>
    </row>
    <row r="5771" customFormat="false" ht="15" hidden="false" customHeight="false" outlineLevel="0" collapsed="false">
      <c r="A5771" s="0" t="s">
        <v>262</v>
      </c>
      <c r="B5771" s="52" t="n">
        <v>44484</v>
      </c>
      <c r="C5771" s="54" t="s">
        <v>590</v>
      </c>
      <c r="D5771" s="0" t="n">
        <v>0.0116129846057</v>
      </c>
      <c r="E5771" s="0" t="n">
        <v>0.185144962356519</v>
      </c>
      <c r="F5771" s="0" t="n">
        <v>0</v>
      </c>
      <c r="G5771" s="0" t="n">
        <v>2021</v>
      </c>
    </row>
    <row r="5772" customFormat="false" ht="15" hidden="false" customHeight="false" outlineLevel="0" collapsed="false">
      <c r="A5772" s="0" t="s">
        <v>262</v>
      </c>
      <c r="B5772" s="52" t="n">
        <v>44484</v>
      </c>
      <c r="C5772" s="54" t="s">
        <v>591</v>
      </c>
      <c r="D5772" s="0" t="n">
        <v>0.295111404631741</v>
      </c>
      <c r="E5772" s="0" t="n">
        <v>0.060415732457306</v>
      </c>
      <c r="F5772" s="0" t="n">
        <v>0</v>
      </c>
      <c r="G5772" s="0" t="n">
        <v>2021</v>
      </c>
    </row>
    <row r="5773" customFormat="false" ht="15" hidden="false" customHeight="false" outlineLevel="0" collapsed="false">
      <c r="A5773" s="0" t="s">
        <v>262</v>
      </c>
      <c r="B5773" s="52" t="n">
        <v>44484</v>
      </c>
      <c r="C5773" s="54" t="s">
        <v>592</v>
      </c>
      <c r="D5773" s="0" t="n">
        <v>1</v>
      </c>
      <c r="E5773" s="0" t="n">
        <v>0</v>
      </c>
      <c r="F5773" s="0" t="n">
        <v>0</v>
      </c>
      <c r="G5773" s="0" t="n">
        <v>2021</v>
      </c>
    </row>
    <row r="5774" customFormat="false" ht="15" hidden="false" customHeight="false" outlineLevel="0" collapsed="false">
      <c r="A5774" s="0" t="s">
        <v>262</v>
      </c>
      <c r="B5774" s="52" t="n">
        <v>44485</v>
      </c>
      <c r="C5774" s="54" t="s">
        <v>590</v>
      </c>
      <c r="D5774" s="0" t="n">
        <v>0.115912659940446</v>
      </c>
      <c r="E5774" s="0" t="n">
        <v>0.0582501264995883</v>
      </c>
      <c r="F5774" s="0" t="n">
        <v>1</v>
      </c>
      <c r="G5774" s="0" t="n">
        <v>2021</v>
      </c>
    </row>
    <row r="5775" customFormat="false" ht="15" hidden="false" customHeight="false" outlineLevel="0" collapsed="false">
      <c r="A5775" s="0" t="s">
        <v>262</v>
      </c>
      <c r="B5775" s="52" t="n">
        <v>44485</v>
      </c>
      <c r="C5775" s="54" t="s">
        <v>591</v>
      </c>
      <c r="D5775" s="0" t="n">
        <v>0.0170705518098117</v>
      </c>
      <c r="E5775" s="0" t="n">
        <v>0.0385844352370491</v>
      </c>
      <c r="F5775" s="0" t="n">
        <v>1</v>
      </c>
      <c r="G5775" s="0" t="n">
        <v>2021</v>
      </c>
    </row>
    <row r="5776" customFormat="false" ht="15" hidden="false" customHeight="false" outlineLevel="0" collapsed="false">
      <c r="A5776" s="0" t="s">
        <v>262</v>
      </c>
      <c r="B5776" s="52" t="n">
        <v>44485</v>
      </c>
      <c r="C5776" s="54" t="s">
        <v>592</v>
      </c>
      <c r="D5776" s="0" t="n">
        <v>0.681693645582637</v>
      </c>
      <c r="E5776" s="0" t="n">
        <v>0.0051685018552631</v>
      </c>
      <c r="F5776" s="0" t="n">
        <v>1</v>
      </c>
      <c r="G5776" s="0" t="n">
        <v>2021</v>
      </c>
    </row>
    <row r="5777" customFormat="false" ht="15" hidden="false" customHeight="false" outlineLevel="0" collapsed="false">
      <c r="A5777" s="0" t="s">
        <v>262</v>
      </c>
      <c r="B5777" s="52" t="n">
        <v>44486</v>
      </c>
      <c r="C5777" s="54" t="s">
        <v>590</v>
      </c>
      <c r="D5777" s="0" t="n">
        <v>1</v>
      </c>
      <c r="E5777" s="0" t="n">
        <v>0</v>
      </c>
      <c r="F5777" s="0" t="n">
        <v>1</v>
      </c>
      <c r="G5777" s="0" t="n">
        <v>2021</v>
      </c>
    </row>
    <row r="5778" customFormat="false" ht="15" hidden="false" customHeight="false" outlineLevel="0" collapsed="false">
      <c r="A5778" s="0" t="s">
        <v>262</v>
      </c>
      <c r="B5778" s="52" t="n">
        <v>44486</v>
      </c>
      <c r="C5778" s="54" t="s">
        <v>591</v>
      </c>
      <c r="D5778" s="0" t="n">
        <v>0.824955159051561</v>
      </c>
      <c r="E5778" s="0" t="n">
        <v>0</v>
      </c>
      <c r="F5778" s="0" t="n">
        <v>1</v>
      </c>
      <c r="G5778" s="0" t="n">
        <v>2021</v>
      </c>
    </row>
    <row r="5779" customFormat="false" ht="15" hidden="false" customHeight="false" outlineLevel="0" collapsed="false">
      <c r="A5779" s="0" t="s">
        <v>262</v>
      </c>
      <c r="B5779" s="52" t="n">
        <v>44486</v>
      </c>
      <c r="C5779" s="54" t="s">
        <v>592</v>
      </c>
      <c r="D5779" s="0" t="n">
        <v>0.082751717312632</v>
      </c>
      <c r="E5779" s="0" t="n">
        <v>0.0158203367115246</v>
      </c>
      <c r="F5779" s="0" t="n">
        <v>1</v>
      </c>
      <c r="G5779" s="0" t="n">
        <v>2021</v>
      </c>
    </row>
    <row r="5780" customFormat="false" ht="15" hidden="false" customHeight="false" outlineLevel="0" collapsed="false">
      <c r="A5780" s="0" t="s">
        <v>262</v>
      </c>
      <c r="B5780" s="52" t="n">
        <v>44487</v>
      </c>
      <c r="C5780" s="54" t="s">
        <v>590</v>
      </c>
      <c r="D5780" s="0" t="n">
        <v>0.0738741789883611</v>
      </c>
      <c r="E5780" s="0" t="n">
        <v>0.0416186260839265</v>
      </c>
      <c r="F5780" s="0" t="n">
        <v>0</v>
      </c>
      <c r="G5780" s="0" t="n">
        <v>2021</v>
      </c>
    </row>
    <row r="5781" customFormat="false" ht="15" hidden="false" customHeight="false" outlineLevel="0" collapsed="false">
      <c r="A5781" s="0" t="s">
        <v>262</v>
      </c>
      <c r="B5781" s="52" t="n">
        <v>44487</v>
      </c>
      <c r="C5781" s="54" t="s">
        <v>591</v>
      </c>
      <c r="D5781" s="0" t="n">
        <v>0.228331294341837</v>
      </c>
      <c r="E5781" s="0" t="n">
        <v>0.116960768941979</v>
      </c>
      <c r="F5781" s="0" t="n">
        <v>0</v>
      </c>
      <c r="G5781" s="0" t="n">
        <v>2021</v>
      </c>
    </row>
    <row r="5782" customFormat="false" ht="15" hidden="false" customHeight="false" outlineLevel="0" collapsed="false">
      <c r="A5782" s="0" t="s">
        <v>262</v>
      </c>
      <c r="B5782" s="52" t="n">
        <v>44487</v>
      </c>
      <c r="C5782" s="54" t="s">
        <v>592</v>
      </c>
      <c r="D5782" s="0" t="n">
        <v>0.930717923167235</v>
      </c>
      <c r="E5782" s="0" t="n">
        <v>0.0039812957564182</v>
      </c>
      <c r="F5782" s="0" t="n">
        <v>0</v>
      </c>
      <c r="G5782" s="0" t="n">
        <v>2021</v>
      </c>
    </row>
    <row r="5783" customFormat="false" ht="15" hidden="false" customHeight="false" outlineLevel="0" collapsed="false">
      <c r="A5783" s="0" t="s">
        <v>262</v>
      </c>
      <c r="B5783" s="52" t="n">
        <v>44488</v>
      </c>
      <c r="C5783" s="54" t="s">
        <v>590</v>
      </c>
      <c r="D5783" s="0" t="n">
        <v>0.980133674814485</v>
      </c>
      <c r="E5783" s="0" t="n">
        <v>0</v>
      </c>
      <c r="F5783" s="0" t="n">
        <v>0</v>
      </c>
      <c r="G5783" s="0" t="n">
        <v>2021</v>
      </c>
    </row>
    <row r="5784" customFormat="false" ht="15" hidden="false" customHeight="false" outlineLevel="0" collapsed="false">
      <c r="A5784" s="0" t="s">
        <v>262</v>
      </c>
      <c r="B5784" s="52" t="n">
        <v>44488</v>
      </c>
      <c r="C5784" s="54" t="s">
        <v>591</v>
      </c>
      <c r="D5784" s="0" t="n">
        <v>0.0824539644096384</v>
      </c>
      <c r="E5784" s="0" t="n">
        <v>0.132587440901618</v>
      </c>
      <c r="F5784" s="0" t="n">
        <v>0</v>
      </c>
      <c r="G5784" s="0" t="n">
        <v>2021</v>
      </c>
    </row>
    <row r="5785" customFormat="false" ht="15" hidden="false" customHeight="false" outlineLevel="0" collapsed="false">
      <c r="A5785" s="0" t="s">
        <v>262</v>
      </c>
      <c r="B5785" s="52" t="n">
        <v>44488</v>
      </c>
      <c r="C5785" s="54" t="s">
        <v>592</v>
      </c>
      <c r="D5785" s="0" t="n">
        <v>0.0758491892835074</v>
      </c>
      <c r="E5785" s="0" t="n">
        <v>0.170319865341952</v>
      </c>
      <c r="F5785" s="0" t="n">
        <v>0</v>
      </c>
      <c r="G5785" s="0" t="n">
        <v>2021</v>
      </c>
    </row>
    <row r="5786" customFormat="false" ht="15" hidden="false" customHeight="false" outlineLevel="0" collapsed="false">
      <c r="A5786" s="0" t="s">
        <v>262</v>
      </c>
      <c r="B5786" s="52" t="n">
        <v>44489</v>
      </c>
      <c r="C5786" s="54" t="s">
        <v>590</v>
      </c>
      <c r="D5786" s="0" t="n">
        <v>0.197616333323484</v>
      </c>
      <c r="E5786" s="0" t="n">
        <v>0.0814989052719472</v>
      </c>
      <c r="F5786" s="0" t="n">
        <v>0</v>
      </c>
      <c r="G5786" s="0" t="n">
        <v>2021</v>
      </c>
    </row>
    <row r="5787" customFormat="false" ht="15" hidden="false" customHeight="false" outlineLevel="0" collapsed="false">
      <c r="A5787" s="0" t="s">
        <v>262</v>
      </c>
      <c r="B5787" s="52" t="n">
        <v>44489</v>
      </c>
      <c r="C5787" s="54" t="s">
        <v>591</v>
      </c>
      <c r="D5787" s="0" t="n">
        <v>0.665136635212953</v>
      </c>
      <c r="E5787" s="0" t="n">
        <v>0</v>
      </c>
      <c r="F5787" s="0" t="n">
        <v>0</v>
      </c>
      <c r="G5787" s="0" t="n">
        <v>2021</v>
      </c>
    </row>
    <row r="5788" customFormat="false" ht="15" hidden="false" customHeight="false" outlineLevel="0" collapsed="false">
      <c r="A5788" s="0" t="s">
        <v>262</v>
      </c>
      <c r="B5788" s="52" t="n">
        <v>44489</v>
      </c>
      <c r="C5788" s="54" t="s">
        <v>592</v>
      </c>
      <c r="D5788" s="0" t="n">
        <v>0.0784488931661751</v>
      </c>
      <c r="E5788" s="0" t="n">
        <v>0.0742121780532212</v>
      </c>
      <c r="F5788" s="0" t="n">
        <v>0</v>
      </c>
      <c r="G5788" s="0" t="n">
        <v>2021</v>
      </c>
    </row>
    <row r="5789" customFormat="false" ht="15" hidden="false" customHeight="false" outlineLevel="0" collapsed="false">
      <c r="A5789" s="0" t="s">
        <v>262</v>
      </c>
      <c r="B5789" s="52" t="n">
        <v>44490</v>
      </c>
      <c r="C5789" s="54" t="s">
        <v>590</v>
      </c>
      <c r="D5789" s="0" t="n">
        <v>0.465990910422284</v>
      </c>
      <c r="E5789" s="0" t="n">
        <v>0.0652112705874701</v>
      </c>
      <c r="F5789" s="0" t="n">
        <v>0</v>
      </c>
      <c r="G5789" s="0" t="n">
        <v>2021</v>
      </c>
    </row>
    <row r="5790" customFormat="false" ht="15" hidden="false" customHeight="false" outlineLevel="0" collapsed="false">
      <c r="A5790" s="0" t="s">
        <v>262</v>
      </c>
      <c r="B5790" s="52" t="n">
        <v>44490</v>
      </c>
      <c r="C5790" s="54" t="s">
        <v>591</v>
      </c>
      <c r="D5790" s="0" t="n">
        <v>0.0758290794303747</v>
      </c>
      <c r="E5790" s="0" t="n">
        <v>0.159353910046677</v>
      </c>
      <c r="F5790" s="0" t="n">
        <v>0</v>
      </c>
      <c r="G5790" s="0" t="n">
        <v>2021</v>
      </c>
    </row>
    <row r="5791" customFormat="false" ht="15" hidden="false" customHeight="false" outlineLevel="0" collapsed="false">
      <c r="A5791" s="0" t="s">
        <v>262</v>
      </c>
      <c r="B5791" s="52" t="n">
        <v>44490</v>
      </c>
      <c r="C5791" s="54" t="s">
        <v>592</v>
      </c>
      <c r="D5791" s="0" t="n">
        <v>0.0047181340692443</v>
      </c>
      <c r="E5791" s="0" t="n">
        <v>0.0467146403712577</v>
      </c>
      <c r="F5791" s="0" t="n">
        <v>0</v>
      </c>
      <c r="G5791" s="0" t="n">
        <v>2021</v>
      </c>
    </row>
    <row r="5792" customFormat="false" ht="15" hidden="false" customHeight="false" outlineLevel="0" collapsed="false">
      <c r="A5792" s="0" t="s">
        <v>262</v>
      </c>
      <c r="B5792" s="52" t="n">
        <v>44491</v>
      </c>
      <c r="C5792" s="54" t="s">
        <v>590</v>
      </c>
      <c r="D5792" s="0" t="n">
        <v>0.365584555287476</v>
      </c>
      <c r="E5792" s="0" t="n">
        <v>0.0560818230550558</v>
      </c>
      <c r="F5792" s="0" t="n">
        <v>0</v>
      </c>
      <c r="G5792" s="0" t="n">
        <v>2021</v>
      </c>
    </row>
    <row r="5793" customFormat="false" ht="15" hidden="false" customHeight="false" outlineLevel="0" collapsed="false">
      <c r="A5793" s="0" t="s">
        <v>262</v>
      </c>
      <c r="B5793" s="52" t="n">
        <v>44491</v>
      </c>
      <c r="C5793" s="54" t="s">
        <v>591</v>
      </c>
      <c r="D5793" s="0" t="n">
        <v>0.42591554404521</v>
      </c>
      <c r="E5793" s="0" t="n">
        <v>0.0239172053073334</v>
      </c>
      <c r="F5793" s="0" t="n">
        <v>0</v>
      </c>
      <c r="G5793" s="0" t="n">
        <v>2021</v>
      </c>
    </row>
    <row r="5794" customFormat="false" ht="15" hidden="false" customHeight="false" outlineLevel="0" collapsed="false">
      <c r="A5794" s="0" t="s">
        <v>262</v>
      </c>
      <c r="B5794" s="52" t="n">
        <v>44491</v>
      </c>
      <c r="C5794" s="54" t="s">
        <v>592</v>
      </c>
      <c r="D5794" s="0" t="n">
        <v>0.0147076956080843</v>
      </c>
      <c r="E5794" s="0" t="n">
        <v>0.0692469524282491</v>
      </c>
      <c r="F5794" s="0" t="n">
        <v>0</v>
      </c>
      <c r="G5794" s="0" t="n">
        <v>2021</v>
      </c>
    </row>
    <row r="5795" customFormat="false" ht="15" hidden="false" customHeight="false" outlineLevel="0" collapsed="false">
      <c r="A5795" s="0" t="s">
        <v>262</v>
      </c>
      <c r="B5795" s="52" t="n">
        <v>44492</v>
      </c>
      <c r="C5795" s="54" t="s">
        <v>590</v>
      </c>
      <c r="D5795" s="0" t="n">
        <v>0.0502715935278583</v>
      </c>
      <c r="E5795" s="0" t="n">
        <v>0.036253486565108</v>
      </c>
      <c r="F5795" s="0" t="n">
        <v>1</v>
      </c>
      <c r="G5795" s="0" t="n">
        <v>2021</v>
      </c>
    </row>
    <row r="5796" customFormat="false" ht="15" hidden="false" customHeight="false" outlineLevel="0" collapsed="false">
      <c r="A5796" s="0" t="s">
        <v>262</v>
      </c>
      <c r="B5796" s="52" t="n">
        <v>44492</v>
      </c>
      <c r="C5796" s="54" t="s">
        <v>591</v>
      </c>
      <c r="D5796" s="0" t="n">
        <v>0.959170753330251</v>
      </c>
      <c r="E5796" s="0" t="n">
        <v>0.007521568790631</v>
      </c>
      <c r="F5796" s="0" t="n">
        <v>1</v>
      </c>
      <c r="G5796" s="0" t="n">
        <v>2021</v>
      </c>
    </row>
    <row r="5797" customFormat="false" ht="15" hidden="false" customHeight="false" outlineLevel="0" collapsed="false">
      <c r="A5797" s="0" t="s">
        <v>262</v>
      </c>
      <c r="B5797" s="52" t="n">
        <v>44493</v>
      </c>
      <c r="C5797" s="54" t="s">
        <v>591</v>
      </c>
      <c r="D5797" s="0" t="n">
        <v>0.0749885378046973</v>
      </c>
      <c r="E5797" s="0" t="n">
        <v>0.147915135686477</v>
      </c>
      <c r="F5797" s="0" t="n">
        <v>1</v>
      </c>
      <c r="G5797" s="0" t="n">
        <v>2021</v>
      </c>
    </row>
    <row r="5798" customFormat="false" ht="15" hidden="false" customHeight="false" outlineLevel="0" collapsed="false">
      <c r="A5798" s="0" t="s">
        <v>262</v>
      </c>
      <c r="B5798" s="52" t="n">
        <v>44493</v>
      </c>
      <c r="C5798" s="54" t="s">
        <v>592</v>
      </c>
      <c r="D5798" s="0" t="n">
        <v>0.0118925721594008</v>
      </c>
      <c r="E5798" s="0" t="n">
        <v>0.0559446802303994</v>
      </c>
      <c r="F5798" s="0" t="n">
        <v>1</v>
      </c>
      <c r="G5798" s="0" t="n">
        <v>2021</v>
      </c>
    </row>
    <row r="5799" customFormat="false" ht="15" hidden="false" customHeight="false" outlineLevel="0" collapsed="false">
      <c r="A5799" s="0" t="s">
        <v>262</v>
      </c>
      <c r="B5799" s="52" t="n">
        <v>44494</v>
      </c>
      <c r="C5799" s="54" t="s">
        <v>590</v>
      </c>
      <c r="D5799" s="0" t="n">
        <v>0.159439318772068</v>
      </c>
      <c r="E5799" s="0" t="n">
        <v>0.0171267584472699</v>
      </c>
      <c r="F5799" s="0" t="n">
        <v>0</v>
      </c>
      <c r="G5799" s="0" t="n">
        <v>2021</v>
      </c>
    </row>
    <row r="5800" customFormat="false" ht="15" hidden="false" customHeight="false" outlineLevel="0" collapsed="false">
      <c r="A5800" s="0" t="s">
        <v>262</v>
      </c>
      <c r="B5800" s="52" t="n">
        <v>44494</v>
      </c>
      <c r="C5800" s="54" t="s">
        <v>591</v>
      </c>
      <c r="D5800" s="0" t="n">
        <v>0.391368587197795</v>
      </c>
      <c r="E5800" s="0" t="n">
        <v>0.0105492931184284</v>
      </c>
      <c r="F5800" s="0" t="n">
        <v>0</v>
      </c>
      <c r="G5800" s="0" t="n">
        <v>2021</v>
      </c>
    </row>
    <row r="5801" customFormat="false" ht="15" hidden="false" customHeight="false" outlineLevel="0" collapsed="false">
      <c r="A5801" s="0" t="s">
        <v>262</v>
      </c>
      <c r="B5801" s="52" t="n">
        <v>44494</v>
      </c>
      <c r="C5801" s="54" t="s">
        <v>592</v>
      </c>
      <c r="D5801" s="0" t="n">
        <v>0.0348703366181926</v>
      </c>
      <c r="E5801" s="0" t="n">
        <v>0.0237518393585883</v>
      </c>
      <c r="F5801" s="0" t="n">
        <v>0</v>
      </c>
      <c r="G5801" s="0" t="n">
        <v>2021</v>
      </c>
    </row>
    <row r="5802" customFormat="false" ht="15" hidden="false" customHeight="false" outlineLevel="0" collapsed="false">
      <c r="A5802" s="0" t="s">
        <v>262</v>
      </c>
      <c r="B5802" s="52" t="n">
        <v>44495</v>
      </c>
      <c r="C5802" s="54" t="s">
        <v>590</v>
      </c>
      <c r="D5802" s="0" t="n">
        <v>0.120763106945733</v>
      </c>
      <c r="E5802" s="0" t="n">
        <v>0.106486304376973</v>
      </c>
      <c r="F5802" s="0" t="n">
        <v>0</v>
      </c>
      <c r="G5802" s="0" t="n">
        <v>2021</v>
      </c>
    </row>
    <row r="5803" customFormat="false" ht="15" hidden="false" customHeight="false" outlineLevel="0" collapsed="false">
      <c r="A5803" s="0" t="s">
        <v>262</v>
      </c>
      <c r="B5803" s="52" t="n">
        <v>44495</v>
      </c>
      <c r="C5803" s="54" t="s">
        <v>591</v>
      </c>
      <c r="D5803" s="0" t="n">
        <v>0.409592171182938</v>
      </c>
      <c r="E5803" s="0" t="n">
        <v>0.055810419822129</v>
      </c>
      <c r="F5803" s="0" t="n">
        <v>0</v>
      </c>
      <c r="G5803" s="0" t="n">
        <v>2021</v>
      </c>
    </row>
    <row r="5804" customFormat="false" ht="15" hidden="false" customHeight="false" outlineLevel="0" collapsed="false">
      <c r="A5804" s="0" t="s">
        <v>262</v>
      </c>
      <c r="B5804" s="52" t="n">
        <v>44495</v>
      </c>
      <c r="C5804" s="54" t="s">
        <v>592</v>
      </c>
      <c r="D5804" s="0" t="n">
        <v>0.132042006773787</v>
      </c>
      <c r="E5804" s="0" t="n">
        <v>0.0093137324706335</v>
      </c>
      <c r="F5804" s="0" t="n">
        <v>0</v>
      </c>
      <c r="G5804" s="0" t="n">
        <v>2021</v>
      </c>
    </row>
    <row r="5805" customFormat="false" ht="15" hidden="false" customHeight="false" outlineLevel="0" collapsed="false">
      <c r="A5805" s="0" t="s">
        <v>262</v>
      </c>
      <c r="B5805" s="52" t="n">
        <v>44496</v>
      </c>
      <c r="C5805" s="54" t="s">
        <v>590</v>
      </c>
      <c r="D5805" s="0" t="n">
        <v>0.0050963948788136</v>
      </c>
      <c r="E5805" s="0" t="n">
        <v>0.0594248364254965</v>
      </c>
      <c r="F5805" s="0" t="n">
        <v>0</v>
      </c>
      <c r="G5805" s="0" t="n">
        <v>2021</v>
      </c>
    </row>
    <row r="5806" customFormat="false" ht="15" hidden="false" customHeight="false" outlineLevel="0" collapsed="false">
      <c r="A5806" s="0" t="s">
        <v>262</v>
      </c>
      <c r="B5806" s="52" t="n">
        <v>44496</v>
      </c>
      <c r="C5806" s="54" t="s">
        <v>591</v>
      </c>
      <c r="D5806" s="0" t="n">
        <v>0.315319451759988</v>
      </c>
      <c r="E5806" s="0" t="n">
        <v>0.115501288062349</v>
      </c>
      <c r="F5806" s="0" t="n">
        <v>0</v>
      </c>
      <c r="G5806" s="0" t="n">
        <v>2021</v>
      </c>
    </row>
    <row r="5807" customFormat="false" ht="15" hidden="false" customHeight="false" outlineLevel="0" collapsed="false">
      <c r="A5807" s="0" t="s">
        <v>262</v>
      </c>
      <c r="B5807" s="52" t="n">
        <v>44496</v>
      </c>
      <c r="C5807" s="54" t="s">
        <v>592</v>
      </c>
      <c r="D5807" s="0" t="n">
        <v>0.20637821439894</v>
      </c>
      <c r="E5807" s="0" t="n">
        <v>0.0624654452721741</v>
      </c>
      <c r="F5807" s="0" t="n">
        <v>0</v>
      </c>
      <c r="G5807" s="0" t="n">
        <v>2021</v>
      </c>
    </row>
    <row r="5808" customFormat="false" ht="15" hidden="false" customHeight="false" outlineLevel="0" collapsed="false">
      <c r="A5808" s="0" t="s">
        <v>262</v>
      </c>
      <c r="B5808" s="52" t="n">
        <v>44497</v>
      </c>
      <c r="C5808" s="54" t="s">
        <v>590</v>
      </c>
      <c r="D5808" s="0" t="n">
        <v>0.0043188310325999</v>
      </c>
      <c r="E5808" s="0" t="n">
        <v>0.0820973517449696</v>
      </c>
      <c r="F5808" s="0" t="n">
        <v>0</v>
      </c>
      <c r="G5808" s="0" t="n">
        <v>2021</v>
      </c>
    </row>
    <row r="5809" customFormat="false" ht="15" hidden="false" customHeight="false" outlineLevel="0" collapsed="false">
      <c r="A5809" s="0" t="s">
        <v>262</v>
      </c>
      <c r="B5809" s="52" t="n">
        <v>44497</v>
      </c>
      <c r="C5809" s="54" t="s">
        <v>591</v>
      </c>
      <c r="D5809" s="0" t="n">
        <v>0.006916499895043</v>
      </c>
      <c r="E5809" s="0" t="n">
        <v>0.0723307918816854</v>
      </c>
      <c r="F5809" s="0" t="n">
        <v>0</v>
      </c>
      <c r="G5809" s="0" t="n">
        <v>2021</v>
      </c>
    </row>
    <row r="5810" customFormat="false" ht="15" hidden="false" customHeight="false" outlineLevel="0" collapsed="false">
      <c r="A5810" s="0" t="s">
        <v>262</v>
      </c>
      <c r="B5810" s="52" t="n">
        <v>44497</v>
      </c>
      <c r="C5810" s="54" t="s">
        <v>592</v>
      </c>
      <c r="D5810" s="0" t="n">
        <v>0.522653492085053</v>
      </c>
      <c r="E5810" s="0" t="n">
        <v>0.0129661639658426</v>
      </c>
      <c r="F5810" s="0" t="n">
        <v>0</v>
      </c>
      <c r="G5810" s="0" t="n">
        <v>2021</v>
      </c>
    </row>
    <row r="5811" customFormat="false" ht="15" hidden="false" customHeight="false" outlineLevel="0" collapsed="false">
      <c r="A5811" s="0" t="s">
        <v>262</v>
      </c>
      <c r="B5811" s="52" t="n">
        <v>44498</v>
      </c>
      <c r="C5811" s="54" t="s">
        <v>590</v>
      </c>
      <c r="D5811" s="0" t="n">
        <v>0.188759367647951</v>
      </c>
      <c r="E5811" s="0" t="n">
        <v>0.0052420881887852</v>
      </c>
      <c r="F5811" s="0" t="n">
        <v>0</v>
      </c>
      <c r="G5811" s="0" t="n">
        <v>2021</v>
      </c>
    </row>
    <row r="5812" customFormat="false" ht="15" hidden="false" customHeight="false" outlineLevel="0" collapsed="false">
      <c r="A5812" s="0" t="s">
        <v>262</v>
      </c>
      <c r="B5812" s="52" t="n">
        <v>44498</v>
      </c>
      <c r="C5812" s="54" t="s">
        <v>591</v>
      </c>
      <c r="D5812" s="0" t="n">
        <v>0.0179758195600693</v>
      </c>
      <c r="E5812" s="0" t="n">
        <v>0.0433294550200948</v>
      </c>
      <c r="F5812" s="0" t="n">
        <v>0</v>
      </c>
      <c r="G5812" s="0" t="n">
        <v>2021</v>
      </c>
    </row>
    <row r="5813" customFormat="false" ht="15" hidden="false" customHeight="false" outlineLevel="0" collapsed="false">
      <c r="A5813" s="0" t="s">
        <v>262</v>
      </c>
      <c r="B5813" s="52" t="n">
        <v>44498</v>
      </c>
      <c r="C5813" s="54" t="s">
        <v>592</v>
      </c>
      <c r="D5813" s="0" t="n">
        <v>0.0036082110120336</v>
      </c>
      <c r="E5813" s="0" t="n">
        <v>0.125597772628117</v>
      </c>
      <c r="F5813" s="0" t="n">
        <v>0</v>
      </c>
      <c r="G5813" s="0" t="n">
        <v>2021</v>
      </c>
    </row>
    <row r="5814" customFormat="false" ht="15" hidden="false" customHeight="false" outlineLevel="0" collapsed="false">
      <c r="A5814" s="0" t="s">
        <v>262</v>
      </c>
      <c r="B5814" s="52" t="n">
        <v>44499</v>
      </c>
      <c r="C5814" s="54" t="s">
        <v>590</v>
      </c>
      <c r="D5814" s="0" t="n">
        <v>0.882003934113507</v>
      </c>
      <c r="E5814" s="0" t="n">
        <v>0.0168494397985107</v>
      </c>
      <c r="F5814" s="0" t="n">
        <v>1</v>
      </c>
      <c r="G5814" s="0" t="n">
        <v>2021</v>
      </c>
    </row>
    <row r="5815" customFormat="false" ht="15" hidden="false" customHeight="false" outlineLevel="0" collapsed="false">
      <c r="A5815" s="0" t="s">
        <v>262</v>
      </c>
      <c r="B5815" s="52" t="n">
        <v>44499</v>
      </c>
      <c r="C5815" s="54" t="s">
        <v>591</v>
      </c>
      <c r="D5815" s="0" t="n">
        <v>0.21825018427999</v>
      </c>
      <c r="E5815" s="0" t="n">
        <v>0.0423244810304854</v>
      </c>
      <c r="F5815" s="0" t="n">
        <v>1</v>
      </c>
      <c r="G5815" s="0" t="n">
        <v>2021</v>
      </c>
    </row>
    <row r="5816" customFormat="false" ht="15" hidden="false" customHeight="false" outlineLevel="0" collapsed="false">
      <c r="A5816" s="0" t="s">
        <v>262</v>
      </c>
      <c r="B5816" s="52" t="n">
        <v>44499</v>
      </c>
      <c r="C5816" s="54" t="s">
        <v>592</v>
      </c>
      <c r="D5816" s="0" t="n">
        <v>0.0062963698907094</v>
      </c>
      <c r="E5816" s="0" t="n">
        <v>0.0284408079393808</v>
      </c>
      <c r="F5816" s="0" t="n">
        <v>1</v>
      </c>
      <c r="G5816" s="0" t="n">
        <v>2021</v>
      </c>
    </row>
    <row r="5817" customFormat="false" ht="15" hidden="false" customHeight="false" outlineLevel="0" collapsed="false">
      <c r="A5817" s="0" t="s">
        <v>262</v>
      </c>
      <c r="B5817" s="52" t="n">
        <v>44500</v>
      </c>
      <c r="C5817" s="54" t="s">
        <v>590</v>
      </c>
      <c r="D5817" s="0" t="n">
        <v>0.368832149082305</v>
      </c>
      <c r="E5817" s="0" t="n">
        <v>0.01064811458608</v>
      </c>
      <c r="F5817" s="0" t="n">
        <v>1</v>
      </c>
      <c r="G5817" s="0" t="n">
        <v>2021</v>
      </c>
    </row>
    <row r="5818" customFormat="false" ht="15" hidden="false" customHeight="false" outlineLevel="0" collapsed="false">
      <c r="A5818" s="0" t="s">
        <v>262</v>
      </c>
      <c r="B5818" s="52" t="n">
        <v>44500</v>
      </c>
      <c r="C5818" s="54" t="s">
        <v>591</v>
      </c>
      <c r="D5818" s="0" t="n">
        <v>1</v>
      </c>
      <c r="E5818" s="0" t="n">
        <v>0</v>
      </c>
      <c r="F5818" s="0" t="n">
        <v>1</v>
      </c>
      <c r="G5818" s="0" t="n">
        <v>2021</v>
      </c>
    </row>
    <row r="5819" customFormat="false" ht="15" hidden="false" customHeight="false" outlineLevel="0" collapsed="false">
      <c r="A5819" s="0" t="s">
        <v>262</v>
      </c>
      <c r="B5819" s="52" t="n">
        <v>44500</v>
      </c>
      <c r="C5819" s="54" t="s">
        <v>592</v>
      </c>
      <c r="D5819" s="0" t="n">
        <v>0.211666928616969</v>
      </c>
      <c r="E5819" s="0" t="n">
        <v>0.025144348038094</v>
      </c>
      <c r="F5819" s="0" t="n">
        <v>1</v>
      </c>
      <c r="G5819" s="0" t="n">
        <v>2021</v>
      </c>
    </row>
    <row r="5820" customFormat="false" ht="15" hidden="false" customHeight="false" outlineLevel="0" collapsed="false">
      <c r="A5820" s="0" t="s">
        <v>262</v>
      </c>
      <c r="B5820" s="52" t="n">
        <v>44501</v>
      </c>
      <c r="C5820" s="54" t="s">
        <v>590</v>
      </c>
      <c r="D5820" s="0" t="n">
        <v>0.0030349764599251</v>
      </c>
      <c r="E5820" s="0" t="n">
        <v>0.0432409854442655</v>
      </c>
      <c r="F5820" s="0" t="n">
        <v>0</v>
      </c>
      <c r="G5820" s="0" t="n">
        <v>2021</v>
      </c>
    </row>
    <row r="5821" customFormat="false" ht="15" hidden="false" customHeight="false" outlineLevel="0" collapsed="false">
      <c r="A5821" s="0" t="s">
        <v>262</v>
      </c>
      <c r="B5821" s="52" t="n">
        <v>44501</v>
      </c>
      <c r="C5821" s="54" t="s">
        <v>591</v>
      </c>
      <c r="D5821" s="0" t="n">
        <v>0.140121636845381</v>
      </c>
      <c r="E5821" s="0" t="n">
        <v>0.0330115040047176</v>
      </c>
      <c r="F5821" s="0" t="n">
        <v>0</v>
      </c>
      <c r="G5821" s="0" t="n">
        <v>2021</v>
      </c>
    </row>
    <row r="5822" customFormat="false" ht="15" hidden="false" customHeight="false" outlineLevel="0" collapsed="false">
      <c r="A5822" s="0" t="s">
        <v>262</v>
      </c>
      <c r="B5822" s="52" t="n">
        <v>44501</v>
      </c>
      <c r="C5822" s="54" t="s">
        <v>592</v>
      </c>
      <c r="D5822" s="0" t="n">
        <v>0.315250306164731</v>
      </c>
      <c r="E5822" s="0" t="n">
        <v>0.0524815938683694</v>
      </c>
      <c r="F5822" s="0" t="n">
        <v>0</v>
      </c>
      <c r="G5822" s="0" t="n">
        <v>2021</v>
      </c>
    </row>
    <row r="5823" customFormat="false" ht="15" hidden="false" customHeight="false" outlineLevel="0" collapsed="false">
      <c r="A5823" s="0" t="s">
        <v>262</v>
      </c>
      <c r="B5823" s="52" t="n">
        <v>44502</v>
      </c>
      <c r="C5823" s="54" t="s">
        <v>590</v>
      </c>
      <c r="D5823" s="0" t="n">
        <v>0.0532402086804953</v>
      </c>
      <c r="E5823" s="0" t="n">
        <v>0.021105266372796</v>
      </c>
      <c r="F5823" s="0" t="n">
        <v>0</v>
      </c>
      <c r="G5823" s="0" t="n">
        <v>2021</v>
      </c>
    </row>
    <row r="5824" customFormat="false" ht="15" hidden="false" customHeight="false" outlineLevel="0" collapsed="false">
      <c r="A5824" s="0" t="s">
        <v>262</v>
      </c>
      <c r="B5824" s="52" t="n">
        <v>44502</v>
      </c>
      <c r="C5824" s="54" t="s">
        <v>591</v>
      </c>
      <c r="D5824" s="0" t="n">
        <v>0.0018756561678022</v>
      </c>
      <c r="E5824" s="0" t="n">
        <v>0.0380093170699381</v>
      </c>
      <c r="F5824" s="0" t="n">
        <v>0</v>
      </c>
      <c r="G5824" s="0" t="n">
        <v>2021</v>
      </c>
    </row>
    <row r="5825" customFormat="false" ht="15" hidden="false" customHeight="false" outlineLevel="0" collapsed="false">
      <c r="A5825" s="0" t="s">
        <v>262</v>
      </c>
      <c r="B5825" s="52" t="n">
        <v>44502</v>
      </c>
      <c r="C5825" s="54" t="s">
        <v>592</v>
      </c>
      <c r="D5825" s="0" t="n">
        <v>0.753603751754331</v>
      </c>
      <c r="E5825" s="0" t="n">
        <v>0</v>
      </c>
      <c r="F5825" s="0" t="n">
        <v>0</v>
      </c>
      <c r="G5825" s="0" t="n">
        <v>2021</v>
      </c>
    </row>
    <row r="5826" customFormat="false" ht="15" hidden="false" customHeight="false" outlineLevel="0" collapsed="false">
      <c r="A5826" s="0" t="s">
        <v>262</v>
      </c>
      <c r="B5826" s="52" t="n">
        <v>44503</v>
      </c>
      <c r="C5826" s="54" t="s">
        <v>590</v>
      </c>
      <c r="D5826" s="0" t="n">
        <v>0.0489637803643062</v>
      </c>
      <c r="E5826" s="0" t="n">
        <v>0.0375067800493295</v>
      </c>
      <c r="F5826" s="0" t="n">
        <v>0</v>
      </c>
      <c r="G5826" s="0" t="n">
        <v>2021</v>
      </c>
    </row>
    <row r="5827" customFormat="false" ht="15" hidden="false" customHeight="false" outlineLevel="0" collapsed="false">
      <c r="A5827" s="0" t="s">
        <v>262</v>
      </c>
      <c r="B5827" s="52" t="n">
        <v>44503</v>
      </c>
      <c r="C5827" s="54" t="s">
        <v>591</v>
      </c>
      <c r="D5827" s="0" t="n">
        <v>0.0886649371122472</v>
      </c>
      <c r="E5827" s="0" t="n">
        <v>0.0167097389901366</v>
      </c>
      <c r="F5827" s="0" t="n">
        <v>0</v>
      </c>
      <c r="G5827" s="0" t="n">
        <v>2021</v>
      </c>
    </row>
    <row r="5828" customFormat="false" ht="15" hidden="false" customHeight="false" outlineLevel="0" collapsed="false">
      <c r="A5828" s="0" t="s">
        <v>262</v>
      </c>
      <c r="B5828" s="52" t="n">
        <v>44503</v>
      </c>
      <c r="C5828" s="54" t="s">
        <v>592</v>
      </c>
      <c r="D5828" s="0" t="n">
        <v>0.326564925710233</v>
      </c>
      <c r="E5828" s="0" t="n">
        <v>0.0044447356539806</v>
      </c>
      <c r="F5828" s="0" t="n">
        <v>0</v>
      </c>
      <c r="G5828" s="0" t="n">
        <v>2021</v>
      </c>
    </row>
    <row r="5829" customFormat="false" ht="15" hidden="false" customHeight="false" outlineLevel="0" collapsed="false">
      <c r="A5829" s="0" t="s">
        <v>262</v>
      </c>
      <c r="B5829" s="52" t="n">
        <v>44504</v>
      </c>
      <c r="C5829" s="54" t="s">
        <v>590</v>
      </c>
      <c r="D5829" s="0" t="n">
        <v>0</v>
      </c>
      <c r="E5829" s="0" t="n">
        <v>0.0939603027665287</v>
      </c>
      <c r="F5829" s="0" t="n">
        <v>0</v>
      </c>
      <c r="G5829" s="0" t="n">
        <v>2021</v>
      </c>
    </row>
    <row r="5830" customFormat="false" ht="15" hidden="false" customHeight="false" outlineLevel="0" collapsed="false">
      <c r="A5830" s="0" t="s">
        <v>262</v>
      </c>
      <c r="B5830" s="52" t="n">
        <v>44504</v>
      </c>
      <c r="C5830" s="54" t="s">
        <v>591</v>
      </c>
      <c r="D5830" s="0" t="n">
        <v>0.271841763510775</v>
      </c>
      <c r="E5830" s="0" t="n">
        <v>0.0148988235157773</v>
      </c>
      <c r="F5830" s="0" t="n">
        <v>0</v>
      </c>
      <c r="G5830" s="0" t="n">
        <v>2021</v>
      </c>
    </row>
    <row r="5831" customFormat="false" ht="15" hidden="false" customHeight="false" outlineLevel="0" collapsed="false">
      <c r="A5831" s="0" t="s">
        <v>262</v>
      </c>
      <c r="B5831" s="52" t="n">
        <v>44504</v>
      </c>
      <c r="C5831" s="54" t="s">
        <v>592</v>
      </c>
      <c r="D5831" s="0" t="n">
        <v>0.212327780502459</v>
      </c>
      <c r="E5831" s="0" t="n">
        <v>0.0306685637601506</v>
      </c>
      <c r="F5831" s="0" t="n">
        <v>0</v>
      </c>
      <c r="G5831" s="0" t="n">
        <v>2021</v>
      </c>
    </row>
    <row r="5832" customFormat="false" ht="15" hidden="false" customHeight="false" outlineLevel="0" collapsed="false">
      <c r="A5832" s="0" t="s">
        <v>262</v>
      </c>
      <c r="B5832" s="52" t="n">
        <v>44505</v>
      </c>
      <c r="C5832" s="54" t="s">
        <v>590</v>
      </c>
      <c r="D5832" s="0" t="n">
        <v>0.17866917461093</v>
      </c>
      <c r="E5832" s="0" t="n">
        <v>0.0304605684110615</v>
      </c>
      <c r="F5832" s="0" t="n">
        <v>0</v>
      </c>
      <c r="G5832" s="0" t="n">
        <v>2021</v>
      </c>
    </row>
    <row r="5833" customFormat="false" ht="15" hidden="false" customHeight="false" outlineLevel="0" collapsed="false">
      <c r="A5833" s="0" t="s">
        <v>262</v>
      </c>
      <c r="B5833" s="52" t="n">
        <v>44505</v>
      </c>
      <c r="C5833" s="54" t="s">
        <v>591</v>
      </c>
      <c r="D5833" s="0" t="n">
        <v>0.0184751633285752</v>
      </c>
      <c r="E5833" s="0" t="n">
        <v>0.0447827483265864</v>
      </c>
      <c r="F5833" s="0" t="n">
        <v>0</v>
      </c>
      <c r="G5833" s="0" t="n">
        <v>2021</v>
      </c>
    </row>
    <row r="5834" customFormat="false" ht="15" hidden="false" customHeight="false" outlineLevel="0" collapsed="false">
      <c r="A5834" s="0" t="s">
        <v>262</v>
      </c>
      <c r="B5834" s="52" t="n">
        <v>44505</v>
      </c>
      <c r="C5834" s="54" t="s">
        <v>592</v>
      </c>
      <c r="D5834" s="0" t="n">
        <v>0.789576823377203</v>
      </c>
      <c r="E5834" s="0" t="n">
        <v>0.0006800716342121</v>
      </c>
      <c r="F5834" s="0" t="n">
        <v>0</v>
      </c>
      <c r="G5834" s="0" t="n">
        <v>2021</v>
      </c>
    </row>
    <row r="5835" customFormat="false" ht="15" hidden="false" customHeight="false" outlineLevel="0" collapsed="false">
      <c r="A5835" s="0" t="s">
        <v>262</v>
      </c>
      <c r="B5835" s="52" t="n">
        <v>44506</v>
      </c>
      <c r="C5835" s="54" t="s">
        <v>590</v>
      </c>
      <c r="D5835" s="0" t="n">
        <v>0.0440742772790608</v>
      </c>
      <c r="E5835" s="0" t="n">
        <v>0.0296814803102032</v>
      </c>
      <c r="F5835" s="0" t="n">
        <v>1</v>
      </c>
      <c r="G5835" s="0" t="n">
        <v>2021</v>
      </c>
    </row>
    <row r="5836" customFormat="false" ht="15" hidden="false" customHeight="false" outlineLevel="0" collapsed="false">
      <c r="A5836" s="0" t="s">
        <v>262</v>
      </c>
      <c r="B5836" s="52" t="n">
        <v>44506</v>
      </c>
      <c r="C5836" s="54" t="s">
        <v>591</v>
      </c>
      <c r="D5836" s="0" t="n">
        <v>0.529887772782744</v>
      </c>
      <c r="E5836" s="0" t="n">
        <v>0.0117465639613006</v>
      </c>
      <c r="F5836" s="0" t="n">
        <v>1</v>
      </c>
      <c r="G5836" s="0" t="n">
        <v>2021</v>
      </c>
    </row>
    <row r="5837" customFormat="false" ht="15" hidden="false" customHeight="false" outlineLevel="0" collapsed="false">
      <c r="A5837" s="0" t="s">
        <v>262</v>
      </c>
      <c r="B5837" s="52" t="n">
        <v>44506</v>
      </c>
      <c r="C5837" s="54" t="s">
        <v>592</v>
      </c>
      <c r="D5837" s="0" t="n">
        <v>0.865708475501385</v>
      </c>
      <c r="E5837" s="0" t="n">
        <v>0</v>
      </c>
      <c r="F5837" s="0" t="n">
        <v>1</v>
      </c>
      <c r="G5837" s="0" t="n">
        <v>2021</v>
      </c>
    </row>
    <row r="5838" customFormat="false" ht="15" hidden="false" customHeight="false" outlineLevel="0" collapsed="false">
      <c r="A5838" s="0" t="s">
        <v>262</v>
      </c>
      <c r="B5838" s="52" t="n">
        <v>44507</v>
      </c>
      <c r="C5838" s="54" t="s">
        <v>590</v>
      </c>
      <c r="D5838" s="0" t="n">
        <v>0.431329773112703</v>
      </c>
      <c r="E5838" s="0" t="n">
        <v>0</v>
      </c>
      <c r="F5838" s="0" t="n">
        <v>1</v>
      </c>
      <c r="G5838" s="0" t="n">
        <v>2021</v>
      </c>
    </row>
    <row r="5839" customFormat="false" ht="15" hidden="false" customHeight="false" outlineLevel="0" collapsed="false">
      <c r="A5839" s="0" t="s">
        <v>262</v>
      </c>
      <c r="B5839" s="52" t="n">
        <v>44507</v>
      </c>
      <c r="C5839" s="54" t="s">
        <v>591</v>
      </c>
      <c r="D5839" s="0" t="n">
        <v>0.0123669211176485</v>
      </c>
      <c r="E5839" s="0" t="n">
        <v>0.0136150005267668</v>
      </c>
      <c r="F5839" s="0" t="n">
        <v>1</v>
      </c>
      <c r="G5839" s="0" t="n">
        <v>2021</v>
      </c>
    </row>
    <row r="5840" customFormat="false" ht="15" hidden="false" customHeight="false" outlineLevel="0" collapsed="false">
      <c r="A5840" s="0" t="s">
        <v>262</v>
      </c>
      <c r="B5840" s="52" t="n">
        <v>44507</v>
      </c>
      <c r="C5840" s="54" t="s">
        <v>592</v>
      </c>
      <c r="D5840" s="0" t="n">
        <v>0.15038269709552</v>
      </c>
      <c r="E5840" s="0" t="n">
        <v>0.0092043975883087</v>
      </c>
      <c r="F5840" s="0" t="n">
        <v>1</v>
      </c>
      <c r="G5840" s="0" t="n">
        <v>2021</v>
      </c>
    </row>
    <row r="5841" customFormat="false" ht="15" hidden="false" customHeight="false" outlineLevel="0" collapsed="false">
      <c r="A5841" s="0" t="s">
        <v>262</v>
      </c>
      <c r="B5841" s="52" t="n">
        <v>44508</v>
      </c>
      <c r="C5841" s="54" t="s">
        <v>590</v>
      </c>
      <c r="D5841" s="0" t="n">
        <v>0.555732247505836</v>
      </c>
      <c r="E5841" s="0" t="n">
        <v>0.0049059334474189</v>
      </c>
      <c r="F5841" s="0" t="n">
        <v>0</v>
      </c>
      <c r="G5841" s="0" t="n">
        <v>2021</v>
      </c>
    </row>
    <row r="5842" customFormat="false" ht="15" hidden="false" customHeight="false" outlineLevel="0" collapsed="false">
      <c r="A5842" s="0" t="s">
        <v>262</v>
      </c>
      <c r="B5842" s="52" t="n">
        <v>44508</v>
      </c>
      <c r="C5842" s="54" t="s">
        <v>591</v>
      </c>
      <c r="D5842" s="0" t="n">
        <v>0.0358980865555708</v>
      </c>
      <c r="E5842" s="0" t="n">
        <v>0.0213436253381993</v>
      </c>
      <c r="F5842" s="0" t="n">
        <v>0</v>
      </c>
      <c r="G5842" s="0" t="n">
        <v>2021</v>
      </c>
    </row>
    <row r="5843" customFormat="false" ht="15" hidden="false" customHeight="false" outlineLevel="0" collapsed="false">
      <c r="A5843" s="0" t="s">
        <v>262</v>
      </c>
      <c r="B5843" s="52" t="n">
        <v>44508</v>
      </c>
      <c r="C5843" s="54" t="s">
        <v>592</v>
      </c>
      <c r="D5843" s="0" t="n">
        <v>0.184280108448427</v>
      </c>
      <c r="E5843" s="0" t="n">
        <v>0.0270219961929918</v>
      </c>
      <c r="F5843" s="0" t="n">
        <v>0</v>
      </c>
      <c r="G5843" s="0" t="n">
        <v>2021</v>
      </c>
    </row>
    <row r="5844" customFormat="false" ht="15" hidden="false" customHeight="false" outlineLevel="0" collapsed="false">
      <c r="A5844" s="0" t="s">
        <v>262</v>
      </c>
      <c r="B5844" s="52" t="n">
        <v>44509</v>
      </c>
      <c r="C5844" s="54" t="s">
        <v>590</v>
      </c>
      <c r="D5844" s="0" t="n">
        <v>0.293228399980733</v>
      </c>
      <c r="E5844" s="0" t="n">
        <v>0.0262438263093398</v>
      </c>
      <c r="F5844" s="0" t="n">
        <v>0</v>
      </c>
      <c r="G5844" s="0" t="n">
        <v>2021</v>
      </c>
    </row>
    <row r="5845" customFormat="false" ht="15" hidden="false" customHeight="false" outlineLevel="0" collapsed="false">
      <c r="A5845" s="0" t="s">
        <v>262</v>
      </c>
      <c r="B5845" s="52" t="n">
        <v>44509</v>
      </c>
      <c r="C5845" s="54" t="s">
        <v>591</v>
      </c>
      <c r="D5845" s="0" t="n">
        <v>0.52325230991027</v>
      </c>
      <c r="E5845" s="0" t="n">
        <v>0.0395153955548678</v>
      </c>
      <c r="F5845" s="0" t="n">
        <v>0</v>
      </c>
      <c r="G5845" s="0" t="n">
        <v>2021</v>
      </c>
    </row>
    <row r="5846" customFormat="false" ht="15" hidden="false" customHeight="false" outlineLevel="0" collapsed="false">
      <c r="A5846" s="0" t="s">
        <v>262</v>
      </c>
      <c r="B5846" s="52" t="n">
        <v>44509</v>
      </c>
      <c r="C5846" s="54" t="s">
        <v>592</v>
      </c>
      <c r="D5846" s="0" t="n">
        <v>0.120587885179991</v>
      </c>
      <c r="E5846" s="0" t="n">
        <v>0.0025494311482719</v>
      </c>
      <c r="F5846" s="0" t="n">
        <v>0</v>
      </c>
      <c r="G5846" s="0" t="n">
        <v>2021</v>
      </c>
    </row>
    <row r="5847" customFormat="false" ht="15" hidden="false" customHeight="false" outlineLevel="0" collapsed="false">
      <c r="A5847" s="0" t="s">
        <v>262</v>
      </c>
      <c r="B5847" s="52" t="n">
        <v>44510</v>
      </c>
      <c r="C5847" s="54" t="s">
        <v>590</v>
      </c>
      <c r="D5847" s="0" t="n">
        <v>0.0765659658611435</v>
      </c>
      <c r="E5847" s="0" t="n">
        <v>0.0098011216825692</v>
      </c>
      <c r="F5847" s="0" t="n">
        <v>0</v>
      </c>
      <c r="G5847" s="0" t="n">
        <v>2021</v>
      </c>
    </row>
    <row r="5848" customFormat="false" ht="15" hidden="false" customHeight="false" outlineLevel="0" collapsed="false">
      <c r="A5848" s="0" t="s">
        <v>262</v>
      </c>
      <c r="B5848" s="52" t="n">
        <v>44510</v>
      </c>
      <c r="C5848" s="54" t="s">
        <v>591</v>
      </c>
      <c r="D5848" s="0" t="n">
        <v>0.419081487439075</v>
      </c>
      <c r="E5848" s="0" t="n">
        <v>0.0485317888712292</v>
      </c>
      <c r="F5848" s="0" t="n">
        <v>0</v>
      </c>
      <c r="G5848" s="0" t="n">
        <v>2021</v>
      </c>
    </row>
    <row r="5849" customFormat="false" ht="15" hidden="false" customHeight="false" outlineLevel="0" collapsed="false">
      <c r="A5849" s="0" t="s">
        <v>262</v>
      </c>
      <c r="B5849" s="52" t="n">
        <v>44510</v>
      </c>
      <c r="C5849" s="54" t="s">
        <v>592</v>
      </c>
      <c r="D5849" s="0" t="n">
        <v>0.274069874356282</v>
      </c>
      <c r="E5849" s="0" t="n">
        <v>0.0380957654889486</v>
      </c>
      <c r="F5849" s="0" t="n">
        <v>0</v>
      </c>
      <c r="G5849" s="0" t="n">
        <v>2021</v>
      </c>
    </row>
    <row r="5850" customFormat="false" ht="15" hidden="false" customHeight="false" outlineLevel="0" collapsed="false">
      <c r="A5850" s="0" t="s">
        <v>262</v>
      </c>
      <c r="B5850" s="52" t="n">
        <v>44511</v>
      </c>
      <c r="C5850" s="54" t="s">
        <v>590</v>
      </c>
      <c r="D5850" s="0" t="n">
        <v>0.0246003769851046</v>
      </c>
      <c r="E5850" s="0" t="n">
        <v>0.0162213131018341</v>
      </c>
      <c r="F5850" s="0" t="n">
        <v>0</v>
      </c>
      <c r="G5850" s="0" t="n">
        <v>2021</v>
      </c>
    </row>
    <row r="5851" customFormat="false" ht="15" hidden="false" customHeight="false" outlineLevel="0" collapsed="false">
      <c r="A5851" s="0" t="s">
        <v>262</v>
      </c>
      <c r="B5851" s="52" t="n">
        <v>44511</v>
      </c>
      <c r="C5851" s="54" t="s">
        <v>591</v>
      </c>
      <c r="D5851" s="0" t="n">
        <v>0.193854388331935</v>
      </c>
      <c r="E5851" s="0" t="n">
        <v>0.0106429963762817</v>
      </c>
      <c r="F5851" s="0" t="n">
        <v>0</v>
      </c>
      <c r="G5851" s="0" t="n">
        <v>2021</v>
      </c>
    </row>
    <row r="5852" customFormat="false" ht="15" hidden="false" customHeight="false" outlineLevel="0" collapsed="false">
      <c r="A5852" s="0" t="s">
        <v>262</v>
      </c>
      <c r="B5852" s="52" t="n">
        <v>44511</v>
      </c>
      <c r="C5852" s="54" t="s">
        <v>592</v>
      </c>
      <c r="D5852" s="0" t="n">
        <v>0.547865090078543</v>
      </c>
      <c r="E5852" s="0" t="n">
        <v>0.0275178341537828</v>
      </c>
      <c r="F5852" s="0" t="n">
        <v>0</v>
      </c>
      <c r="G5852" s="0" t="n">
        <v>2021</v>
      </c>
    </row>
    <row r="5853" customFormat="false" ht="15" hidden="false" customHeight="false" outlineLevel="0" collapsed="false">
      <c r="A5853" s="0" t="s">
        <v>262</v>
      </c>
      <c r="B5853" s="52" t="n">
        <v>44512</v>
      </c>
      <c r="C5853" s="54" t="s">
        <v>590</v>
      </c>
      <c r="D5853" s="0" t="n">
        <v>0.124804292128789</v>
      </c>
      <c r="E5853" s="0" t="n">
        <v>0.0915040180599462</v>
      </c>
      <c r="F5853" s="0" t="n">
        <v>0</v>
      </c>
      <c r="G5853" s="0" t="n">
        <v>2021</v>
      </c>
    </row>
    <row r="5854" customFormat="false" ht="15" hidden="false" customHeight="false" outlineLevel="0" collapsed="false">
      <c r="A5854" s="0" t="s">
        <v>262</v>
      </c>
      <c r="B5854" s="52" t="n">
        <v>44512</v>
      </c>
      <c r="C5854" s="54" t="s">
        <v>591</v>
      </c>
      <c r="D5854" s="0" t="n">
        <v>0.0049214329995364</v>
      </c>
      <c r="E5854" s="0" t="n">
        <v>0.151688555216112</v>
      </c>
      <c r="F5854" s="0" t="n">
        <v>0</v>
      </c>
      <c r="G5854" s="0" t="n">
        <v>2021</v>
      </c>
    </row>
    <row r="5855" customFormat="false" ht="15" hidden="false" customHeight="false" outlineLevel="0" collapsed="false">
      <c r="A5855" s="0" t="s">
        <v>262</v>
      </c>
      <c r="B5855" s="52" t="n">
        <v>44512</v>
      </c>
      <c r="C5855" s="54" t="s">
        <v>592</v>
      </c>
      <c r="D5855" s="0" t="n">
        <v>0.221965192925639</v>
      </c>
      <c r="E5855" s="0" t="n">
        <v>0.132857421228134</v>
      </c>
      <c r="F5855" s="0" t="n">
        <v>0</v>
      </c>
      <c r="G5855" s="0" t="n">
        <v>2021</v>
      </c>
    </row>
    <row r="5856" customFormat="false" ht="15" hidden="false" customHeight="false" outlineLevel="0" collapsed="false">
      <c r="A5856" s="0" t="s">
        <v>262</v>
      </c>
      <c r="B5856" s="52" t="n">
        <v>44513</v>
      </c>
      <c r="C5856" s="54" t="s">
        <v>590</v>
      </c>
      <c r="D5856" s="0" t="n">
        <v>0.877979414598148</v>
      </c>
      <c r="E5856" s="0" t="n">
        <v>0</v>
      </c>
      <c r="F5856" s="0" t="n">
        <v>1</v>
      </c>
      <c r="G5856" s="0" t="n">
        <v>2021</v>
      </c>
    </row>
    <row r="5857" customFormat="false" ht="15" hidden="false" customHeight="false" outlineLevel="0" collapsed="false">
      <c r="A5857" s="0" t="s">
        <v>262</v>
      </c>
      <c r="B5857" s="52" t="n">
        <v>44513</v>
      </c>
      <c r="C5857" s="54" t="s">
        <v>591</v>
      </c>
      <c r="D5857" s="0" t="n">
        <v>0.0511646482923446</v>
      </c>
      <c r="E5857" s="0" t="n">
        <v>0.0877505122175461</v>
      </c>
      <c r="F5857" s="0" t="n">
        <v>1</v>
      </c>
      <c r="G5857" s="0" t="n">
        <v>2021</v>
      </c>
    </row>
    <row r="5858" customFormat="false" ht="15" hidden="false" customHeight="false" outlineLevel="0" collapsed="false">
      <c r="A5858" s="0" t="s">
        <v>262</v>
      </c>
      <c r="B5858" s="52" t="n">
        <v>44513</v>
      </c>
      <c r="C5858" s="54" t="s">
        <v>592</v>
      </c>
      <c r="D5858" s="0" t="n">
        <v>0.811365258329653</v>
      </c>
      <c r="E5858" s="0" t="n">
        <v>0.0001709377359296</v>
      </c>
      <c r="F5858" s="0" t="n">
        <v>1</v>
      </c>
      <c r="G5858" s="0" t="n">
        <v>2021</v>
      </c>
    </row>
    <row r="5859" customFormat="false" ht="15" hidden="false" customHeight="false" outlineLevel="0" collapsed="false">
      <c r="A5859" s="0" t="s">
        <v>262</v>
      </c>
      <c r="B5859" s="52" t="n">
        <v>44514</v>
      </c>
      <c r="C5859" s="54" t="s">
        <v>590</v>
      </c>
      <c r="D5859" s="0" t="n">
        <v>0.928359326131662</v>
      </c>
      <c r="E5859" s="0" t="n">
        <v>0</v>
      </c>
      <c r="F5859" s="0" t="n">
        <v>1</v>
      </c>
      <c r="G5859" s="0" t="n">
        <v>2021</v>
      </c>
    </row>
    <row r="5860" customFormat="false" ht="15" hidden="false" customHeight="false" outlineLevel="0" collapsed="false">
      <c r="A5860" s="0" t="s">
        <v>262</v>
      </c>
      <c r="B5860" s="52" t="n">
        <v>44514</v>
      </c>
      <c r="C5860" s="54" t="s">
        <v>591</v>
      </c>
      <c r="D5860" s="0" t="n">
        <v>0.994755816338435</v>
      </c>
      <c r="E5860" s="0" t="n">
        <v>0</v>
      </c>
      <c r="F5860" s="0" t="n">
        <v>1</v>
      </c>
      <c r="G5860" s="0" t="n">
        <v>2021</v>
      </c>
    </row>
    <row r="5861" customFormat="false" ht="15" hidden="false" customHeight="false" outlineLevel="0" collapsed="false">
      <c r="A5861" s="0" t="s">
        <v>262</v>
      </c>
      <c r="B5861" s="52" t="n">
        <v>44514</v>
      </c>
      <c r="C5861" s="54" t="s">
        <v>592</v>
      </c>
      <c r="D5861" s="0" t="n">
        <v>0.227287933231946</v>
      </c>
      <c r="E5861" s="0" t="n">
        <v>0.0183854030380173</v>
      </c>
      <c r="F5861" s="0" t="n">
        <v>1</v>
      </c>
      <c r="G5861" s="0" t="n">
        <v>2021</v>
      </c>
    </row>
    <row r="5862" customFormat="false" ht="15" hidden="false" customHeight="false" outlineLevel="0" collapsed="false">
      <c r="A5862" s="0" t="s">
        <v>262</v>
      </c>
      <c r="B5862" s="52" t="n">
        <v>44515</v>
      </c>
      <c r="C5862" s="54" t="s">
        <v>590</v>
      </c>
      <c r="D5862" s="0" t="n">
        <v>0.0069737174292942</v>
      </c>
      <c r="E5862" s="0" t="n">
        <v>0.0252908386459784</v>
      </c>
      <c r="F5862" s="0" t="n">
        <v>0</v>
      </c>
      <c r="G5862" s="0" t="n">
        <v>2021</v>
      </c>
    </row>
    <row r="5863" customFormat="false" ht="15" hidden="false" customHeight="false" outlineLevel="0" collapsed="false">
      <c r="A5863" s="0" t="s">
        <v>262</v>
      </c>
      <c r="B5863" s="52" t="n">
        <v>44515</v>
      </c>
      <c r="C5863" s="54" t="s">
        <v>591</v>
      </c>
      <c r="D5863" s="0" t="n">
        <v>0.163961906791258</v>
      </c>
      <c r="E5863" s="0" t="n">
        <v>0.0913774990408743</v>
      </c>
      <c r="F5863" s="0" t="n">
        <v>0</v>
      </c>
      <c r="G5863" s="0" t="n">
        <v>2021</v>
      </c>
    </row>
    <row r="5864" customFormat="false" ht="15" hidden="false" customHeight="false" outlineLevel="0" collapsed="false">
      <c r="A5864" s="0" t="s">
        <v>262</v>
      </c>
      <c r="B5864" s="52" t="n">
        <v>44515</v>
      </c>
      <c r="C5864" s="54" t="s">
        <v>592</v>
      </c>
      <c r="D5864" s="0" t="n">
        <v>0.379351413142532</v>
      </c>
      <c r="E5864" s="0" t="n">
        <v>0.0622643755981992</v>
      </c>
      <c r="F5864" s="0" t="n">
        <v>0</v>
      </c>
      <c r="G5864" s="0" t="n">
        <v>2021</v>
      </c>
    </row>
    <row r="5865" customFormat="false" ht="15" hidden="false" customHeight="false" outlineLevel="0" collapsed="false">
      <c r="A5865" s="0" t="s">
        <v>262</v>
      </c>
      <c r="B5865" s="52" t="n">
        <v>44516</v>
      </c>
      <c r="C5865" s="54" t="s">
        <v>590</v>
      </c>
      <c r="D5865" s="0" t="n">
        <v>0.0809619662842819</v>
      </c>
      <c r="E5865" s="0" t="n">
        <v>0.0220893376349751</v>
      </c>
      <c r="F5865" s="0" t="n">
        <v>0</v>
      </c>
      <c r="G5865" s="0" t="n">
        <v>2021</v>
      </c>
    </row>
    <row r="5866" customFormat="false" ht="15" hidden="false" customHeight="false" outlineLevel="0" collapsed="false">
      <c r="A5866" s="0" t="s">
        <v>262</v>
      </c>
      <c r="B5866" s="52" t="n">
        <v>44516</v>
      </c>
      <c r="C5866" s="54" t="s">
        <v>591</v>
      </c>
      <c r="D5866" s="0" t="n">
        <v>0</v>
      </c>
      <c r="E5866" s="0" t="n">
        <v>0.040316635727009</v>
      </c>
      <c r="F5866" s="0" t="n">
        <v>0</v>
      </c>
      <c r="G5866" s="0" t="n">
        <v>2021</v>
      </c>
    </row>
    <row r="5867" customFormat="false" ht="15" hidden="false" customHeight="false" outlineLevel="0" collapsed="false">
      <c r="A5867" s="0" t="s">
        <v>262</v>
      </c>
      <c r="B5867" s="52" t="n">
        <v>44516</v>
      </c>
      <c r="C5867" s="54" t="s">
        <v>592</v>
      </c>
      <c r="D5867" s="0" t="n">
        <v>0.713745248123731</v>
      </c>
      <c r="E5867" s="0" t="n">
        <v>0.0323316019201689</v>
      </c>
      <c r="F5867" s="0" t="n">
        <v>0</v>
      </c>
      <c r="G5867" s="0" t="n">
        <v>2021</v>
      </c>
    </row>
    <row r="5868" customFormat="false" ht="15" hidden="false" customHeight="false" outlineLevel="0" collapsed="false">
      <c r="A5868" s="0" t="s">
        <v>262</v>
      </c>
      <c r="B5868" s="52" t="n">
        <v>44517</v>
      </c>
      <c r="C5868" s="54" t="s">
        <v>590</v>
      </c>
      <c r="D5868" s="0" t="n">
        <v>0.822199454127769</v>
      </c>
      <c r="E5868" s="0" t="n">
        <v>0</v>
      </c>
      <c r="F5868" s="0" t="n">
        <v>0</v>
      </c>
      <c r="G5868" s="0" t="n">
        <v>2021</v>
      </c>
    </row>
    <row r="5869" customFormat="false" ht="15" hidden="false" customHeight="false" outlineLevel="0" collapsed="false">
      <c r="A5869" s="0" t="s">
        <v>262</v>
      </c>
      <c r="B5869" s="52" t="n">
        <v>44517</v>
      </c>
      <c r="C5869" s="54" t="s">
        <v>592</v>
      </c>
      <c r="D5869" s="0" t="n">
        <v>0.0066189094833775</v>
      </c>
      <c r="E5869" s="0" t="n">
        <v>0.0316775852457468</v>
      </c>
      <c r="F5869" s="0" t="n">
        <v>0</v>
      </c>
      <c r="G5869" s="0" t="n">
        <v>2021</v>
      </c>
    </row>
    <row r="5870" customFormat="false" ht="15" hidden="false" customHeight="false" outlineLevel="0" collapsed="false">
      <c r="A5870" s="0" t="s">
        <v>262</v>
      </c>
      <c r="B5870" s="52" t="n">
        <v>44518</v>
      </c>
      <c r="C5870" s="54" t="s">
        <v>590</v>
      </c>
      <c r="D5870" s="0" t="n">
        <v>0.0206132366759856</v>
      </c>
      <c r="E5870" s="0" t="n">
        <v>0.114637617667404</v>
      </c>
      <c r="F5870" s="0" t="n">
        <v>0</v>
      </c>
      <c r="G5870" s="0" t="n">
        <v>2021</v>
      </c>
    </row>
    <row r="5871" customFormat="false" ht="15" hidden="false" customHeight="false" outlineLevel="0" collapsed="false">
      <c r="A5871" s="0" t="s">
        <v>262</v>
      </c>
      <c r="B5871" s="52" t="n">
        <v>44518</v>
      </c>
      <c r="C5871" s="54" t="s">
        <v>591</v>
      </c>
      <c r="D5871" s="0" t="n">
        <v>0</v>
      </c>
      <c r="E5871" s="0" t="n">
        <v>0.0720568141821676</v>
      </c>
      <c r="F5871" s="0" t="n">
        <v>0</v>
      </c>
      <c r="G5871" s="0" t="n">
        <v>2021</v>
      </c>
    </row>
    <row r="5872" customFormat="false" ht="15" hidden="false" customHeight="false" outlineLevel="0" collapsed="false">
      <c r="A5872" s="0" t="s">
        <v>262</v>
      </c>
      <c r="B5872" s="52" t="n">
        <v>44518</v>
      </c>
      <c r="C5872" s="54" t="s">
        <v>592</v>
      </c>
      <c r="D5872" s="0" t="n">
        <v>0.586386857841029</v>
      </c>
      <c r="E5872" s="0" t="n">
        <v>0.0178589943172951</v>
      </c>
      <c r="F5872" s="0" t="n">
        <v>0</v>
      </c>
      <c r="G5872" s="0" t="n">
        <v>2021</v>
      </c>
    </row>
    <row r="5873" customFormat="false" ht="15" hidden="false" customHeight="false" outlineLevel="0" collapsed="false">
      <c r="A5873" s="0" t="s">
        <v>262</v>
      </c>
      <c r="B5873" s="52" t="n">
        <v>44519</v>
      </c>
      <c r="C5873" s="54" t="s">
        <v>590</v>
      </c>
      <c r="D5873" s="0" t="n">
        <v>0.125516703836764</v>
      </c>
      <c r="E5873" s="0" t="n">
        <v>0.128055884757609</v>
      </c>
      <c r="F5873" s="0" t="n">
        <v>0</v>
      </c>
      <c r="G5873" s="0" t="n">
        <v>2021</v>
      </c>
    </row>
    <row r="5874" customFormat="false" ht="15" hidden="false" customHeight="false" outlineLevel="0" collapsed="false">
      <c r="A5874" s="0" t="s">
        <v>262</v>
      </c>
      <c r="B5874" s="52" t="n">
        <v>44519</v>
      </c>
      <c r="C5874" s="54" t="s">
        <v>591</v>
      </c>
      <c r="D5874" s="0" t="n">
        <v>0.0352251708741569</v>
      </c>
      <c r="E5874" s="0" t="n">
        <v>0.194779169711414</v>
      </c>
      <c r="F5874" s="0" t="n">
        <v>0</v>
      </c>
      <c r="G5874" s="0" t="n">
        <v>2021</v>
      </c>
    </row>
    <row r="5875" customFormat="false" ht="15" hidden="false" customHeight="false" outlineLevel="0" collapsed="false">
      <c r="A5875" s="0" t="s">
        <v>262</v>
      </c>
      <c r="B5875" s="52" t="n">
        <v>44519</v>
      </c>
      <c r="C5875" s="54" t="s">
        <v>592</v>
      </c>
      <c r="D5875" s="0" t="n">
        <v>0.0535096259923533</v>
      </c>
      <c r="E5875" s="0" t="n">
        <v>0.15429836989887</v>
      </c>
      <c r="F5875" s="0" t="n">
        <v>0</v>
      </c>
      <c r="G5875" s="0" t="n">
        <v>2021</v>
      </c>
    </row>
    <row r="5876" customFormat="false" ht="15" hidden="false" customHeight="false" outlineLevel="0" collapsed="false">
      <c r="A5876" s="0" t="s">
        <v>262</v>
      </c>
      <c r="B5876" s="52" t="n">
        <v>44520</v>
      </c>
      <c r="C5876" s="54" t="s">
        <v>590</v>
      </c>
      <c r="D5876" s="0" t="n">
        <v>0.396578611296181</v>
      </c>
      <c r="E5876" s="0" t="n">
        <v>0.152607959800868</v>
      </c>
      <c r="F5876" s="0" t="n">
        <v>1</v>
      </c>
      <c r="G5876" s="0" t="n">
        <v>2021</v>
      </c>
    </row>
    <row r="5877" customFormat="false" ht="15" hidden="false" customHeight="false" outlineLevel="0" collapsed="false">
      <c r="A5877" s="0" t="s">
        <v>262</v>
      </c>
      <c r="B5877" s="52" t="n">
        <v>44520</v>
      </c>
      <c r="C5877" s="54" t="s">
        <v>591</v>
      </c>
      <c r="D5877" s="0" t="n">
        <v>0.109625523239049</v>
      </c>
      <c r="E5877" s="0" t="n">
        <v>0.0162473801554562</v>
      </c>
      <c r="F5877" s="0" t="n">
        <v>1</v>
      </c>
      <c r="G5877" s="0" t="n">
        <v>2021</v>
      </c>
    </row>
    <row r="5878" customFormat="false" ht="15" hidden="false" customHeight="false" outlineLevel="0" collapsed="false">
      <c r="A5878" s="0" t="s">
        <v>262</v>
      </c>
      <c r="B5878" s="52" t="n">
        <v>44520</v>
      </c>
      <c r="C5878" s="54" t="s">
        <v>592</v>
      </c>
      <c r="D5878" s="0" t="n">
        <v>0.475553138461296</v>
      </c>
      <c r="E5878" s="0" t="n">
        <v>0.0965963775862148</v>
      </c>
      <c r="F5878" s="0" t="n">
        <v>1</v>
      </c>
      <c r="G5878" s="0" t="n">
        <v>2021</v>
      </c>
    </row>
    <row r="5879" customFormat="false" ht="15" hidden="false" customHeight="false" outlineLevel="0" collapsed="false">
      <c r="A5879" s="0" t="s">
        <v>262</v>
      </c>
      <c r="B5879" s="52" t="n">
        <v>44521</v>
      </c>
      <c r="C5879" s="54" t="s">
        <v>590</v>
      </c>
      <c r="D5879" s="0" t="n">
        <v>0.54275124101414</v>
      </c>
      <c r="E5879" s="0" t="n">
        <v>0.0482780064438812</v>
      </c>
      <c r="F5879" s="0" t="n">
        <v>1</v>
      </c>
      <c r="G5879" s="0" t="n">
        <v>2021</v>
      </c>
    </row>
    <row r="5880" customFormat="false" ht="15" hidden="false" customHeight="false" outlineLevel="0" collapsed="false">
      <c r="A5880" s="0" t="s">
        <v>262</v>
      </c>
      <c r="B5880" s="52" t="n">
        <v>44521</v>
      </c>
      <c r="C5880" s="54" t="s">
        <v>591</v>
      </c>
      <c r="D5880" s="0" t="n">
        <v>0.015494674352386</v>
      </c>
      <c r="E5880" s="0" t="n">
        <v>0.075396476967737</v>
      </c>
      <c r="F5880" s="0" t="n">
        <v>1</v>
      </c>
      <c r="G5880" s="0" t="n">
        <v>2021</v>
      </c>
    </row>
    <row r="5881" customFormat="false" ht="15" hidden="false" customHeight="false" outlineLevel="0" collapsed="false">
      <c r="A5881" s="0" t="s">
        <v>262</v>
      </c>
      <c r="B5881" s="52" t="n">
        <v>44521</v>
      </c>
      <c r="C5881" s="54" t="s">
        <v>592</v>
      </c>
      <c r="D5881" s="0" t="n">
        <v>0.0016732827071209</v>
      </c>
      <c r="E5881" s="0" t="n">
        <v>0.101949044611766</v>
      </c>
      <c r="F5881" s="0" t="n">
        <v>1</v>
      </c>
      <c r="G5881" s="0" t="n">
        <v>2021</v>
      </c>
    </row>
    <row r="5882" customFormat="false" ht="15" hidden="false" customHeight="false" outlineLevel="0" collapsed="false">
      <c r="A5882" s="0" t="s">
        <v>262</v>
      </c>
      <c r="B5882" s="52" t="n">
        <v>44522</v>
      </c>
      <c r="C5882" s="54" t="s">
        <v>590</v>
      </c>
      <c r="D5882" s="0" t="n">
        <v>0.368437521227765</v>
      </c>
      <c r="E5882" s="0" t="n">
        <v>0.0748070244261853</v>
      </c>
      <c r="F5882" s="0" t="n">
        <v>0</v>
      </c>
      <c r="G5882" s="0" t="n">
        <v>2021</v>
      </c>
    </row>
    <row r="5883" customFormat="false" ht="15" hidden="false" customHeight="false" outlineLevel="0" collapsed="false">
      <c r="A5883" s="0" t="s">
        <v>262</v>
      </c>
      <c r="B5883" s="52" t="n">
        <v>44522</v>
      </c>
      <c r="C5883" s="54" t="s">
        <v>591</v>
      </c>
      <c r="D5883" s="0" t="n">
        <v>0.185507422123401</v>
      </c>
      <c r="E5883" s="0" t="n">
        <v>0.0070948726382104</v>
      </c>
      <c r="F5883" s="0" t="n">
        <v>0</v>
      </c>
      <c r="G5883" s="0" t="n">
        <v>2021</v>
      </c>
    </row>
    <row r="5884" customFormat="false" ht="15" hidden="false" customHeight="false" outlineLevel="0" collapsed="false">
      <c r="A5884" s="0" t="s">
        <v>262</v>
      </c>
      <c r="B5884" s="52" t="n">
        <v>44522</v>
      </c>
      <c r="C5884" s="54" t="s">
        <v>592</v>
      </c>
      <c r="D5884" s="0" t="n">
        <v>0.0376406141379679</v>
      </c>
      <c r="E5884" s="0" t="n">
        <v>0.0402156064212255</v>
      </c>
      <c r="F5884" s="0" t="n">
        <v>0</v>
      </c>
      <c r="G5884" s="0" t="n">
        <v>2021</v>
      </c>
    </row>
    <row r="5885" customFormat="false" ht="15" hidden="false" customHeight="false" outlineLevel="0" collapsed="false">
      <c r="A5885" s="0" t="s">
        <v>262</v>
      </c>
      <c r="B5885" s="52" t="n">
        <v>44523</v>
      </c>
      <c r="C5885" s="54" t="s">
        <v>590</v>
      </c>
      <c r="D5885" s="0" t="n">
        <v>0.179723302581731</v>
      </c>
      <c r="E5885" s="0" t="n">
        <v>0.0880124821342488</v>
      </c>
      <c r="F5885" s="0" t="n">
        <v>0</v>
      </c>
      <c r="G5885" s="0" t="n">
        <v>2021</v>
      </c>
    </row>
    <row r="5886" customFormat="false" ht="15" hidden="false" customHeight="false" outlineLevel="0" collapsed="false">
      <c r="A5886" s="0" t="s">
        <v>262</v>
      </c>
      <c r="B5886" s="52" t="n">
        <v>44523</v>
      </c>
      <c r="C5886" s="54" t="s">
        <v>591</v>
      </c>
      <c r="D5886" s="0" t="n">
        <v>0.583488649333412</v>
      </c>
      <c r="E5886" s="0" t="n">
        <v>0.0435505328995681</v>
      </c>
      <c r="F5886" s="0" t="n">
        <v>0</v>
      </c>
      <c r="G5886" s="0" t="n">
        <v>2021</v>
      </c>
    </row>
    <row r="5887" customFormat="false" ht="15" hidden="false" customHeight="false" outlineLevel="0" collapsed="false">
      <c r="A5887" s="0" t="s">
        <v>262</v>
      </c>
      <c r="B5887" s="52" t="n">
        <v>44523</v>
      </c>
      <c r="C5887" s="54" t="s">
        <v>592</v>
      </c>
      <c r="D5887" s="0" t="n">
        <v>0.0987086278187501</v>
      </c>
      <c r="E5887" s="0" t="n">
        <v>0.247219697232982</v>
      </c>
      <c r="F5887" s="0" t="n">
        <v>0</v>
      </c>
      <c r="G5887" s="0" t="n">
        <v>2021</v>
      </c>
    </row>
    <row r="5888" customFormat="false" ht="15" hidden="false" customHeight="false" outlineLevel="0" collapsed="false">
      <c r="A5888" s="0" t="s">
        <v>262</v>
      </c>
      <c r="B5888" s="52" t="n">
        <v>44524</v>
      </c>
      <c r="C5888" s="54" t="s">
        <v>590</v>
      </c>
      <c r="D5888" s="0" t="n">
        <v>0.230876090015113</v>
      </c>
      <c r="E5888" s="0" t="n">
        <v>0.009652251901959</v>
      </c>
      <c r="F5888" s="0" t="n">
        <v>0</v>
      </c>
      <c r="G5888" s="0" t="n">
        <v>2021</v>
      </c>
    </row>
    <row r="5889" customFormat="false" ht="15" hidden="false" customHeight="false" outlineLevel="0" collapsed="false">
      <c r="A5889" s="0" t="s">
        <v>262</v>
      </c>
      <c r="B5889" s="52" t="n">
        <v>44524</v>
      </c>
      <c r="C5889" s="54" t="s">
        <v>591</v>
      </c>
      <c r="D5889" s="0" t="n">
        <v>0.0740982477970842</v>
      </c>
      <c r="E5889" s="0" t="n">
        <v>0.0145663665575251</v>
      </c>
      <c r="F5889" s="0" t="n">
        <v>0</v>
      </c>
      <c r="G5889" s="0" t="n">
        <v>2021</v>
      </c>
    </row>
    <row r="5890" customFormat="false" ht="15" hidden="false" customHeight="false" outlineLevel="0" collapsed="false">
      <c r="A5890" s="0" t="s">
        <v>262</v>
      </c>
      <c r="B5890" s="52" t="n">
        <v>44524</v>
      </c>
      <c r="C5890" s="54" t="s">
        <v>592</v>
      </c>
      <c r="D5890" s="0" t="n">
        <v>0.853726022086743</v>
      </c>
      <c r="E5890" s="0" t="n">
        <v>0</v>
      </c>
      <c r="F5890" s="0" t="n">
        <v>0</v>
      </c>
      <c r="G5890" s="0" t="n">
        <v>2021</v>
      </c>
    </row>
    <row r="5891" customFormat="false" ht="15" hidden="false" customHeight="false" outlineLevel="0" collapsed="false">
      <c r="A5891" s="0" t="s">
        <v>262</v>
      </c>
      <c r="B5891" s="52" t="n">
        <v>44525</v>
      </c>
      <c r="C5891" s="54" t="s">
        <v>590</v>
      </c>
      <c r="D5891" s="0" t="n">
        <v>0.145271069425444</v>
      </c>
      <c r="E5891" s="0" t="n">
        <v>0.126805450518852</v>
      </c>
      <c r="F5891" s="0" t="n">
        <v>0</v>
      </c>
      <c r="G5891" s="0" t="n">
        <v>2021</v>
      </c>
    </row>
    <row r="5892" customFormat="false" ht="15" hidden="false" customHeight="false" outlineLevel="0" collapsed="false">
      <c r="A5892" s="0" t="s">
        <v>262</v>
      </c>
      <c r="B5892" s="52" t="n">
        <v>44525</v>
      </c>
      <c r="C5892" s="54" t="s">
        <v>591</v>
      </c>
      <c r="D5892" s="0" t="n">
        <v>0.0671284582728934</v>
      </c>
      <c r="E5892" s="0" t="n">
        <v>0.0930861463597078</v>
      </c>
      <c r="F5892" s="0" t="n">
        <v>0</v>
      </c>
      <c r="G5892" s="0" t="n">
        <v>2021</v>
      </c>
    </row>
    <row r="5893" customFormat="false" ht="15" hidden="false" customHeight="false" outlineLevel="0" collapsed="false">
      <c r="A5893" s="0" t="s">
        <v>262</v>
      </c>
      <c r="B5893" s="52" t="n">
        <v>44525</v>
      </c>
      <c r="C5893" s="54" t="s">
        <v>592</v>
      </c>
      <c r="D5893" s="0" t="n">
        <v>0.0349986657942088</v>
      </c>
      <c r="E5893" s="0" t="n">
        <v>0.0977552611673163</v>
      </c>
      <c r="F5893" s="0" t="n">
        <v>0</v>
      </c>
      <c r="G5893" s="0" t="n">
        <v>2021</v>
      </c>
    </row>
    <row r="5894" customFormat="false" ht="15" hidden="false" customHeight="false" outlineLevel="0" collapsed="false">
      <c r="A5894" s="0" t="s">
        <v>262</v>
      </c>
      <c r="B5894" s="52" t="n">
        <v>44526</v>
      </c>
      <c r="C5894" s="54" t="s">
        <v>590</v>
      </c>
      <c r="D5894" s="0" t="n">
        <v>0.162019829730126</v>
      </c>
      <c r="E5894" s="0" t="n">
        <v>0.0418373877031324</v>
      </c>
      <c r="F5894" s="0" t="n">
        <v>0</v>
      </c>
      <c r="G5894" s="0" t="n">
        <v>2021</v>
      </c>
    </row>
    <row r="5895" customFormat="false" ht="15" hidden="false" customHeight="false" outlineLevel="0" collapsed="false">
      <c r="A5895" s="0" t="s">
        <v>262</v>
      </c>
      <c r="B5895" s="52" t="n">
        <v>44526</v>
      </c>
      <c r="C5895" s="54" t="s">
        <v>591</v>
      </c>
      <c r="D5895" s="0" t="n">
        <v>0.974888747114058</v>
      </c>
      <c r="E5895" s="0" t="n">
        <v>0</v>
      </c>
      <c r="F5895" s="0" t="n">
        <v>0</v>
      </c>
      <c r="G5895" s="0" t="n">
        <v>2021</v>
      </c>
    </row>
    <row r="5896" customFormat="false" ht="15" hidden="false" customHeight="false" outlineLevel="0" collapsed="false">
      <c r="A5896" s="0" t="s">
        <v>262</v>
      </c>
      <c r="B5896" s="52" t="n">
        <v>44526</v>
      </c>
      <c r="C5896" s="54" t="s">
        <v>592</v>
      </c>
      <c r="D5896" s="0" t="n">
        <v>0.152106276477666</v>
      </c>
      <c r="E5896" s="0" t="n">
        <v>0.0251381588376658</v>
      </c>
      <c r="F5896" s="0" t="n">
        <v>0</v>
      </c>
      <c r="G5896" s="0" t="n">
        <v>2021</v>
      </c>
    </row>
    <row r="5897" customFormat="false" ht="15" hidden="false" customHeight="false" outlineLevel="0" collapsed="false">
      <c r="A5897" s="0" t="s">
        <v>262</v>
      </c>
      <c r="B5897" s="52" t="n">
        <v>44527</v>
      </c>
      <c r="C5897" s="54" t="s">
        <v>590</v>
      </c>
      <c r="D5897" s="0" t="n">
        <v>0.0085075709735631</v>
      </c>
      <c r="E5897" s="0" t="n">
        <v>0.114618608984786</v>
      </c>
      <c r="F5897" s="0" t="n">
        <v>1</v>
      </c>
      <c r="G5897" s="0" t="n">
        <v>2021</v>
      </c>
    </row>
    <row r="5898" customFormat="false" ht="15" hidden="false" customHeight="false" outlineLevel="0" collapsed="false">
      <c r="A5898" s="0" t="s">
        <v>262</v>
      </c>
      <c r="B5898" s="52" t="n">
        <v>44527</v>
      </c>
      <c r="C5898" s="54" t="s">
        <v>591</v>
      </c>
      <c r="D5898" s="0" t="n">
        <v>0</v>
      </c>
      <c r="E5898" s="0" t="n">
        <v>0.196962191401521</v>
      </c>
      <c r="F5898" s="0" t="n">
        <v>1</v>
      </c>
      <c r="G5898" s="0" t="n">
        <v>2021</v>
      </c>
    </row>
    <row r="5899" customFormat="false" ht="15" hidden="false" customHeight="false" outlineLevel="0" collapsed="false">
      <c r="A5899" s="0" t="s">
        <v>262</v>
      </c>
      <c r="B5899" s="52" t="n">
        <v>44527</v>
      </c>
      <c r="C5899" s="54" t="s">
        <v>592</v>
      </c>
      <c r="D5899" s="0" t="n">
        <v>0.593795942780068</v>
      </c>
      <c r="E5899" s="0" t="n">
        <v>0.0078333448131249</v>
      </c>
      <c r="F5899" s="0" t="n">
        <v>1</v>
      </c>
      <c r="G5899" s="0" t="n">
        <v>2021</v>
      </c>
    </row>
    <row r="5900" customFormat="false" ht="15" hidden="false" customHeight="false" outlineLevel="0" collapsed="false">
      <c r="A5900" s="0" t="s">
        <v>262</v>
      </c>
      <c r="B5900" s="52" t="n">
        <v>44528</v>
      </c>
      <c r="C5900" s="54" t="s">
        <v>590</v>
      </c>
      <c r="D5900" s="0" t="n">
        <v>0.11327576035279</v>
      </c>
      <c r="E5900" s="0" t="n">
        <v>0.143208838327131</v>
      </c>
      <c r="F5900" s="0" t="n">
        <v>1</v>
      </c>
      <c r="G5900" s="0" t="n">
        <v>2021</v>
      </c>
    </row>
    <row r="5901" customFormat="false" ht="15" hidden="false" customHeight="false" outlineLevel="0" collapsed="false">
      <c r="A5901" s="0" t="s">
        <v>262</v>
      </c>
      <c r="B5901" s="52" t="n">
        <v>44528</v>
      </c>
      <c r="C5901" s="54" t="s">
        <v>591</v>
      </c>
      <c r="D5901" s="0" t="n">
        <v>0</v>
      </c>
      <c r="E5901" s="0" t="n">
        <v>0.0409722315962274</v>
      </c>
      <c r="F5901" s="0" t="n">
        <v>1</v>
      </c>
      <c r="G5901" s="0" t="n">
        <v>2021</v>
      </c>
    </row>
    <row r="5902" customFormat="false" ht="15" hidden="false" customHeight="false" outlineLevel="0" collapsed="false">
      <c r="A5902" s="0" t="s">
        <v>262</v>
      </c>
      <c r="B5902" s="52" t="n">
        <v>44528</v>
      </c>
      <c r="C5902" s="54" t="s">
        <v>592</v>
      </c>
      <c r="D5902" s="0" t="n">
        <v>0.0014492698069535</v>
      </c>
      <c r="E5902" s="0" t="n">
        <v>0.272762529796935</v>
      </c>
      <c r="F5902" s="0" t="n">
        <v>1</v>
      </c>
      <c r="G5902" s="0" t="n">
        <v>2021</v>
      </c>
    </row>
    <row r="5903" customFormat="false" ht="15" hidden="false" customHeight="false" outlineLevel="0" collapsed="false">
      <c r="A5903" s="0" t="s">
        <v>262</v>
      </c>
      <c r="B5903" s="52" t="n">
        <v>44529</v>
      </c>
      <c r="C5903" s="54" t="s">
        <v>590</v>
      </c>
      <c r="D5903" s="0" t="n">
        <v>0.526257157136363</v>
      </c>
      <c r="E5903" s="0" t="n">
        <v>0.0042982346780757</v>
      </c>
      <c r="F5903" s="0" t="n">
        <v>0</v>
      </c>
      <c r="G5903" s="0" t="n">
        <v>2021</v>
      </c>
    </row>
    <row r="5904" customFormat="false" ht="15" hidden="false" customHeight="false" outlineLevel="0" collapsed="false">
      <c r="A5904" s="0" t="s">
        <v>262</v>
      </c>
      <c r="B5904" s="52" t="n">
        <v>44529</v>
      </c>
      <c r="C5904" s="54" t="s">
        <v>591</v>
      </c>
      <c r="D5904" s="0" t="n">
        <v>0.0103645679574965</v>
      </c>
      <c r="E5904" s="0" t="n">
        <v>0.121016442702356</v>
      </c>
      <c r="F5904" s="0" t="n">
        <v>0</v>
      </c>
      <c r="G5904" s="0" t="n">
        <v>2021</v>
      </c>
    </row>
    <row r="5905" customFormat="false" ht="15" hidden="false" customHeight="false" outlineLevel="0" collapsed="false">
      <c r="A5905" s="0" t="s">
        <v>262</v>
      </c>
      <c r="B5905" s="52" t="n">
        <v>44529</v>
      </c>
      <c r="C5905" s="54" t="s">
        <v>592</v>
      </c>
      <c r="D5905" s="0" t="n">
        <v>0.0414778108810041</v>
      </c>
      <c r="E5905" s="0" t="n">
        <v>0.116484277014995</v>
      </c>
      <c r="F5905" s="0" t="n">
        <v>0</v>
      </c>
      <c r="G5905" s="0" t="n">
        <v>2021</v>
      </c>
    </row>
    <row r="5906" customFormat="false" ht="15" hidden="false" customHeight="false" outlineLevel="0" collapsed="false">
      <c r="A5906" s="0" t="s">
        <v>262</v>
      </c>
      <c r="B5906" s="52" t="n">
        <v>44530</v>
      </c>
      <c r="C5906" s="54" t="s">
        <v>590</v>
      </c>
      <c r="D5906" s="0" t="n">
        <v>0.278480214212711</v>
      </c>
      <c r="E5906" s="0" t="n">
        <v>0.17681261705689</v>
      </c>
      <c r="F5906" s="0" t="n">
        <v>0</v>
      </c>
      <c r="G5906" s="0" t="n">
        <v>2021</v>
      </c>
    </row>
    <row r="5907" customFormat="false" ht="15" hidden="false" customHeight="false" outlineLevel="0" collapsed="false">
      <c r="A5907" s="0" t="s">
        <v>262</v>
      </c>
      <c r="B5907" s="52" t="n">
        <v>44530</v>
      </c>
      <c r="C5907" s="54" t="s">
        <v>591</v>
      </c>
      <c r="D5907" s="0" t="n">
        <v>0.66078927887544</v>
      </c>
      <c r="E5907" s="0" t="n">
        <v>0</v>
      </c>
      <c r="F5907" s="0" t="n">
        <v>0</v>
      </c>
      <c r="G5907" s="0" t="n">
        <v>2021</v>
      </c>
    </row>
    <row r="5908" customFormat="false" ht="15" hidden="false" customHeight="false" outlineLevel="0" collapsed="false">
      <c r="A5908" s="0" t="s">
        <v>262</v>
      </c>
      <c r="B5908" s="52" t="n">
        <v>44530</v>
      </c>
      <c r="C5908" s="54" t="s">
        <v>592</v>
      </c>
      <c r="D5908" s="0" t="n">
        <v>0.0562719501204173</v>
      </c>
      <c r="E5908" s="0" t="n">
        <v>0.0384182266838514</v>
      </c>
      <c r="F5908" s="0" t="n">
        <v>0</v>
      </c>
      <c r="G5908" s="0" t="n">
        <v>2021</v>
      </c>
    </row>
    <row r="5909" customFormat="false" ht="15" hidden="false" customHeight="false" outlineLevel="0" collapsed="false">
      <c r="A5909" s="0" t="s">
        <v>262</v>
      </c>
      <c r="B5909" s="52" t="n">
        <v>44531</v>
      </c>
      <c r="C5909" s="54" t="s">
        <v>590</v>
      </c>
      <c r="D5909" s="0" t="n">
        <v>0.0112264473687268</v>
      </c>
      <c r="E5909" s="0" t="n">
        <v>0.0355321536082807</v>
      </c>
      <c r="F5909" s="0" t="n">
        <v>0</v>
      </c>
      <c r="G5909" s="0" t="n">
        <v>2021</v>
      </c>
    </row>
    <row r="5910" customFormat="false" ht="15" hidden="false" customHeight="false" outlineLevel="0" collapsed="false">
      <c r="A5910" s="0" t="s">
        <v>262</v>
      </c>
      <c r="B5910" s="52" t="n">
        <v>44531</v>
      </c>
      <c r="C5910" s="54" t="s">
        <v>591</v>
      </c>
      <c r="D5910" s="0" t="n">
        <v>0.170562611921713</v>
      </c>
      <c r="E5910" s="0" t="n">
        <v>0.0244468739088738</v>
      </c>
      <c r="F5910" s="0" t="n">
        <v>0</v>
      </c>
      <c r="G5910" s="0" t="n">
        <v>2021</v>
      </c>
    </row>
    <row r="5911" customFormat="false" ht="15" hidden="false" customHeight="false" outlineLevel="0" collapsed="false">
      <c r="A5911" s="0" t="s">
        <v>262</v>
      </c>
      <c r="B5911" s="52" t="n">
        <v>44531</v>
      </c>
      <c r="C5911" s="54" t="s">
        <v>592</v>
      </c>
      <c r="D5911" s="0" t="n">
        <v>0.279809743724472</v>
      </c>
      <c r="E5911" s="0" t="n">
        <v>0.0395471164112417</v>
      </c>
      <c r="F5911" s="0" t="n">
        <v>0</v>
      </c>
      <c r="G5911" s="0" t="n">
        <v>2021</v>
      </c>
    </row>
    <row r="5912" customFormat="false" ht="15" hidden="false" customHeight="false" outlineLevel="0" collapsed="false">
      <c r="A5912" s="0" t="s">
        <v>262</v>
      </c>
      <c r="B5912" s="52" t="n">
        <v>44532</v>
      </c>
      <c r="C5912" s="54" t="s">
        <v>590</v>
      </c>
      <c r="D5912" s="0" t="n">
        <v>0.045684480591528</v>
      </c>
      <c r="E5912" s="0" t="n">
        <v>0.0135693114763148</v>
      </c>
      <c r="F5912" s="0" t="n">
        <v>0</v>
      </c>
      <c r="G5912" s="0" t="n">
        <v>2021</v>
      </c>
    </row>
    <row r="5913" customFormat="false" ht="15" hidden="false" customHeight="false" outlineLevel="0" collapsed="false">
      <c r="A5913" s="0" t="s">
        <v>262</v>
      </c>
      <c r="B5913" s="52" t="n">
        <v>44532</v>
      </c>
      <c r="C5913" s="54" t="s">
        <v>591</v>
      </c>
      <c r="D5913" s="0" t="n">
        <v>0.107648478965229</v>
      </c>
      <c r="E5913" s="0" t="n">
        <v>0.0227685026722958</v>
      </c>
      <c r="F5913" s="0" t="n">
        <v>0</v>
      </c>
      <c r="G5913" s="0" t="n">
        <v>2021</v>
      </c>
    </row>
    <row r="5914" customFormat="false" ht="15" hidden="false" customHeight="false" outlineLevel="0" collapsed="false">
      <c r="A5914" s="0" t="s">
        <v>262</v>
      </c>
      <c r="B5914" s="52" t="n">
        <v>44532</v>
      </c>
      <c r="C5914" s="54" t="s">
        <v>592</v>
      </c>
      <c r="D5914" s="0" t="n">
        <v>0.673439221330858</v>
      </c>
      <c r="E5914" s="0" t="n">
        <v>0.0262982836932898</v>
      </c>
      <c r="F5914" s="0" t="n">
        <v>0</v>
      </c>
      <c r="G5914" s="0" t="n">
        <v>2021</v>
      </c>
    </row>
    <row r="5915" customFormat="false" ht="15" hidden="false" customHeight="false" outlineLevel="0" collapsed="false">
      <c r="A5915" s="0" t="s">
        <v>262</v>
      </c>
      <c r="B5915" s="52" t="n">
        <v>44533</v>
      </c>
      <c r="C5915" s="54" t="s">
        <v>590</v>
      </c>
      <c r="D5915" s="0" t="n">
        <v>0.0123411568909811</v>
      </c>
      <c r="E5915" s="0" t="n">
        <v>0.0040135012059536</v>
      </c>
      <c r="F5915" s="0" t="n">
        <v>0</v>
      </c>
      <c r="G5915" s="0" t="n">
        <v>2021</v>
      </c>
    </row>
    <row r="5916" customFormat="false" ht="15" hidden="false" customHeight="false" outlineLevel="0" collapsed="false">
      <c r="A5916" s="0" t="s">
        <v>262</v>
      </c>
      <c r="B5916" s="52" t="n">
        <v>44533</v>
      </c>
      <c r="C5916" s="54" t="s">
        <v>591</v>
      </c>
      <c r="D5916" s="0" t="n">
        <v>0.0028440785754369</v>
      </c>
      <c r="E5916" s="0" t="n">
        <v>0.116153020527548</v>
      </c>
      <c r="F5916" s="0" t="n">
        <v>0</v>
      </c>
      <c r="G5916" s="0" t="n">
        <v>2021</v>
      </c>
    </row>
    <row r="5917" customFormat="false" ht="15" hidden="false" customHeight="false" outlineLevel="0" collapsed="false">
      <c r="A5917" s="0" t="s">
        <v>262</v>
      </c>
      <c r="B5917" s="52" t="n">
        <v>44533</v>
      </c>
      <c r="C5917" s="54" t="s">
        <v>592</v>
      </c>
      <c r="D5917" s="0" t="n">
        <v>0.36563947704768</v>
      </c>
      <c r="E5917" s="0" t="n">
        <v>0.0259114855288931</v>
      </c>
      <c r="F5917" s="0" t="n">
        <v>0</v>
      </c>
      <c r="G5917" s="0" t="n">
        <v>2021</v>
      </c>
    </row>
    <row r="5918" customFormat="false" ht="15" hidden="false" customHeight="false" outlineLevel="0" collapsed="false">
      <c r="A5918" s="0" t="s">
        <v>262</v>
      </c>
      <c r="B5918" s="52" t="n">
        <v>44534</v>
      </c>
      <c r="C5918" s="54" t="s">
        <v>590</v>
      </c>
      <c r="D5918" s="0" t="n">
        <v>0.0034068214803784</v>
      </c>
      <c r="E5918" s="0" t="n">
        <v>0.0236498892651833</v>
      </c>
      <c r="F5918" s="0" t="n">
        <v>1</v>
      </c>
      <c r="G5918" s="0" t="n">
        <v>2021</v>
      </c>
    </row>
    <row r="5919" customFormat="false" ht="15" hidden="false" customHeight="false" outlineLevel="0" collapsed="false">
      <c r="A5919" s="0" t="s">
        <v>262</v>
      </c>
      <c r="B5919" s="52" t="n">
        <v>44534</v>
      </c>
      <c r="C5919" s="54" t="s">
        <v>591</v>
      </c>
      <c r="D5919" s="0" t="n">
        <v>0.0253217841842541</v>
      </c>
      <c r="E5919" s="0" t="n">
        <v>0.141601018090761</v>
      </c>
      <c r="F5919" s="0" t="n">
        <v>1</v>
      </c>
      <c r="G5919" s="0" t="n">
        <v>2021</v>
      </c>
    </row>
    <row r="5920" customFormat="false" ht="15" hidden="false" customHeight="false" outlineLevel="0" collapsed="false">
      <c r="A5920" s="0" t="s">
        <v>262</v>
      </c>
      <c r="B5920" s="52" t="n">
        <v>44534</v>
      </c>
      <c r="C5920" s="54" t="s">
        <v>592</v>
      </c>
      <c r="D5920" s="0" t="n">
        <v>0.702819539248551</v>
      </c>
      <c r="E5920" s="0" t="n">
        <v>0.0644079562030082</v>
      </c>
      <c r="F5920" s="0" t="n">
        <v>1</v>
      </c>
      <c r="G5920" s="0" t="n">
        <v>2021</v>
      </c>
    </row>
    <row r="5921" customFormat="false" ht="15" hidden="false" customHeight="false" outlineLevel="0" collapsed="false">
      <c r="A5921" s="0" t="s">
        <v>262</v>
      </c>
      <c r="B5921" s="52" t="n">
        <v>44535</v>
      </c>
      <c r="C5921" s="54" t="s">
        <v>590</v>
      </c>
      <c r="D5921" s="0" t="n">
        <v>1</v>
      </c>
      <c r="E5921" s="0" t="n">
        <v>0</v>
      </c>
      <c r="F5921" s="0" t="n">
        <v>1</v>
      </c>
      <c r="G5921" s="0" t="n">
        <v>2021</v>
      </c>
    </row>
    <row r="5922" customFormat="false" ht="15" hidden="false" customHeight="false" outlineLevel="0" collapsed="false">
      <c r="A5922" s="0" t="s">
        <v>262</v>
      </c>
      <c r="B5922" s="52" t="n">
        <v>44535</v>
      </c>
      <c r="C5922" s="54" t="s">
        <v>591</v>
      </c>
      <c r="D5922" s="0" t="n">
        <v>0.103136526866083</v>
      </c>
      <c r="E5922" s="0" t="n">
        <v>0.0296135061057081</v>
      </c>
      <c r="F5922" s="0" t="n">
        <v>1</v>
      </c>
      <c r="G5922" s="0" t="n">
        <v>2021</v>
      </c>
    </row>
    <row r="5923" customFormat="false" ht="15" hidden="false" customHeight="false" outlineLevel="0" collapsed="false">
      <c r="A5923" s="0" t="s">
        <v>262</v>
      </c>
      <c r="B5923" s="52" t="n">
        <v>44535</v>
      </c>
      <c r="C5923" s="54" t="s">
        <v>592</v>
      </c>
      <c r="D5923" s="0" t="n">
        <v>0.0003951672958662</v>
      </c>
      <c r="E5923" s="0" t="n">
        <v>0.0383674669344996</v>
      </c>
      <c r="F5923" s="0" t="n">
        <v>1</v>
      </c>
      <c r="G5923" s="0" t="n">
        <v>2021</v>
      </c>
    </row>
    <row r="5924" customFormat="false" ht="15" hidden="false" customHeight="false" outlineLevel="0" collapsed="false">
      <c r="A5924" s="0" t="s">
        <v>262</v>
      </c>
      <c r="B5924" s="52" t="n">
        <v>44536</v>
      </c>
      <c r="C5924" s="54" t="s">
        <v>590</v>
      </c>
      <c r="D5924" s="0" t="n">
        <v>0.663747179756999</v>
      </c>
      <c r="E5924" s="0" t="n">
        <v>0.0491664727728491</v>
      </c>
      <c r="F5924" s="0" t="n">
        <v>0</v>
      </c>
      <c r="G5924" s="0" t="n">
        <v>2021</v>
      </c>
    </row>
    <row r="5925" customFormat="false" ht="15" hidden="false" customHeight="false" outlineLevel="0" collapsed="false">
      <c r="A5925" s="0" t="s">
        <v>262</v>
      </c>
      <c r="B5925" s="52" t="n">
        <v>44536</v>
      </c>
      <c r="C5925" s="54" t="s">
        <v>591</v>
      </c>
      <c r="D5925" s="0" t="n">
        <v>0.196698918943994</v>
      </c>
      <c r="E5925" s="0" t="n">
        <v>0.249138156377802</v>
      </c>
      <c r="F5925" s="0" t="n">
        <v>0</v>
      </c>
      <c r="G5925" s="0" t="n">
        <v>2021</v>
      </c>
    </row>
    <row r="5926" customFormat="false" ht="15" hidden="false" customHeight="false" outlineLevel="0" collapsed="false">
      <c r="A5926" s="0" t="s">
        <v>262</v>
      </c>
      <c r="B5926" s="52" t="n">
        <v>44536</v>
      </c>
      <c r="C5926" s="54" t="s">
        <v>592</v>
      </c>
      <c r="D5926" s="0" t="n">
        <v>0.0804933934892201</v>
      </c>
      <c r="E5926" s="0" t="n">
        <v>0.150919403986828</v>
      </c>
      <c r="F5926" s="0" t="n">
        <v>0</v>
      </c>
      <c r="G5926" s="0" t="n">
        <v>2021</v>
      </c>
    </row>
    <row r="5927" customFormat="false" ht="15" hidden="false" customHeight="false" outlineLevel="0" collapsed="false">
      <c r="A5927" s="0" t="s">
        <v>262</v>
      </c>
      <c r="B5927" s="52" t="n">
        <v>44537</v>
      </c>
      <c r="C5927" s="54" t="s">
        <v>590</v>
      </c>
      <c r="D5927" s="0" t="n">
        <v>0.0006980423365069</v>
      </c>
      <c r="E5927" s="0" t="n">
        <v>0.148535683568726</v>
      </c>
      <c r="F5927" s="0" t="n">
        <v>0</v>
      </c>
      <c r="G5927" s="0" t="n">
        <v>2021</v>
      </c>
    </row>
    <row r="5928" customFormat="false" ht="15" hidden="false" customHeight="false" outlineLevel="0" collapsed="false">
      <c r="A5928" s="0" t="s">
        <v>262</v>
      </c>
      <c r="B5928" s="52" t="n">
        <v>44537</v>
      </c>
      <c r="C5928" s="54" t="s">
        <v>591</v>
      </c>
      <c r="D5928" s="0" t="n">
        <v>0.204896580278403</v>
      </c>
      <c r="E5928" s="0" t="n">
        <v>0.0741662908668952</v>
      </c>
      <c r="F5928" s="0" t="n">
        <v>0</v>
      </c>
      <c r="G5928" s="0" t="n">
        <v>2021</v>
      </c>
    </row>
    <row r="5929" customFormat="false" ht="15" hidden="false" customHeight="false" outlineLevel="0" collapsed="false">
      <c r="A5929" s="0" t="s">
        <v>262</v>
      </c>
      <c r="B5929" s="52" t="n">
        <v>44537</v>
      </c>
      <c r="C5929" s="54" t="s">
        <v>592</v>
      </c>
      <c r="D5929" s="0" t="n">
        <v>0.444974183733198</v>
      </c>
      <c r="E5929" s="0" t="n">
        <v>0.213273946827928</v>
      </c>
      <c r="F5929" s="0" t="n">
        <v>0</v>
      </c>
      <c r="G5929" s="0" t="n">
        <v>2021</v>
      </c>
    </row>
    <row r="5930" customFormat="false" ht="15" hidden="false" customHeight="false" outlineLevel="0" collapsed="false">
      <c r="A5930" s="0" t="s">
        <v>262</v>
      </c>
      <c r="B5930" s="52" t="n">
        <v>44538</v>
      </c>
      <c r="C5930" s="54" t="s">
        <v>590</v>
      </c>
      <c r="D5930" s="0" t="n">
        <v>0.06220378773637</v>
      </c>
      <c r="E5930" s="0" t="n">
        <v>0.141818851575615</v>
      </c>
      <c r="F5930" s="0" t="n">
        <v>0</v>
      </c>
      <c r="G5930" s="0" t="n">
        <v>2021</v>
      </c>
    </row>
    <row r="5931" customFormat="false" ht="15" hidden="false" customHeight="false" outlineLevel="0" collapsed="false">
      <c r="A5931" s="0" t="s">
        <v>262</v>
      </c>
      <c r="B5931" s="52" t="n">
        <v>44538</v>
      </c>
      <c r="C5931" s="54" t="s">
        <v>591</v>
      </c>
      <c r="D5931" s="0" t="n">
        <v>0.023576978812899</v>
      </c>
      <c r="E5931" s="0" t="n">
        <v>0.0992316403568511</v>
      </c>
      <c r="F5931" s="0" t="n">
        <v>0</v>
      </c>
      <c r="G5931" s="0" t="n">
        <v>2021</v>
      </c>
    </row>
    <row r="5932" customFormat="false" ht="15" hidden="false" customHeight="false" outlineLevel="0" collapsed="false">
      <c r="A5932" s="0" t="s">
        <v>262</v>
      </c>
      <c r="B5932" s="52" t="n">
        <v>44538</v>
      </c>
      <c r="C5932" s="54" t="s">
        <v>592</v>
      </c>
      <c r="D5932" s="0" t="n">
        <v>0.102109687366498</v>
      </c>
      <c r="E5932" s="0" t="n">
        <v>0.0783766084565417</v>
      </c>
      <c r="F5932" s="0" t="n">
        <v>0</v>
      </c>
      <c r="G5932" s="0" t="n">
        <v>2021</v>
      </c>
    </row>
    <row r="5933" customFormat="false" ht="15" hidden="false" customHeight="false" outlineLevel="0" collapsed="false">
      <c r="A5933" s="0" t="s">
        <v>262</v>
      </c>
      <c r="B5933" s="52" t="n">
        <v>44539</v>
      </c>
      <c r="C5933" s="54" t="s">
        <v>592</v>
      </c>
      <c r="D5933" s="0" t="n">
        <v>0.997438437563011</v>
      </c>
      <c r="E5933" s="0" t="n">
        <v>0</v>
      </c>
      <c r="F5933" s="0" t="n">
        <v>0</v>
      </c>
      <c r="G5933" s="0" t="n">
        <v>2021</v>
      </c>
    </row>
    <row r="5934" customFormat="false" ht="15" hidden="false" customHeight="false" outlineLevel="0" collapsed="false">
      <c r="A5934" s="0" t="s">
        <v>262</v>
      </c>
      <c r="B5934" s="52" t="n">
        <v>44540</v>
      </c>
      <c r="C5934" s="54" t="s">
        <v>590</v>
      </c>
      <c r="D5934" s="0" t="n">
        <v>0.990426567715675</v>
      </c>
      <c r="E5934" s="0" t="n">
        <v>0</v>
      </c>
      <c r="F5934" s="0" t="n">
        <v>0</v>
      </c>
      <c r="G5934" s="0" t="n">
        <v>2021</v>
      </c>
    </row>
    <row r="5935" customFormat="false" ht="15" hidden="false" customHeight="false" outlineLevel="0" collapsed="false">
      <c r="A5935" s="0" t="s">
        <v>262</v>
      </c>
      <c r="B5935" s="52" t="n">
        <v>44541</v>
      </c>
      <c r="C5935" s="54" t="s">
        <v>590</v>
      </c>
      <c r="D5935" s="0" t="n">
        <v>1</v>
      </c>
      <c r="E5935" s="0" t="n">
        <v>0</v>
      </c>
      <c r="F5935" s="0" t="n">
        <v>1</v>
      </c>
      <c r="G5935" s="0" t="n">
        <v>2021</v>
      </c>
    </row>
    <row r="5936" customFormat="false" ht="15" hidden="false" customHeight="false" outlineLevel="0" collapsed="false">
      <c r="A5936" s="0" t="s">
        <v>262</v>
      </c>
      <c r="B5936" s="52" t="n">
        <v>44541</v>
      </c>
      <c r="C5936" s="54" t="s">
        <v>591</v>
      </c>
      <c r="D5936" s="0" t="n">
        <v>1</v>
      </c>
      <c r="E5936" s="0" t="n">
        <v>0</v>
      </c>
      <c r="F5936" s="0" t="n">
        <v>1</v>
      </c>
      <c r="G5936" s="0" t="n">
        <v>2021</v>
      </c>
    </row>
    <row r="5937" customFormat="false" ht="15" hidden="false" customHeight="false" outlineLevel="0" collapsed="false">
      <c r="A5937" s="0" t="s">
        <v>262</v>
      </c>
      <c r="B5937" s="52" t="n">
        <v>44541</v>
      </c>
      <c r="C5937" s="54" t="s">
        <v>592</v>
      </c>
      <c r="D5937" s="0" t="n">
        <v>0.653390055164596</v>
      </c>
      <c r="E5937" s="0" t="n">
        <v>0</v>
      </c>
      <c r="F5937" s="0" t="n">
        <v>1</v>
      </c>
      <c r="G5937" s="0" t="n">
        <v>2021</v>
      </c>
    </row>
    <row r="5938" customFormat="false" ht="15" hidden="false" customHeight="false" outlineLevel="0" collapsed="false">
      <c r="A5938" s="0" t="s">
        <v>262</v>
      </c>
      <c r="B5938" s="52" t="n">
        <v>44542</v>
      </c>
      <c r="C5938" s="54" t="s">
        <v>590</v>
      </c>
      <c r="D5938" s="0" t="n">
        <v>0.212378005016981</v>
      </c>
      <c r="E5938" s="0" t="n">
        <v>0.0983860616519819</v>
      </c>
      <c r="F5938" s="0" t="n">
        <v>1</v>
      </c>
      <c r="G5938" s="0" t="n">
        <v>2021</v>
      </c>
    </row>
    <row r="5939" customFormat="false" ht="15" hidden="false" customHeight="false" outlineLevel="0" collapsed="false">
      <c r="A5939" s="0" t="s">
        <v>262</v>
      </c>
      <c r="B5939" s="52" t="n">
        <v>44542</v>
      </c>
      <c r="C5939" s="54" t="s">
        <v>591</v>
      </c>
      <c r="D5939" s="0" t="n">
        <v>0.0435000873855918</v>
      </c>
      <c r="E5939" s="0" t="n">
        <v>0.0640222287861395</v>
      </c>
      <c r="F5939" s="0" t="n">
        <v>1</v>
      </c>
      <c r="G5939" s="0" t="n">
        <v>2021</v>
      </c>
    </row>
    <row r="5940" customFormat="false" ht="15" hidden="false" customHeight="false" outlineLevel="0" collapsed="false">
      <c r="A5940" s="0" t="s">
        <v>262</v>
      </c>
      <c r="B5940" s="52" t="n">
        <v>44542</v>
      </c>
      <c r="C5940" s="54" t="s">
        <v>592</v>
      </c>
      <c r="D5940" s="0" t="n">
        <v>0</v>
      </c>
      <c r="E5940" s="0" t="n">
        <v>0.0996006879088371</v>
      </c>
      <c r="F5940" s="0" t="n">
        <v>1</v>
      </c>
      <c r="G5940" s="0" t="n">
        <v>2021</v>
      </c>
    </row>
    <row r="5941" customFormat="false" ht="15" hidden="false" customHeight="false" outlineLevel="0" collapsed="false">
      <c r="A5941" s="0" t="s">
        <v>262</v>
      </c>
      <c r="B5941" s="52" t="n">
        <v>44543</v>
      </c>
      <c r="C5941" s="54" t="s">
        <v>590</v>
      </c>
      <c r="D5941" s="0" t="n">
        <v>0.265611789626151</v>
      </c>
      <c r="E5941" s="0" t="n">
        <v>0.0761797953677442</v>
      </c>
      <c r="F5941" s="0" t="n">
        <v>0</v>
      </c>
      <c r="G5941" s="0" t="n">
        <v>2021</v>
      </c>
    </row>
    <row r="5942" customFormat="false" ht="15" hidden="false" customHeight="false" outlineLevel="0" collapsed="false">
      <c r="A5942" s="0" t="s">
        <v>262</v>
      </c>
      <c r="B5942" s="52" t="n">
        <v>44543</v>
      </c>
      <c r="C5942" s="54" t="s">
        <v>591</v>
      </c>
      <c r="D5942" s="0" t="n">
        <v>0.528416649073651</v>
      </c>
      <c r="E5942" s="0" t="n">
        <v>0</v>
      </c>
      <c r="F5942" s="0" t="n">
        <v>0</v>
      </c>
      <c r="G5942" s="0" t="n">
        <v>2021</v>
      </c>
    </row>
    <row r="5943" customFormat="false" ht="15" hidden="false" customHeight="false" outlineLevel="0" collapsed="false">
      <c r="A5943" s="0" t="s">
        <v>262</v>
      </c>
      <c r="B5943" s="52" t="n">
        <v>44543</v>
      </c>
      <c r="C5943" s="54" t="s">
        <v>592</v>
      </c>
      <c r="D5943" s="0" t="n">
        <v>0.177788666324916</v>
      </c>
      <c r="E5943" s="0" t="n">
        <v>0.107300143123189</v>
      </c>
      <c r="F5943" s="0" t="n">
        <v>0</v>
      </c>
      <c r="G5943" s="0" t="n">
        <v>2021</v>
      </c>
    </row>
    <row r="5944" customFormat="false" ht="15" hidden="false" customHeight="false" outlineLevel="0" collapsed="false">
      <c r="A5944" s="0" t="s">
        <v>262</v>
      </c>
      <c r="B5944" s="52" t="n">
        <v>44544</v>
      </c>
      <c r="C5944" s="54" t="s">
        <v>590</v>
      </c>
      <c r="D5944" s="0" t="n">
        <v>0.102651796358588</v>
      </c>
      <c r="E5944" s="0" t="n">
        <v>0.0303666497434939</v>
      </c>
      <c r="F5944" s="0" t="n">
        <v>0</v>
      </c>
      <c r="G5944" s="0" t="n">
        <v>2021</v>
      </c>
    </row>
    <row r="5945" customFormat="false" ht="15" hidden="false" customHeight="false" outlineLevel="0" collapsed="false">
      <c r="A5945" s="0" t="s">
        <v>262</v>
      </c>
      <c r="B5945" s="52" t="n">
        <v>44544</v>
      </c>
      <c r="C5945" s="54" t="s">
        <v>591</v>
      </c>
      <c r="D5945" s="0" t="n">
        <v>0.11189713275623</v>
      </c>
      <c r="E5945" s="0" t="n">
        <v>0.096833323464378</v>
      </c>
      <c r="F5945" s="0" t="n">
        <v>0</v>
      </c>
      <c r="G5945" s="0" t="n">
        <v>2021</v>
      </c>
    </row>
    <row r="5946" customFormat="false" ht="15" hidden="false" customHeight="false" outlineLevel="0" collapsed="false">
      <c r="A5946" s="0" t="s">
        <v>262</v>
      </c>
      <c r="B5946" s="52" t="n">
        <v>44544</v>
      </c>
      <c r="C5946" s="54" t="s">
        <v>592</v>
      </c>
      <c r="D5946" s="0" t="n">
        <v>0.340809108330938</v>
      </c>
      <c r="E5946" s="0" t="n">
        <v>0.0432578805127045</v>
      </c>
      <c r="F5946" s="0" t="n">
        <v>0</v>
      </c>
      <c r="G5946" s="0" t="n">
        <v>2021</v>
      </c>
    </row>
    <row r="5947" customFormat="false" ht="15" hidden="false" customHeight="false" outlineLevel="0" collapsed="false">
      <c r="A5947" s="0" t="s">
        <v>262</v>
      </c>
      <c r="B5947" s="52" t="n">
        <v>44545</v>
      </c>
      <c r="C5947" s="54" t="s">
        <v>590</v>
      </c>
      <c r="D5947" s="0" t="n">
        <v>0.408947299784312</v>
      </c>
      <c r="E5947" s="0" t="n">
        <v>0.0408552971618298</v>
      </c>
      <c r="F5947" s="0" t="n">
        <v>0</v>
      </c>
      <c r="G5947" s="0" t="n">
        <v>2021</v>
      </c>
    </row>
    <row r="5948" customFormat="false" ht="15" hidden="false" customHeight="false" outlineLevel="0" collapsed="false">
      <c r="A5948" s="0" t="s">
        <v>262</v>
      </c>
      <c r="B5948" s="52" t="n">
        <v>44545</v>
      </c>
      <c r="C5948" s="54" t="s">
        <v>591</v>
      </c>
      <c r="D5948" s="0" t="n">
        <v>0.0744238518303458</v>
      </c>
      <c r="E5948" s="0" t="n">
        <v>0.072654535578172</v>
      </c>
      <c r="F5948" s="0" t="n">
        <v>0</v>
      </c>
      <c r="G5948" s="0" t="n">
        <v>2021</v>
      </c>
    </row>
    <row r="5949" customFormat="false" ht="15" hidden="false" customHeight="false" outlineLevel="0" collapsed="false">
      <c r="A5949" s="0" t="s">
        <v>262</v>
      </c>
      <c r="B5949" s="52" t="n">
        <v>44545</v>
      </c>
      <c r="C5949" s="54" t="s">
        <v>592</v>
      </c>
      <c r="D5949" s="0" t="n">
        <v>0.0070580181433584</v>
      </c>
      <c r="E5949" s="0" t="n">
        <v>0.0631815560688292</v>
      </c>
      <c r="F5949" s="0" t="n">
        <v>0</v>
      </c>
      <c r="G5949" s="0" t="n">
        <v>2021</v>
      </c>
    </row>
    <row r="5950" customFormat="false" ht="15" hidden="false" customHeight="false" outlineLevel="0" collapsed="false">
      <c r="A5950" s="0" t="s">
        <v>262</v>
      </c>
      <c r="B5950" s="52" t="n">
        <v>44546</v>
      </c>
      <c r="C5950" s="54" t="s">
        <v>590</v>
      </c>
      <c r="D5950" s="0" t="n">
        <v>0.533222265234997</v>
      </c>
      <c r="E5950" s="0" t="n">
        <v>0.0331179353941963</v>
      </c>
      <c r="F5950" s="0" t="n">
        <v>0</v>
      </c>
      <c r="G5950" s="0" t="n">
        <v>2021</v>
      </c>
    </row>
    <row r="5951" customFormat="false" ht="15" hidden="false" customHeight="false" outlineLevel="0" collapsed="false">
      <c r="A5951" s="0" t="s">
        <v>262</v>
      </c>
      <c r="B5951" s="52" t="n">
        <v>44546</v>
      </c>
      <c r="C5951" s="54" t="s">
        <v>592</v>
      </c>
      <c r="D5951" s="0" t="n">
        <v>1</v>
      </c>
      <c r="E5951" s="0" t="n">
        <v>0</v>
      </c>
      <c r="F5951" s="0" t="n">
        <v>0</v>
      </c>
      <c r="G5951" s="0" t="n">
        <v>2021</v>
      </c>
    </row>
    <row r="5952" customFormat="false" ht="15" hidden="false" customHeight="false" outlineLevel="0" collapsed="false">
      <c r="A5952" s="0" t="s">
        <v>262</v>
      </c>
      <c r="B5952" s="52" t="n">
        <v>44547</v>
      </c>
      <c r="C5952" s="54" t="s">
        <v>592</v>
      </c>
      <c r="D5952" s="0" t="n">
        <v>1</v>
      </c>
      <c r="E5952" s="0" t="n">
        <v>0</v>
      </c>
      <c r="F5952" s="0" t="n">
        <v>0</v>
      </c>
      <c r="G5952" s="0" t="n">
        <v>2021</v>
      </c>
    </row>
    <row r="5953" customFormat="false" ht="15" hidden="false" customHeight="false" outlineLevel="0" collapsed="false">
      <c r="A5953" s="0" t="s">
        <v>262</v>
      </c>
      <c r="B5953" s="52" t="n">
        <v>44548</v>
      </c>
      <c r="C5953" s="54" t="s">
        <v>591</v>
      </c>
      <c r="D5953" s="0" t="n">
        <v>0.987641738184075</v>
      </c>
      <c r="E5953" s="0" t="n">
        <v>0</v>
      </c>
      <c r="F5953" s="0" t="n">
        <v>1</v>
      </c>
      <c r="G5953" s="0" t="n">
        <v>2021</v>
      </c>
    </row>
    <row r="5954" customFormat="false" ht="15" hidden="false" customHeight="false" outlineLevel="0" collapsed="false">
      <c r="A5954" s="0" t="s">
        <v>262</v>
      </c>
      <c r="B5954" s="52" t="n">
        <v>44549</v>
      </c>
      <c r="C5954" s="54" t="s">
        <v>591</v>
      </c>
      <c r="D5954" s="0" t="n">
        <v>0.417655938661474</v>
      </c>
      <c r="E5954" s="0" t="n">
        <v>0</v>
      </c>
      <c r="F5954" s="0" t="n">
        <v>1</v>
      </c>
      <c r="G5954" s="0" t="n">
        <v>2021</v>
      </c>
    </row>
    <row r="5955" customFormat="false" ht="15" hidden="false" customHeight="false" outlineLevel="0" collapsed="false">
      <c r="A5955" s="0" t="s">
        <v>262</v>
      </c>
      <c r="B5955" s="52" t="n">
        <v>44549</v>
      </c>
      <c r="C5955" s="54" t="s">
        <v>592</v>
      </c>
      <c r="D5955" s="0" t="n">
        <v>0.22565920464396</v>
      </c>
      <c r="E5955" s="0" t="n">
        <v>0.046055235632114</v>
      </c>
      <c r="F5955" s="0" t="n">
        <v>1</v>
      </c>
      <c r="G5955" s="0" t="n">
        <v>2021</v>
      </c>
    </row>
    <row r="5956" customFormat="false" ht="15" hidden="false" customHeight="false" outlineLevel="0" collapsed="false">
      <c r="A5956" s="0" t="s">
        <v>262</v>
      </c>
      <c r="B5956" s="52" t="n">
        <v>44550</v>
      </c>
      <c r="C5956" s="54" t="s">
        <v>590</v>
      </c>
      <c r="D5956" s="0" t="n">
        <v>0.601415143089303</v>
      </c>
      <c r="E5956" s="0" t="n">
        <v>0.0010990921968786</v>
      </c>
      <c r="F5956" s="0" t="n">
        <v>0</v>
      </c>
      <c r="G5956" s="0" t="n">
        <v>2021</v>
      </c>
    </row>
    <row r="5957" customFormat="false" ht="15" hidden="false" customHeight="false" outlineLevel="0" collapsed="false">
      <c r="A5957" s="0" t="s">
        <v>262</v>
      </c>
      <c r="B5957" s="52" t="n">
        <v>44550</v>
      </c>
      <c r="C5957" s="54" t="s">
        <v>591</v>
      </c>
      <c r="D5957" s="0" t="n">
        <v>0.452508534157254</v>
      </c>
      <c r="E5957" s="0" t="n">
        <v>0</v>
      </c>
      <c r="F5957" s="0" t="n">
        <v>0</v>
      </c>
      <c r="G5957" s="0" t="n">
        <v>2021</v>
      </c>
    </row>
    <row r="5958" customFormat="false" ht="15" hidden="false" customHeight="false" outlineLevel="0" collapsed="false">
      <c r="A5958" s="0" t="s">
        <v>262</v>
      </c>
      <c r="B5958" s="52" t="n">
        <v>44550</v>
      </c>
      <c r="C5958" s="54" t="s">
        <v>592</v>
      </c>
      <c r="D5958" s="0" t="n">
        <v>0.0291838887779184</v>
      </c>
      <c r="E5958" s="0" t="n">
        <v>0.0684135267073256</v>
      </c>
      <c r="F5958" s="0" t="n">
        <v>0</v>
      </c>
      <c r="G5958" s="0" t="n">
        <v>2021</v>
      </c>
    </row>
    <row r="5959" customFormat="false" ht="15" hidden="false" customHeight="false" outlineLevel="0" collapsed="false">
      <c r="A5959" s="0" t="s">
        <v>262</v>
      </c>
      <c r="B5959" s="52" t="n">
        <v>44551</v>
      </c>
      <c r="C5959" s="54" t="s">
        <v>590</v>
      </c>
      <c r="D5959" s="0" t="n">
        <v>0</v>
      </c>
      <c r="E5959" s="0" t="n">
        <v>0.089075764789657</v>
      </c>
      <c r="F5959" s="0" t="n">
        <v>0</v>
      </c>
      <c r="G5959" s="0" t="n">
        <v>2021</v>
      </c>
    </row>
    <row r="5960" customFormat="false" ht="15" hidden="false" customHeight="false" outlineLevel="0" collapsed="false">
      <c r="A5960" s="0" t="s">
        <v>262</v>
      </c>
      <c r="B5960" s="52" t="n">
        <v>44551</v>
      </c>
      <c r="C5960" s="54" t="s">
        <v>591</v>
      </c>
      <c r="D5960" s="0" t="n">
        <v>0.242548746268156</v>
      </c>
      <c r="E5960" s="0" t="n">
        <v>0.0244752271190175</v>
      </c>
      <c r="F5960" s="0" t="n">
        <v>0</v>
      </c>
      <c r="G5960" s="0" t="n">
        <v>2021</v>
      </c>
    </row>
    <row r="5961" customFormat="false" ht="15" hidden="false" customHeight="false" outlineLevel="0" collapsed="false">
      <c r="A5961" s="0" t="s">
        <v>262</v>
      </c>
      <c r="B5961" s="52" t="n">
        <v>44551</v>
      </c>
      <c r="C5961" s="54" t="s">
        <v>592</v>
      </c>
      <c r="D5961" s="0" t="n">
        <v>0.982752483577646</v>
      </c>
      <c r="E5961" s="0" t="n">
        <v>0</v>
      </c>
      <c r="F5961" s="0" t="n">
        <v>0</v>
      </c>
      <c r="G5961" s="0" t="n">
        <v>2021</v>
      </c>
    </row>
    <row r="5962" customFormat="false" ht="15" hidden="false" customHeight="false" outlineLevel="0" collapsed="false">
      <c r="A5962" s="0" t="s">
        <v>262</v>
      </c>
      <c r="B5962" s="52" t="n">
        <v>44552</v>
      </c>
      <c r="C5962" s="54" t="s">
        <v>590</v>
      </c>
      <c r="D5962" s="0" t="n">
        <v>0.0259575594627339</v>
      </c>
      <c r="E5962" s="0" t="n">
        <v>0.0908758264882868</v>
      </c>
      <c r="F5962" s="0" t="n">
        <v>0</v>
      </c>
      <c r="G5962" s="0" t="n">
        <v>2021</v>
      </c>
    </row>
    <row r="5963" customFormat="false" ht="15" hidden="false" customHeight="false" outlineLevel="0" collapsed="false">
      <c r="A5963" s="0" t="s">
        <v>262</v>
      </c>
      <c r="B5963" s="52" t="n">
        <v>44552</v>
      </c>
      <c r="C5963" s="54" t="s">
        <v>591</v>
      </c>
      <c r="D5963" s="0" t="n">
        <v>0.163848926007371</v>
      </c>
      <c r="E5963" s="0" t="n">
        <v>0.0282320462061313</v>
      </c>
      <c r="F5963" s="0" t="n">
        <v>0</v>
      </c>
      <c r="G5963" s="0" t="n">
        <v>2021</v>
      </c>
    </row>
    <row r="5964" customFormat="false" ht="15" hidden="false" customHeight="false" outlineLevel="0" collapsed="false">
      <c r="A5964" s="0" t="s">
        <v>262</v>
      </c>
      <c r="B5964" s="52" t="n">
        <v>44552</v>
      </c>
      <c r="C5964" s="54" t="s">
        <v>592</v>
      </c>
      <c r="D5964" s="0" t="n">
        <v>0.232381024169226</v>
      </c>
      <c r="E5964" s="0" t="n">
        <v>0.0138954907228142</v>
      </c>
      <c r="F5964" s="0" t="n">
        <v>0</v>
      </c>
      <c r="G5964" s="0" t="n">
        <v>2021</v>
      </c>
    </row>
    <row r="5965" customFormat="false" ht="15" hidden="false" customHeight="false" outlineLevel="0" collapsed="false">
      <c r="A5965" s="0" t="s">
        <v>262</v>
      </c>
      <c r="B5965" s="52" t="n">
        <v>44553</v>
      </c>
      <c r="C5965" s="54" t="s">
        <v>590</v>
      </c>
      <c r="D5965" s="0" t="n">
        <v>0.633113635570588</v>
      </c>
      <c r="E5965" s="0" t="n">
        <v>0</v>
      </c>
      <c r="F5965" s="0" t="n">
        <v>0</v>
      </c>
      <c r="G5965" s="0" t="n">
        <v>2021</v>
      </c>
    </row>
    <row r="5966" customFormat="false" ht="15" hidden="false" customHeight="false" outlineLevel="0" collapsed="false">
      <c r="A5966" s="0" t="s">
        <v>262</v>
      </c>
      <c r="B5966" s="52" t="n">
        <v>44553</v>
      </c>
      <c r="C5966" s="54" t="s">
        <v>591</v>
      </c>
      <c r="D5966" s="0" t="n">
        <v>0.0966160744811972</v>
      </c>
      <c r="E5966" s="0" t="n">
        <v>0.0476892340710392</v>
      </c>
      <c r="F5966" s="0" t="n">
        <v>0</v>
      </c>
      <c r="G5966" s="0" t="n">
        <v>2021</v>
      </c>
    </row>
    <row r="5967" customFormat="false" ht="15" hidden="false" customHeight="false" outlineLevel="0" collapsed="false">
      <c r="A5967" s="0" t="s">
        <v>262</v>
      </c>
      <c r="B5967" s="52" t="n">
        <v>44553</v>
      </c>
      <c r="C5967" s="54" t="s">
        <v>592</v>
      </c>
      <c r="D5967" s="0" t="n">
        <v>0.0176692491889397</v>
      </c>
      <c r="E5967" s="0" t="n">
        <v>0.0548571358489947</v>
      </c>
      <c r="F5967" s="0" t="n">
        <v>0</v>
      </c>
      <c r="G5967" s="0" t="n">
        <v>2021</v>
      </c>
    </row>
    <row r="5968" customFormat="false" ht="15" hidden="false" customHeight="false" outlineLevel="0" collapsed="false">
      <c r="A5968" s="0" t="s">
        <v>262</v>
      </c>
      <c r="B5968" s="52" t="n">
        <v>44554</v>
      </c>
      <c r="C5968" s="54" t="s">
        <v>590</v>
      </c>
      <c r="D5968" s="0" t="n">
        <v>0.173225627853861</v>
      </c>
      <c r="E5968" s="0" t="n">
        <v>0.0855394136209605</v>
      </c>
      <c r="F5968" s="0" t="n">
        <v>0</v>
      </c>
      <c r="G5968" s="0" t="n">
        <v>2021</v>
      </c>
    </row>
    <row r="5969" customFormat="false" ht="15" hidden="false" customHeight="false" outlineLevel="0" collapsed="false">
      <c r="A5969" s="0" t="s">
        <v>262</v>
      </c>
      <c r="B5969" s="52" t="n">
        <v>44554</v>
      </c>
      <c r="C5969" s="54" t="s">
        <v>591</v>
      </c>
      <c r="D5969" s="0" t="n">
        <v>0.335774210541219</v>
      </c>
      <c r="E5969" s="0" t="n">
        <v>0.0559838338937063</v>
      </c>
      <c r="F5969" s="0" t="n">
        <v>0</v>
      </c>
      <c r="G5969" s="0" t="n">
        <v>2021</v>
      </c>
    </row>
    <row r="5970" customFormat="false" ht="15" hidden="false" customHeight="false" outlineLevel="0" collapsed="false">
      <c r="A5970" s="0" t="s">
        <v>262</v>
      </c>
      <c r="B5970" s="52" t="n">
        <v>44554</v>
      </c>
      <c r="C5970" s="54" t="s">
        <v>592</v>
      </c>
      <c r="D5970" s="0" t="n">
        <v>0.0414748241549713</v>
      </c>
      <c r="E5970" s="0" t="n">
        <v>0.0393890766406177</v>
      </c>
      <c r="F5970" s="0" t="n">
        <v>0</v>
      </c>
      <c r="G5970" s="0" t="n">
        <v>2021</v>
      </c>
    </row>
    <row r="5971" customFormat="false" ht="15" hidden="false" customHeight="false" outlineLevel="0" collapsed="false">
      <c r="A5971" s="0" t="s">
        <v>262</v>
      </c>
      <c r="B5971" s="52" t="n">
        <v>44555</v>
      </c>
      <c r="C5971" s="54" t="s">
        <v>590</v>
      </c>
      <c r="D5971" s="0" t="n">
        <v>0.0251410385377666</v>
      </c>
      <c r="E5971" s="0" t="n">
        <v>0.0556650728995862</v>
      </c>
      <c r="F5971" s="0" t="n">
        <v>1</v>
      </c>
      <c r="G5971" s="0" t="n">
        <v>2021</v>
      </c>
    </row>
    <row r="5972" customFormat="false" ht="15" hidden="false" customHeight="false" outlineLevel="0" collapsed="false">
      <c r="A5972" s="0" t="s">
        <v>262</v>
      </c>
      <c r="B5972" s="52" t="n">
        <v>44555</v>
      </c>
      <c r="C5972" s="54" t="s">
        <v>591</v>
      </c>
      <c r="D5972" s="0" t="n">
        <v>0.119310791130605</v>
      </c>
      <c r="E5972" s="0" t="n">
        <v>0.0484528325471501</v>
      </c>
      <c r="F5972" s="0" t="n">
        <v>1</v>
      </c>
      <c r="G5972" s="0" t="n">
        <v>2021</v>
      </c>
    </row>
    <row r="5973" customFormat="false" ht="15" hidden="false" customHeight="false" outlineLevel="0" collapsed="false">
      <c r="A5973" s="0" t="s">
        <v>262</v>
      </c>
      <c r="B5973" s="52" t="n">
        <v>44555</v>
      </c>
      <c r="C5973" s="54" t="s">
        <v>592</v>
      </c>
      <c r="D5973" s="0" t="n">
        <v>0.564254736332713</v>
      </c>
      <c r="E5973" s="0" t="n">
        <v>0.0006976369885109</v>
      </c>
      <c r="F5973" s="0" t="n">
        <v>1</v>
      </c>
      <c r="G5973" s="0" t="n">
        <v>2021</v>
      </c>
    </row>
    <row r="5974" customFormat="false" ht="15" hidden="false" customHeight="false" outlineLevel="0" collapsed="false">
      <c r="A5974" s="0" t="s">
        <v>262</v>
      </c>
      <c r="B5974" s="52" t="n">
        <v>44556</v>
      </c>
      <c r="C5974" s="54" t="s">
        <v>590</v>
      </c>
      <c r="D5974" s="0" t="n">
        <v>0.200315194207063</v>
      </c>
      <c r="E5974" s="0" t="n">
        <v>0.0753708460756435</v>
      </c>
      <c r="F5974" s="0" t="n">
        <v>1</v>
      </c>
      <c r="G5974" s="0" t="n">
        <v>2021</v>
      </c>
    </row>
    <row r="5975" customFormat="false" ht="15" hidden="false" customHeight="false" outlineLevel="0" collapsed="false">
      <c r="A5975" s="0" t="s">
        <v>262</v>
      </c>
      <c r="B5975" s="52" t="n">
        <v>44556</v>
      </c>
      <c r="C5975" s="54" t="s">
        <v>591</v>
      </c>
      <c r="D5975" s="0" t="n">
        <v>0</v>
      </c>
      <c r="E5975" s="0" t="n">
        <v>0.0704075053722315</v>
      </c>
      <c r="F5975" s="0" t="n">
        <v>1</v>
      </c>
      <c r="G5975" s="0" t="n">
        <v>2021</v>
      </c>
    </row>
    <row r="5976" customFormat="false" ht="15" hidden="false" customHeight="false" outlineLevel="0" collapsed="false">
      <c r="A5976" s="0" t="s">
        <v>262</v>
      </c>
      <c r="B5976" s="52" t="n">
        <v>44556</v>
      </c>
      <c r="C5976" s="54" t="s">
        <v>592</v>
      </c>
      <c r="D5976" s="0" t="n">
        <v>0.181851889802934</v>
      </c>
      <c r="E5976" s="0" t="n">
        <v>0.0252406858934472</v>
      </c>
      <c r="F5976" s="0" t="n">
        <v>1</v>
      </c>
      <c r="G5976" s="0" t="n">
        <v>2021</v>
      </c>
    </row>
    <row r="5977" customFormat="false" ht="15" hidden="false" customHeight="false" outlineLevel="0" collapsed="false">
      <c r="A5977" s="0" t="s">
        <v>262</v>
      </c>
      <c r="B5977" s="52" t="n">
        <v>44557</v>
      </c>
      <c r="C5977" s="54" t="s">
        <v>590</v>
      </c>
      <c r="D5977" s="0" t="n">
        <v>0.324671350361396</v>
      </c>
      <c r="E5977" s="0" t="n">
        <v>0</v>
      </c>
      <c r="F5977" s="0" t="n">
        <v>0</v>
      </c>
      <c r="G5977" s="0" t="n">
        <v>2021</v>
      </c>
    </row>
    <row r="5978" customFormat="false" ht="15" hidden="false" customHeight="false" outlineLevel="0" collapsed="false">
      <c r="A5978" s="0" t="s">
        <v>262</v>
      </c>
      <c r="B5978" s="52" t="n">
        <v>44557</v>
      </c>
      <c r="C5978" s="54" t="s">
        <v>591</v>
      </c>
      <c r="D5978" s="0" t="n">
        <v>0.037680392651416</v>
      </c>
      <c r="E5978" s="0" t="n">
        <v>0.0499500177540563</v>
      </c>
      <c r="F5978" s="0" t="n">
        <v>0</v>
      </c>
      <c r="G5978" s="0" t="n">
        <v>2021</v>
      </c>
    </row>
    <row r="5979" customFormat="false" ht="15" hidden="false" customHeight="false" outlineLevel="0" collapsed="false">
      <c r="A5979" s="0" t="s">
        <v>262</v>
      </c>
      <c r="B5979" s="52" t="n">
        <v>44557</v>
      </c>
      <c r="C5979" s="54" t="s">
        <v>592</v>
      </c>
      <c r="D5979" s="0" t="n">
        <v>0.0101909543108928</v>
      </c>
      <c r="E5979" s="0" t="n">
        <v>0.0413857696530803</v>
      </c>
      <c r="F5979" s="0" t="n">
        <v>0</v>
      </c>
      <c r="G5979" s="0" t="n">
        <v>2021</v>
      </c>
    </row>
    <row r="5980" customFormat="false" ht="15" hidden="false" customHeight="false" outlineLevel="0" collapsed="false">
      <c r="A5980" s="0" t="s">
        <v>262</v>
      </c>
      <c r="B5980" s="52" t="n">
        <v>44558</v>
      </c>
      <c r="C5980" s="54" t="s">
        <v>590</v>
      </c>
      <c r="D5980" s="0" t="n">
        <v>0.115448038959752</v>
      </c>
      <c r="E5980" s="0" t="n">
        <v>0.0144105002263863</v>
      </c>
      <c r="F5980" s="0" t="n">
        <v>0</v>
      </c>
      <c r="G5980" s="0" t="n">
        <v>2021</v>
      </c>
    </row>
    <row r="5981" customFormat="false" ht="15" hidden="false" customHeight="false" outlineLevel="0" collapsed="false">
      <c r="A5981" s="0" t="s">
        <v>262</v>
      </c>
      <c r="B5981" s="52" t="n">
        <v>44558</v>
      </c>
      <c r="C5981" s="54" t="s">
        <v>591</v>
      </c>
      <c r="D5981" s="0" t="n">
        <v>0.391647963620029</v>
      </c>
      <c r="E5981" s="0" t="n">
        <v>0.0371341571928348</v>
      </c>
      <c r="F5981" s="0" t="n">
        <v>0</v>
      </c>
      <c r="G5981" s="0" t="n">
        <v>2021</v>
      </c>
    </row>
    <row r="5982" customFormat="false" ht="15" hidden="false" customHeight="false" outlineLevel="0" collapsed="false">
      <c r="A5982" s="0" t="s">
        <v>262</v>
      </c>
      <c r="B5982" s="52" t="n">
        <v>44558</v>
      </c>
      <c r="C5982" s="54" t="s">
        <v>592</v>
      </c>
      <c r="D5982" s="0" t="n">
        <v>0.0114737947423532</v>
      </c>
      <c r="E5982" s="0" t="n">
        <v>0.0011154210555687</v>
      </c>
      <c r="F5982" s="0" t="n">
        <v>0</v>
      </c>
      <c r="G5982" s="0" t="n">
        <v>2021</v>
      </c>
    </row>
    <row r="5983" customFormat="false" ht="15" hidden="false" customHeight="false" outlineLevel="0" collapsed="false">
      <c r="A5983" s="0" t="s">
        <v>262</v>
      </c>
      <c r="B5983" s="52" t="n">
        <v>44559</v>
      </c>
      <c r="C5983" s="54" t="s">
        <v>590</v>
      </c>
      <c r="D5983" s="0" t="n">
        <v>0.0679539370471118</v>
      </c>
      <c r="E5983" s="0" t="n">
        <v>0.0559242315581268</v>
      </c>
      <c r="F5983" s="0" t="n">
        <v>0</v>
      </c>
      <c r="G5983" s="0" t="n">
        <v>2021</v>
      </c>
    </row>
    <row r="5984" customFormat="false" ht="15" hidden="false" customHeight="false" outlineLevel="0" collapsed="false">
      <c r="A5984" s="0" t="s">
        <v>262</v>
      </c>
      <c r="B5984" s="52" t="n">
        <v>44559</v>
      </c>
      <c r="C5984" s="54" t="s">
        <v>591</v>
      </c>
      <c r="D5984" s="0" t="n">
        <v>0.79016334719288</v>
      </c>
      <c r="E5984" s="0" t="n">
        <v>0.0078682582486371</v>
      </c>
      <c r="F5984" s="0" t="n">
        <v>0</v>
      </c>
      <c r="G5984" s="0" t="n">
        <v>2021</v>
      </c>
    </row>
    <row r="5985" customFormat="false" ht="15" hidden="false" customHeight="false" outlineLevel="0" collapsed="false">
      <c r="A5985" s="0" t="s">
        <v>262</v>
      </c>
      <c r="B5985" s="52" t="n">
        <v>44559</v>
      </c>
      <c r="C5985" s="54" t="s">
        <v>592</v>
      </c>
      <c r="D5985" s="0" t="n">
        <v>0.0208831703121061</v>
      </c>
      <c r="E5985" s="0" t="n">
        <v>0.043271892963254</v>
      </c>
      <c r="F5985" s="0" t="n">
        <v>0</v>
      </c>
      <c r="G5985" s="0" t="n">
        <v>2021</v>
      </c>
    </row>
    <row r="5986" customFormat="false" ht="15" hidden="false" customHeight="false" outlineLevel="0" collapsed="false">
      <c r="A5986" s="0" t="s">
        <v>262</v>
      </c>
      <c r="B5986" s="52" t="n">
        <v>44560</v>
      </c>
      <c r="C5986" s="54" t="s">
        <v>590</v>
      </c>
      <c r="D5986" s="0" t="n">
        <v>0.0656193391455753</v>
      </c>
      <c r="E5986" s="0" t="n">
        <v>0.0235887593814284</v>
      </c>
      <c r="F5986" s="0" t="n">
        <v>0</v>
      </c>
      <c r="G5986" s="0" t="n">
        <v>2021</v>
      </c>
    </row>
    <row r="5987" customFormat="false" ht="15" hidden="false" customHeight="false" outlineLevel="0" collapsed="false">
      <c r="A5987" s="0" t="s">
        <v>262</v>
      </c>
      <c r="B5987" s="52" t="n">
        <v>44560</v>
      </c>
      <c r="C5987" s="54" t="s">
        <v>591</v>
      </c>
      <c r="D5987" s="0" t="n">
        <v>0.589097388327106</v>
      </c>
      <c r="E5987" s="0" t="n">
        <v>0.0043821880271921</v>
      </c>
      <c r="F5987" s="0" t="n">
        <v>0</v>
      </c>
      <c r="G5987" s="0" t="n">
        <v>2021</v>
      </c>
    </row>
    <row r="5988" customFormat="false" ht="15" hidden="false" customHeight="false" outlineLevel="0" collapsed="false">
      <c r="A5988" s="0" t="s">
        <v>262</v>
      </c>
      <c r="B5988" s="52" t="n">
        <v>44560</v>
      </c>
      <c r="C5988" s="54" t="s">
        <v>592</v>
      </c>
      <c r="D5988" s="0" t="n">
        <v>0.0377999757117617</v>
      </c>
      <c r="E5988" s="0" t="n">
        <v>0.0375916860920793</v>
      </c>
      <c r="F5988" s="0" t="n">
        <v>0</v>
      </c>
      <c r="G5988" s="0" t="n">
        <v>2021</v>
      </c>
    </row>
    <row r="5989" customFormat="false" ht="15" hidden="false" customHeight="false" outlineLevel="0" collapsed="false">
      <c r="A5989" s="0" t="s">
        <v>262</v>
      </c>
      <c r="B5989" s="52" t="n">
        <v>44561</v>
      </c>
      <c r="C5989" s="54" t="s">
        <v>590</v>
      </c>
      <c r="D5989" s="0" t="n">
        <v>0.153466024207553</v>
      </c>
      <c r="E5989" s="0" t="n">
        <v>0.0431705929265384</v>
      </c>
      <c r="F5989" s="0" t="n">
        <v>0</v>
      </c>
      <c r="G5989" s="0" t="n">
        <v>2021</v>
      </c>
    </row>
    <row r="5990" customFormat="false" ht="15" hidden="false" customHeight="false" outlineLevel="0" collapsed="false">
      <c r="A5990" s="0" t="s">
        <v>262</v>
      </c>
      <c r="B5990" s="52" t="n">
        <v>44561</v>
      </c>
      <c r="C5990" s="54" t="s">
        <v>591</v>
      </c>
      <c r="D5990" s="0" t="n">
        <v>0.714327276229545</v>
      </c>
      <c r="E5990" s="0" t="n">
        <v>0</v>
      </c>
      <c r="F5990" s="0" t="n">
        <v>0</v>
      </c>
      <c r="G5990" s="0" t="n">
        <v>2021</v>
      </c>
    </row>
    <row r="5991" customFormat="false" ht="15" hidden="false" customHeight="false" outlineLevel="0" collapsed="false">
      <c r="A5991" s="0" t="s">
        <v>262</v>
      </c>
      <c r="B5991" s="52" t="n">
        <v>44561</v>
      </c>
      <c r="C5991" s="54" t="s">
        <v>592</v>
      </c>
      <c r="D5991" s="0" t="n">
        <v>0.0016690900774413</v>
      </c>
      <c r="E5991" s="0" t="n">
        <v>0.0047093874922249</v>
      </c>
      <c r="F5991" s="0" t="n">
        <v>0</v>
      </c>
      <c r="G5991" s="0" t="n">
        <v>2021</v>
      </c>
    </row>
    <row r="5992" customFormat="false" ht="15" hidden="false" customHeight="false" outlineLevel="0" collapsed="false">
      <c r="A5992" s="0" t="s">
        <v>262</v>
      </c>
      <c r="B5992" s="52" t="n">
        <v>44562</v>
      </c>
      <c r="C5992" s="54" t="s">
        <v>590</v>
      </c>
      <c r="D5992" s="0" t="n">
        <v>0.0167100184145371</v>
      </c>
      <c r="E5992" s="0" t="n">
        <v>0.0243750139035935</v>
      </c>
      <c r="F5992" s="0" t="n">
        <v>1</v>
      </c>
      <c r="G5992" s="0" t="n">
        <v>2022</v>
      </c>
    </row>
    <row r="5993" customFormat="false" ht="15" hidden="false" customHeight="false" outlineLevel="0" collapsed="false">
      <c r="A5993" s="0" t="s">
        <v>262</v>
      </c>
      <c r="B5993" s="52" t="n">
        <v>44562</v>
      </c>
      <c r="C5993" s="54" t="s">
        <v>591</v>
      </c>
      <c r="D5993" s="0" t="n">
        <v>0.855267632093024</v>
      </c>
      <c r="E5993" s="0" t="n">
        <v>0</v>
      </c>
      <c r="F5993" s="0" t="n">
        <v>1</v>
      </c>
      <c r="G5993" s="0" t="n">
        <v>2022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2026-09-29T09:40:19Z</dcterms:created>
  <dc:creator>openpyxl</dc:creator>
  <dc:description/>
  <dc:language>en-US</dc:language>
  <cp:lastModifiedBy/>
  <dcterms:modified xsi:type="dcterms:W3CDTF">2026-09-29T09:40:23Z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